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637A598-0B7D-49F0-BBD6-17981C3C879F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1" i="6341" l="1"/>
  <c r="O20" i="6345"/>
  <c r="O21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21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3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8" i="6347"/>
  <c r="H9" i="6347"/>
  <c r="H29" i="6347"/>
  <c r="C19" i="6347"/>
  <c r="H14" i="6347"/>
  <c r="H25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4" i="6347"/>
  <c r="H22" i="6347"/>
  <c r="C17" i="6347"/>
  <c r="H19" i="6347"/>
  <c r="H26" i="6347"/>
  <c r="H27" i="6347"/>
  <c r="H39" i="6347"/>
  <c r="C42" i="6347"/>
  <c r="H17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3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0" i="6345"/>
  <c r="H9" i="6345"/>
  <c r="H30" i="6345"/>
  <c r="C20" i="6345"/>
  <c r="H37" i="6345"/>
  <c r="C40" i="6345"/>
  <c r="H48" i="6345"/>
  <c r="H33" i="6345"/>
  <c r="C32" i="6345"/>
  <c r="H42" i="6345"/>
  <c r="H5" i="6345"/>
  <c r="H22" i="6345"/>
  <c r="C18" i="6345"/>
  <c r="H14" i="6345"/>
  <c r="H35" i="6345"/>
  <c r="H39" i="6345"/>
  <c r="H44" i="6345"/>
  <c r="H7" i="6345"/>
  <c r="H23" i="6345"/>
  <c r="C21" i="6345"/>
  <c r="H28" i="6345"/>
  <c r="H49" i="6345"/>
  <c r="C15" i="6345"/>
  <c r="H25" i="6345"/>
  <c r="H4" i="6345"/>
  <c r="H2" i="6345"/>
  <c r="H11" i="6345"/>
  <c r="H3" i="6345"/>
  <c r="H26" i="6345"/>
  <c r="C19" i="6345"/>
  <c r="H21" i="6345"/>
  <c r="H17" i="6345"/>
  <c r="H36" i="6345"/>
  <c r="C38" i="6345"/>
  <c r="H45" i="6345"/>
  <c r="H52" i="6345"/>
  <c r="C36" i="6345"/>
  <c r="H40" i="6345"/>
  <c r="H43" i="6345"/>
  <c r="C44" i="6345"/>
  <c r="H50" i="6345"/>
  <c r="C17" i="6345"/>
  <c r="H19" i="6345"/>
  <c r="B22" i="6345"/>
  <c r="H34" i="6345"/>
  <c r="H27" i="6345"/>
  <c r="C34" i="6345"/>
  <c r="H38" i="6345"/>
  <c r="H41" i="6345"/>
  <c r="C42" i="6345"/>
  <c r="H46" i="6345"/>
  <c r="H12" i="6345"/>
  <c r="B23" i="6345"/>
  <c r="H18" i="6345"/>
  <c r="H31" i="6345"/>
  <c r="H32" i="6345"/>
  <c r="H24" i="6345"/>
  <c r="H15" i="6345"/>
  <c r="H8" i="6345"/>
  <c r="H16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19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2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0" i="6339"/>
  <c r="C20" i="6339"/>
  <c r="H21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7" i="6335"/>
  <c r="H31" i="6335"/>
  <c r="C36" i="6335"/>
  <c r="H42" i="6335"/>
  <c r="H44" i="6335"/>
  <c r="C44" i="6335"/>
  <c r="H50" i="6335"/>
  <c r="H20" i="6335"/>
  <c r="C17" i="6335"/>
  <c r="H28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2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<sst xmlns="http://schemas.openxmlformats.org/spreadsheetml/2006/main" count="3861" uniqueCount="304">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</sst>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全体!$K$2:$K$932</c:f>
              <c:numCache>
                <c:formatCode>General</c:formatCode>
                <c:ptCount val="9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</c:numCache>
            </c:numRef>
          </c:xVal>
          <c:yVal>
            <c:numRef>
              <c:f>全体!$L$2:$L$932</c:f>
              <c:numCache>
                <c:formatCode>\+0.0;\-0.0;\±0</c:formatCode>
                <c:ptCount val="93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-29.126213592233011</c:v>
                </c:pt>
                <c:pt idx="1">
                  <c:v>8.7431693989071047</c:v>
                </c:pt>
                <c:pt idx="2">
                  <c:v>-2.3228803716608595</c:v>
                </c:pt>
                <c:pt idx="3">
                  <c:v>6.1728395061728394</c:v>
                </c:pt>
                <c:pt idx="4">
                  <c:v>5.3547523427041499</c:v>
                </c:pt>
                <c:pt idx="5">
                  <c:v>16.025641025641026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179</c:v>
                </c:pt>
                <c:pt idx="1">
                  <c:v>393</c:v>
                </c:pt>
                <c:pt idx="2">
                  <c:v>445</c:v>
                </c:pt>
                <c:pt idx="3">
                  <c:v>405</c:v>
                </c:pt>
                <c:pt idx="4">
                  <c:v>361</c:v>
                </c:pt>
                <c:pt idx="5">
                  <c:v>245</c:v>
                </c:pt>
                <c:pt idx="6">
                  <c:v>120</c:v>
                </c:pt>
                <c:pt idx="7">
                  <c:v>65</c:v>
                </c:pt>
                <c:pt idx="8">
                  <c:v>29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たかの!$L$2:$L$85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1865.0602409638554</c:v>
                </c:pt>
                <c:pt idx="1">
                  <c:v>-2048.7804878048782</c:v>
                </c:pt>
                <c:pt idx="2">
                  <c:v>-1624.0506329113923</c:v>
                </c:pt>
                <c:pt idx="3">
                  <c:v>-1074.3243243243244</c:v>
                </c:pt>
                <c:pt idx="4">
                  <c:v>-58.333333333333336</c:v>
                </c:pt>
                <c:pt idx="5">
                  <c:v>-2103.2258064516127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41</c:v>
                </c:pt>
                <c:pt idx="2">
                  <c:v>43</c:v>
                </c:pt>
                <c:pt idx="3">
                  <c:v>34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だいち!$K$2:$K$185</c:f>
              <c:numCache>
                <c:formatCode>General</c:formatCode>
                <c:ptCount val="1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</c:numCache>
            </c:numRef>
          </c:xVal>
          <c:yVal>
            <c:numRef>
              <c:f>だいち!$L$2:$L$185</c:f>
              <c:numCache>
                <c:formatCode>\+0.0;\-0.0;\±0</c:formatCode>
                <c:ptCount val="18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1149.4505494505495</c:v>
                </c:pt>
                <c:pt idx="1">
                  <c:v>1212.8491620111731</c:v>
                </c:pt>
                <c:pt idx="2">
                  <c:v>945.34883720930236</c:v>
                </c:pt>
                <c:pt idx="3">
                  <c:v>238.75</c:v>
                </c:pt>
                <c:pt idx="4">
                  <c:v>1744.9664429530201</c:v>
                </c:pt>
                <c:pt idx="5">
                  <c:v>2037.3983739837399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48</c:v>
                </c:pt>
                <c:pt idx="1">
                  <c:v>93</c:v>
                </c:pt>
                <c:pt idx="2">
                  <c:v>101</c:v>
                </c:pt>
                <c:pt idx="3">
                  <c:v>94</c:v>
                </c:pt>
                <c:pt idx="4">
                  <c:v>73</c:v>
                </c:pt>
                <c:pt idx="5">
                  <c:v>49</c:v>
                </c:pt>
                <c:pt idx="6">
                  <c:v>24</c:v>
                </c:pt>
                <c:pt idx="7">
                  <c:v>10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ただ!$L$2:$L$167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-1067.6829268292684</c:v>
                </c:pt>
                <c:pt idx="1">
                  <c:v>1366.0493827160494</c:v>
                </c:pt>
                <c:pt idx="2">
                  <c:v>12.666666666666666</c:v>
                </c:pt>
                <c:pt idx="3">
                  <c:v>71.126760563380287</c:v>
                </c:pt>
                <c:pt idx="4">
                  <c:v>-1612.3076923076924</c:v>
                </c:pt>
                <c:pt idx="5">
                  <c:v>1027.5229357798164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31</c:v>
                </c:pt>
                <c:pt idx="1">
                  <c:v>80</c:v>
                </c:pt>
                <c:pt idx="2">
                  <c:v>90</c:v>
                </c:pt>
                <c:pt idx="3">
                  <c:v>84</c:v>
                </c:pt>
                <c:pt idx="4">
                  <c:v>62</c:v>
                </c:pt>
                <c:pt idx="5">
                  <c:v>42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-526.80412371134025</c:v>
                </c:pt>
                <c:pt idx="1">
                  <c:v>-712.37113402061857</c:v>
                </c:pt>
                <c:pt idx="2">
                  <c:v>480.2197802197802</c:v>
                </c:pt>
                <c:pt idx="3">
                  <c:v>-673.03370786516859</c:v>
                </c:pt>
                <c:pt idx="4">
                  <c:v>-2978.5714285714284</c:v>
                </c:pt>
                <c:pt idx="5">
                  <c:v>-1929.7297297297298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34</c:v>
                </c:pt>
                <c:pt idx="4">
                  <c:v>39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れんたろう!$K$2:$K$135</c:f>
              <c:numCache>
                <c:formatCode>General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れんたろう!$L$2:$L$135</c:f>
              <c:numCache>
                <c:formatCode>\+0.0;\-0.0;\±0</c:formatCode>
                <c:ptCount val="13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1349.624060150376</c:v>
                </c:pt>
                <c:pt idx="1">
                  <c:v>-1967.9389312977098</c:v>
                </c:pt>
                <c:pt idx="2">
                  <c:v>-423.52941176470586</c:v>
                </c:pt>
                <c:pt idx="3">
                  <c:v>2249.1071428571427</c:v>
                </c:pt>
                <c:pt idx="4">
                  <c:v>1698</c:v>
                </c:pt>
                <c:pt idx="5">
                  <c:v>143.58974358974359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39</c:v>
                </c:pt>
                <c:pt idx="3">
                  <c:v>55</c:v>
                </c:pt>
                <c:pt idx="4">
                  <c:v>66</c:v>
                </c:pt>
                <c:pt idx="5">
                  <c:v>42</c:v>
                </c:pt>
                <c:pt idx="6">
                  <c:v>22</c:v>
                </c:pt>
                <c:pt idx="7">
                  <c:v>19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-207.53424657534248</c:v>
                </c:pt>
                <c:pt idx="1">
                  <c:v>264.33566433566432</c:v>
                </c:pt>
                <c:pt idx="2">
                  <c:v>178.5185185185185</c:v>
                </c:pt>
                <c:pt idx="3">
                  <c:v>376.61290322580646</c:v>
                </c:pt>
                <c:pt idx="4">
                  <c:v>144.24778761061947</c:v>
                </c:pt>
                <c:pt idx="5">
                  <c:v>-622.91666666666663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62</c:v>
                </c:pt>
                <c:pt idx="2">
                  <c:v>67</c:v>
                </c:pt>
                <c:pt idx="3">
                  <c:v>61</c:v>
                </c:pt>
                <c:pt idx="4">
                  <c:v>48</c:v>
                </c:pt>
                <c:pt idx="5">
                  <c:v>38</c:v>
                </c:pt>
                <c:pt idx="6">
                  <c:v>18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れんたろう2!$B$3:$B$136</c:f>
              <c:numCache>
                <c:formatCode>\+0.0;\-0.0;\±0</c:formatCode>
                <c:ptCount val="13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れんたろう2!$C$3:$C$136</c:f>
              <c:numCache>
                <c:formatCode>\+0.0;\-0.0;\±0</c:formatCode>
                <c:ptCount val="134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876220023484840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れんたろう2!$D$3:$D$136</c:f>
              <c:numCache>
                <c:formatCode>0.00\ "位"</c:formatCode>
                <c:ptCount val="134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れんたろう2!$E$3:$E$136</c:f>
              <c:numCache>
                <c:formatCode>0.0%</c:formatCode>
                <c:ptCount val="13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れんたろう2!$F$3:$F$136</c:f>
              <c:numCache>
                <c:formatCode>0.0%</c:formatCode>
                <c:ptCount val="13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れんたろう2!$G$3:$G$136</c:f>
              <c:numCache>
                <c:formatCode>0.0%</c:formatCode>
                <c:ptCount val="134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53086419753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れんたろう2!$H$3:$H$136</c:f>
              <c:numCache>
                <c:formatCode>0.0%</c:formatCode>
                <c:ptCount val="134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00823045267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れんたろう2!$I$3:$I$136</c:f>
              <c:numCache>
                <c:formatCode>0</c:formatCode>
                <c:ptCount val="134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5.60209424083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れんたろう2!$J$3:$J$136</c:f>
              <c:numCache>
                <c:formatCode>0</c:formatCode>
                <c:ptCount val="134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5.7667731629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れんたろう2!$K$3:$K$136</c:f>
              <c:numCache>
                <c:formatCode>0.0%</c:formatCode>
                <c:ptCount val="13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47311827956988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れんたろう2!$L$3:$L$136</c:f>
              <c:numCache>
                <c:formatCode>0.0%</c:formatCode>
                <c:ptCount val="134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414609053497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れんたろう2!$M$3:$M$136</c:f>
              <c:numCache>
                <c:formatCode>0.0%</c:formatCode>
                <c:ptCount val="134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51028806584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れんたろう2!$N$3:$N$136</c:f>
              <c:numCache>
                <c:formatCode>0.0%</c:formatCode>
                <c:ptCount val="134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42966751918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れんたろう2!$O$3:$O$136</c:f>
              <c:numCache>
                <c:formatCode>0.0%</c:formatCode>
                <c:ptCount val="134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0088495575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れんたろう2!$A$3:$A$136</c:f>
              <c:numCache>
                <c:formatCode>0\ "回"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れんたろう2!$P$3:$P$136</c:f>
              <c:numCache>
                <c:formatCode>0.0%</c:formatCode>
                <c:ptCount val="134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516579406631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7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5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930</v>
      </c>
    </row>
    <row r="2" spans="1:2" x14ac:dyDescent="0.45">
      <c r="A2" t="s">
        <v>161</v>
      </c>
      <c r="B2">
        <v>83</v>
      </c>
    </row>
    <row r="3" spans="1:2" x14ac:dyDescent="0.45">
      <c r="A3" t="s">
        <v>126</v>
      </c>
      <c r="B3">
        <v>183</v>
      </c>
    </row>
    <row r="4" spans="1:2" x14ac:dyDescent="0.45">
      <c r="A4" t="s">
        <v>127</v>
      </c>
      <c r="B4">
        <v>165</v>
      </c>
    </row>
    <row r="5" spans="1:2" x14ac:dyDescent="0.45">
      <c r="A5" t="s">
        <v>172</v>
      </c>
      <c r="B5">
        <v>98</v>
      </c>
    </row>
    <row r="6" spans="1:2" x14ac:dyDescent="0.45">
      <c r="A6" t="s">
        <v>170</v>
      </c>
      <c r="B6">
        <v>133</v>
      </c>
    </row>
    <row r="7" spans="1:2" x14ac:dyDescent="0.45">
      <c r="A7" t="s">
        <v>171</v>
      </c>
      <c r="B7">
        <v>146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0.96854512433107864</v>
      </c>
      <c r="G2" s="163"/>
      <c r="H2" s="162">
        <v>0.83902531750036802</v>
      </c>
      <c r="I2" s="163"/>
      <c r="J2" s="162">
        <v>0.90256575481429757</v>
      </c>
      <c r="K2" s="163"/>
      <c r="L2" s="162">
        <v>0.46767590452283925</v>
      </c>
      <c r="M2" s="163"/>
      <c r="N2" s="162">
        <v>0.61621696495712197</v>
      </c>
      <c r="O2" s="163"/>
      <c r="P2" s="162">
        <v>0.45956229645740387</v>
      </c>
      <c r="Q2" s="163"/>
      <c r="R2" s="162">
        <v>0.19986197656818008</v>
      </c>
      <c r="S2" s="163"/>
      <c r="T2" s="162">
        <v>0.37654939947020694</v>
      </c>
      <c r="U2" s="163"/>
      <c r="V2" s="162">
        <v>0.41790364886766557</v>
      </c>
      <c r="W2" s="163"/>
      <c r="X2" s="162">
        <v>8.3150677625986574E-2</v>
      </c>
      <c r="Y2" s="163"/>
      <c r="Z2" s="162">
        <v>0.38409540481266752</v>
      </c>
      <c r="AA2" s="163"/>
      <c r="AB2" s="162">
        <v>-3.5322598693810818E-2</v>
      </c>
      <c r="AC2" s="163"/>
      <c r="AD2" s="162">
        <v>-3.539978076974068E-2</v>
      </c>
      <c r="AE2" s="163"/>
      <c r="AF2" s="162">
        <v>0.85357018624022507</v>
      </c>
      <c r="AG2" s="163"/>
    </row>
    <row r="3" spans="1:33" x14ac:dyDescent="0.45">
      <c r="A3" s="70">
        <v>1</v>
      </c>
      <c r="B3" s="71" t="s">
        <v>126</v>
      </c>
      <c r="C3" s="72">
        <v>1578.4999999999998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10950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512.90000000000043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0.24590163934426229</v>
      </c>
      <c r="L4" s="81" t="s">
        <v>281</v>
      </c>
      <c r="M4" s="84">
        <v>0.37681159420289856</v>
      </c>
      <c r="N4" s="81" t="s">
        <v>126</v>
      </c>
      <c r="O4" s="84">
        <v>0.1279147235176549</v>
      </c>
      <c r="P4" s="81" t="s">
        <v>281</v>
      </c>
      <c r="Q4" s="85">
        <v>9534.6153846153848</v>
      </c>
      <c r="R4" s="81" t="s">
        <v>171</v>
      </c>
      <c r="S4" s="85">
        <v>-6992.0731707317073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0.51351351351351349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8.6256830601092886</v>
      </c>
      <c r="F5" s="81" t="s">
        <v>126</v>
      </c>
      <c r="G5" s="82">
        <v>1.7868852459016393</v>
      </c>
      <c r="H5" s="81" t="s">
        <v>126</v>
      </c>
      <c r="I5" s="83">
        <v>0.45901639344262296</v>
      </c>
      <c r="J5" s="81" t="s">
        <v>171</v>
      </c>
      <c r="K5" s="83">
        <v>0.29452054794520549</v>
      </c>
      <c r="L5" s="81" t="s">
        <v>274</v>
      </c>
      <c r="M5" s="84">
        <v>0.3559322033898305</v>
      </c>
      <c r="N5" s="81" t="s">
        <v>171</v>
      </c>
      <c r="O5" s="84">
        <v>0.13874788494077833</v>
      </c>
      <c r="P5" s="81" t="s">
        <v>280</v>
      </c>
      <c r="Q5" s="85">
        <v>8512.5</v>
      </c>
      <c r="R5" s="81" t="s">
        <v>161</v>
      </c>
      <c r="S5" s="85">
        <v>-7683.0508474576272</v>
      </c>
      <c r="T5" s="81" t="s">
        <v>126</v>
      </c>
      <c r="U5" s="83">
        <v>4.3715846994535519E-2</v>
      </c>
      <c r="V5" s="81" t="s">
        <v>274</v>
      </c>
      <c r="W5" s="84">
        <v>0.30508474576271188</v>
      </c>
      <c r="X5" s="81" t="s">
        <v>127</v>
      </c>
      <c r="Y5" s="84">
        <v>0.30320699708454812</v>
      </c>
      <c r="Z5" s="81" t="s">
        <v>196</v>
      </c>
      <c r="AA5" s="84">
        <v>0.59677419354838712</v>
      </c>
      <c r="AB5" s="81" t="s">
        <v>126</v>
      </c>
      <c r="AC5" s="84">
        <v>0.4859550561797753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3.8563909774436125</v>
      </c>
      <c r="F6" s="81" t="s">
        <v>170</v>
      </c>
      <c r="G6" s="82">
        <v>1.9248120300751879</v>
      </c>
      <c r="H6" s="81" t="s">
        <v>228</v>
      </c>
      <c r="I6" s="83">
        <v>0.42857142857142855</v>
      </c>
      <c r="J6" s="81" t="s">
        <v>127</v>
      </c>
      <c r="K6" s="83">
        <v>0.32121212121212123</v>
      </c>
      <c r="L6" s="81" t="s">
        <v>126</v>
      </c>
      <c r="M6" s="84">
        <v>0.34110592938041306</v>
      </c>
      <c r="N6" s="81" t="s">
        <v>161</v>
      </c>
      <c r="O6" s="84">
        <v>0.16054421768707483</v>
      </c>
      <c r="P6" s="81" t="s">
        <v>196</v>
      </c>
      <c r="Q6" s="85">
        <v>8385.7142857142862</v>
      </c>
      <c r="R6" s="81" t="s">
        <v>141</v>
      </c>
      <c r="S6" s="85">
        <v>-7795.766773162939</v>
      </c>
      <c r="T6" s="81" t="s">
        <v>171</v>
      </c>
      <c r="U6" s="83">
        <v>6.8493150684931503E-2</v>
      </c>
      <c r="V6" s="81" t="s">
        <v>170</v>
      </c>
      <c r="W6" s="84">
        <v>0.30009233610341646</v>
      </c>
      <c r="X6" s="81" t="s">
        <v>161</v>
      </c>
      <c r="Y6" s="84">
        <v>0.25578231292517006</v>
      </c>
      <c r="Z6" s="81" t="s">
        <v>126</v>
      </c>
      <c r="AA6" s="84">
        <v>0.58838383838383834</v>
      </c>
      <c r="AB6" s="81" t="s">
        <v>281</v>
      </c>
      <c r="AC6" s="84">
        <v>0.45454545454545453</v>
      </c>
      <c r="AD6" s="81" t="s">
        <v>172</v>
      </c>
      <c r="AE6" s="84">
        <v>0.47136563876651982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-6.3948846218409017E-14</v>
      </c>
      <c r="D7" s="81" t="s">
        <v>141</v>
      </c>
      <c r="E7" s="93">
        <v>-6.8762200234848408E-17</v>
      </c>
      <c r="F7" s="81" t="s">
        <v>127</v>
      </c>
      <c r="G7" s="82">
        <v>1.9818181818181819</v>
      </c>
      <c r="H7" s="81" t="s">
        <v>170</v>
      </c>
      <c r="I7" s="83">
        <v>0.39849624060150374</v>
      </c>
      <c r="J7" s="81" t="s">
        <v>170</v>
      </c>
      <c r="K7" s="83">
        <v>0.32330827067669171</v>
      </c>
      <c r="L7" s="81" t="s">
        <v>127</v>
      </c>
      <c r="M7" s="84">
        <v>0.30976676384839652</v>
      </c>
      <c r="N7" s="81" t="s">
        <v>141</v>
      </c>
      <c r="O7" s="84">
        <v>0.1610082304526749</v>
      </c>
      <c r="P7" s="81" t="s">
        <v>141</v>
      </c>
      <c r="Q7" s="85">
        <v>8385.6020942408377</v>
      </c>
      <c r="R7" s="81" t="s">
        <v>172</v>
      </c>
      <c r="S7" s="85">
        <v>-7814.3790849673205</v>
      </c>
      <c r="T7" s="81" t="s">
        <v>172</v>
      </c>
      <c r="U7" s="83">
        <v>7.1428571428571425E-2</v>
      </c>
      <c r="V7" s="81" t="s">
        <v>172</v>
      </c>
      <c r="W7" s="84">
        <v>0.27672209026128264</v>
      </c>
      <c r="X7" s="81" t="s">
        <v>126</v>
      </c>
      <c r="Y7" s="84">
        <v>0.23717521652231846</v>
      </c>
      <c r="Z7" s="81" t="s">
        <v>171</v>
      </c>
      <c r="AA7" s="84">
        <v>0.55555555555555558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171</v>
      </c>
      <c r="C8" s="80">
        <v>-28.099999999999977</v>
      </c>
      <c r="D8" s="81" t="s">
        <v>171</v>
      </c>
      <c r="E8" s="93">
        <v>-0.19246575342465738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0.29475308641975306</v>
      </c>
      <c r="N8" s="81" t="s">
        <v>274</v>
      </c>
      <c r="O8" s="84">
        <v>0.16949152542372881</v>
      </c>
      <c r="P8" s="81" t="s">
        <v>171</v>
      </c>
      <c r="Q8" s="85">
        <v>8336.3363363363369</v>
      </c>
      <c r="R8" s="81" t="s">
        <v>126</v>
      </c>
      <c r="S8" s="85">
        <v>-7820.3125</v>
      </c>
      <c r="T8" s="81" t="s">
        <v>161</v>
      </c>
      <c r="U8" s="83">
        <v>7.2289156626506021E-2</v>
      </c>
      <c r="V8" s="81" t="s">
        <v>203</v>
      </c>
      <c r="W8" s="84">
        <v>0.26666666666666666</v>
      </c>
      <c r="X8" s="81" t="s">
        <v>171</v>
      </c>
      <c r="Y8" s="84">
        <v>0.2326565143824027</v>
      </c>
      <c r="Z8" s="81" t="s">
        <v>141</v>
      </c>
      <c r="AA8" s="84">
        <v>0.55242966751918154</v>
      </c>
      <c r="AB8" s="81" t="s">
        <v>171</v>
      </c>
      <c r="AC8" s="84">
        <v>0.42545454545454547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127</v>
      </c>
      <c r="E9" s="93">
        <v>-0.29151515151515267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171</v>
      </c>
      <c r="M9" s="84">
        <v>0.28172588832487311</v>
      </c>
      <c r="N9" s="81" t="s">
        <v>170</v>
      </c>
      <c r="O9" s="84">
        <v>0.17359187442289936</v>
      </c>
      <c r="P9" s="81" t="s">
        <v>126</v>
      </c>
      <c r="Q9" s="85">
        <v>8208.59375</v>
      </c>
      <c r="R9" s="81" t="s">
        <v>280</v>
      </c>
      <c r="S9" s="85">
        <v>-7987.5</v>
      </c>
      <c r="T9" s="81" t="s">
        <v>141</v>
      </c>
      <c r="U9" s="83">
        <v>9.2473118279569888E-2</v>
      </c>
      <c r="V9" s="81" t="s">
        <v>126</v>
      </c>
      <c r="W9" s="84">
        <v>0.26382411725516325</v>
      </c>
      <c r="X9" s="81" t="s">
        <v>141</v>
      </c>
      <c r="Y9" s="84">
        <v>0.23251028806584362</v>
      </c>
      <c r="Z9" s="81" t="s">
        <v>170</v>
      </c>
      <c r="AA9" s="84">
        <v>0.55076923076923079</v>
      </c>
      <c r="AB9" s="81" t="s">
        <v>141</v>
      </c>
      <c r="AC9" s="84">
        <v>0.41980088495575218</v>
      </c>
      <c r="AD9" s="81" t="s">
        <v>141</v>
      </c>
      <c r="AE9" s="84">
        <v>0.44851657940663175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0.33939393939393941</v>
      </c>
      <c r="J10" s="81" t="s">
        <v>274</v>
      </c>
      <c r="K10" s="83">
        <v>0.38461538461538464</v>
      </c>
      <c r="L10" s="81" t="s">
        <v>161</v>
      </c>
      <c r="M10" s="84">
        <v>0.27755102040816326</v>
      </c>
      <c r="N10" s="81" t="s">
        <v>196</v>
      </c>
      <c r="O10" s="84">
        <v>0.17499999999999999</v>
      </c>
      <c r="P10" s="81" t="s">
        <v>197</v>
      </c>
      <c r="Q10" s="85">
        <v>8070.1492537313434</v>
      </c>
      <c r="R10" s="81" t="s">
        <v>170</v>
      </c>
      <c r="S10" s="85">
        <v>-7993.6170212765956</v>
      </c>
      <c r="T10" s="81" t="s">
        <v>127</v>
      </c>
      <c r="U10" s="83">
        <v>0.10909090909090909</v>
      </c>
      <c r="V10" s="81" t="s">
        <v>171</v>
      </c>
      <c r="W10" s="84">
        <v>0.25888324873096447</v>
      </c>
      <c r="X10" s="81" t="s">
        <v>197</v>
      </c>
      <c r="Y10" s="84">
        <v>0.22823984526112184</v>
      </c>
      <c r="Z10" s="81" t="s">
        <v>172</v>
      </c>
      <c r="AA10" s="84">
        <v>0.54077253218884125</v>
      </c>
      <c r="AB10" s="81" t="s">
        <v>161</v>
      </c>
      <c r="AC10" s="84">
        <v>0.41489361702127658</v>
      </c>
      <c r="AD10" s="81" t="s">
        <v>171</v>
      </c>
      <c r="AE10" s="84">
        <v>0.44744744744744747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127</v>
      </c>
      <c r="C11" s="80">
        <v>-48.100000000000193</v>
      </c>
      <c r="D11" s="81" t="s">
        <v>274</v>
      </c>
      <c r="E11" s="93">
        <v>-3.6615384615384619</v>
      </c>
      <c r="F11" s="81" t="s">
        <v>171</v>
      </c>
      <c r="G11" s="82">
        <v>2.0410958904109591</v>
      </c>
      <c r="H11" s="81" t="s">
        <v>141</v>
      </c>
      <c r="I11" s="83">
        <v>0.33333333333333331</v>
      </c>
      <c r="J11" s="81" t="s">
        <v>172</v>
      </c>
      <c r="K11" s="83">
        <v>0.39795918367346939</v>
      </c>
      <c r="L11" s="81" t="s">
        <v>170</v>
      </c>
      <c r="M11" s="84">
        <v>0.27331486611265005</v>
      </c>
      <c r="N11" s="81" t="s">
        <v>197</v>
      </c>
      <c r="O11" s="84">
        <v>0.17794970986460348</v>
      </c>
      <c r="P11" s="81" t="s">
        <v>127</v>
      </c>
      <c r="Q11" s="85">
        <v>8017.8823529411766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0.19121140142517815</v>
      </c>
      <c r="Z11" s="81" t="s">
        <v>228</v>
      </c>
      <c r="AA11" s="84">
        <v>0.53333333333333333</v>
      </c>
      <c r="AB11" s="81" t="s">
        <v>172</v>
      </c>
      <c r="AC11" s="84">
        <v>0.40993788819875776</v>
      </c>
      <c r="AD11" s="81" t="s">
        <v>161</v>
      </c>
      <c r="AE11" s="84">
        <v>0.4264705882352941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-6.0590361445783163</v>
      </c>
      <c r="F12" s="81" t="s">
        <v>161</v>
      </c>
      <c r="G12" s="82">
        <v>2.1325301204819276</v>
      </c>
      <c r="H12" s="81" t="s">
        <v>161</v>
      </c>
      <c r="I12" s="83">
        <v>0.30120481927710846</v>
      </c>
      <c r="J12" s="81" t="s">
        <v>196</v>
      </c>
      <c r="K12" s="83">
        <v>0.4</v>
      </c>
      <c r="L12" s="81" t="s">
        <v>172</v>
      </c>
      <c r="M12" s="84">
        <v>0.26959619952494063</v>
      </c>
      <c r="N12" s="81" t="s">
        <v>127</v>
      </c>
      <c r="O12" s="84">
        <v>0.17930029154518951</v>
      </c>
      <c r="P12" s="81" t="s">
        <v>172</v>
      </c>
      <c r="Q12" s="85">
        <v>7816.7400881057265</v>
      </c>
      <c r="R12" s="81" t="s">
        <v>127</v>
      </c>
      <c r="S12" s="85">
        <v>-8018.6991869918702</v>
      </c>
      <c r="T12" s="81" t="s">
        <v>170</v>
      </c>
      <c r="U12" s="83">
        <v>0.12030075187969924</v>
      </c>
      <c r="V12" s="81" t="s">
        <v>141</v>
      </c>
      <c r="W12" s="84">
        <v>0.25141460905349794</v>
      </c>
      <c r="X12" s="81" t="s">
        <v>170</v>
      </c>
      <c r="Y12" s="84">
        <v>0.18374884579870729</v>
      </c>
      <c r="Z12" s="81" t="s">
        <v>161</v>
      </c>
      <c r="AA12" s="84">
        <v>0.53271028037383172</v>
      </c>
      <c r="AB12" s="81" t="s">
        <v>127</v>
      </c>
      <c r="AC12" s="84">
        <v>0.37980769230769229</v>
      </c>
      <c r="AD12" s="81" t="s">
        <v>126</v>
      </c>
      <c r="AE12" s="84">
        <v>0.42578125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-7.1499999999999995</v>
      </c>
      <c r="F13" s="81" t="s">
        <v>228</v>
      </c>
      <c r="G13" s="82">
        <v>2.1428571428571428</v>
      </c>
      <c r="H13" s="81" t="s">
        <v>171</v>
      </c>
      <c r="I13" s="83">
        <v>0.25342465753424659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0.18171021377672208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0.52293577981651373</v>
      </c>
      <c r="AB13" s="81" t="s">
        <v>170</v>
      </c>
      <c r="AC13" s="84">
        <v>0.37688442211055279</v>
      </c>
      <c r="AD13" s="81" t="s">
        <v>127</v>
      </c>
      <c r="AE13" s="84">
        <v>0.41411764705882353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-502.90000000000026</v>
      </c>
      <c r="D14" s="81" t="s">
        <v>197</v>
      </c>
      <c r="E14" s="93">
        <v>-10.732258064516131</v>
      </c>
      <c r="F14" s="81" t="s">
        <v>172</v>
      </c>
      <c r="G14" s="82">
        <v>2.1836734693877551</v>
      </c>
      <c r="H14" s="81" t="s">
        <v>172</v>
      </c>
      <c r="I14" s="83">
        <v>0.21428571428571427</v>
      </c>
      <c r="J14" s="81" t="s">
        <v>161</v>
      </c>
      <c r="K14" s="83">
        <v>0.43373493975903615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0.2325072886297376</v>
      </c>
      <c r="X14" s="81" t="s">
        <v>196</v>
      </c>
      <c r="Y14" s="84">
        <v>0.15</v>
      </c>
      <c r="Z14" s="81" t="s">
        <v>127</v>
      </c>
      <c r="AA14" s="84">
        <v>0.51410658307210033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0.43548387096774194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7152.9411764705883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-700.69999999999993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0.14557823129251701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3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930</v>
      </c>
      <c r="C2" s="155"/>
      <c r="E2" s="58" t="s">
        <v>66</v>
      </c>
      <c r="F2" s="55" t="s">
        <v>22</v>
      </c>
      <c r="G2" s="43">
        <v>1729</v>
      </c>
      <c r="H2" s="128">
        <f>IF(B$15=0,0,G2/B$15)</f>
        <v>0.75436300174520066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-29.126213592233011</v>
      </c>
      <c r="P2" s="114">
        <v>927</v>
      </c>
      <c r="Q2" s="98">
        <v>-27000</v>
      </c>
    </row>
    <row r="3" spans="1:17" x14ac:dyDescent="0.45">
      <c r="A3" s="51" t="s">
        <v>8</v>
      </c>
      <c r="B3" s="156">
        <v>7776</v>
      </c>
      <c r="C3" s="157"/>
      <c r="E3" s="59" t="s">
        <v>72</v>
      </c>
      <c r="F3" s="56" t="s">
        <v>27</v>
      </c>
      <c r="G3" s="44">
        <v>1237</v>
      </c>
      <c r="H3" s="129">
        <f>IF(B$15=0,0,G3/B$15)</f>
        <v>0.53970331588132636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8.7431693989071047</v>
      </c>
      <c r="P3" s="115">
        <v>915</v>
      </c>
      <c r="Q3" s="99">
        <v>8000</v>
      </c>
    </row>
    <row r="4" spans="1:17" x14ac:dyDescent="0.45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1042</v>
      </c>
      <c r="H4" s="129">
        <f>IF(B$15=0,0,G4/B$15)</f>
        <v>0.45462478184991273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-2.3228803716608595</v>
      </c>
      <c r="P4" s="115">
        <v>861</v>
      </c>
      <c r="Q4" s="99">
        <v>-2000</v>
      </c>
    </row>
    <row r="5" spans="1:17" x14ac:dyDescent="0.45">
      <c r="A5" s="51" t="s">
        <v>7</v>
      </c>
      <c r="B5" s="160">
        <f>IF(B$2=0,0,B$4/B$2)</f>
        <v>-6.8762200234848408E-17</v>
      </c>
      <c r="C5" s="161"/>
      <c r="E5" s="59" t="s">
        <v>166</v>
      </c>
      <c r="F5" s="56" t="s">
        <v>167</v>
      </c>
      <c r="G5" s="44">
        <v>894</v>
      </c>
      <c r="H5" s="129">
        <f>IF(B$15=0,0,G5/B$15)</f>
        <v>0.3900523560209424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6.1728395061728394</v>
      </c>
      <c r="P5" s="115">
        <v>810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713</v>
      </c>
      <c r="H6" s="129">
        <f>IF(B$15=0,0,G6/B$15)</f>
        <v>0.3110820244328098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5.3547523427041499</v>
      </c>
      <c r="P6" s="115">
        <v>747</v>
      </c>
      <c r="Q6" s="99">
        <v>4000</v>
      </c>
    </row>
    <row r="7" spans="1:17" x14ac:dyDescent="0.45">
      <c r="A7" s="51" t="s">
        <v>2</v>
      </c>
      <c r="B7" s="44">
        <v>310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637</v>
      </c>
      <c r="H7" s="129">
        <f>IF(B$15=0,0,G7/B$15)</f>
        <v>0.27792321116928448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16.025641025641026</v>
      </c>
      <c r="P7" s="116">
        <v>624</v>
      </c>
      <c r="Q7" s="100">
        <v>10000</v>
      </c>
    </row>
    <row r="8" spans="1:17" x14ac:dyDescent="0.45">
      <c r="A8" s="51" t="s">
        <v>3</v>
      </c>
      <c r="B8" s="44">
        <v>310</v>
      </c>
      <c r="C8" s="37">
        <f t="shared" si="1"/>
        <v>0.33333333333333331</v>
      </c>
      <c r="E8" s="59" t="s">
        <v>69</v>
      </c>
      <c r="F8" s="56" t="s">
        <v>24</v>
      </c>
      <c r="G8" s="44">
        <v>327</v>
      </c>
      <c r="H8" s="129">
        <f>IF(B$15=0,0,G8/B$15)</f>
        <v>0.14267015706806283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310</v>
      </c>
      <c r="C9" s="38">
        <f t="shared" si="1"/>
        <v>0.33333333333333331</v>
      </c>
      <c r="E9" s="59" t="s">
        <v>89</v>
      </c>
      <c r="F9" s="56" t="s">
        <v>44</v>
      </c>
      <c r="G9" s="44">
        <v>315</v>
      </c>
      <c r="H9" s="129">
        <f>IF(B$15=0,0,G9/B$15)</f>
        <v>0.13743455497382198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86</v>
      </c>
      <c r="C10" s="40">
        <f t="shared" si="1"/>
        <v>9.2473118279569888E-2</v>
      </c>
      <c r="E10" s="59" t="s">
        <v>65</v>
      </c>
      <c r="F10" s="56" t="s">
        <v>21</v>
      </c>
      <c r="G10" s="44">
        <v>240</v>
      </c>
      <c r="H10" s="129">
        <f>IF(B$15=0,0,G10/B$15)</f>
        <v>0.10471204188481675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-3.8319354838709674</v>
      </c>
      <c r="P10" s="114">
        <v>310</v>
      </c>
      <c r="Q10" s="102">
        <v>-1187.8999999999999</v>
      </c>
    </row>
    <row r="11" spans="1:17" x14ac:dyDescent="0.45">
      <c r="A11" s="54" t="s">
        <v>121</v>
      </c>
      <c r="B11" s="47">
        <v>1955</v>
      </c>
      <c r="C11" s="42">
        <f>IF(B$3=0,0,B11/B$3)</f>
        <v>0.25141460905349794</v>
      </c>
      <c r="E11" s="59" t="s">
        <v>70</v>
      </c>
      <c r="F11" s="56" t="s">
        <v>25</v>
      </c>
      <c r="G11" s="44">
        <v>209</v>
      </c>
      <c r="H11" s="129">
        <f>IF(B$15=0,0,G11/B$15)</f>
        <v>9.1186736474694594E-2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0.75322580645161308</v>
      </c>
      <c r="P11" s="115">
        <v>310</v>
      </c>
      <c r="Q11" s="103">
        <v>233.50000000000006</v>
      </c>
    </row>
    <row r="12" spans="1:17" x14ac:dyDescent="0.45">
      <c r="A12" s="51" t="s">
        <v>118</v>
      </c>
      <c r="B12" s="44">
        <v>1808</v>
      </c>
      <c r="C12" s="37">
        <f>IF(B$3=0,0,B12/B$3)</f>
        <v>0.23251028806584362</v>
      </c>
      <c r="E12" s="59" t="s">
        <v>71</v>
      </c>
      <c r="F12" s="56" t="s">
        <v>26</v>
      </c>
      <c r="G12" s="44">
        <v>181</v>
      </c>
      <c r="H12" s="129">
        <f>IF(B$15=0,0,G12/B$15)</f>
        <v>7.8970331588132631E-2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3.0787096774193539</v>
      </c>
      <c r="P12" s="116">
        <v>310</v>
      </c>
      <c r="Q12" s="104">
        <v>954.39999999999964</v>
      </c>
    </row>
    <row r="13" spans="1:17" x14ac:dyDescent="0.45">
      <c r="A13" s="50" t="s">
        <v>123</v>
      </c>
      <c r="B13" s="43">
        <f>B19</f>
        <v>1080</v>
      </c>
      <c r="C13" s="35">
        <f>IF(B$11=0,0,B13/B$11)</f>
        <v>0.55242966751918154</v>
      </c>
      <c r="E13" s="59" t="s">
        <v>83</v>
      </c>
      <c r="F13" s="56" t="s">
        <v>38</v>
      </c>
      <c r="G13" s="44">
        <v>114</v>
      </c>
      <c r="H13" s="129">
        <f>IF(B$15=0,0,G13/B$15)</f>
        <v>4.9738219895287955E-2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759</v>
      </c>
      <c r="C14" s="35">
        <f>IF(B$12=0,0,B14/B$12)</f>
        <v>0.41980088495575218</v>
      </c>
      <c r="E14" s="59" t="s">
        <v>86</v>
      </c>
      <c r="F14" s="56" t="s">
        <v>41</v>
      </c>
      <c r="G14" s="44">
        <v>114</v>
      </c>
      <c r="H14" s="129">
        <f>IF(B$15=0,0,G14/B$15)</f>
        <v>4.9738219895287955E-2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2292</v>
      </c>
      <c r="C15" s="35">
        <f>IF(B$3=0,0,B15/B$3)</f>
        <v>0.29475308641975306</v>
      </c>
      <c r="E15" s="59" t="s">
        <v>78</v>
      </c>
      <c r="F15" s="56" t="s">
        <v>33</v>
      </c>
      <c r="G15" s="44">
        <v>65</v>
      </c>
      <c r="H15" s="129">
        <f>IF(B$15=0,0,G15/B$15)</f>
        <v>2.8359511343804537E-2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1252</v>
      </c>
      <c r="C16" s="37">
        <f>IF(B$3=0,0,B16/B$3)</f>
        <v>0.1610082304526749</v>
      </c>
      <c r="E16" s="59" t="s">
        <v>162</v>
      </c>
      <c r="F16" s="56" t="s">
        <v>163</v>
      </c>
      <c r="G16" s="44">
        <v>49</v>
      </c>
      <c r="H16" s="129">
        <f>IF(B$15=0,0,G16/B$15)</f>
        <v>2.1378708551483421E-2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1028</v>
      </c>
      <c r="C17" s="37">
        <f>IF(B$15=0,0,B17/B$15)</f>
        <v>0.44851657940663175</v>
      </c>
      <c r="E17" s="59" t="s">
        <v>81</v>
      </c>
      <c r="F17" s="56" t="s">
        <v>36</v>
      </c>
      <c r="G17" s="44">
        <v>48</v>
      </c>
      <c r="H17" s="129">
        <f>IF(B$15=0,0,G17/B$15)</f>
        <v>2.0942408376963352E-2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1264</v>
      </c>
      <c r="C18" s="37">
        <f>IF(B$15=0,0,B18/B$15)</f>
        <v>0.55148342059336819</v>
      </c>
      <c r="E18" s="59" t="s">
        <v>91</v>
      </c>
      <c r="F18" s="56" t="s">
        <v>46</v>
      </c>
      <c r="G18" s="44">
        <v>35</v>
      </c>
      <c r="H18" s="129">
        <f>IF(B$15=0,0,G18/B$15)</f>
        <v>1.5270506108202443E-2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10.724999999999994</v>
      </c>
      <c r="P18" s="115">
        <v>196</v>
      </c>
      <c r="Q18" s="103">
        <v>2102.099999999999</v>
      </c>
    </row>
    <row r="19" spans="1:17" x14ac:dyDescent="0.45">
      <c r="A19" s="51" t="s">
        <v>195</v>
      </c>
      <c r="B19" s="44">
        <v>1080</v>
      </c>
      <c r="C19" s="37">
        <f>IF(B$15=0,0,B19/B$15)</f>
        <v>0.47120418848167539</v>
      </c>
      <c r="E19" s="59" t="s">
        <v>79</v>
      </c>
      <c r="F19" s="56" t="s">
        <v>34</v>
      </c>
      <c r="G19" s="44">
        <v>32</v>
      </c>
      <c r="H19" s="129">
        <f>IF(B$15=0,0,G19/B$15)</f>
        <v>1.3961605584642234E-2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6.5340659340659268</v>
      </c>
      <c r="P19" s="115">
        <v>182</v>
      </c>
      <c r="Q19" s="103">
        <v>1189.1999999999987</v>
      </c>
    </row>
    <row r="20" spans="1:17" x14ac:dyDescent="0.45">
      <c r="A20" s="51" t="s">
        <v>193</v>
      </c>
      <c r="B20" s="44">
        <v>759</v>
      </c>
      <c r="C20" s="37">
        <f>IF(B$15=0,0,B20/B$15)</f>
        <v>0.33115183246073299</v>
      </c>
      <c r="E20" s="59" t="s">
        <v>75</v>
      </c>
      <c r="F20" s="56" t="s">
        <v>30</v>
      </c>
      <c r="G20" s="44">
        <v>18</v>
      </c>
      <c r="H20" s="129">
        <f>IF(B$15=0,0,G20/B$15)</f>
        <v>7.8534031413612562E-3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453</v>
      </c>
      <c r="C21" s="37">
        <f>IF(B$15=0,0,B21/B$15)</f>
        <v>0.19764397905759162</v>
      </c>
      <c r="E21" s="59" t="s">
        <v>92</v>
      </c>
      <c r="F21" s="56" t="s">
        <v>47</v>
      </c>
      <c r="G21" s="44">
        <v>16</v>
      </c>
      <c r="H21" s="129">
        <f>IF(B$15=0,0,G21/B$15)</f>
        <v>6.9808027923211171E-3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8385.6020942408377</v>
      </c>
      <c r="C22" s="39">
        <v>19219800</v>
      </c>
      <c r="E22" s="59" t="s">
        <v>85</v>
      </c>
      <c r="F22" s="56" t="s">
        <v>40</v>
      </c>
      <c r="G22" s="44">
        <v>13</v>
      </c>
      <c r="H22" s="129">
        <f>IF(B$15=0,0,G22/B$15)</f>
        <v>5.6719022687609071E-3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>IF(P22=0,0,Q22/P22)</f>
        <v>0.4372727272727237</v>
      </c>
      <c r="P22" s="115">
        <v>330</v>
      </c>
      <c r="Q22" s="103">
        <v>144.29999999999882</v>
      </c>
    </row>
    <row r="23" spans="1:17" x14ac:dyDescent="0.45">
      <c r="A23" s="52" t="s">
        <v>177</v>
      </c>
      <c r="B23" s="136">
        <f>IF($B$15-B$14=0,0,C23/($B$15-B$14))</f>
        <v>9061.0567514677095</v>
      </c>
      <c r="C23" s="137">
        <v>13890600</v>
      </c>
      <c r="E23" s="59" t="s">
        <v>73</v>
      </c>
      <c r="F23" s="56" t="s">
        <v>28</v>
      </c>
      <c r="G23" s="44">
        <v>8</v>
      </c>
      <c r="H23" s="129">
        <f>IF(B$15=0,0,G23/B$15)</f>
        <v>3.4904013961605585E-3</v>
      </c>
      <c r="I23" s="90">
        <v>3</v>
      </c>
      <c r="K23" s="36">
        <v>21</v>
      </c>
      <c r="L23" s="95">
        <v>7.1054273576010019E-15</v>
      </c>
      <c r="N23" s="111" t="s">
        <v>171</v>
      </c>
      <c r="O23" s="121">
        <f>IF(P23=0,0,Q23/P23)</f>
        <v>0.28869863013698649</v>
      </c>
      <c r="P23" s="115">
        <v>292</v>
      </c>
      <c r="Q23" s="103">
        <v>84.300000000000054</v>
      </c>
    </row>
    <row r="24" spans="1:17" x14ac:dyDescent="0.45">
      <c r="A24" s="52" t="s">
        <v>178</v>
      </c>
      <c r="B24" s="136">
        <f>IF(B$14=0,0,C24/B$14)</f>
        <v>7021.343873517787</v>
      </c>
      <c r="C24" s="137">
        <v>5329200</v>
      </c>
      <c r="E24" s="59" t="s">
        <v>74</v>
      </c>
      <c r="F24" s="56" t="s">
        <v>29</v>
      </c>
      <c r="G24" s="44">
        <v>8</v>
      </c>
      <c r="H24" s="129">
        <f>IF(B$15=0,0,G24/B$15)</f>
        <v>3.4904013961605585E-3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-5.7845864661654067</v>
      </c>
      <c r="P24" s="115">
        <v>266</v>
      </c>
      <c r="Q24" s="103">
        <v>-1538.6999999999982</v>
      </c>
    </row>
    <row r="25" spans="1:17" x14ac:dyDescent="0.45">
      <c r="A25" s="52" t="s">
        <v>176</v>
      </c>
      <c r="B25" s="136">
        <f>IF(B$16=0,0,C25/B$16)</f>
        <v>-7795.766773162939</v>
      </c>
      <c r="C25" s="137">
        <v>-9760300</v>
      </c>
      <c r="E25" s="59" t="s">
        <v>84</v>
      </c>
      <c r="F25" s="56" t="s">
        <v>39</v>
      </c>
      <c r="G25" s="44">
        <v>7</v>
      </c>
      <c r="H25" s="129">
        <f>IF(B$15=0,0,G25/B$15)</f>
        <v>3.0541012216404886E-3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-12.938524590163937</v>
      </c>
      <c r="P25" s="115">
        <v>366</v>
      </c>
      <c r="Q25" s="103">
        <v>-4735.5000000000009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2.617801047120419E-3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87</v>
      </c>
      <c r="F27" s="56" t="s">
        <v>42</v>
      </c>
      <c r="G27" s="44">
        <v>5</v>
      </c>
      <c r="H27" s="129">
        <f>IF(B$15=0,0,G27/B$15)</f>
        <v>2.181500872600349E-3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88</v>
      </c>
      <c r="F28" s="56" t="s">
        <v>43</v>
      </c>
      <c r="G28" s="44">
        <v>5</v>
      </c>
      <c r="H28" s="129">
        <f>IF(B$15=0,0,G28/B$15)</f>
        <v>2.181500872600349E-3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1.7452006980802793E-3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21</v>
      </c>
      <c r="C30" s="40">
        <f>IF(B$3=0,0,B30/B$3)</f>
        <v>2.7006172839506171E-3</v>
      </c>
      <c r="E30" s="59" t="s">
        <v>93</v>
      </c>
      <c r="F30" s="56" t="s">
        <v>48</v>
      </c>
      <c r="G30" s="44">
        <v>4</v>
      </c>
      <c r="H30" s="129">
        <f>IF(B$15=0,0,G30/B$15)</f>
        <v>1.7452006980802793E-3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1.7452006980802793E-3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179</v>
      </c>
      <c r="C32" s="141">
        <f>IF(B$15=0,0,B32/B$15)</f>
        <v>7.8097731239092499E-2</v>
      </c>
      <c r="E32" s="59" t="s">
        <v>97</v>
      </c>
      <c r="F32" s="56" t="s">
        <v>52</v>
      </c>
      <c r="G32" s="44">
        <v>1</v>
      </c>
      <c r="H32" s="129">
        <f>IF(B$15=0,0,G32/B$15)</f>
        <v>4.3630017452006982E-4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393</v>
      </c>
      <c r="C33" s="37">
        <f t="shared" ref="C33:C44" si="2">IF(B$15=0,0,B33/B$15)</f>
        <v>0.17146596858638743</v>
      </c>
      <c r="E33" s="59" t="s">
        <v>101</v>
      </c>
      <c r="F33" s="56" t="s">
        <v>56</v>
      </c>
      <c r="G33" s="44">
        <v>1</v>
      </c>
      <c r="H33" s="129">
        <f>IF(B$15=0,0,G33/B$15)</f>
        <v>4.3630017452006982E-4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445</v>
      </c>
      <c r="C34" s="37">
        <f>IF(B$15=0,0,B34/B$15)</f>
        <v>0.19415357766143107</v>
      </c>
      <c r="E34" s="59" t="s">
        <v>106</v>
      </c>
      <c r="F34" s="56" t="s">
        <v>113</v>
      </c>
      <c r="G34" s="44">
        <v>1</v>
      </c>
      <c r="H34" s="129">
        <f>IF(B$15=0,0,G34/B$15)</f>
        <v>4.3630017452006982E-4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405</v>
      </c>
      <c r="C35" s="37">
        <f t="shared" si="2"/>
        <v>0.17670157068062828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361</v>
      </c>
      <c r="C36" s="37">
        <f t="shared" si="2"/>
        <v>0.1575043630017452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245</v>
      </c>
      <c r="C37" s="37">
        <f t="shared" si="2"/>
        <v>0.10689354275741711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120</v>
      </c>
      <c r="C38" s="37">
        <f t="shared" si="2"/>
        <v>5.2356020942408377E-2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65</v>
      </c>
      <c r="C39" s="37">
        <f t="shared" si="2"/>
        <v>2.8359511343804537E-2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29</v>
      </c>
      <c r="C40" s="37">
        <f t="shared" si="2"/>
        <v>1.2652705061082025E-2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4.3630017452006981E-3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2.617801047120419E-3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2.617801047120419E-3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28</v>
      </c>
      <c r="C44" s="40">
        <f t="shared" si="2"/>
        <v>1.2216404886561954E-2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83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0.70588235294117652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1865.0602409638554</v>
      </c>
      <c r="P2" s="114">
        <v>83</v>
      </c>
      <c r="Q2" s="98">
        <v>154800</v>
      </c>
    </row>
    <row r="3" spans="1:17" x14ac:dyDescent="0.45">
      <c r="A3" s="51" t="s">
        <v>8</v>
      </c>
      <c r="B3" s="156">
        <v>735</v>
      </c>
      <c r="C3" s="157"/>
      <c r="E3" s="59" t="s">
        <v>72</v>
      </c>
      <c r="F3" s="56" t="s">
        <v>27</v>
      </c>
      <c r="G3" s="44">
        <v>115</v>
      </c>
      <c r="H3" s="129">
        <f>IF(B$15=0,0,G3/B$15)</f>
        <v>0.56372549019607843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-2048.7804878048782</v>
      </c>
      <c r="P3" s="115">
        <v>82</v>
      </c>
      <c r="Q3" s="99">
        <v>-168000</v>
      </c>
    </row>
    <row r="4" spans="1:17" x14ac:dyDescent="0.45">
      <c r="A4" s="51" t="s">
        <v>6</v>
      </c>
      <c r="B4" s="158">
        <v>-502.90000000000026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0.35294117647058826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-1624.0506329113923</v>
      </c>
      <c r="P4" s="115">
        <v>79</v>
      </c>
      <c r="Q4" s="99">
        <v>-128300</v>
      </c>
    </row>
    <row r="5" spans="1:17" x14ac:dyDescent="0.45">
      <c r="A5" s="51" t="s">
        <v>7</v>
      </c>
      <c r="B5" s="160">
        <f>IF(B$2=0,0,B$4/B$2)</f>
        <v>-6.0590361445783163</v>
      </c>
      <c r="C5" s="161"/>
      <c r="E5" s="59" t="s">
        <v>64</v>
      </c>
      <c r="F5" s="56" t="s">
        <v>20</v>
      </c>
      <c r="G5" s="44">
        <v>56</v>
      </c>
      <c r="H5" s="129">
        <f>IF(B$15=0,0,G5/B$15)</f>
        <v>0.27450980392156865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-1074.3243243243244</v>
      </c>
      <c r="P5" s="115">
        <v>74</v>
      </c>
      <c r="Q5" s="99">
        <v>-79500</v>
      </c>
    </row>
    <row r="6" spans="1:17" x14ac:dyDescent="0.45">
      <c r="A6" s="51" t="s">
        <v>1</v>
      </c>
      <c r="B6" s="150">
        <f>IF(B$2=0,0,(B$7*1+B$8*2+B$9*3)/B$2)</f>
        <v>2.1325301204819276</v>
      </c>
      <c r="C6" s="151"/>
      <c r="E6" s="59" t="s">
        <v>68</v>
      </c>
      <c r="F6" s="56" t="s">
        <v>12</v>
      </c>
      <c r="G6" s="44">
        <v>54</v>
      </c>
      <c r="H6" s="129">
        <f>IF(B$15=0,0,G6/B$15)</f>
        <v>0.26470588235294118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-58.333333333333336</v>
      </c>
      <c r="P6" s="115">
        <v>72</v>
      </c>
      <c r="Q6" s="99">
        <v>-4200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0.30120481927710846</v>
      </c>
      <c r="E7" s="59" t="s">
        <v>67</v>
      </c>
      <c r="F7" s="56" t="s">
        <v>23</v>
      </c>
      <c r="G7" s="44">
        <v>36</v>
      </c>
      <c r="H7" s="129">
        <f>IF(B$15=0,0,G7/B$15)</f>
        <v>0.17647058823529413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-2103.2258064516127</v>
      </c>
      <c r="P7" s="116">
        <v>62</v>
      </c>
      <c r="Q7" s="100">
        <v>-130400</v>
      </c>
    </row>
    <row r="8" spans="1:17" x14ac:dyDescent="0.45">
      <c r="A8" s="51" t="s">
        <v>3</v>
      </c>
      <c r="B8" s="44">
        <v>22</v>
      </c>
      <c r="C8" s="37">
        <f t="shared" si="1"/>
        <v>0.26506024096385544</v>
      </c>
      <c r="E8" s="59" t="s">
        <v>69</v>
      </c>
      <c r="F8" s="56" t="s">
        <v>24</v>
      </c>
      <c r="G8" s="44">
        <v>34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0.43373493975903615</v>
      </c>
      <c r="E9" s="59" t="s">
        <v>71</v>
      </c>
      <c r="F9" s="56" t="s">
        <v>26</v>
      </c>
      <c r="G9" s="44">
        <v>25</v>
      </c>
      <c r="H9" s="129">
        <f>IF(B$15=0,0,G9/B$15)</f>
        <v>0.12254901960784313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7.2289156626506021E-2</v>
      </c>
      <c r="E10" s="59" t="s">
        <v>70</v>
      </c>
      <c r="F10" s="56" t="s">
        <v>25</v>
      </c>
      <c r="G10" s="44">
        <v>23</v>
      </c>
      <c r="H10" s="129">
        <f>IF(B$15=0,0,G10/B$15)</f>
        <v>0.11274509803921569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-11.299999999999999</v>
      </c>
      <c r="P10" s="114">
        <v>28</v>
      </c>
      <c r="Q10" s="102">
        <v>-316.39999999999998</v>
      </c>
    </row>
    <row r="11" spans="1:17" x14ac:dyDescent="0.45">
      <c r="A11" s="54" t="s">
        <v>121</v>
      </c>
      <c r="B11" s="47">
        <v>107</v>
      </c>
      <c r="C11" s="42">
        <f>IF(B$3=0,0,B11/B$3)</f>
        <v>0.14557823129251701</v>
      </c>
      <c r="E11" s="59" t="s">
        <v>83</v>
      </c>
      <c r="F11" s="56" t="s">
        <v>38</v>
      </c>
      <c r="G11" s="44">
        <v>18</v>
      </c>
      <c r="H11" s="129">
        <f>IF(B$15=0,0,G11/B$15)</f>
        <v>8.8235294117647065E-2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-6.5807692307692305</v>
      </c>
      <c r="P11" s="115">
        <v>26</v>
      </c>
      <c r="Q11" s="103">
        <v>-171.1</v>
      </c>
    </row>
    <row r="12" spans="1:17" x14ac:dyDescent="0.45">
      <c r="A12" s="51" t="s">
        <v>118</v>
      </c>
      <c r="B12" s="44">
        <v>188</v>
      </c>
      <c r="C12" s="37">
        <f>IF(B$3=0,0,B12/B$3)</f>
        <v>0.25578231292517006</v>
      </c>
      <c r="E12" s="59" t="s">
        <v>89</v>
      </c>
      <c r="F12" s="56" t="s">
        <v>44</v>
      </c>
      <c r="G12" s="44">
        <v>14</v>
      </c>
      <c r="H12" s="129">
        <f>IF(B$15=0,0,G12/B$15)</f>
        <v>6.8627450980392163E-2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0.53271028037383172</v>
      </c>
      <c r="E13" s="59" t="s">
        <v>65</v>
      </c>
      <c r="F13" s="56" t="s">
        <v>21</v>
      </c>
      <c r="G13" s="44">
        <v>13</v>
      </c>
      <c r="H13" s="129">
        <f>IF(B$15=0,0,G13/B$15)</f>
        <v>6.3725490196078427E-2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</v>
      </c>
      <c r="C14" s="35">
        <f>IF(B$12=0,0,B14/B$12)</f>
        <v>0.41489361702127658</v>
      </c>
      <c r="E14" s="59" t="s">
        <v>81</v>
      </c>
      <c r="F14" s="56" t="s">
        <v>36</v>
      </c>
      <c r="G14" s="44">
        <v>9</v>
      </c>
      <c r="H14" s="129">
        <f>IF(B$15=0,0,G14/B$15)</f>
        <v>4.4117647058823532E-2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204</v>
      </c>
      <c r="C15" s="35">
        <f>IF(B$3=0,0,B15/B$3)</f>
        <v>0.27755102040816326</v>
      </c>
      <c r="E15" s="59" t="s">
        <v>86</v>
      </c>
      <c r="F15" s="56" t="s">
        <v>41</v>
      </c>
      <c r="G15" s="44">
        <v>7</v>
      </c>
      <c r="H15" s="129">
        <f>IF(B$15=0,0,G15/B$15)</f>
        <v>3.4313725490196081E-2</v>
      </c>
      <c r="I15" s="90">
        <v>9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118</v>
      </c>
      <c r="C16" s="37">
        <f>IF(B$3=0,0,B16/B$3)</f>
        <v>0.16054421768707483</v>
      </c>
      <c r="E16" s="59" t="s">
        <v>79</v>
      </c>
      <c r="F16" s="56" t="s">
        <v>34</v>
      </c>
      <c r="G16" s="44">
        <v>5</v>
      </c>
      <c r="H16" s="129">
        <f>IF(B$15=0,0,G16/B$15)</f>
        <v>2.4509803921568627E-2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87</v>
      </c>
      <c r="C17" s="37">
        <f>IF(B$15=0,0,B17/B$15)</f>
        <v>0.4264705882352941</v>
      </c>
      <c r="E17" s="59" t="s">
        <v>91</v>
      </c>
      <c r="F17" s="56" t="s">
        <v>46</v>
      </c>
      <c r="G17" s="44">
        <v>4</v>
      </c>
      <c r="H17" s="129">
        <f>IF(B$15=0,0,G17/B$15)</f>
        <v>1.9607843137254902E-2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-0.73448275862068968</v>
      </c>
      <c r="P17" s="115">
        <v>29</v>
      </c>
      <c r="Q17" s="103">
        <v>-21.3</v>
      </c>
    </row>
    <row r="18" spans="1:17" x14ac:dyDescent="0.45">
      <c r="A18" s="51" t="s">
        <v>11</v>
      </c>
      <c r="B18" s="44">
        <v>117</v>
      </c>
      <c r="C18" s="37">
        <f>IF(B$15=0,0,B18/B$15)</f>
        <v>0.57352941176470584</v>
      </c>
      <c r="E18" s="59" t="s">
        <v>74</v>
      </c>
      <c r="F18" s="56" t="s">
        <v>29</v>
      </c>
      <c r="G18" s="44">
        <v>2</v>
      </c>
      <c r="H18" s="129">
        <f>IF(B$15=0,0,G18/B$15)</f>
        <v>9.8039215686274508E-3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57</v>
      </c>
      <c r="C19" s="37">
        <f>IF(B$15=0,0,B19/B$15)</f>
        <v>0.27941176470588236</v>
      </c>
      <c r="E19" s="59" t="s">
        <v>75</v>
      </c>
      <c r="F19" s="56" t="s">
        <v>30</v>
      </c>
      <c r="G19" s="44">
        <v>2</v>
      </c>
      <c r="H19" s="129">
        <f>IF(B$15=0,0,G19/B$15)</f>
        <v>9.8039215686274508E-3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-8.0515151515151526</v>
      </c>
      <c r="P19" s="115">
        <v>33</v>
      </c>
      <c r="Q19" s="103">
        <v>-265.70000000000005</v>
      </c>
    </row>
    <row r="20" spans="1:17" x14ac:dyDescent="0.45">
      <c r="A20" s="51" t="s">
        <v>193</v>
      </c>
      <c r="B20" s="44">
        <v>78</v>
      </c>
      <c r="C20" s="37">
        <f>IF(B$15=0,0,B20/B$15)</f>
        <v>0.38235294117647056</v>
      </c>
      <c r="E20" s="59" t="s">
        <v>78</v>
      </c>
      <c r="F20" s="56" t="s">
        <v>33</v>
      </c>
      <c r="G20" s="44">
        <v>2</v>
      </c>
      <c r="H20" s="129">
        <f>IF(B$15=0,0,G20/B$15)</f>
        <v>9.8039215686274508E-3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-11.944736842105266</v>
      </c>
      <c r="P20" s="115">
        <v>38</v>
      </c>
      <c r="Q20" s="103">
        <v>-453.90000000000015</v>
      </c>
    </row>
    <row r="21" spans="1:17" x14ac:dyDescent="0.45">
      <c r="A21" s="51" t="s">
        <v>194</v>
      </c>
      <c r="B21" s="44">
        <v>69</v>
      </c>
      <c r="C21" s="37">
        <f>IF(B$15=0,0,B21/B$15)</f>
        <v>0.33823529411764708</v>
      </c>
      <c r="E21" s="59" t="s">
        <v>88</v>
      </c>
      <c r="F21" s="56" t="s">
        <v>43</v>
      </c>
      <c r="G21" s="44">
        <v>2</v>
      </c>
      <c r="H21" s="129">
        <f>IF(B$15=0,0,G21/B$15)</f>
        <v>9.8039215686274508E-3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7152.9411764705883</v>
      </c>
      <c r="C22" s="39">
        <v>1459200</v>
      </c>
      <c r="E22" s="59" t="s">
        <v>93</v>
      </c>
      <c r="F22" s="56" t="s">
        <v>48</v>
      </c>
      <c r="G22" s="44">
        <v>2</v>
      </c>
      <c r="H22" s="129">
        <f>IF(B$15=0,0,G22/B$15)</f>
        <v>9.8039215686274508E-3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-26.930769230769229</v>
      </c>
      <c r="P22" s="115">
        <v>26</v>
      </c>
      <c r="Q22" s="103">
        <v>-700.19999999999993</v>
      </c>
    </row>
    <row r="23" spans="1:17" x14ac:dyDescent="0.45">
      <c r="A23" s="52" t="s">
        <v>177</v>
      </c>
      <c r="B23" s="136">
        <f>IF($B$15-B$14=0,0,C23/($B$15-B$14))</f>
        <v>7666.666666666667</v>
      </c>
      <c r="C23" s="137">
        <v>966000</v>
      </c>
      <c r="E23" s="59" t="s">
        <v>77</v>
      </c>
      <c r="F23" s="56" t="s">
        <v>32</v>
      </c>
      <c r="G23" s="44">
        <v>1</v>
      </c>
      <c r="H23" s="129">
        <f>IF(B$15=0,0,G23/B$15)</f>
        <v>4.9019607843137254E-3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6323.0769230769229</v>
      </c>
      <c r="C24" s="137">
        <v>493200</v>
      </c>
      <c r="E24" s="59" t="s">
        <v>84</v>
      </c>
      <c r="F24" s="56" t="s">
        <v>39</v>
      </c>
      <c r="G24" s="44">
        <v>1</v>
      </c>
      <c r="H24" s="129">
        <f>IF(B$15=0,0,G24/B$15)</f>
        <v>4.9019607843137254E-3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-7683.0508474576272</v>
      </c>
      <c r="C25" s="137">
        <v>-906600</v>
      </c>
      <c r="E25" s="59" t="s">
        <v>87</v>
      </c>
      <c r="F25" s="56" t="s">
        <v>42</v>
      </c>
      <c r="G25" s="44">
        <v>1</v>
      </c>
      <c r="H25" s="129">
        <f>IF(B$15=0,0,G25/B$15)</f>
        <v>4.9019607843137254E-3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2.7210884353741495E-3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0.13235294117647059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41</v>
      </c>
      <c r="C33" s="37">
        <f t="shared" ref="C33:C44" si="3">IF(B$15=0,0,B33/B$15)</f>
        <v>0.20098039215686275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0.2107843137254902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34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0.10784313725490197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5.3921568627450983E-2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2.9411764705882353E-2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4.9019607843137254E-3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9.8039215686274508E-3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</sheetData>
  <sortState xmlns:xlrd2="http://schemas.microsoft.com/office/spreadsheetml/2017/richdata2" ref="E2:I8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8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183</v>
      </c>
      <c r="C2" s="155"/>
      <c r="E2" s="58" t="s">
        <v>66</v>
      </c>
      <c r="F2" s="55" t="s">
        <v>22</v>
      </c>
      <c r="G2" s="43">
        <v>352</v>
      </c>
      <c r="H2" s="128">
        <f>IF(B$15=0,0,G2/B$15)</f>
        <v>0.6875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1149.4505494505495</v>
      </c>
      <c r="P2" s="114">
        <v>182</v>
      </c>
      <c r="Q2" s="98">
        <v>209200</v>
      </c>
    </row>
    <row r="3" spans="1:17" x14ac:dyDescent="0.45">
      <c r="A3" s="51" t="s">
        <v>8</v>
      </c>
      <c r="B3" s="156">
        <v>1501</v>
      </c>
      <c r="C3" s="157"/>
      <c r="E3" s="59" t="s">
        <v>72</v>
      </c>
      <c r="F3" s="56" t="s">
        <v>27</v>
      </c>
      <c r="G3" s="44">
        <v>271</v>
      </c>
      <c r="H3" s="129">
        <f>IF(B$15=0,0,G3/B$15)</f>
        <v>0.529296875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1212.8491620111731</v>
      </c>
      <c r="P3" s="115">
        <v>179</v>
      </c>
      <c r="Q3" s="99">
        <v>217100</v>
      </c>
    </row>
    <row r="4" spans="1:17" x14ac:dyDescent="0.45">
      <c r="A4" s="51" t="s">
        <v>6</v>
      </c>
      <c r="B4" s="158">
        <v>1578.4999999999998</v>
      </c>
      <c r="C4" s="159"/>
      <c r="E4" s="59" t="s">
        <v>64</v>
      </c>
      <c r="F4" s="56" t="s">
        <v>20</v>
      </c>
      <c r="G4" s="44">
        <v>220</v>
      </c>
      <c r="H4" s="129">
        <f>IF(B$15=0,0,G4/B$15)</f>
        <v>0.4296875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945.34883720930236</v>
      </c>
      <c r="P4" s="115">
        <v>172</v>
      </c>
      <c r="Q4" s="99">
        <v>162600</v>
      </c>
    </row>
    <row r="5" spans="1:17" x14ac:dyDescent="0.45">
      <c r="A5" s="51" t="s">
        <v>7</v>
      </c>
      <c r="B5" s="160">
        <f>IF(B$2=0,0,B$4/B$2)</f>
        <v>8.6256830601092886</v>
      </c>
      <c r="C5" s="161"/>
      <c r="E5" s="59" t="s">
        <v>166</v>
      </c>
      <c r="F5" s="56" t="s">
        <v>167</v>
      </c>
      <c r="G5" s="44">
        <v>199</v>
      </c>
      <c r="H5" s="129">
        <f>IF(B$15=0,0,G5/B$15)</f>
        <v>0.388671875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238.75</v>
      </c>
      <c r="P5" s="115">
        <v>160</v>
      </c>
      <c r="Q5" s="99">
        <v>38200</v>
      </c>
    </row>
    <row r="6" spans="1:17" x14ac:dyDescent="0.45">
      <c r="A6" s="51" t="s">
        <v>1</v>
      </c>
      <c r="B6" s="150">
        <f>IF(B$2=0,0,(B$7*1+B$8*2+B$9*3)/B$2)</f>
        <v>1.7868852459016393</v>
      </c>
      <c r="C6" s="151"/>
      <c r="E6" s="59" t="s">
        <v>68</v>
      </c>
      <c r="F6" s="56" t="s">
        <v>12</v>
      </c>
      <c r="G6" s="44">
        <v>143</v>
      </c>
      <c r="H6" s="129">
        <f>IF(B$15=0,0,G6/B$15)</f>
        <v>0.279296875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1744.9664429530201</v>
      </c>
      <c r="P6" s="115">
        <v>149</v>
      </c>
      <c r="Q6" s="99">
        <v>260000</v>
      </c>
    </row>
    <row r="7" spans="1:17" x14ac:dyDescent="0.45">
      <c r="A7" s="51" t="s">
        <v>2</v>
      </c>
      <c r="B7" s="44">
        <v>84</v>
      </c>
      <c r="C7" s="37">
        <f t="shared" ref="C7:C10" si="1">IF(B$2=0,0,B7/B$2)</f>
        <v>0.45901639344262296</v>
      </c>
      <c r="E7" s="59" t="s">
        <v>67</v>
      </c>
      <c r="F7" s="56" t="s">
        <v>23</v>
      </c>
      <c r="G7" s="44">
        <v>121</v>
      </c>
      <c r="H7" s="129">
        <f>IF(B$15=0,0,G7/B$15)</f>
        <v>0.236328125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2037.3983739837399</v>
      </c>
      <c r="P7" s="116">
        <v>123</v>
      </c>
      <c r="Q7" s="100">
        <v>250600</v>
      </c>
    </row>
    <row r="8" spans="1:17" x14ac:dyDescent="0.45">
      <c r="A8" s="51" t="s">
        <v>3</v>
      </c>
      <c r="B8" s="44">
        <v>54</v>
      </c>
      <c r="C8" s="37">
        <f t="shared" si="1"/>
        <v>0.29508196721311475</v>
      </c>
      <c r="E8" s="59" t="s">
        <v>89</v>
      </c>
      <c r="F8" s="56" t="s">
        <v>44</v>
      </c>
      <c r="G8" s="44">
        <v>75</v>
      </c>
      <c r="H8" s="129">
        <f>IF(B$15=0,0,G8/B$15)</f>
        <v>0.146484375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0.24590163934426229</v>
      </c>
      <c r="E9" s="59" t="s">
        <v>69</v>
      </c>
      <c r="F9" s="56" t="s">
        <v>24</v>
      </c>
      <c r="G9" s="44">
        <v>65</v>
      </c>
      <c r="H9" s="129">
        <f>IF(B$15=0,0,G9/B$15)</f>
        <v>0.126953125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4.3715846994535519E-2</v>
      </c>
      <c r="E10" s="59" t="s">
        <v>65</v>
      </c>
      <c r="F10" s="56" t="s">
        <v>21</v>
      </c>
      <c r="G10" s="44">
        <v>57</v>
      </c>
      <c r="H10" s="129">
        <f>IF(B$15=0,0,G10/B$15)</f>
        <v>0.111328125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11.56296296296296</v>
      </c>
      <c r="P10" s="114">
        <v>54</v>
      </c>
      <c r="Q10" s="102">
        <v>624.39999999999986</v>
      </c>
    </row>
    <row r="11" spans="1:17" x14ac:dyDescent="0.45">
      <c r="A11" s="54" t="s">
        <v>121</v>
      </c>
      <c r="B11" s="47">
        <v>396</v>
      </c>
      <c r="C11" s="42">
        <f>IF(B$3=0,0,B11/B$3)</f>
        <v>0.26382411725516325</v>
      </c>
      <c r="E11" s="59" t="s">
        <v>71</v>
      </c>
      <c r="F11" s="56" t="s">
        <v>26</v>
      </c>
      <c r="G11" s="44">
        <v>37</v>
      </c>
      <c r="H11" s="129">
        <f>IF(B$15=0,0,G11/B$15)</f>
        <v>7.2265625E-2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3.4901639344262292</v>
      </c>
      <c r="P11" s="115">
        <v>61</v>
      </c>
      <c r="Q11" s="103">
        <v>212.89999999999998</v>
      </c>
    </row>
    <row r="12" spans="1:17" x14ac:dyDescent="0.45">
      <c r="A12" s="51" t="s">
        <v>118</v>
      </c>
      <c r="B12" s="44">
        <v>356</v>
      </c>
      <c r="C12" s="37">
        <f>IF(B$3=0,0,B12/B$3)</f>
        <v>0.23717521652231846</v>
      </c>
      <c r="E12" s="59" t="s">
        <v>86</v>
      </c>
      <c r="F12" s="56" t="s">
        <v>41</v>
      </c>
      <c r="G12" s="44">
        <v>33</v>
      </c>
      <c r="H12" s="129">
        <f>IF(B$15=0,0,G12/B$15)</f>
        <v>6.4453125E-2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10.899999999999997</v>
      </c>
      <c r="P12" s="116">
        <v>68</v>
      </c>
      <c r="Q12" s="104">
        <v>741.19999999999982</v>
      </c>
    </row>
    <row r="13" spans="1:17" x14ac:dyDescent="0.45">
      <c r="A13" s="50" t="s">
        <v>123</v>
      </c>
      <c r="B13" s="43">
        <f>B19</f>
        <v>233</v>
      </c>
      <c r="C13" s="35">
        <f>IF(B$11=0,0,B13/B$11)</f>
        <v>0.58838383838383834</v>
      </c>
      <c r="E13" s="59" t="s">
        <v>70</v>
      </c>
      <c r="F13" s="56" t="s">
        <v>25</v>
      </c>
      <c r="G13" s="44">
        <v>30</v>
      </c>
      <c r="H13" s="129">
        <f>IF(B$15=0,0,G13/B$15)</f>
        <v>5.859375E-2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173</v>
      </c>
      <c r="C14" s="35">
        <f>IF(B$12=0,0,B14/B$12)</f>
        <v>0.4859550561797753</v>
      </c>
      <c r="E14" s="59" t="s">
        <v>83</v>
      </c>
      <c r="F14" s="56" t="s">
        <v>38</v>
      </c>
      <c r="G14" s="44">
        <v>24</v>
      </c>
      <c r="H14" s="129">
        <f>IF(B$15=0,0,G14/B$15)</f>
        <v>4.6875E-2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512</v>
      </c>
      <c r="C15" s="35">
        <f>IF(B$3=0,0,B15/B$3)</f>
        <v>0.34110592938041306</v>
      </c>
      <c r="E15" s="59" t="s">
        <v>78</v>
      </c>
      <c r="F15" s="56" t="s">
        <v>33</v>
      </c>
      <c r="G15" s="44">
        <v>21</v>
      </c>
      <c r="H15" s="129">
        <f>IF(B$15=0,0,G15/B$15)</f>
        <v>4.1015625E-2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192</v>
      </c>
      <c r="C16" s="37">
        <f>IF(B$3=0,0,B16/B$3)</f>
        <v>0.1279147235176549</v>
      </c>
      <c r="E16" s="59" t="s">
        <v>162</v>
      </c>
      <c r="F16" s="56" t="s">
        <v>163</v>
      </c>
      <c r="G16" s="44">
        <v>15</v>
      </c>
      <c r="H16" s="129">
        <f>IF(B$15=0,0,G16/B$15)</f>
        <v>2.9296875E-2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218</v>
      </c>
      <c r="C17" s="37">
        <f>IF(B$15=0,0,B17/B$15)</f>
        <v>0.42578125</v>
      </c>
      <c r="E17" s="59" t="s">
        <v>81</v>
      </c>
      <c r="F17" s="56" t="s">
        <v>36</v>
      </c>
      <c r="G17" s="44">
        <v>7</v>
      </c>
      <c r="H17" s="129">
        <f>IF(B$15=0,0,G17/B$15)</f>
        <v>1.3671875E-2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294</v>
      </c>
      <c r="C18" s="37">
        <f>IF(B$15=0,0,B18/B$15)</f>
        <v>0.57421875</v>
      </c>
      <c r="E18" s="59" t="s">
        <v>91</v>
      </c>
      <c r="F18" s="56" t="s">
        <v>46</v>
      </c>
      <c r="G18" s="44">
        <v>6</v>
      </c>
      <c r="H18" s="129">
        <f>IF(B$15=0,0,G18/B$15)</f>
        <v>1.171875E-2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15.169354838709678</v>
      </c>
      <c r="P18" s="115">
        <v>62</v>
      </c>
      <c r="Q18" s="103">
        <v>940.5</v>
      </c>
    </row>
    <row r="19" spans="1:17" x14ac:dyDescent="0.45">
      <c r="A19" s="51" t="s">
        <v>195</v>
      </c>
      <c r="B19" s="44">
        <v>233</v>
      </c>
      <c r="C19" s="37">
        <f>IF(B$15=0,0,B19/B$15)</f>
        <v>0.455078125</v>
      </c>
      <c r="E19" s="59" t="s">
        <v>75</v>
      </c>
      <c r="F19" s="56" t="s">
        <v>30</v>
      </c>
      <c r="G19" s="44">
        <v>5</v>
      </c>
      <c r="H19" s="129">
        <f>IF(B$15=0,0,G19/B$15)</f>
        <v>9.765625E-3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12.789090909090911</v>
      </c>
      <c r="P19" s="115">
        <v>110</v>
      </c>
      <c r="Q19" s="103">
        <v>1406.8000000000002</v>
      </c>
    </row>
    <row r="20" spans="1:17" x14ac:dyDescent="0.45">
      <c r="A20" s="51" t="s">
        <v>193</v>
      </c>
      <c r="B20" s="44">
        <v>173</v>
      </c>
      <c r="C20" s="37">
        <f>IF(B$15=0,0,B20/B$15)</f>
        <v>0.337890625</v>
      </c>
      <c r="E20" s="59" t="s">
        <v>79</v>
      </c>
      <c r="F20" s="56" t="s">
        <v>34</v>
      </c>
      <c r="G20" s="44">
        <v>4</v>
      </c>
      <c r="H20" s="129">
        <f>IF(B$15=0,0,G20/B$15)</f>
        <v>7.8125E-3</v>
      </c>
      <c r="I20" s="90">
        <v>9</v>
      </c>
      <c r="K20" s="36">
        <v>18</v>
      </c>
      <c r="L20" s="95">
        <v>352.39999999999992</v>
      </c>
      <c r="N20" s="111" t="s">
        <v>161</v>
      </c>
      <c r="O20" s="121">
        <f>IF(P20=0,0,Q20/P20)</f>
        <v>12.43846153846154</v>
      </c>
      <c r="P20" s="115">
        <v>39</v>
      </c>
      <c r="Q20" s="103">
        <v>485.10000000000008</v>
      </c>
    </row>
    <row r="21" spans="1:17" x14ac:dyDescent="0.45">
      <c r="A21" s="51" t="s">
        <v>194</v>
      </c>
      <c r="B21" s="44">
        <v>106</v>
      </c>
      <c r="C21" s="37">
        <f>IF(B$15=0,0,B21/B$15)</f>
        <v>0.20703125</v>
      </c>
      <c r="E21" s="59" t="s">
        <v>85</v>
      </c>
      <c r="F21" s="56" t="s">
        <v>40</v>
      </c>
      <c r="G21" s="44">
        <v>4</v>
      </c>
      <c r="H21" s="129">
        <f>IF(B$15=0,0,G21/B$15)</f>
        <v>7.8125E-3</v>
      </c>
      <c r="I21" s="90">
        <v>5</v>
      </c>
      <c r="K21" s="36">
        <v>19</v>
      </c>
      <c r="L21" s="95">
        <v>383.19999999999993</v>
      </c>
      <c r="N21" s="111" t="s">
        <v>171</v>
      </c>
      <c r="O21" s="121">
        <f>IF(P21=0,0,Q21/P21)</f>
        <v>11.989855072463769</v>
      </c>
      <c r="P21" s="115">
        <v>69</v>
      </c>
      <c r="Q21" s="103">
        <v>827.30000000000007</v>
      </c>
    </row>
    <row r="22" spans="1:17" x14ac:dyDescent="0.45">
      <c r="A22" s="51" t="s">
        <v>5</v>
      </c>
      <c r="B22" s="48">
        <f>IF(B$15=0,0,C22/B$15)</f>
        <v>8208.59375</v>
      </c>
      <c r="C22" s="39">
        <v>4202800</v>
      </c>
      <c r="E22" s="59" t="s">
        <v>92</v>
      </c>
      <c r="F22" s="56" t="s">
        <v>47</v>
      </c>
      <c r="G22" s="44">
        <v>4</v>
      </c>
      <c r="H22" s="129">
        <f>IF(B$15=0,0,G22/B$15)</f>
        <v>7.8125E-3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3.1545454545454548</v>
      </c>
      <c r="P22" s="115">
        <v>55</v>
      </c>
      <c r="Q22" s="103">
        <v>173.5</v>
      </c>
    </row>
    <row r="23" spans="1:17" x14ac:dyDescent="0.45">
      <c r="A23" s="52" t="s">
        <v>177</v>
      </c>
      <c r="B23" s="136">
        <f>IF($B$15-B$14=0,0,C23/($B$15-B$14))</f>
        <v>8726.5486725663723</v>
      </c>
      <c r="C23" s="137">
        <v>2958300</v>
      </c>
      <c r="E23" s="59" t="s">
        <v>77</v>
      </c>
      <c r="F23" s="56" t="s">
        <v>32</v>
      </c>
      <c r="G23" s="44">
        <v>3</v>
      </c>
      <c r="H23" s="129">
        <f>IF(B$15=0,0,G23/B$15)</f>
        <v>5.859375E-3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7193.6416184971094</v>
      </c>
      <c r="C24" s="137">
        <v>1244500</v>
      </c>
      <c r="E24" s="59" t="s">
        <v>84</v>
      </c>
      <c r="F24" s="56" t="s">
        <v>39</v>
      </c>
      <c r="G24" s="44">
        <v>3</v>
      </c>
      <c r="H24" s="129">
        <f>IF(B$15=0,0,G24/B$15)</f>
        <v>5.859375E-3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-7820.3125</v>
      </c>
      <c r="C25" s="137">
        <v>-1501500</v>
      </c>
      <c r="E25" s="59" t="s">
        <v>74</v>
      </c>
      <c r="F25" s="56" t="s">
        <v>29</v>
      </c>
      <c r="G25" s="44">
        <v>2</v>
      </c>
      <c r="H25" s="129">
        <f>IF(B$15=0,0,G25/B$15)</f>
        <v>3.90625E-3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3.90625E-3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11</v>
      </c>
      <c r="E27" s="59" t="s">
        <v>95</v>
      </c>
      <c r="F27" s="56" t="s">
        <v>50</v>
      </c>
      <c r="G27" s="44">
        <v>2</v>
      </c>
      <c r="H27" s="129">
        <f>IF(B$15=0,0,G27/B$15)</f>
        <v>3.90625E-3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1.953125E-3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1.953125E-3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6.6622251832111927E-4</v>
      </c>
      <c r="E30" s="59" t="s">
        <v>106</v>
      </c>
      <c r="F30" s="56" t="s">
        <v>113</v>
      </c>
      <c r="G30" s="44">
        <v>1</v>
      </c>
      <c r="H30" s="129">
        <f>IF(B$15=0,0,G30/B$15)</f>
        <v>1.953125E-3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48</v>
      </c>
      <c r="C32" s="141">
        <f>IF(B$15=0,0,B32/B$15)</f>
        <v>9.375E-2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93</v>
      </c>
      <c r="C33" s="37">
        <f t="shared" ref="C33:C44" si="2">IF(B$15=0,0,B33/B$15)</f>
        <v>0.181640625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101</v>
      </c>
      <c r="C34" s="37">
        <f>IF(B$15=0,0,B34/B$15)</f>
        <v>0.197265625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94</v>
      </c>
      <c r="C35" s="37">
        <f t="shared" si="2"/>
        <v>0.18359375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73</v>
      </c>
      <c r="C36" s="37">
        <f t="shared" si="2"/>
        <v>0.142578125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49</v>
      </c>
      <c r="C37" s="37">
        <f t="shared" si="2"/>
        <v>9.5703125E-2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4.6875E-2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10</v>
      </c>
      <c r="C39" s="37">
        <f t="shared" si="2"/>
        <v>1.953125E-2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1.953125E-2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3.90625E-3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1.953125E-3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1.3671875E-2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165</v>
      </c>
      <c r="C2" s="155"/>
      <c r="E2" s="58" t="s">
        <v>66</v>
      </c>
      <c r="F2" s="55" t="s">
        <v>22</v>
      </c>
      <c r="G2" s="43">
        <v>323</v>
      </c>
      <c r="H2" s="128">
        <f>IF(B$15=0,0,G2/B$15)</f>
        <v>0.76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-1067.6829268292684</v>
      </c>
      <c r="P2" s="114">
        <v>164</v>
      </c>
      <c r="Q2" s="98">
        <v>-175100</v>
      </c>
    </row>
    <row r="3" spans="1:17" x14ac:dyDescent="0.45">
      <c r="A3" s="51" t="s">
        <v>8</v>
      </c>
      <c r="B3" s="156">
        <v>1372</v>
      </c>
      <c r="C3" s="157"/>
      <c r="E3" s="59" t="s">
        <v>72</v>
      </c>
      <c r="F3" s="56" t="s">
        <v>27</v>
      </c>
      <c r="G3" s="44">
        <v>239</v>
      </c>
      <c r="H3" s="129">
        <f>IF(B$15=0,0,G3/B$15)</f>
        <v>0.56235294117647061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1366.0493827160494</v>
      </c>
      <c r="P3" s="115">
        <v>162</v>
      </c>
      <c r="Q3" s="99">
        <v>221300</v>
      </c>
    </row>
    <row r="4" spans="1:17" x14ac:dyDescent="0.45">
      <c r="A4" s="51" t="s">
        <v>6</v>
      </c>
      <c r="B4" s="158">
        <v>-48.100000000000193</v>
      </c>
      <c r="C4" s="159"/>
      <c r="E4" s="59" t="s">
        <v>166</v>
      </c>
      <c r="F4" s="56" t="s">
        <v>167</v>
      </c>
      <c r="G4" s="44">
        <v>171</v>
      </c>
      <c r="H4" s="129">
        <f>IF(B$15=0,0,G4/B$15)</f>
        <v>0.40235294117647058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12.666666666666666</v>
      </c>
      <c r="P4" s="115">
        <v>150</v>
      </c>
      <c r="Q4" s="99">
        <v>1900</v>
      </c>
    </row>
    <row r="5" spans="1:17" x14ac:dyDescent="0.45">
      <c r="A5" s="51" t="s">
        <v>7</v>
      </c>
      <c r="B5" s="160">
        <f>IF(B$2=0,0,B$4/B$2)</f>
        <v>-0.29151515151515267</v>
      </c>
      <c r="C5" s="161"/>
      <c r="E5" s="59" t="s">
        <v>64</v>
      </c>
      <c r="F5" s="56" t="s">
        <v>20</v>
      </c>
      <c r="G5" s="44">
        <v>164</v>
      </c>
      <c r="H5" s="129">
        <f>IF(B$15=0,0,G5/B$15)</f>
        <v>0.38588235294117645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71.126760563380287</v>
      </c>
      <c r="P5" s="115">
        <v>142</v>
      </c>
      <c r="Q5" s="99">
        <v>10100</v>
      </c>
    </row>
    <row r="6" spans="1:17" x14ac:dyDescent="0.45">
      <c r="A6" s="51" t="s">
        <v>1</v>
      </c>
      <c r="B6" s="150">
        <f>IF(B$2=0,0,(B$7*1+B$8*2+B$9*3)/B$2)</f>
        <v>1.9818181818181819</v>
      </c>
      <c r="C6" s="151"/>
      <c r="E6" s="59" t="s">
        <v>68</v>
      </c>
      <c r="F6" s="56" t="s">
        <v>12</v>
      </c>
      <c r="G6" s="44">
        <v>118</v>
      </c>
      <c r="H6" s="129">
        <f>IF(B$15=0,0,G6/B$15)</f>
        <v>0.27764705882352941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-1612.3076923076924</v>
      </c>
      <c r="P6" s="115">
        <v>130</v>
      </c>
      <c r="Q6" s="99">
        <v>-209600</v>
      </c>
    </row>
    <row r="7" spans="1:17" x14ac:dyDescent="0.45">
      <c r="A7" s="51" t="s">
        <v>2</v>
      </c>
      <c r="B7" s="44">
        <v>56</v>
      </c>
      <c r="C7" s="37">
        <f t="shared" ref="C7:C10" si="1">IF(B$2=0,0,B7/B$2)</f>
        <v>0.33939393939393941</v>
      </c>
      <c r="E7" s="59" t="s">
        <v>67</v>
      </c>
      <c r="F7" s="56" t="s">
        <v>23</v>
      </c>
      <c r="G7" s="44">
        <v>90</v>
      </c>
      <c r="H7" s="129">
        <f>IF(B$15=0,0,G7/B$15)</f>
        <v>0.21176470588235294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1027.5229357798164</v>
      </c>
      <c r="P7" s="116">
        <v>109</v>
      </c>
      <c r="Q7" s="100">
        <v>112000</v>
      </c>
    </row>
    <row r="8" spans="1:17" x14ac:dyDescent="0.45">
      <c r="A8" s="51" t="s">
        <v>3</v>
      </c>
      <c r="B8" s="44">
        <v>56</v>
      </c>
      <c r="C8" s="37">
        <f t="shared" si="1"/>
        <v>0.33939393939393941</v>
      </c>
      <c r="E8" s="59" t="s">
        <v>69</v>
      </c>
      <c r="F8" s="56" t="s">
        <v>24</v>
      </c>
      <c r="G8" s="44">
        <v>48</v>
      </c>
      <c r="H8" s="129">
        <f>IF(B$15=0,0,G8/B$15)</f>
        <v>0.11294117647058824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53</v>
      </c>
      <c r="C9" s="38">
        <f t="shared" si="1"/>
        <v>0.32121212121212123</v>
      </c>
      <c r="E9" s="59" t="s">
        <v>89</v>
      </c>
      <c r="F9" s="56" t="s">
        <v>44</v>
      </c>
      <c r="G9" s="44">
        <v>45</v>
      </c>
      <c r="H9" s="129">
        <f>IF(B$15=0,0,G9/B$15)</f>
        <v>0.10588235294117647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0.10909090909090909</v>
      </c>
      <c r="E10" s="59" t="s">
        <v>70</v>
      </c>
      <c r="F10" s="56" t="s">
        <v>25</v>
      </c>
      <c r="G10" s="44">
        <v>43</v>
      </c>
      <c r="H10" s="129">
        <f>IF(B$15=0,0,G10/B$15)</f>
        <v>0.1011764705882353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-0.9299999999999996</v>
      </c>
      <c r="P10" s="114">
        <v>50</v>
      </c>
      <c r="Q10" s="102">
        <v>-46.499999999999979</v>
      </c>
    </row>
    <row r="11" spans="1:17" x14ac:dyDescent="0.45">
      <c r="A11" s="54" t="s">
        <v>121</v>
      </c>
      <c r="B11" s="47">
        <v>319</v>
      </c>
      <c r="C11" s="42">
        <f>IF(B$3=0,0,B11/B$3)</f>
        <v>0.2325072886297376</v>
      </c>
      <c r="E11" s="59" t="s">
        <v>71</v>
      </c>
      <c r="F11" s="56" t="s">
        <v>26</v>
      </c>
      <c r="G11" s="44">
        <v>39</v>
      </c>
      <c r="H11" s="129">
        <f>IF(B$15=0,0,G11/B$15)</f>
        <v>9.1764705882352943E-2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3.44814814814815</v>
      </c>
      <c r="P11" s="115">
        <v>54</v>
      </c>
      <c r="Q11" s="103">
        <v>186.2000000000001</v>
      </c>
    </row>
    <row r="12" spans="1:17" x14ac:dyDescent="0.45">
      <c r="A12" s="51" t="s">
        <v>118</v>
      </c>
      <c r="B12" s="44">
        <v>416</v>
      </c>
      <c r="C12" s="37">
        <f>IF(B$3=0,0,B12/B$3)</f>
        <v>0.30320699708454812</v>
      </c>
      <c r="E12" s="59" t="s">
        <v>65</v>
      </c>
      <c r="F12" s="56" t="s">
        <v>21</v>
      </c>
      <c r="G12" s="44">
        <v>33</v>
      </c>
      <c r="H12" s="129">
        <f>IF(B$15=0,0,G12/B$15)</f>
        <v>7.7647058823529416E-2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-3.0786885245901643</v>
      </c>
      <c r="P12" s="116">
        <v>61</v>
      </c>
      <c r="Q12" s="104">
        <v>-187.8</v>
      </c>
    </row>
    <row r="13" spans="1:17" x14ac:dyDescent="0.45">
      <c r="A13" s="50" t="s">
        <v>123</v>
      </c>
      <c r="B13" s="43">
        <f>B19</f>
        <v>164</v>
      </c>
      <c r="C13" s="35">
        <f>IF(B$11=0,0,B13/B$11)</f>
        <v>0.51410658307210033</v>
      </c>
      <c r="E13" s="59" t="s">
        <v>86</v>
      </c>
      <c r="F13" s="56" t="s">
        <v>41</v>
      </c>
      <c r="G13" s="44">
        <v>25</v>
      </c>
      <c r="H13" s="129">
        <f>IF(B$15=0,0,G13/B$15)</f>
        <v>5.8823529411764705E-2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158</v>
      </c>
      <c r="C14" s="35">
        <f>IF(B$12=0,0,B14/B$12)</f>
        <v>0.37980769230769229</v>
      </c>
      <c r="E14" s="59" t="s">
        <v>83</v>
      </c>
      <c r="F14" s="56" t="s">
        <v>38</v>
      </c>
      <c r="G14" s="44">
        <v>21</v>
      </c>
      <c r="H14" s="129">
        <f>IF(B$15=0,0,G14/B$15)</f>
        <v>4.9411764705882349E-2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425</v>
      </c>
      <c r="C15" s="35">
        <f>IF(B$3=0,0,B15/B$3)</f>
        <v>0.30976676384839652</v>
      </c>
      <c r="E15" s="59" t="s">
        <v>78</v>
      </c>
      <c r="F15" s="56" t="s">
        <v>33</v>
      </c>
      <c r="G15" s="44">
        <v>17</v>
      </c>
      <c r="H15" s="129">
        <f>IF(B$15=0,0,G15/B$15)</f>
        <v>0.04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246</v>
      </c>
      <c r="C16" s="37">
        <f>IF(B$3=0,0,B16/B$3)</f>
        <v>0.17930029154518951</v>
      </c>
      <c r="E16" s="59" t="s">
        <v>91</v>
      </c>
      <c r="F16" s="56" t="s">
        <v>46</v>
      </c>
      <c r="G16" s="44">
        <v>13</v>
      </c>
      <c r="H16" s="129">
        <f>IF(B$15=0,0,G16/B$15)</f>
        <v>3.0588235294117649E-2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176</v>
      </c>
      <c r="C17" s="37">
        <f>IF(B$15=0,0,B17/B$15)</f>
        <v>0.41411764705882353</v>
      </c>
      <c r="E17" s="59" t="s">
        <v>81</v>
      </c>
      <c r="F17" s="56" t="s">
        <v>36</v>
      </c>
      <c r="G17" s="44">
        <v>9</v>
      </c>
      <c r="H17" s="129">
        <f>IF(B$15=0,0,G17/B$15)</f>
        <v>2.1176470588235293E-2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249</v>
      </c>
      <c r="C18" s="37">
        <f>IF(B$15=0,0,B18/B$15)</f>
        <v>0.58588235294117652</v>
      </c>
      <c r="E18" s="59" t="s">
        <v>79</v>
      </c>
      <c r="F18" s="56" t="s">
        <v>34</v>
      </c>
      <c r="G18" s="44">
        <v>7</v>
      </c>
      <c r="H18" s="129">
        <f>IF(B$15=0,0,G18/B$15)</f>
        <v>1.6470588235294119E-2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164</v>
      </c>
      <c r="C19" s="37">
        <f>IF(B$15=0,0,B19/B$15)</f>
        <v>0.38588235294117645</v>
      </c>
      <c r="E19" s="59" t="s">
        <v>162</v>
      </c>
      <c r="F19" s="56" t="s">
        <v>163</v>
      </c>
      <c r="G19" s="44">
        <v>5</v>
      </c>
      <c r="H19" s="129">
        <f>IF(B$15=0,0,G19/B$15)</f>
        <v>1.1764705882352941E-2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8.0515151515151508</v>
      </c>
      <c r="P19" s="115">
        <v>33</v>
      </c>
      <c r="Q19" s="103">
        <v>265.7</v>
      </c>
    </row>
    <row r="20" spans="1:17" x14ac:dyDescent="0.45">
      <c r="A20" s="51" t="s">
        <v>193</v>
      </c>
      <c r="B20" s="44">
        <v>158</v>
      </c>
      <c r="C20" s="37">
        <f>IF(B$15=0,0,B20/B$15)</f>
        <v>0.37176470588235294</v>
      </c>
      <c r="E20" s="59" t="s">
        <v>92</v>
      </c>
      <c r="F20" s="56" t="s">
        <v>47</v>
      </c>
      <c r="G20" s="44">
        <v>3</v>
      </c>
      <c r="H20" s="129">
        <f>IF(B$15=0,0,G20/B$15)</f>
        <v>7.058823529411765E-3</v>
      </c>
      <c r="I20" s="90">
        <v>4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103</v>
      </c>
      <c r="C21" s="37">
        <f>IF(B$15=0,0,B21/B$15)</f>
        <v>0.24235294117647058</v>
      </c>
      <c r="E21" s="59" t="s">
        <v>74</v>
      </c>
      <c r="F21" s="56" t="s">
        <v>29</v>
      </c>
      <c r="G21" s="44">
        <v>2</v>
      </c>
      <c r="H21" s="129">
        <f>IF(B$15=0,0,G21/B$15)</f>
        <v>4.7058823529411761E-3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-3.1222222222222182</v>
      </c>
      <c r="P21" s="115">
        <v>54</v>
      </c>
      <c r="Q21" s="103">
        <v>-168.5999999999998</v>
      </c>
    </row>
    <row r="22" spans="1:17" x14ac:dyDescent="0.45">
      <c r="A22" s="51" t="s">
        <v>5</v>
      </c>
      <c r="B22" s="48">
        <f>IF(B$15=0,0,C22/B$15)</f>
        <v>8017.8823529411766</v>
      </c>
      <c r="C22" s="39">
        <v>3407600</v>
      </c>
      <c r="E22" s="59" t="s">
        <v>75</v>
      </c>
      <c r="F22" s="56" t="s">
        <v>30</v>
      </c>
      <c r="G22" s="44">
        <v>2</v>
      </c>
      <c r="H22" s="129">
        <f>IF(B$15=0,0,G22/B$15)</f>
        <v>4.7058823529411761E-3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>IF(P22=0,0,Q22/P22)</f>
        <v>-3.2271186440677955</v>
      </c>
      <c r="P22" s="115">
        <v>59</v>
      </c>
      <c r="Q22" s="103">
        <v>-190.39999999999992</v>
      </c>
    </row>
    <row r="23" spans="1:17" x14ac:dyDescent="0.45">
      <c r="A23" s="52" t="s">
        <v>177</v>
      </c>
      <c r="B23" s="136">
        <f>IF($B$15-B$14=0,0,C23/($B$15-B$14))</f>
        <v>8648.6891385767794</v>
      </c>
      <c r="C23" s="137">
        <v>2309200</v>
      </c>
      <c r="E23" s="59" t="s">
        <v>73</v>
      </c>
      <c r="F23" s="56" t="s">
        <v>28</v>
      </c>
      <c r="G23" s="44">
        <v>1</v>
      </c>
      <c r="H23" s="129">
        <f>IF(B$15=0,0,G23/B$15)</f>
        <v>2.352941176470588E-3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-12.789090909090911</v>
      </c>
      <c r="P23" s="115">
        <v>110</v>
      </c>
      <c r="Q23" s="103">
        <v>-1406.8000000000002</v>
      </c>
    </row>
    <row r="24" spans="1:17" x14ac:dyDescent="0.45">
      <c r="A24" s="52" t="s">
        <v>178</v>
      </c>
      <c r="B24" s="136">
        <f>IF(B$14=0,0,C24/B$14)</f>
        <v>6951.8987341772154</v>
      </c>
      <c r="C24" s="137">
        <v>1098400</v>
      </c>
      <c r="E24" s="59" t="s">
        <v>77</v>
      </c>
      <c r="F24" s="56" t="s">
        <v>32</v>
      </c>
      <c r="G24" s="44">
        <v>1</v>
      </c>
      <c r="H24" s="129">
        <f>IF(B$15=0,0,G24/B$15)</f>
        <v>2.352941176470588E-3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-8018.6991869918702</v>
      </c>
      <c r="C25" s="137">
        <v>-1972600</v>
      </c>
      <c r="E25" s="59" t="s">
        <v>84</v>
      </c>
      <c r="F25" s="56" t="s">
        <v>39</v>
      </c>
      <c r="G25" s="44">
        <v>1</v>
      </c>
      <c r="H25" s="129">
        <f>IF(B$15=0,0,G25/B$15)</f>
        <v>2.352941176470588E-3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90</v>
      </c>
      <c r="F26" s="56" t="s">
        <v>45</v>
      </c>
      <c r="G26" s="44">
        <v>1</v>
      </c>
      <c r="H26" s="129">
        <f>IF(B$15=0,0,G26/B$15)</f>
        <v>2.352941176470588E-3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2.352941176470588E-3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3.6443148688046646E-3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31</v>
      </c>
      <c r="C32" s="141">
        <f>IF(B$15=0,0,B32/B$15)</f>
        <v>7.2941176470588232E-2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80</v>
      </c>
      <c r="C33" s="37">
        <f t="shared" ref="C33:C44" si="2">IF(B$15=0,0,B33/B$15)</f>
        <v>0.18823529411764706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90</v>
      </c>
      <c r="C34" s="37">
        <f>IF(B$15=0,0,B34/B$15)</f>
        <v>0.21176470588235294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84</v>
      </c>
      <c r="C35" s="37">
        <f t="shared" si="2"/>
        <v>0.1976470588235294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62</v>
      </c>
      <c r="C36" s="37">
        <f t="shared" si="2"/>
        <v>0.14588235294117646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9.8823529411764699E-2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14</v>
      </c>
      <c r="C38" s="37">
        <f t="shared" si="2"/>
        <v>3.2941176470588238E-2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2.1176470588235293E-2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1.411764705882353E-2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2.352941176470588E-3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4.7058823529411761E-3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9.4117647058823521E-3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98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0.77092511013215859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-526.80412371134025</v>
      </c>
      <c r="P2" s="114">
        <v>97</v>
      </c>
      <c r="Q2" s="98">
        <v>-51100</v>
      </c>
    </row>
    <row r="3" spans="1:17" x14ac:dyDescent="0.45">
      <c r="A3" s="51" t="s">
        <v>8</v>
      </c>
      <c r="B3" s="156">
        <v>842</v>
      </c>
      <c r="C3" s="157"/>
      <c r="E3" s="59" t="s">
        <v>64</v>
      </c>
      <c r="F3" s="56" t="s">
        <v>20</v>
      </c>
      <c r="G3" s="44">
        <v>126</v>
      </c>
      <c r="H3" s="129">
        <f>IF(B$15=0,0,G3/B$15)</f>
        <v>0.55506607929515417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-712.37113402061857</v>
      </c>
      <c r="P3" s="115">
        <v>97</v>
      </c>
      <c r="Q3" s="99">
        <v>-69100</v>
      </c>
    </row>
    <row r="4" spans="1:17" x14ac:dyDescent="0.45">
      <c r="A4" s="51" t="s">
        <v>6</v>
      </c>
      <c r="B4" s="158">
        <v>-700.69999999999993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0.4933920704845815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480.2197802197802</v>
      </c>
      <c r="P4" s="115">
        <v>91</v>
      </c>
      <c r="Q4" s="99">
        <v>43700</v>
      </c>
    </row>
    <row r="5" spans="1:17" x14ac:dyDescent="0.45">
      <c r="A5" s="51" t="s">
        <v>7</v>
      </c>
      <c r="B5" s="160">
        <f>IF(B$2=0,0,B$4/B$2)</f>
        <v>-7.1499999999999995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0.42290748898678415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-673.03370786516859</v>
      </c>
      <c r="P5" s="115">
        <v>89</v>
      </c>
      <c r="Q5" s="99">
        <v>-59900</v>
      </c>
    </row>
    <row r="6" spans="1:17" x14ac:dyDescent="0.45">
      <c r="A6" s="51" t="s">
        <v>1</v>
      </c>
      <c r="B6" s="150">
        <f>IF(B$2=0,0,(B$7*1+B$8*2+B$9*3)/B$2)</f>
        <v>2.1836734693877551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0.3524229074889868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-2978.5714285714284</v>
      </c>
      <c r="P6" s="115">
        <v>84</v>
      </c>
      <c r="Q6" s="99">
        <v>-250200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0.21428571428571427</v>
      </c>
      <c r="E7" s="59" t="s">
        <v>67</v>
      </c>
      <c r="F7" s="56" t="s">
        <v>23</v>
      </c>
      <c r="G7" s="44">
        <v>70</v>
      </c>
      <c r="H7" s="129">
        <f>IF(B$15=0,0,G7/B$15)</f>
        <v>0.30837004405286345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-1929.7297297297298</v>
      </c>
      <c r="P7" s="116">
        <v>74</v>
      </c>
      <c r="Q7" s="100">
        <v>-142800</v>
      </c>
    </row>
    <row r="8" spans="1:17" x14ac:dyDescent="0.45">
      <c r="A8" s="51" t="s">
        <v>3</v>
      </c>
      <c r="B8" s="44">
        <v>38</v>
      </c>
      <c r="C8" s="37">
        <f t="shared" si="1"/>
        <v>0.38775510204081631</v>
      </c>
      <c r="E8" s="59" t="s">
        <v>69</v>
      </c>
      <c r="F8" s="56" t="s">
        <v>24</v>
      </c>
      <c r="G8" s="44">
        <v>33</v>
      </c>
      <c r="H8" s="129">
        <f>IF(B$15=0,0,G8/B$15)</f>
        <v>0.14537444933920704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0.39795918367346939</v>
      </c>
      <c r="E9" s="59" t="s">
        <v>70</v>
      </c>
      <c r="F9" s="56" t="s">
        <v>25</v>
      </c>
      <c r="G9" s="44">
        <v>28</v>
      </c>
      <c r="H9" s="129">
        <f>IF(B$15=0,0,G9/B$15)</f>
        <v>0.12334801762114538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7.1428571428571425E-2</v>
      </c>
      <c r="E10" s="59" t="s">
        <v>65</v>
      </c>
      <c r="F10" s="56" t="s">
        <v>21</v>
      </c>
      <c r="G10" s="44">
        <v>27</v>
      </c>
      <c r="H10" s="129">
        <f>IF(B$15=0,0,G10/B$15)</f>
        <v>0.11894273127753303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5">
      <c r="A11" s="54" t="s">
        <v>121</v>
      </c>
      <c r="B11" s="47">
        <v>233</v>
      </c>
      <c r="C11" s="42">
        <f>IF(B$3=0,0,B11/B$3)</f>
        <v>0.27672209026128264</v>
      </c>
      <c r="E11" s="59" t="s">
        <v>89</v>
      </c>
      <c r="F11" s="56" t="s">
        <v>44</v>
      </c>
      <c r="G11" s="44">
        <v>25</v>
      </c>
      <c r="H11" s="129">
        <f>IF(B$15=0,0,G11/B$15)</f>
        <v>0.11013215859030837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161</v>
      </c>
      <c r="C12" s="37">
        <f>IF(B$3=0,0,B12/B$3)</f>
        <v>0.19121140142517815</v>
      </c>
      <c r="E12" s="59" t="s">
        <v>83</v>
      </c>
      <c r="F12" s="56" t="s">
        <v>38</v>
      </c>
      <c r="G12" s="44">
        <v>13</v>
      </c>
      <c r="H12" s="129">
        <f>IF(B$15=0,0,G12/B$15)</f>
        <v>5.7268722466960353E-2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-9.5933333333333319</v>
      </c>
      <c r="P12" s="116">
        <v>30</v>
      </c>
      <c r="Q12" s="104">
        <v>-287.79999999999995</v>
      </c>
    </row>
    <row r="13" spans="1:17" x14ac:dyDescent="0.45">
      <c r="A13" s="50" t="s">
        <v>123</v>
      </c>
      <c r="B13" s="43">
        <f>B19</f>
        <v>126</v>
      </c>
      <c r="C13" s="35">
        <f>IF(B$11=0,0,B13/B$11)</f>
        <v>0.54077253218884125</v>
      </c>
      <c r="E13" s="59" t="s">
        <v>86</v>
      </c>
      <c r="F13" s="56" t="s">
        <v>41</v>
      </c>
      <c r="G13" s="44">
        <v>10</v>
      </c>
      <c r="H13" s="129">
        <f>IF(B$15=0,0,G13/B$15)</f>
        <v>4.405286343612335E-2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0.40993788819875776</v>
      </c>
      <c r="E14" s="59" t="s">
        <v>71</v>
      </c>
      <c r="F14" s="56" t="s">
        <v>26</v>
      </c>
      <c r="G14" s="44">
        <v>9</v>
      </c>
      <c r="H14" s="129">
        <f>IF(B$15=0,0,G14/B$15)</f>
        <v>3.9647577092511016E-2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227</v>
      </c>
      <c r="C15" s="35">
        <f>IF(B$3=0,0,B15/B$3)</f>
        <v>0.26959619952494063</v>
      </c>
      <c r="E15" s="59" t="s">
        <v>78</v>
      </c>
      <c r="F15" s="56" t="s">
        <v>33</v>
      </c>
      <c r="G15" s="44">
        <v>8</v>
      </c>
      <c r="H15" s="129">
        <f>IF(B$15=0,0,G15/B$15)</f>
        <v>3.5242290748898682E-2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153</v>
      </c>
      <c r="C16" s="37">
        <f>IF(B$3=0,0,B16/B$3)</f>
        <v>0.18171021377672208</v>
      </c>
      <c r="E16" s="59" t="s">
        <v>79</v>
      </c>
      <c r="F16" s="56" t="s">
        <v>34</v>
      </c>
      <c r="G16" s="44">
        <v>4</v>
      </c>
      <c r="H16" s="129">
        <f>IF(B$15=0,0,G16/B$15)</f>
        <v>1.7621145374449341E-2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107</v>
      </c>
      <c r="C17" s="37">
        <f>IF(B$15=0,0,B17/B$15)</f>
        <v>0.47136563876651982</v>
      </c>
      <c r="E17" s="59" t="s">
        <v>81</v>
      </c>
      <c r="F17" s="56" t="s">
        <v>36</v>
      </c>
      <c r="G17" s="44">
        <v>4</v>
      </c>
      <c r="H17" s="129">
        <f>IF(B$15=0,0,G17/B$15)</f>
        <v>1.7621145374449341E-2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0.52863436123348018</v>
      </c>
      <c r="E18" s="59" t="s">
        <v>162</v>
      </c>
      <c r="F18" s="56" t="s">
        <v>163</v>
      </c>
      <c r="G18" s="44">
        <v>4</v>
      </c>
      <c r="H18" s="129">
        <f>IF(B$15=0,0,G18/B$15)</f>
        <v>1.7621145374449341E-2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126</v>
      </c>
      <c r="C19" s="37">
        <f>IF(B$15=0,0,B19/B$15)</f>
        <v>0.55506607929515417</v>
      </c>
      <c r="E19" s="59" t="s">
        <v>75</v>
      </c>
      <c r="F19" s="56" t="s">
        <v>30</v>
      </c>
      <c r="G19" s="44">
        <v>3</v>
      </c>
      <c r="H19" s="129">
        <f>IF(B$15=0,0,G19/B$15)</f>
        <v>1.3215859030837005E-2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 t="shared" si="2"/>
        <v>-15.16935483870968</v>
      </c>
      <c r="P19" s="115">
        <v>62</v>
      </c>
      <c r="Q19" s="103">
        <v>-940.50000000000011</v>
      </c>
    </row>
    <row r="20" spans="1:17" x14ac:dyDescent="0.45">
      <c r="A20" s="51" t="s">
        <v>193</v>
      </c>
      <c r="B20" s="44">
        <v>66</v>
      </c>
      <c r="C20" s="37">
        <f>IF(B$15=0,0,B20/B$15)</f>
        <v>0.29074889867841408</v>
      </c>
      <c r="E20" s="59" t="s">
        <v>91</v>
      </c>
      <c r="F20" s="56" t="s">
        <v>46</v>
      </c>
      <c r="G20" s="44">
        <v>1</v>
      </c>
      <c r="H20" s="129">
        <f>IF(B$15=0,0,G20/B$15)</f>
        <v>4.4052863436123352E-3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-15.669230769230769</v>
      </c>
      <c r="P20" s="115">
        <v>26</v>
      </c>
      <c r="Q20" s="103">
        <v>-407.4</v>
      </c>
    </row>
    <row r="21" spans="1:17" x14ac:dyDescent="0.45">
      <c r="A21" s="51" t="s">
        <v>194</v>
      </c>
      <c r="B21" s="44">
        <v>35</v>
      </c>
      <c r="C21" s="37">
        <f>IF(B$15=0,0,B21/B$15)</f>
        <v>0.15418502202643172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7816.7400881057265</v>
      </c>
      <c r="C22" s="39">
        <v>1774400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8450.9316770186342</v>
      </c>
      <c r="C23" s="137">
        <v>1360600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-7814.3790849673205</v>
      </c>
      <c r="C25" s="137">
        <v>-1195600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3.5629453681710215E-3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7.4889867841409691E-2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0.17180616740088106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0.22907488986784141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0.14977973568281938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0.17180616740088106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0.1013215859030837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5.7268722466960353E-2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2.643171806167401E-2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4.4052863436123352E-3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4.4052863436123352E-3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8.8105726872246704E-3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</sheetData>
  <sortState xmlns:xlrd2="http://schemas.microsoft.com/office/spreadsheetml/2017/richdata2" ref="E2:I10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3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133</v>
      </c>
      <c r="C2" s="155"/>
      <c r="E2" s="58" t="s">
        <v>66</v>
      </c>
      <c r="F2" s="55" t="s">
        <v>22</v>
      </c>
      <c r="G2" s="43">
        <v>267</v>
      </c>
      <c r="H2" s="128">
        <f>IF(B$15=0,0,G2/B$15)</f>
        <v>0.90202702702702697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1349.624060150376</v>
      </c>
      <c r="P2" s="114">
        <v>133</v>
      </c>
      <c r="Q2" s="98">
        <v>179500</v>
      </c>
    </row>
    <row r="3" spans="1:17" x14ac:dyDescent="0.45">
      <c r="A3" s="51" t="s">
        <v>8</v>
      </c>
      <c r="B3" s="156">
        <v>1083</v>
      </c>
      <c r="C3" s="157"/>
      <c r="E3" s="59" t="s">
        <v>72</v>
      </c>
      <c r="F3" s="56" t="s">
        <v>27</v>
      </c>
      <c r="G3" s="44">
        <v>164</v>
      </c>
      <c r="H3" s="129">
        <f>IF(B$15=0,0,G3/B$15)</f>
        <v>0.55405405405405406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-1967.9389312977098</v>
      </c>
      <c r="P3" s="115">
        <v>131</v>
      </c>
      <c r="Q3" s="99">
        <v>-257800</v>
      </c>
    </row>
    <row r="4" spans="1:17" x14ac:dyDescent="0.45">
      <c r="A4" s="51" t="s">
        <v>6</v>
      </c>
      <c r="B4" s="158">
        <v>512.90000000000043</v>
      </c>
      <c r="C4" s="159"/>
      <c r="E4" s="59" t="s">
        <v>64</v>
      </c>
      <c r="F4" s="56" t="s">
        <v>20</v>
      </c>
      <c r="G4" s="44">
        <v>162</v>
      </c>
      <c r="H4" s="129">
        <f>IF(B$15=0,0,G4/B$15)</f>
        <v>0.54729729729729726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-423.52941176470586</v>
      </c>
      <c r="P4" s="115">
        <v>119</v>
      </c>
      <c r="Q4" s="99">
        <v>-50400</v>
      </c>
    </row>
    <row r="5" spans="1:17" x14ac:dyDescent="0.45">
      <c r="A5" s="51" t="s">
        <v>7</v>
      </c>
      <c r="B5" s="160">
        <f>IF(B$2=0,0,B$4/B$2)</f>
        <v>3.8563909774436125</v>
      </c>
      <c r="C5" s="161"/>
      <c r="E5" s="59" t="s">
        <v>67</v>
      </c>
      <c r="F5" s="56" t="s">
        <v>23</v>
      </c>
      <c r="G5" s="44">
        <v>123</v>
      </c>
      <c r="H5" s="129">
        <f>IF(B$15=0,0,G5/B$15)</f>
        <v>0.41554054054054052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2249.1071428571427</v>
      </c>
      <c r="P5" s="115">
        <v>112</v>
      </c>
      <c r="Q5" s="99">
        <v>251900</v>
      </c>
    </row>
    <row r="6" spans="1:17" x14ac:dyDescent="0.45">
      <c r="A6" s="51" t="s">
        <v>1</v>
      </c>
      <c r="B6" s="150">
        <f>IF(B$2=0,0,(B$7*1+B$8*2+B$9*3)/B$2)</f>
        <v>1.9248120300751879</v>
      </c>
      <c r="C6" s="151"/>
      <c r="E6" s="59" t="s">
        <v>68</v>
      </c>
      <c r="F6" s="56" t="s">
        <v>12</v>
      </c>
      <c r="G6" s="44">
        <v>118</v>
      </c>
      <c r="H6" s="129">
        <f>IF(B$15=0,0,G6/B$15)</f>
        <v>0.39864864864864863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1698</v>
      </c>
      <c r="P6" s="115">
        <v>100</v>
      </c>
      <c r="Q6" s="99">
        <v>169800</v>
      </c>
    </row>
    <row r="7" spans="1:17" x14ac:dyDescent="0.45">
      <c r="A7" s="51" t="s">
        <v>2</v>
      </c>
      <c r="B7" s="44">
        <v>53</v>
      </c>
      <c r="C7" s="37">
        <f t="shared" ref="C7:C10" si="1">IF(B$2=0,0,B7/B$2)</f>
        <v>0.39849624060150374</v>
      </c>
      <c r="E7" s="59" t="s">
        <v>166</v>
      </c>
      <c r="F7" s="56" t="s">
        <v>167</v>
      </c>
      <c r="G7" s="44">
        <v>107</v>
      </c>
      <c r="H7" s="129">
        <f>IF(B$15=0,0,G7/B$15)</f>
        <v>0.36148648648648651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143.58974358974359</v>
      </c>
      <c r="P7" s="116">
        <v>78</v>
      </c>
      <c r="Q7" s="100">
        <v>11200</v>
      </c>
    </row>
    <row r="8" spans="1:17" x14ac:dyDescent="0.45">
      <c r="A8" s="51" t="s">
        <v>3</v>
      </c>
      <c r="B8" s="44">
        <v>37</v>
      </c>
      <c r="C8" s="37">
        <f t="shared" si="1"/>
        <v>0.2781954887218045</v>
      </c>
      <c r="E8" s="59" t="s">
        <v>89</v>
      </c>
      <c r="F8" s="56" t="s">
        <v>44</v>
      </c>
      <c r="G8" s="44">
        <v>74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0.32330827067669171</v>
      </c>
      <c r="E9" s="59" t="s">
        <v>69</v>
      </c>
      <c r="F9" s="56" t="s">
        <v>24</v>
      </c>
      <c r="G9" s="44">
        <v>64</v>
      </c>
      <c r="H9" s="129">
        <f>IF(B$15=0,0,G9/B$15)</f>
        <v>0.21621621621621623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16</v>
      </c>
      <c r="C10" s="40">
        <f t="shared" si="1"/>
        <v>0.12030075187969924</v>
      </c>
      <c r="E10" s="59" t="s">
        <v>65</v>
      </c>
      <c r="F10" s="56" t="s">
        <v>21</v>
      </c>
      <c r="G10" s="44">
        <v>43</v>
      </c>
      <c r="H10" s="129">
        <f>IF(B$15=0,0,G10/B$15)</f>
        <v>0.14527027027027026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-8.8000000000000007</v>
      </c>
      <c r="P10" s="114">
        <v>36</v>
      </c>
      <c r="Q10" s="102">
        <v>-316.8</v>
      </c>
    </row>
    <row r="11" spans="1:17" x14ac:dyDescent="0.45">
      <c r="A11" s="54" t="s">
        <v>121</v>
      </c>
      <c r="B11" s="47">
        <v>325</v>
      </c>
      <c r="C11" s="42">
        <f>IF(B$3=0,0,B11/B$3)</f>
        <v>0.30009233610341646</v>
      </c>
      <c r="E11" s="59" t="s">
        <v>70</v>
      </c>
      <c r="F11" s="56" t="s">
        <v>25</v>
      </c>
      <c r="G11" s="44">
        <v>33</v>
      </c>
      <c r="H11" s="129">
        <f>IF(B$15=0,0,G11/B$15)</f>
        <v>0.11148648648648649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6.5529411764705872</v>
      </c>
      <c r="P11" s="115">
        <v>51</v>
      </c>
      <c r="Q11" s="103">
        <v>334.19999999999993</v>
      </c>
    </row>
    <row r="12" spans="1:17" x14ac:dyDescent="0.45">
      <c r="A12" s="51" t="s">
        <v>118</v>
      </c>
      <c r="B12" s="44">
        <v>199</v>
      </c>
      <c r="C12" s="37">
        <f>IF(B$3=0,0,B12/B$3)</f>
        <v>0.18374884579870729</v>
      </c>
      <c r="E12" s="59" t="s">
        <v>162</v>
      </c>
      <c r="F12" s="56" t="s">
        <v>163</v>
      </c>
      <c r="G12" s="44">
        <v>17</v>
      </c>
      <c r="H12" s="129">
        <f>IF(B$15=0,0,G12/B$15)</f>
        <v>5.7432432432432436E-2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10.771739130434783</v>
      </c>
      <c r="P12" s="116">
        <v>46</v>
      </c>
      <c r="Q12" s="104">
        <v>495.5</v>
      </c>
    </row>
    <row r="13" spans="1:17" x14ac:dyDescent="0.45">
      <c r="A13" s="50" t="s">
        <v>123</v>
      </c>
      <c r="B13" s="43">
        <f>B19</f>
        <v>179</v>
      </c>
      <c r="C13" s="35">
        <f>IF(B$11=0,0,B13/B$11)</f>
        <v>0.55076923076923079</v>
      </c>
      <c r="E13" s="59" t="s">
        <v>71</v>
      </c>
      <c r="F13" s="56" t="s">
        <v>26</v>
      </c>
      <c r="G13" s="44">
        <v>15</v>
      </c>
      <c r="H13" s="129">
        <f>IF(B$15=0,0,G13/B$15)</f>
        <v>5.0675675675675678E-2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</v>
      </c>
      <c r="C14" s="35">
        <f>IF(B$12=0,0,B14/B$12)</f>
        <v>0.37688442211055279</v>
      </c>
      <c r="E14" s="59" t="s">
        <v>83</v>
      </c>
      <c r="F14" s="56" t="s">
        <v>38</v>
      </c>
      <c r="G14" s="44">
        <v>10</v>
      </c>
      <c r="H14" s="129">
        <f>IF(B$15=0,0,G14/B$15)</f>
        <v>3.3783783783783786E-2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296</v>
      </c>
      <c r="C15" s="35">
        <f>IF(B$3=0,0,B15/B$3)</f>
        <v>0.27331486611265005</v>
      </c>
      <c r="E15" s="59" t="s">
        <v>86</v>
      </c>
      <c r="F15" s="56" t="s">
        <v>41</v>
      </c>
      <c r="G15" s="44">
        <v>10</v>
      </c>
      <c r="H15" s="129">
        <f>IF(B$15=0,0,G15/B$15)</f>
        <v>3.3783783783783786E-2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188</v>
      </c>
      <c r="C16" s="37">
        <f>IF(B$3=0,0,B16/B$3)</f>
        <v>0.17359187442289936</v>
      </c>
      <c r="E16" s="59" t="s">
        <v>92</v>
      </c>
      <c r="F16" s="56" t="s">
        <v>47</v>
      </c>
      <c r="G16" s="44">
        <v>6</v>
      </c>
      <c r="H16" s="129">
        <f>IF(B$15=0,0,G16/B$15)</f>
        <v>2.0270270270270271E-2</v>
      </c>
      <c r="I16" s="90">
        <v>1</v>
      </c>
      <c r="K16" s="36">
        <v>14</v>
      </c>
      <c r="L16" s="95">
        <v>-86.499999999999972</v>
      </c>
      <c r="N16" s="111" t="s">
        <v>161</v>
      </c>
      <c r="O16" s="121">
        <f>IF(P16=0,0,Q16/P16)</f>
        <v>26.930769230769229</v>
      </c>
      <c r="P16" s="115">
        <v>26</v>
      </c>
      <c r="Q16" s="103">
        <v>700.19999999999993</v>
      </c>
    </row>
    <row r="17" spans="1:17" x14ac:dyDescent="0.45">
      <c r="A17" s="51" t="s">
        <v>12</v>
      </c>
      <c r="B17" s="44">
        <v>152</v>
      </c>
      <c r="C17" s="37">
        <f>IF(B$15=0,0,B17/B$15)</f>
        <v>0.51351351351351349</v>
      </c>
      <c r="E17" s="59" t="s">
        <v>91</v>
      </c>
      <c r="F17" s="56" t="s">
        <v>46</v>
      </c>
      <c r="G17" s="44">
        <v>5</v>
      </c>
      <c r="H17" s="129">
        <f>IF(B$15=0,0,G17/B$15)</f>
        <v>1.6891891891891893E-2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11.178571428571431</v>
      </c>
      <c r="P17" s="115">
        <v>28</v>
      </c>
      <c r="Q17" s="103">
        <v>313.00000000000006</v>
      </c>
    </row>
    <row r="18" spans="1:17" x14ac:dyDescent="0.45">
      <c r="A18" s="51" t="s">
        <v>11</v>
      </c>
      <c r="B18" s="44">
        <v>144</v>
      </c>
      <c r="C18" s="37">
        <f>IF(B$15=0,0,B18/B$15)</f>
        <v>0.48648648648648651</v>
      </c>
      <c r="E18" s="59" t="s">
        <v>78</v>
      </c>
      <c r="F18" s="56" t="s">
        <v>33</v>
      </c>
      <c r="G18" s="44">
        <v>4</v>
      </c>
      <c r="H18" s="129">
        <f>IF(B$15=0,0,G18/B$15)</f>
        <v>1.3513513513513514E-2</v>
      </c>
      <c r="I18" s="90">
        <v>8</v>
      </c>
      <c r="K18" s="36">
        <v>16</v>
      </c>
      <c r="L18" s="95">
        <v>-63.099999999999966</v>
      </c>
      <c r="N18" s="111" t="s">
        <v>171</v>
      </c>
      <c r="O18" s="121">
        <f>IF(P18=0,0,Q18/P18)</f>
        <v>10.093650793650792</v>
      </c>
      <c r="P18" s="115">
        <v>63</v>
      </c>
      <c r="Q18" s="103">
        <v>635.89999999999986</v>
      </c>
    </row>
    <row r="19" spans="1:17" x14ac:dyDescent="0.45">
      <c r="A19" s="51" t="s">
        <v>195</v>
      </c>
      <c r="B19" s="44">
        <v>179</v>
      </c>
      <c r="C19" s="37">
        <f>IF(B$15=0,0,B19/B$15)</f>
        <v>0.60472972972972971</v>
      </c>
      <c r="E19" s="59" t="s">
        <v>81</v>
      </c>
      <c r="F19" s="56" t="s">
        <v>36</v>
      </c>
      <c r="G19" s="44">
        <v>4</v>
      </c>
      <c r="H19" s="129">
        <f>IF(B$15=0,0,G19/B$15)</f>
        <v>1.3513513513513514E-2</v>
      </c>
      <c r="I19" s="90">
        <v>10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75</v>
      </c>
      <c r="C20" s="37">
        <f>IF(B$15=0,0,B20/B$15)</f>
        <v>0.2533783783783784</v>
      </c>
      <c r="E20" s="59" t="s">
        <v>79</v>
      </c>
      <c r="F20" s="56" t="s">
        <v>34</v>
      </c>
      <c r="G20" s="44">
        <v>3</v>
      </c>
      <c r="H20" s="129">
        <f>IF(B$15=0,0,G20/B$15)</f>
        <v>1.0135135135135136E-2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3.1222222222222205</v>
      </c>
      <c r="P20" s="115">
        <v>54</v>
      </c>
      <c r="Q20" s="103">
        <v>168.59999999999991</v>
      </c>
    </row>
    <row r="21" spans="1:17" x14ac:dyDescent="0.45">
      <c r="A21" s="51" t="s">
        <v>194</v>
      </c>
      <c r="B21" s="44">
        <v>42</v>
      </c>
      <c r="C21" s="37">
        <f>IF(B$15=0,0,B21/B$15)</f>
        <v>0.14189189189189189</v>
      </c>
      <c r="E21" s="59" t="s">
        <v>85</v>
      </c>
      <c r="F21" s="56" t="s">
        <v>40</v>
      </c>
      <c r="G21" s="44">
        <v>3</v>
      </c>
      <c r="H21" s="129">
        <f>IF(B$15=0,0,G21/B$15)</f>
        <v>1.0135135135135136E-2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>IF(P21=0,0,Q21/P21)</f>
        <v>-3.1545454545454574</v>
      </c>
      <c r="P21" s="115">
        <v>55</v>
      </c>
      <c r="Q21" s="103">
        <v>-173.50000000000017</v>
      </c>
    </row>
    <row r="22" spans="1:17" x14ac:dyDescent="0.45">
      <c r="A22" s="51" t="s">
        <v>5</v>
      </c>
      <c r="B22" s="48">
        <f>IF(B$15=0,0,C22/B$15)</f>
        <v>10950</v>
      </c>
      <c r="C22" s="39">
        <v>3241200</v>
      </c>
      <c r="E22" s="59" t="s">
        <v>73</v>
      </c>
      <c r="F22" s="56" t="s">
        <v>28</v>
      </c>
      <c r="G22" s="44">
        <v>2</v>
      </c>
      <c r="H22" s="129">
        <f>IF(B$15=0,0,G22/B$15)</f>
        <v>6.7567567567567571E-3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11579.185520361991</v>
      </c>
      <c r="C23" s="137">
        <v>2559000</v>
      </c>
      <c r="E23" s="59" t="s">
        <v>75</v>
      </c>
      <c r="F23" s="56" t="s">
        <v>30</v>
      </c>
      <c r="G23" s="44">
        <v>2</v>
      </c>
      <c r="H23" s="129">
        <f>IF(B$15=0,0,G23/B$15)</f>
        <v>6.7567567567567571E-3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6.7567567567567571E-3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-7993.6170212765956</v>
      </c>
      <c r="C25" s="137">
        <v>-1502800</v>
      </c>
      <c r="E25" s="59" t="s">
        <v>90</v>
      </c>
      <c r="F25" s="56" t="s">
        <v>45</v>
      </c>
      <c r="G25" s="44">
        <v>2</v>
      </c>
      <c r="H25" s="129">
        <f>IF(B$15=0,0,G25/B$15)</f>
        <v>6.7567567567567571E-3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3.3783783783783786E-3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3.3783783783783786E-3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3.3783783783783786E-3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1.8467220683287165E-3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2.7027027027027029E-2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23</v>
      </c>
      <c r="C33" s="37">
        <f t="shared" ref="C33:C44" si="2">IF(B$15=0,0,B33/B$15)</f>
        <v>7.77027027027027E-2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7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0.13175675675675674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55</v>
      </c>
      <c r="C35" s="37">
        <f t="shared" si="2"/>
        <v>0.1858108108108108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66</v>
      </c>
      <c r="C36" s="37">
        <f t="shared" si="2"/>
        <v>0.22297297297297297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42</v>
      </c>
      <c r="C37" s="37">
        <f t="shared" si="2"/>
        <v>0.14189189189189189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2"/>
        <v>7.4324324324324328E-2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2"/>
        <v>6.4189189189189186E-2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7</v>
      </c>
      <c r="C40" s="37">
        <f t="shared" si="2"/>
        <v>2.364864864864865E-2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1.0135135135135136E-2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6.7567567567567571E-3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3.3783783783783786E-3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9</v>
      </c>
      <c r="C44" s="40">
        <f t="shared" si="2"/>
        <v>3.0405405405405407E-2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0.7357357357357357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-207.53424657534248</v>
      </c>
      <c r="P2" s="114">
        <v>146</v>
      </c>
      <c r="Q2" s="98">
        <v>-30300</v>
      </c>
    </row>
    <row r="3" spans="1:17" x14ac:dyDescent="0.45">
      <c r="A3" s="51" t="s">
        <v>8</v>
      </c>
      <c r="B3" s="156">
        <v>1182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0.56156156156156156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264.33566433566432</v>
      </c>
      <c r="P3" s="115">
        <v>143</v>
      </c>
      <c r="Q3" s="99">
        <v>37800</v>
      </c>
    </row>
    <row r="4" spans="1:17" x14ac:dyDescent="0.45">
      <c r="A4" s="51" t="s">
        <v>6</v>
      </c>
      <c r="B4" s="158">
        <v>-28.099999999999977</v>
      </c>
      <c r="C4" s="159"/>
      <c r="E4" s="59" t="s">
        <v>64</v>
      </c>
      <c r="F4" s="56" t="s">
        <v>20</v>
      </c>
      <c r="G4" s="44">
        <v>164</v>
      </c>
      <c r="H4" s="129">
        <f>IF(B$15=0,0,G4/B$15)</f>
        <v>0.4924924924924925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178.5185185185185</v>
      </c>
      <c r="P4" s="115">
        <v>135</v>
      </c>
      <c r="Q4" s="99">
        <v>24100</v>
      </c>
    </row>
    <row r="5" spans="1:17" x14ac:dyDescent="0.45">
      <c r="A5" s="51" t="s">
        <v>7</v>
      </c>
      <c r="B5" s="160">
        <f>IF(B$2=0,0,B$4/B$2)</f>
        <v>-0.19246575342465738</v>
      </c>
      <c r="C5" s="161"/>
      <c r="E5" s="59" t="s">
        <v>166</v>
      </c>
      <c r="F5" s="56" t="s">
        <v>167</v>
      </c>
      <c r="G5" s="44">
        <v>145</v>
      </c>
      <c r="H5" s="129">
        <f>IF(B$15=0,0,G5/B$15)</f>
        <v>0.43543543543543545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376.61290322580646</v>
      </c>
      <c r="P5" s="115">
        <v>124</v>
      </c>
      <c r="Q5" s="99">
        <v>46700</v>
      </c>
    </row>
    <row r="6" spans="1:17" x14ac:dyDescent="0.45">
      <c r="A6" s="51" t="s">
        <v>1</v>
      </c>
      <c r="B6" s="150">
        <f>IF(B$2=0,0,(B$7*1+B$8*2+B$9*3)/B$2)</f>
        <v>2.0410958904109591</v>
      </c>
      <c r="C6" s="151"/>
      <c r="E6" s="59" t="s">
        <v>67</v>
      </c>
      <c r="F6" s="56" t="s">
        <v>23</v>
      </c>
      <c r="G6" s="44">
        <v>110</v>
      </c>
      <c r="H6" s="129">
        <f>IF(B$15=0,0,G6/B$15)</f>
        <v>0.33033033033033032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144.24778761061947</v>
      </c>
      <c r="P6" s="115">
        <v>113</v>
      </c>
      <c r="Q6" s="99">
        <v>16300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0.25342465753424659</v>
      </c>
      <c r="E7" s="59" t="s">
        <v>68</v>
      </c>
      <c r="F7" s="56" t="s">
        <v>12</v>
      </c>
      <c r="G7" s="44">
        <v>105</v>
      </c>
      <c r="H7" s="129">
        <f>IF(B$15=0,0,G7/B$15)</f>
        <v>0.31531531531531531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-622.91666666666663</v>
      </c>
      <c r="P7" s="116">
        <v>96</v>
      </c>
      <c r="Q7" s="100">
        <v>-59800</v>
      </c>
    </row>
    <row r="8" spans="1:17" x14ac:dyDescent="0.45">
      <c r="A8" s="51" t="s">
        <v>3</v>
      </c>
      <c r="B8" s="44">
        <v>66</v>
      </c>
      <c r="C8" s="37">
        <f t="shared" si="1"/>
        <v>0.45205479452054792</v>
      </c>
      <c r="E8" s="59" t="s">
        <v>89</v>
      </c>
      <c r="F8" s="56" t="s">
        <v>44</v>
      </c>
      <c r="G8" s="44">
        <v>46</v>
      </c>
      <c r="H8" s="129">
        <f>IF(B$15=0,0,G8/B$15)</f>
        <v>0.13813813813813813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0.29452054794520549</v>
      </c>
      <c r="E9" s="59" t="s">
        <v>69</v>
      </c>
      <c r="F9" s="56" t="s">
        <v>24</v>
      </c>
      <c r="G9" s="44">
        <v>45</v>
      </c>
      <c r="H9" s="129">
        <f>IF(B$15=0,0,G9/B$15)</f>
        <v>0.13513513513513514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6.8493150684931503E-2</v>
      </c>
      <c r="E10" s="59" t="s">
        <v>71</v>
      </c>
      <c r="F10" s="56" t="s">
        <v>26</v>
      </c>
      <c r="G10" s="44">
        <v>31</v>
      </c>
      <c r="H10" s="129">
        <f>IF(B$15=0,0,G10/B$15)</f>
        <v>9.3093093093093091E-2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-2.6033333333333339</v>
      </c>
      <c r="P10" s="114">
        <v>60</v>
      </c>
      <c r="Q10" s="102">
        <v>-156.20000000000005</v>
      </c>
    </row>
    <row r="11" spans="1:17" x14ac:dyDescent="0.45">
      <c r="A11" s="54" t="s">
        <v>121</v>
      </c>
      <c r="B11" s="47">
        <v>306</v>
      </c>
      <c r="C11" s="42">
        <f>IF(B$3=0,0,B11/B$3)</f>
        <v>0.25888324873096447</v>
      </c>
      <c r="E11" s="59" t="s">
        <v>65</v>
      </c>
      <c r="F11" s="56" t="s">
        <v>21</v>
      </c>
      <c r="G11" s="44">
        <v>27</v>
      </c>
      <c r="H11" s="129">
        <f>IF(B$15=0,0,G11/B$15)</f>
        <v>8.1081081081081086E-2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1.6413043478260876</v>
      </c>
      <c r="P11" s="115">
        <v>46</v>
      </c>
      <c r="Q11" s="103">
        <v>75.500000000000028</v>
      </c>
    </row>
    <row r="12" spans="1:17" x14ac:dyDescent="0.45">
      <c r="A12" s="51" t="s">
        <v>118</v>
      </c>
      <c r="B12" s="44">
        <v>275</v>
      </c>
      <c r="C12" s="37">
        <f>IF(B$3=0,0,B12/B$3)</f>
        <v>0.2326565143824027</v>
      </c>
      <c r="E12" s="59" t="s">
        <v>70</v>
      </c>
      <c r="F12" s="56" t="s">
        <v>25</v>
      </c>
      <c r="G12" s="44">
        <v>23</v>
      </c>
      <c r="H12" s="129">
        <f>IF(B$15=0,0,G12/B$15)</f>
        <v>6.9069069069069067E-2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1.3149999999999997</v>
      </c>
      <c r="P12" s="116">
        <v>40</v>
      </c>
      <c r="Q12" s="104">
        <v>52.599999999999987</v>
      </c>
    </row>
    <row r="13" spans="1:17" x14ac:dyDescent="0.45">
      <c r="A13" s="50" t="s">
        <v>123</v>
      </c>
      <c r="B13" s="43">
        <f>B19</f>
        <v>170</v>
      </c>
      <c r="C13" s="35">
        <f>IF(B$11=0,0,B13/B$11)</f>
        <v>0.55555555555555558</v>
      </c>
      <c r="E13" s="59" t="s">
        <v>86</v>
      </c>
      <c r="F13" s="56" t="s">
        <v>41</v>
      </c>
      <c r="G13" s="44">
        <v>16</v>
      </c>
      <c r="H13" s="129">
        <f>IF(B$15=0,0,G13/B$15)</f>
        <v>4.8048048048048048E-2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117</v>
      </c>
      <c r="C14" s="35">
        <f>IF(B$12=0,0,B14/B$12)</f>
        <v>0.42545454545454547</v>
      </c>
      <c r="E14" s="59" t="s">
        <v>83</v>
      </c>
      <c r="F14" s="56" t="s">
        <v>38</v>
      </c>
      <c r="G14" s="44">
        <v>13</v>
      </c>
      <c r="H14" s="129">
        <f>IF(B$15=0,0,G14/B$15)</f>
        <v>3.903903903903904E-2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333</v>
      </c>
      <c r="C15" s="35">
        <f>IF(B$3=0,0,B15/B$3)</f>
        <v>0.28172588832487311</v>
      </c>
      <c r="E15" s="59" t="s">
        <v>79</v>
      </c>
      <c r="F15" s="56" t="s">
        <v>34</v>
      </c>
      <c r="G15" s="44">
        <v>7</v>
      </c>
      <c r="H15" s="129">
        <f>IF(B$15=0,0,G15/B$15)</f>
        <v>2.1021021021021023E-2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164</v>
      </c>
      <c r="C16" s="37">
        <f>IF(B$3=0,0,B16/B$3)</f>
        <v>0.13874788494077833</v>
      </c>
      <c r="E16" s="59" t="s">
        <v>78</v>
      </c>
      <c r="F16" s="56" t="s">
        <v>33</v>
      </c>
      <c r="G16" s="44">
        <v>6</v>
      </c>
      <c r="H16" s="129">
        <f>IF(B$15=0,0,G16/B$15)</f>
        <v>1.8018018018018018E-2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149</v>
      </c>
      <c r="C17" s="37">
        <f>IF(B$15=0,0,B17/B$15)</f>
        <v>0.44744744744744747</v>
      </c>
      <c r="E17" s="59" t="s">
        <v>162</v>
      </c>
      <c r="F17" s="56" t="s">
        <v>163</v>
      </c>
      <c r="G17" s="44">
        <v>6</v>
      </c>
      <c r="H17" s="129">
        <f>IF(B$15=0,0,G17/B$15)</f>
        <v>1.8018018018018018E-2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184</v>
      </c>
      <c r="C18" s="37">
        <f>IF(B$15=0,0,B18/B$15)</f>
        <v>0.55255255255255253</v>
      </c>
      <c r="E18" s="59" t="s">
        <v>73</v>
      </c>
      <c r="F18" s="56" t="s">
        <v>28</v>
      </c>
      <c r="G18" s="44">
        <v>5</v>
      </c>
      <c r="H18" s="129">
        <f>IF(B$15=0,0,G18/B$15)</f>
        <v>1.5015015015015015E-2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170</v>
      </c>
      <c r="C19" s="37">
        <f>IF(B$15=0,0,B19/B$15)</f>
        <v>0.51051051051051055</v>
      </c>
      <c r="E19" s="59" t="s">
        <v>81</v>
      </c>
      <c r="F19" s="56" t="s">
        <v>36</v>
      </c>
      <c r="G19" s="44">
        <v>5</v>
      </c>
      <c r="H19" s="129">
        <f>IF(B$15=0,0,G19/B$15)</f>
        <v>1.5015015015015015E-2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117</v>
      </c>
      <c r="C20" s="37">
        <f>IF(B$15=0,0,B20/B$15)</f>
        <v>0.35135135135135137</v>
      </c>
      <c r="E20" s="59" t="s">
        <v>85</v>
      </c>
      <c r="F20" s="56" t="s">
        <v>40</v>
      </c>
      <c r="G20" s="44">
        <v>3</v>
      </c>
      <c r="H20" s="129">
        <f>IF(B$15=0,0,G20/B$15)</f>
        <v>9.0090090090090089E-3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46</v>
      </c>
      <c r="C21" s="37">
        <f>IF(B$15=0,0,B21/B$15)</f>
        <v>0.13813813813813813</v>
      </c>
      <c r="E21" s="59" t="s">
        <v>91</v>
      </c>
      <c r="F21" s="56" t="s">
        <v>46</v>
      </c>
      <c r="G21" s="44">
        <v>3</v>
      </c>
      <c r="H21" s="129">
        <f>IF(B$15=0,0,G21/B$15)</f>
        <v>9.0090090090090089E-3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3.2271186440677964</v>
      </c>
      <c r="P21" s="115">
        <v>59</v>
      </c>
      <c r="Q21" s="103">
        <v>190.39999999999998</v>
      </c>
    </row>
    <row r="22" spans="1:17" x14ac:dyDescent="0.45">
      <c r="A22" s="51" t="s">
        <v>5</v>
      </c>
      <c r="B22" s="48">
        <f>IF(B$15=0,0,C22/B$15)</f>
        <v>8336.3363363363369</v>
      </c>
      <c r="C22" s="39">
        <v>2776000</v>
      </c>
      <c r="E22" s="59" t="s">
        <v>75</v>
      </c>
      <c r="F22" s="56" t="s">
        <v>30</v>
      </c>
      <c r="G22" s="44">
        <v>2</v>
      </c>
      <c r="H22" s="129">
        <f>IF(B$15=0,0,G22/B$15)</f>
        <v>6.006006006006006E-3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1.6968750000000004</v>
      </c>
      <c r="P22" s="115">
        <v>32</v>
      </c>
      <c r="Q22" s="103">
        <v>54.300000000000011</v>
      </c>
    </row>
    <row r="23" spans="1:17" x14ac:dyDescent="0.45">
      <c r="A23" s="52" t="s">
        <v>177</v>
      </c>
      <c r="B23" s="136">
        <f>IF($B$15-B$14=0,0,C23/($B$15-B$14))</f>
        <v>9336.5740740740748</v>
      </c>
      <c r="C23" s="137">
        <v>2016700</v>
      </c>
      <c r="E23" s="59" t="s">
        <v>92</v>
      </c>
      <c r="F23" s="56" t="s">
        <v>47</v>
      </c>
      <c r="G23" s="44">
        <v>2</v>
      </c>
      <c r="H23" s="129">
        <f>IF(B$15=0,0,G23/B$15)</f>
        <v>6.006006006006006E-3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-10.093650793650792</v>
      </c>
      <c r="P23" s="115">
        <v>63</v>
      </c>
      <c r="Q23" s="103">
        <v>-635.89999999999986</v>
      </c>
    </row>
    <row r="24" spans="1:17" x14ac:dyDescent="0.45">
      <c r="A24" s="52" t="s">
        <v>178</v>
      </c>
      <c r="B24" s="136">
        <f>IF(B$14=0,0,C24/B$14)</f>
        <v>6489.7435897435898</v>
      </c>
      <c r="C24" s="137">
        <v>759300</v>
      </c>
      <c r="E24" s="59" t="s">
        <v>74</v>
      </c>
      <c r="F24" s="56" t="s">
        <v>29</v>
      </c>
      <c r="G24" s="44">
        <v>1</v>
      </c>
      <c r="H24" s="129">
        <f>IF(B$15=0,0,G24/B$15)</f>
        <v>3.003003003003003E-3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 t="shared" si="2"/>
        <v>-11.989855072463769</v>
      </c>
      <c r="P24" s="115">
        <v>69</v>
      </c>
      <c r="Q24" s="103">
        <v>-827.30000000000007</v>
      </c>
    </row>
    <row r="25" spans="1:17" x14ac:dyDescent="0.45">
      <c r="A25" s="52" t="s">
        <v>176</v>
      </c>
      <c r="B25" s="136">
        <f>IF(B$16=0,0,C25/B$16)</f>
        <v>-6992.0731707317073</v>
      </c>
      <c r="C25" s="137">
        <v>-1146700</v>
      </c>
      <c r="E25" s="59" t="s">
        <v>87</v>
      </c>
      <c r="F25" s="56" t="s">
        <v>42</v>
      </c>
      <c r="G25" s="44">
        <v>1</v>
      </c>
      <c r="H25" s="129">
        <f>IF(B$15=0,0,G25/B$15)</f>
        <v>3.003003003003003E-3</v>
      </c>
      <c r="I25" s="90">
        <v>4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1</v>
      </c>
      <c r="H26" s="129">
        <f>IF(B$15=0,0,G26/B$15)</f>
        <v>3.003003003003003E-3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3.003003003003003E-3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3.003003003003003E-3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1.6920473773265651E-3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6.006006006006006E-2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62</v>
      </c>
      <c r="C33" s="37">
        <f t="shared" ref="C33:C44" si="3">IF(B$15=0,0,B33/B$15)</f>
        <v>0.18618618618618618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67</v>
      </c>
      <c r="C34" s="37">
        <f>IF(B$15=0,0,B34/B$15)</f>
        <v>0.20120120120120119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61</v>
      </c>
      <c r="C35" s="37">
        <f t="shared" si="3"/>
        <v>0.18318318318318319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48</v>
      </c>
      <c r="C36" s="37">
        <f t="shared" si="3"/>
        <v>0.14414414414414414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38</v>
      </c>
      <c r="C37" s="37">
        <f t="shared" si="3"/>
        <v>0.11411411411411411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18</v>
      </c>
      <c r="C38" s="37">
        <f t="shared" si="3"/>
        <v>5.4054054054054057E-2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2.1021021021021023E-2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9.0090090090090089E-3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6.006006006006006E-3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3.003003003003003E-3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6.006006006006006E-3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4</v>
      </c>
      <c r="C44" s="40">
        <f t="shared" si="3"/>
        <v>1.2012012012012012E-2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</sheetData>
  <sortState xmlns:xlrd2="http://schemas.microsoft.com/office/spreadsheetml/2017/richdata2" ref="E2:I14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8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2020-01-17T06:28:32Z</dcterms:modified>
</cp:coreProperties>
</file>