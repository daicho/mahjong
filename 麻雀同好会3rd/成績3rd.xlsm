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9ADA42B9-5693-46EA-8B93-4B10247A3AFE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20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19" i="6345"/>
  <c r="O21" i="6345" l="1"/>
  <c r="O22" i="6339"/>
  <c r="O25" i="6349"/>
  <c r="O17" i="6353"/>
  <c r="O15" i="6353"/>
  <c r="O21" i="6351"/>
  <c r="O15" i="6341" l="1"/>
  <c r="O20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9" i="6339" l="1"/>
  <c r="O20" i="6343"/>
  <c r="O18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8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7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7" i="6347"/>
  <c r="H8" i="6347"/>
  <c r="H28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3" i="6347"/>
  <c r="C32" i="6347"/>
  <c r="H37" i="6347"/>
  <c r="H40" i="6347"/>
  <c r="C40" i="6347"/>
  <c r="H44" i="6347"/>
  <c r="H48" i="6347"/>
  <c r="H5" i="6347"/>
  <c r="H10" i="6347"/>
  <c r="H23" i="6347"/>
  <c r="H21" i="6347"/>
  <c r="C17" i="6347"/>
  <c r="H18" i="6347"/>
  <c r="H25" i="6347"/>
  <c r="H26" i="6347"/>
  <c r="H39" i="6347"/>
  <c r="C42" i="6347"/>
  <c r="H16" i="6347"/>
  <c r="C15" i="6347"/>
  <c r="H20" i="6347"/>
  <c r="H4" i="6347"/>
  <c r="H2" i="6347"/>
  <c r="H12" i="6347"/>
  <c r="H3" i="6347"/>
  <c r="H29" i="6347"/>
  <c r="C18" i="6347"/>
  <c r="C21" i="6347"/>
  <c r="H22" i="6347"/>
  <c r="H35" i="6347"/>
  <c r="H38" i="6347"/>
  <c r="C38" i="6347"/>
  <c r="H42" i="6347"/>
  <c r="H45" i="6347"/>
  <c r="H49" i="6347"/>
  <c r="H52" i="6347"/>
  <c r="B23" i="6347"/>
  <c r="H19" i="6347"/>
  <c r="H30" i="6347"/>
  <c r="H31" i="6347"/>
  <c r="H32" i="6347"/>
  <c r="H13" i="6347"/>
  <c r="H9" i="6347"/>
  <c r="H34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2" i="6345"/>
  <c r="H9" i="6345"/>
  <c r="H30" i="6345"/>
  <c r="C20" i="6345"/>
  <c r="H37" i="6345"/>
  <c r="C40" i="6345"/>
  <c r="H48" i="6345"/>
  <c r="H33" i="6345"/>
  <c r="C32" i="6345"/>
  <c r="H42" i="6345"/>
  <c r="H5" i="6345"/>
  <c r="H21" i="6345"/>
  <c r="C18" i="6345"/>
  <c r="H14" i="6345"/>
  <c r="H35" i="6345"/>
  <c r="H39" i="6345"/>
  <c r="H44" i="6345"/>
  <c r="H7" i="6345"/>
  <c r="H25" i="6345"/>
  <c r="C21" i="6345"/>
  <c r="H28" i="6345"/>
  <c r="H49" i="6345"/>
  <c r="C15" i="6345"/>
  <c r="H24" i="6345"/>
  <c r="H4" i="6345"/>
  <c r="H2" i="6345"/>
  <c r="H11" i="6345"/>
  <c r="H3" i="6345"/>
  <c r="H26" i="6345"/>
  <c r="C19" i="6345"/>
  <c r="H20" i="6345"/>
  <c r="H18" i="6345"/>
  <c r="H36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34" i="6345"/>
  <c r="H27" i="6345"/>
  <c r="C34" i="6345"/>
  <c r="H38" i="6345"/>
  <c r="H41" i="6345"/>
  <c r="C42" i="6345"/>
  <c r="H46" i="6345"/>
  <c r="H12" i="6345"/>
  <c r="B23" i="6345"/>
  <c r="H16" i="6345"/>
  <c r="H31" i="6345"/>
  <c r="H32" i="6345"/>
  <c r="H23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2" i="6337"/>
  <c r="H11" i="6337"/>
  <c r="H27" i="6337"/>
  <c r="C14" i="6337"/>
  <c r="C14" i="6341"/>
  <c r="C15" i="6341"/>
  <c r="H6" i="6341"/>
  <c r="H21" i="6341"/>
  <c r="H8" i="6337"/>
  <c r="H10" i="6337"/>
  <c r="H22" i="6341"/>
  <c r="H16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5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2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8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9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3" i="6339"/>
  <c r="H12" i="6339"/>
  <c r="H8" i="6339"/>
  <c r="H24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0" i="6337"/>
  <c r="H21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22" i="6337"/>
  <c r="H7" i="6337"/>
  <c r="H26" i="6337"/>
  <c r="H16" i="6337"/>
  <c r="H6" i="6337"/>
  <c r="H2" i="6337"/>
  <c r="H9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19" i="6337"/>
  <c r="H28" i="6337"/>
  <c r="H29" i="6337"/>
  <c r="H24" i="6337"/>
  <c r="H15" i="6337"/>
  <c r="H13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<sst xmlns="http://schemas.openxmlformats.org/spreadsheetml/2006/main" count="3830" uniqueCount="297">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</sst>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全体!$K$2:$K$860</c:f>
              <c:numCache>
                <c:formatCode>General</c:formatCode>
                <c:ptCount val="8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</c:numCache>
            </c:numRef>
          </c:xVal>
          <c:yVal>
            <c:numRef>
              <c:f>全体!$L$2:$L$860</c:f>
              <c:numCache>
                <c:formatCode>\+0.0;\-0.0;\±0</c:formatCode>
                <c:ptCount val="85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-25.730994152046783</c:v>
                </c:pt>
                <c:pt idx="1">
                  <c:v>7.117437722419929</c:v>
                </c:pt>
                <c:pt idx="2">
                  <c:v>-6.2893081761006293</c:v>
                </c:pt>
                <c:pt idx="3">
                  <c:v>10.7095046854083</c:v>
                </c:pt>
                <c:pt idx="4">
                  <c:v>2.9112081513828238</c:v>
                </c:pt>
                <c:pt idx="5">
                  <c:v>15.706806282722512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167</c:v>
                </c:pt>
                <c:pt idx="1">
                  <c:v>357</c:v>
                </c:pt>
                <c:pt idx="2">
                  <c:v>418</c:v>
                </c:pt>
                <c:pt idx="3">
                  <c:v>378</c:v>
                </c:pt>
                <c:pt idx="4">
                  <c:v>337</c:v>
                </c:pt>
                <c:pt idx="5">
                  <c:v>224</c:v>
                </c:pt>
                <c:pt idx="6">
                  <c:v>112</c:v>
                </c:pt>
                <c:pt idx="7">
                  <c:v>61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たかの!$L$2:$L$80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2233.3333333333335</c:v>
                </c:pt>
                <c:pt idx="1">
                  <c:v>-1844.1558441558441</c:v>
                </c:pt>
                <c:pt idx="2">
                  <c:v>-1763.5135135135135</c:v>
                </c:pt>
                <c:pt idx="3">
                  <c:v>-991.304347826087</c:v>
                </c:pt>
                <c:pt idx="4">
                  <c:v>-83.582089552238813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38</c:v>
                </c:pt>
                <c:pt idx="2">
                  <c:v>41</c:v>
                </c:pt>
                <c:pt idx="3">
                  <c:v>32</c:v>
                </c:pt>
                <c:pt idx="4">
                  <c:v>20</c:v>
                </c:pt>
                <c:pt idx="5">
                  <c:v>16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だいち!$L$2:$L$167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1425.6097560975609</c:v>
                </c:pt>
                <c:pt idx="1">
                  <c:v>998.75776397515529</c:v>
                </c:pt>
                <c:pt idx="2">
                  <c:v>1060</c:v>
                </c:pt>
                <c:pt idx="3">
                  <c:v>352.08333333333331</c:v>
                </c:pt>
                <c:pt idx="4">
                  <c:v>1814.9253731343283</c:v>
                </c:pt>
                <c:pt idx="5">
                  <c:v>1877.2727272727273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43</c:v>
                </c:pt>
                <c:pt idx="1">
                  <c:v>87</c:v>
                </c:pt>
                <c:pt idx="2">
                  <c:v>94</c:v>
                </c:pt>
                <c:pt idx="3">
                  <c:v>84</c:v>
                </c:pt>
                <c:pt idx="4">
                  <c:v>67</c:v>
                </c:pt>
                <c:pt idx="5">
                  <c:v>42</c:v>
                </c:pt>
                <c:pt idx="6">
                  <c:v>23</c:v>
                </c:pt>
                <c:pt idx="7">
                  <c:v>7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ただ!$L$2:$L$148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-1480.6896551724137</c:v>
                </c:pt>
                <c:pt idx="1">
                  <c:v>1537.7622377622379</c:v>
                </c:pt>
                <c:pt idx="2">
                  <c:v>-462.87878787878788</c:v>
                </c:pt>
                <c:pt idx="3">
                  <c:v>231.2</c:v>
                </c:pt>
                <c:pt idx="4">
                  <c:v>-919.29824561403507</c:v>
                </c:pt>
                <c:pt idx="5">
                  <c:v>1273.9583333333333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62</c:v>
                </c:pt>
                <c:pt idx="2">
                  <c:v>78</c:v>
                </c:pt>
                <c:pt idx="3">
                  <c:v>77</c:v>
                </c:pt>
                <c:pt idx="4">
                  <c:v>55</c:v>
                </c:pt>
                <c:pt idx="5">
                  <c:v>40</c:v>
                </c:pt>
                <c:pt idx="6">
                  <c:v>12</c:v>
                </c:pt>
                <c:pt idx="7">
                  <c:v>8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りくと!$L$2:$L$97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-388.29787234042556</c:v>
                </c:pt>
                <c:pt idx="1">
                  <c:v>-554.25531914893622</c:v>
                </c:pt>
                <c:pt idx="2">
                  <c:v>462.5</c:v>
                </c:pt>
                <c:pt idx="3">
                  <c:v>-744.18604651162786</c:v>
                </c:pt>
                <c:pt idx="4">
                  <c:v>-3076.5432098765432</c:v>
                </c:pt>
                <c:pt idx="5">
                  <c:v>-1363.3802816901409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50</c:v>
                </c:pt>
                <c:pt idx="3">
                  <c:v>34</c:v>
                </c:pt>
                <c:pt idx="4">
                  <c:v>37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れんたろう!$L$2:$L$122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1624.1666666666667</c:v>
                </c:pt>
                <c:pt idx="1">
                  <c:v>-1570.3389830508474</c:v>
                </c:pt>
                <c:pt idx="2">
                  <c:v>43.518518518518519</c:v>
                </c:pt>
                <c:pt idx="3">
                  <c:v>2405.8823529411766</c:v>
                </c:pt>
                <c:pt idx="4">
                  <c:v>1038.4615384615386</c:v>
                </c:pt>
                <c:pt idx="5">
                  <c:v>542.25352112676057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7</c:v>
                </c:pt>
                <c:pt idx="1">
                  <c:v>22</c:v>
                </c:pt>
                <c:pt idx="2">
                  <c:v>39</c:v>
                </c:pt>
                <c:pt idx="3">
                  <c:v>53</c:v>
                </c:pt>
                <c:pt idx="4">
                  <c:v>64</c:v>
                </c:pt>
                <c:pt idx="5">
                  <c:v>36</c:v>
                </c:pt>
                <c:pt idx="6">
                  <c:v>21</c:v>
                </c:pt>
                <c:pt idx="7">
                  <c:v>19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-452.27272727272725</c:v>
                </c:pt>
                <c:pt idx="1">
                  <c:v>-170.54263565891472</c:v>
                </c:pt>
                <c:pt idx="2">
                  <c:v>264.22764227642278</c:v>
                </c:pt>
                <c:pt idx="3">
                  <c:v>159.82142857142858</c:v>
                </c:pt>
                <c:pt idx="4">
                  <c:v>19.801980198019802</c:v>
                </c:pt>
                <c:pt idx="5">
                  <c:v>-1194.1860465116279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54</c:v>
                </c:pt>
                <c:pt idx="2">
                  <c:v>63</c:v>
                </c:pt>
                <c:pt idx="3">
                  <c:v>55</c:v>
                </c:pt>
                <c:pt idx="4">
                  <c:v>43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のり2!$B$3:$B$65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のり2!$C$3:$C$65</c:f>
              <c:numCache>
                <c:formatCode>\+0.0;\-0.0;\±0</c:formatCode>
                <c:ptCount val="63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  <c:pt idx="37">
                  <c:v>-14.783783783783786</c:v>
                </c:pt>
                <c:pt idx="38">
                  <c:v>-15.002631578947373</c:v>
                </c:pt>
                <c:pt idx="39">
                  <c:v>-13.458974358974361</c:v>
                </c:pt>
                <c:pt idx="40">
                  <c:v>-14.342500000000001</c:v>
                </c:pt>
                <c:pt idx="41">
                  <c:v>-15.239024390243904</c:v>
                </c:pt>
                <c:pt idx="42">
                  <c:v>-14.400000000000002</c:v>
                </c:pt>
                <c:pt idx="43">
                  <c:v>-14.495348837209304</c:v>
                </c:pt>
                <c:pt idx="44">
                  <c:v>-13.365909090909092</c:v>
                </c:pt>
                <c:pt idx="45">
                  <c:v>-12.426666666666668</c:v>
                </c:pt>
                <c:pt idx="46">
                  <c:v>-12.084782608695654</c:v>
                </c:pt>
                <c:pt idx="47">
                  <c:v>-11.71489361702128</c:v>
                </c:pt>
                <c:pt idx="48">
                  <c:v>-11.35416666666667</c:v>
                </c:pt>
                <c:pt idx="49">
                  <c:v>-11.86326530612245</c:v>
                </c:pt>
                <c:pt idx="50">
                  <c:v>-11.586000000000002</c:v>
                </c:pt>
                <c:pt idx="51">
                  <c:v>-12.05294117647059</c:v>
                </c:pt>
                <c:pt idx="52">
                  <c:v>-11.598076923076924</c:v>
                </c:pt>
                <c:pt idx="53">
                  <c:v>-12.313207547169812</c:v>
                </c:pt>
                <c:pt idx="54">
                  <c:v>-11.6</c:v>
                </c:pt>
                <c:pt idx="55">
                  <c:v>-11.389090909090909</c:v>
                </c:pt>
                <c:pt idx="56">
                  <c:v>-11.071428571428571</c:v>
                </c:pt>
                <c:pt idx="57">
                  <c:v>-10.940350877192984</c:v>
                </c:pt>
                <c:pt idx="58">
                  <c:v>-10.589655172413794</c:v>
                </c:pt>
                <c:pt idx="59">
                  <c:v>-10.633898305084747</c:v>
                </c:pt>
                <c:pt idx="60">
                  <c:v>-10.936666666666667</c:v>
                </c:pt>
                <c:pt idx="61">
                  <c:v>-10.711475409836067</c:v>
                </c:pt>
                <c:pt idx="62">
                  <c:v>-10.732258064516131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2510709333426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のり2!$D$3:$D$65</c:f>
              <c:numCache>
                <c:formatCode>0.00\ "位"</c:formatCode>
                <c:ptCount val="63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  <c:pt idx="37">
                  <c:v>2.4054054054054053</c:v>
                </c:pt>
                <c:pt idx="38">
                  <c:v>2.4210526315789473</c:v>
                </c:pt>
                <c:pt idx="39">
                  <c:v>2.3846153846153846</c:v>
                </c:pt>
                <c:pt idx="40">
                  <c:v>2.4</c:v>
                </c:pt>
                <c:pt idx="41">
                  <c:v>2.4146341463414633</c:v>
                </c:pt>
                <c:pt idx="42">
                  <c:v>2.3809523809523809</c:v>
                </c:pt>
                <c:pt idx="43">
                  <c:v>2.3720930232558142</c:v>
                </c:pt>
                <c:pt idx="44">
                  <c:v>2.3409090909090908</c:v>
                </c:pt>
                <c:pt idx="45">
                  <c:v>2.3111111111111109</c:v>
                </c:pt>
                <c:pt idx="46">
                  <c:v>2.3043478260869565</c:v>
                </c:pt>
                <c:pt idx="47">
                  <c:v>2.2978723404255321</c:v>
                </c:pt>
                <c:pt idx="48">
                  <c:v>2.2916666666666665</c:v>
                </c:pt>
                <c:pt idx="49">
                  <c:v>2.306122448979592</c:v>
                </c:pt>
                <c:pt idx="50">
                  <c:v>2.2999999999999998</c:v>
                </c:pt>
                <c:pt idx="51">
                  <c:v>2.3137254901960786</c:v>
                </c:pt>
                <c:pt idx="52">
                  <c:v>2.3076923076923075</c:v>
                </c:pt>
                <c:pt idx="53">
                  <c:v>2.3207547169811322</c:v>
                </c:pt>
                <c:pt idx="54">
                  <c:v>2.2962962962962963</c:v>
                </c:pt>
                <c:pt idx="55">
                  <c:v>2.290909090909091</c:v>
                </c:pt>
                <c:pt idx="56">
                  <c:v>2.2857142857142856</c:v>
                </c:pt>
                <c:pt idx="57">
                  <c:v>2.2807017543859649</c:v>
                </c:pt>
                <c:pt idx="58">
                  <c:v>2.2758620689655173</c:v>
                </c:pt>
                <c:pt idx="59">
                  <c:v>2.2881355932203391</c:v>
                </c:pt>
                <c:pt idx="60">
                  <c:v>2.2833333333333332</c:v>
                </c:pt>
                <c:pt idx="61">
                  <c:v>2.278688524590164</c:v>
                </c:pt>
                <c:pt idx="62">
                  <c:v>2.274193548387097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のり2!$E$3:$E$65</c:f>
              <c:numCache>
                <c:formatCode>0.0%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  <c:pt idx="62">
                  <c:v>0.16129032258064516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のり2!$F$3:$F$65</c:f>
              <c:numCache>
                <c:formatCode>0.0%</c:formatCode>
                <c:ptCount val="6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  <c:pt idx="37">
                  <c:v>0.54054054054054057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0.51111111111111107</c:v>
                </c:pt>
                <c:pt idx="46">
                  <c:v>0.5</c:v>
                </c:pt>
                <c:pt idx="47">
                  <c:v>0.48936170212765956</c:v>
                </c:pt>
                <c:pt idx="48">
                  <c:v>0.47916666666666669</c:v>
                </c:pt>
                <c:pt idx="49">
                  <c:v>0.48979591836734693</c:v>
                </c:pt>
                <c:pt idx="50">
                  <c:v>0.48</c:v>
                </c:pt>
                <c:pt idx="51">
                  <c:v>0.49019607843137253</c:v>
                </c:pt>
                <c:pt idx="52">
                  <c:v>0.48076923076923078</c:v>
                </c:pt>
                <c:pt idx="53">
                  <c:v>0.49056603773584906</c:v>
                </c:pt>
                <c:pt idx="54">
                  <c:v>0.48148148148148145</c:v>
                </c:pt>
                <c:pt idx="55">
                  <c:v>0.47272727272727272</c:v>
                </c:pt>
                <c:pt idx="56">
                  <c:v>0.4642857142857143</c:v>
                </c:pt>
                <c:pt idx="57">
                  <c:v>0.45614035087719296</c:v>
                </c:pt>
                <c:pt idx="58">
                  <c:v>0.44827586206896552</c:v>
                </c:pt>
                <c:pt idx="59">
                  <c:v>0.4576271186440678</c:v>
                </c:pt>
                <c:pt idx="60">
                  <c:v>0.45</c:v>
                </c:pt>
                <c:pt idx="61">
                  <c:v>0.44262295081967212</c:v>
                </c:pt>
                <c:pt idx="62">
                  <c:v>0.43548387096774194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のり2!$G$3:$G$65</c:f>
              <c:numCache>
                <c:formatCode>0.0%</c:formatCode>
                <c:ptCount val="63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  <c:pt idx="37">
                  <c:v>0.24675324675324675</c:v>
                </c:pt>
                <c:pt idx="38">
                  <c:v>0.24367088607594936</c:v>
                </c:pt>
                <c:pt idx="39">
                  <c:v>0.25</c:v>
                </c:pt>
                <c:pt idx="40">
                  <c:v>0.25076452599388377</c:v>
                </c:pt>
                <c:pt idx="41">
                  <c:v>0.24850299401197604</c:v>
                </c:pt>
                <c:pt idx="42">
                  <c:v>0.24927536231884059</c:v>
                </c:pt>
                <c:pt idx="43">
                  <c:v>0.24858757062146894</c:v>
                </c:pt>
                <c:pt idx="44">
                  <c:v>0.25138121546961328</c:v>
                </c:pt>
                <c:pt idx="45">
                  <c:v>0.25474254742547425</c:v>
                </c:pt>
                <c:pt idx="46">
                  <c:v>0.25661375661375663</c:v>
                </c:pt>
                <c:pt idx="47">
                  <c:v>0.25520833333333331</c:v>
                </c:pt>
                <c:pt idx="48">
                  <c:v>0.25384615384615383</c:v>
                </c:pt>
                <c:pt idx="49">
                  <c:v>0.24937027707808565</c:v>
                </c:pt>
                <c:pt idx="50">
                  <c:v>0.25062034739454092</c:v>
                </c:pt>
                <c:pt idx="51">
                  <c:v>0.25362318840579712</c:v>
                </c:pt>
                <c:pt idx="52">
                  <c:v>0.25476190476190474</c:v>
                </c:pt>
                <c:pt idx="53">
                  <c:v>0.25348837209302327</c:v>
                </c:pt>
                <c:pt idx="54">
                  <c:v>0.25733634311512416</c:v>
                </c:pt>
                <c:pt idx="55">
                  <c:v>0.25827814569536423</c:v>
                </c:pt>
                <c:pt idx="56">
                  <c:v>0.26030368763557482</c:v>
                </c:pt>
                <c:pt idx="57">
                  <c:v>0.2569593147751606</c:v>
                </c:pt>
                <c:pt idx="58">
                  <c:v>0.26096033402922758</c:v>
                </c:pt>
                <c:pt idx="59">
                  <c:v>0.26283367556468173</c:v>
                </c:pt>
                <c:pt idx="60">
                  <c:v>0.25858585858585859</c:v>
                </c:pt>
                <c:pt idx="61">
                  <c:v>0.26190476190476192</c:v>
                </c:pt>
                <c:pt idx="62">
                  <c:v>0.25918762088974856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25294525294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のり2!$H$3:$H$65</c:f>
              <c:numCache>
                <c:formatCode>0.0%</c:formatCode>
                <c:ptCount val="63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  <c:pt idx="37">
                  <c:v>0.18831168831168832</c:v>
                </c:pt>
                <c:pt idx="38">
                  <c:v>0.18354430379746836</c:v>
                </c:pt>
                <c:pt idx="39">
                  <c:v>0.17901234567901234</c:v>
                </c:pt>
                <c:pt idx="40">
                  <c:v>0.1834862385321101</c:v>
                </c:pt>
                <c:pt idx="41">
                  <c:v>0.18862275449101795</c:v>
                </c:pt>
                <c:pt idx="42">
                  <c:v>0.1855072463768116</c:v>
                </c:pt>
                <c:pt idx="43">
                  <c:v>0.1864406779661017</c:v>
                </c:pt>
                <c:pt idx="44">
                  <c:v>0.18508287292817679</c:v>
                </c:pt>
                <c:pt idx="45">
                  <c:v>0.18428184281842819</c:v>
                </c:pt>
                <c:pt idx="46">
                  <c:v>0.17989417989417988</c:v>
                </c:pt>
                <c:pt idx="47">
                  <c:v>0.1796875</c:v>
                </c:pt>
                <c:pt idx="48">
                  <c:v>0.18205128205128204</c:v>
                </c:pt>
                <c:pt idx="49">
                  <c:v>0.18387909319899245</c:v>
                </c:pt>
                <c:pt idx="50">
                  <c:v>0.18610421836228289</c:v>
                </c:pt>
                <c:pt idx="51">
                  <c:v>0.1859903381642512</c:v>
                </c:pt>
                <c:pt idx="52">
                  <c:v>0.18571428571428572</c:v>
                </c:pt>
                <c:pt idx="53">
                  <c:v>0.1883720930232558</c:v>
                </c:pt>
                <c:pt idx="54">
                  <c:v>0.18510158013544017</c:v>
                </c:pt>
                <c:pt idx="55">
                  <c:v>0.18101545253863136</c:v>
                </c:pt>
                <c:pt idx="56">
                  <c:v>0.1822125813449024</c:v>
                </c:pt>
                <c:pt idx="57">
                  <c:v>0.18201284796573874</c:v>
                </c:pt>
                <c:pt idx="58">
                  <c:v>0.1837160751565762</c:v>
                </c:pt>
                <c:pt idx="59">
                  <c:v>0.18275154004106775</c:v>
                </c:pt>
                <c:pt idx="60">
                  <c:v>0.18181818181818182</c:v>
                </c:pt>
                <c:pt idx="61">
                  <c:v>0.18055555555555555</c:v>
                </c:pt>
                <c:pt idx="62">
                  <c:v>0.17794970986460348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191961191961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のり2!$I$3:$I$65</c:f>
              <c:numCache>
                <c:formatCode>0</c:formatCode>
                <c:ptCount val="63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  <c:pt idx="37">
                  <c:v>7810.5263157894733</c:v>
                </c:pt>
                <c:pt idx="38">
                  <c:v>7759.7402597402597</c:v>
                </c:pt>
                <c:pt idx="39">
                  <c:v>7792.5925925925922</c:v>
                </c:pt>
                <c:pt idx="40">
                  <c:v>7760.9756097560976</c:v>
                </c:pt>
                <c:pt idx="41">
                  <c:v>7730.1204819277109</c:v>
                </c:pt>
                <c:pt idx="42">
                  <c:v>7829.0697674418607</c:v>
                </c:pt>
                <c:pt idx="43">
                  <c:v>7706.818181818182</c:v>
                </c:pt>
                <c:pt idx="44">
                  <c:v>8059.3406593406589</c:v>
                </c:pt>
                <c:pt idx="45">
                  <c:v>8054.255319148936</c:v>
                </c:pt>
                <c:pt idx="46">
                  <c:v>7917.5257731958764</c:v>
                </c:pt>
                <c:pt idx="47">
                  <c:v>7959.1836734693879</c:v>
                </c:pt>
                <c:pt idx="48">
                  <c:v>8000</c:v>
                </c:pt>
                <c:pt idx="49">
                  <c:v>8000</c:v>
                </c:pt>
                <c:pt idx="50">
                  <c:v>8039.6039603960398</c:v>
                </c:pt>
                <c:pt idx="51">
                  <c:v>7925.7142857142853</c:v>
                </c:pt>
                <c:pt idx="52">
                  <c:v>7961.6822429906542</c:v>
                </c:pt>
                <c:pt idx="53">
                  <c:v>7900</c:v>
                </c:pt>
                <c:pt idx="54">
                  <c:v>7932.4561403508769</c:v>
                </c:pt>
                <c:pt idx="55">
                  <c:v>7968.3760683760684</c:v>
                </c:pt>
                <c:pt idx="56">
                  <c:v>8010</c:v>
                </c:pt>
                <c:pt idx="57">
                  <c:v>8010</c:v>
                </c:pt>
                <c:pt idx="58">
                  <c:v>8008.8</c:v>
                </c:pt>
                <c:pt idx="59">
                  <c:v>7987.5</c:v>
                </c:pt>
                <c:pt idx="60">
                  <c:v>7987.5</c:v>
                </c:pt>
                <c:pt idx="61">
                  <c:v>8013.636363636364</c:v>
                </c:pt>
                <c:pt idx="62">
                  <c:v>8070.1492537313434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66.25882352941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のり2!$J$3:$J$65</c:f>
              <c:numCache>
                <c:formatCode>0</c:formatCode>
                <c:ptCount val="63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  <c:pt idx="37">
                  <c:v>-7920.6896551724139</c:v>
                </c:pt>
                <c:pt idx="38">
                  <c:v>-7920.6896551724139</c:v>
                </c:pt>
                <c:pt idx="39">
                  <c:v>-7920.6896551724139</c:v>
                </c:pt>
                <c:pt idx="40">
                  <c:v>-8356.6666666666661</c:v>
                </c:pt>
                <c:pt idx="41">
                  <c:v>-8312.6984126984134</c:v>
                </c:pt>
                <c:pt idx="42">
                  <c:v>-8243.75</c:v>
                </c:pt>
                <c:pt idx="43">
                  <c:v>-8234.8484848484841</c:v>
                </c:pt>
                <c:pt idx="44">
                  <c:v>-8291.0447761194027</c:v>
                </c:pt>
                <c:pt idx="45">
                  <c:v>-8198.5294117647063</c:v>
                </c:pt>
                <c:pt idx="46">
                  <c:v>-8198.5294117647063</c:v>
                </c:pt>
                <c:pt idx="47">
                  <c:v>-8191.304347826087</c:v>
                </c:pt>
                <c:pt idx="48">
                  <c:v>-8015.4929577464791</c:v>
                </c:pt>
                <c:pt idx="49">
                  <c:v>-7902.7397260273974</c:v>
                </c:pt>
                <c:pt idx="50">
                  <c:v>-7921.333333333333</c:v>
                </c:pt>
                <c:pt idx="51">
                  <c:v>-8100</c:v>
                </c:pt>
                <c:pt idx="52">
                  <c:v>-8029.4871794871797</c:v>
                </c:pt>
                <c:pt idx="53">
                  <c:v>-8064.1975308641977</c:v>
                </c:pt>
                <c:pt idx="54">
                  <c:v>-8185.3658536585363</c:v>
                </c:pt>
                <c:pt idx="55">
                  <c:v>-8185.3658536585363</c:v>
                </c:pt>
                <c:pt idx="56">
                  <c:v>-8296.4285714285706</c:v>
                </c:pt>
                <c:pt idx="57">
                  <c:v>-8229.4117647058829</c:v>
                </c:pt>
                <c:pt idx="58">
                  <c:v>-8215.9090909090901</c:v>
                </c:pt>
                <c:pt idx="59">
                  <c:v>-8258.4269662921342</c:v>
                </c:pt>
                <c:pt idx="60">
                  <c:v>-8255.5555555555547</c:v>
                </c:pt>
                <c:pt idx="61">
                  <c:v>-8362.6373626373625</c:v>
                </c:pt>
                <c:pt idx="62">
                  <c:v>-8323.9130434782601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8.21152192605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のり2!$K$3:$K$65</c:f>
              <c:numCache>
                <c:formatCode>0.0%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  <c:pt idx="62">
                  <c:v>0.16129032258064516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57109557109556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のり2!$L$3:$L$65</c:f>
              <c:numCache>
                <c:formatCode>0.0%</c:formatCode>
                <c:ptCount val="63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  <c:pt idx="37">
                  <c:v>0.19155844155844157</c:v>
                </c:pt>
                <c:pt idx="38">
                  <c:v>0.189873417721519</c:v>
                </c:pt>
                <c:pt idx="39">
                  <c:v>0.19135802469135801</c:v>
                </c:pt>
                <c:pt idx="40">
                  <c:v>0.19877675840978593</c:v>
                </c:pt>
                <c:pt idx="41">
                  <c:v>0.20658682634730538</c:v>
                </c:pt>
                <c:pt idx="42">
                  <c:v>0.21159420289855072</c:v>
                </c:pt>
                <c:pt idx="43">
                  <c:v>0.20903954802259886</c:v>
                </c:pt>
                <c:pt idx="44">
                  <c:v>0.20994475138121546</c:v>
                </c:pt>
                <c:pt idx="45">
                  <c:v>0.20867208672086721</c:v>
                </c:pt>
                <c:pt idx="46">
                  <c:v>0.20370370370370369</c:v>
                </c:pt>
                <c:pt idx="47">
                  <c:v>0.203125</c:v>
                </c:pt>
                <c:pt idx="48">
                  <c:v>0.2</c:v>
                </c:pt>
                <c:pt idx="49">
                  <c:v>0.20151133501259447</c:v>
                </c:pt>
                <c:pt idx="50">
                  <c:v>0.20595533498759305</c:v>
                </c:pt>
                <c:pt idx="51">
                  <c:v>0.20048309178743962</c:v>
                </c:pt>
                <c:pt idx="52">
                  <c:v>0.20714285714285716</c:v>
                </c:pt>
                <c:pt idx="53">
                  <c:v>0.21395348837209302</c:v>
                </c:pt>
                <c:pt idx="54">
                  <c:v>0.21670428893905191</c:v>
                </c:pt>
                <c:pt idx="55">
                  <c:v>0.21633554083885209</c:v>
                </c:pt>
                <c:pt idx="56">
                  <c:v>0.21908893709327548</c:v>
                </c:pt>
                <c:pt idx="57">
                  <c:v>0.21841541755888652</c:v>
                </c:pt>
                <c:pt idx="58">
                  <c:v>0.21711899791231734</c:v>
                </c:pt>
                <c:pt idx="59">
                  <c:v>0.2135523613963039</c:v>
                </c:pt>
                <c:pt idx="60">
                  <c:v>0.21010101010101009</c:v>
                </c:pt>
                <c:pt idx="61">
                  <c:v>0.20833333333333334</c:v>
                </c:pt>
                <c:pt idx="62">
                  <c:v>0.21083172147001933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361053361053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のり2!$M$3:$M$65</c:f>
              <c:numCache>
                <c:formatCode>0.0%</c:formatCode>
                <c:ptCount val="63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  <c:pt idx="37">
                  <c:v>0.22727272727272727</c:v>
                </c:pt>
                <c:pt idx="38">
                  <c:v>0.22468354430379747</c:v>
                </c:pt>
                <c:pt idx="39">
                  <c:v>0.22839506172839505</c:v>
                </c:pt>
                <c:pt idx="40">
                  <c:v>0.22629969418960244</c:v>
                </c:pt>
                <c:pt idx="41">
                  <c:v>0.22155688622754491</c:v>
                </c:pt>
                <c:pt idx="42">
                  <c:v>0.21739130434782608</c:v>
                </c:pt>
                <c:pt idx="43">
                  <c:v>0.2175141242937853</c:v>
                </c:pt>
                <c:pt idx="44">
                  <c:v>0.21546961325966851</c:v>
                </c:pt>
                <c:pt idx="45">
                  <c:v>0.21680216802168023</c:v>
                </c:pt>
                <c:pt idx="46">
                  <c:v>0.21693121693121692</c:v>
                </c:pt>
                <c:pt idx="47">
                  <c:v>0.21875</c:v>
                </c:pt>
                <c:pt idx="48">
                  <c:v>0.21794871794871795</c:v>
                </c:pt>
                <c:pt idx="49">
                  <c:v>0.21662468513853905</c:v>
                </c:pt>
                <c:pt idx="50">
                  <c:v>0.21588089330024815</c:v>
                </c:pt>
                <c:pt idx="51">
                  <c:v>0.22946859903381642</c:v>
                </c:pt>
                <c:pt idx="52">
                  <c:v>0.22619047619047619</c:v>
                </c:pt>
                <c:pt idx="53">
                  <c:v>0.2255813953488372</c:v>
                </c:pt>
                <c:pt idx="54">
                  <c:v>0.22573363431151242</c:v>
                </c:pt>
                <c:pt idx="55">
                  <c:v>0.22958057395143489</c:v>
                </c:pt>
                <c:pt idx="56">
                  <c:v>0.2299349240780911</c:v>
                </c:pt>
                <c:pt idx="57">
                  <c:v>0.23126338329764454</c:v>
                </c:pt>
                <c:pt idx="58">
                  <c:v>0.23173277661795408</c:v>
                </c:pt>
                <c:pt idx="59">
                  <c:v>0.23203285420944558</c:v>
                </c:pt>
                <c:pt idx="60">
                  <c:v>0.23030303030303031</c:v>
                </c:pt>
                <c:pt idx="61">
                  <c:v>0.23214285714285715</c:v>
                </c:pt>
                <c:pt idx="62">
                  <c:v>0.22823984526112184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521829521829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のり2!$N$3:$N$65</c:f>
              <c:numCache>
                <c:formatCode>0.0%</c:formatCode>
                <c:ptCount val="63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  <c:pt idx="37">
                  <c:v>0.5423728813559322</c:v>
                </c:pt>
                <c:pt idx="38">
                  <c:v>0.53333333333333333</c:v>
                </c:pt>
                <c:pt idx="39">
                  <c:v>0.54838709677419351</c:v>
                </c:pt>
                <c:pt idx="40">
                  <c:v>0.53846153846153844</c:v>
                </c:pt>
                <c:pt idx="41">
                  <c:v>0.52173913043478259</c:v>
                </c:pt>
                <c:pt idx="42">
                  <c:v>0.53424657534246578</c:v>
                </c:pt>
                <c:pt idx="43">
                  <c:v>0.54054054054054057</c:v>
                </c:pt>
                <c:pt idx="44">
                  <c:v>0.53947368421052633</c:v>
                </c:pt>
                <c:pt idx="45">
                  <c:v>0.54545454545454541</c:v>
                </c:pt>
                <c:pt idx="46">
                  <c:v>0.54545454545454541</c:v>
                </c:pt>
                <c:pt idx="47">
                  <c:v>0.55128205128205132</c:v>
                </c:pt>
                <c:pt idx="48">
                  <c:v>0.55128205128205132</c:v>
                </c:pt>
                <c:pt idx="49">
                  <c:v>0.53749999999999998</c:v>
                </c:pt>
                <c:pt idx="50">
                  <c:v>0.54216867469879515</c:v>
                </c:pt>
                <c:pt idx="51">
                  <c:v>0.54216867469879515</c:v>
                </c:pt>
                <c:pt idx="52">
                  <c:v>0.54022988505747127</c:v>
                </c:pt>
                <c:pt idx="53">
                  <c:v>0.53260869565217395</c:v>
                </c:pt>
                <c:pt idx="54">
                  <c:v>0.54166666666666663</c:v>
                </c:pt>
                <c:pt idx="55">
                  <c:v>0.54081632653061229</c:v>
                </c:pt>
                <c:pt idx="56">
                  <c:v>0.53465346534653468</c:v>
                </c:pt>
                <c:pt idx="57">
                  <c:v>0.52941176470588236</c:v>
                </c:pt>
                <c:pt idx="58">
                  <c:v>0.53846153846153844</c:v>
                </c:pt>
                <c:pt idx="59">
                  <c:v>0.53846153846153844</c:v>
                </c:pt>
                <c:pt idx="60">
                  <c:v>0.53846153846153844</c:v>
                </c:pt>
                <c:pt idx="61">
                  <c:v>0.54285714285714282</c:v>
                </c:pt>
                <c:pt idx="62">
                  <c:v>0.52293577981651373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969365426695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のり2!$O$3:$O$65</c:f>
              <c:numCache>
                <c:formatCode>0.0%</c:formatCode>
                <c:ptCount val="63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  <c:pt idx="37">
                  <c:v>0.4</c:v>
                </c:pt>
                <c:pt idx="38">
                  <c:v>0.40845070422535212</c:v>
                </c:pt>
                <c:pt idx="39">
                  <c:v>0.41891891891891891</c:v>
                </c:pt>
                <c:pt idx="40">
                  <c:v>0.41891891891891891</c:v>
                </c:pt>
                <c:pt idx="41">
                  <c:v>0.41891891891891891</c:v>
                </c:pt>
                <c:pt idx="42">
                  <c:v>0.41333333333333333</c:v>
                </c:pt>
                <c:pt idx="43">
                  <c:v>0.41558441558441561</c:v>
                </c:pt>
                <c:pt idx="44">
                  <c:v>0.42307692307692307</c:v>
                </c:pt>
                <c:pt idx="45">
                  <c:v>0.4375</c:v>
                </c:pt>
                <c:pt idx="46">
                  <c:v>0.43902439024390244</c:v>
                </c:pt>
                <c:pt idx="47">
                  <c:v>0.42857142857142855</c:v>
                </c:pt>
                <c:pt idx="48">
                  <c:v>0.43529411764705883</c:v>
                </c:pt>
                <c:pt idx="49">
                  <c:v>0.43023255813953487</c:v>
                </c:pt>
                <c:pt idx="50">
                  <c:v>0.42528735632183906</c:v>
                </c:pt>
                <c:pt idx="51">
                  <c:v>0.43157894736842106</c:v>
                </c:pt>
                <c:pt idx="52">
                  <c:v>0.43157894736842106</c:v>
                </c:pt>
                <c:pt idx="53">
                  <c:v>0.42268041237113402</c:v>
                </c:pt>
                <c:pt idx="54">
                  <c:v>0.43</c:v>
                </c:pt>
                <c:pt idx="55">
                  <c:v>0.42307692307692307</c:v>
                </c:pt>
                <c:pt idx="56">
                  <c:v>0.42452830188679247</c:v>
                </c:pt>
                <c:pt idx="57">
                  <c:v>0.41666666666666669</c:v>
                </c:pt>
                <c:pt idx="58">
                  <c:v>0.42342342342342343</c:v>
                </c:pt>
                <c:pt idx="59">
                  <c:v>0.4247787610619469</c:v>
                </c:pt>
                <c:pt idx="60">
                  <c:v>0.42105263157894735</c:v>
                </c:pt>
                <c:pt idx="61">
                  <c:v>0.42735042735042733</c:v>
                </c:pt>
                <c:pt idx="62">
                  <c:v>0.43220338983050849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309178743961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のり2!$P$3:$P$65</c:f>
              <c:numCache>
                <c:formatCode>0.0%</c:formatCode>
                <c:ptCount val="63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  <c:pt idx="37">
                  <c:v>0.48684210526315791</c:v>
                </c:pt>
                <c:pt idx="38">
                  <c:v>0.48051948051948051</c:v>
                </c:pt>
                <c:pt idx="39">
                  <c:v>0.49382716049382713</c:v>
                </c:pt>
                <c:pt idx="40">
                  <c:v>0.48780487804878048</c:v>
                </c:pt>
                <c:pt idx="41">
                  <c:v>0.48192771084337349</c:v>
                </c:pt>
                <c:pt idx="42">
                  <c:v>0.47674418604651164</c:v>
                </c:pt>
                <c:pt idx="43">
                  <c:v>0.46590909090909088</c:v>
                </c:pt>
                <c:pt idx="44">
                  <c:v>0.45054945054945056</c:v>
                </c:pt>
                <c:pt idx="45">
                  <c:v>0.44680851063829785</c:v>
                </c:pt>
                <c:pt idx="46">
                  <c:v>0.45360824742268041</c:v>
                </c:pt>
                <c:pt idx="47">
                  <c:v>0.44897959183673469</c:v>
                </c:pt>
                <c:pt idx="48">
                  <c:v>0.44444444444444442</c:v>
                </c:pt>
                <c:pt idx="49">
                  <c:v>0.44444444444444442</c:v>
                </c:pt>
                <c:pt idx="50">
                  <c:v>0.44554455445544555</c:v>
                </c:pt>
                <c:pt idx="51">
                  <c:v>0.44761904761904764</c:v>
                </c:pt>
                <c:pt idx="52">
                  <c:v>0.44859813084112149</c:v>
                </c:pt>
                <c:pt idx="53">
                  <c:v>0.44954128440366975</c:v>
                </c:pt>
                <c:pt idx="54">
                  <c:v>0.45614035087719296</c:v>
                </c:pt>
                <c:pt idx="55">
                  <c:v>0.44444444444444442</c:v>
                </c:pt>
                <c:pt idx="56">
                  <c:v>0.45</c:v>
                </c:pt>
                <c:pt idx="57">
                  <c:v>0.45</c:v>
                </c:pt>
                <c:pt idx="58">
                  <c:v>0.44800000000000001</c:v>
                </c:pt>
                <c:pt idx="59">
                  <c:v>0.453125</c:v>
                </c:pt>
                <c:pt idx="60">
                  <c:v>0.453125</c:v>
                </c:pt>
                <c:pt idx="61">
                  <c:v>0.4621212121212121</c:v>
                </c:pt>
                <c:pt idx="62">
                  <c:v>0.45522388059701491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705882352941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0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43735.624351851853</v>
      </c>
      <c r="C3" s="28" t="s">
        <v>128</v>
      </c>
    </row>
    <row r="4" spans="1:12" x14ac:dyDescent="0.4">
      <c r="A4" s="28" t="s">
        <v>220</v>
      </c>
      <c r="B4" s="29">
        <v>43735.624351851853</v>
      </c>
      <c r="C4" s="28" t="s">
        <v>128</v>
      </c>
    </row>
    <row r="5" spans="1:12" x14ac:dyDescent="0.4">
      <c r="A5" s="28" t="s">
        <v>221</v>
      </c>
      <c r="B5" s="29">
        <v>43736.046932870369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43737.059895833336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43739.000706018516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43741.94121527778</v>
      </c>
      <c r="C8" s="28" t="s">
        <v>128</v>
      </c>
    </row>
    <row r="9" spans="1:12" x14ac:dyDescent="0.4">
      <c r="A9" s="28" t="s">
        <v>229</v>
      </c>
      <c r="B9" s="29">
        <v>43739.660624999997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43740.021921296298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43741.94121527778</v>
      </c>
      <c r="C11" s="28" t="s">
        <v>128</v>
      </c>
    </row>
    <row r="12" spans="1:12" x14ac:dyDescent="0.4">
      <c r="A12" s="28" t="s">
        <v>232</v>
      </c>
      <c r="B12" s="29">
        <v>43744.941354166665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43743.104375000003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43743.786203703705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43745.531828703701</v>
      </c>
      <c r="C18" s="28" t="s">
        <v>128</v>
      </c>
    </row>
    <row r="19" spans="1:12" x14ac:dyDescent="0.4">
      <c r="A19" s="28" t="s">
        <v>239</v>
      </c>
      <c r="B19" s="29">
        <v>43748.019456018519</v>
      </c>
      <c r="C19" s="28" t="s">
        <v>128</v>
      </c>
    </row>
    <row r="20" spans="1:12" x14ac:dyDescent="0.4">
      <c r="A20" s="28" t="s">
        <v>240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43747.024814814817</v>
      </c>
      <c r="C21" s="28" t="s">
        <v>128</v>
      </c>
    </row>
    <row r="22" spans="1:12" x14ac:dyDescent="0.4">
      <c r="A22" s="28" t="s">
        <v>242</v>
      </c>
      <c r="B22" s="29">
        <v>43748.018101851849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43812.011736111112</v>
      </c>
      <c r="C23" s="28" t="s">
        <v>128</v>
      </c>
    </row>
    <row r="24" spans="1:12" x14ac:dyDescent="0.4">
      <c r="A24" s="28" t="s">
        <v>244</v>
      </c>
      <c r="B24" s="29">
        <v>43750.503020833334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43753.56559027778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43753.56559027778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43753.56559027778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43812.011736111112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43762.714826388888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43762.714826388888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43762.714826388888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43762.714826388888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43762.714826388888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43762.714826388888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43762.714826388888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43763.368263888886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43763.368263888886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43764.955659722225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43765.064502314817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43767.744305555556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43767.744305555556</v>
      </c>
      <c r="C41" s="28" t="s">
        <v>128</v>
      </c>
    </row>
    <row r="42" spans="1:9" x14ac:dyDescent="0.4">
      <c r="A42" s="28" t="s">
        <v>214</v>
      </c>
      <c r="B42" s="29">
        <v>43767.744305555556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43768.428414351853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43769.787280092591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43774.96366898148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43774.96366898148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43774.96366898148</v>
      </c>
      <c r="C47" s="28" t="s">
        <v>128</v>
      </c>
    </row>
    <row r="48" spans="1:9" x14ac:dyDescent="0.4">
      <c r="A48" s="28" t="s">
        <v>251</v>
      </c>
      <c r="B48" s="29">
        <v>43774.96366898148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43774.96366898148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43774.96366898148</v>
      </c>
      <c r="C50" s="28" t="s">
        <v>128</v>
      </c>
    </row>
    <row r="51" spans="1:9" x14ac:dyDescent="0.4">
      <c r="A51" s="28" t="s">
        <v>254</v>
      </c>
      <c r="B51" s="29">
        <v>43775.020810185182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43788.617604166669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43788.617604166669</v>
      </c>
      <c r="C53" s="28" t="s">
        <v>128</v>
      </c>
    </row>
    <row r="54" spans="1:9" x14ac:dyDescent="0.4">
      <c r="A54" s="28" t="s">
        <v>257</v>
      </c>
      <c r="B54" s="29">
        <v>43788.617604166669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43788.617604166669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43788.617604166669</v>
      </c>
      <c r="C56" s="28" t="s">
        <v>128</v>
      </c>
    </row>
    <row r="57" spans="1:9" x14ac:dyDescent="0.4">
      <c r="A57" s="28" t="s">
        <v>260</v>
      </c>
      <c r="B57" s="29">
        <v>43788.617604166669</v>
      </c>
      <c r="C57" s="28" t="s">
        <v>128</v>
      </c>
    </row>
    <row r="58" spans="1:9" x14ac:dyDescent="0.4">
      <c r="A58" s="28" t="s">
        <v>261</v>
      </c>
      <c r="B58" s="29">
        <v>43788.617604166669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43788.617604166669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43788.617604166669</v>
      </c>
      <c r="C60" s="28" t="s">
        <v>128</v>
      </c>
    </row>
    <row r="61" spans="1:9" x14ac:dyDescent="0.4">
      <c r="A61" s="28" t="s">
        <v>264</v>
      </c>
      <c r="B61" s="29">
        <v>43812.011736111112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43812.011736111112</v>
      </c>
      <c r="C62" s="28" t="s">
        <v>128</v>
      </c>
    </row>
    <row r="63" spans="1:9" x14ac:dyDescent="0.4">
      <c r="A63" s="28" t="s">
        <v>266</v>
      </c>
      <c r="B63" s="29">
        <v>43812.011736111112</v>
      </c>
      <c r="C63" s="28" t="s">
        <v>128</v>
      </c>
    </row>
    <row r="64" spans="1:9" x14ac:dyDescent="0.4">
      <c r="A64" s="28" t="s">
        <v>267</v>
      </c>
      <c r="B64" s="29">
        <v>43812.011736111112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43812.011747685188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43812.011747685188</v>
      </c>
      <c r="C66" s="28" t="s">
        <v>128</v>
      </c>
    </row>
    <row r="67" spans="1:12" x14ac:dyDescent="0.4">
      <c r="A67" s="28" t="s">
        <v>270</v>
      </c>
      <c r="B67" s="29">
        <v>43812.011747685188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43812.011747685188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43812.011747685188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43812.011747685188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43812.011747685188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43812.011747685188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43812.011747685188</v>
      </c>
      <c r="C73" s="28" t="s">
        <v>128</v>
      </c>
    </row>
    <row r="74" spans="1:12" x14ac:dyDescent="0.4">
      <c r="A74" s="28" t="s">
        <v>278</v>
      </c>
      <c r="B74" s="29">
        <v>43812.011747685188</v>
      </c>
      <c r="C74" s="28" t="s">
        <v>128</v>
      </c>
    </row>
    <row r="75" spans="1:12" x14ac:dyDescent="0.4">
      <c r="A75" s="28" t="s">
        <v>279</v>
      </c>
      <c r="B75" s="29">
        <v>43812.011747685188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43812.011747685188</v>
      </c>
      <c r="C76" s="28" t="s">
        <v>128</v>
      </c>
    </row>
    <row r="77" spans="1:12" x14ac:dyDescent="0.4">
      <c r="A77" s="28" t="s">
        <v>283</v>
      </c>
      <c r="B77" s="29">
        <v>43812.011747685188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43812.011747685188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43812.011747685188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">
      <c r="A80" s="28" t="s">
        <v>286</v>
      </c>
      <c r="B80" s="29">
        <v>43812.940081018518</v>
      </c>
      <c r="C80" s="28" t="s">
        <v>128</v>
      </c>
    </row>
    <row r="81" spans="1:8" x14ac:dyDescent="0.4">
      <c r="A81" s="28" t="s">
        <v>287</v>
      </c>
      <c r="B81" s="29">
        <v>43813.051678240743</v>
      </c>
      <c r="C81" s="28" t="s">
        <v>128</v>
      </c>
      <c r="D81" s="28" t="s">
        <v>129</v>
      </c>
      <c r="E81" s="28" t="s">
        <v>173</v>
      </c>
    </row>
    <row r="82" spans="1:8" x14ac:dyDescent="0.4">
      <c r="A82" s="28" t="s">
        <v>288</v>
      </c>
      <c r="B82" s="29">
        <v>43815.960185185184</v>
      </c>
      <c r="C82" s="28" t="s">
        <v>128</v>
      </c>
    </row>
    <row r="83" spans="1:8" x14ac:dyDescent="0.4">
      <c r="A83" s="28" t="s">
        <v>289</v>
      </c>
      <c r="B83" s="29">
        <v>43816.119837962964</v>
      </c>
      <c r="C83" s="28" t="s">
        <v>128</v>
      </c>
      <c r="D83" s="28" t="s">
        <v>129</v>
      </c>
      <c r="E83" s="28" t="s">
        <v>173</v>
      </c>
    </row>
    <row r="84" spans="1:8" x14ac:dyDescent="0.4">
      <c r="A84" s="28" t="s">
        <v>290</v>
      </c>
      <c r="B84" s="29">
        <v>43818.049363425926</v>
      </c>
      <c r="C84" s="28" t="s">
        <v>128</v>
      </c>
      <c r="D84" s="28" t="s">
        <v>129</v>
      </c>
    </row>
    <row r="85" spans="1:8" x14ac:dyDescent="0.4">
      <c r="A85" s="28" t="s">
        <v>291</v>
      </c>
      <c r="B85" s="29">
        <v>43837.741377314815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8" x14ac:dyDescent="0.4">
      <c r="A86" s="28" t="s">
        <v>292</v>
      </c>
      <c r="B86" s="29">
        <v>43837.741377314815</v>
      </c>
      <c r="C86" s="28" t="s">
        <v>128</v>
      </c>
      <c r="D86" s="28" t="s">
        <v>129</v>
      </c>
    </row>
    <row r="87" spans="1:8" x14ac:dyDescent="0.4">
      <c r="A87" s="28" t="s">
        <v>293</v>
      </c>
      <c r="B87" s="29">
        <v>43837.741377314815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8" x14ac:dyDescent="0.4">
      <c r="A88" s="28" t="s">
        <v>294</v>
      </c>
      <c r="B88" s="29">
        <v>43837.773657407408</v>
      </c>
      <c r="C88" s="28" t="s">
        <v>128</v>
      </c>
    </row>
    <row r="89" spans="1:8" x14ac:dyDescent="0.4">
      <c r="A89" s="28" t="s">
        <v>295</v>
      </c>
      <c r="B89" s="29">
        <v>43839.958333333336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8" x14ac:dyDescent="0.4">
      <c r="A90" s="28" t="s">
        <v>296</v>
      </c>
      <c r="B90" s="29">
        <v>43840.01121527778</v>
      </c>
      <c r="C90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858</v>
      </c>
    </row>
    <row r="2" spans="1:2" x14ac:dyDescent="0.4">
      <c r="A2" t="s">
        <v>161</v>
      </c>
      <c r="B2">
        <v>78</v>
      </c>
    </row>
    <row r="3" spans="1:2" x14ac:dyDescent="0.4">
      <c r="A3" t="s">
        <v>126</v>
      </c>
      <c r="B3">
        <v>165</v>
      </c>
    </row>
    <row r="4" spans="1:2" x14ac:dyDescent="0.4">
      <c r="A4" t="s">
        <v>127</v>
      </c>
      <c r="B4">
        <v>146</v>
      </c>
    </row>
    <row r="5" spans="1:2" x14ac:dyDescent="0.4">
      <c r="A5" t="s">
        <v>172</v>
      </c>
      <c r="B5">
        <v>95</v>
      </c>
    </row>
    <row r="6" spans="1:2" x14ac:dyDescent="0.4">
      <c r="A6" t="s">
        <v>170</v>
      </c>
      <c r="B6">
        <v>120</v>
      </c>
    </row>
    <row r="7" spans="1:2" x14ac:dyDescent="0.4">
      <c r="A7" t="s">
        <v>171</v>
      </c>
      <c r="B7">
        <v>132</v>
      </c>
    </row>
    <row r="8" spans="1:2" x14ac:dyDescent="0.4">
      <c r="A8" t="s">
        <v>197</v>
      </c>
      <c r="B8">
        <v>62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13</v>
      </c>
    </row>
    <row r="13" spans="1:2" x14ac:dyDescent="0.4">
      <c r="A13" t="s">
        <v>281</v>
      </c>
      <c r="B13">
        <v>8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0.96566492010024785</v>
      </c>
      <c r="G2" s="163"/>
      <c r="H2" s="162">
        <v>0.83714501861617907</v>
      </c>
      <c r="I2" s="163"/>
      <c r="J2" s="162">
        <v>0.8872796916388781</v>
      </c>
      <c r="K2" s="163"/>
      <c r="L2" s="162">
        <v>0.48680622245170097</v>
      </c>
      <c r="M2" s="163"/>
      <c r="N2" s="162">
        <v>0.50421046655551671</v>
      </c>
      <c r="O2" s="163"/>
      <c r="P2" s="162">
        <v>0.49295403830505796</v>
      </c>
      <c r="Q2" s="163"/>
      <c r="R2" s="162">
        <v>0.24299117825112779</v>
      </c>
      <c r="S2" s="163"/>
      <c r="T2" s="162">
        <v>0.40848356362556515</v>
      </c>
      <c r="U2" s="163"/>
      <c r="V2" s="162">
        <v>0.43343629270741185</v>
      </c>
      <c r="W2" s="163"/>
      <c r="X2" s="162">
        <v>4.5106170268835927E-2</v>
      </c>
      <c r="Y2" s="163"/>
      <c r="Z2" s="162">
        <v>0.40016671378978974</v>
      </c>
      <c r="AA2" s="163"/>
      <c r="AB2" s="162">
        <v>-1.9082178689302495E-2</v>
      </c>
      <c r="AC2" s="163"/>
      <c r="AD2" s="162">
        <v>-5.3191482965875475E-2</v>
      </c>
      <c r="AE2" s="163"/>
      <c r="AF2" s="162">
        <v>0.84649421779878498</v>
      </c>
      <c r="AG2" s="163"/>
    </row>
    <row r="3" spans="1:33" x14ac:dyDescent="0.4">
      <c r="A3" s="70">
        <v>1</v>
      </c>
      <c r="B3" s="71" t="s">
        <v>126</v>
      </c>
      <c r="C3" s="72">
        <v>1432.4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10716.187050359713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622.40000000000043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0.24848484848484848</v>
      </c>
      <c r="L4" s="81" t="s">
        <v>281</v>
      </c>
      <c r="M4" s="84">
        <v>0.37681159420289856</v>
      </c>
      <c r="N4" s="81" t="s">
        <v>126</v>
      </c>
      <c r="O4" s="84">
        <v>0.13043478260869565</v>
      </c>
      <c r="P4" s="81" t="s">
        <v>281</v>
      </c>
      <c r="Q4" s="85">
        <v>9534.6153846153848</v>
      </c>
      <c r="R4" s="81" t="s">
        <v>171</v>
      </c>
      <c r="S4" s="85">
        <v>-7108.4967320261439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0.5071942446043165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281</v>
      </c>
      <c r="C5" s="80">
        <v>106.5</v>
      </c>
      <c r="D5" s="81" t="s">
        <v>126</v>
      </c>
      <c r="E5" s="93">
        <v>8.6812121212121216</v>
      </c>
      <c r="F5" s="81" t="s">
        <v>126</v>
      </c>
      <c r="G5" s="82">
        <v>1.7878787878787878</v>
      </c>
      <c r="H5" s="81" t="s">
        <v>126</v>
      </c>
      <c r="I5" s="83">
        <v>0.46060606060606063</v>
      </c>
      <c r="J5" s="81" t="s">
        <v>127</v>
      </c>
      <c r="K5" s="83">
        <v>0.30821917808219179</v>
      </c>
      <c r="L5" s="81" t="s">
        <v>274</v>
      </c>
      <c r="M5" s="84">
        <v>0.3559322033898305</v>
      </c>
      <c r="N5" s="81" t="s">
        <v>171</v>
      </c>
      <c r="O5" s="84">
        <v>0.14179796107506951</v>
      </c>
      <c r="P5" s="81" t="s">
        <v>280</v>
      </c>
      <c r="Q5" s="85">
        <v>8512.5</v>
      </c>
      <c r="R5" s="81" t="s">
        <v>126</v>
      </c>
      <c r="S5" s="85">
        <v>-7553.1073446327682</v>
      </c>
      <c r="T5" s="81" t="s">
        <v>126</v>
      </c>
      <c r="U5" s="83">
        <v>4.2424242424242427E-2</v>
      </c>
      <c r="V5" s="81" t="s">
        <v>170</v>
      </c>
      <c r="W5" s="84">
        <v>0.30933062880324541</v>
      </c>
      <c r="X5" s="81" t="s">
        <v>127</v>
      </c>
      <c r="Y5" s="84">
        <v>0.29950900163666122</v>
      </c>
      <c r="Z5" s="81" t="s">
        <v>126</v>
      </c>
      <c r="AA5" s="84">
        <v>0.6033519553072626</v>
      </c>
      <c r="AB5" s="81" t="s">
        <v>126</v>
      </c>
      <c r="AC5" s="84">
        <v>0.49211356466876971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203</v>
      </c>
      <c r="C6" s="80">
        <v>26.2</v>
      </c>
      <c r="D6" s="81" t="s">
        <v>170</v>
      </c>
      <c r="E6" s="93">
        <v>5.1866666666666701</v>
      </c>
      <c r="F6" s="81" t="s">
        <v>170</v>
      </c>
      <c r="G6" s="82">
        <v>1.8916666666666666</v>
      </c>
      <c r="H6" s="81" t="s">
        <v>228</v>
      </c>
      <c r="I6" s="83">
        <v>0.42857142857142855</v>
      </c>
      <c r="J6" s="81" t="s">
        <v>170</v>
      </c>
      <c r="K6" s="83">
        <v>0.30833333333333335</v>
      </c>
      <c r="L6" s="81" t="s">
        <v>126</v>
      </c>
      <c r="M6" s="84">
        <v>0.34340456890198967</v>
      </c>
      <c r="N6" s="81" t="s">
        <v>161</v>
      </c>
      <c r="O6" s="84">
        <v>0.15208034433285508</v>
      </c>
      <c r="P6" s="81" t="s">
        <v>196</v>
      </c>
      <c r="Q6" s="85">
        <v>8385.7142857142862</v>
      </c>
      <c r="R6" s="81" t="s">
        <v>172</v>
      </c>
      <c r="S6" s="85">
        <v>-7591.7808219178078</v>
      </c>
      <c r="T6" s="81" t="s">
        <v>172</v>
      </c>
      <c r="U6" s="83">
        <v>7.3684210526315783E-2</v>
      </c>
      <c r="V6" s="81" t="s">
        <v>274</v>
      </c>
      <c r="W6" s="84">
        <v>0.30508474576271188</v>
      </c>
      <c r="X6" s="81" t="s">
        <v>161</v>
      </c>
      <c r="Y6" s="84">
        <v>0.25538020086083213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0.46846846846846846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127</v>
      </c>
      <c r="C7" s="80">
        <v>21.799999999999812</v>
      </c>
      <c r="D7" s="81" t="s">
        <v>127</v>
      </c>
      <c r="E7" s="93">
        <v>0.14931506849314941</v>
      </c>
      <c r="F7" s="81" t="s">
        <v>127</v>
      </c>
      <c r="G7" s="82">
        <v>1.9657534246575343</v>
      </c>
      <c r="H7" s="81" t="s">
        <v>170</v>
      </c>
      <c r="I7" s="83">
        <v>0.41666666666666669</v>
      </c>
      <c r="J7" s="81" t="s">
        <v>171</v>
      </c>
      <c r="K7" s="83">
        <v>0.31818181818181818</v>
      </c>
      <c r="L7" s="81" t="s">
        <v>127</v>
      </c>
      <c r="M7" s="84">
        <v>0.30523731587561376</v>
      </c>
      <c r="N7" s="81" t="s">
        <v>141</v>
      </c>
      <c r="O7" s="84">
        <v>0.16119196119196119</v>
      </c>
      <c r="P7" s="81" t="s">
        <v>141</v>
      </c>
      <c r="Q7" s="85">
        <v>8366.2588235294115</v>
      </c>
      <c r="R7" s="81" t="s">
        <v>141</v>
      </c>
      <c r="S7" s="85">
        <v>-7758.2115219260531</v>
      </c>
      <c r="T7" s="81" t="s">
        <v>171</v>
      </c>
      <c r="U7" s="83">
        <v>7.575757575757576E-2</v>
      </c>
      <c r="V7" s="81" t="s">
        <v>172</v>
      </c>
      <c r="W7" s="84">
        <v>0.2767527675276753</v>
      </c>
      <c r="X7" s="81" t="s">
        <v>126</v>
      </c>
      <c r="Y7" s="84">
        <v>0.23360353721444363</v>
      </c>
      <c r="Z7" s="81" t="s">
        <v>141</v>
      </c>
      <c r="AA7" s="84">
        <v>0.55196936542669583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141</v>
      </c>
      <c r="C8" s="80">
        <v>-5.6843418860808015E-14</v>
      </c>
      <c r="D8" s="81" t="s">
        <v>141</v>
      </c>
      <c r="E8" s="93">
        <v>-6.6251070933342675E-17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0.29452529452529452</v>
      </c>
      <c r="N8" s="81" t="s">
        <v>170</v>
      </c>
      <c r="O8" s="84">
        <v>0.16937119675456389</v>
      </c>
      <c r="P8" s="81" t="s">
        <v>171</v>
      </c>
      <c r="Q8" s="85">
        <v>8234.0067340067344</v>
      </c>
      <c r="R8" s="81" t="s">
        <v>161</v>
      </c>
      <c r="S8" s="85">
        <v>-7918.867924528302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141</v>
      </c>
      <c r="Y8" s="84">
        <v>0.22952182952182953</v>
      </c>
      <c r="Z8" s="81" t="s">
        <v>170</v>
      </c>
      <c r="AA8" s="84">
        <v>0.55081967213114758</v>
      </c>
      <c r="AB8" s="81" t="s">
        <v>141</v>
      </c>
      <c r="AC8" s="84">
        <v>0.42330917874396135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196</v>
      </c>
      <c r="C9" s="80">
        <v>-45.7</v>
      </c>
      <c r="D9" s="81" t="s">
        <v>171</v>
      </c>
      <c r="E9" s="93">
        <v>-1.8045454545454545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170</v>
      </c>
      <c r="M9" s="84">
        <v>0.28194726166328599</v>
      </c>
      <c r="N9" s="81" t="s">
        <v>274</v>
      </c>
      <c r="O9" s="84">
        <v>0.16949152542372881</v>
      </c>
      <c r="P9" s="81" t="s">
        <v>127</v>
      </c>
      <c r="Q9" s="85">
        <v>8230.8310991957096</v>
      </c>
      <c r="R9" s="81" t="s">
        <v>127</v>
      </c>
      <c r="S9" s="85">
        <v>-7970.8520179372199</v>
      </c>
      <c r="T9" s="81" t="s">
        <v>141</v>
      </c>
      <c r="U9" s="83">
        <v>9.5571095571095568E-2</v>
      </c>
      <c r="V9" s="81" t="s">
        <v>171</v>
      </c>
      <c r="W9" s="84">
        <v>0.26413345690454126</v>
      </c>
      <c r="X9" s="81" t="s">
        <v>197</v>
      </c>
      <c r="Y9" s="84">
        <v>0.22823984526112184</v>
      </c>
      <c r="Z9" s="81" t="s">
        <v>171</v>
      </c>
      <c r="AA9" s="84">
        <v>0.54736842105263162</v>
      </c>
      <c r="AB9" s="81" t="s">
        <v>161</v>
      </c>
      <c r="AC9" s="84">
        <v>0.4157303370786517</v>
      </c>
      <c r="AD9" s="81" t="s">
        <v>141</v>
      </c>
      <c r="AE9" s="84">
        <v>0.44705882352941179</v>
      </c>
      <c r="AF9" s="81" t="s">
        <v>161</v>
      </c>
      <c r="AG9" s="88">
        <v>87400</v>
      </c>
    </row>
    <row r="10" spans="1:33" x14ac:dyDescent="0.4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0.34246575342465752</v>
      </c>
      <c r="J10" s="81" t="s">
        <v>172</v>
      </c>
      <c r="K10" s="83">
        <v>0.37894736842105264</v>
      </c>
      <c r="L10" s="81" t="s">
        <v>161</v>
      </c>
      <c r="M10" s="84">
        <v>0.27833572453371591</v>
      </c>
      <c r="N10" s="81" t="s">
        <v>196</v>
      </c>
      <c r="O10" s="84">
        <v>0.17499999999999999</v>
      </c>
      <c r="P10" s="81" t="s">
        <v>126</v>
      </c>
      <c r="Q10" s="85">
        <v>8144.6351931330473</v>
      </c>
      <c r="R10" s="81" t="s">
        <v>280</v>
      </c>
      <c r="S10" s="85">
        <v>-7987.5</v>
      </c>
      <c r="T10" s="81" t="s">
        <v>170</v>
      </c>
      <c r="U10" s="83">
        <v>0.10833333333333334</v>
      </c>
      <c r="V10" s="81" t="s">
        <v>126</v>
      </c>
      <c r="W10" s="84">
        <v>0.26381724392041267</v>
      </c>
      <c r="X10" s="81" t="s">
        <v>171</v>
      </c>
      <c r="Y10" s="84">
        <v>0.22613531047265986</v>
      </c>
      <c r="Z10" s="81" t="s">
        <v>172</v>
      </c>
      <c r="AA10" s="84">
        <v>0.54222222222222227</v>
      </c>
      <c r="AB10" s="81" t="s">
        <v>172</v>
      </c>
      <c r="AC10" s="84">
        <v>0.41509433962264153</v>
      </c>
      <c r="AD10" s="81" t="s">
        <v>171</v>
      </c>
      <c r="AE10" s="84">
        <v>0.44444444444444442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2.0909090909090908</v>
      </c>
      <c r="H11" s="81" t="s">
        <v>141</v>
      </c>
      <c r="I11" s="83">
        <v>0.33333333333333331</v>
      </c>
      <c r="J11" s="81" t="s">
        <v>274</v>
      </c>
      <c r="K11" s="83">
        <v>0.38461538461538464</v>
      </c>
      <c r="L11" s="81" t="s">
        <v>171</v>
      </c>
      <c r="M11" s="84">
        <v>0.27525486561631141</v>
      </c>
      <c r="N11" s="81" t="s">
        <v>197</v>
      </c>
      <c r="O11" s="84">
        <v>0.17794970986460348</v>
      </c>
      <c r="P11" s="81" t="s">
        <v>197</v>
      </c>
      <c r="Q11" s="85">
        <v>8070.1492537313434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0.19557195571955718</v>
      </c>
      <c r="Z11" s="81" t="s">
        <v>228</v>
      </c>
      <c r="AA11" s="84">
        <v>0.53333333333333333</v>
      </c>
      <c r="AB11" s="81" t="s">
        <v>171</v>
      </c>
      <c r="AC11" s="84">
        <v>0.41393442622950821</v>
      </c>
      <c r="AD11" s="81" t="s">
        <v>161</v>
      </c>
      <c r="AE11" s="84">
        <v>0.42783505154639173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-5.4820512820512857</v>
      </c>
      <c r="F12" s="81" t="s">
        <v>161</v>
      </c>
      <c r="G12" s="82">
        <v>2.1153846153846154</v>
      </c>
      <c r="H12" s="81" t="s">
        <v>161</v>
      </c>
      <c r="I12" s="83">
        <v>0.32051282051282054</v>
      </c>
      <c r="J12" s="81" t="s">
        <v>196</v>
      </c>
      <c r="K12" s="83">
        <v>0.4</v>
      </c>
      <c r="L12" s="81" t="s">
        <v>172</v>
      </c>
      <c r="M12" s="84">
        <v>0.27306273062730629</v>
      </c>
      <c r="N12" s="81" t="s">
        <v>172</v>
      </c>
      <c r="O12" s="84">
        <v>0.17958179581795819</v>
      </c>
      <c r="P12" s="81" t="s">
        <v>172</v>
      </c>
      <c r="Q12" s="85">
        <v>7830.6306306306305</v>
      </c>
      <c r="R12" s="81" t="s">
        <v>170</v>
      </c>
      <c r="S12" s="85">
        <v>-8014.9700598802392</v>
      </c>
      <c r="T12" s="81" t="s">
        <v>127</v>
      </c>
      <c r="U12" s="83">
        <v>0.12328767123287671</v>
      </c>
      <c r="V12" s="81" t="s">
        <v>141</v>
      </c>
      <c r="W12" s="84">
        <v>0.25336105336105336</v>
      </c>
      <c r="X12" s="81" t="s">
        <v>170</v>
      </c>
      <c r="Y12" s="84">
        <v>0.18154158215010141</v>
      </c>
      <c r="Z12" s="81" t="s">
        <v>197</v>
      </c>
      <c r="AA12" s="84">
        <v>0.52293577981651373</v>
      </c>
      <c r="AB12" s="81" t="s">
        <v>170</v>
      </c>
      <c r="AC12" s="84">
        <v>0.4022346368715084</v>
      </c>
      <c r="AD12" s="81" t="s">
        <v>126</v>
      </c>
      <c r="AE12" s="84">
        <v>0.42060085836909872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171</v>
      </c>
      <c r="C13" s="80">
        <v>-238.2</v>
      </c>
      <c r="D13" s="81" t="s">
        <v>172</v>
      </c>
      <c r="E13" s="93">
        <v>-6.3073684210526313</v>
      </c>
      <c r="F13" s="81" t="s">
        <v>228</v>
      </c>
      <c r="G13" s="82">
        <v>2.1428571428571428</v>
      </c>
      <c r="H13" s="81" t="s">
        <v>171</v>
      </c>
      <c r="I13" s="83">
        <v>0.22727272727272727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0.18248772504091654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</v>
      </c>
      <c r="AB13" s="81" t="s">
        <v>127</v>
      </c>
      <c r="AC13" s="84">
        <v>0.38251366120218577</v>
      </c>
      <c r="AD13" s="81" t="s">
        <v>127</v>
      </c>
      <c r="AE13" s="84">
        <v>0.41554959785522788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-427.60000000000025</v>
      </c>
      <c r="D14" s="81" t="s">
        <v>197</v>
      </c>
      <c r="E14" s="93">
        <v>-10.732258064516131</v>
      </c>
      <c r="F14" s="81" t="s">
        <v>172</v>
      </c>
      <c r="G14" s="82">
        <v>2.1578947368421053</v>
      </c>
      <c r="H14" s="81" t="s">
        <v>172</v>
      </c>
      <c r="I14" s="83">
        <v>0.22105263157894736</v>
      </c>
      <c r="J14" s="81" t="s">
        <v>197</v>
      </c>
      <c r="K14" s="83">
        <v>0.43548387096774194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0.23404255319148937</v>
      </c>
      <c r="X14" s="81" t="s">
        <v>196</v>
      </c>
      <c r="Y14" s="84">
        <v>0.15</v>
      </c>
      <c r="Z14" s="81" t="s">
        <v>127</v>
      </c>
      <c r="AA14" s="84">
        <v>0.50349650349650354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172</v>
      </c>
      <c r="C15" s="80">
        <v>-599.19999999999993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0.4358974358974359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7171.1340206185569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197</v>
      </c>
      <c r="C16" s="80">
        <v>-665.40000000000009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0.14347202295552366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86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858</v>
      </c>
      <c r="C2" s="155"/>
      <c r="E2" s="58" t="s">
        <v>66</v>
      </c>
      <c r="F2" s="55" t="s">
        <v>22</v>
      </c>
      <c r="G2" s="43">
        <v>1607</v>
      </c>
      <c r="H2" s="128">
        <f>IF(B$15=0,0,G2/B$15)</f>
        <v>0.75623529411764701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-25.730994152046783</v>
      </c>
      <c r="P2" s="114">
        <v>855</v>
      </c>
      <c r="Q2" s="98">
        <v>-22000</v>
      </c>
    </row>
    <row r="3" spans="1:17" x14ac:dyDescent="0.4">
      <c r="A3" s="51" t="s">
        <v>8</v>
      </c>
      <c r="B3" s="156">
        <v>7215</v>
      </c>
      <c r="C3" s="157"/>
      <c r="E3" s="59" t="s">
        <v>72</v>
      </c>
      <c r="F3" s="56" t="s">
        <v>27</v>
      </c>
      <c r="G3" s="44">
        <v>1141</v>
      </c>
      <c r="H3" s="129">
        <f>IF(B$15=0,0,G3/B$15)</f>
        <v>0.53694117647058826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7.117437722419929</v>
      </c>
      <c r="P3" s="115">
        <v>843</v>
      </c>
      <c r="Q3" s="99">
        <v>6000</v>
      </c>
    </row>
    <row r="4" spans="1:17" x14ac:dyDescent="0.4">
      <c r="A4" s="51" t="s">
        <v>6</v>
      </c>
      <c r="B4" s="158">
        <v>-5.6843418860808015E-14</v>
      </c>
      <c r="C4" s="159"/>
      <c r="E4" s="59" t="s">
        <v>64</v>
      </c>
      <c r="F4" s="56" t="s">
        <v>20</v>
      </c>
      <c r="G4" s="44">
        <v>974</v>
      </c>
      <c r="H4" s="129">
        <f>IF(B$15=0,0,G4/B$15)</f>
        <v>0.45835294117647057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-6.2893081761006293</v>
      </c>
      <c r="P4" s="115">
        <v>795</v>
      </c>
      <c r="Q4" s="99">
        <v>-5000</v>
      </c>
    </row>
    <row r="5" spans="1:17" x14ac:dyDescent="0.4">
      <c r="A5" s="51" t="s">
        <v>7</v>
      </c>
      <c r="B5" s="160">
        <f>IF(B$2=0,0,B$4/B$2)</f>
        <v>-6.6251070933342675E-17</v>
      </c>
      <c r="C5" s="161"/>
      <c r="E5" s="59" t="s">
        <v>166</v>
      </c>
      <c r="F5" s="56" t="s">
        <v>167</v>
      </c>
      <c r="G5" s="44">
        <v>821</v>
      </c>
      <c r="H5" s="129">
        <f>IF(B$15=0,0,G5/B$15)</f>
        <v>0.38635294117647057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10.7095046854083</v>
      </c>
      <c r="P5" s="115">
        <v>747</v>
      </c>
      <c r="Q5" s="99">
        <v>8000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660</v>
      </c>
      <c r="H6" s="129">
        <f>IF(B$15=0,0,G6/B$15)</f>
        <v>0.31058823529411766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2.9112081513828238</v>
      </c>
      <c r="P6" s="115">
        <v>687</v>
      </c>
      <c r="Q6" s="99">
        <v>2000</v>
      </c>
    </row>
    <row r="7" spans="1:17" x14ac:dyDescent="0.4">
      <c r="A7" s="51" t="s">
        <v>2</v>
      </c>
      <c r="B7" s="44">
        <v>286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599</v>
      </c>
      <c r="H7" s="129">
        <f>IF(B$15=0,0,G7/B$15)</f>
        <v>0.28188235294117647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15.706806282722512</v>
      </c>
      <c r="P7" s="116">
        <v>573</v>
      </c>
      <c r="Q7" s="100">
        <v>9000</v>
      </c>
    </row>
    <row r="8" spans="1:17" x14ac:dyDescent="0.4">
      <c r="A8" s="51" t="s">
        <v>3</v>
      </c>
      <c r="B8" s="44">
        <v>286</v>
      </c>
      <c r="C8" s="37">
        <f t="shared" si="1"/>
        <v>0.33333333333333331</v>
      </c>
      <c r="E8" s="59" t="s">
        <v>69</v>
      </c>
      <c r="F8" s="56" t="s">
        <v>24</v>
      </c>
      <c r="G8" s="44">
        <v>303</v>
      </c>
      <c r="H8" s="129">
        <f>IF(B$15=0,0,G8/B$15)</f>
        <v>0.14258823529411765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286</v>
      </c>
      <c r="C9" s="38">
        <f t="shared" si="1"/>
        <v>0.33333333333333331</v>
      </c>
      <c r="E9" s="59" t="s">
        <v>89</v>
      </c>
      <c r="F9" s="56" t="s">
        <v>44</v>
      </c>
      <c r="G9" s="44">
        <v>292</v>
      </c>
      <c r="H9" s="129">
        <f>IF(B$15=0,0,G9/B$15)</f>
        <v>0.13741176470588234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82</v>
      </c>
      <c r="C10" s="40">
        <f t="shared" si="1"/>
        <v>9.5571095571095568E-2</v>
      </c>
      <c r="E10" s="59" t="s">
        <v>65</v>
      </c>
      <c r="F10" s="56" t="s">
        <v>21</v>
      </c>
      <c r="G10" s="44">
        <v>227</v>
      </c>
      <c r="H10" s="129">
        <f>IF(B$15=0,0,G10/B$15)</f>
        <v>0.10682352941176471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-2.954545454545455</v>
      </c>
      <c r="P10" s="114">
        <v>286</v>
      </c>
      <c r="Q10" s="102">
        <v>-845.00000000000011</v>
      </c>
    </row>
    <row r="11" spans="1:17" x14ac:dyDescent="0.4">
      <c r="A11" s="54" t="s">
        <v>121</v>
      </c>
      <c r="B11" s="47">
        <v>1828</v>
      </c>
      <c r="C11" s="42">
        <f>IF(B$3=0,0,B11/B$3)</f>
        <v>0.25336105336105336</v>
      </c>
      <c r="E11" s="59" t="s">
        <v>70</v>
      </c>
      <c r="F11" s="56" t="s">
        <v>25</v>
      </c>
      <c r="G11" s="44">
        <v>195</v>
      </c>
      <c r="H11" s="129">
        <f>IF(B$15=0,0,G11/B$15)</f>
        <v>9.1764705882352943E-2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0.73391608391608409</v>
      </c>
      <c r="P11" s="115">
        <v>286</v>
      </c>
      <c r="Q11" s="103">
        <v>209.90000000000006</v>
      </c>
    </row>
    <row r="12" spans="1:17" x14ac:dyDescent="0.4">
      <c r="A12" s="51" t="s">
        <v>118</v>
      </c>
      <c r="B12" s="44">
        <v>1656</v>
      </c>
      <c r="C12" s="37">
        <f>IF(B$3=0,0,B12/B$3)</f>
        <v>0.22952182952182953</v>
      </c>
      <c r="E12" s="59" t="s">
        <v>71</v>
      </c>
      <c r="F12" s="56" t="s">
        <v>26</v>
      </c>
      <c r="G12" s="44">
        <v>169</v>
      </c>
      <c r="H12" s="129">
        <f>IF(B$15=0,0,G12/B$15)</f>
        <v>7.9529411764705876E-2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2.2206293706293705</v>
      </c>
      <c r="P12" s="116">
        <v>286</v>
      </c>
      <c r="Q12" s="104">
        <v>635.1</v>
      </c>
    </row>
    <row r="13" spans="1:17" x14ac:dyDescent="0.4">
      <c r="A13" s="50" t="s">
        <v>123</v>
      </c>
      <c r="B13" s="43">
        <f>B19</f>
        <v>1009</v>
      </c>
      <c r="C13" s="35">
        <f>IF(B$11=0,0,B13/B$11)</f>
        <v>0.55196936542669583</v>
      </c>
      <c r="E13" s="59" t="s">
        <v>83</v>
      </c>
      <c r="F13" s="56" t="s">
        <v>38</v>
      </c>
      <c r="G13" s="44">
        <v>110</v>
      </c>
      <c r="H13" s="129">
        <f>IF(B$15=0,0,G13/B$15)</f>
        <v>5.1764705882352942E-2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701</v>
      </c>
      <c r="C14" s="35">
        <f>IF(B$12=0,0,B14/B$12)</f>
        <v>0.42330917874396135</v>
      </c>
      <c r="E14" s="59" t="s">
        <v>86</v>
      </c>
      <c r="F14" s="56" t="s">
        <v>41</v>
      </c>
      <c r="G14" s="44">
        <v>108</v>
      </c>
      <c r="H14" s="129">
        <f>IF(B$15=0,0,G14/B$15)</f>
        <v>5.0823529411764705E-2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2125</v>
      </c>
      <c r="C15" s="35">
        <f>IF(B$3=0,0,B15/B$3)</f>
        <v>0.29452529452529452</v>
      </c>
      <c r="E15" s="59" t="s">
        <v>78</v>
      </c>
      <c r="F15" s="56" t="s">
        <v>33</v>
      </c>
      <c r="G15" s="44">
        <v>53</v>
      </c>
      <c r="H15" s="129">
        <f>IF(B$15=0,0,G15/B$15)</f>
        <v>2.4941176470588234E-2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1163</v>
      </c>
      <c r="C16" s="37">
        <f>IF(B$3=0,0,B16/B$3)</f>
        <v>0.16119196119196119</v>
      </c>
      <c r="E16" s="59" t="s">
        <v>162</v>
      </c>
      <c r="F16" s="56" t="s">
        <v>163</v>
      </c>
      <c r="G16" s="44">
        <v>47</v>
      </c>
      <c r="H16" s="129">
        <f>IF(B$15=0,0,G16/B$15)</f>
        <v>2.211764705882353E-2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950</v>
      </c>
      <c r="C17" s="37">
        <f>IF(B$15=0,0,B17/B$15)</f>
        <v>0.44705882352941179</v>
      </c>
      <c r="E17" s="59" t="s">
        <v>81</v>
      </c>
      <c r="F17" s="56" t="s">
        <v>36</v>
      </c>
      <c r="G17" s="44">
        <v>46</v>
      </c>
      <c r="H17" s="129">
        <f>IF(B$15=0,0,G17/B$15)</f>
        <v>2.1647058823529412E-2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">
      <c r="A18" s="51" t="s">
        <v>11</v>
      </c>
      <c r="B18" s="44">
        <v>1175</v>
      </c>
      <c r="C18" s="37">
        <f>IF(B$15=0,0,B18/B$15)</f>
        <v>0.55294117647058827</v>
      </c>
      <c r="E18" s="59" t="s">
        <v>91</v>
      </c>
      <c r="F18" s="56" t="s">
        <v>46</v>
      </c>
      <c r="G18" s="44">
        <v>32</v>
      </c>
      <c r="H18" s="129">
        <f>IF(B$15=0,0,G18/B$15)</f>
        <v>1.5058823529411765E-2</v>
      </c>
      <c r="I18" s="90">
        <v>4</v>
      </c>
      <c r="K18" s="36">
        <v>16</v>
      </c>
      <c r="L18" s="95">
        <v>-28.2</v>
      </c>
      <c r="N18" s="111" t="s">
        <v>172</v>
      </c>
      <c r="O18" s="121">
        <f>IF(P18=0,0,Q18/P18)</f>
        <v>9.4610526315789425</v>
      </c>
      <c r="P18" s="115">
        <v>190</v>
      </c>
      <c r="Q18" s="103">
        <v>1797.5999999999992</v>
      </c>
    </row>
    <row r="19" spans="1:17" x14ac:dyDescent="0.4">
      <c r="A19" s="51" t="s">
        <v>195</v>
      </c>
      <c r="B19" s="44">
        <v>1009</v>
      </c>
      <c r="C19" s="37">
        <f>IF(B$15=0,0,B19/B$15)</f>
        <v>0.4748235294117647</v>
      </c>
      <c r="E19" s="59" t="s">
        <v>79</v>
      </c>
      <c r="F19" s="56" t="s">
        <v>34</v>
      </c>
      <c r="G19" s="44">
        <v>30</v>
      </c>
      <c r="H19" s="129">
        <f>IF(B$15=0,0,G19/B$15)</f>
        <v>1.411764705882353E-2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5.6005813953488293</v>
      </c>
      <c r="P19" s="115">
        <v>172</v>
      </c>
      <c r="Q19" s="103">
        <v>963.2999999999987</v>
      </c>
    </row>
    <row r="20" spans="1:17" x14ac:dyDescent="0.4">
      <c r="A20" s="51" t="s">
        <v>193</v>
      </c>
      <c r="B20" s="44">
        <v>701</v>
      </c>
      <c r="C20" s="37">
        <f>IF(B$15=0,0,B20/B$15)</f>
        <v>0.32988235294117646</v>
      </c>
      <c r="E20" s="59" t="s">
        <v>75</v>
      </c>
      <c r="F20" s="56" t="s">
        <v>30</v>
      </c>
      <c r="G20" s="44">
        <v>16</v>
      </c>
      <c r="H20" s="129">
        <f>IF(B$15=0,0,G20/B$15)</f>
        <v>7.5294117647058826E-3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">
      <c r="A21" s="51" t="s">
        <v>194</v>
      </c>
      <c r="B21" s="44">
        <v>415</v>
      </c>
      <c r="C21" s="37">
        <f>IF(B$15=0,0,B21/B$15)</f>
        <v>0.19529411764705881</v>
      </c>
      <c r="E21" s="59" t="s">
        <v>85</v>
      </c>
      <c r="F21" s="56" t="s">
        <v>40</v>
      </c>
      <c r="G21" s="44">
        <v>13</v>
      </c>
      <c r="H21" s="129">
        <f>IF(B$15=0,0,G21/B$15)</f>
        <v>6.1176470588235297E-3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">
      <c r="A22" s="51" t="s">
        <v>5</v>
      </c>
      <c r="B22" s="48">
        <f>IF(B$15=0,0,C22/B$15)</f>
        <v>8366.2588235294115</v>
      </c>
      <c r="C22" s="39">
        <v>17778300</v>
      </c>
      <c r="E22" s="59" t="s">
        <v>92</v>
      </c>
      <c r="F22" s="56" t="s">
        <v>47</v>
      </c>
      <c r="G22" s="44">
        <v>11</v>
      </c>
      <c r="H22" s="129">
        <f>IF(B$15=0,0,G22/B$15)</f>
        <v>5.1764705882352945E-3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2.7068181818181825</v>
      </c>
      <c r="P22" s="115">
        <v>264</v>
      </c>
      <c r="Q22" s="103">
        <v>714.60000000000014</v>
      </c>
    </row>
    <row r="23" spans="1:17" x14ac:dyDescent="0.4">
      <c r="A23" s="52" t="s">
        <v>177</v>
      </c>
      <c r="B23" s="136">
        <f>IF($B$15-B$14=0,0,C23/($B$15-B$14))</f>
        <v>9002.036516853932</v>
      </c>
      <c r="C23" s="137">
        <v>12818900</v>
      </c>
      <c r="E23" s="59" t="s">
        <v>73</v>
      </c>
      <c r="F23" s="56" t="s">
        <v>28</v>
      </c>
      <c r="G23" s="44">
        <v>8</v>
      </c>
      <c r="H23" s="129">
        <f>IF(B$15=0,0,G23/B$15)</f>
        <v>3.7647058823529413E-3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-0.22397260273973005</v>
      </c>
      <c r="P23" s="115">
        <v>292</v>
      </c>
      <c r="Q23" s="103">
        <v>-65.400000000001171</v>
      </c>
    </row>
    <row r="24" spans="1:17" x14ac:dyDescent="0.4">
      <c r="A24" s="52" t="s">
        <v>178</v>
      </c>
      <c r="B24" s="136">
        <f>IF(B$14=0,0,C24/B$14)</f>
        <v>7074.7503566333808</v>
      </c>
      <c r="C24" s="137">
        <v>4959400</v>
      </c>
      <c r="E24" s="59" t="s">
        <v>74</v>
      </c>
      <c r="F24" s="56" t="s">
        <v>29</v>
      </c>
      <c r="G24" s="44">
        <v>8</v>
      </c>
      <c r="H24" s="129">
        <f>IF(B$15=0,0,G24/B$15)</f>
        <v>3.7647058823529413E-3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-7.7799999999999905</v>
      </c>
      <c r="P24" s="115">
        <v>240</v>
      </c>
      <c r="Q24" s="103">
        <v>-1867.1999999999978</v>
      </c>
    </row>
    <row r="25" spans="1:17" x14ac:dyDescent="0.4">
      <c r="A25" s="52" t="s">
        <v>176</v>
      </c>
      <c r="B25" s="136">
        <f>IF(B$16=0,0,C25/B$16)</f>
        <v>-7758.2115219260531</v>
      </c>
      <c r="C25" s="137">
        <v>-9022800</v>
      </c>
      <c r="E25" s="59" t="s">
        <v>84</v>
      </c>
      <c r="F25" s="56" t="s">
        <v>39</v>
      </c>
      <c r="G25" s="44">
        <v>7</v>
      </c>
      <c r="H25" s="129">
        <f>IF(B$15=0,0,G25/B$15)</f>
        <v>3.2941176470588237E-3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-13.021818181818178</v>
      </c>
      <c r="P25" s="115">
        <v>330</v>
      </c>
      <c r="Q25" s="103">
        <v>-4297.1999999999989</v>
      </c>
    </row>
    <row r="26" spans="1:17" x14ac:dyDescent="0.4">
      <c r="A26" s="51" t="s">
        <v>164</v>
      </c>
      <c r="B26" s="44">
        <v>7</v>
      </c>
      <c r="C26" s="131">
        <v>5</v>
      </c>
      <c r="E26" s="59" t="s">
        <v>77</v>
      </c>
      <c r="F26" s="56" t="s">
        <v>32</v>
      </c>
      <c r="G26" s="44">
        <v>6</v>
      </c>
      <c r="H26" s="129">
        <f>IF(B$15=0,0,G26/B$15)</f>
        <v>2.8235294117647061E-3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8</v>
      </c>
      <c r="E27" s="59" t="s">
        <v>88</v>
      </c>
      <c r="F27" s="56" t="s">
        <v>43</v>
      </c>
      <c r="G27" s="44">
        <v>5</v>
      </c>
      <c r="H27" s="129">
        <f>IF(B$15=0,0,G27/B$15)</f>
        <v>2.352941176470588E-3</v>
      </c>
      <c r="I27" s="90">
        <v>4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1.8823529411764706E-3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1.8823529411764706E-3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20</v>
      </c>
      <c r="C30" s="40">
        <f>IF(B$3=0,0,B30/B$3)</f>
        <v>2.772002772002772E-3</v>
      </c>
      <c r="E30" s="59" t="s">
        <v>93</v>
      </c>
      <c r="F30" s="56" t="s">
        <v>48</v>
      </c>
      <c r="G30" s="44">
        <v>4</v>
      </c>
      <c r="H30" s="129">
        <f>IF(B$15=0,0,G30/B$15)</f>
        <v>1.8823529411764706E-3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4</v>
      </c>
      <c r="H31" s="129">
        <f>IF(B$15=0,0,G31/B$15)</f>
        <v>1.8823529411764706E-3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167</v>
      </c>
      <c r="C32" s="141">
        <f>IF(B$15=0,0,B32/B$15)</f>
        <v>7.8588235294117653E-2</v>
      </c>
      <c r="E32" s="59" t="s">
        <v>97</v>
      </c>
      <c r="F32" s="56" t="s">
        <v>52</v>
      </c>
      <c r="G32" s="44">
        <v>1</v>
      </c>
      <c r="H32" s="129">
        <f>IF(B$15=0,0,G32/B$15)</f>
        <v>4.7058823529411766E-4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357</v>
      </c>
      <c r="C33" s="37">
        <f t="shared" ref="C33:C44" si="2">IF(B$15=0,0,B33/B$15)</f>
        <v>0.16800000000000001</v>
      </c>
      <c r="E33" s="59" t="s">
        <v>101</v>
      </c>
      <c r="F33" s="56" t="s">
        <v>56</v>
      </c>
      <c r="G33" s="44">
        <v>1</v>
      </c>
      <c r="H33" s="129">
        <f>IF(B$15=0,0,G33/B$15)</f>
        <v>4.7058823529411766E-4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418</v>
      </c>
      <c r="C34" s="37">
        <f>IF(B$15=0,0,B34/B$15)</f>
        <v>0.19670588235294117</v>
      </c>
      <c r="E34" s="59" t="s">
        <v>106</v>
      </c>
      <c r="F34" s="56" t="s">
        <v>113</v>
      </c>
      <c r="G34" s="44">
        <v>1</v>
      </c>
      <c r="H34" s="129">
        <f>IF(B$15=0,0,G34/B$15)</f>
        <v>4.7058823529411766E-4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378</v>
      </c>
      <c r="C35" s="37">
        <f t="shared" si="2"/>
        <v>0.17788235294117646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337</v>
      </c>
      <c r="C36" s="37">
        <f t="shared" si="2"/>
        <v>0.15858823529411764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224</v>
      </c>
      <c r="C37" s="37">
        <f t="shared" si="2"/>
        <v>0.10541176470588236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112</v>
      </c>
      <c r="C38" s="37">
        <f t="shared" si="2"/>
        <v>5.2705882352941179E-2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61</v>
      </c>
      <c r="C39" s="37">
        <f t="shared" si="2"/>
        <v>2.8705882352941175E-2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28</v>
      </c>
      <c r="C40" s="37">
        <f t="shared" si="2"/>
        <v>1.3176470588235295E-2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9</v>
      </c>
      <c r="C41" s="37">
        <f t="shared" si="2"/>
        <v>4.2352941176470585E-3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6</v>
      </c>
      <c r="C42" s="37">
        <f t="shared" si="2"/>
        <v>2.8235294117647061E-3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2.8235294117647061E-3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22</v>
      </c>
      <c r="C44" s="40">
        <f t="shared" si="2"/>
        <v>1.0352941176470589E-2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  <row r="807" spans="11:12" x14ac:dyDescent="0.4">
      <c r="K807" s="36">
        <v>805</v>
      </c>
      <c r="L807" s="95">
        <v>6.3999999999999577</v>
      </c>
    </row>
    <row r="808" spans="11:12" x14ac:dyDescent="0.4">
      <c r="K808" s="36">
        <v>806</v>
      </c>
      <c r="L808" s="95">
        <v>-23.500000000000043</v>
      </c>
    </row>
    <row r="809" spans="11:12" x14ac:dyDescent="0.4">
      <c r="K809" s="36">
        <v>807</v>
      </c>
      <c r="L809" s="95">
        <v>-4.2632564145606011E-14</v>
      </c>
    </row>
    <row r="810" spans="11:12" x14ac:dyDescent="0.4">
      <c r="K810" s="36">
        <v>808</v>
      </c>
      <c r="L810" s="95">
        <v>-3.6000000000000427</v>
      </c>
    </row>
    <row r="811" spans="11:12" x14ac:dyDescent="0.4">
      <c r="K811" s="36">
        <v>809</v>
      </c>
      <c r="L811" s="95">
        <v>17.999999999999957</v>
      </c>
    </row>
    <row r="812" spans="11:12" x14ac:dyDescent="0.4">
      <c r="K812" s="36">
        <v>810</v>
      </c>
      <c r="L812" s="95">
        <v>-4.2632564145606011E-14</v>
      </c>
    </row>
    <row r="813" spans="11:12" x14ac:dyDescent="0.4">
      <c r="K813" s="36">
        <v>811</v>
      </c>
      <c r="L813" s="95">
        <v>9.3999999999999577</v>
      </c>
    </row>
    <row r="814" spans="11:12" x14ac:dyDescent="0.4">
      <c r="K814" s="36">
        <v>812</v>
      </c>
      <c r="L814" s="95">
        <v>47.299999999999955</v>
      </c>
    </row>
    <row r="815" spans="11:12" x14ac:dyDescent="0.4">
      <c r="K815" s="36">
        <v>813</v>
      </c>
      <c r="L815" s="95">
        <v>-4.2632564145606011E-14</v>
      </c>
    </row>
    <row r="816" spans="11:12" x14ac:dyDescent="0.4">
      <c r="K816" s="36">
        <v>814</v>
      </c>
      <c r="L816" s="95">
        <v>-13.200000000000042</v>
      </c>
    </row>
    <row r="817" spans="11:12" x14ac:dyDescent="0.4">
      <c r="K817" s="36">
        <v>815</v>
      </c>
      <c r="L817" s="95">
        <v>-13.500000000000043</v>
      </c>
    </row>
    <row r="818" spans="11:12" x14ac:dyDescent="0.4">
      <c r="K818" s="36">
        <v>816</v>
      </c>
      <c r="L818" s="95">
        <v>-4.2632564145606011E-14</v>
      </c>
    </row>
    <row r="819" spans="11:12" x14ac:dyDescent="0.4">
      <c r="K819" s="36">
        <v>817</v>
      </c>
      <c r="L819" s="95">
        <v>-29.000000000000043</v>
      </c>
    </row>
    <row r="820" spans="11:12" x14ac:dyDescent="0.4">
      <c r="K820" s="36">
        <v>818</v>
      </c>
      <c r="L820" s="95">
        <v>49.299999999999955</v>
      </c>
    </row>
    <row r="821" spans="11:12" x14ac:dyDescent="0.4">
      <c r="K821" s="36">
        <v>819</v>
      </c>
      <c r="L821" s="95">
        <v>-4.2632564145606011E-14</v>
      </c>
    </row>
    <row r="822" spans="11:12" x14ac:dyDescent="0.4">
      <c r="K822" s="36">
        <v>820</v>
      </c>
      <c r="L822" s="95">
        <v>15.599999999999957</v>
      </c>
    </row>
    <row r="823" spans="11:12" x14ac:dyDescent="0.4">
      <c r="K823" s="36">
        <v>821</v>
      </c>
      <c r="L823" s="95">
        <v>52.499999999999957</v>
      </c>
    </row>
    <row r="824" spans="11:12" x14ac:dyDescent="0.4">
      <c r="K824" s="36">
        <v>822</v>
      </c>
      <c r="L824" s="95">
        <v>-4.2632564145606011E-14</v>
      </c>
    </row>
    <row r="825" spans="11:12" x14ac:dyDescent="0.4">
      <c r="K825" s="36">
        <v>823</v>
      </c>
      <c r="L825" s="95">
        <v>-1.5000000000000426</v>
      </c>
    </row>
    <row r="826" spans="11:12" x14ac:dyDescent="0.4">
      <c r="K826" s="36">
        <v>824</v>
      </c>
      <c r="L826" s="95">
        <v>20.199999999999957</v>
      </c>
    </row>
    <row r="827" spans="11:12" x14ac:dyDescent="0.4">
      <c r="K827" s="36">
        <v>825</v>
      </c>
      <c r="L827" s="95">
        <v>-4.2632564145606011E-14</v>
      </c>
    </row>
    <row r="828" spans="11:12" x14ac:dyDescent="0.4">
      <c r="K828" s="36">
        <v>826</v>
      </c>
      <c r="L828" s="95">
        <v>-30.000000000000043</v>
      </c>
    </row>
    <row r="829" spans="11:12" x14ac:dyDescent="0.4">
      <c r="K829" s="36">
        <v>827</v>
      </c>
      <c r="L829" s="95">
        <v>0.99999999999995737</v>
      </c>
    </row>
    <row r="830" spans="11:12" x14ac:dyDescent="0.4">
      <c r="K830" s="36">
        <v>828</v>
      </c>
      <c r="L830" s="95">
        <v>-4.2632564145606011E-14</v>
      </c>
    </row>
    <row r="831" spans="11:12" x14ac:dyDescent="0.4">
      <c r="K831" s="36">
        <v>829</v>
      </c>
      <c r="L831" s="95">
        <v>-56.000000000000043</v>
      </c>
    </row>
    <row r="832" spans="11:12" x14ac:dyDescent="0.4">
      <c r="K832" s="36">
        <v>830</v>
      </c>
      <c r="L832" s="95">
        <v>-46.500000000000043</v>
      </c>
    </row>
    <row r="833" spans="11:12" x14ac:dyDescent="0.4">
      <c r="K833" s="36">
        <v>831</v>
      </c>
      <c r="L833" s="95">
        <v>-4.2632564145606011E-14</v>
      </c>
    </row>
    <row r="834" spans="11:12" x14ac:dyDescent="0.4">
      <c r="K834" s="36">
        <v>832</v>
      </c>
      <c r="L834" s="95">
        <v>-22.300000000000043</v>
      </c>
    </row>
    <row r="835" spans="11:12" x14ac:dyDescent="0.4">
      <c r="K835" s="36">
        <v>833</v>
      </c>
      <c r="L835" s="95">
        <v>-19.100000000000044</v>
      </c>
    </row>
    <row r="836" spans="11:12" x14ac:dyDescent="0.4">
      <c r="K836" s="36">
        <v>834</v>
      </c>
      <c r="L836" s="95">
        <v>-4.2632564145606011E-14</v>
      </c>
    </row>
    <row r="837" spans="11:12" x14ac:dyDescent="0.4">
      <c r="K837" s="36">
        <v>835</v>
      </c>
      <c r="L837" s="95">
        <v>-48.600000000000044</v>
      </c>
    </row>
    <row r="838" spans="11:12" x14ac:dyDescent="0.4">
      <c r="K838" s="36">
        <v>836</v>
      </c>
      <c r="L838" s="95">
        <v>-48.800000000000047</v>
      </c>
    </row>
    <row r="839" spans="11:12" x14ac:dyDescent="0.4">
      <c r="K839" s="36">
        <v>837</v>
      </c>
      <c r="L839" s="95">
        <v>-4.9737991503207013E-14</v>
      </c>
    </row>
    <row r="840" spans="11:12" x14ac:dyDescent="0.4">
      <c r="K840" s="36">
        <v>838</v>
      </c>
      <c r="L840" s="95">
        <v>-29.200000000000049</v>
      </c>
    </row>
    <row r="841" spans="11:12" x14ac:dyDescent="0.4">
      <c r="K841" s="36">
        <v>839</v>
      </c>
      <c r="L841" s="95">
        <v>-30.700000000000049</v>
      </c>
    </row>
    <row r="842" spans="11:12" x14ac:dyDescent="0.4">
      <c r="K842" s="36">
        <v>840</v>
      </c>
      <c r="L842" s="95">
        <v>-4.9737991503207013E-14</v>
      </c>
    </row>
    <row r="843" spans="11:12" x14ac:dyDescent="0.4">
      <c r="K843" s="36">
        <v>841</v>
      </c>
      <c r="L843" s="95">
        <v>-20.600000000000051</v>
      </c>
    </row>
    <row r="844" spans="11:12" x14ac:dyDescent="0.4">
      <c r="K844" s="36">
        <v>842</v>
      </c>
      <c r="L844" s="95">
        <v>39.599999999999952</v>
      </c>
    </row>
    <row r="845" spans="11:12" x14ac:dyDescent="0.4">
      <c r="K845" s="36">
        <v>843</v>
      </c>
      <c r="L845" s="95">
        <v>-4.9737991503207013E-14</v>
      </c>
    </row>
    <row r="846" spans="11:12" x14ac:dyDescent="0.4">
      <c r="K846" s="36">
        <v>844</v>
      </c>
      <c r="L846" s="95">
        <v>34.399999999999949</v>
      </c>
    </row>
    <row r="847" spans="11:12" x14ac:dyDescent="0.4">
      <c r="K847" s="36">
        <v>845</v>
      </c>
      <c r="L847" s="95">
        <v>22.899999999999949</v>
      </c>
    </row>
    <row r="848" spans="11:12" x14ac:dyDescent="0.4">
      <c r="K848" s="36">
        <v>846</v>
      </c>
      <c r="L848" s="95">
        <v>-4.9737991503207013E-14</v>
      </c>
    </row>
    <row r="849" spans="11:12" x14ac:dyDescent="0.4">
      <c r="K849" s="36">
        <v>847</v>
      </c>
      <c r="L849" s="95">
        <v>4.1999999999999504</v>
      </c>
    </row>
    <row r="850" spans="11:12" x14ac:dyDescent="0.4">
      <c r="K850" s="36">
        <v>848</v>
      </c>
      <c r="L850" s="95">
        <v>34.399999999999949</v>
      </c>
    </row>
    <row r="851" spans="11:12" x14ac:dyDescent="0.4">
      <c r="K851" s="36">
        <v>849</v>
      </c>
      <c r="L851" s="95">
        <v>-4.9737991503207013E-14</v>
      </c>
    </row>
    <row r="852" spans="11:12" x14ac:dyDescent="0.4">
      <c r="K852" s="36">
        <v>850</v>
      </c>
      <c r="L852" s="95">
        <v>-28.80000000000005</v>
      </c>
    </row>
    <row r="853" spans="11:12" x14ac:dyDescent="0.4">
      <c r="K853" s="36">
        <v>851</v>
      </c>
      <c r="L853" s="95">
        <v>-87.100000000000051</v>
      </c>
    </row>
    <row r="854" spans="11:12" x14ac:dyDescent="0.4">
      <c r="K854" s="36">
        <v>852</v>
      </c>
      <c r="L854" s="95">
        <v>-5.6843418860808015E-14</v>
      </c>
    </row>
    <row r="855" spans="11:12" x14ac:dyDescent="0.4">
      <c r="K855" s="36">
        <v>853</v>
      </c>
      <c r="L855" s="95">
        <v>2.799999999999943</v>
      </c>
    </row>
    <row r="856" spans="11:12" x14ac:dyDescent="0.4">
      <c r="K856" s="36">
        <v>854</v>
      </c>
      <c r="L856" s="95">
        <v>33.29999999999994</v>
      </c>
    </row>
    <row r="857" spans="11:12" x14ac:dyDescent="0.4">
      <c r="K857" s="36">
        <v>855</v>
      </c>
      <c r="L857" s="95">
        <v>-5.6843418860808015E-14</v>
      </c>
    </row>
    <row r="858" spans="11:12" x14ac:dyDescent="0.4">
      <c r="K858" s="36">
        <v>856</v>
      </c>
      <c r="L858" s="95">
        <v>-12.000000000000057</v>
      </c>
    </row>
    <row r="859" spans="11:12" x14ac:dyDescent="0.4">
      <c r="K859" s="36">
        <v>857</v>
      </c>
      <c r="L859" s="95">
        <v>-62.400000000000055</v>
      </c>
    </row>
    <row r="860" spans="11:12" x14ac:dyDescent="0.4">
      <c r="K860" s="36">
        <v>858</v>
      </c>
      <c r="L860" s="95">
        <v>-5.6843418860808015E-14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78</v>
      </c>
      <c r="C2" s="155"/>
      <c r="E2" s="58" t="s">
        <v>66</v>
      </c>
      <c r="F2" s="55" t="s">
        <v>22</v>
      </c>
      <c r="G2" s="43">
        <v>139</v>
      </c>
      <c r="H2" s="128">
        <f>IF(B$15=0,0,G2/B$15)</f>
        <v>0.71649484536082475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2233.3333333333335</v>
      </c>
      <c r="P2" s="114">
        <v>78</v>
      </c>
      <c r="Q2" s="98">
        <v>174200</v>
      </c>
    </row>
    <row r="3" spans="1:17" x14ac:dyDescent="0.4">
      <c r="A3" s="51" t="s">
        <v>8</v>
      </c>
      <c r="B3" s="156">
        <v>697</v>
      </c>
      <c r="C3" s="157"/>
      <c r="E3" s="59" t="s">
        <v>72</v>
      </c>
      <c r="F3" s="56" t="s">
        <v>27</v>
      </c>
      <c r="G3" s="44">
        <v>107</v>
      </c>
      <c r="H3" s="129">
        <f>IF(B$15=0,0,G3/B$15)</f>
        <v>0.55154639175257736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-1844.1558441558441</v>
      </c>
      <c r="P3" s="115">
        <v>77</v>
      </c>
      <c r="Q3" s="99">
        <v>-142000</v>
      </c>
    </row>
    <row r="4" spans="1:17" x14ac:dyDescent="0.4">
      <c r="A4" s="51" t="s">
        <v>6</v>
      </c>
      <c r="B4" s="158">
        <v>-427.60000000000025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0.37113402061855671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-1763.5135135135135</v>
      </c>
      <c r="P4" s="115">
        <v>74</v>
      </c>
      <c r="Q4" s="99">
        <v>-130500</v>
      </c>
    </row>
    <row r="5" spans="1:17" x14ac:dyDescent="0.4">
      <c r="A5" s="51" t="s">
        <v>7</v>
      </c>
      <c r="B5" s="160">
        <f>IF(B$2=0,0,B$4/B$2)</f>
        <v>-5.4820512820512857</v>
      </c>
      <c r="C5" s="161"/>
      <c r="E5" s="59" t="s">
        <v>68</v>
      </c>
      <c r="F5" s="56" t="s">
        <v>12</v>
      </c>
      <c r="G5" s="44">
        <v>52</v>
      </c>
      <c r="H5" s="129">
        <f>IF(B$15=0,0,G5/B$15)</f>
        <v>0.26804123711340205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-991.304347826087</v>
      </c>
      <c r="P5" s="115">
        <v>69</v>
      </c>
      <c r="Q5" s="99">
        <v>-68400</v>
      </c>
    </row>
    <row r="6" spans="1:17" x14ac:dyDescent="0.4">
      <c r="A6" s="51" t="s">
        <v>1</v>
      </c>
      <c r="B6" s="150">
        <f>IF(B$2=0,0,(B$7*1+B$8*2+B$9*3)/B$2)</f>
        <v>2.1153846153846154</v>
      </c>
      <c r="C6" s="151"/>
      <c r="E6" s="59" t="s">
        <v>64</v>
      </c>
      <c r="F6" s="56" t="s">
        <v>20</v>
      </c>
      <c r="G6" s="44">
        <v>51</v>
      </c>
      <c r="H6" s="129">
        <f>IF(B$15=0,0,G6/B$15)</f>
        <v>0.26288659793814434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-83.582089552238813</v>
      </c>
      <c r="P6" s="115">
        <v>67</v>
      </c>
      <c r="Q6" s="99">
        <v>-5600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0.32051282051282054</v>
      </c>
      <c r="E7" s="59" t="s">
        <v>67</v>
      </c>
      <c r="F7" s="56" t="s">
        <v>23</v>
      </c>
      <c r="G7" s="44">
        <v>34</v>
      </c>
      <c r="H7" s="129">
        <f>IF(B$15=0,0,G7/B$15)</f>
        <v>0.17525773195876287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">
      <c r="A8" s="51" t="s">
        <v>3</v>
      </c>
      <c r="B8" s="44">
        <v>19</v>
      </c>
      <c r="C8" s="37">
        <f t="shared" si="1"/>
        <v>0.24358974358974358</v>
      </c>
      <c r="E8" s="59" t="s">
        <v>69</v>
      </c>
      <c r="F8" s="56" t="s">
        <v>24</v>
      </c>
      <c r="G8" s="44">
        <v>32</v>
      </c>
      <c r="H8" s="129">
        <f>IF(B$15=0,0,G8/B$15)</f>
        <v>0.16494845360824742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0.4358974358974359</v>
      </c>
      <c r="E9" s="59" t="s">
        <v>70</v>
      </c>
      <c r="F9" s="56" t="s">
        <v>25</v>
      </c>
      <c r="G9" s="44">
        <v>23</v>
      </c>
      <c r="H9" s="129">
        <f>IF(B$15=0,0,G9/B$15)</f>
        <v>0.11855670103092783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7.6923076923076927E-2</v>
      </c>
      <c r="E10" s="59" t="s">
        <v>71</v>
      </c>
      <c r="F10" s="56" t="s">
        <v>26</v>
      </c>
      <c r="G10" s="44">
        <v>23</v>
      </c>
      <c r="H10" s="129">
        <f>IF(B$15=0,0,G10/B$15)</f>
        <v>0.11855670103092783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">
      <c r="A11" s="54" t="s">
        <v>121</v>
      </c>
      <c r="B11" s="47">
        <v>100</v>
      </c>
      <c r="C11" s="42">
        <f>IF(B$3=0,0,B11/B$3)</f>
        <v>0.14347202295552366</v>
      </c>
      <c r="E11" s="59" t="s">
        <v>83</v>
      </c>
      <c r="F11" s="56" t="s">
        <v>38</v>
      </c>
      <c r="G11" s="44">
        <v>18</v>
      </c>
      <c r="H11" s="129">
        <f>IF(B$15=0,0,G11/B$15)</f>
        <v>9.2783505154639179E-2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-5.2208333333333323</v>
      </c>
      <c r="P11" s="115">
        <v>24</v>
      </c>
      <c r="Q11" s="103">
        <v>-125.29999999999998</v>
      </c>
    </row>
    <row r="12" spans="1:17" x14ac:dyDescent="0.4">
      <c r="A12" s="51" t="s">
        <v>118</v>
      </c>
      <c r="B12" s="44">
        <v>178</v>
      </c>
      <c r="C12" s="37">
        <f>IF(B$3=0,0,B12/B$3)</f>
        <v>0.25538020086083213</v>
      </c>
      <c r="E12" s="59" t="s">
        <v>65</v>
      </c>
      <c r="F12" s="56" t="s">
        <v>21</v>
      </c>
      <c r="G12" s="44">
        <v>13</v>
      </c>
      <c r="H12" s="129">
        <f>IF(B$15=0,0,G12/B$15)</f>
        <v>6.7010309278350513E-2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0.39629629629629665</v>
      </c>
      <c r="P12" s="116">
        <v>27</v>
      </c>
      <c r="Q12" s="104">
        <v>10.70000000000001</v>
      </c>
    </row>
    <row r="13" spans="1:17" x14ac:dyDescent="0.4">
      <c r="A13" s="50" t="s">
        <v>123</v>
      </c>
      <c r="B13" s="43">
        <f>B19</f>
        <v>52</v>
      </c>
      <c r="C13" s="35">
        <f>IF(B$11=0,0,B13/B$11)</f>
        <v>0.52</v>
      </c>
      <c r="E13" s="59" t="s">
        <v>89</v>
      </c>
      <c r="F13" s="56" t="s">
        <v>44</v>
      </c>
      <c r="G13" s="44">
        <v>12</v>
      </c>
      <c r="H13" s="129">
        <f>IF(B$15=0,0,G13/B$15)</f>
        <v>6.1855670103092786E-2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74</v>
      </c>
      <c r="C14" s="35">
        <f>IF(B$12=0,0,B14/B$12)</f>
        <v>0.4157303370786517</v>
      </c>
      <c r="E14" s="59" t="s">
        <v>81</v>
      </c>
      <c r="F14" s="56" t="s">
        <v>36</v>
      </c>
      <c r="G14" s="44">
        <v>9</v>
      </c>
      <c r="H14" s="129">
        <f>IF(B$15=0,0,G14/B$15)</f>
        <v>4.6391752577319589E-2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194</v>
      </c>
      <c r="C15" s="35">
        <f>IF(B$3=0,0,B15/B$3)</f>
        <v>0.27833572453371591</v>
      </c>
      <c r="E15" s="59" t="s">
        <v>86</v>
      </c>
      <c r="F15" s="56" t="s">
        <v>41</v>
      </c>
      <c r="G15" s="44">
        <v>5</v>
      </c>
      <c r="H15" s="129">
        <f>IF(B$15=0,0,G15/B$15)</f>
        <v>2.5773195876288658E-2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13</v>
      </c>
      <c r="B16" s="44">
        <v>106</v>
      </c>
      <c r="C16" s="37">
        <f>IF(B$3=0,0,B16/B$3)</f>
        <v>0.15208034433285508</v>
      </c>
      <c r="E16" s="59" t="s">
        <v>79</v>
      </c>
      <c r="F16" s="56" t="s">
        <v>34</v>
      </c>
      <c r="G16" s="44">
        <v>4</v>
      </c>
      <c r="H16" s="129">
        <f>IF(B$15=0,0,G16/B$15)</f>
        <v>2.0618556701030927E-2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83</v>
      </c>
      <c r="C17" s="37">
        <f>IF(B$15=0,0,B17/B$15)</f>
        <v>0.42783505154639173</v>
      </c>
      <c r="E17" s="59" t="s">
        <v>91</v>
      </c>
      <c r="F17" s="56" t="s">
        <v>46</v>
      </c>
      <c r="G17" s="44">
        <v>4</v>
      </c>
      <c r="H17" s="129">
        <f>IF(B$15=0,0,G17/B$15)</f>
        <v>2.0618556701030927E-2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4.4185185185185185</v>
      </c>
      <c r="P17" s="115">
        <v>27</v>
      </c>
      <c r="Q17" s="103">
        <v>119.3</v>
      </c>
    </row>
    <row r="18" spans="1:17" x14ac:dyDescent="0.4">
      <c r="A18" s="51" t="s">
        <v>11</v>
      </c>
      <c r="B18" s="44">
        <v>111</v>
      </c>
      <c r="C18" s="37">
        <f>IF(B$15=0,0,B18/B$15)</f>
        <v>0.57216494845360821</v>
      </c>
      <c r="E18" s="59" t="s">
        <v>74</v>
      </c>
      <c r="F18" s="56" t="s">
        <v>29</v>
      </c>
      <c r="G18" s="44">
        <v>2</v>
      </c>
      <c r="H18" s="129">
        <f>IF(B$15=0,0,G18/B$15)</f>
        <v>1.0309278350515464E-2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">
      <c r="A19" s="51" t="s">
        <v>195</v>
      </c>
      <c r="B19" s="44">
        <v>52</v>
      </c>
      <c r="C19" s="37">
        <f>IF(B$15=0,0,B19/B$15)</f>
        <v>0.26804123711340205</v>
      </c>
      <c r="E19" s="59" t="s">
        <v>78</v>
      </c>
      <c r="F19" s="56" t="s">
        <v>33</v>
      </c>
      <c r="G19" s="44">
        <v>2</v>
      </c>
      <c r="H19" s="129">
        <f>IF(B$15=0,0,G19/B$15)</f>
        <v>1.0309278350515464E-2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>IF(P19=0,0,Q19/P19)</f>
        <v>-5.5300000000000011</v>
      </c>
      <c r="P19" s="115">
        <v>30</v>
      </c>
      <c r="Q19" s="103">
        <v>-165.90000000000003</v>
      </c>
    </row>
    <row r="20" spans="1:17" x14ac:dyDescent="0.4">
      <c r="A20" s="51" t="s">
        <v>193</v>
      </c>
      <c r="B20" s="44">
        <v>74</v>
      </c>
      <c r="C20" s="37">
        <f>IF(B$15=0,0,B20/B$15)</f>
        <v>0.38144329896907214</v>
      </c>
      <c r="E20" s="59" t="s">
        <v>88</v>
      </c>
      <c r="F20" s="56" t="s">
        <v>43</v>
      </c>
      <c r="G20" s="44">
        <v>2</v>
      </c>
      <c r="H20" s="129">
        <f>IF(B$15=0,0,G20/B$15)</f>
        <v>1.0309278350515464E-2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>IF(P20=0,0,Q20/P20)</f>
        <v>-12.572222222222225</v>
      </c>
      <c r="P20" s="115">
        <v>36</v>
      </c>
      <c r="Q20" s="103">
        <v>-452.60000000000008</v>
      </c>
    </row>
    <row r="21" spans="1:17" x14ac:dyDescent="0.4">
      <c r="A21" s="51" t="s">
        <v>194</v>
      </c>
      <c r="B21" s="44">
        <v>68</v>
      </c>
      <c r="C21" s="37">
        <f>IF(B$15=0,0,B21/B$15)</f>
        <v>0.35051546391752575</v>
      </c>
      <c r="E21" s="59" t="s">
        <v>93</v>
      </c>
      <c r="F21" s="56" t="s">
        <v>48</v>
      </c>
      <c r="G21" s="44">
        <v>2</v>
      </c>
      <c r="H21" s="129">
        <f>IF(B$15=0,0,G21/B$15)</f>
        <v>1.0309278350515464E-2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-18.291666666666664</v>
      </c>
      <c r="P21" s="115">
        <v>12</v>
      </c>
      <c r="Q21" s="103">
        <v>-219.49999999999997</v>
      </c>
    </row>
    <row r="22" spans="1:17" x14ac:dyDescent="0.4">
      <c r="A22" s="51" t="s">
        <v>5</v>
      </c>
      <c r="B22" s="48">
        <f>IF(B$15=0,0,C22/B$15)</f>
        <v>7171.1340206185569</v>
      </c>
      <c r="C22" s="39">
        <v>1391200</v>
      </c>
      <c r="E22" s="59" t="s">
        <v>75</v>
      </c>
      <c r="F22" s="56" t="s">
        <v>30</v>
      </c>
      <c r="G22" s="44">
        <v>1</v>
      </c>
      <c r="H22" s="129">
        <f>IF(B$15=0,0,G22/B$15)</f>
        <v>5.1546391752577319E-3</v>
      </c>
      <c r="I22" s="90">
        <v>8</v>
      </c>
      <c r="K22" s="36">
        <v>20</v>
      </c>
      <c r="L22" s="95">
        <v>-88.8</v>
      </c>
      <c r="N22" s="111" t="s">
        <v>170</v>
      </c>
      <c r="O22" s="121">
        <f>IF(P22=0,0,Q22/P22)</f>
        <v>-31.130434782608695</v>
      </c>
      <c r="P22" s="115">
        <v>23</v>
      </c>
      <c r="Q22" s="103">
        <v>-716</v>
      </c>
    </row>
    <row r="23" spans="1:17" x14ac:dyDescent="0.4">
      <c r="A23" s="52" t="s">
        <v>177</v>
      </c>
      <c r="B23" s="136">
        <f>IF($B$15-B$14=0,0,C23/($B$15-B$14))</f>
        <v>7721.666666666667</v>
      </c>
      <c r="C23" s="137">
        <v>926600</v>
      </c>
      <c r="E23" s="59" t="s">
        <v>77</v>
      </c>
      <c r="F23" s="56" t="s">
        <v>32</v>
      </c>
      <c r="G23" s="44">
        <v>1</v>
      </c>
      <c r="H23" s="129">
        <f>IF(B$15=0,0,G23/B$15)</f>
        <v>5.1546391752577319E-3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">
      <c r="A24" s="52" t="s">
        <v>178</v>
      </c>
      <c r="B24" s="136">
        <f>IF(B$14=0,0,C24/B$14)</f>
        <v>6278.3783783783783</v>
      </c>
      <c r="C24" s="137">
        <v>464600</v>
      </c>
      <c r="E24" s="59" t="s">
        <v>84</v>
      </c>
      <c r="F24" s="56" t="s">
        <v>39</v>
      </c>
      <c r="G24" s="44">
        <v>1</v>
      </c>
      <c r="H24" s="129">
        <f>IF(B$15=0,0,G24/B$15)</f>
        <v>5.1546391752577319E-3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-7918.867924528302</v>
      </c>
      <c r="C25" s="137">
        <v>-839400</v>
      </c>
      <c r="E25" s="59" t="s">
        <v>87</v>
      </c>
      <c r="F25" s="56" t="s">
        <v>42</v>
      </c>
      <c r="G25" s="44">
        <v>1</v>
      </c>
      <c r="H25" s="129">
        <f>IF(B$15=0,0,G25/B$15)</f>
        <v>5.1546391752577319E-3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5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8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2.8694404591104736E-3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27</v>
      </c>
      <c r="C32" s="141">
        <f>IF(B$15=0,0,B32/B$15)</f>
        <v>0.13917525773195877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38</v>
      </c>
      <c r="C33" s="37">
        <f t="shared" ref="C33:C44" si="2">IF(B$15=0,0,B33/B$15)</f>
        <v>0.19587628865979381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41</v>
      </c>
      <c r="C34" s="37">
        <f>IF(B$15=0,0,B34/B$15)</f>
        <v>0.21134020618556701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32</v>
      </c>
      <c r="C35" s="37">
        <f t="shared" si="2"/>
        <v>0.16494845360824742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20</v>
      </c>
      <c r="C36" s="37">
        <f t="shared" si="2"/>
        <v>0.10309278350515463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16</v>
      </c>
      <c r="C37" s="37">
        <f t="shared" si="2"/>
        <v>8.247422680412371E-2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11</v>
      </c>
      <c r="C38" s="37">
        <f t="shared" si="2"/>
        <v>5.6701030927835051E-2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6</v>
      </c>
      <c r="C39" s="37">
        <f t="shared" si="2"/>
        <v>3.0927835051546393E-2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1</v>
      </c>
      <c r="C40" s="37">
        <f t="shared" si="2"/>
        <v>5.1546391752577319E-3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2</v>
      </c>
      <c r="C44" s="40">
        <f t="shared" si="2"/>
        <v>1.0309278350515464E-2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  <row r="76" spans="11:12" x14ac:dyDescent="0.4">
      <c r="K76" s="36">
        <v>74</v>
      </c>
      <c r="L76" s="95">
        <v>-460.70000000000027</v>
      </c>
    </row>
    <row r="77" spans="11:12" x14ac:dyDescent="0.4">
      <c r="K77" s="36">
        <v>75</v>
      </c>
      <c r="L77" s="95">
        <v>-462.20000000000027</v>
      </c>
    </row>
    <row r="78" spans="11:12" x14ac:dyDescent="0.4">
      <c r="K78" s="36">
        <v>76</v>
      </c>
      <c r="L78" s="95">
        <v>-520.50000000000023</v>
      </c>
    </row>
    <row r="79" spans="11:12" x14ac:dyDescent="0.4">
      <c r="K79" s="36">
        <v>77</v>
      </c>
      <c r="L79" s="95">
        <v>-490.00000000000023</v>
      </c>
    </row>
    <row r="80" spans="11:12" x14ac:dyDescent="0.4">
      <c r="K80" s="36">
        <v>78</v>
      </c>
      <c r="L80" s="95">
        <v>-427.60000000000025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6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165</v>
      </c>
      <c r="C2" s="155"/>
      <c r="E2" s="58" t="s">
        <v>66</v>
      </c>
      <c r="F2" s="55" t="s">
        <v>22</v>
      </c>
      <c r="G2" s="43">
        <v>312</v>
      </c>
      <c r="H2" s="128">
        <f>IF(B$15=0,0,G2/B$15)</f>
        <v>0.66952789699570814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1425.6097560975609</v>
      </c>
      <c r="P2" s="114">
        <v>164</v>
      </c>
      <c r="Q2" s="98">
        <v>233800</v>
      </c>
    </row>
    <row r="3" spans="1:17" x14ac:dyDescent="0.4">
      <c r="A3" s="51" t="s">
        <v>8</v>
      </c>
      <c r="B3" s="156">
        <v>1357</v>
      </c>
      <c r="C3" s="157"/>
      <c r="E3" s="59" t="s">
        <v>72</v>
      </c>
      <c r="F3" s="56" t="s">
        <v>27</v>
      </c>
      <c r="G3" s="44">
        <v>246</v>
      </c>
      <c r="H3" s="129">
        <f>IF(B$15=0,0,G3/B$15)</f>
        <v>0.52789699570815452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998.75776397515529</v>
      </c>
      <c r="P3" s="115">
        <v>161</v>
      </c>
      <c r="Q3" s="99">
        <v>160800</v>
      </c>
    </row>
    <row r="4" spans="1:17" x14ac:dyDescent="0.4">
      <c r="A4" s="51" t="s">
        <v>6</v>
      </c>
      <c r="B4" s="158">
        <v>1432.4</v>
      </c>
      <c r="C4" s="159"/>
      <c r="E4" s="59" t="s">
        <v>64</v>
      </c>
      <c r="F4" s="56" t="s">
        <v>20</v>
      </c>
      <c r="G4" s="44">
        <v>206</v>
      </c>
      <c r="H4" s="129">
        <f>IF(B$15=0,0,G4/B$15)</f>
        <v>0.44206008583690987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1060</v>
      </c>
      <c r="P4" s="115">
        <v>155</v>
      </c>
      <c r="Q4" s="99">
        <v>164300</v>
      </c>
    </row>
    <row r="5" spans="1:17" x14ac:dyDescent="0.4">
      <c r="A5" s="51" t="s">
        <v>7</v>
      </c>
      <c r="B5" s="160">
        <f>IF(B$2=0,0,B$4/B$2)</f>
        <v>8.6812121212121216</v>
      </c>
      <c r="C5" s="161"/>
      <c r="E5" s="59" t="s">
        <v>166</v>
      </c>
      <c r="F5" s="56" t="s">
        <v>167</v>
      </c>
      <c r="G5" s="44">
        <v>178</v>
      </c>
      <c r="H5" s="129">
        <f>IF(B$15=0,0,G5/B$15)</f>
        <v>0.38197424892703863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352.08333333333331</v>
      </c>
      <c r="P5" s="115">
        <v>144</v>
      </c>
      <c r="Q5" s="99">
        <v>50700</v>
      </c>
    </row>
    <row r="6" spans="1:17" x14ac:dyDescent="0.4">
      <c r="A6" s="51" t="s">
        <v>1</v>
      </c>
      <c r="B6" s="150">
        <f>IF(B$2=0,0,(B$7*1+B$8*2+B$9*3)/B$2)</f>
        <v>1.7878787878787878</v>
      </c>
      <c r="C6" s="151"/>
      <c r="E6" s="59" t="s">
        <v>68</v>
      </c>
      <c r="F6" s="56" t="s">
        <v>12</v>
      </c>
      <c r="G6" s="44">
        <v>128</v>
      </c>
      <c r="H6" s="129">
        <f>IF(B$15=0,0,G6/B$15)</f>
        <v>0.27467811158798283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1814.9253731343283</v>
      </c>
      <c r="P6" s="115">
        <v>134</v>
      </c>
      <c r="Q6" s="99">
        <v>243200</v>
      </c>
    </row>
    <row r="7" spans="1:17" x14ac:dyDescent="0.4">
      <c r="A7" s="51" t="s">
        <v>2</v>
      </c>
      <c r="B7" s="44">
        <v>76</v>
      </c>
      <c r="C7" s="37">
        <f t="shared" ref="C7:C10" si="1">IF(B$2=0,0,B7/B$2)</f>
        <v>0.46060606060606063</v>
      </c>
      <c r="E7" s="59" t="s">
        <v>67</v>
      </c>
      <c r="F7" s="56" t="s">
        <v>23</v>
      </c>
      <c r="G7" s="44">
        <v>113</v>
      </c>
      <c r="H7" s="129">
        <f>IF(B$15=0,0,G7/B$15)</f>
        <v>0.24248927038626608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1877.2727272727273</v>
      </c>
      <c r="P7" s="116">
        <v>110</v>
      </c>
      <c r="Q7" s="100">
        <v>206500</v>
      </c>
    </row>
    <row r="8" spans="1:17" x14ac:dyDescent="0.4">
      <c r="A8" s="51" t="s">
        <v>3</v>
      </c>
      <c r="B8" s="44">
        <v>48</v>
      </c>
      <c r="C8" s="37">
        <f t="shared" si="1"/>
        <v>0.29090909090909089</v>
      </c>
      <c r="E8" s="59" t="s">
        <v>89</v>
      </c>
      <c r="F8" s="56" t="s">
        <v>44</v>
      </c>
      <c r="G8" s="44">
        <v>68</v>
      </c>
      <c r="H8" s="129">
        <f>IF(B$15=0,0,G8/B$15)</f>
        <v>0.14592274678111589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41</v>
      </c>
      <c r="C9" s="38">
        <f t="shared" si="1"/>
        <v>0.24848484848484848</v>
      </c>
      <c r="E9" s="59" t="s">
        <v>69</v>
      </c>
      <c r="F9" s="56" t="s">
        <v>24</v>
      </c>
      <c r="G9" s="44">
        <v>59</v>
      </c>
      <c r="H9" s="129">
        <f>IF(B$15=0,0,G9/B$15)</f>
        <v>0.12660944206008584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4.2424242424242427E-2</v>
      </c>
      <c r="E10" s="59" t="s">
        <v>65</v>
      </c>
      <c r="F10" s="56" t="s">
        <v>21</v>
      </c>
      <c r="G10" s="44">
        <v>53</v>
      </c>
      <c r="H10" s="129">
        <f>IF(B$15=0,0,G10/B$15)</f>
        <v>0.11373390557939914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13.322916666666663</v>
      </c>
      <c r="P10" s="114">
        <v>48</v>
      </c>
      <c r="Q10" s="102">
        <v>639.49999999999977</v>
      </c>
    </row>
    <row r="11" spans="1:17" x14ac:dyDescent="0.4">
      <c r="A11" s="54" t="s">
        <v>121</v>
      </c>
      <c r="B11" s="47">
        <v>358</v>
      </c>
      <c r="C11" s="42">
        <f>IF(B$3=0,0,B11/B$3)</f>
        <v>0.26381724392041267</v>
      </c>
      <c r="E11" s="59" t="s">
        <v>71</v>
      </c>
      <c r="F11" s="56" t="s">
        <v>26</v>
      </c>
      <c r="G11" s="44">
        <v>33</v>
      </c>
      <c r="H11" s="129">
        <f>IF(B$15=0,0,G11/B$15)</f>
        <v>7.0815450643776826E-2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3.0399999999999991</v>
      </c>
      <c r="P11" s="115">
        <v>55</v>
      </c>
      <c r="Q11" s="103">
        <v>167.19999999999996</v>
      </c>
    </row>
    <row r="12" spans="1:17" x14ac:dyDescent="0.4">
      <c r="A12" s="51" t="s">
        <v>118</v>
      </c>
      <c r="B12" s="44">
        <v>317</v>
      </c>
      <c r="C12" s="37">
        <f>IF(B$3=0,0,B12/B$3)</f>
        <v>0.23360353721444363</v>
      </c>
      <c r="E12" s="59" t="s">
        <v>86</v>
      </c>
      <c r="F12" s="56" t="s">
        <v>41</v>
      </c>
      <c r="G12" s="44">
        <v>32</v>
      </c>
      <c r="H12" s="129">
        <f>IF(B$15=0,0,G12/B$15)</f>
        <v>6.8669527896995708E-2</v>
      </c>
      <c r="I12" s="90">
        <v>1</v>
      </c>
      <c r="K12" s="36">
        <v>10</v>
      </c>
      <c r="L12" s="95">
        <v>158.19999999999999</v>
      </c>
      <c r="N12" s="112" t="s">
        <v>159</v>
      </c>
      <c r="O12" s="122">
        <f>IF(P12=0,0,Q12/P12)</f>
        <v>10.091935483870966</v>
      </c>
      <c r="P12" s="116">
        <v>62</v>
      </c>
      <c r="Q12" s="104">
        <v>625.69999999999993</v>
      </c>
    </row>
    <row r="13" spans="1:17" x14ac:dyDescent="0.4">
      <c r="A13" s="50" t="s">
        <v>123</v>
      </c>
      <c r="B13" s="43">
        <f>B19</f>
        <v>216</v>
      </c>
      <c r="C13" s="35">
        <f>IF(B$11=0,0,B13/B$11)</f>
        <v>0.6033519553072626</v>
      </c>
      <c r="E13" s="59" t="s">
        <v>70</v>
      </c>
      <c r="F13" s="56" t="s">
        <v>25</v>
      </c>
      <c r="G13" s="44">
        <v>26</v>
      </c>
      <c r="H13" s="129">
        <f>IF(B$15=0,0,G13/B$15)</f>
        <v>5.5793991416309016E-2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156</v>
      </c>
      <c r="C14" s="35">
        <f>IF(B$12=0,0,B14/B$12)</f>
        <v>0.49211356466876971</v>
      </c>
      <c r="E14" s="59" t="s">
        <v>83</v>
      </c>
      <c r="F14" s="56" t="s">
        <v>38</v>
      </c>
      <c r="G14" s="44">
        <v>23</v>
      </c>
      <c r="H14" s="129">
        <f>IF(B$15=0,0,G14/B$15)</f>
        <v>4.9356223175965663E-2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466</v>
      </c>
      <c r="C15" s="35">
        <f>IF(B$3=0,0,B15/B$3)</f>
        <v>0.34340456890198967</v>
      </c>
      <c r="E15" s="59" t="s">
        <v>78</v>
      </c>
      <c r="F15" s="56" t="s">
        <v>33</v>
      </c>
      <c r="G15" s="44">
        <v>19</v>
      </c>
      <c r="H15" s="129">
        <f>IF(B$15=0,0,G15/B$15)</f>
        <v>4.07725321888412E-2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 t="shared" ref="O15:O23" si="2">IF(P15=0,0,Q15/P15)</f>
        <v>49.766666666666659</v>
      </c>
      <c r="P15" s="114">
        <v>3</v>
      </c>
      <c r="Q15" s="102">
        <v>149.29999999999998</v>
      </c>
    </row>
    <row r="16" spans="1:17" x14ac:dyDescent="0.4">
      <c r="A16" s="51" t="s">
        <v>13</v>
      </c>
      <c r="B16" s="44">
        <v>177</v>
      </c>
      <c r="C16" s="37">
        <f>IF(B$3=0,0,B16/B$3)</f>
        <v>0.13043478260869565</v>
      </c>
      <c r="E16" s="59" t="s">
        <v>162</v>
      </c>
      <c r="F16" s="56" t="s">
        <v>163</v>
      </c>
      <c r="G16" s="44">
        <v>13</v>
      </c>
      <c r="H16" s="129">
        <f>IF(B$15=0,0,G16/B$15)</f>
        <v>2.7896995708154508E-2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 t="shared" si="2"/>
        <v>39.662500000000009</v>
      </c>
      <c r="P16" s="115">
        <v>8</v>
      </c>
      <c r="Q16" s="103">
        <v>317.30000000000007</v>
      </c>
    </row>
    <row r="17" spans="1:17" x14ac:dyDescent="0.4">
      <c r="A17" s="51" t="s">
        <v>12</v>
      </c>
      <c r="B17" s="44">
        <v>196</v>
      </c>
      <c r="C17" s="37">
        <f>IF(B$15=0,0,B17/B$15)</f>
        <v>0.42060085836909872</v>
      </c>
      <c r="E17" s="59" t="s">
        <v>81</v>
      </c>
      <c r="F17" s="56" t="s">
        <v>36</v>
      </c>
      <c r="G17" s="44">
        <v>6</v>
      </c>
      <c r="H17" s="129">
        <f>IF(B$15=0,0,G17/B$15)</f>
        <v>1.2875536480686695E-2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 t="shared" si="2"/>
        <v>26.642105263157898</v>
      </c>
      <c r="P17" s="115">
        <v>19</v>
      </c>
      <c r="Q17" s="103">
        <v>506.20000000000005</v>
      </c>
    </row>
    <row r="18" spans="1:17" x14ac:dyDescent="0.4">
      <c r="A18" s="51" t="s">
        <v>11</v>
      </c>
      <c r="B18" s="44">
        <v>270</v>
      </c>
      <c r="C18" s="37">
        <f>IF(B$15=0,0,B18/B$15)</f>
        <v>0.57939914163090134</v>
      </c>
      <c r="E18" s="59" t="s">
        <v>75</v>
      </c>
      <c r="F18" s="56" t="s">
        <v>30</v>
      </c>
      <c r="G18" s="44">
        <v>5</v>
      </c>
      <c r="H18" s="129">
        <f>IF(B$15=0,0,G18/B$15)</f>
        <v>1.0729613733905579E-2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 t="shared" si="2"/>
        <v>13.875</v>
      </c>
      <c r="P18" s="115">
        <v>60</v>
      </c>
      <c r="Q18" s="103">
        <v>832.5</v>
      </c>
    </row>
    <row r="19" spans="1:17" x14ac:dyDescent="0.4">
      <c r="A19" s="51" t="s">
        <v>195</v>
      </c>
      <c r="B19" s="44">
        <v>216</v>
      </c>
      <c r="C19" s="37">
        <f>IF(B$15=0,0,B19/B$15)</f>
        <v>0.46351931330472101</v>
      </c>
      <c r="E19" s="59" t="s">
        <v>91</v>
      </c>
      <c r="F19" s="56" t="s">
        <v>46</v>
      </c>
      <c r="G19" s="44">
        <v>5</v>
      </c>
      <c r="H19" s="129">
        <f>IF(B$15=0,0,G19/B$15)</f>
        <v>1.0729613733905579E-2</v>
      </c>
      <c r="I19" s="90">
        <v>7</v>
      </c>
      <c r="K19" s="36">
        <v>17</v>
      </c>
      <c r="L19" s="95">
        <v>359.09999999999991</v>
      </c>
      <c r="N19" s="111" t="s">
        <v>172</v>
      </c>
      <c r="O19" s="121">
        <f t="shared" si="2"/>
        <v>13.408474576271187</v>
      </c>
      <c r="P19" s="115">
        <v>59</v>
      </c>
      <c r="Q19" s="103">
        <v>791.1</v>
      </c>
    </row>
    <row r="20" spans="1:17" x14ac:dyDescent="0.4">
      <c r="A20" s="51" t="s">
        <v>193</v>
      </c>
      <c r="B20" s="44">
        <v>156</v>
      </c>
      <c r="C20" s="37">
        <f>IF(B$15=0,0,B20/B$15)</f>
        <v>0.33476394849785407</v>
      </c>
      <c r="E20" s="59" t="s">
        <v>79</v>
      </c>
      <c r="F20" s="56" t="s">
        <v>34</v>
      </c>
      <c r="G20" s="44">
        <v>4</v>
      </c>
      <c r="H20" s="129">
        <f>IF(B$15=0,0,G20/B$15)</f>
        <v>8.5836909871244635E-3</v>
      </c>
      <c r="I20" s="90">
        <v>8</v>
      </c>
      <c r="K20" s="36">
        <v>18</v>
      </c>
      <c r="L20" s="95">
        <v>352.39999999999992</v>
      </c>
      <c r="N20" s="111" t="s">
        <v>161</v>
      </c>
      <c r="O20" s="121">
        <f t="shared" si="2"/>
        <v>13.075675675675678</v>
      </c>
      <c r="P20" s="115">
        <v>37</v>
      </c>
      <c r="Q20" s="103">
        <v>483.80000000000007</v>
      </c>
    </row>
    <row r="21" spans="1:17" x14ac:dyDescent="0.4">
      <c r="A21" s="51" t="s">
        <v>194</v>
      </c>
      <c r="B21" s="44">
        <v>94</v>
      </c>
      <c r="C21" s="37">
        <f>IF(B$15=0,0,B21/B$15)</f>
        <v>0.20171673819742489</v>
      </c>
      <c r="E21" s="59" t="s">
        <v>85</v>
      </c>
      <c r="F21" s="56" t="s">
        <v>40</v>
      </c>
      <c r="G21" s="44">
        <v>4</v>
      </c>
      <c r="H21" s="129">
        <f>IF(B$15=0,0,G21/B$15)</f>
        <v>8.5836909871244635E-3</v>
      </c>
      <c r="I21" s="90">
        <v>5</v>
      </c>
      <c r="K21" s="36">
        <v>19</v>
      </c>
      <c r="L21" s="95">
        <v>383.19999999999993</v>
      </c>
      <c r="N21" s="111" t="s">
        <v>127</v>
      </c>
      <c r="O21" s="121">
        <f t="shared" si="2"/>
        <v>12.729896907216494</v>
      </c>
      <c r="P21" s="115">
        <v>97</v>
      </c>
      <c r="Q21" s="103">
        <v>1234.8</v>
      </c>
    </row>
    <row r="22" spans="1:17" x14ac:dyDescent="0.4">
      <c r="A22" s="51" t="s">
        <v>5</v>
      </c>
      <c r="B22" s="48">
        <f>IF(B$15=0,0,C22/B$15)</f>
        <v>8144.6351931330473</v>
      </c>
      <c r="C22" s="39">
        <v>3795400</v>
      </c>
      <c r="E22" s="59" t="s">
        <v>77</v>
      </c>
      <c r="F22" s="56" t="s">
        <v>32</v>
      </c>
      <c r="G22" s="44">
        <v>3</v>
      </c>
      <c r="H22" s="129">
        <f>IF(B$15=0,0,G22/B$15)</f>
        <v>6.4377682403433476E-3</v>
      </c>
      <c r="I22" s="90">
        <v>1</v>
      </c>
      <c r="K22" s="36">
        <v>20</v>
      </c>
      <c r="L22" s="95">
        <v>365.49999999999994</v>
      </c>
      <c r="N22" s="111" t="s">
        <v>170</v>
      </c>
      <c r="O22" s="121">
        <f t="shared" si="2"/>
        <v>1.1456521739130441</v>
      </c>
      <c r="P22" s="115">
        <v>46</v>
      </c>
      <c r="Q22" s="103">
        <v>52.700000000000031</v>
      </c>
    </row>
    <row r="23" spans="1:17" x14ac:dyDescent="0.4">
      <c r="A23" s="52" t="s">
        <v>177</v>
      </c>
      <c r="B23" s="136">
        <f>IF($B$15-B$14=0,0,C23/($B$15-B$14))</f>
        <v>8588.0645161290322</v>
      </c>
      <c r="C23" s="137">
        <v>2662300</v>
      </c>
      <c r="E23" s="59" t="s">
        <v>84</v>
      </c>
      <c r="F23" s="56" t="s">
        <v>39</v>
      </c>
      <c r="G23" s="44">
        <v>3</v>
      </c>
      <c r="H23" s="129">
        <f>IF(B$15=0,0,G23/B$15)</f>
        <v>6.4377682403433476E-3</v>
      </c>
      <c r="I23" s="90">
        <v>2</v>
      </c>
      <c r="K23" s="36">
        <v>21</v>
      </c>
      <c r="L23" s="95">
        <v>371.39999999999992</v>
      </c>
      <c r="N23" s="111" t="s">
        <v>203</v>
      </c>
      <c r="O23" s="121">
        <f t="shared" si="2"/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7263.4615384615381</v>
      </c>
      <c r="C24" s="137">
        <v>1133100</v>
      </c>
      <c r="E24" s="59" t="s">
        <v>92</v>
      </c>
      <c r="F24" s="56" t="s">
        <v>47</v>
      </c>
      <c r="G24" s="44">
        <v>3</v>
      </c>
      <c r="H24" s="129">
        <f>IF(B$15=0,0,G24/B$15)</f>
        <v>6.4377682403433476E-3</v>
      </c>
      <c r="I24" s="90">
        <v>4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-7553.1073446327682</v>
      </c>
      <c r="C25" s="137">
        <v>-1336900</v>
      </c>
      <c r="E25" s="59" t="s">
        <v>74</v>
      </c>
      <c r="F25" s="56" t="s">
        <v>29</v>
      </c>
      <c r="G25" s="44">
        <v>2</v>
      </c>
      <c r="H25" s="129">
        <f>IF(B$15=0,0,G25/B$15)</f>
        <v>4.2918454935622317E-3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4.2918454935622317E-3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1</v>
      </c>
      <c r="E27" s="59" t="s">
        <v>95</v>
      </c>
      <c r="F27" s="56" t="s">
        <v>50</v>
      </c>
      <c r="G27" s="44">
        <v>2</v>
      </c>
      <c r="H27" s="129">
        <f>IF(B$15=0,0,G27/B$15)</f>
        <v>4.2918454935622317E-3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2.1459227467811159E-3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2.1459227467811159E-3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7.3691967575534268E-4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43</v>
      </c>
      <c r="C32" s="141">
        <f>IF(B$15=0,0,B32/B$15)</f>
        <v>9.2274678111587988E-2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87</v>
      </c>
      <c r="C33" s="37">
        <f t="shared" ref="C33:C44" si="3">IF(B$15=0,0,B33/B$15)</f>
        <v>0.18669527896995708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94</v>
      </c>
      <c r="C34" s="37">
        <f>IF(B$15=0,0,B34/B$15)</f>
        <v>0.20171673819742489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84</v>
      </c>
      <c r="C35" s="37">
        <f t="shared" si="3"/>
        <v>0.18025751072961374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67</v>
      </c>
      <c r="C36" s="37">
        <f t="shared" si="3"/>
        <v>0.14377682403433475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42</v>
      </c>
      <c r="C37" s="37">
        <f t="shared" si="3"/>
        <v>9.012875536480687E-2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23</v>
      </c>
      <c r="C38" s="37">
        <f t="shared" si="3"/>
        <v>4.9356223175965663E-2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7</v>
      </c>
      <c r="C39" s="37">
        <f t="shared" si="3"/>
        <v>1.5021459227467811E-2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10</v>
      </c>
      <c r="C40" s="37">
        <f t="shared" si="3"/>
        <v>2.1459227467811159E-2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2</v>
      </c>
      <c r="C41" s="37">
        <f t="shared" si="3"/>
        <v>4.2918454935622317E-3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3"/>
        <v>2.1459227467811159E-3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6</v>
      </c>
      <c r="C44" s="40">
        <f t="shared" si="3"/>
        <v>1.2875536480686695E-2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  <row r="159" spans="11:12" x14ac:dyDescent="0.4">
      <c r="K159" s="36">
        <v>157</v>
      </c>
      <c r="L159" s="95">
        <v>1287.4000000000001</v>
      </c>
    </row>
    <row r="160" spans="11:12" x14ac:dyDescent="0.4">
      <c r="K160" s="36">
        <v>158</v>
      </c>
      <c r="L160" s="95">
        <v>1309</v>
      </c>
    </row>
    <row r="161" spans="11:12" x14ac:dyDescent="0.4">
      <c r="K161" s="36">
        <v>159</v>
      </c>
      <c r="L161" s="95">
        <v>1345.9</v>
      </c>
    </row>
    <row r="162" spans="11:12" x14ac:dyDescent="0.4">
      <c r="K162" s="36">
        <v>160</v>
      </c>
      <c r="L162" s="95">
        <v>1344.4</v>
      </c>
    </row>
    <row r="163" spans="11:12" x14ac:dyDescent="0.4">
      <c r="K163" s="36">
        <v>161</v>
      </c>
      <c r="L163" s="95">
        <v>1375.4</v>
      </c>
    </row>
    <row r="164" spans="11:12" x14ac:dyDescent="0.4">
      <c r="K164" s="36">
        <v>162</v>
      </c>
      <c r="L164" s="95">
        <v>1421.9</v>
      </c>
    </row>
    <row r="165" spans="11:12" x14ac:dyDescent="0.4">
      <c r="K165" s="36">
        <v>163</v>
      </c>
      <c r="L165" s="95">
        <v>1425.1000000000001</v>
      </c>
    </row>
    <row r="166" spans="11:12" x14ac:dyDescent="0.4">
      <c r="K166" s="36">
        <v>164</v>
      </c>
      <c r="L166" s="95">
        <v>1402.2</v>
      </c>
    </row>
    <row r="167" spans="11:12" x14ac:dyDescent="0.4">
      <c r="K167" s="36">
        <v>165</v>
      </c>
      <c r="L167" s="95">
        <v>1432.4</v>
      </c>
    </row>
  </sheetData>
  <sortState xmlns:xlrd2="http://schemas.microsoft.com/office/spreadsheetml/2017/richdata2" ref="E2:I1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4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292</v>
      </c>
      <c r="H2" s="128">
        <f>IF(B$15=0,0,G2/B$15)</f>
        <v>0.78284182305630023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-1480.6896551724137</v>
      </c>
      <c r="P2" s="114">
        <v>145</v>
      </c>
      <c r="Q2" s="98">
        <v>-214700</v>
      </c>
    </row>
    <row r="3" spans="1:17" x14ac:dyDescent="0.4">
      <c r="A3" s="51" t="s">
        <v>8</v>
      </c>
      <c r="B3" s="156">
        <v>1222</v>
      </c>
      <c r="C3" s="157"/>
      <c r="E3" s="59" t="s">
        <v>72</v>
      </c>
      <c r="F3" s="56" t="s">
        <v>27</v>
      </c>
      <c r="G3" s="44">
        <v>207</v>
      </c>
      <c r="H3" s="129">
        <f>IF(B$15=0,0,G3/B$15)</f>
        <v>0.55495978552278824</v>
      </c>
      <c r="I3" s="90">
        <v>5</v>
      </c>
      <c r="K3" s="36">
        <v>1</v>
      </c>
      <c r="L3" s="95">
        <v>-45.6</v>
      </c>
      <c r="N3" s="111" t="s">
        <v>131</v>
      </c>
      <c r="O3" s="118">
        <f t="shared" si="0"/>
        <v>1537.7622377622379</v>
      </c>
      <c r="P3" s="115">
        <v>143</v>
      </c>
      <c r="Q3" s="99">
        <v>219900</v>
      </c>
    </row>
    <row r="4" spans="1:17" x14ac:dyDescent="0.4">
      <c r="A4" s="51" t="s">
        <v>6</v>
      </c>
      <c r="B4" s="158">
        <v>21.799999999999812</v>
      </c>
      <c r="C4" s="159"/>
      <c r="E4" s="59" t="s">
        <v>166</v>
      </c>
      <c r="F4" s="56" t="s">
        <v>167</v>
      </c>
      <c r="G4" s="44">
        <v>146</v>
      </c>
      <c r="H4" s="129">
        <f>IF(B$15=0,0,G4/B$15)</f>
        <v>0.39142091152815012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-462.87878787878788</v>
      </c>
      <c r="P4" s="115">
        <v>132</v>
      </c>
      <c r="Q4" s="99">
        <v>-61100</v>
      </c>
    </row>
    <row r="5" spans="1:17" x14ac:dyDescent="0.4">
      <c r="A5" s="51" t="s">
        <v>7</v>
      </c>
      <c r="B5" s="160">
        <f>IF(B$2=0,0,B$4/B$2)</f>
        <v>0.14931506849314941</v>
      </c>
      <c r="C5" s="161"/>
      <c r="E5" s="59" t="s">
        <v>64</v>
      </c>
      <c r="F5" s="56" t="s">
        <v>20</v>
      </c>
      <c r="G5" s="44">
        <v>144</v>
      </c>
      <c r="H5" s="129">
        <f>IF(B$15=0,0,G5/B$15)</f>
        <v>0.38605898123324395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231.2</v>
      </c>
      <c r="P5" s="115">
        <v>125</v>
      </c>
      <c r="Q5" s="99">
        <v>28900</v>
      </c>
    </row>
    <row r="6" spans="1:17" x14ac:dyDescent="0.4">
      <c r="A6" s="51" t="s">
        <v>1</v>
      </c>
      <c r="B6" s="150">
        <f>IF(B$2=0,0,(B$7*1+B$8*2+B$9*3)/B$2)</f>
        <v>1.9657534246575343</v>
      </c>
      <c r="C6" s="151"/>
      <c r="E6" s="59" t="s">
        <v>68</v>
      </c>
      <c r="F6" s="56" t="s">
        <v>12</v>
      </c>
      <c r="G6" s="44">
        <v>104</v>
      </c>
      <c r="H6" s="129">
        <f>IF(B$15=0,0,G6/B$15)</f>
        <v>0.27882037533512066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-919.29824561403507</v>
      </c>
      <c r="P6" s="115">
        <v>114</v>
      </c>
      <c r="Q6" s="99">
        <v>-104800</v>
      </c>
    </row>
    <row r="7" spans="1:17" x14ac:dyDescent="0.4">
      <c r="A7" s="51" t="s">
        <v>2</v>
      </c>
      <c r="B7" s="44">
        <v>50</v>
      </c>
      <c r="C7" s="37">
        <f t="shared" ref="C7:C10" si="1">IF(B$2=0,0,B7/B$2)</f>
        <v>0.34246575342465752</v>
      </c>
      <c r="E7" s="59" t="s">
        <v>67</v>
      </c>
      <c r="F7" s="56" t="s">
        <v>23</v>
      </c>
      <c r="G7" s="44">
        <v>80</v>
      </c>
      <c r="H7" s="129">
        <f>IF(B$15=0,0,G7/B$15)</f>
        <v>0.21447721179624665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1273.9583333333333</v>
      </c>
      <c r="P7" s="116">
        <v>96</v>
      </c>
      <c r="Q7" s="100">
        <v>122300</v>
      </c>
    </row>
    <row r="8" spans="1:17" x14ac:dyDescent="0.4">
      <c r="A8" s="51" t="s">
        <v>3</v>
      </c>
      <c r="B8" s="44">
        <v>51</v>
      </c>
      <c r="C8" s="37">
        <f t="shared" si="1"/>
        <v>0.34931506849315069</v>
      </c>
      <c r="E8" s="59" t="s">
        <v>69</v>
      </c>
      <c r="F8" s="56" t="s">
        <v>24</v>
      </c>
      <c r="G8" s="44">
        <v>46</v>
      </c>
      <c r="H8" s="129">
        <f>IF(B$15=0,0,G8/B$15)</f>
        <v>0.12332439678284182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45</v>
      </c>
      <c r="C9" s="38">
        <f t="shared" si="1"/>
        <v>0.30821917808219179</v>
      </c>
      <c r="E9" s="59" t="s">
        <v>89</v>
      </c>
      <c r="F9" s="56" t="s">
        <v>44</v>
      </c>
      <c r="G9" s="44">
        <v>42</v>
      </c>
      <c r="H9" s="129">
        <f>IF(B$15=0,0,G9/B$15)</f>
        <v>0.1126005361930295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0.12328767123287671</v>
      </c>
      <c r="E10" s="59" t="s">
        <v>70</v>
      </c>
      <c r="F10" s="56" t="s">
        <v>25</v>
      </c>
      <c r="G10" s="44">
        <v>36</v>
      </c>
      <c r="H10" s="129">
        <f>IF(B$15=0,0,G10/B$15)</f>
        <v>9.6514745308310987E-2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1.7976190476190479</v>
      </c>
      <c r="P10" s="114">
        <v>42</v>
      </c>
      <c r="Q10" s="102">
        <v>75.500000000000014</v>
      </c>
    </row>
    <row r="11" spans="1:17" x14ac:dyDescent="0.4">
      <c r="A11" s="54" t="s">
        <v>121</v>
      </c>
      <c r="B11" s="47">
        <v>286</v>
      </c>
      <c r="C11" s="42">
        <f>IF(B$3=0,0,B11/B$3)</f>
        <v>0.23404255319148937</v>
      </c>
      <c r="E11" s="59" t="s">
        <v>71</v>
      </c>
      <c r="F11" s="56" t="s">
        <v>26</v>
      </c>
      <c r="G11" s="44">
        <v>35</v>
      </c>
      <c r="H11" s="129">
        <f>IF(B$15=0,0,G11/B$15)</f>
        <v>9.3833780160857902E-2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4.1333333333333346</v>
      </c>
      <c r="P11" s="115">
        <v>48</v>
      </c>
      <c r="Q11" s="103">
        <v>198.40000000000006</v>
      </c>
    </row>
    <row r="12" spans="1:17" x14ac:dyDescent="0.4">
      <c r="A12" s="51" t="s">
        <v>118</v>
      </c>
      <c r="B12" s="44">
        <v>366</v>
      </c>
      <c r="C12" s="37">
        <f>IF(B$3=0,0,B12/B$3)</f>
        <v>0.29950900163666122</v>
      </c>
      <c r="E12" s="59" t="s">
        <v>65</v>
      </c>
      <c r="F12" s="56" t="s">
        <v>21</v>
      </c>
      <c r="G12" s="44">
        <v>31</v>
      </c>
      <c r="H12" s="129">
        <f>IF(B$15=0,0,G12/B$15)</f>
        <v>8.3109919571045576E-2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-4.5017857142857149</v>
      </c>
      <c r="P12" s="116">
        <v>56</v>
      </c>
      <c r="Q12" s="104">
        <v>-252.10000000000005</v>
      </c>
    </row>
    <row r="13" spans="1:17" x14ac:dyDescent="0.4">
      <c r="A13" s="50" t="s">
        <v>123</v>
      </c>
      <c r="B13" s="43">
        <f>B19</f>
        <v>144</v>
      </c>
      <c r="C13" s="35">
        <f>IF(B$11=0,0,B13/B$11)</f>
        <v>0.50349650349650354</v>
      </c>
      <c r="E13" s="59" t="s">
        <v>86</v>
      </c>
      <c r="F13" s="56" t="s">
        <v>41</v>
      </c>
      <c r="G13" s="44">
        <v>24</v>
      </c>
      <c r="H13" s="129">
        <f>IF(B$15=0,0,G13/B$15)</f>
        <v>6.4343163538873996E-2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140</v>
      </c>
      <c r="C14" s="35">
        <f>IF(B$12=0,0,B14/B$12)</f>
        <v>0.38251366120218577</v>
      </c>
      <c r="E14" s="59" t="s">
        <v>83</v>
      </c>
      <c r="F14" s="56" t="s">
        <v>38</v>
      </c>
      <c r="G14" s="44">
        <v>19</v>
      </c>
      <c r="H14" s="129">
        <f>IF(B$15=0,0,G14/B$15)</f>
        <v>5.0938337801608578E-2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373</v>
      </c>
      <c r="C15" s="35">
        <f>IF(B$3=0,0,B15/B$3)</f>
        <v>0.30523731587561376</v>
      </c>
      <c r="E15" s="59" t="s">
        <v>91</v>
      </c>
      <c r="F15" s="56" t="s">
        <v>46</v>
      </c>
      <c r="G15" s="44">
        <v>13</v>
      </c>
      <c r="H15" s="129">
        <f>IF(B$15=0,0,G15/B$15)</f>
        <v>3.4852546916890083E-2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223</v>
      </c>
      <c r="C16" s="37">
        <f>IF(B$3=0,0,B16/B$3)</f>
        <v>0.18248772504091654</v>
      </c>
      <c r="E16" s="59" t="s">
        <v>78</v>
      </c>
      <c r="F16" s="56" t="s">
        <v>33</v>
      </c>
      <c r="G16" s="44">
        <v>11</v>
      </c>
      <c r="H16" s="129">
        <f>IF(B$15=0,0,G16/B$15)</f>
        <v>2.9490616621983913E-2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 t="shared" si="2"/>
        <v>17.456249999999994</v>
      </c>
      <c r="P16" s="115">
        <v>48</v>
      </c>
      <c r="Q16" s="103">
        <v>837.89999999999964</v>
      </c>
    </row>
    <row r="17" spans="1:17" x14ac:dyDescent="0.4">
      <c r="A17" s="51" t="s">
        <v>12</v>
      </c>
      <c r="B17" s="44">
        <v>155</v>
      </c>
      <c r="C17" s="37">
        <f>IF(B$15=0,0,B17/B$15)</f>
        <v>0.41554959785522788</v>
      </c>
      <c r="E17" s="59" t="s">
        <v>81</v>
      </c>
      <c r="F17" s="56" t="s">
        <v>36</v>
      </c>
      <c r="G17" s="44">
        <v>8</v>
      </c>
      <c r="H17" s="129">
        <f>IF(B$15=0,0,G17/B$15)</f>
        <v>2.1447721179624665E-2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 x14ac:dyDescent="0.4">
      <c r="A18" s="51" t="s">
        <v>11</v>
      </c>
      <c r="B18" s="44">
        <v>218</v>
      </c>
      <c r="C18" s="37">
        <f>IF(B$15=0,0,B18/B$15)</f>
        <v>0.58445040214477206</v>
      </c>
      <c r="E18" s="59" t="s">
        <v>79</v>
      </c>
      <c r="F18" s="56" t="s">
        <v>34</v>
      </c>
      <c r="G18" s="44">
        <v>7</v>
      </c>
      <c r="H18" s="129">
        <f>IF(B$15=0,0,G18/B$15)</f>
        <v>1.876675603217158E-2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144</v>
      </c>
      <c r="C19" s="37">
        <f>IF(B$15=0,0,B19/B$15)</f>
        <v>0.38605898123324395</v>
      </c>
      <c r="E19" s="59" t="s">
        <v>162</v>
      </c>
      <c r="F19" s="56" t="s">
        <v>163</v>
      </c>
      <c r="G19" s="44">
        <v>5</v>
      </c>
      <c r="H19" s="129">
        <f>IF(B$15=0,0,G19/B$15)</f>
        <v>1.3404825737265416E-2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5.5299999999999994</v>
      </c>
      <c r="P19" s="115">
        <v>30</v>
      </c>
      <c r="Q19" s="103">
        <v>165.89999999999998</v>
      </c>
    </row>
    <row r="20" spans="1:17" x14ac:dyDescent="0.4">
      <c r="A20" s="51" t="s">
        <v>193</v>
      </c>
      <c r="B20" s="44">
        <v>140</v>
      </c>
      <c r="C20" s="37">
        <f>IF(B$15=0,0,B20/B$15)</f>
        <v>0.37533512064343161</v>
      </c>
      <c r="E20" s="59" t="s">
        <v>92</v>
      </c>
      <c r="F20" s="56" t="s">
        <v>47</v>
      </c>
      <c r="G20" s="44">
        <v>3</v>
      </c>
      <c r="H20" s="129">
        <f>IF(B$15=0,0,G20/B$15)</f>
        <v>8.0428954423592495E-3</v>
      </c>
      <c r="I20" s="90">
        <v>2</v>
      </c>
      <c r="K20" s="36">
        <v>18</v>
      </c>
      <c r="L20" s="95">
        <v>-112.90000000000002</v>
      </c>
      <c r="N20" s="111" t="s">
        <v>171</v>
      </c>
      <c r="O20" s="121">
        <f t="shared" si="2"/>
        <v>1.9895833333333348</v>
      </c>
      <c r="P20" s="115">
        <v>48</v>
      </c>
      <c r="Q20" s="103">
        <v>95.500000000000071</v>
      </c>
    </row>
    <row r="21" spans="1:17" x14ac:dyDescent="0.4">
      <c r="A21" s="51" t="s">
        <v>194</v>
      </c>
      <c r="B21" s="44">
        <v>89</v>
      </c>
      <c r="C21" s="37">
        <f>IF(B$15=0,0,B21/B$15)</f>
        <v>0.23860589812332439</v>
      </c>
      <c r="E21" s="59" t="s">
        <v>74</v>
      </c>
      <c r="F21" s="56" t="s">
        <v>29</v>
      </c>
      <c r="G21" s="44">
        <v>2</v>
      </c>
      <c r="H21" s="129">
        <f>IF(B$15=0,0,G21/B$15)</f>
        <v>5.3619302949061663E-3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 t="shared" si="2"/>
        <v>0.40000000000000036</v>
      </c>
      <c r="P21" s="115">
        <v>4</v>
      </c>
      <c r="Q21" s="103">
        <v>1.6000000000000014</v>
      </c>
    </row>
    <row r="22" spans="1:17" x14ac:dyDescent="0.4">
      <c r="A22" s="51" t="s">
        <v>5</v>
      </c>
      <c r="B22" s="48">
        <f>IF(B$15=0,0,C22/B$15)</f>
        <v>8230.8310991957096</v>
      </c>
      <c r="C22" s="39">
        <v>3070100</v>
      </c>
      <c r="E22" s="59" t="s">
        <v>75</v>
      </c>
      <c r="F22" s="56" t="s">
        <v>30</v>
      </c>
      <c r="G22" s="44">
        <v>2</v>
      </c>
      <c r="H22" s="129">
        <f>IF(B$15=0,0,G22/B$15)</f>
        <v>5.3619302949061663E-3</v>
      </c>
      <c r="I22" s="90">
        <v>7</v>
      </c>
      <c r="K22" s="36">
        <v>20</v>
      </c>
      <c r="L22" s="95">
        <v>-96.000000000000028</v>
      </c>
      <c r="N22" s="111" t="s">
        <v>170</v>
      </c>
      <c r="O22" s="121">
        <f t="shared" si="2"/>
        <v>-5.7181818181818134</v>
      </c>
      <c r="P22" s="115">
        <v>44</v>
      </c>
      <c r="Q22" s="103">
        <v>-251.5999999999998</v>
      </c>
    </row>
    <row r="23" spans="1:17" x14ac:dyDescent="0.4">
      <c r="A23" s="52" t="s">
        <v>177</v>
      </c>
      <c r="B23" s="136">
        <f>IF($B$15-B$14=0,0,C23/($B$15-B$14))</f>
        <v>8900.4291845493553</v>
      </c>
      <c r="C23" s="137">
        <v>2073800</v>
      </c>
      <c r="E23" s="59" t="s">
        <v>73</v>
      </c>
      <c r="F23" s="56" t="s">
        <v>28</v>
      </c>
      <c r="G23" s="44">
        <v>1</v>
      </c>
      <c r="H23" s="129">
        <f>IF(B$15=0,0,G23/B$15)</f>
        <v>2.6809651474530832E-3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-12.729896907216494</v>
      </c>
      <c r="P23" s="115">
        <v>97</v>
      </c>
      <c r="Q23" s="103">
        <v>-1234.8</v>
      </c>
    </row>
    <row r="24" spans="1:17" x14ac:dyDescent="0.4">
      <c r="A24" s="52" t="s">
        <v>178</v>
      </c>
      <c r="B24" s="136">
        <f>IF(B$14=0,0,C24/B$14)</f>
        <v>7116.4285714285716</v>
      </c>
      <c r="C24" s="137">
        <v>996300</v>
      </c>
      <c r="E24" s="59" t="s">
        <v>77</v>
      </c>
      <c r="F24" s="56" t="s">
        <v>32</v>
      </c>
      <c r="G24" s="44">
        <v>1</v>
      </c>
      <c r="H24" s="129">
        <f>IF(B$15=0,0,G24/B$15)</f>
        <v>2.6809651474530832E-3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-7970.8520179372199</v>
      </c>
      <c r="C25" s="137">
        <v>-1777500</v>
      </c>
      <c r="E25" s="59" t="s">
        <v>84</v>
      </c>
      <c r="F25" s="56" t="s">
        <v>39</v>
      </c>
      <c r="G25" s="44">
        <v>1</v>
      </c>
      <c r="H25" s="129">
        <f>IF(B$15=0,0,G25/B$15)</f>
        <v>2.6809651474530832E-3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2.6809651474530832E-3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2</v>
      </c>
      <c r="E27" s="59" t="s">
        <v>95</v>
      </c>
      <c r="F27" s="56" t="s">
        <v>50</v>
      </c>
      <c r="G27" s="44">
        <v>1</v>
      </c>
      <c r="H27" s="129">
        <f>IF(B$15=0,0,G27/B$15)</f>
        <v>2.6809651474530832E-3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5</v>
      </c>
      <c r="C30" s="40">
        <f>IF(B$3=0,0,B30/B$3)</f>
        <v>4.0916530278232409E-3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28</v>
      </c>
      <c r="C32" s="141">
        <f>IF(B$15=0,0,B32/B$15)</f>
        <v>7.5067024128686322E-2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62</v>
      </c>
      <c r="C33" s="37">
        <f t="shared" ref="C33:C44" si="3">IF(B$15=0,0,B33/B$15)</f>
        <v>0.16621983914209115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78</v>
      </c>
      <c r="C34" s="37">
        <f>IF(B$15=0,0,B34/B$15)</f>
        <v>0.20911528150134048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77</v>
      </c>
      <c r="C35" s="37">
        <f t="shared" si="3"/>
        <v>0.2064343163538874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55</v>
      </c>
      <c r="C36" s="37">
        <f t="shared" si="3"/>
        <v>0.14745308310991956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40</v>
      </c>
      <c r="C37" s="37">
        <f t="shared" si="3"/>
        <v>0.10723860589812333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12</v>
      </c>
      <c r="C38" s="37">
        <f t="shared" si="3"/>
        <v>3.2171581769436998E-2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8</v>
      </c>
      <c r="C39" s="37">
        <f t="shared" si="3"/>
        <v>2.1447721179624665E-2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6</v>
      </c>
      <c r="C40" s="37">
        <f t="shared" si="3"/>
        <v>1.6085790884718499E-2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3"/>
        <v>2.6809651474530832E-3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2</v>
      </c>
      <c r="C42" s="37">
        <f t="shared" si="3"/>
        <v>5.3619302949061663E-3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3"/>
        <v>1.0723860589812333E-2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  <row r="141" spans="11:12" x14ac:dyDescent="0.4">
      <c r="K141" s="36">
        <v>139</v>
      </c>
      <c r="L141" s="95">
        <v>32.099999999999817</v>
      </c>
    </row>
    <row r="142" spans="11:12" x14ac:dyDescent="0.4">
      <c r="K142" s="36">
        <v>140</v>
      </c>
      <c r="L142" s="95">
        <v>11.899999999999817</v>
      </c>
    </row>
    <row r="143" spans="11:12" x14ac:dyDescent="0.4">
      <c r="K143" s="36">
        <v>141</v>
      </c>
      <c r="L143" s="95">
        <v>-18.100000000000183</v>
      </c>
    </row>
    <row r="144" spans="11:12" x14ac:dyDescent="0.4">
      <c r="K144" s="36">
        <v>142</v>
      </c>
      <c r="L144" s="95">
        <v>30.699999999999815</v>
      </c>
    </row>
    <row r="145" spans="11:12" x14ac:dyDescent="0.4">
      <c r="K145" s="36">
        <v>143</v>
      </c>
      <c r="L145" s="95">
        <v>61.399999999999814</v>
      </c>
    </row>
    <row r="146" spans="11:12" x14ac:dyDescent="0.4">
      <c r="K146" s="36">
        <v>144</v>
      </c>
      <c r="L146" s="95">
        <v>21.799999999999812</v>
      </c>
    </row>
    <row r="147" spans="11:12" x14ac:dyDescent="0.4">
      <c r="K147" s="36">
        <v>145</v>
      </c>
      <c r="L147" s="95">
        <v>56.199999999999811</v>
      </c>
    </row>
    <row r="148" spans="11:12" x14ac:dyDescent="0.4">
      <c r="K148" s="36">
        <v>146</v>
      </c>
      <c r="L148" s="95">
        <v>21.799999999999812</v>
      </c>
    </row>
  </sheetData>
  <sortState xmlns:xlrd2="http://schemas.microsoft.com/office/spreadsheetml/2017/richdata2" ref="E2:I14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95</v>
      </c>
      <c r="C2" s="155"/>
      <c r="E2" s="58" t="s">
        <v>66</v>
      </c>
      <c r="F2" s="55" t="s">
        <v>22</v>
      </c>
      <c r="G2" s="43">
        <v>174</v>
      </c>
      <c r="H2" s="128">
        <f>IF(B$15=0,0,G2/B$15)</f>
        <v>0.78378378378378377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-388.29787234042556</v>
      </c>
      <c r="P2" s="114">
        <v>94</v>
      </c>
      <c r="Q2" s="98">
        <v>-36500</v>
      </c>
    </row>
    <row r="3" spans="1:17" x14ac:dyDescent="0.4">
      <c r="A3" s="51" t="s">
        <v>8</v>
      </c>
      <c r="B3" s="156">
        <v>813</v>
      </c>
      <c r="C3" s="157"/>
      <c r="E3" s="59" t="s">
        <v>64</v>
      </c>
      <c r="F3" s="56" t="s">
        <v>20</v>
      </c>
      <c r="G3" s="44">
        <v>123</v>
      </c>
      <c r="H3" s="129">
        <f>IF(B$15=0,0,G3/B$15)</f>
        <v>0.55405405405405406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-554.25531914893622</v>
      </c>
      <c r="P3" s="115">
        <v>94</v>
      </c>
      <c r="Q3" s="99">
        <v>-52100</v>
      </c>
    </row>
    <row r="4" spans="1:17" x14ac:dyDescent="0.4">
      <c r="A4" s="51" t="s">
        <v>6</v>
      </c>
      <c r="B4" s="158">
        <v>-599.19999999999993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0.49549549549549549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462.5</v>
      </c>
      <c r="P4" s="115">
        <v>88</v>
      </c>
      <c r="Q4" s="99">
        <v>40700</v>
      </c>
    </row>
    <row r="5" spans="1:17" x14ac:dyDescent="0.4">
      <c r="A5" s="51" t="s">
        <v>7</v>
      </c>
      <c r="B5" s="160">
        <f>IF(B$2=0,0,B$4/B$2)</f>
        <v>-6.3073684210526313</v>
      </c>
      <c r="C5" s="161"/>
      <c r="E5" s="59" t="s">
        <v>166</v>
      </c>
      <c r="F5" s="56" t="s">
        <v>167</v>
      </c>
      <c r="G5" s="44">
        <v>94</v>
      </c>
      <c r="H5" s="129">
        <f>IF(B$15=0,0,G5/B$15)</f>
        <v>0.42342342342342343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-744.18604651162786</v>
      </c>
      <c r="P5" s="115">
        <v>86</v>
      </c>
      <c r="Q5" s="99">
        <v>-64000</v>
      </c>
    </row>
    <row r="6" spans="1:17" x14ac:dyDescent="0.4">
      <c r="A6" s="51" t="s">
        <v>1</v>
      </c>
      <c r="B6" s="150">
        <f>IF(B$2=0,0,(B$7*1+B$8*2+B$9*3)/B$2)</f>
        <v>2.1578947368421053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0.35135135135135137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-3076.5432098765432</v>
      </c>
      <c r="P6" s="115">
        <v>81</v>
      </c>
      <c r="Q6" s="99">
        <v>-249200</v>
      </c>
    </row>
    <row r="7" spans="1:17" x14ac:dyDescent="0.4">
      <c r="A7" s="51" t="s">
        <v>2</v>
      </c>
      <c r="B7" s="44">
        <v>21</v>
      </c>
      <c r="C7" s="37">
        <f t="shared" ref="C7:C10" si="1">IF(B$2=0,0,B7/B$2)</f>
        <v>0.22105263157894736</v>
      </c>
      <c r="E7" s="59" t="s">
        <v>67</v>
      </c>
      <c r="F7" s="56" t="s">
        <v>23</v>
      </c>
      <c r="G7" s="44">
        <v>68</v>
      </c>
      <c r="H7" s="129">
        <f>IF(B$15=0,0,G7/B$15)</f>
        <v>0.30630630630630629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-1363.3802816901409</v>
      </c>
      <c r="P7" s="116">
        <v>71</v>
      </c>
      <c r="Q7" s="100">
        <v>-96800</v>
      </c>
    </row>
    <row r="8" spans="1:17" x14ac:dyDescent="0.4">
      <c r="A8" s="51" t="s">
        <v>3</v>
      </c>
      <c r="B8" s="44">
        <v>38</v>
      </c>
      <c r="C8" s="37">
        <f t="shared" si="1"/>
        <v>0.4</v>
      </c>
      <c r="E8" s="59" t="s">
        <v>69</v>
      </c>
      <c r="F8" s="56" t="s">
        <v>24</v>
      </c>
      <c r="G8" s="44">
        <v>32</v>
      </c>
      <c r="H8" s="129">
        <f>IF(B$15=0,0,G8/B$15)</f>
        <v>0.14414414414414414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36</v>
      </c>
      <c r="C9" s="38">
        <f t="shared" si="1"/>
        <v>0.37894736842105264</v>
      </c>
      <c r="E9" s="59" t="s">
        <v>70</v>
      </c>
      <c r="F9" s="56" t="s">
        <v>25</v>
      </c>
      <c r="G9" s="44">
        <v>27</v>
      </c>
      <c r="H9" s="129">
        <f>IF(B$15=0,0,G9/B$15)</f>
        <v>0.12162162162162163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7.3684210526315783E-2</v>
      </c>
      <c r="E10" s="59" t="s">
        <v>65</v>
      </c>
      <c r="F10" s="56" t="s">
        <v>21</v>
      </c>
      <c r="G10" s="44">
        <v>26</v>
      </c>
      <c r="H10" s="129">
        <f>IF(B$15=0,0,G10/B$15)</f>
        <v>0.11711711711711711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">
      <c r="A11" s="54" t="s">
        <v>121</v>
      </c>
      <c r="B11" s="47">
        <v>225</v>
      </c>
      <c r="C11" s="42">
        <f>IF(B$3=0,0,B11/B$3)</f>
        <v>0.2767527675276753</v>
      </c>
      <c r="E11" s="59" t="s">
        <v>89</v>
      </c>
      <c r="F11" s="56" t="s">
        <v>44</v>
      </c>
      <c r="G11" s="44">
        <v>25</v>
      </c>
      <c r="H11" s="129">
        <f>IF(B$15=0,0,G11/B$15)</f>
        <v>0.11261261261261261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-5.3035714285714306</v>
      </c>
      <c r="P11" s="115">
        <v>28</v>
      </c>
      <c r="Q11" s="103">
        <v>-148.50000000000006</v>
      </c>
    </row>
    <row r="12" spans="1:17" x14ac:dyDescent="0.4">
      <c r="A12" s="51" t="s">
        <v>118</v>
      </c>
      <c r="B12" s="44">
        <v>159</v>
      </c>
      <c r="C12" s="37">
        <f>IF(B$3=0,0,B12/B$3)</f>
        <v>0.19557195571955718</v>
      </c>
      <c r="E12" s="59" t="s">
        <v>83</v>
      </c>
      <c r="F12" s="56" t="s">
        <v>38</v>
      </c>
      <c r="G12" s="44">
        <v>13</v>
      </c>
      <c r="H12" s="129">
        <f>IF(B$15=0,0,G12/B$15)</f>
        <v>5.8558558558558557E-2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0.54222222222222227</v>
      </c>
      <c r="E13" s="59" t="s">
        <v>86</v>
      </c>
      <c r="F13" s="56" t="s">
        <v>41</v>
      </c>
      <c r="G13" s="44">
        <v>10</v>
      </c>
      <c r="H13" s="129">
        <f>IF(B$15=0,0,G13/B$15)</f>
        <v>4.5045045045045043E-2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4.0540540540540543E-2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222</v>
      </c>
      <c r="C15" s="35">
        <f>IF(B$3=0,0,B15/B$3)</f>
        <v>0.27306273062730629</v>
      </c>
      <c r="E15" s="59" t="s">
        <v>78</v>
      </c>
      <c r="F15" s="56" t="s">
        <v>33</v>
      </c>
      <c r="G15" s="44">
        <v>7</v>
      </c>
      <c r="H15" s="129">
        <f>IF(B$15=0,0,G15/B$15)</f>
        <v>3.1531531531531529E-2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146</v>
      </c>
      <c r="C16" s="37">
        <f>IF(B$3=0,0,B16/B$3)</f>
        <v>0.17958179581795819</v>
      </c>
      <c r="E16" s="59" t="s">
        <v>79</v>
      </c>
      <c r="F16" s="56" t="s">
        <v>34</v>
      </c>
      <c r="G16" s="44">
        <v>4</v>
      </c>
      <c r="H16" s="129">
        <f>IF(B$15=0,0,G16/B$15)</f>
        <v>1.8018018018018018E-2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">
      <c r="A17" s="51" t="s">
        <v>12</v>
      </c>
      <c r="B17" s="44">
        <v>104</v>
      </c>
      <c r="C17" s="37">
        <f>IF(B$15=0,0,B17/B$15)</f>
        <v>0.46846846846846846</v>
      </c>
      <c r="E17" s="59" t="s">
        <v>81</v>
      </c>
      <c r="F17" s="56" t="s">
        <v>36</v>
      </c>
      <c r="G17" s="44">
        <v>4</v>
      </c>
      <c r="H17" s="129">
        <f>IF(B$15=0,0,G17/B$15)</f>
        <v>1.8018018018018018E-2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">
      <c r="A18" s="51" t="s">
        <v>11</v>
      </c>
      <c r="B18" s="44">
        <v>118</v>
      </c>
      <c r="C18" s="37">
        <f>IF(B$15=0,0,B18/B$15)</f>
        <v>0.53153153153153154</v>
      </c>
      <c r="E18" s="59" t="s">
        <v>162</v>
      </c>
      <c r="F18" s="56" t="s">
        <v>163</v>
      </c>
      <c r="G18" s="44">
        <v>4</v>
      </c>
      <c r="H18" s="129">
        <f>IF(B$15=0,0,G18/B$15)</f>
        <v>1.8018018018018018E-2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122</v>
      </c>
      <c r="C19" s="37">
        <f>IF(B$15=0,0,B19/B$15)</f>
        <v>0.5495495495495496</v>
      </c>
      <c r="E19" s="59" t="s">
        <v>75</v>
      </c>
      <c r="F19" s="56" t="s">
        <v>30</v>
      </c>
      <c r="G19" s="44">
        <v>3</v>
      </c>
      <c r="H19" s="129">
        <f>IF(B$15=0,0,G19/B$15)</f>
        <v>1.3513513513513514E-2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-13.237499999999999</v>
      </c>
      <c r="P19" s="115">
        <v>24</v>
      </c>
      <c r="Q19" s="103">
        <v>-317.7</v>
      </c>
    </row>
    <row r="20" spans="1:17" x14ac:dyDescent="0.4">
      <c r="A20" s="51" t="s">
        <v>193</v>
      </c>
      <c r="B20" s="44">
        <v>66</v>
      </c>
      <c r="C20" s="37">
        <f>IF(B$15=0,0,B20/B$15)</f>
        <v>0.29729729729729731</v>
      </c>
      <c r="E20" s="59" t="s">
        <v>91</v>
      </c>
      <c r="F20" s="56" t="s">
        <v>46</v>
      </c>
      <c r="G20" s="44">
        <v>1</v>
      </c>
      <c r="H20" s="129">
        <f>IF(B$15=0,0,G20/B$15)</f>
        <v>4.5045045045045045E-3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 t="shared" si="2"/>
        <v>-13.408474576271189</v>
      </c>
      <c r="P20" s="115">
        <v>59</v>
      </c>
      <c r="Q20" s="103">
        <v>-791.10000000000014</v>
      </c>
    </row>
    <row r="21" spans="1:17" x14ac:dyDescent="0.4">
      <c r="A21" s="51" t="s">
        <v>194</v>
      </c>
      <c r="B21" s="44">
        <v>34</v>
      </c>
      <c r="C21" s="37">
        <f>IF(B$15=0,0,B21/B$15)</f>
        <v>0.15315315315315314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">
      <c r="A22" s="51" t="s">
        <v>5</v>
      </c>
      <c r="B22" s="48">
        <f>IF(B$15=0,0,C22/B$15)</f>
        <v>7830.6306306306305</v>
      </c>
      <c r="C22" s="39">
        <v>1738400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">
      <c r="A23" s="52" t="s">
        <v>177</v>
      </c>
      <c r="B23" s="136">
        <f>IF($B$15-B$14=0,0,C23/($B$15-B$14))</f>
        <v>8491.0256410256407</v>
      </c>
      <c r="C23" s="137">
        <v>1324600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-7591.7808219178078</v>
      </c>
      <c r="C25" s="137">
        <v>-1108400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3.6900369003690036E-3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16</v>
      </c>
      <c r="C32" s="141">
        <f>IF(B$15=0,0,B32/B$15)</f>
        <v>7.2072072072072071E-2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3">IF(B$15=0,0,B33/B$15)</f>
        <v>0.17567567567567569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50</v>
      </c>
      <c r="C34" s="37">
        <f>IF(B$15=0,0,B34/B$15)</f>
        <v>0.22522522522522523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34</v>
      </c>
      <c r="C35" s="37">
        <f t="shared" si="3"/>
        <v>0.15315315315315314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37</v>
      </c>
      <c r="C36" s="37">
        <f t="shared" si="3"/>
        <v>0.16666666666666666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23</v>
      </c>
      <c r="C37" s="37">
        <f t="shared" si="3"/>
        <v>0.1036036036036036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13</v>
      </c>
      <c r="C38" s="37">
        <f t="shared" si="3"/>
        <v>5.8558558558558557E-2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6</v>
      </c>
      <c r="C39" s="37">
        <f t="shared" si="3"/>
        <v>2.7027027027027029E-2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3"/>
        <v>4.5045045045045045E-3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3"/>
        <v>4.5045045045045045E-3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3"/>
        <v>9.0090090090090089E-3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  <row r="96" spans="11:12" x14ac:dyDescent="0.4">
      <c r="K96" s="36">
        <v>94</v>
      </c>
      <c r="L96" s="95">
        <v>-618.29999999999995</v>
      </c>
    </row>
    <row r="97" spans="11:12" x14ac:dyDescent="0.4">
      <c r="K97" s="36">
        <v>95</v>
      </c>
      <c r="L97" s="95">
        <v>-599.19999999999993</v>
      </c>
    </row>
  </sheetData>
  <sortState xmlns:xlrd2="http://schemas.microsoft.com/office/spreadsheetml/2017/richdata2" ref="E2:I9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2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120</v>
      </c>
      <c r="C2" s="155"/>
      <c r="E2" s="58" t="s">
        <v>66</v>
      </c>
      <c r="F2" s="55" t="s">
        <v>22</v>
      </c>
      <c r="G2" s="43">
        <v>245</v>
      </c>
      <c r="H2" s="128">
        <f>IF(B$15=0,0,G2/B$15)</f>
        <v>0.88129496402877694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1624.1666666666667</v>
      </c>
      <c r="P2" s="114">
        <v>120</v>
      </c>
      <c r="Q2" s="98">
        <v>194900</v>
      </c>
    </row>
    <row r="3" spans="1:17" x14ac:dyDescent="0.4">
      <c r="A3" s="51" t="s">
        <v>8</v>
      </c>
      <c r="B3" s="156">
        <v>986</v>
      </c>
      <c r="C3" s="157"/>
      <c r="E3" s="59" t="s">
        <v>72</v>
      </c>
      <c r="F3" s="56" t="s">
        <v>27</v>
      </c>
      <c r="G3" s="44">
        <v>155</v>
      </c>
      <c r="H3" s="129">
        <f>IF(B$15=0,0,G3/B$15)</f>
        <v>0.55755395683453235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-1570.3389830508474</v>
      </c>
      <c r="P3" s="115">
        <v>118</v>
      </c>
      <c r="Q3" s="99">
        <v>-185300</v>
      </c>
    </row>
    <row r="4" spans="1:17" x14ac:dyDescent="0.4">
      <c r="A4" s="51" t="s">
        <v>6</v>
      </c>
      <c r="B4" s="158">
        <v>622.40000000000043</v>
      </c>
      <c r="C4" s="159"/>
      <c r="E4" s="59" t="s">
        <v>64</v>
      </c>
      <c r="F4" s="56" t="s">
        <v>20</v>
      </c>
      <c r="G4" s="44">
        <v>150</v>
      </c>
      <c r="H4" s="129">
        <f>IF(B$15=0,0,G4/B$15)</f>
        <v>0.53956834532374098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43.518518518518519</v>
      </c>
      <c r="P4" s="115">
        <v>108</v>
      </c>
      <c r="Q4" s="99">
        <v>4700</v>
      </c>
    </row>
    <row r="5" spans="1:17" x14ac:dyDescent="0.4">
      <c r="A5" s="51" t="s">
        <v>7</v>
      </c>
      <c r="B5" s="160">
        <f>IF(B$2=0,0,B$4/B$2)</f>
        <v>5.1866666666666701</v>
      </c>
      <c r="C5" s="161"/>
      <c r="E5" s="59" t="s">
        <v>67</v>
      </c>
      <c r="F5" s="56" t="s">
        <v>23</v>
      </c>
      <c r="G5" s="44">
        <v>112</v>
      </c>
      <c r="H5" s="129">
        <f>IF(B$15=0,0,G5/B$15)</f>
        <v>0.40287769784172661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2405.8823529411766</v>
      </c>
      <c r="P5" s="115">
        <v>102</v>
      </c>
      <c r="Q5" s="99">
        <v>245400</v>
      </c>
    </row>
    <row r="6" spans="1:17" x14ac:dyDescent="0.4">
      <c r="A6" s="51" t="s">
        <v>1</v>
      </c>
      <c r="B6" s="150">
        <f>IF(B$2=0,0,(B$7*1+B$8*2+B$9*3)/B$2)</f>
        <v>1.8916666666666666</v>
      </c>
      <c r="C6" s="151"/>
      <c r="E6" s="59" t="s">
        <v>68</v>
      </c>
      <c r="F6" s="56" t="s">
        <v>12</v>
      </c>
      <c r="G6" s="44">
        <v>110</v>
      </c>
      <c r="H6" s="129">
        <f>IF(B$15=0,0,G6/B$15)</f>
        <v>0.39568345323741005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1038.4615384615386</v>
      </c>
      <c r="P6" s="115">
        <v>91</v>
      </c>
      <c r="Q6" s="99">
        <v>94500</v>
      </c>
    </row>
    <row r="7" spans="1:17" x14ac:dyDescent="0.4">
      <c r="A7" s="51" t="s">
        <v>2</v>
      </c>
      <c r="B7" s="44">
        <v>50</v>
      </c>
      <c r="C7" s="37">
        <f t="shared" ref="C7:C10" si="1">IF(B$2=0,0,B7/B$2)</f>
        <v>0.41666666666666669</v>
      </c>
      <c r="E7" s="59" t="s">
        <v>166</v>
      </c>
      <c r="F7" s="56" t="s">
        <v>167</v>
      </c>
      <c r="G7" s="44">
        <v>100</v>
      </c>
      <c r="H7" s="129">
        <f>IF(B$15=0,0,G7/B$15)</f>
        <v>0.35971223021582732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542.25352112676057</v>
      </c>
      <c r="P7" s="116">
        <v>71</v>
      </c>
      <c r="Q7" s="100">
        <v>38500</v>
      </c>
    </row>
    <row r="8" spans="1:17" x14ac:dyDescent="0.4">
      <c r="A8" s="51" t="s">
        <v>3</v>
      </c>
      <c r="B8" s="44">
        <v>33</v>
      </c>
      <c r="C8" s="37">
        <f t="shared" si="1"/>
        <v>0.27500000000000002</v>
      </c>
      <c r="E8" s="59" t="s">
        <v>89</v>
      </c>
      <c r="F8" s="56" t="s">
        <v>44</v>
      </c>
      <c r="G8" s="44">
        <v>71</v>
      </c>
      <c r="H8" s="129">
        <f>IF(B$15=0,0,G8/B$15)</f>
        <v>0.25539568345323743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1"/>
        <v>0.30833333333333335</v>
      </c>
      <c r="E9" s="59" t="s">
        <v>69</v>
      </c>
      <c r="F9" s="56" t="s">
        <v>24</v>
      </c>
      <c r="G9" s="44">
        <v>57</v>
      </c>
      <c r="H9" s="129">
        <f>IF(B$15=0,0,G9/B$15)</f>
        <v>0.20503597122302158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13</v>
      </c>
      <c r="C10" s="40">
        <f t="shared" si="1"/>
        <v>0.10833333333333334</v>
      </c>
      <c r="E10" s="59" t="s">
        <v>65</v>
      </c>
      <c r="F10" s="56" t="s">
        <v>21</v>
      </c>
      <c r="G10" s="44">
        <v>40</v>
      </c>
      <c r="H10" s="129">
        <f>IF(B$15=0,0,G10/B$15)</f>
        <v>0.14388489208633093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-5.0636363636363635</v>
      </c>
      <c r="P10" s="114">
        <v>33</v>
      </c>
      <c r="Q10" s="102">
        <v>-167.1</v>
      </c>
    </row>
    <row r="11" spans="1:17" x14ac:dyDescent="0.4">
      <c r="A11" s="54" t="s">
        <v>121</v>
      </c>
      <c r="B11" s="47">
        <v>305</v>
      </c>
      <c r="C11" s="42">
        <f>IF(B$3=0,0,B11/B$3)</f>
        <v>0.30933062880324541</v>
      </c>
      <c r="E11" s="59" t="s">
        <v>70</v>
      </c>
      <c r="F11" s="56" t="s">
        <v>25</v>
      </c>
      <c r="G11" s="44">
        <v>31</v>
      </c>
      <c r="H11" s="129">
        <f>IF(B$15=0,0,G11/B$15)</f>
        <v>0.11151079136690648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8.0829787234042545</v>
      </c>
      <c r="P11" s="115">
        <v>47</v>
      </c>
      <c r="Q11" s="103">
        <v>379.89999999999992</v>
      </c>
    </row>
    <row r="12" spans="1:17" x14ac:dyDescent="0.4">
      <c r="A12" s="51" t="s">
        <v>118</v>
      </c>
      <c r="B12" s="44">
        <v>179</v>
      </c>
      <c r="C12" s="37">
        <f>IF(B$3=0,0,B12/B$3)</f>
        <v>0.18154158215010141</v>
      </c>
      <c r="E12" s="59" t="s">
        <v>162</v>
      </c>
      <c r="F12" s="56" t="s">
        <v>163</v>
      </c>
      <c r="G12" s="44">
        <v>17</v>
      </c>
      <c r="H12" s="129">
        <f>IF(B$15=0,0,G12/B$15)</f>
        <v>6.1151079136690649E-2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10.24</v>
      </c>
      <c r="P12" s="116">
        <v>40</v>
      </c>
      <c r="Q12" s="104">
        <v>409.6</v>
      </c>
    </row>
    <row r="13" spans="1:17" x14ac:dyDescent="0.4">
      <c r="A13" s="50" t="s">
        <v>123</v>
      </c>
      <c r="B13" s="43">
        <f>B19</f>
        <v>168</v>
      </c>
      <c r="C13" s="35">
        <f>IF(B$11=0,0,B13/B$11)</f>
        <v>0.55081967213114758</v>
      </c>
      <c r="E13" s="59" t="s">
        <v>71</v>
      </c>
      <c r="F13" s="56" t="s">
        <v>26</v>
      </c>
      <c r="G13" s="44">
        <v>14</v>
      </c>
      <c r="H13" s="129">
        <f>IF(B$15=0,0,G13/B$15)</f>
        <v>5.0359712230215826E-2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72</v>
      </c>
      <c r="C14" s="35">
        <f>IF(B$12=0,0,B14/B$12)</f>
        <v>0.4022346368715084</v>
      </c>
      <c r="E14" s="59" t="s">
        <v>83</v>
      </c>
      <c r="F14" s="56" t="s">
        <v>38</v>
      </c>
      <c r="G14" s="44">
        <v>10</v>
      </c>
      <c r="H14" s="129">
        <f>IF(B$15=0,0,G14/B$15)</f>
        <v>3.5971223021582732E-2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278</v>
      </c>
      <c r="C15" s="35">
        <f>IF(B$3=0,0,B15/B$3)</f>
        <v>0.28194726166328599</v>
      </c>
      <c r="E15" s="59" t="s">
        <v>86</v>
      </c>
      <c r="F15" s="56" t="s">
        <v>41</v>
      </c>
      <c r="G15" s="44">
        <v>10</v>
      </c>
      <c r="H15" s="129">
        <f>IF(B$15=0,0,G15/B$15)</f>
        <v>3.5971223021582732E-2</v>
      </c>
      <c r="I15" s="90">
        <v>9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167</v>
      </c>
      <c r="C16" s="37">
        <f>IF(B$3=0,0,B16/B$3)</f>
        <v>0.16937119675456389</v>
      </c>
      <c r="E16" s="59" t="s">
        <v>78</v>
      </c>
      <c r="F16" s="56" t="s">
        <v>33</v>
      </c>
      <c r="G16" s="44">
        <v>4</v>
      </c>
      <c r="H16" s="129">
        <f>IF(B$15=0,0,G16/B$15)</f>
        <v>1.4388489208633094E-2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31.130434782608695</v>
      </c>
      <c r="P16" s="115">
        <v>23</v>
      </c>
      <c r="Q16" s="103">
        <v>716</v>
      </c>
    </row>
    <row r="17" spans="1:17" x14ac:dyDescent="0.4">
      <c r="A17" s="51" t="s">
        <v>12</v>
      </c>
      <c r="B17" s="44">
        <v>141</v>
      </c>
      <c r="C17" s="37">
        <f>IF(B$15=0,0,B17/B$15)</f>
        <v>0.5071942446043165</v>
      </c>
      <c r="E17" s="59" t="s">
        <v>81</v>
      </c>
      <c r="F17" s="56" t="s">
        <v>36</v>
      </c>
      <c r="G17" s="44">
        <v>4</v>
      </c>
      <c r="H17" s="129">
        <f>IF(B$15=0,0,G17/B$15)</f>
        <v>1.4388489208633094E-2</v>
      </c>
      <c r="I17" s="90">
        <v>9</v>
      </c>
      <c r="K17" s="36">
        <v>15</v>
      </c>
      <c r="L17" s="95">
        <v>-101.79999999999997</v>
      </c>
      <c r="N17" s="111" t="s">
        <v>171</v>
      </c>
      <c r="O17" s="121">
        <f>IF(P17=0,0,Q17/P17)</f>
        <v>12.623728813559321</v>
      </c>
      <c r="P17" s="115">
        <v>59</v>
      </c>
      <c r="Q17" s="103">
        <v>744.8</v>
      </c>
    </row>
    <row r="18" spans="1:17" x14ac:dyDescent="0.4">
      <c r="A18" s="51" t="s">
        <v>11</v>
      </c>
      <c r="B18" s="44">
        <v>137</v>
      </c>
      <c r="C18" s="37">
        <f>IF(B$15=0,0,B18/B$15)</f>
        <v>0.49280575539568344</v>
      </c>
      <c r="E18" s="59" t="s">
        <v>91</v>
      </c>
      <c r="F18" s="56" t="s">
        <v>46</v>
      </c>
      <c r="G18" s="44">
        <v>4</v>
      </c>
      <c r="H18" s="129">
        <f>IF(B$15=0,0,G18/B$15)</f>
        <v>1.4388489208633094E-2</v>
      </c>
      <c r="I18" s="90">
        <v>6</v>
      </c>
      <c r="K18" s="36">
        <v>16</v>
      </c>
      <c r="L18" s="95">
        <v>-63.099999999999966</v>
      </c>
      <c r="N18" s="111" t="s">
        <v>197</v>
      </c>
      <c r="O18" s="121">
        <f>IF(P18=0,0,Q18/P18)</f>
        <v>11.178571428571431</v>
      </c>
      <c r="P18" s="115">
        <v>28</v>
      </c>
      <c r="Q18" s="103">
        <v>313.00000000000006</v>
      </c>
    </row>
    <row r="19" spans="1:17" x14ac:dyDescent="0.4">
      <c r="A19" s="51" t="s">
        <v>195</v>
      </c>
      <c r="B19" s="44">
        <v>168</v>
      </c>
      <c r="C19" s="37">
        <f>IF(B$15=0,0,B19/B$15)</f>
        <v>0.60431654676258995</v>
      </c>
      <c r="E19" s="59" t="s">
        <v>92</v>
      </c>
      <c r="F19" s="56" t="s">
        <v>47</v>
      </c>
      <c r="G19" s="44">
        <v>4</v>
      </c>
      <c r="H19" s="129">
        <f>IF(B$15=0,0,G19/B$15)</f>
        <v>1.4388489208633094E-2</v>
      </c>
      <c r="I19" s="90">
        <v>1</v>
      </c>
      <c r="K19" s="36">
        <v>17</v>
      </c>
      <c r="L19" s="95">
        <v>-55.799999999999969</v>
      </c>
      <c r="N19" s="111" t="s">
        <v>127</v>
      </c>
      <c r="O19" s="121">
        <f>IF(P19=0,0,Q19/P19)</f>
        <v>5.7181818181818151</v>
      </c>
      <c r="P19" s="115">
        <v>44</v>
      </c>
      <c r="Q19" s="103">
        <v>251.59999999999988</v>
      </c>
    </row>
    <row r="20" spans="1:17" x14ac:dyDescent="0.4">
      <c r="A20" s="51" t="s">
        <v>193</v>
      </c>
      <c r="B20" s="44">
        <v>72</v>
      </c>
      <c r="C20" s="37">
        <f>IF(B$15=0,0,B20/B$15)</f>
        <v>0.25899280575539568</v>
      </c>
      <c r="E20" s="59" t="s">
        <v>85</v>
      </c>
      <c r="F20" s="56" t="s">
        <v>40</v>
      </c>
      <c r="G20" s="44">
        <v>3</v>
      </c>
      <c r="H20" s="129">
        <f>IF(B$15=0,0,G20/B$15)</f>
        <v>1.0791366906474821E-2</v>
      </c>
      <c r="I20" s="90">
        <v>3</v>
      </c>
      <c r="K20" s="36">
        <v>18</v>
      </c>
      <c r="L20" s="95">
        <v>-24.999999999999968</v>
      </c>
      <c r="N20" s="111" t="s">
        <v>274</v>
      </c>
      <c r="O20" s="121">
        <f>IF(P20=0,0,Q20/P20)</f>
        <v>5.4749999999999988</v>
      </c>
      <c r="P20" s="115">
        <v>8</v>
      </c>
      <c r="Q20" s="103">
        <v>43.79999999999999</v>
      </c>
    </row>
    <row r="21" spans="1:17" x14ac:dyDescent="0.4">
      <c r="A21" s="51" t="s">
        <v>194</v>
      </c>
      <c r="B21" s="44">
        <v>38</v>
      </c>
      <c r="C21" s="37">
        <f>IF(B$15=0,0,B21/B$15)</f>
        <v>0.1366906474820144</v>
      </c>
      <c r="E21" s="59" t="s">
        <v>73</v>
      </c>
      <c r="F21" s="56" t="s">
        <v>28</v>
      </c>
      <c r="G21" s="44">
        <v>2</v>
      </c>
      <c r="H21" s="129">
        <f>IF(B$15=0,0,G21/B$15)</f>
        <v>7.1942446043165471E-3</v>
      </c>
      <c r="I21" s="90">
        <v>2</v>
      </c>
      <c r="K21" s="36">
        <v>19</v>
      </c>
      <c r="L21" s="95">
        <v>-27.799999999999969</v>
      </c>
      <c r="N21" s="111" t="s">
        <v>126</v>
      </c>
      <c r="O21" s="121">
        <f>IF(P21=0,0,Q21/P21)</f>
        <v>-1.1456521739130461</v>
      </c>
      <c r="P21" s="115">
        <v>46</v>
      </c>
      <c r="Q21" s="103">
        <v>-52.700000000000117</v>
      </c>
    </row>
    <row r="22" spans="1:17" x14ac:dyDescent="0.4">
      <c r="A22" s="51" t="s">
        <v>5</v>
      </c>
      <c r="B22" s="48">
        <f>IF(B$15=0,0,C22/B$15)</f>
        <v>10716.187050359713</v>
      </c>
      <c r="C22" s="39">
        <v>2979100</v>
      </c>
      <c r="E22" s="59" t="s">
        <v>79</v>
      </c>
      <c r="F22" s="56" t="s">
        <v>34</v>
      </c>
      <c r="G22" s="44">
        <v>2</v>
      </c>
      <c r="H22" s="129">
        <f>IF(B$15=0,0,G22/B$15)</f>
        <v>7.1942446043165471E-3</v>
      </c>
      <c r="I22" s="90">
        <v>9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">
      <c r="A23" s="52" t="s">
        <v>177</v>
      </c>
      <c r="B23" s="136">
        <f>IF($B$15-B$14=0,0,C23/($B$15-B$14))</f>
        <v>11368.446601941747</v>
      </c>
      <c r="C23" s="137">
        <v>2341900</v>
      </c>
      <c r="E23" s="59" t="s">
        <v>84</v>
      </c>
      <c r="F23" s="56" t="s">
        <v>39</v>
      </c>
      <c r="G23" s="44">
        <v>2</v>
      </c>
      <c r="H23" s="129">
        <f>IF(B$15=0,0,G23/B$15)</f>
        <v>7.1942446043165471E-3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">
      <c r="A24" s="52" t="s">
        <v>178</v>
      </c>
      <c r="B24" s="136">
        <f>IF(B$14=0,0,C24/B$14)</f>
        <v>8850</v>
      </c>
      <c r="C24" s="137">
        <v>637200</v>
      </c>
      <c r="E24" s="59" t="s">
        <v>90</v>
      </c>
      <c r="F24" s="56" t="s">
        <v>45</v>
      </c>
      <c r="G24" s="44">
        <v>2</v>
      </c>
      <c r="H24" s="129">
        <f>IF(B$15=0,0,G24/B$15)</f>
        <v>7.1942446043165471E-3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-8014.9700598802392</v>
      </c>
      <c r="C25" s="137">
        <v>-1338500</v>
      </c>
      <c r="E25" s="59" t="s">
        <v>75</v>
      </c>
      <c r="F25" s="56" t="s">
        <v>30</v>
      </c>
      <c r="G25" s="44">
        <v>1</v>
      </c>
      <c r="H25" s="129">
        <f>IF(B$15=0,0,G25/B$15)</f>
        <v>3.5971223021582736E-3</v>
      </c>
      <c r="I25" s="90">
        <v>9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3.5971223021582736E-3</v>
      </c>
      <c r="I26" s="90">
        <v>3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3.5971223021582736E-3</v>
      </c>
      <c r="I27" s="90">
        <v>2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3.5971223021582736E-3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1</v>
      </c>
      <c r="C30" s="40">
        <f>IF(B$3=0,0,B30/B$3)</f>
        <v>1.0141987829614604E-3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7</v>
      </c>
      <c r="C32" s="141">
        <f>IF(B$15=0,0,B32/B$15)</f>
        <v>2.5179856115107913E-2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22</v>
      </c>
      <c r="C33" s="37">
        <f t="shared" ref="C33:C44" si="2">IF(B$15=0,0,B33/B$15)</f>
        <v>7.9136690647482008E-2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39</v>
      </c>
      <c r="C34" s="37">
        <f>IF(B$15=0,0,B34/B$15)</f>
        <v>0.14028776978417265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53</v>
      </c>
      <c r="C35" s="37">
        <f t="shared" si="2"/>
        <v>0.1906474820143885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64</v>
      </c>
      <c r="C36" s="37">
        <f t="shared" si="2"/>
        <v>0.23021582733812951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36</v>
      </c>
      <c r="C37" s="37">
        <f t="shared" si="2"/>
        <v>0.12949640287769784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21</v>
      </c>
      <c r="C38" s="37">
        <f t="shared" si="2"/>
        <v>7.5539568345323743E-2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19</v>
      </c>
      <c r="C39" s="37">
        <f t="shared" si="2"/>
        <v>6.83453237410072E-2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6</v>
      </c>
      <c r="C40" s="37">
        <f t="shared" si="2"/>
        <v>2.1582733812949641E-2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2</v>
      </c>
      <c r="C41" s="37">
        <f t="shared" si="2"/>
        <v>7.1942446043165471E-3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2"/>
        <v>7.1942446043165471E-3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2"/>
        <v>3.5971223021582736E-3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6</v>
      </c>
      <c r="C44" s="40">
        <f t="shared" si="2"/>
        <v>2.1582733812949641E-2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  <row r="111" spans="11:12" x14ac:dyDescent="0.4">
      <c r="K111" s="36">
        <v>109</v>
      </c>
      <c r="L111" s="95">
        <v>509.00000000000017</v>
      </c>
    </row>
    <row r="112" spans="11:12" x14ac:dyDescent="0.4">
      <c r="K112" s="36">
        <v>110</v>
      </c>
      <c r="L112" s="95">
        <v>522.50000000000023</v>
      </c>
    </row>
    <row r="113" spans="11:12" x14ac:dyDescent="0.4">
      <c r="K113" s="36">
        <v>111</v>
      </c>
      <c r="L113" s="95">
        <v>600.80000000000018</v>
      </c>
    </row>
    <row r="114" spans="11:12" x14ac:dyDescent="0.4">
      <c r="K114" s="36">
        <v>112</v>
      </c>
      <c r="L114" s="95">
        <v>616.4000000000002</v>
      </c>
    </row>
    <row r="115" spans="11:12" x14ac:dyDescent="0.4">
      <c r="K115" s="36">
        <v>113</v>
      </c>
      <c r="L115" s="95">
        <v>638.10000000000025</v>
      </c>
    </row>
    <row r="116" spans="11:12" x14ac:dyDescent="0.4">
      <c r="K116" s="36">
        <v>114</v>
      </c>
      <c r="L116" s="95">
        <v>637.10000000000025</v>
      </c>
    </row>
    <row r="117" spans="11:12" x14ac:dyDescent="0.4">
      <c r="K117" s="36">
        <v>115</v>
      </c>
      <c r="L117" s="95">
        <v>581.10000000000025</v>
      </c>
    </row>
    <row r="118" spans="11:12" x14ac:dyDescent="0.4">
      <c r="K118" s="36">
        <v>116</v>
      </c>
      <c r="L118" s="95">
        <v>558.8000000000003</v>
      </c>
    </row>
    <row r="119" spans="11:12" x14ac:dyDescent="0.4">
      <c r="K119" s="36">
        <v>117</v>
      </c>
      <c r="L119" s="95">
        <v>619.00000000000034</v>
      </c>
    </row>
    <row r="120" spans="11:12" x14ac:dyDescent="0.4">
      <c r="K120" s="36">
        <v>118</v>
      </c>
      <c r="L120" s="95">
        <v>706.10000000000036</v>
      </c>
    </row>
    <row r="121" spans="11:12" x14ac:dyDescent="0.4">
      <c r="K121" s="36">
        <v>119</v>
      </c>
      <c r="L121" s="95">
        <v>672.80000000000041</v>
      </c>
    </row>
    <row r="122" spans="11:12" x14ac:dyDescent="0.4">
      <c r="K122" s="36">
        <v>120</v>
      </c>
      <c r="L122" s="95">
        <v>622.40000000000043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3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132</v>
      </c>
      <c r="C2" s="155"/>
      <c r="E2" s="58" t="s">
        <v>66</v>
      </c>
      <c r="F2" s="55" t="s">
        <v>22</v>
      </c>
      <c r="G2" s="43">
        <v>222</v>
      </c>
      <c r="H2" s="128">
        <f>IF(B$15=0,0,G2/B$15)</f>
        <v>0.74747474747474751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-452.27272727272725</v>
      </c>
      <c r="P2" s="114">
        <v>132</v>
      </c>
      <c r="Q2" s="98">
        <v>-59700</v>
      </c>
    </row>
    <row r="3" spans="1:17" x14ac:dyDescent="0.4">
      <c r="A3" s="51" t="s">
        <v>8</v>
      </c>
      <c r="B3" s="156">
        <v>1079</v>
      </c>
      <c r="C3" s="157"/>
      <c r="E3" s="59" t="s">
        <v>72</v>
      </c>
      <c r="F3" s="56" t="s">
        <v>27</v>
      </c>
      <c r="G3" s="44">
        <v>167</v>
      </c>
      <c r="H3" s="129">
        <f>IF(B$15=0,0,G3/B$15)</f>
        <v>0.56228956228956228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-170.54263565891472</v>
      </c>
      <c r="P3" s="115">
        <v>129</v>
      </c>
      <c r="Q3" s="99">
        <v>-22000</v>
      </c>
    </row>
    <row r="4" spans="1:17" x14ac:dyDescent="0.4">
      <c r="A4" s="51" t="s">
        <v>6</v>
      </c>
      <c r="B4" s="158">
        <v>-238.2</v>
      </c>
      <c r="C4" s="159"/>
      <c r="E4" s="59" t="s">
        <v>64</v>
      </c>
      <c r="F4" s="56" t="s">
        <v>20</v>
      </c>
      <c r="G4" s="44">
        <v>150</v>
      </c>
      <c r="H4" s="129">
        <f>IF(B$15=0,0,G4/B$15)</f>
        <v>0.50505050505050508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264.22764227642278</v>
      </c>
      <c r="P4" s="115">
        <v>123</v>
      </c>
      <c r="Q4" s="99">
        <v>32500</v>
      </c>
    </row>
    <row r="5" spans="1:17" x14ac:dyDescent="0.4">
      <c r="A5" s="51" t="s">
        <v>7</v>
      </c>
      <c r="B5" s="160">
        <f>IF(B$2=0,0,B$4/B$2)</f>
        <v>-1.8045454545454545</v>
      </c>
      <c r="C5" s="161"/>
      <c r="E5" s="59" t="s">
        <v>166</v>
      </c>
      <c r="F5" s="56" t="s">
        <v>167</v>
      </c>
      <c r="G5" s="44">
        <v>127</v>
      </c>
      <c r="H5" s="129">
        <f>IF(B$15=0,0,G5/B$15)</f>
        <v>0.42760942760942761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159.82142857142858</v>
      </c>
      <c r="P5" s="115">
        <v>112</v>
      </c>
      <c r="Q5" s="99">
        <v>17900</v>
      </c>
    </row>
    <row r="6" spans="1:17" x14ac:dyDescent="0.4">
      <c r="A6" s="51" t="s">
        <v>1</v>
      </c>
      <c r="B6" s="150">
        <f>IF(B$2=0,0,(B$7*1+B$8*2+B$9*3)/B$2)</f>
        <v>2.0909090909090908</v>
      </c>
      <c r="C6" s="151"/>
      <c r="E6" s="59" t="s">
        <v>67</v>
      </c>
      <c r="F6" s="56" t="s">
        <v>23</v>
      </c>
      <c r="G6" s="44">
        <v>105</v>
      </c>
      <c r="H6" s="129">
        <f>IF(B$15=0,0,G6/B$15)</f>
        <v>0.35353535353535354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19.801980198019802</v>
      </c>
      <c r="P6" s="115">
        <v>101</v>
      </c>
      <c r="Q6" s="99">
        <v>2000</v>
      </c>
    </row>
    <row r="7" spans="1:17" x14ac:dyDescent="0.4">
      <c r="A7" s="51" t="s">
        <v>2</v>
      </c>
      <c r="B7" s="44">
        <v>30</v>
      </c>
      <c r="C7" s="37">
        <f t="shared" ref="C7:C10" si="1">IF(B$2=0,0,B7/B$2)</f>
        <v>0.22727272727272727</v>
      </c>
      <c r="E7" s="59" t="s">
        <v>68</v>
      </c>
      <c r="F7" s="56" t="s">
        <v>12</v>
      </c>
      <c r="G7" s="44">
        <v>93</v>
      </c>
      <c r="H7" s="129">
        <f>IF(B$15=0,0,G7/B$15)</f>
        <v>0.31313131313131315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-1194.1860465116279</v>
      </c>
      <c r="P7" s="116">
        <v>86</v>
      </c>
      <c r="Q7" s="100">
        <v>-102700</v>
      </c>
    </row>
    <row r="8" spans="1:17" x14ac:dyDescent="0.4">
      <c r="A8" s="51" t="s">
        <v>3</v>
      </c>
      <c r="B8" s="44">
        <v>60</v>
      </c>
      <c r="C8" s="37">
        <f t="shared" si="1"/>
        <v>0.45454545454545453</v>
      </c>
      <c r="E8" s="59" t="s">
        <v>69</v>
      </c>
      <c r="F8" s="56" t="s">
        <v>24</v>
      </c>
      <c r="G8" s="44">
        <v>39</v>
      </c>
      <c r="H8" s="129">
        <f>IF(B$15=0,0,G8/B$15)</f>
        <v>0.13131313131313133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42</v>
      </c>
      <c r="C9" s="38">
        <f t="shared" si="1"/>
        <v>0.31818181818181818</v>
      </c>
      <c r="E9" s="59" t="s">
        <v>89</v>
      </c>
      <c r="F9" s="56" t="s">
        <v>44</v>
      </c>
      <c r="G9" s="44">
        <v>38</v>
      </c>
      <c r="H9" s="129">
        <f>IF(B$15=0,0,G9/B$15)</f>
        <v>0.12794612794612795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7.575757575757576E-2</v>
      </c>
      <c r="E10" s="59" t="s">
        <v>71</v>
      </c>
      <c r="F10" s="56" t="s">
        <v>26</v>
      </c>
      <c r="G10" s="44">
        <v>30</v>
      </c>
      <c r="H10" s="129">
        <f>IF(B$15=0,0,G10/B$15)</f>
        <v>0.10101010101010101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-2.6509090909090913</v>
      </c>
      <c r="P10" s="114">
        <v>55</v>
      </c>
      <c r="Q10" s="102">
        <v>-145.80000000000001</v>
      </c>
    </row>
    <row r="11" spans="1:17" x14ac:dyDescent="0.4">
      <c r="A11" s="54" t="s">
        <v>121</v>
      </c>
      <c r="B11" s="47">
        <v>285</v>
      </c>
      <c r="C11" s="42">
        <f>IF(B$3=0,0,B11/B$3)</f>
        <v>0.26413345690454126</v>
      </c>
      <c r="E11" s="59" t="s">
        <v>65</v>
      </c>
      <c r="F11" s="56" t="s">
        <v>21</v>
      </c>
      <c r="G11" s="44">
        <v>24</v>
      </c>
      <c r="H11" s="129">
        <f>IF(B$15=0,0,G11/B$15)</f>
        <v>8.0808080808080815E-2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-0.92926829268292621</v>
      </c>
      <c r="P11" s="115">
        <v>41</v>
      </c>
      <c r="Q11" s="103">
        <v>-38.099999999999973</v>
      </c>
    </row>
    <row r="12" spans="1:17" x14ac:dyDescent="0.4">
      <c r="A12" s="51" t="s">
        <v>118</v>
      </c>
      <c r="B12" s="44">
        <v>244</v>
      </c>
      <c r="C12" s="37">
        <f>IF(B$3=0,0,B12/B$3)</f>
        <v>0.22613531047265986</v>
      </c>
      <c r="E12" s="59" t="s">
        <v>70</v>
      </c>
      <c r="F12" s="56" t="s">
        <v>25</v>
      </c>
      <c r="G12" s="44">
        <v>23</v>
      </c>
      <c r="H12" s="129">
        <f>IF(B$15=0,0,G12/B$15)</f>
        <v>7.7441077441077436E-2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">
      <c r="A13" s="50" t="s">
        <v>123</v>
      </c>
      <c r="B13" s="43">
        <f>B19</f>
        <v>156</v>
      </c>
      <c r="C13" s="35">
        <f>IF(B$11=0,0,B13/B$11)</f>
        <v>0.54736842105263162</v>
      </c>
      <c r="E13" s="59" t="s">
        <v>86</v>
      </c>
      <c r="F13" s="56" t="s">
        <v>41</v>
      </c>
      <c r="G13" s="44">
        <v>14</v>
      </c>
      <c r="H13" s="129">
        <f>IF(B$15=0,0,G13/B$15)</f>
        <v>4.7138047138047139E-2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101</v>
      </c>
      <c r="C14" s="35">
        <f>IF(B$12=0,0,B14/B$12)</f>
        <v>0.41393442622950821</v>
      </c>
      <c r="E14" s="59" t="s">
        <v>83</v>
      </c>
      <c r="F14" s="56" t="s">
        <v>38</v>
      </c>
      <c r="G14" s="44">
        <v>12</v>
      </c>
      <c r="H14" s="129">
        <f>IF(B$15=0,0,G14/B$15)</f>
        <v>4.0404040404040407E-2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297</v>
      </c>
      <c r="C15" s="35">
        <f>IF(B$3=0,0,B15/B$3)</f>
        <v>0.27525486561631141</v>
      </c>
      <c r="E15" s="59" t="s">
        <v>79</v>
      </c>
      <c r="F15" s="56" t="s">
        <v>34</v>
      </c>
      <c r="G15" s="44">
        <v>7</v>
      </c>
      <c r="H15" s="129">
        <f>IF(B$15=0,0,G15/B$15)</f>
        <v>2.3569023569023569E-2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153</v>
      </c>
      <c r="C16" s="37">
        <f>IF(B$3=0,0,B16/B$3)</f>
        <v>0.14179796107506951</v>
      </c>
      <c r="E16" s="59" t="s">
        <v>162</v>
      </c>
      <c r="F16" s="56" t="s">
        <v>163</v>
      </c>
      <c r="G16" s="44">
        <v>6</v>
      </c>
      <c r="H16" s="129">
        <f>IF(B$15=0,0,G16/B$15)</f>
        <v>2.0202020202020204E-2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132</v>
      </c>
      <c r="C17" s="37">
        <f>IF(B$15=0,0,B17/B$15)</f>
        <v>0.44444444444444442</v>
      </c>
      <c r="E17" s="59" t="s">
        <v>73</v>
      </c>
      <c r="F17" s="56" t="s">
        <v>28</v>
      </c>
      <c r="G17" s="44">
        <v>5</v>
      </c>
      <c r="H17" s="129">
        <f>IF(B$15=0,0,G17/B$15)</f>
        <v>1.6835016835016835E-2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">
      <c r="A18" s="51" t="s">
        <v>11</v>
      </c>
      <c r="B18" s="44">
        <v>165</v>
      </c>
      <c r="C18" s="37">
        <f>IF(B$15=0,0,B18/B$15)</f>
        <v>0.55555555555555558</v>
      </c>
      <c r="E18" s="59" t="s">
        <v>81</v>
      </c>
      <c r="F18" s="56" t="s">
        <v>36</v>
      </c>
      <c r="G18" s="44">
        <v>5</v>
      </c>
      <c r="H18" s="129">
        <f>IF(B$15=0,0,G18/B$15)</f>
        <v>1.6835016835016835E-2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">
      <c r="A19" s="51" t="s">
        <v>195</v>
      </c>
      <c r="B19" s="44">
        <v>156</v>
      </c>
      <c r="C19" s="37">
        <f>IF(B$15=0,0,B19/B$15)</f>
        <v>0.5252525252525253</v>
      </c>
      <c r="E19" s="59" t="s">
        <v>78</v>
      </c>
      <c r="F19" s="56" t="s">
        <v>33</v>
      </c>
      <c r="G19" s="44">
        <v>3</v>
      </c>
      <c r="H19" s="129">
        <f>IF(B$15=0,0,G19/B$15)</f>
        <v>1.0101010101010102E-2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101</v>
      </c>
      <c r="C20" s="37">
        <f>IF(B$15=0,0,B20/B$15)</f>
        <v>0.34006734006734007</v>
      </c>
      <c r="E20" s="59" t="s">
        <v>85</v>
      </c>
      <c r="F20" s="56" t="s">
        <v>40</v>
      </c>
      <c r="G20" s="44">
        <v>3</v>
      </c>
      <c r="H20" s="129">
        <f>IF(B$15=0,0,G20/B$15)</f>
        <v>1.0101010101010102E-2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40</v>
      </c>
      <c r="C21" s="37">
        <f>IF(B$15=0,0,B21/B$15)</f>
        <v>0.13468013468013468</v>
      </c>
      <c r="E21" s="59" t="s">
        <v>75</v>
      </c>
      <c r="F21" s="56" t="s">
        <v>30</v>
      </c>
      <c r="G21" s="44">
        <v>2</v>
      </c>
      <c r="H21" s="129">
        <f>IF(B$15=0,0,G21/B$15)</f>
        <v>6.7340067340067337E-3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-1.9895833333333333</v>
      </c>
      <c r="P21" s="115">
        <v>48</v>
      </c>
      <c r="Q21" s="103">
        <v>-95.5</v>
      </c>
    </row>
    <row r="22" spans="1:17" x14ac:dyDescent="0.4">
      <c r="A22" s="51" t="s">
        <v>5</v>
      </c>
      <c r="B22" s="48">
        <f>IF(B$15=0,0,C22/B$15)</f>
        <v>8234.0067340067344</v>
      </c>
      <c r="C22" s="39">
        <v>2445500</v>
      </c>
      <c r="E22" s="59" t="s">
        <v>91</v>
      </c>
      <c r="F22" s="56" t="s">
        <v>46</v>
      </c>
      <c r="G22" s="44">
        <v>2</v>
      </c>
      <c r="H22" s="129">
        <f>IF(B$15=0,0,G22/B$15)</f>
        <v>6.7340067340067337E-3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-2.876666666666666</v>
      </c>
      <c r="P22" s="115">
        <v>30</v>
      </c>
      <c r="Q22" s="103">
        <v>-86.299999999999983</v>
      </c>
    </row>
    <row r="23" spans="1:17" x14ac:dyDescent="0.4">
      <c r="A23" s="52" t="s">
        <v>177</v>
      </c>
      <c r="B23" s="136">
        <f>IF($B$15-B$14=0,0,C23/($B$15-B$14))</f>
        <v>9025</v>
      </c>
      <c r="C23" s="137">
        <v>1768900</v>
      </c>
      <c r="E23" s="59" t="s">
        <v>74</v>
      </c>
      <c r="F23" s="56" t="s">
        <v>29</v>
      </c>
      <c r="G23" s="44">
        <v>1</v>
      </c>
      <c r="H23" s="129">
        <f>IF(B$15=0,0,G23/B$15)</f>
        <v>3.3670033670033669E-3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-12.623728813559321</v>
      </c>
      <c r="P23" s="115">
        <v>59</v>
      </c>
      <c r="Q23" s="103">
        <v>-744.8</v>
      </c>
    </row>
    <row r="24" spans="1:17" x14ac:dyDescent="0.4">
      <c r="A24" s="52" t="s">
        <v>178</v>
      </c>
      <c r="B24" s="136">
        <f>IF(B$14=0,0,C24/B$14)</f>
        <v>6699.0099009900987</v>
      </c>
      <c r="C24" s="137">
        <v>676600</v>
      </c>
      <c r="E24" s="59" t="s">
        <v>87</v>
      </c>
      <c r="F24" s="56" t="s">
        <v>42</v>
      </c>
      <c r="G24" s="44">
        <v>1</v>
      </c>
      <c r="H24" s="129">
        <f>IF(B$15=0,0,G24/B$15)</f>
        <v>3.3670033670033669E-3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 t="shared" si="2"/>
        <v>-13.875</v>
      </c>
      <c r="P24" s="115">
        <v>60</v>
      </c>
      <c r="Q24" s="103">
        <v>-832.5</v>
      </c>
    </row>
    <row r="25" spans="1:17" x14ac:dyDescent="0.4">
      <c r="A25" s="52" t="s">
        <v>176</v>
      </c>
      <c r="B25" s="136">
        <f>IF(B$16=0,0,C25/B$16)</f>
        <v>-7108.4967320261439</v>
      </c>
      <c r="C25" s="137">
        <v>-1087600</v>
      </c>
      <c r="E25" s="59" t="s">
        <v>88</v>
      </c>
      <c r="F25" s="56" t="s">
        <v>43</v>
      </c>
      <c r="G25" s="44">
        <v>1</v>
      </c>
      <c r="H25" s="129">
        <f>IF(B$15=0,0,G25/B$15)</f>
        <v>3.3670033670033669E-3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3.3670033670033669E-3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5</v>
      </c>
      <c r="E27" s="59" t="s">
        <v>101</v>
      </c>
      <c r="F27" s="56" t="s">
        <v>56</v>
      </c>
      <c r="G27" s="44">
        <v>1</v>
      </c>
      <c r="H27" s="129">
        <f>IF(B$15=0,0,G27/B$15)</f>
        <v>3.3670033670033669E-3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1.8535681186283596E-3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18</v>
      </c>
      <c r="C32" s="141">
        <f>IF(B$15=0,0,B32/B$15)</f>
        <v>6.0606060606060608E-2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54</v>
      </c>
      <c r="C33" s="37">
        <f t="shared" ref="C33:C44" si="3">IF(B$15=0,0,B33/B$15)</f>
        <v>0.18181818181818182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63</v>
      </c>
      <c r="C34" s="37">
        <f>IF(B$15=0,0,B34/B$15)</f>
        <v>0.21212121212121213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55</v>
      </c>
      <c r="C35" s="37">
        <f t="shared" si="3"/>
        <v>0.18518518518518517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43</v>
      </c>
      <c r="C36" s="37">
        <f t="shared" si="3"/>
        <v>0.14478114478114479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33</v>
      </c>
      <c r="C37" s="37">
        <f t="shared" si="3"/>
        <v>0.1111111111111111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14</v>
      </c>
      <c r="C38" s="37">
        <f t="shared" si="3"/>
        <v>4.7138047138047139E-2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3"/>
        <v>2.3569023569023569E-2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3"/>
        <v>1.0101010101010102E-2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3"/>
        <v>6.7340067340067337E-3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3"/>
        <v>3.3670033670033669E-3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3"/>
        <v>6.7340067340067337E-3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2</v>
      </c>
      <c r="C44" s="40">
        <f t="shared" si="3"/>
        <v>6.7340067340067337E-3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  <row r="126" spans="11:12" x14ac:dyDescent="0.4">
      <c r="K126" s="36">
        <v>124</v>
      </c>
      <c r="L126" s="95">
        <v>-66.899999999999977</v>
      </c>
    </row>
    <row r="127" spans="11:12" x14ac:dyDescent="0.4">
      <c r="K127" s="36">
        <v>125</v>
      </c>
      <c r="L127" s="95">
        <v>-84.899999999999977</v>
      </c>
    </row>
    <row r="128" spans="11:12" x14ac:dyDescent="0.4">
      <c r="K128" s="36">
        <v>126</v>
      </c>
      <c r="L128" s="95">
        <v>-132.19999999999999</v>
      </c>
    </row>
    <row r="129" spans="11:12" x14ac:dyDescent="0.4">
      <c r="K129" s="36">
        <v>127</v>
      </c>
      <c r="L129" s="95">
        <v>-132.5</v>
      </c>
    </row>
    <row r="130" spans="11:12" x14ac:dyDescent="0.4">
      <c r="K130" s="36">
        <v>128</v>
      </c>
      <c r="L130" s="95">
        <v>-181.1</v>
      </c>
    </row>
    <row r="131" spans="11:12" x14ac:dyDescent="0.4">
      <c r="K131" s="36">
        <v>129</v>
      </c>
      <c r="L131" s="95">
        <v>-210.29999999999998</v>
      </c>
    </row>
    <row r="132" spans="11:12" x14ac:dyDescent="0.4">
      <c r="K132" s="36">
        <v>130</v>
      </c>
      <c r="L132" s="95">
        <v>-230.89999999999998</v>
      </c>
    </row>
    <row r="133" spans="11:12" x14ac:dyDescent="0.4">
      <c r="K133" s="36">
        <v>131</v>
      </c>
      <c r="L133" s="95">
        <v>-242.39999999999998</v>
      </c>
    </row>
    <row r="134" spans="11:12" x14ac:dyDescent="0.4">
      <c r="K134" s="36">
        <v>132</v>
      </c>
      <c r="L134" s="95">
        <v>-238.2</v>
      </c>
    </row>
  </sheetData>
  <sortState xmlns:xlrd2="http://schemas.microsoft.com/office/spreadsheetml/2017/richdata2" ref="E2:I13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>IF(P15=0,0,Q15/P15)</f>
        <v>5.5722222222222184</v>
      </c>
      <c r="P15" s="114">
        <v>18</v>
      </c>
      <c r="Q15" s="102">
        <v>100.29999999999993</v>
      </c>
    </row>
    <row r="16" spans="1:17" x14ac:dyDescent="0.4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5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>IF(P17=0,0,Q17/P17)</f>
        <v>-11.178571428571429</v>
      </c>
      <c r="P17" s="115">
        <v>28</v>
      </c>
      <c r="Q17" s="103">
        <v>-313</v>
      </c>
    </row>
    <row r="18" spans="1:17" x14ac:dyDescent="0.4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>IF(P22=0,0,Q22/P22)</f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>IF(P23=0,0,Q23/P23)</f>
        <v>-26.642105263157902</v>
      </c>
      <c r="P23" s="115">
        <v>19</v>
      </c>
      <c r="Q23" s="103">
        <v>-506.2000000000001</v>
      </c>
    </row>
    <row r="24" spans="1:17" x14ac:dyDescent="0.4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26</v>
      </c>
      <c r="C33" s="37">
        <f t="shared" ref="C33:C44" si="2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21</v>
      </c>
      <c r="C35" s="37">
        <f t="shared" si="2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19</v>
      </c>
      <c r="C36" s="37">
        <f t="shared" si="2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11</v>
      </c>
      <c r="C37" s="37">
        <f t="shared" si="2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10</v>
      </c>
      <c r="C38" s="37">
        <f t="shared" si="2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2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2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2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  <row r="58" spans="5:12" x14ac:dyDescent="0.4">
      <c r="K58" s="36">
        <v>56</v>
      </c>
      <c r="L58" s="95">
        <v>-620</v>
      </c>
    </row>
    <row r="59" spans="5:12" x14ac:dyDescent="0.4">
      <c r="K59" s="36">
        <v>57</v>
      </c>
      <c r="L59" s="95">
        <v>-623.6</v>
      </c>
    </row>
    <row r="60" spans="5:12" x14ac:dyDescent="0.4">
      <c r="K60" s="36">
        <v>58</v>
      </c>
      <c r="L60" s="95">
        <v>-614.20000000000005</v>
      </c>
    </row>
    <row r="61" spans="5:12" x14ac:dyDescent="0.4">
      <c r="K61" s="36">
        <v>59</v>
      </c>
      <c r="L61" s="95">
        <v>-627.40000000000009</v>
      </c>
    </row>
    <row r="62" spans="5:12" x14ac:dyDescent="0.4">
      <c r="K62" s="36">
        <v>60</v>
      </c>
      <c r="L62" s="95">
        <v>-656.2</v>
      </c>
    </row>
    <row r="63" spans="5:12" x14ac:dyDescent="0.4">
      <c r="K63" s="36">
        <v>61</v>
      </c>
      <c r="L63" s="95">
        <v>-653.40000000000009</v>
      </c>
    </row>
    <row r="64" spans="5:12" x14ac:dyDescent="0.4">
      <c r="K64" s="36">
        <v>62</v>
      </c>
      <c r="L64" s="95">
        <v>-665.40000000000009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3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9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6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28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2020-01-09T15:19:24Z</dcterms:modified>
</cp:coreProperties>
</file>