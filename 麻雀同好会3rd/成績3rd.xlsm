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F80745E-5685-4F20-9640-1F2A521FC40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7" i="5863"/>
  <c r="O20" i="5861" l="1"/>
  <c r="O21" i="5865"/>
  <c r="O20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6" i="5857"/>
  <c r="O18" i="5861"/>
  <c r="O16" i="5863"/>
  <c r="O20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0" i="5869"/>
  <c r="H6" i="5869"/>
  <c r="H11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8" i="5855"/>
  <c r="O19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1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3" i="5867"/>
  <c r="H24" i="5867"/>
  <c r="H33" i="5867"/>
  <c r="H26" i="5867"/>
  <c r="H38" i="5867"/>
  <c r="H27" i="5867"/>
  <c r="H45" i="5867"/>
  <c r="H49" i="5867"/>
  <c r="H5" i="5867"/>
  <c r="H8" i="5867"/>
  <c r="H22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9" i="5867"/>
  <c r="H21" i="5867"/>
  <c r="H15" i="5867"/>
  <c r="H19" i="5867"/>
  <c r="H32" i="5867"/>
  <c r="H13" i="5867"/>
  <c r="H25" i="5867"/>
  <c r="H20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19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7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19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6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4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3" i="5861"/>
  <c r="C19" i="5861"/>
  <c r="H14" i="5861"/>
  <c r="H35" i="5861"/>
  <c r="H42" i="5861"/>
  <c r="H50" i="5861"/>
  <c r="H7" i="5861"/>
  <c r="H22" i="5861"/>
  <c r="H27" i="5861"/>
  <c r="H15" i="5861"/>
  <c r="C18" i="5861"/>
  <c r="B23" i="5861"/>
  <c r="H8" i="5861"/>
  <c r="H25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5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<sst xmlns="http://schemas.openxmlformats.org/spreadsheetml/2006/main" count="2865" uniqueCount="251">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</sst>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全体!$K$2:$K$593</c:f>
              <c:numCache>
                <c:formatCode>General</c:formatCode>
                <c:ptCount val="5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</c:numCache>
            </c:numRef>
          </c:xVal>
          <c:yVal>
            <c:numRef>
              <c:f>全体!$L$2:$L$593</c:f>
              <c:numCache>
                <c:formatCode>\+0.0;\-0.0;\±0</c:formatCode>
                <c:ptCount val="592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-22.108843537414966</c:v>
                </c:pt>
                <c:pt idx="1">
                  <c:v>8.6805555555555554</c:v>
                </c:pt>
                <c:pt idx="2">
                  <c:v>-14.571948998178506</c:v>
                </c:pt>
                <c:pt idx="3">
                  <c:v>9.6899224806201545</c:v>
                </c:pt>
                <c:pt idx="4">
                  <c:v>10.548523206751055</c:v>
                </c:pt>
                <c:pt idx="5">
                  <c:v>15.503875968992247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1258.4905660377358</c:v>
                </c:pt>
                <c:pt idx="1">
                  <c:v>-1067.3076923076924</c:v>
                </c:pt>
                <c:pt idx="2">
                  <c:v>-1968</c:v>
                </c:pt>
                <c:pt idx="3">
                  <c:v>-1389.795918367347</c:v>
                </c:pt>
                <c:pt idx="4">
                  <c:v>-150</c:v>
                </c:pt>
                <c:pt idx="5">
                  <c:v>-1839.0243902439024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1340.8333333333333</c:v>
                </c:pt>
                <c:pt idx="1">
                  <c:v>922.22222222222217</c:v>
                </c:pt>
                <c:pt idx="2">
                  <c:v>986.72566371681421</c:v>
                </c:pt>
                <c:pt idx="3">
                  <c:v>175.96153846153845</c:v>
                </c:pt>
                <c:pt idx="4">
                  <c:v>1991.7525773195875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ただ!$L$2:$L$110</c:f>
              <c:numCache>
                <c:formatCode>\+0.0;\-0.0;\±0</c:formatCode>
                <c:ptCount val="10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-1852.3364485981308</c:v>
                </c:pt>
                <c:pt idx="1">
                  <c:v>1117.1428571428571</c:v>
                </c:pt>
                <c:pt idx="2">
                  <c:v>63.636363636363633</c:v>
                </c:pt>
                <c:pt idx="3">
                  <c:v>606.45161290322585</c:v>
                </c:pt>
                <c:pt idx="4">
                  <c:v>-922.35294117647061</c:v>
                </c:pt>
                <c:pt idx="5">
                  <c:v>1460.5633802816901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りくと!$L$2:$L$69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68.181818181818187</c:v>
                </c:pt>
                <c:pt idx="1">
                  <c:v>-834.84848484848487</c:v>
                </c:pt>
                <c:pt idx="2">
                  <c:v>175.80645161290323</c:v>
                </c:pt>
                <c:pt idx="3">
                  <c:v>-1378.688524590164</c:v>
                </c:pt>
                <c:pt idx="4">
                  <c:v>-3265.5172413793102</c:v>
                </c:pt>
                <c:pt idx="5">
                  <c:v>-1190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れんたろう!$L$2:$L$74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1297.2222222222222</c:v>
                </c:pt>
                <c:pt idx="1">
                  <c:v>-1857.1428571428571</c:v>
                </c:pt>
                <c:pt idx="2">
                  <c:v>1059.090909090909</c:v>
                </c:pt>
                <c:pt idx="3">
                  <c:v>3772.5806451612902</c:v>
                </c:pt>
                <c:pt idx="4">
                  <c:v>741.07142857142856</c:v>
                </c:pt>
                <c:pt idx="5">
                  <c:v>-490.47619047619048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912.5</c:v>
                </c:pt>
                <c:pt idx="1">
                  <c:v>652.68817204301081</c:v>
                </c:pt>
                <c:pt idx="2">
                  <c:v>-358.62068965517244</c:v>
                </c:pt>
                <c:pt idx="3">
                  <c:v>64.556962025316452</c:v>
                </c:pt>
                <c:pt idx="4">
                  <c:v>-671.01449275362324</c:v>
                </c:pt>
                <c:pt idx="5">
                  <c:v>-579.66101694915255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のり2!$B$3:$B$44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のり2!$C$3:$C$44</c:f>
              <c:numCache>
                <c:formatCode>\+0.0;\-0.0;\±0</c:formatCode>
                <c:ptCount val="42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415903807649240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のり2!$D$3:$D$44</c:f>
              <c:numCache>
                <c:formatCode>0.00\ "位"</c:formatCode>
                <c:ptCount val="4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のり2!$E$3:$E$44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のり2!$F$3:$F$44</c:f>
              <c:numCache>
                <c:formatCode>0.0%</c:formatCode>
                <c:ptCount val="4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のり2!$G$3:$G$44</c:f>
              <c:numCache>
                <c:formatCode>0.0%</c:formatCode>
                <c:ptCount val="42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14523664432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のり2!$H$3:$H$44</c:f>
              <c:numCache>
                <c:formatCode>0.0%</c:formatCode>
                <c:ptCount val="42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1192362380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のり2!$I$3:$I$44</c:f>
              <c:numCache>
                <c:formatCode>0</c:formatCode>
                <c:ptCount val="42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2.7666896077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のり2!$J$3:$J$44</c:f>
              <c:numCache>
                <c:formatCode>0</c:formatCode>
                <c:ptCount val="42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8.3810709838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のり2!$K$3:$K$44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44670050761421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のり2!$L$3:$L$44</c:f>
              <c:numCache>
                <c:formatCode>0.0%</c:formatCode>
                <c:ptCount val="4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644670050761421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のり2!$M$3:$M$44</c:f>
              <c:numCache>
                <c:formatCode>0.0%</c:formatCode>
                <c:ptCount val="42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316473694901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のり2!$N$3:$N$44</c:f>
              <c:numCache>
                <c:formatCode>0.0%</c:formatCode>
                <c:ptCount val="42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316067438553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のり2!$O$3:$O$44</c:f>
              <c:numCache>
                <c:formatCode>0.0%</c:formatCode>
                <c:ptCount val="42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9904153354632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のり2!$P$3:$P$44</c:f>
              <c:numCache>
                <c:formatCode>0.0%</c:formatCode>
                <c:ptCount val="4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921708185053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のり2!$A$3:$A$44</c:f>
              <c:numCache>
                <c:formatCode>0\ "回"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のり2!$Q$3:$Q$44</c:f>
              <c:numCache>
                <c:formatCode>0.0%</c:formatCode>
                <c:ptCount val="42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844459738472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7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7" x14ac:dyDescent="0.4">
      <c r="A56" s="28" t="s">
        <v>247</v>
      </c>
      <c r="B56" s="29">
        <v>43783.744745370372</v>
      </c>
      <c r="C56" s="28" t="s">
        <v>128</v>
      </c>
    </row>
    <row r="57" spans="1:7" x14ac:dyDescent="0.4">
      <c r="A57" s="28" t="s">
        <v>248</v>
      </c>
      <c r="B57" s="29">
        <v>43784.974247685182</v>
      </c>
      <c r="C57" s="28" t="s">
        <v>128</v>
      </c>
    </row>
    <row r="58" spans="1:7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  <row r="59" spans="1:7" x14ac:dyDescent="0.4">
      <c r="A59" s="28" t="s">
        <v>250</v>
      </c>
      <c r="B59" s="29">
        <v>43786.718958333331</v>
      </c>
      <c r="C59" s="28" t="s">
        <v>128</v>
      </c>
      <c r="D59" s="28" t="s">
        <v>129</v>
      </c>
      <c r="E59" s="28" t="s">
        <v>184</v>
      </c>
      <c r="F59" s="28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591</v>
      </c>
    </row>
    <row r="2" spans="1:2" x14ac:dyDescent="0.4">
      <c r="A2" t="s">
        <v>166</v>
      </c>
      <c r="B2">
        <v>53</v>
      </c>
    </row>
    <row r="3" spans="1:2" x14ac:dyDescent="0.4">
      <c r="A3" t="s">
        <v>126</v>
      </c>
      <c r="B3">
        <v>121</v>
      </c>
    </row>
    <row r="4" spans="1:2" x14ac:dyDescent="0.4">
      <c r="A4" t="s">
        <v>127</v>
      </c>
      <c r="B4">
        <v>108</v>
      </c>
    </row>
    <row r="5" spans="1:2" x14ac:dyDescent="0.4">
      <c r="A5" t="s">
        <v>179</v>
      </c>
      <c r="B5">
        <v>67</v>
      </c>
    </row>
    <row r="6" spans="1:2" x14ac:dyDescent="0.4">
      <c r="A6" t="s">
        <v>177</v>
      </c>
      <c r="B6">
        <v>72</v>
      </c>
    </row>
    <row r="7" spans="1:2" x14ac:dyDescent="0.4">
      <c r="A7" t="s">
        <v>178</v>
      </c>
      <c r="B7">
        <v>96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0.99075892107935248</v>
      </c>
      <c r="G2" s="157"/>
      <c r="H2" s="156">
        <v>0.88660357728892059</v>
      </c>
      <c r="I2" s="157"/>
      <c r="J2" s="156">
        <v>0.92956667055548103</v>
      </c>
      <c r="K2" s="157"/>
      <c r="L2" s="156">
        <v>0.83281251530496758</v>
      </c>
      <c r="M2" s="157"/>
      <c r="N2" s="156">
        <v>0.57742490423502746</v>
      </c>
      <c r="O2" s="157"/>
      <c r="P2" s="156">
        <v>0.62550667595227294</v>
      </c>
      <c r="Q2" s="157"/>
      <c r="R2" s="156">
        <v>0.18493846192886104</v>
      </c>
      <c r="S2" s="157"/>
      <c r="T2" s="156">
        <v>0.61641492393404251</v>
      </c>
      <c r="U2" s="157"/>
      <c r="V2" s="156">
        <v>0.86765010058290115</v>
      </c>
      <c r="W2" s="157"/>
      <c r="X2" s="156">
        <v>0.60663987438885103</v>
      </c>
      <c r="Y2" s="157"/>
      <c r="Z2" s="156">
        <v>-0.10027056243543163</v>
      </c>
      <c r="AA2" s="157"/>
      <c r="AB2" s="156">
        <v>0.54114968874085623</v>
      </c>
      <c r="AC2" s="157"/>
      <c r="AD2" s="156">
        <v>0.40072322166584884</v>
      </c>
      <c r="AE2" s="157"/>
      <c r="AF2" s="156">
        <v>-6.9496792780745484E-2</v>
      </c>
      <c r="AG2" s="157"/>
      <c r="AH2" s="156">
        <v>0.78436420715752198</v>
      </c>
      <c r="AI2" s="157"/>
    </row>
    <row r="3" spans="1:35" x14ac:dyDescent="0.4">
      <c r="A3" s="70">
        <v>1</v>
      </c>
      <c r="B3" s="71" t="s">
        <v>126</v>
      </c>
      <c r="C3" s="72">
        <v>1071.8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10813.529411764706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0.19444444444444445</v>
      </c>
      <c r="X3" s="73" t="s">
        <v>177</v>
      </c>
      <c r="Y3" s="76">
        <v>0.3202054794520548</v>
      </c>
      <c r="Z3" s="73" t="s">
        <v>195</v>
      </c>
      <c r="AA3" s="76">
        <v>0.35483870967741937</v>
      </c>
      <c r="AB3" s="73" t="s">
        <v>126</v>
      </c>
      <c r="AC3" s="76">
        <v>0.59774436090225569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466.40000000000009</v>
      </c>
      <c r="D4" s="81" t="s">
        <v>126</v>
      </c>
      <c r="E4" s="93">
        <v>8.8578512396694205</v>
      </c>
      <c r="F4" s="81" t="s">
        <v>126</v>
      </c>
      <c r="G4" s="82">
        <v>1.7851239669421488</v>
      </c>
      <c r="H4" s="81" t="s">
        <v>126</v>
      </c>
      <c r="I4" s="83">
        <v>0.45454545454545453</v>
      </c>
      <c r="J4" s="81" t="s">
        <v>126</v>
      </c>
      <c r="K4" s="83">
        <v>0.23966942148760331</v>
      </c>
      <c r="L4" s="81" t="s">
        <v>126</v>
      </c>
      <c r="M4" s="84">
        <v>0.34282807731434384</v>
      </c>
      <c r="N4" s="81" t="s">
        <v>126</v>
      </c>
      <c r="O4" s="84">
        <v>0.12919633774160733</v>
      </c>
      <c r="P4" s="81" t="s">
        <v>143</v>
      </c>
      <c r="Q4" s="85">
        <v>8462.766689607708</v>
      </c>
      <c r="R4" s="81" t="s">
        <v>166</v>
      </c>
      <c r="S4" s="85">
        <v>-7594.4444444444443</v>
      </c>
      <c r="T4" s="81" t="s">
        <v>166</v>
      </c>
      <c r="U4" s="83">
        <v>3.7735849056603772E-2</v>
      </c>
      <c r="V4" s="81" t="s">
        <v>195</v>
      </c>
      <c r="W4" s="83">
        <v>0.14285714285714285</v>
      </c>
      <c r="X4" s="81" t="s">
        <v>179</v>
      </c>
      <c r="Y4" s="84">
        <v>0.2879581151832461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0.48636363636363639</v>
      </c>
      <c r="AF4" s="81" t="s">
        <v>182</v>
      </c>
      <c r="AG4" s="84">
        <v>0.48192771084337349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178</v>
      </c>
      <c r="C5" s="80">
        <v>52.29999999999999</v>
      </c>
      <c r="D5" s="81" t="s">
        <v>177</v>
      </c>
      <c r="E5" s="93">
        <v>6.4777777777777787</v>
      </c>
      <c r="F5" s="81" t="s">
        <v>177</v>
      </c>
      <c r="G5" s="82">
        <v>1.875</v>
      </c>
      <c r="H5" s="81" t="s">
        <v>195</v>
      </c>
      <c r="I5" s="83">
        <v>0.42857142857142855</v>
      </c>
      <c r="J5" s="81" t="s">
        <v>178</v>
      </c>
      <c r="K5" s="83">
        <v>0.26041666666666669</v>
      </c>
      <c r="L5" s="81" t="s">
        <v>127</v>
      </c>
      <c r="M5" s="84">
        <v>0.30176211453744495</v>
      </c>
      <c r="N5" s="81" t="s">
        <v>178</v>
      </c>
      <c r="O5" s="84">
        <v>0.13403416557161629</v>
      </c>
      <c r="P5" s="81" t="s">
        <v>181</v>
      </c>
      <c r="Q5" s="85">
        <v>8456.4516129032254</v>
      </c>
      <c r="R5" s="81" t="s">
        <v>179</v>
      </c>
      <c r="S5" s="85">
        <v>-7662.3931623931621</v>
      </c>
      <c r="T5" s="81" t="s">
        <v>126</v>
      </c>
      <c r="U5" s="83">
        <v>4.1322314049586778E-2</v>
      </c>
      <c r="V5" s="81" t="s">
        <v>181</v>
      </c>
      <c r="W5" s="83">
        <v>0.125</v>
      </c>
      <c r="X5" s="81" t="s">
        <v>126</v>
      </c>
      <c r="Y5" s="84">
        <v>0.27060020345879959</v>
      </c>
      <c r="Z5" s="81" t="s">
        <v>127</v>
      </c>
      <c r="AA5" s="84">
        <v>0.30616740088105726</v>
      </c>
      <c r="AB5" s="81" t="s">
        <v>178</v>
      </c>
      <c r="AC5" s="84">
        <v>0.58536585365853655</v>
      </c>
      <c r="AD5" s="81" t="s">
        <v>177</v>
      </c>
      <c r="AE5" s="84">
        <v>0.43689320388349512</v>
      </c>
      <c r="AF5" s="81" t="s">
        <v>177</v>
      </c>
      <c r="AG5" s="84">
        <v>0.47647058823529409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178</v>
      </c>
      <c r="E6" s="93">
        <v>0.54479166666666656</v>
      </c>
      <c r="F6" s="81" t="s">
        <v>127</v>
      </c>
      <c r="G6" s="82">
        <v>1.9722222222222223</v>
      </c>
      <c r="H6" s="81" t="s">
        <v>177</v>
      </c>
      <c r="I6" s="83">
        <v>0.41666666666666669</v>
      </c>
      <c r="J6" s="81" t="s">
        <v>177</v>
      </c>
      <c r="K6" s="83">
        <v>0.29166666666666669</v>
      </c>
      <c r="L6" s="81" t="s">
        <v>143</v>
      </c>
      <c r="M6" s="84">
        <v>0.29514523664432257</v>
      </c>
      <c r="N6" s="81" t="s">
        <v>166</v>
      </c>
      <c r="O6" s="84">
        <v>0.15189873417721519</v>
      </c>
      <c r="P6" s="81" t="s">
        <v>127</v>
      </c>
      <c r="Q6" s="85">
        <v>8434.6715328467162</v>
      </c>
      <c r="R6" s="81" t="s">
        <v>177</v>
      </c>
      <c r="S6" s="85">
        <v>-7860.416666666667</v>
      </c>
      <c r="T6" s="81" t="s">
        <v>177</v>
      </c>
      <c r="U6" s="83">
        <v>8.3333333333333329E-2</v>
      </c>
      <c r="V6" s="81" t="s">
        <v>126</v>
      </c>
      <c r="W6" s="83">
        <v>0.12396694214876033</v>
      </c>
      <c r="X6" s="81" t="s">
        <v>178</v>
      </c>
      <c r="Y6" s="84">
        <v>0.26938239159001315</v>
      </c>
      <c r="Z6" s="81" t="s">
        <v>166</v>
      </c>
      <c r="AA6" s="84">
        <v>0.23417721518987342</v>
      </c>
      <c r="AB6" s="81" t="s">
        <v>179</v>
      </c>
      <c r="AC6" s="84">
        <v>0.5757575757575758</v>
      </c>
      <c r="AD6" s="81" t="s">
        <v>182</v>
      </c>
      <c r="AE6" s="84">
        <v>0.41891891891891891</v>
      </c>
      <c r="AF6" s="81" t="s">
        <v>179</v>
      </c>
      <c r="AG6" s="84">
        <v>0.45962732919254656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181</v>
      </c>
      <c r="C7" s="80">
        <v>2.1999999999999957</v>
      </c>
      <c r="D7" s="81" t="s">
        <v>181</v>
      </c>
      <c r="E7" s="93">
        <v>9.1666666666666494E-2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127</v>
      </c>
      <c r="K7" s="83">
        <v>0.31481481481481483</v>
      </c>
      <c r="L7" s="81" t="s">
        <v>177</v>
      </c>
      <c r="M7" s="84">
        <v>0.2910958904109589</v>
      </c>
      <c r="N7" s="81" t="s">
        <v>143</v>
      </c>
      <c r="O7" s="84">
        <v>0.16311192362380661</v>
      </c>
      <c r="P7" s="81" t="s">
        <v>178</v>
      </c>
      <c r="Q7" s="85">
        <v>8432.1266968325799</v>
      </c>
      <c r="R7" s="81" t="s">
        <v>126</v>
      </c>
      <c r="S7" s="85">
        <v>-7880.3149606299212</v>
      </c>
      <c r="T7" s="81" t="s">
        <v>178</v>
      </c>
      <c r="U7" s="83">
        <v>8.3333333333333329E-2</v>
      </c>
      <c r="V7" s="81" t="s">
        <v>143</v>
      </c>
      <c r="W7" s="83">
        <v>9.6446700507614211E-2</v>
      </c>
      <c r="X7" s="81" t="s">
        <v>222</v>
      </c>
      <c r="Y7" s="84">
        <v>0.26666666666666666</v>
      </c>
      <c r="Z7" s="81" t="s">
        <v>143</v>
      </c>
      <c r="AA7" s="84">
        <v>0.22831606743855373</v>
      </c>
      <c r="AB7" s="81" t="s">
        <v>177</v>
      </c>
      <c r="AC7" s="84">
        <v>0.56149732620320858</v>
      </c>
      <c r="AD7" s="81" t="s">
        <v>178</v>
      </c>
      <c r="AE7" s="84">
        <v>0.41317365269461076</v>
      </c>
      <c r="AF7" s="81" t="s">
        <v>178</v>
      </c>
      <c r="AG7" s="84">
        <v>0.45248868778280543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143</v>
      </c>
      <c r="C8" s="80">
        <v>-4.9737991503207013E-14</v>
      </c>
      <c r="D8" s="81" t="s">
        <v>143</v>
      </c>
      <c r="E8" s="93">
        <v>-8.4159038076492409E-17</v>
      </c>
      <c r="F8" s="81" t="s">
        <v>143</v>
      </c>
      <c r="G8" s="82">
        <v>2</v>
      </c>
      <c r="H8" s="81" t="s">
        <v>127</v>
      </c>
      <c r="I8" s="83">
        <v>0.34259259259259262</v>
      </c>
      <c r="J8" s="81" t="s">
        <v>143</v>
      </c>
      <c r="K8" s="83">
        <v>0.33333333333333331</v>
      </c>
      <c r="L8" s="81" t="s">
        <v>178</v>
      </c>
      <c r="M8" s="84">
        <v>0.29040735873850199</v>
      </c>
      <c r="N8" s="81" t="s">
        <v>177</v>
      </c>
      <c r="O8" s="84">
        <v>0.16438356164383561</v>
      </c>
      <c r="P8" s="81" t="s">
        <v>126</v>
      </c>
      <c r="Q8" s="85">
        <v>8289.0207715133529</v>
      </c>
      <c r="R8" s="81" t="s">
        <v>143</v>
      </c>
      <c r="S8" s="85">
        <v>-7898.3810709838108</v>
      </c>
      <c r="T8" s="81" t="s">
        <v>181</v>
      </c>
      <c r="U8" s="83">
        <v>8.3333333333333329E-2</v>
      </c>
      <c r="V8" s="81" t="s">
        <v>178</v>
      </c>
      <c r="W8" s="83">
        <v>9.375E-2</v>
      </c>
      <c r="X8" s="81" t="s">
        <v>181</v>
      </c>
      <c r="Y8" s="84">
        <v>0.26637554585152839</v>
      </c>
      <c r="Z8" s="81" t="s">
        <v>126</v>
      </c>
      <c r="AA8" s="84">
        <v>0.22380467955239064</v>
      </c>
      <c r="AB8" s="81" t="s">
        <v>143</v>
      </c>
      <c r="AC8" s="84">
        <v>0.55990415335463262</v>
      </c>
      <c r="AD8" s="81" t="s">
        <v>143</v>
      </c>
      <c r="AE8" s="84">
        <v>0.41192170818505336</v>
      </c>
      <c r="AF8" s="81" t="s">
        <v>143</v>
      </c>
      <c r="AG8" s="84">
        <v>0.44184445973847214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127</v>
      </c>
      <c r="C9" s="80">
        <v>-28.200000000000212</v>
      </c>
      <c r="D9" s="81" t="s">
        <v>127</v>
      </c>
      <c r="E9" s="93">
        <v>-0.26111111111111307</v>
      </c>
      <c r="F9" s="81" t="s">
        <v>178</v>
      </c>
      <c r="G9" s="82">
        <v>2.0104166666666665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0.28097731239092494</v>
      </c>
      <c r="N9" s="81" t="s">
        <v>181</v>
      </c>
      <c r="O9" s="84">
        <v>0.16593886462882096</v>
      </c>
      <c r="P9" s="81" t="s">
        <v>179</v>
      </c>
      <c r="Q9" s="85">
        <v>8029.1925465838513</v>
      </c>
      <c r="R9" s="81" t="s">
        <v>178</v>
      </c>
      <c r="S9" s="85">
        <v>-7909.8039215686276</v>
      </c>
      <c r="T9" s="81" t="s">
        <v>179</v>
      </c>
      <c r="U9" s="83">
        <v>8.9552238805970144E-2</v>
      </c>
      <c r="V9" s="81" t="s">
        <v>127</v>
      </c>
      <c r="W9" s="83">
        <v>9.2592592592592587E-2</v>
      </c>
      <c r="X9" s="81" t="s">
        <v>143</v>
      </c>
      <c r="Y9" s="84">
        <v>0.25431647369490146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179</v>
      </c>
      <c r="AE9" s="84">
        <v>0.40366972477064222</v>
      </c>
      <c r="AF9" s="81" t="s">
        <v>126</v>
      </c>
      <c r="AG9" s="84">
        <v>0.42433234421364985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179</v>
      </c>
      <c r="E10" s="93">
        <v>-7.1283582089552233</v>
      </c>
      <c r="F10" s="81" t="s">
        <v>195</v>
      </c>
      <c r="G10" s="82">
        <v>2.1428571428571428</v>
      </c>
      <c r="H10" s="81" t="s">
        <v>166</v>
      </c>
      <c r="I10" s="83">
        <v>0.32075471698113206</v>
      </c>
      <c r="J10" s="81" t="s">
        <v>179</v>
      </c>
      <c r="K10" s="83">
        <v>0.40298507462686567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222</v>
      </c>
      <c r="S10" s="85">
        <v>-8000</v>
      </c>
      <c r="T10" s="81" t="s">
        <v>143</v>
      </c>
      <c r="U10" s="83">
        <v>9.6446700507614211E-2</v>
      </c>
      <c r="V10" s="81" t="s">
        <v>166</v>
      </c>
      <c r="W10" s="83">
        <v>3.7735849056603772E-2</v>
      </c>
      <c r="X10" s="81" t="s">
        <v>195</v>
      </c>
      <c r="Y10" s="84">
        <v>0.24193548387096775</v>
      </c>
      <c r="Z10" s="81" t="s">
        <v>178</v>
      </c>
      <c r="AA10" s="84">
        <v>0.21944809461235218</v>
      </c>
      <c r="AB10" s="81" t="s">
        <v>182</v>
      </c>
      <c r="AC10" s="84">
        <v>0.52173913043478259</v>
      </c>
      <c r="AD10" s="81" t="s">
        <v>127</v>
      </c>
      <c r="AE10" s="84">
        <v>0.37050359712230213</v>
      </c>
      <c r="AF10" s="81" t="s">
        <v>166</v>
      </c>
      <c r="AG10" s="84">
        <v>0.41463414634146339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-383.50000000000011</v>
      </c>
      <c r="D11" s="81" t="s">
        <v>166</v>
      </c>
      <c r="E11" s="93">
        <v>-7.2358490566037759</v>
      </c>
      <c r="F11" s="81" t="s">
        <v>166</v>
      </c>
      <c r="G11" s="82">
        <v>2.1509433962264151</v>
      </c>
      <c r="H11" s="81" t="s">
        <v>178</v>
      </c>
      <c r="I11" s="83">
        <v>0.25</v>
      </c>
      <c r="J11" s="81" t="s">
        <v>166</v>
      </c>
      <c r="K11" s="83">
        <v>0.47169811320754718</v>
      </c>
      <c r="L11" s="81" t="s">
        <v>166</v>
      </c>
      <c r="M11" s="84">
        <v>0.25949367088607594</v>
      </c>
      <c r="N11" s="81" t="s">
        <v>127</v>
      </c>
      <c r="O11" s="84">
        <v>0.19273127753303965</v>
      </c>
      <c r="P11" s="81" t="s">
        <v>195</v>
      </c>
      <c r="Q11" s="85">
        <v>7473.333333333333</v>
      </c>
      <c r="R11" s="81" t="s">
        <v>127</v>
      </c>
      <c r="S11" s="85">
        <v>-8208.5714285714294</v>
      </c>
      <c r="T11" s="81" t="s">
        <v>127</v>
      </c>
      <c r="U11" s="83">
        <v>0.1388888888888889</v>
      </c>
      <c r="V11" s="81" t="s">
        <v>179</v>
      </c>
      <c r="W11" s="83">
        <v>2.9850746268656716E-2</v>
      </c>
      <c r="X11" s="81" t="s">
        <v>127</v>
      </c>
      <c r="Y11" s="84">
        <v>0.23017621145374451</v>
      </c>
      <c r="Z11" s="81" t="s">
        <v>179</v>
      </c>
      <c r="AA11" s="84">
        <v>0.19022687609075042</v>
      </c>
      <c r="AB11" s="81" t="s">
        <v>127</v>
      </c>
      <c r="AC11" s="84">
        <v>0.50239234449760761</v>
      </c>
      <c r="AD11" s="81" t="s">
        <v>166</v>
      </c>
      <c r="AE11" s="84">
        <v>0.36936936936936937</v>
      </c>
      <c r="AF11" s="81" t="s">
        <v>127</v>
      </c>
      <c r="AG11" s="84">
        <v>0.4051094890510949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-477.59999999999997</v>
      </c>
      <c r="D12" s="81" t="s">
        <v>195</v>
      </c>
      <c r="E12" s="93">
        <v>-14.971428571428573</v>
      </c>
      <c r="F12" s="81" t="s">
        <v>179</v>
      </c>
      <c r="G12" s="82">
        <v>2.1791044776119404</v>
      </c>
      <c r="H12" s="81" t="s">
        <v>179</v>
      </c>
      <c r="I12" s="83">
        <v>0.22388059701492538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0.17636986301369864</v>
      </c>
      <c r="AB12" s="81" t="s">
        <v>222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0.20418848167539266</v>
      </c>
      <c r="P13" s="81" t="s">
        <v>166</v>
      </c>
      <c r="Q13" s="85">
        <v>7054.4715447154467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0.14978902953586498</v>
      </c>
      <c r="Z13" s="81" t="s">
        <v>181</v>
      </c>
      <c r="AA13" s="84">
        <v>0.15283842794759825</v>
      </c>
      <c r="AB13" s="81" t="s">
        <v>166</v>
      </c>
      <c r="AC13" s="84">
        <v>0.49295774647887325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9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591</v>
      </c>
      <c r="C2" s="149"/>
      <c r="E2" s="58" t="s">
        <v>66</v>
      </c>
      <c r="F2" s="55" t="s">
        <v>22</v>
      </c>
      <c r="G2" s="43">
        <v>1127</v>
      </c>
      <c r="H2" s="128">
        <f>IF(B$17=0,0,G2/B$17)</f>
        <v>0.77563661390227112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-22.108843537414966</v>
      </c>
      <c r="P2" s="114">
        <v>588</v>
      </c>
      <c r="Q2" s="98">
        <v>-13000</v>
      </c>
    </row>
    <row r="3" spans="1:17" x14ac:dyDescent="0.4">
      <c r="A3" s="51" t="s">
        <v>8</v>
      </c>
      <c r="B3" s="150">
        <v>4923</v>
      </c>
      <c r="C3" s="151"/>
      <c r="E3" s="59" t="s">
        <v>72</v>
      </c>
      <c r="F3" s="56" t="s">
        <v>27</v>
      </c>
      <c r="G3" s="44">
        <v>778</v>
      </c>
      <c r="H3" s="129">
        <f>IF(B$17=0,0,G3/B$17)</f>
        <v>0.53544390915347562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8.6805555555555554</v>
      </c>
      <c r="P3" s="115">
        <v>576</v>
      </c>
      <c r="Q3" s="99">
        <v>5000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670</v>
      </c>
      <c r="H4" s="129">
        <f>IF(B$17=0,0,G4/B$17)</f>
        <v>0.46111493461803166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-14.571948998178506</v>
      </c>
      <c r="P4" s="115">
        <v>549</v>
      </c>
      <c r="Q4" s="99">
        <v>-8000</v>
      </c>
    </row>
    <row r="5" spans="1:17" x14ac:dyDescent="0.4">
      <c r="A5" s="51" t="s">
        <v>7</v>
      </c>
      <c r="B5" s="154">
        <f>IF(B$2=0,0,B$4/B$2)</f>
        <v>-8.4159038076492409E-17</v>
      </c>
      <c r="C5" s="155"/>
      <c r="E5" s="59" t="s">
        <v>171</v>
      </c>
      <c r="F5" s="56" t="s">
        <v>172</v>
      </c>
      <c r="G5" s="44">
        <v>587</v>
      </c>
      <c r="H5" s="129">
        <f>IF(B$17=0,0,G5/B$17)</f>
        <v>0.4039917412250516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9.6899224806201545</v>
      </c>
      <c r="P5" s="115">
        <v>516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456</v>
      </c>
      <c r="H6" s="129">
        <f>IF(B$17=0,0,G6/B$17)</f>
        <v>0.31383344803854096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10.548523206751055</v>
      </c>
      <c r="P6" s="115">
        <v>474</v>
      </c>
      <c r="Q6" s="99">
        <v>5000</v>
      </c>
    </row>
    <row r="7" spans="1:17" x14ac:dyDescent="0.4">
      <c r="A7" s="51" t="s">
        <v>2</v>
      </c>
      <c r="B7" s="44">
        <v>197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414</v>
      </c>
      <c r="H7" s="129">
        <f>IF(B$17=0,0,G7/B$17)</f>
        <v>0.28492773571920166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15.503875968992247</v>
      </c>
      <c r="P7" s="116">
        <v>387</v>
      </c>
      <c r="Q7" s="100">
        <v>6000</v>
      </c>
    </row>
    <row r="8" spans="1:17" x14ac:dyDescent="0.4">
      <c r="A8" s="51" t="s">
        <v>3</v>
      </c>
      <c r="B8" s="44">
        <v>197</v>
      </c>
      <c r="C8" s="37">
        <f t="shared" si="1"/>
        <v>0.33333333333333331</v>
      </c>
      <c r="E8" s="59" t="s">
        <v>69</v>
      </c>
      <c r="F8" s="56" t="s">
        <v>24</v>
      </c>
      <c r="G8" s="44">
        <v>217</v>
      </c>
      <c r="H8" s="129">
        <f>IF(B$17=0,0,G8/B$17)</f>
        <v>0.14934618031658636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197</v>
      </c>
      <c r="C9" s="38">
        <f t="shared" si="1"/>
        <v>0.33333333333333331</v>
      </c>
      <c r="E9" s="59" t="s">
        <v>89</v>
      </c>
      <c r="F9" s="56" t="s">
        <v>44</v>
      </c>
      <c r="G9" s="44">
        <v>191</v>
      </c>
      <c r="H9" s="129">
        <f>IF(B$17=0,0,G9/B$17)</f>
        <v>0.13145216792842396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57</v>
      </c>
      <c r="C10" s="38">
        <f t="shared" si="1"/>
        <v>9.6446700507614211E-2</v>
      </c>
      <c r="E10" s="59" t="s">
        <v>65</v>
      </c>
      <c r="F10" s="56" t="s">
        <v>21</v>
      </c>
      <c r="G10" s="44">
        <v>155</v>
      </c>
      <c r="H10" s="129">
        <f>IF(B$17=0,0,G10/B$17)</f>
        <v>0.10667584308327598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-0.98984771573604091</v>
      </c>
      <c r="P10" s="114">
        <v>197</v>
      </c>
      <c r="Q10" s="102">
        <v>-195.00000000000006</v>
      </c>
    </row>
    <row r="11" spans="1:17" x14ac:dyDescent="0.4">
      <c r="A11" s="52" t="s">
        <v>138</v>
      </c>
      <c r="B11" s="45">
        <v>57</v>
      </c>
      <c r="C11" s="38">
        <f t="shared" si="1"/>
        <v>9.6446700507614211E-2</v>
      </c>
      <c r="E11" s="59" t="s">
        <v>70</v>
      </c>
      <c r="F11" s="56" t="s">
        <v>25</v>
      </c>
      <c r="G11" s="44">
        <v>139</v>
      </c>
      <c r="H11" s="129">
        <f>IF(B$17=0,0,G11/B$17)</f>
        <v>9.5664143152099104E-2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1.5522842639593903</v>
      </c>
      <c r="P11" s="115">
        <v>197</v>
      </c>
      <c r="Q11" s="103">
        <v>305.7999999999999</v>
      </c>
    </row>
    <row r="12" spans="1:17" x14ac:dyDescent="0.4">
      <c r="A12" s="53" t="s">
        <v>158</v>
      </c>
      <c r="B12" s="46">
        <v>58</v>
      </c>
      <c r="C12" s="40">
        <f t="shared" si="1"/>
        <v>9.8138747884940772E-2</v>
      </c>
      <c r="E12" s="59" t="s">
        <v>71</v>
      </c>
      <c r="F12" s="56" t="s">
        <v>26</v>
      </c>
      <c r="G12" s="44">
        <v>112</v>
      </c>
      <c r="H12" s="129">
        <f>IF(B$17=0,0,G12/B$17)</f>
        <v>7.7081899518238128E-2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-0.56243654822335087</v>
      </c>
      <c r="P12" s="116">
        <v>197</v>
      </c>
      <c r="Q12" s="104">
        <v>-110.80000000000013</v>
      </c>
    </row>
    <row r="13" spans="1:17" x14ac:dyDescent="0.4">
      <c r="A13" s="54" t="s">
        <v>121</v>
      </c>
      <c r="B13" s="47">
        <v>1252</v>
      </c>
      <c r="C13" s="42">
        <f>IF(B$3=0,0,B13/B$3)</f>
        <v>0.25431647369490146</v>
      </c>
      <c r="E13" s="59" t="s">
        <v>83</v>
      </c>
      <c r="F13" s="56" t="s">
        <v>38</v>
      </c>
      <c r="G13" s="44">
        <v>79</v>
      </c>
      <c r="H13" s="129">
        <f>IF(B$17=0,0,G13/B$17)</f>
        <v>5.4370268410185822E-2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1124</v>
      </c>
      <c r="C14" s="37">
        <f>IF(B$3=0,0,B14/B$3)</f>
        <v>0.22831606743855373</v>
      </c>
      <c r="E14" s="59" t="s">
        <v>86</v>
      </c>
      <c r="F14" s="56" t="s">
        <v>41</v>
      </c>
      <c r="G14" s="44">
        <v>72</v>
      </c>
      <c r="H14" s="129">
        <f>IF(B$17=0,0,G14/B$17)</f>
        <v>4.9552649690295943E-2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701</v>
      </c>
      <c r="C15" s="35">
        <f>IF(B$13=0,0,B15/B$13)</f>
        <v>0.55990415335463262</v>
      </c>
      <c r="E15" s="59" t="s">
        <v>167</v>
      </c>
      <c r="F15" s="56" t="s">
        <v>168</v>
      </c>
      <c r="G15" s="44">
        <v>39</v>
      </c>
      <c r="H15" s="129">
        <f>IF(B$17=0,0,G15/B$17)</f>
        <v>2.6841018582243633E-2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 t="shared" ref="O15:O24" si="2"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463</v>
      </c>
      <c r="C16" s="35">
        <f>IF(B$14=0,0,B16/B$14)</f>
        <v>0.41192170818505336</v>
      </c>
      <c r="E16" s="59" t="s">
        <v>78</v>
      </c>
      <c r="F16" s="56" t="s">
        <v>33</v>
      </c>
      <c r="G16" s="44">
        <v>37</v>
      </c>
      <c r="H16" s="129">
        <f>IF(B$17=0,0,G16/B$17)</f>
        <v>2.5464556090846524E-2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 t="shared" si="2"/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1453</v>
      </c>
      <c r="C17" s="35">
        <f>IF(B$3=0,0,B17/B$3)</f>
        <v>0.29514523664432257</v>
      </c>
      <c r="E17" s="59" t="s">
        <v>81</v>
      </c>
      <c r="F17" s="56" t="s">
        <v>36</v>
      </c>
      <c r="G17" s="44">
        <v>25</v>
      </c>
      <c r="H17" s="129">
        <f>IF(B$17=0,0,G17/B$17)</f>
        <v>1.7205781142463867E-2</v>
      </c>
      <c r="I17" s="90">
        <v>6</v>
      </c>
      <c r="K17" s="36">
        <v>15</v>
      </c>
      <c r="L17" s="95">
        <v>0</v>
      </c>
      <c r="N17" s="111" t="s">
        <v>166</v>
      </c>
      <c r="O17" s="121">
        <f t="shared" si="2"/>
        <v>10.853773584905658</v>
      </c>
      <c r="P17" s="115">
        <v>106</v>
      </c>
      <c r="Q17" s="103">
        <v>1150.4999999999998</v>
      </c>
    </row>
    <row r="18" spans="1:17" x14ac:dyDescent="0.4">
      <c r="A18" s="51" t="s">
        <v>12</v>
      </c>
      <c r="B18" s="44">
        <v>642</v>
      </c>
      <c r="C18" s="37">
        <f>IF(B$17=0,0,B18/B$17)</f>
        <v>0.44184445973847214</v>
      </c>
      <c r="E18" s="59" t="s">
        <v>91</v>
      </c>
      <c r="F18" s="56" t="s">
        <v>46</v>
      </c>
      <c r="G18" s="44">
        <v>19</v>
      </c>
      <c r="H18" s="129">
        <f>IF(B$17=0,0,G18/B$17)</f>
        <v>1.307639366827254E-2</v>
      </c>
      <c r="I18" s="90">
        <v>3</v>
      </c>
      <c r="K18" s="36">
        <v>16</v>
      </c>
      <c r="L18" s="95">
        <v>-28.2</v>
      </c>
      <c r="N18" s="111" t="s">
        <v>179</v>
      </c>
      <c r="O18" s="121">
        <f t="shared" si="2"/>
        <v>10.692537313432835</v>
      </c>
      <c r="P18" s="115">
        <v>134</v>
      </c>
      <c r="Q18" s="103">
        <v>1432.8</v>
      </c>
    </row>
    <row r="19" spans="1:17" x14ac:dyDescent="0.4">
      <c r="A19" s="51" t="s">
        <v>11</v>
      </c>
      <c r="B19" s="44">
        <v>811</v>
      </c>
      <c r="C19" s="37">
        <f>IF(B$17=0,0,B19/B$17)</f>
        <v>0.55815554026152792</v>
      </c>
      <c r="E19" s="59" t="s">
        <v>79</v>
      </c>
      <c r="F19" s="56" t="s">
        <v>34</v>
      </c>
      <c r="G19" s="44">
        <v>17</v>
      </c>
      <c r="H19" s="129">
        <f>IF(B$17=0,0,G19/B$17)</f>
        <v>1.1699931176875429E-2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 t="shared" si="2"/>
        <v>0.391666666666661</v>
      </c>
      <c r="P19" s="115">
        <v>216</v>
      </c>
      <c r="Q19" s="103">
        <v>84.599999999998772</v>
      </c>
    </row>
    <row r="20" spans="1:17" x14ac:dyDescent="0.4">
      <c r="A20" s="51" t="s">
        <v>13</v>
      </c>
      <c r="B20" s="44">
        <v>803</v>
      </c>
      <c r="C20" s="37">
        <f>IF(B$3=0,0,B20/B$3)</f>
        <v>0.16311192362380661</v>
      </c>
      <c r="E20" s="59" t="s">
        <v>75</v>
      </c>
      <c r="F20" s="56" t="s">
        <v>30</v>
      </c>
      <c r="G20" s="44">
        <v>10</v>
      </c>
      <c r="H20" s="129">
        <f>IF(B$17=0,0,G20/B$17)</f>
        <v>6.8823124569855473E-3</v>
      </c>
      <c r="I20" s="90">
        <v>5</v>
      </c>
      <c r="K20" s="36">
        <v>18</v>
      </c>
      <c r="L20" s="95">
        <v>0</v>
      </c>
      <c r="N20" s="111" t="s">
        <v>181</v>
      </c>
      <c r="O20" s="121">
        <f t="shared" si="2"/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8</v>
      </c>
      <c r="H21" s="129">
        <f>IF(B$17=0,0,G21/B$17)</f>
        <v>5.5058499655884375E-3</v>
      </c>
      <c r="I21" s="90">
        <v>3</v>
      </c>
      <c r="K21" s="36">
        <v>19</v>
      </c>
      <c r="L21" s="95">
        <v>-22.4</v>
      </c>
      <c r="N21" s="111" t="s">
        <v>178</v>
      </c>
      <c r="O21" s="121">
        <f t="shared" si="2"/>
        <v>-0.81718750000000107</v>
      </c>
      <c r="P21" s="115">
        <v>192</v>
      </c>
      <c r="Q21" s="103">
        <v>-156.9000000000002</v>
      </c>
    </row>
    <row r="22" spans="1:17" x14ac:dyDescent="0.4">
      <c r="A22" s="51" t="s">
        <v>170</v>
      </c>
      <c r="B22" s="44">
        <v>31</v>
      </c>
      <c r="C22" s="131">
        <v>3</v>
      </c>
      <c r="E22" s="59" t="s">
        <v>74</v>
      </c>
      <c r="F22" s="56" t="s">
        <v>29</v>
      </c>
      <c r="G22" s="44">
        <v>6</v>
      </c>
      <c r="H22" s="129">
        <f>IF(B$17=0,0,G22/B$17)</f>
        <v>4.1293874741913286E-3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 t="shared" si="2"/>
        <v>-9.7166666666666615</v>
      </c>
      <c r="P22" s="115">
        <v>144</v>
      </c>
      <c r="Q22" s="103">
        <v>-1399.1999999999991</v>
      </c>
    </row>
    <row r="23" spans="1:17" x14ac:dyDescent="0.4">
      <c r="A23" s="51" t="s">
        <v>5</v>
      </c>
      <c r="B23" s="48">
        <f>IF(B$17=0,0,C23/B$17)</f>
        <v>8462.766689607708</v>
      </c>
      <c r="C23" s="39">
        <v>12296400</v>
      </c>
      <c r="E23" s="59" t="s">
        <v>73</v>
      </c>
      <c r="F23" s="56" t="s">
        <v>28</v>
      </c>
      <c r="G23" s="44">
        <v>5</v>
      </c>
      <c r="H23" s="129">
        <f>IF(B$17=0,0,G23/B$17)</f>
        <v>3.4411562284927736E-3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 t="shared" si="2"/>
        <v>-13.286776859504132</v>
      </c>
      <c r="P23" s="115">
        <v>242</v>
      </c>
      <c r="Q23" s="103">
        <v>-3215.3999999999996</v>
      </c>
    </row>
    <row r="24" spans="1:17" x14ac:dyDescent="0.4">
      <c r="A24" s="52" t="s">
        <v>216</v>
      </c>
      <c r="B24" s="136">
        <f>IF($B$17-B$16=0,0,C24/($B$17-B$16))</f>
        <v>9003.0303030303039</v>
      </c>
      <c r="C24" s="137">
        <v>8913000</v>
      </c>
      <c r="E24" s="59" t="s">
        <v>77</v>
      </c>
      <c r="F24" s="56" t="s">
        <v>32</v>
      </c>
      <c r="G24" s="44">
        <v>5</v>
      </c>
      <c r="H24" s="129">
        <f>IF(B$17=0,0,G24/B$17)</f>
        <v>3.4411562284927736E-3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 t="shared" si="2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7307.5593952483805</v>
      </c>
      <c r="C25" s="137">
        <v>3383400</v>
      </c>
      <c r="E25" s="59" t="s">
        <v>85</v>
      </c>
      <c r="F25" s="56" t="s">
        <v>40</v>
      </c>
      <c r="G25" s="44">
        <v>5</v>
      </c>
      <c r="H25" s="129">
        <f>IF(B$17=0,0,G25/B$17)</f>
        <v>3.4411562284927736E-3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-7898.3810709838108</v>
      </c>
      <c r="C26" s="137">
        <v>-6342400</v>
      </c>
      <c r="E26" s="59" t="s">
        <v>88</v>
      </c>
      <c r="F26" s="56" t="s">
        <v>43</v>
      </c>
      <c r="G26" s="44">
        <v>5</v>
      </c>
      <c r="H26" s="129">
        <f>IF(B$17=0,0,G26/B$17)</f>
        <v>3.4411562284927736E-3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2.7529249827942187E-3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2.0646937370956643E-3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2.8437944342880358E-3</v>
      </c>
      <c r="E29" s="59" t="s">
        <v>95</v>
      </c>
      <c r="F29" s="56" t="s">
        <v>50</v>
      </c>
      <c r="G29" s="44">
        <v>3</v>
      </c>
      <c r="H29" s="129">
        <f>IF(B$17=0,0,G29/B$17)</f>
        <v>2.0646937370956643E-3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1.3764624913971094E-3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1.3764624913971094E-3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6.8823124569855469E-4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6.8823124569855469E-4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6.8823124569855469E-4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</sheetData>
  <sortState xmlns:xlrd2="http://schemas.microsoft.com/office/spreadsheetml/2017/richdata2" ref="E2:I59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53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0.68292682926829273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1258.4905660377358</v>
      </c>
      <c r="P2" s="114">
        <v>53</v>
      </c>
      <c r="Q2" s="98">
        <v>66700</v>
      </c>
    </row>
    <row r="3" spans="1:17" x14ac:dyDescent="0.4">
      <c r="A3" s="51" t="s">
        <v>8</v>
      </c>
      <c r="B3" s="150">
        <v>474</v>
      </c>
      <c r="C3" s="151"/>
      <c r="E3" s="59" t="s">
        <v>72</v>
      </c>
      <c r="F3" s="56" t="s">
        <v>27</v>
      </c>
      <c r="G3" s="44">
        <v>66</v>
      </c>
      <c r="H3" s="129">
        <f>IF(B$17=0,0,G3/B$17)</f>
        <v>0.53658536585365857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-1067.3076923076924</v>
      </c>
      <c r="P3" s="115">
        <v>52</v>
      </c>
      <c r="Q3" s="99">
        <v>-55500</v>
      </c>
    </row>
    <row r="4" spans="1:17" x14ac:dyDescent="0.4">
      <c r="A4" s="51" t="s">
        <v>6</v>
      </c>
      <c r="B4" s="152">
        <v>-383.50000000000011</v>
      </c>
      <c r="C4" s="153"/>
      <c r="E4" s="59" t="s">
        <v>171</v>
      </c>
      <c r="F4" s="56" t="s">
        <v>172</v>
      </c>
      <c r="G4" s="44">
        <v>47</v>
      </c>
      <c r="H4" s="129">
        <f>IF(B$17=0,0,G4/B$17)</f>
        <v>0.38211382113821141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-1968</v>
      </c>
      <c r="P4" s="115">
        <v>50</v>
      </c>
      <c r="Q4" s="99">
        <v>-98400</v>
      </c>
    </row>
    <row r="5" spans="1:17" x14ac:dyDescent="0.4">
      <c r="A5" s="51" t="s">
        <v>7</v>
      </c>
      <c r="B5" s="154">
        <f>IF(B$2=0,0,B$4/B$2)</f>
        <v>-7.2358490566037759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0.27642276422764228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-1389.795918367347</v>
      </c>
      <c r="P5" s="115">
        <v>49</v>
      </c>
      <c r="Q5" s="99">
        <v>-68100</v>
      </c>
    </row>
    <row r="6" spans="1:17" x14ac:dyDescent="0.4">
      <c r="A6" s="51" t="s">
        <v>1</v>
      </c>
      <c r="B6" s="144">
        <f>IF(B$2=0,0,(B$7*1+B$8*2+B$9*3)/B$2)</f>
        <v>2.1509433962264151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0.27642276422764228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-150</v>
      </c>
      <c r="P6" s="115">
        <v>48</v>
      </c>
      <c r="Q6" s="99">
        <v>-7200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0.32075471698113206</v>
      </c>
      <c r="E7" s="59" t="s">
        <v>69</v>
      </c>
      <c r="F7" s="56" t="s">
        <v>24</v>
      </c>
      <c r="G7" s="44">
        <v>26</v>
      </c>
      <c r="H7" s="129">
        <f>IF(B$17=0,0,G7/B$17)</f>
        <v>0.21138211382113822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-1839.0243902439024</v>
      </c>
      <c r="P7" s="116">
        <v>41</v>
      </c>
      <c r="Q7" s="100">
        <v>-75400</v>
      </c>
    </row>
    <row r="8" spans="1:17" x14ac:dyDescent="0.4">
      <c r="A8" s="51" t="s">
        <v>3</v>
      </c>
      <c r="B8" s="44">
        <v>11</v>
      </c>
      <c r="C8" s="37">
        <f t="shared" si="1"/>
        <v>0.20754716981132076</v>
      </c>
      <c r="E8" s="59" t="s">
        <v>67</v>
      </c>
      <c r="F8" s="56" t="s">
        <v>23</v>
      </c>
      <c r="G8" s="44">
        <v>18</v>
      </c>
      <c r="H8" s="129">
        <f>IF(B$17=0,0,G8/B$17)</f>
        <v>0.14634146341463414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0.47169811320754718</v>
      </c>
      <c r="E9" s="59" t="s">
        <v>70</v>
      </c>
      <c r="F9" s="56" t="s">
        <v>25</v>
      </c>
      <c r="G9" s="44">
        <v>18</v>
      </c>
      <c r="H9" s="129">
        <f>IF(B$17=0,0,G9/B$17)</f>
        <v>0.14634146341463414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3.7735849056603772E-2</v>
      </c>
      <c r="E10" s="59" t="s">
        <v>71</v>
      </c>
      <c r="F10" s="56" t="s">
        <v>26</v>
      </c>
      <c r="G10" s="44">
        <v>12</v>
      </c>
      <c r="H10" s="129">
        <f>IF(B$17=0,0,G10/B$17)</f>
        <v>9.7560975609756101E-2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-11.321052631578945</v>
      </c>
      <c r="P10" s="114">
        <v>19</v>
      </c>
      <c r="Q10" s="102">
        <v>-215.09999999999997</v>
      </c>
    </row>
    <row r="11" spans="1:17" x14ac:dyDescent="0.4">
      <c r="A11" s="52" t="s">
        <v>138</v>
      </c>
      <c r="B11" s="45">
        <v>2</v>
      </c>
      <c r="C11" s="38">
        <f t="shared" si="1"/>
        <v>3.7735849056603772E-2</v>
      </c>
      <c r="E11" s="59" t="s">
        <v>83</v>
      </c>
      <c r="F11" s="56" t="s">
        <v>38</v>
      </c>
      <c r="G11" s="44">
        <v>12</v>
      </c>
      <c r="H11" s="129">
        <f>IF(B$17=0,0,G11/B$17)</f>
        <v>9.7560975609756101E-2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0.15094339622641509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-6.2105263157894726</v>
      </c>
      <c r="P12" s="116">
        <v>19</v>
      </c>
      <c r="Q12" s="104">
        <v>-117.99999999999999</v>
      </c>
    </row>
    <row r="13" spans="1:17" x14ac:dyDescent="0.4">
      <c r="A13" s="54" t="s">
        <v>121</v>
      </c>
      <c r="B13" s="47">
        <v>71</v>
      </c>
      <c r="C13" s="42">
        <f>IF(B$3=0,0,B13/B$3)</f>
        <v>0.14978902953586498</v>
      </c>
      <c r="E13" s="59" t="s">
        <v>89</v>
      </c>
      <c r="F13" s="56" t="s">
        <v>44</v>
      </c>
      <c r="G13" s="44">
        <v>8</v>
      </c>
      <c r="H13" s="129">
        <f>IF(B$17=0,0,G13/B$17)</f>
        <v>6.5040650406504072E-2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111</v>
      </c>
      <c r="C14" s="37">
        <f>IF(B$3=0,0,B14/B$3)</f>
        <v>0.23417721518987342</v>
      </c>
      <c r="E14" s="59" t="s">
        <v>81</v>
      </c>
      <c r="F14" s="56" t="s">
        <v>36</v>
      </c>
      <c r="G14" s="44">
        <v>4</v>
      </c>
      <c r="H14" s="129">
        <f>IF(B$17=0,0,G14/B$17)</f>
        <v>3.2520325203252036E-2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0.49295774647887325</v>
      </c>
      <c r="E15" s="59" t="s">
        <v>86</v>
      </c>
      <c r="F15" s="56" t="s">
        <v>41</v>
      </c>
      <c r="G15" s="44">
        <v>4</v>
      </c>
      <c r="H15" s="129">
        <f>IF(B$17=0,0,G15/B$17)</f>
        <v>3.2520325203252036E-2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41</v>
      </c>
      <c r="C16" s="35">
        <f>IF(B$14=0,0,B16/B$14)</f>
        <v>0.36936936936936937</v>
      </c>
      <c r="E16" s="59" t="s">
        <v>91</v>
      </c>
      <c r="F16" s="56" t="s">
        <v>46</v>
      </c>
      <c r="G16" s="44">
        <v>3</v>
      </c>
      <c r="H16" s="129">
        <f>IF(B$17=0,0,G16/B$17)</f>
        <v>2.4390243902439025E-2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-4.7411764705882362</v>
      </c>
      <c r="P16" s="115">
        <v>17</v>
      </c>
      <c r="Q16" s="103">
        <v>-80.600000000000009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0.25949367088607594</v>
      </c>
      <c r="E17" s="59" t="s">
        <v>88</v>
      </c>
      <c r="F17" s="56" t="s">
        <v>43</v>
      </c>
      <c r="G17" s="44">
        <v>2</v>
      </c>
      <c r="H17" s="129">
        <f>IF(B$17=0,0,G17/B$17)</f>
        <v>1.6260162601626018E-2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-5.2892857142857155</v>
      </c>
      <c r="P17" s="115">
        <v>28</v>
      </c>
      <c r="Q17" s="103">
        <v>-148.10000000000002</v>
      </c>
    </row>
    <row r="18" spans="1:17" x14ac:dyDescent="0.4">
      <c r="A18" s="51" t="s">
        <v>12</v>
      </c>
      <c r="B18" s="44">
        <v>51</v>
      </c>
      <c r="C18" s="37">
        <f>IF(B$17=0,0,B18/B$17)</f>
        <v>0.41463414634146339</v>
      </c>
      <c r="E18" s="59" t="s">
        <v>74</v>
      </c>
      <c r="F18" s="56" t="s">
        <v>29</v>
      </c>
      <c r="G18" s="44">
        <v>1</v>
      </c>
      <c r="H18" s="129">
        <f>IF(B$17=0,0,G18/B$17)</f>
        <v>8.130081300813009E-3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-7.7958333333333343</v>
      </c>
      <c r="P18" s="115">
        <v>24</v>
      </c>
      <c r="Q18" s="103">
        <v>-187.10000000000002</v>
      </c>
    </row>
    <row r="19" spans="1:17" x14ac:dyDescent="0.4">
      <c r="A19" s="51" t="s">
        <v>11</v>
      </c>
      <c r="B19" s="44">
        <v>72</v>
      </c>
      <c r="C19" s="37">
        <f>IF(B$17=0,0,B19/B$17)</f>
        <v>0.58536585365853655</v>
      </c>
      <c r="E19" s="59" t="s">
        <v>75</v>
      </c>
      <c r="F19" s="56" t="s">
        <v>30</v>
      </c>
      <c r="G19" s="44">
        <v>1</v>
      </c>
      <c r="H19" s="129">
        <f>IF(B$17=0,0,G19/B$17)</f>
        <v>8.130081300813009E-3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72</v>
      </c>
      <c r="C20" s="37">
        <f>IF(B$3=0,0,B20/B$3)</f>
        <v>0.15189873417721519</v>
      </c>
      <c r="E20" s="59" t="s">
        <v>77</v>
      </c>
      <c r="F20" s="56" t="s">
        <v>32</v>
      </c>
      <c r="G20" s="44">
        <v>1</v>
      </c>
      <c r="H20" s="129">
        <f>IF(B$17=0,0,G20/B$17)</f>
        <v>8.130081300813009E-3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8.130081300813009E-3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-40.299999999999997</v>
      </c>
      <c r="P21" s="115">
        <v>11</v>
      </c>
      <c r="Q21" s="103">
        <v>-443.29999999999995</v>
      </c>
    </row>
    <row r="22" spans="1:17" x14ac:dyDescent="0.4">
      <c r="A22" s="51" t="s">
        <v>170</v>
      </c>
      <c r="B22" s="44">
        <v>32</v>
      </c>
      <c r="C22" s="131">
        <v>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7054.4715447154467</v>
      </c>
      <c r="C23" s="39">
        <v>867700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7352.4390243902435</v>
      </c>
      <c r="C24" s="137">
        <v>602900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6458.5365853658541</v>
      </c>
      <c r="C25" s="137">
        <v>264800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-7594.4444444444443</v>
      </c>
      <c r="C26" s="137">
        <v>-546800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4.2194092827004216E-3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</sheetData>
  <sortState xmlns:xlrd2="http://schemas.microsoft.com/office/spreadsheetml/2017/richdata2" ref="E2:I56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121</v>
      </c>
      <c r="C2" s="149"/>
      <c r="E2" s="58" t="s">
        <v>66</v>
      </c>
      <c r="F2" s="55" t="s">
        <v>22</v>
      </c>
      <c r="G2" s="43">
        <v>227</v>
      </c>
      <c r="H2" s="128">
        <f>IF(B$17=0,0,G2/B$17)</f>
        <v>0.67359050445103863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1340.8333333333333</v>
      </c>
      <c r="P2" s="114">
        <v>120</v>
      </c>
      <c r="Q2" s="98">
        <v>160900</v>
      </c>
    </row>
    <row r="3" spans="1:17" x14ac:dyDescent="0.4">
      <c r="A3" s="51" t="s">
        <v>8</v>
      </c>
      <c r="B3" s="150">
        <v>983</v>
      </c>
      <c r="C3" s="151"/>
      <c r="E3" s="59" t="s">
        <v>72</v>
      </c>
      <c r="F3" s="56" t="s">
        <v>27</v>
      </c>
      <c r="G3" s="44">
        <v>169</v>
      </c>
      <c r="H3" s="129">
        <f>IF(B$17=0,0,G3/B$17)</f>
        <v>0.50148367952522255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922.22222222222217</v>
      </c>
      <c r="P3" s="115">
        <v>117</v>
      </c>
      <c r="Q3" s="99">
        <v>107900</v>
      </c>
    </row>
    <row r="4" spans="1:17" x14ac:dyDescent="0.4">
      <c r="A4" s="51" t="s">
        <v>6</v>
      </c>
      <c r="B4" s="152">
        <v>1071.8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0.44213649851632048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986.72566371681421</v>
      </c>
      <c r="P4" s="115">
        <v>113</v>
      </c>
      <c r="Q4" s="99">
        <v>111500</v>
      </c>
    </row>
    <row r="5" spans="1:17" x14ac:dyDescent="0.4">
      <c r="A5" s="51" t="s">
        <v>7</v>
      </c>
      <c r="B5" s="154">
        <f>IF(B$2=0,0,B$4/B$2)</f>
        <v>8.8578512396694205</v>
      </c>
      <c r="C5" s="155"/>
      <c r="E5" s="59" t="s">
        <v>171</v>
      </c>
      <c r="F5" s="56" t="s">
        <v>172</v>
      </c>
      <c r="G5" s="44">
        <v>127</v>
      </c>
      <c r="H5" s="129">
        <f>IF(B$17=0,0,G5/B$17)</f>
        <v>0.37685459940652821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175.96153846153845</v>
      </c>
      <c r="P5" s="115">
        <v>104</v>
      </c>
      <c r="Q5" s="99">
        <v>18300</v>
      </c>
    </row>
    <row r="6" spans="1:17" x14ac:dyDescent="0.4">
      <c r="A6" s="51" t="s">
        <v>1</v>
      </c>
      <c r="B6" s="144">
        <f>IF(B$2=0,0,(B$7*1+B$8*2+B$9*3)/B$2)</f>
        <v>1.7851239669421488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0.29376854599406527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1991.7525773195875</v>
      </c>
      <c r="P6" s="115">
        <v>97</v>
      </c>
      <c r="Q6" s="99">
        <v>193200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83</v>
      </c>
      <c r="H7" s="129">
        <f>IF(B$17=0,0,G7/B$17)</f>
        <v>0.24629080118694363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0.30578512396694213</v>
      </c>
      <c r="E8" s="59" t="s">
        <v>89</v>
      </c>
      <c r="F8" s="56" t="s">
        <v>44</v>
      </c>
      <c r="G8" s="44">
        <v>53</v>
      </c>
      <c r="H8" s="129">
        <f>IF(B$17=0,0,G8/B$17)</f>
        <v>0.15727002967359049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0.23966942148760331</v>
      </c>
      <c r="E9" s="59" t="s">
        <v>69</v>
      </c>
      <c r="F9" s="56" t="s">
        <v>24</v>
      </c>
      <c r="G9" s="44">
        <v>52</v>
      </c>
      <c r="H9" s="129">
        <f>IF(B$17=0,0,G9/B$17)</f>
        <v>0.1543026706231454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4.1322314049586778E-2</v>
      </c>
      <c r="E10" s="59" t="s">
        <v>65</v>
      </c>
      <c r="F10" s="56" t="s">
        <v>21</v>
      </c>
      <c r="G10" s="44">
        <v>40</v>
      </c>
      <c r="H10" s="129">
        <f>IF(B$17=0,0,G10/B$17)</f>
        <v>0.11869436201780416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0.12396694214876033</v>
      </c>
      <c r="E11" s="59" t="s">
        <v>71</v>
      </c>
      <c r="F11" s="56" t="s">
        <v>26</v>
      </c>
      <c r="G11" s="44">
        <v>23</v>
      </c>
      <c r="H11" s="129">
        <f>IF(B$17=0,0,G11/B$17)</f>
        <v>6.8249258160237386E-2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0.10743801652892562</v>
      </c>
      <c r="E12" s="59" t="s">
        <v>86</v>
      </c>
      <c r="F12" s="56" t="s">
        <v>41</v>
      </c>
      <c r="G12" s="44">
        <v>19</v>
      </c>
      <c r="H12" s="129">
        <f>IF(B$17=0,0,G12/B$17)</f>
        <v>5.637982195845697E-2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266</v>
      </c>
      <c r="C13" s="42">
        <f>IF(B$3=0,0,B13/B$3)</f>
        <v>0.27060020345879959</v>
      </c>
      <c r="E13" s="59" t="s">
        <v>70</v>
      </c>
      <c r="F13" s="56" t="s">
        <v>25</v>
      </c>
      <c r="G13" s="44">
        <v>18</v>
      </c>
      <c r="H13" s="129">
        <f>IF(B$17=0,0,G13/B$17)</f>
        <v>5.3412462908011868E-2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220</v>
      </c>
      <c r="C14" s="37">
        <f>IF(B$3=0,0,B14/B$3)</f>
        <v>0.22380467955239064</v>
      </c>
      <c r="E14" s="59" t="s">
        <v>83</v>
      </c>
      <c r="F14" s="56" t="s">
        <v>38</v>
      </c>
      <c r="G14" s="44">
        <v>15</v>
      </c>
      <c r="H14" s="129">
        <f>IF(B$17=0,0,G14/B$17)</f>
        <v>4.4510385756676561E-2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159</v>
      </c>
      <c r="C15" s="35">
        <f>IF(B$13=0,0,B15/B$13)</f>
        <v>0.59774436090225569</v>
      </c>
      <c r="E15" s="59" t="s">
        <v>78</v>
      </c>
      <c r="F15" s="56" t="s">
        <v>33</v>
      </c>
      <c r="G15" s="44">
        <v>14</v>
      </c>
      <c r="H15" s="129">
        <f>IF(B$17=0,0,G15/B$17)</f>
        <v>4.1543026706231452E-2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107</v>
      </c>
      <c r="C16" s="35">
        <f>IF(B$14=0,0,B16/B$14)</f>
        <v>0.48636363636363639</v>
      </c>
      <c r="E16" s="59" t="s">
        <v>167</v>
      </c>
      <c r="F16" s="56" t="s">
        <v>168</v>
      </c>
      <c r="G16" s="44">
        <v>13</v>
      </c>
      <c r="H16" s="129">
        <f>IF(B$17=0,0,G16/B$17)</f>
        <v>3.857566765578635E-2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337</v>
      </c>
      <c r="C17" s="35">
        <f>IF(B$3=0,0,B17/B$3)</f>
        <v>0.34282807731434384</v>
      </c>
      <c r="E17" s="59" t="s">
        <v>77</v>
      </c>
      <c r="F17" s="56" t="s">
        <v>32</v>
      </c>
      <c r="G17" s="44">
        <v>3</v>
      </c>
      <c r="H17" s="129">
        <f>IF(B$17=0,0,G17/B$17)</f>
        <v>8.9020771513353119E-3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0.42433234421364985</v>
      </c>
      <c r="E18" s="59" t="s">
        <v>84</v>
      </c>
      <c r="F18" s="56" t="s">
        <v>39</v>
      </c>
      <c r="G18" s="44">
        <v>3</v>
      </c>
      <c r="H18" s="129">
        <f>IF(B$17=0,0,G18/B$17)</f>
        <v>8.9020771513353119E-3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194</v>
      </c>
      <c r="C19" s="37">
        <f>IF(B$17=0,0,B19/B$17)</f>
        <v>0.57566765578635015</v>
      </c>
      <c r="E19" s="59" t="s">
        <v>92</v>
      </c>
      <c r="F19" s="56" t="s">
        <v>47</v>
      </c>
      <c r="G19" s="44">
        <v>3</v>
      </c>
      <c r="H19" s="129">
        <f>IF(B$17=0,0,G19/B$17)</f>
        <v>8.9020771513353119E-3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0.12919633774160733</v>
      </c>
      <c r="E20" s="59" t="s">
        <v>75</v>
      </c>
      <c r="F20" s="56" t="s">
        <v>30</v>
      </c>
      <c r="G20" s="44">
        <v>2</v>
      </c>
      <c r="H20" s="129">
        <f>IF(B$17=0,0,G20/B$17)</f>
        <v>5.9347181008902079E-3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 t="shared" si="2"/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5.9347181008902079E-3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 t="shared" si="2"/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81</v>
      </c>
      <c r="F22" s="56" t="s">
        <v>36</v>
      </c>
      <c r="G22" s="44">
        <v>2</v>
      </c>
      <c r="H22" s="129">
        <f>IF(B$17=0,0,G22/B$17)</f>
        <v>5.9347181008902079E-3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8289.0207715133529</v>
      </c>
      <c r="C23" s="39">
        <v>2793400</v>
      </c>
      <c r="E23" s="59" t="s">
        <v>85</v>
      </c>
      <c r="F23" s="56" t="s">
        <v>40</v>
      </c>
      <c r="G23" s="44">
        <v>2</v>
      </c>
      <c r="H23" s="129">
        <f>IF(B$17=0,0,G23/B$17)</f>
        <v>5.9347181008902079E-3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8550.434782608696</v>
      </c>
      <c r="C24" s="137">
        <v>1966600</v>
      </c>
      <c r="E24" s="59" t="s">
        <v>88</v>
      </c>
      <c r="F24" s="56" t="s">
        <v>43</v>
      </c>
      <c r="G24" s="44">
        <v>2</v>
      </c>
      <c r="H24" s="129">
        <f>IF(B$17=0,0,G24/B$17)</f>
        <v>5.9347181008902079E-3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7727.1028037383176</v>
      </c>
      <c r="C25" s="137">
        <v>826800</v>
      </c>
      <c r="E25" s="59" t="s">
        <v>91</v>
      </c>
      <c r="F25" s="56" t="s">
        <v>46</v>
      </c>
      <c r="G25" s="44">
        <v>2</v>
      </c>
      <c r="H25" s="129">
        <f>IF(B$17=0,0,G25/B$17)</f>
        <v>5.9347181008902079E-3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2.967359050445104E-3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2.967359050445104E-3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2.967359050445104E-3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1.017293997965412E-3</v>
      </c>
      <c r="E29" s="59" t="s">
        <v>106</v>
      </c>
      <c r="F29" s="56" t="s">
        <v>113</v>
      </c>
      <c r="G29" s="44">
        <v>1</v>
      </c>
      <c r="H29" s="129">
        <f>IF(B$17=0,0,G29/B$17)</f>
        <v>2.967359050445104E-3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</sheetData>
  <sortState xmlns:xlrd2="http://schemas.microsoft.com/office/spreadsheetml/2017/richdata2" ref="E2:I12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108</v>
      </c>
      <c r="C2" s="149"/>
      <c r="E2" s="58" t="s">
        <v>66</v>
      </c>
      <c r="F2" s="55" t="s">
        <v>22</v>
      </c>
      <c r="G2" s="43">
        <v>249</v>
      </c>
      <c r="H2" s="128">
        <f>IF(B$17=0,0,G2/B$17)</f>
        <v>0.90875912408759119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-1852.3364485981308</v>
      </c>
      <c r="P2" s="114">
        <v>107</v>
      </c>
      <c r="Q2" s="98">
        <v>-198200</v>
      </c>
    </row>
    <row r="3" spans="1:17" x14ac:dyDescent="0.4">
      <c r="A3" s="51" t="s">
        <v>8</v>
      </c>
      <c r="B3" s="150">
        <v>908</v>
      </c>
      <c r="C3" s="151"/>
      <c r="E3" s="59" t="s">
        <v>72</v>
      </c>
      <c r="F3" s="56" t="s">
        <v>27</v>
      </c>
      <c r="G3" s="44">
        <v>159</v>
      </c>
      <c r="H3" s="129">
        <f>IF(B$17=0,0,G3/B$17)</f>
        <v>0.58029197080291972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1117.1428571428571</v>
      </c>
      <c r="P3" s="115">
        <v>105</v>
      </c>
      <c r="Q3" s="99">
        <v>117300</v>
      </c>
    </row>
    <row r="4" spans="1:17" x14ac:dyDescent="0.4">
      <c r="A4" s="51" t="s">
        <v>6</v>
      </c>
      <c r="B4" s="152">
        <v>-28.200000000000212</v>
      </c>
      <c r="C4" s="153"/>
      <c r="E4" s="59" t="s">
        <v>171</v>
      </c>
      <c r="F4" s="56" t="s">
        <v>172</v>
      </c>
      <c r="G4" s="44">
        <v>115</v>
      </c>
      <c r="H4" s="129">
        <f>IF(B$17=0,0,G4/B$17)</f>
        <v>0.41970802919708028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63.636363636363633</v>
      </c>
      <c r="P4" s="115">
        <v>99</v>
      </c>
      <c r="Q4" s="99">
        <v>6300</v>
      </c>
    </row>
    <row r="5" spans="1:17" x14ac:dyDescent="0.4">
      <c r="A5" s="51" t="s">
        <v>7</v>
      </c>
      <c r="B5" s="154">
        <f>IF(B$2=0,0,B$4/B$2)</f>
        <v>-0.26111111111111307</v>
      </c>
      <c r="C5" s="155"/>
      <c r="E5" s="59" t="s">
        <v>64</v>
      </c>
      <c r="F5" s="56" t="s">
        <v>20</v>
      </c>
      <c r="G5" s="44">
        <v>107</v>
      </c>
      <c r="H5" s="129">
        <f>IF(B$17=0,0,G5/B$17)</f>
        <v>0.39051094890510951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606.45161290322585</v>
      </c>
      <c r="P5" s="115">
        <v>93</v>
      </c>
      <c r="Q5" s="99">
        <v>56400</v>
      </c>
    </row>
    <row r="6" spans="1:17" x14ac:dyDescent="0.4">
      <c r="A6" s="51" t="s">
        <v>1</v>
      </c>
      <c r="B6" s="144">
        <f>IF(B$2=0,0,(B$7*1+B$8*2+B$9*3)/B$2)</f>
        <v>1.9722222222222223</v>
      </c>
      <c r="C6" s="145"/>
      <c r="E6" s="59" t="s">
        <v>68</v>
      </c>
      <c r="F6" s="56" t="s">
        <v>12</v>
      </c>
      <c r="G6" s="44">
        <v>75</v>
      </c>
      <c r="H6" s="129">
        <f>IF(B$17=0,0,G6/B$17)</f>
        <v>0.27372262773722628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-922.35294117647061</v>
      </c>
      <c r="P6" s="115">
        <v>85</v>
      </c>
      <c r="Q6" s="99">
        <v>-78400</v>
      </c>
    </row>
    <row r="7" spans="1:17" x14ac:dyDescent="0.4">
      <c r="A7" s="51" t="s">
        <v>2</v>
      </c>
      <c r="B7" s="44">
        <v>37</v>
      </c>
      <c r="C7" s="37">
        <f t="shared" ref="C7:C12" si="1">IF(B$2=0,0,B7/B$2)</f>
        <v>0.34259259259259262</v>
      </c>
      <c r="E7" s="59" t="s">
        <v>67</v>
      </c>
      <c r="F7" s="56" t="s">
        <v>23</v>
      </c>
      <c r="G7" s="44">
        <v>57</v>
      </c>
      <c r="H7" s="129">
        <f>IF(B$17=0,0,G7/B$17)</f>
        <v>0.20802919708029197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1460.5633802816901</v>
      </c>
      <c r="P7" s="116">
        <v>71</v>
      </c>
      <c r="Q7" s="100">
        <v>103700</v>
      </c>
    </row>
    <row r="8" spans="1:17" x14ac:dyDescent="0.4">
      <c r="A8" s="51" t="s">
        <v>3</v>
      </c>
      <c r="B8" s="44">
        <v>37</v>
      </c>
      <c r="C8" s="37">
        <f t="shared" si="1"/>
        <v>0.34259259259259262</v>
      </c>
      <c r="E8" s="59" t="s">
        <v>89</v>
      </c>
      <c r="F8" s="56" t="s">
        <v>44</v>
      </c>
      <c r="G8" s="44">
        <v>32</v>
      </c>
      <c r="H8" s="129">
        <f>IF(B$17=0,0,G8/B$17)</f>
        <v>0.11678832116788321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0.31481481481481483</v>
      </c>
      <c r="E9" s="59" t="s">
        <v>69</v>
      </c>
      <c r="F9" s="56" t="s">
        <v>24</v>
      </c>
      <c r="G9" s="44">
        <v>31</v>
      </c>
      <c r="H9" s="129">
        <f>IF(B$17=0,0,G9/B$17)</f>
        <v>0.11313868613138686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0.1388888888888889</v>
      </c>
      <c r="E10" s="59" t="s">
        <v>65</v>
      </c>
      <c r="F10" s="56" t="s">
        <v>21</v>
      </c>
      <c r="G10" s="44">
        <v>26</v>
      </c>
      <c r="H10" s="129">
        <f>IF(B$17=0,0,G10/B$17)</f>
        <v>9.4890510948905105E-2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1.3407407407407417</v>
      </c>
      <c r="P10" s="114">
        <v>27</v>
      </c>
      <c r="Q10" s="102">
        <v>36.200000000000024</v>
      </c>
    </row>
    <row r="11" spans="1:17" x14ac:dyDescent="0.4">
      <c r="A11" s="52" t="s">
        <v>138</v>
      </c>
      <c r="B11" s="45">
        <v>10</v>
      </c>
      <c r="C11" s="38">
        <f t="shared" si="1"/>
        <v>9.2592592592592587E-2</v>
      </c>
      <c r="E11" s="59" t="s">
        <v>70</v>
      </c>
      <c r="F11" s="56" t="s">
        <v>25</v>
      </c>
      <c r="G11" s="44">
        <v>24</v>
      </c>
      <c r="H11" s="129">
        <f>IF(B$17=0,0,G11/B$17)</f>
        <v>8.7591240875912413E-2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4.5848484848484858</v>
      </c>
      <c r="P11" s="115">
        <v>33</v>
      </c>
      <c r="Q11" s="103">
        <v>151.30000000000004</v>
      </c>
    </row>
    <row r="12" spans="1:17" x14ac:dyDescent="0.4">
      <c r="A12" s="53" t="s">
        <v>158</v>
      </c>
      <c r="B12" s="46">
        <v>17</v>
      </c>
      <c r="C12" s="40">
        <f t="shared" si="1"/>
        <v>0.15740740740740741</v>
      </c>
      <c r="E12" s="59" t="s">
        <v>71</v>
      </c>
      <c r="F12" s="56" t="s">
        <v>26</v>
      </c>
      <c r="G12" s="44">
        <v>23</v>
      </c>
      <c r="H12" s="129">
        <f>IF(B$17=0,0,G12/B$17)</f>
        <v>8.3941605839416053E-2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-4.4937500000000012</v>
      </c>
      <c r="P12" s="116">
        <v>48</v>
      </c>
      <c r="Q12" s="104">
        <v>-215.70000000000005</v>
      </c>
    </row>
    <row r="13" spans="1:17" x14ac:dyDescent="0.4">
      <c r="A13" s="54" t="s">
        <v>121</v>
      </c>
      <c r="B13" s="47">
        <v>209</v>
      </c>
      <c r="C13" s="42">
        <f>IF(B$3=0,0,B13/B$3)</f>
        <v>0.23017621145374451</v>
      </c>
      <c r="E13" s="59" t="s">
        <v>86</v>
      </c>
      <c r="F13" s="56" t="s">
        <v>41</v>
      </c>
      <c r="G13" s="44">
        <v>19</v>
      </c>
      <c r="H13" s="129">
        <f>IF(B$17=0,0,G13/B$17)</f>
        <v>6.9343065693430656E-2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278</v>
      </c>
      <c r="C14" s="37">
        <f>IF(B$3=0,0,B14/B$3)</f>
        <v>0.30616740088105726</v>
      </c>
      <c r="E14" s="59" t="s">
        <v>83</v>
      </c>
      <c r="F14" s="56" t="s">
        <v>38</v>
      </c>
      <c r="G14" s="44">
        <v>16</v>
      </c>
      <c r="H14" s="129">
        <f>IF(B$17=0,0,G14/B$17)</f>
        <v>5.8394160583941604E-2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105</v>
      </c>
      <c r="C15" s="35">
        <f>IF(B$13=0,0,B15/B$13)</f>
        <v>0.50239234449760761</v>
      </c>
      <c r="E15" s="59" t="s">
        <v>78</v>
      </c>
      <c r="F15" s="56" t="s">
        <v>33</v>
      </c>
      <c r="G15" s="44">
        <v>9</v>
      </c>
      <c r="H15" s="129">
        <f>IF(B$17=0,0,G15/B$17)</f>
        <v>3.2846715328467155E-2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103</v>
      </c>
      <c r="C16" s="35">
        <f>IF(B$14=0,0,B16/B$14)</f>
        <v>0.37050359712230213</v>
      </c>
      <c r="E16" s="59" t="s">
        <v>91</v>
      </c>
      <c r="F16" s="56" t="s">
        <v>46</v>
      </c>
      <c r="G16" s="44">
        <v>8</v>
      </c>
      <c r="H16" s="129">
        <f>IF(B$17=0,0,G16/B$17)</f>
        <v>2.9197080291970802E-2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274</v>
      </c>
      <c r="C17" s="35">
        <f>IF(B$3=0,0,B17/B$3)</f>
        <v>0.30176211453744495</v>
      </c>
      <c r="E17" s="59" t="s">
        <v>81</v>
      </c>
      <c r="F17" s="56" t="s">
        <v>36</v>
      </c>
      <c r="G17" s="44">
        <v>6</v>
      </c>
      <c r="H17" s="129">
        <f>IF(B$17=0,0,G17/B$17)</f>
        <v>2.1897810218978103E-2</v>
      </c>
      <c r="I17" s="90">
        <v>4</v>
      </c>
      <c r="K17" s="36">
        <v>15</v>
      </c>
      <c r="L17" s="95">
        <v>-144.30000000000001</v>
      </c>
      <c r="N17" s="111" t="s">
        <v>181</v>
      </c>
      <c r="O17" s="121">
        <f t="shared" si="2"/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111</v>
      </c>
      <c r="C18" s="37">
        <f>IF(B$17=0,0,B18/B$17)</f>
        <v>0.4051094890510949</v>
      </c>
      <c r="E18" s="59" t="s">
        <v>79</v>
      </c>
      <c r="F18" s="56" t="s">
        <v>34</v>
      </c>
      <c r="G18" s="44">
        <v>5</v>
      </c>
      <c r="H18" s="129">
        <f>IF(B$17=0,0,G18/B$17)</f>
        <v>1.824817518248175E-2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 t="shared" si="2"/>
        <v>13.151515151515149</v>
      </c>
      <c r="P18" s="115">
        <v>33</v>
      </c>
      <c r="Q18" s="103">
        <v>433.99999999999989</v>
      </c>
    </row>
    <row r="19" spans="1:17" x14ac:dyDescent="0.4">
      <c r="A19" s="51" t="s">
        <v>11</v>
      </c>
      <c r="B19" s="44">
        <v>163</v>
      </c>
      <c r="C19" s="37">
        <f>IF(B$17=0,0,B19/B$17)</f>
        <v>0.5948905109489051</v>
      </c>
      <c r="E19" s="59" t="s">
        <v>167</v>
      </c>
      <c r="F19" s="56" t="s">
        <v>168</v>
      </c>
      <c r="G19" s="44">
        <v>3</v>
      </c>
      <c r="H19" s="129">
        <f>IF(B$17=0,0,G19/B$17)</f>
        <v>1.0948905109489052E-2</v>
      </c>
      <c r="I19" s="90">
        <v>7</v>
      </c>
      <c r="K19" s="36">
        <v>17</v>
      </c>
      <c r="L19" s="95">
        <v>-179.70000000000002</v>
      </c>
      <c r="N19" s="111" t="s">
        <v>166</v>
      </c>
      <c r="O19" s="121">
        <f t="shared" si="2"/>
        <v>7.7958333333333316</v>
      </c>
      <c r="P19" s="115">
        <v>24</v>
      </c>
      <c r="Q19" s="103">
        <v>187.09999999999997</v>
      </c>
    </row>
    <row r="20" spans="1:17" x14ac:dyDescent="0.4">
      <c r="A20" s="51" t="s">
        <v>13</v>
      </c>
      <c r="B20" s="44">
        <v>175</v>
      </c>
      <c r="C20" s="37">
        <f>IF(B$3=0,0,B20/B$3)</f>
        <v>0.19273127753303965</v>
      </c>
      <c r="E20" s="59" t="s">
        <v>74</v>
      </c>
      <c r="F20" s="56" t="s">
        <v>29</v>
      </c>
      <c r="G20" s="44">
        <v>2</v>
      </c>
      <c r="H20" s="129">
        <f>IF(B$17=0,0,G20/B$17)</f>
        <v>7.2992700729927005E-3</v>
      </c>
      <c r="I20" s="90">
        <v>3</v>
      </c>
      <c r="K20" s="36">
        <v>18</v>
      </c>
      <c r="L20" s="95">
        <v>-112.90000000000002</v>
      </c>
      <c r="N20" s="111" t="s">
        <v>177</v>
      </c>
      <c r="O20" s="121">
        <f t="shared" si="2"/>
        <v>0.31034482758621329</v>
      </c>
      <c r="P20" s="115">
        <v>29</v>
      </c>
      <c r="Q20" s="103">
        <v>9.0000000000001847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2</v>
      </c>
      <c r="H21" s="129">
        <f>IF(B$17=0,0,G21/B$17)</f>
        <v>7.2992700729927005E-3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6</v>
      </c>
      <c r="E22" s="59" t="s">
        <v>73</v>
      </c>
      <c r="F22" s="56" t="s">
        <v>28</v>
      </c>
      <c r="G22" s="44">
        <v>1</v>
      </c>
      <c r="H22" s="129">
        <f>IF(B$17=0,0,G22/B$17)</f>
        <v>3.6496350364963502E-3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8434.6715328467162</v>
      </c>
      <c r="C23" s="39">
        <v>2311100</v>
      </c>
      <c r="E23" s="59" t="s">
        <v>77</v>
      </c>
      <c r="F23" s="56" t="s">
        <v>32</v>
      </c>
      <c r="G23" s="44">
        <v>1</v>
      </c>
      <c r="H23" s="129">
        <f>IF(B$17=0,0,G23/B$17)</f>
        <v>3.6496350364963502E-3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8860.8187134502932</v>
      </c>
      <c r="C24" s="137">
        <v>1515200</v>
      </c>
      <c r="E24" s="59" t="s">
        <v>84</v>
      </c>
      <c r="F24" s="56" t="s">
        <v>39</v>
      </c>
      <c r="G24" s="44">
        <v>1</v>
      </c>
      <c r="H24" s="129">
        <f>IF(B$17=0,0,G24/B$17)</f>
        <v>3.6496350364963502E-3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7727.1844660194174</v>
      </c>
      <c r="C25" s="137">
        <v>795900</v>
      </c>
      <c r="E25" s="59" t="s">
        <v>92</v>
      </c>
      <c r="F25" s="56" t="s">
        <v>47</v>
      </c>
      <c r="G25" s="44">
        <v>1</v>
      </c>
      <c r="H25" s="129">
        <f>IF(B$17=0,0,G25/B$17)</f>
        <v>3.6496350364963502E-3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-8208.5714285714294</v>
      </c>
      <c r="C26" s="137">
        <v>-1436500</v>
      </c>
      <c r="E26" s="59" t="s">
        <v>95</v>
      </c>
      <c r="F26" s="56" t="s">
        <v>50</v>
      </c>
      <c r="G26" s="44">
        <v>1</v>
      </c>
      <c r="H26" s="129">
        <f>IF(B$17=0,0,G26/B$17)</f>
        <v>3.6496350364963502E-3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3.3039647577092512E-3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</sheetData>
  <sortState xmlns:xlrd2="http://schemas.microsoft.com/office/spreadsheetml/2017/richdata2" ref="E2:I111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67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0.78260869565217395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68.181818181818187</v>
      </c>
      <c r="P2" s="114">
        <v>66</v>
      </c>
      <c r="Q2" s="98">
        <v>4500</v>
      </c>
    </row>
    <row r="3" spans="1:17" x14ac:dyDescent="0.4">
      <c r="A3" s="51" t="s">
        <v>8</v>
      </c>
      <c r="B3" s="150">
        <v>573</v>
      </c>
      <c r="C3" s="151"/>
      <c r="E3" s="59" t="s">
        <v>64</v>
      </c>
      <c r="F3" s="56" t="s">
        <v>20</v>
      </c>
      <c r="G3" s="44">
        <v>94</v>
      </c>
      <c r="H3" s="129">
        <f>IF(B$17=0,0,G3/B$17)</f>
        <v>0.58385093167701863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-834.84848484848487</v>
      </c>
      <c r="P3" s="115">
        <v>66</v>
      </c>
      <c r="Q3" s="99">
        <v>-55100</v>
      </c>
    </row>
    <row r="4" spans="1:17" x14ac:dyDescent="0.4">
      <c r="A4" s="51" t="s">
        <v>6</v>
      </c>
      <c r="B4" s="152">
        <v>-477.59999999999997</v>
      </c>
      <c r="C4" s="153"/>
      <c r="E4" s="59" t="s">
        <v>72</v>
      </c>
      <c r="F4" s="56" t="s">
        <v>27</v>
      </c>
      <c r="G4" s="44">
        <v>81</v>
      </c>
      <c r="H4" s="129">
        <f>IF(B$17=0,0,G4/B$17)</f>
        <v>0.50310559006211175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175.80645161290323</v>
      </c>
      <c r="P4" s="115">
        <v>62</v>
      </c>
      <c r="Q4" s="99">
        <v>10900</v>
      </c>
    </row>
    <row r="5" spans="1:17" x14ac:dyDescent="0.4">
      <c r="A5" s="51" t="s">
        <v>7</v>
      </c>
      <c r="B5" s="154">
        <f>IF(B$2=0,0,B$4/B$2)</f>
        <v>-7.1283582089552233</v>
      </c>
      <c r="C5" s="155"/>
      <c r="E5" s="59" t="s">
        <v>171</v>
      </c>
      <c r="F5" s="56" t="s">
        <v>172</v>
      </c>
      <c r="G5" s="44">
        <v>69</v>
      </c>
      <c r="H5" s="129">
        <f>IF(B$17=0,0,G5/B$17)</f>
        <v>0.42857142857142855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-1378.688524590164</v>
      </c>
      <c r="P5" s="115">
        <v>61</v>
      </c>
      <c r="Q5" s="99">
        <v>-84100</v>
      </c>
    </row>
    <row r="6" spans="1:17" x14ac:dyDescent="0.4">
      <c r="A6" s="51" t="s">
        <v>1</v>
      </c>
      <c r="B6" s="144">
        <f>IF(B$2=0,0,(B$7*1+B$8*2+B$9*3)/B$2)</f>
        <v>2.1791044776119404</v>
      </c>
      <c r="C6" s="145"/>
      <c r="E6" s="59" t="s">
        <v>68</v>
      </c>
      <c r="F6" s="56" t="s">
        <v>12</v>
      </c>
      <c r="G6" s="44">
        <v>56</v>
      </c>
      <c r="H6" s="129">
        <f>IF(B$17=0,0,G6/B$17)</f>
        <v>0.34782608695652173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-3265.5172413793102</v>
      </c>
      <c r="P6" s="115">
        <v>58</v>
      </c>
      <c r="Q6" s="99">
        <v>-189400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0.22388059701492538</v>
      </c>
      <c r="E7" s="59" t="s">
        <v>67</v>
      </c>
      <c r="F7" s="56" t="s">
        <v>23</v>
      </c>
      <c r="G7" s="44">
        <v>49</v>
      </c>
      <c r="H7" s="129">
        <f>IF(B$17=0,0,G7/B$17)</f>
        <v>0.30434782608695654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-1190</v>
      </c>
      <c r="P7" s="116">
        <v>50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0.37313432835820898</v>
      </c>
      <c r="E8" s="59" t="s">
        <v>70</v>
      </c>
      <c r="F8" s="56" t="s">
        <v>25</v>
      </c>
      <c r="G8" s="44">
        <v>25</v>
      </c>
      <c r="H8" s="129">
        <f>IF(B$17=0,0,G8/B$17)</f>
        <v>0.15527950310559005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0.40298507462686567</v>
      </c>
      <c r="E9" s="59" t="s">
        <v>69</v>
      </c>
      <c r="F9" s="56" t="s">
        <v>24</v>
      </c>
      <c r="G9" s="44">
        <v>23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8.9552238805970144E-2</v>
      </c>
      <c r="E10" s="59" t="s">
        <v>65</v>
      </c>
      <c r="F10" s="56" t="s">
        <v>21</v>
      </c>
      <c r="G10" s="44">
        <v>18</v>
      </c>
      <c r="H10" s="129">
        <f>IF(B$17=0,0,G10/B$17)</f>
        <v>0.11180124223602485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2.9850746268656716E-2</v>
      </c>
      <c r="E11" s="59" t="s">
        <v>89</v>
      </c>
      <c r="F11" s="56" t="s">
        <v>44</v>
      </c>
      <c r="G11" s="44">
        <v>17</v>
      </c>
      <c r="H11" s="129">
        <f>IF(B$17=0,0,G11/B$17)</f>
        <v>0.10559006211180125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7.4626865671641784E-2</v>
      </c>
      <c r="E12" s="59" t="s">
        <v>83</v>
      </c>
      <c r="F12" s="56" t="s">
        <v>38</v>
      </c>
      <c r="G12" s="44">
        <v>10</v>
      </c>
      <c r="H12" s="129">
        <f>IF(B$17=0,0,G12/B$17)</f>
        <v>6.2111801242236024E-2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-11.02</v>
      </c>
      <c r="P12" s="116">
        <v>20</v>
      </c>
      <c r="Q12" s="104">
        <v>-220.39999999999998</v>
      </c>
    </row>
    <row r="13" spans="1:17" x14ac:dyDescent="0.4">
      <c r="A13" s="54" t="s">
        <v>121</v>
      </c>
      <c r="B13" s="47">
        <v>165</v>
      </c>
      <c r="C13" s="42">
        <f>IF(B$3=0,0,B13/B$3)</f>
        <v>0.2879581151832461</v>
      </c>
      <c r="E13" s="59" t="s">
        <v>71</v>
      </c>
      <c r="F13" s="56" t="s">
        <v>26</v>
      </c>
      <c r="G13" s="44">
        <v>7</v>
      </c>
      <c r="H13" s="129">
        <f>IF(B$17=0,0,G13/B$17)</f>
        <v>4.3478260869565216E-2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0.19022687609075042</v>
      </c>
      <c r="E14" s="59" t="s">
        <v>78</v>
      </c>
      <c r="F14" s="56" t="s">
        <v>33</v>
      </c>
      <c r="G14" s="44">
        <v>6</v>
      </c>
      <c r="H14" s="129">
        <f>IF(B$17=0,0,G14/B$17)</f>
        <v>3.7267080745341616E-2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0.5757575757575758</v>
      </c>
      <c r="E15" s="59" t="s">
        <v>86</v>
      </c>
      <c r="F15" s="56" t="s">
        <v>41</v>
      </c>
      <c r="G15" s="44">
        <v>4</v>
      </c>
      <c r="H15" s="129">
        <f>IF(B$17=0,0,G15/B$17)</f>
        <v>2.4844720496894408E-2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44</v>
      </c>
      <c r="C16" s="35">
        <f>IF(B$14=0,0,B16/B$14)</f>
        <v>0.40366972477064222</v>
      </c>
      <c r="E16" s="59" t="s">
        <v>81</v>
      </c>
      <c r="F16" s="56" t="s">
        <v>36</v>
      </c>
      <c r="G16" s="44">
        <v>3</v>
      </c>
      <c r="H16" s="129">
        <f>IF(B$17=0,0,G16/B$17)</f>
        <v>1.8633540372670808E-2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161</v>
      </c>
      <c r="C17" s="35">
        <f>IF(B$3=0,0,B17/B$3)</f>
        <v>0.28097731239092494</v>
      </c>
      <c r="E17" s="59" t="s">
        <v>167</v>
      </c>
      <c r="F17" s="56" t="s">
        <v>168</v>
      </c>
      <c r="G17" s="44">
        <v>3</v>
      </c>
      <c r="H17" s="129">
        <f>IF(B$17=0,0,G17/B$17)</f>
        <v>1.8633540372670808E-2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 t="shared" si="2"/>
        <v>0.14000000000000129</v>
      </c>
      <c r="P17" s="115">
        <v>10</v>
      </c>
      <c r="Q17" s="103">
        <v>1.4000000000000128</v>
      </c>
    </row>
    <row r="18" spans="1:17" x14ac:dyDescent="0.4">
      <c r="A18" s="51" t="s">
        <v>12</v>
      </c>
      <c r="B18" s="44">
        <v>74</v>
      </c>
      <c r="C18" s="37">
        <f>IF(B$17=0,0,B18/B$17)</f>
        <v>0.45962732919254656</v>
      </c>
      <c r="E18" s="59" t="s">
        <v>75</v>
      </c>
      <c r="F18" s="56" t="s">
        <v>30</v>
      </c>
      <c r="G18" s="44">
        <v>2</v>
      </c>
      <c r="H18" s="129">
        <f>IF(B$17=0,0,G18/B$17)</f>
        <v>1.2422360248447204E-2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 t="shared" si="2"/>
        <v>-9.2727272727272716</v>
      </c>
      <c r="P18" s="115">
        <v>11</v>
      </c>
      <c r="Q18" s="103">
        <v>-101.99999999999999</v>
      </c>
    </row>
    <row r="19" spans="1:17" x14ac:dyDescent="0.4">
      <c r="A19" s="51" t="s">
        <v>11</v>
      </c>
      <c r="B19" s="44">
        <v>87</v>
      </c>
      <c r="C19" s="37">
        <f>IF(B$17=0,0,B19/B$17)</f>
        <v>0.54037267080745344</v>
      </c>
      <c r="E19" s="59" t="s">
        <v>79</v>
      </c>
      <c r="F19" s="56" t="s">
        <v>34</v>
      </c>
      <c r="G19" s="44">
        <v>2</v>
      </c>
      <c r="H19" s="129">
        <f>IF(B$17=0,0,G19/B$17)</f>
        <v>1.2422360248447204E-2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117</v>
      </c>
      <c r="C20" s="37">
        <f>IF(B$3=0,0,B20/B$3)</f>
        <v>0.20418848167539266</v>
      </c>
      <c r="E20" s="59" t="s">
        <v>91</v>
      </c>
      <c r="F20" s="56" t="s">
        <v>46</v>
      </c>
      <c r="G20" s="44">
        <v>1</v>
      </c>
      <c r="H20" s="129">
        <f>IF(B$17=0,0,G20/B$17)</f>
        <v>6.2111801242236021E-3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2"/>
        <v>-13.151515151515149</v>
      </c>
      <c r="P20" s="115">
        <v>33</v>
      </c>
      <c r="Q20" s="103">
        <v>-433.99999999999989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2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8029.1925465838513</v>
      </c>
      <c r="C23" s="39">
        <v>1292700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8468.3760683760684</v>
      </c>
      <c r="C24" s="137">
        <v>990800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6861.363636363636</v>
      </c>
      <c r="C25" s="137">
        <v>301900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-7662.3931623931621</v>
      </c>
      <c r="C26" s="137">
        <v>-896500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5.235602094240838E-3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</sheetData>
  <sortState xmlns:xlrd2="http://schemas.microsoft.com/office/spreadsheetml/2017/richdata2" ref="E2:I7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72</v>
      </c>
      <c r="C2" s="149"/>
      <c r="E2" s="58" t="s">
        <v>66</v>
      </c>
      <c r="F2" s="55" t="s">
        <v>22</v>
      </c>
      <c r="G2" s="43">
        <v>144</v>
      </c>
      <c r="H2" s="128">
        <f>IF(B$17=0,0,G2/B$17)</f>
        <v>0.84705882352941175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1297.2222222222222</v>
      </c>
      <c r="P2" s="114">
        <v>72</v>
      </c>
      <c r="Q2" s="98">
        <v>93400</v>
      </c>
    </row>
    <row r="3" spans="1:17" x14ac:dyDescent="0.4">
      <c r="A3" s="51" t="s">
        <v>8</v>
      </c>
      <c r="B3" s="150">
        <v>584</v>
      </c>
      <c r="C3" s="151"/>
      <c r="E3" s="59" t="s">
        <v>72</v>
      </c>
      <c r="F3" s="56" t="s">
        <v>27</v>
      </c>
      <c r="G3" s="44">
        <v>96</v>
      </c>
      <c r="H3" s="129">
        <f>IF(B$17=0,0,G3/B$17)</f>
        <v>0.56470588235294117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-1857.1428571428571</v>
      </c>
      <c r="P3" s="115">
        <v>70</v>
      </c>
      <c r="Q3" s="99">
        <v>-130000</v>
      </c>
    </row>
    <row r="4" spans="1:17" x14ac:dyDescent="0.4">
      <c r="A4" s="51" t="s">
        <v>6</v>
      </c>
      <c r="B4" s="152">
        <v>466.40000000000009</v>
      </c>
      <c r="C4" s="153"/>
      <c r="E4" s="59" t="s">
        <v>64</v>
      </c>
      <c r="F4" s="56" t="s">
        <v>20</v>
      </c>
      <c r="G4" s="44">
        <v>92</v>
      </c>
      <c r="H4" s="129">
        <f>IF(B$17=0,0,G4/B$17)</f>
        <v>0.54117647058823526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1059.090909090909</v>
      </c>
      <c r="P4" s="115">
        <v>66</v>
      </c>
      <c r="Q4" s="99">
        <v>69900</v>
      </c>
    </row>
    <row r="5" spans="1:17" x14ac:dyDescent="0.4">
      <c r="A5" s="51" t="s">
        <v>7</v>
      </c>
      <c r="B5" s="154">
        <f>IF(B$2=0,0,B$4/B$2)</f>
        <v>6.4777777777777787</v>
      </c>
      <c r="C5" s="155"/>
      <c r="E5" s="59" t="s">
        <v>67</v>
      </c>
      <c r="F5" s="56" t="s">
        <v>23</v>
      </c>
      <c r="G5" s="44">
        <v>72</v>
      </c>
      <c r="H5" s="129">
        <f>IF(B$17=0,0,G5/B$17)</f>
        <v>0.42352941176470588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3772.5806451612902</v>
      </c>
      <c r="P5" s="115">
        <v>62</v>
      </c>
      <c r="Q5" s="99">
        <v>233900</v>
      </c>
    </row>
    <row r="6" spans="1:17" x14ac:dyDescent="0.4">
      <c r="A6" s="51" t="s">
        <v>1</v>
      </c>
      <c r="B6" s="144">
        <f>IF(B$2=0,0,(B$7*1+B$8*2+B$9*3)/B$2)</f>
        <v>1.875</v>
      </c>
      <c r="C6" s="145"/>
      <c r="E6" s="59" t="s">
        <v>171</v>
      </c>
      <c r="F6" s="56" t="s">
        <v>172</v>
      </c>
      <c r="G6" s="44">
        <v>64</v>
      </c>
      <c r="H6" s="129">
        <f>IF(B$17=0,0,G6/B$17)</f>
        <v>0.37647058823529411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741.07142857142856</v>
      </c>
      <c r="P6" s="115">
        <v>56</v>
      </c>
      <c r="Q6" s="99">
        <v>41500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0.41666666666666669</v>
      </c>
      <c r="E7" s="59" t="s">
        <v>68</v>
      </c>
      <c r="F7" s="56" t="s">
        <v>12</v>
      </c>
      <c r="G7" s="44">
        <v>62</v>
      </c>
      <c r="H7" s="129">
        <f>IF(B$17=0,0,G7/B$17)</f>
        <v>0.36470588235294116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-490.47619047619048</v>
      </c>
      <c r="P7" s="116">
        <v>42</v>
      </c>
      <c r="Q7" s="100">
        <v>-20600</v>
      </c>
    </row>
    <row r="8" spans="1:17" x14ac:dyDescent="0.4">
      <c r="A8" s="51" t="s">
        <v>3</v>
      </c>
      <c r="B8" s="44">
        <v>21</v>
      </c>
      <c r="C8" s="37">
        <f t="shared" si="1"/>
        <v>0.29166666666666669</v>
      </c>
      <c r="E8" s="59" t="s">
        <v>89</v>
      </c>
      <c r="F8" s="56" t="s">
        <v>44</v>
      </c>
      <c r="G8" s="44">
        <v>38</v>
      </c>
      <c r="H8" s="129">
        <f>IF(B$17=0,0,G8/B$17)</f>
        <v>0.22352941176470589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21</v>
      </c>
      <c r="C9" s="38">
        <f t="shared" si="1"/>
        <v>0.29166666666666669</v>
      </c>
      <c r="E9" s="59" t="s">
        <v>69</v>
      </c>
      <c r="F9" s="56" t="s">
        <v>24</v>
      </c>
      <c r="G9" s="44">
        <v>34</v>
      </c>
      <c r="H9" s="129">
        <f>IF(B$17=0,0,G9/B$17)</f>
        <v>0.2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8.3333333333333329E-2</v>
      </c>
      <c r="E10" s="59" t="s">
        <v>65</v>
      </c>
      <c r="F10" s="56" t="s">
        <v>21</v>
      </c>
      <c r="G10" s="44">
        <v>24</v>
      </c>
      <c r="H10" s="129">
        <f>IF(B$17=0,0,G10/B$17)</f>
        <v>0.14117647058823529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7.5952380952380949</v>
      </c>
      <c r="P10" s="114">
        <v>21</v>
      </c>
      <c r="Q10" s="102">
        <v>159.5</v>
      </c>
    </row>
    <row r="11" spans="1:17" x14ac:dyDescent="0.4">
      <c r="A11" s="52" t="s">
        <v>138</v>
      </c>
      <c r="B11" s="45">
        <v>14</v>
      </c>
      <c r="C11" s="38">
        <f t="shared" si="1"/>
        <v>0.19444444444444445</v>
      </c>
      <c r="E11" s="59" t="s">
        <v>70</v>
      </c>
      <c r="F11" s="56" t="s">
        <v>25</v>
      </c>
      <c r="G11" s="44">
        <v>18</v>
      </c>
      <c r="H11" s="129">
        <f>IF(B$17=0,0,G11/B$17)</f>
        <v>0.10588235294117647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7.8468749999999989</v>
      </c>
      <c r="P11" s="115">
        <v>32</v>
      </c>
      <c r="Q11" s="103">
        <v>251.09999999999997</v>
      </c>
    </row>
    <row r="12" spans="1:17" x14ac:dyDescent="0.4">
      <c r="A12" s="53" t="s">
        <v>158</v>
      </c>
      <c r="B12" s="46">
        <v>8</v>
      </c>
      <c r="C12" s="40">
        <f t="shared" si="1"/>
        <v>0.1111111111111111</v>
      </c>
      <c r="E12" s="59" t="s">
        <v>167</v>
      </c>
      <c r="F12" s="56" t="s">
        <v>168</v>
      </c>
      <c r="G12" s="44">
        <v>13</v>
      </c>
      <c r="H12" s="129">
        <f>IF(B$17=0,0,G12/B$17)</f>
        <v>7.6470588235294124E-2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187</v>
      </c>
      <c r="C13" s="42">
        <f>IF(B$3=0,0,B13/B$3)</f>
        <v>0.3202054794520548</v>
      </c>
      <c r="E13" s="59" t="s">
        <v>71</v>
      </c>
      <c r="F13" s="56" t="s">
        <v>26</v>
      </c>
      <c r="G13" s="44">
        <v>9</v>
      </c>
      <c r="H13" s="129">
        <f>IF(B$17=0,0,G13/B$17)</f>
        <v>5.2941176470588235E-2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103</v>
      </c>
      <c r="C14" s="37">
        <f>IF(B$3=0,0,B14/B$3)</f>
        <v>0.17636986301369864</v>
      </c>
      <c r="E14" s="59" t="s">
        <v>83</v>
      </c>
      <c r="F14" s="56" t="s">
        <v>38</v>
      </c>
      <c r="G14" s="44">
        <v>7</v>
      </c>
      <c r="H14" s="129">
        <f>IF(B$17=0,0,G14/B$17)</f>
        <v>4.1176470588235294E-2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105</v>
      </c>
      <c r="C15" s="35">
        <f>IF(B$13=0,0,B15/B$13)</f>
        <v>0.56149732620320858</v>
      </c>
      <c r="E15" s="59" t="s">
        <v>86</v>
      </c>
      <c r="F15" s="56" t="s">
        <v>41</v>
      </c>
      <c r="G15" s="44">
        <v>5</v>
      </c>
      <c r="H15" s="129">
        <f>IF(B$17=0,0,G15/B$17)</f>
        <v>2.9411764705882353E-2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45</v>
      </c>
      <c r="C16" s="35">
        <f>IF(B$14=0,0,B16/B$14)</f>
        <v>0.43689320388349512</v>
      </c>
      <c r="E16" s="59" t="s">
        <v>81</v>
      </c>
      <c r="F16" s="56" t="s">
        <v>36</v>
      </c>
      <c r="G16" s="44">
        <v>4</v>
      </c>
      <c r="H16" s="129">
        <f>IF(B$17=0,0,G16/B$17)</f>
        <v>2.3529411764705882E-2</v>
      </c>
      <c r="I16" s="90">
        <v>3</v>
      </c>
      <c r="K16" s="36">
        <v>14</v>
      </c>
      <c r="L16" s="95">
        <v>-86.499999999999972</v>
      </c>
      <c r="N16" s="111" t="s">
        <v>166</v>
      </c>
      <c r="O16" s="121">
        <f t="shared" si="2"/>
        <v>40.299999999999997</v>
      </c>
      <c r="P16" s="115">
        <v>11</v>
      </c>
      <c r="Q16" s="103">
        <v>443.29999999999995</v>
      </c>
    </row>
    <row r="17" spans="1:17" x14ac:dyDescent="0.4">
      <c r="A17" s="50" t="s">
        <v>10</v>
      </c>
      <c r="B17" s="43">
        <f>B19+B18</f>
        <v>170</v>
      </c>
      <c r="C17" s="35">
        <f>IF(B$3=0,0,B17/B$3)</f>
        <v>0.2910958904109589</v>
      </c>
      <c r="E17" s="59" t="s">
        <v>92</v>
      </c>
      <c r="F17" s="56" t="s">
        <v>47</v>
      </c>
      <c r="G17" s="44">
        <v>4</v>
      </c>
      <c r="H17" s="129">
        <f>IF(B$17=0,0,G17/B$17)</f>
        <v>2.3529411764705882E-2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81</v>
      </c>
      <c r="C18" s="37">
        <f>IF(B$17=0,0,B18/B$17)</f>
        <v>0.47647058823529409</v>
      </c>
      <c r="E18" s="59" t="s">
        <v>91</v>
      </c>
      <c r="F18" s="56" t="s">
        <v>46</v>
      </c>
      <c r="G18" s="44">
        <v>2</v>
      </c>
      <c r="H18" s="129">
        <f>IF(B$17=0,0,G18/B$17)</f>
        <v>1.1764705882352941E-2</v>
      </c>
      <c r="I18" s="90">
        <v>5</v>
      </c>
      <c r="K18" s="36">
        <v>16</v>
      </c>
      <c r="L18" s="95">
        <v>-63.099999999999966</v>
      </c>
      <c r="N18" s="111" t="s">
        <v>178</v>
      </c>
      <c r="O18" s="121">
        <f t="shared" si="2"/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89</v>
      </c>
      <c r="C19" s="37">
        <f>IF(B$17=0,0,B19/B$17)</f>
        <v>0.52352941176470591</v>
      </c>
      <c r="E19" s="59" t="s">
        <v>73</v>
      </c>
      <c r="F19" s="56" t="s">
        <v>28</v>
      </c>
      <c r="G19" s="44">
        <v>1</v>
      </c>
      <c r="H19" s="129">
        <f>IF(B$17=0,0,G19/B$17)</f>
        <v>5.8823529411764705E-3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 t="shared" si="2"/>
        <v>9.2727272727272716</v>
      </c>
      <c r="P19" s="115">
        <v>11</v>
      </c>
      <c r="Q19" s="103">
        <v>101.99999999999999</v>
      </c>
    </row>
    <row r="20" spans="1:17" x14ac:dyDescent="0.4">
      <c r="A20" s="51" t="s">
        <v>13</v>
      </c>
      <c r="B20" s="44">
        <v>96</v>
      </c>
      <c r="C20" s="37">
        <f>IF(B$3=0,0,B20/B$3)</f>
        <v>0.16438356164383561</v>
      </c>
      <c r="E20" s="59" t="s">
        <v>75</v>
      </c>
      <c r="F20" s="56" t="s">
        <v>30</v>
      </c>
      <c r="G20" s="44">
        <v>1</v>
      </c>
      <c r="H20" s="129">
        <f>IF(B$17=0,0,G20/B$17)</f>
        <v>5.8823529411764705E-3</v>
      </c>
      <c r="I20" s="90">
        <v>7</v>
      </c>
      <c r="K20" s="36">
        <v>18</v>
      </c>
      <c r="L20" s="95">
        <v>-24.999999999999968</v>
      </c>
      <c r="N20" s="111" t="s">
        <v>126</v>
      </c>
      <c r="O20" s="121">
        <f t="shared" si="2"/>
        <v>8.0814814814814788</v>
      </c>
      <c r="P20" s="115">
        <v>27</v>
      </c>
      <c r="Q20" s="103">
        <v>218.19999999999993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5.8823529411764705E-3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-0.31034482758620946</v>
      </c>
      <c r="P21" s="115">
        <v>29</v>
      </c>
      <c r="Q21" s="103">
        <v>-9.0000000000000746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79</v>
      </c>
      <c r="F22" s="56" t="s">
        <v>34</v>
      </c>
      <c r="G22" s="44">
        <v>1</v>
      </c>
      <c r="H22" s="129">
        <f>IF(B$17=0,0,G22/B$17)</f>
        <v>5.8823529411764705E-3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10813.529411764706</v>
      </c>
      <c r="C23" s="39">
        <v>1838300</v>
      </c>
      <c r="E23" s="59" t="s">
        <v>85</v>
      </c>
      <c r="F23" s="56" t="s">
        <v>40</v>
      </c>
      <c r="G23" s="44">
        <v>1</v>
      </c>
      <c r="H23" s="129">
        <f>IF(B$17=0,0,G23/B$17)</f>
        <v>5.8823529411764705E-3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11740.8</v>
      </c>
      <c r="C24" s="137">
        <v>1467600</v>
      </c>
      <c r="E24" s="59" t="s">
        <v>90</v>
      </c>
      <c r="F24" s="56" t="s">
        <v>45</v>
      </c>
      <c r="G24" s="44">
        <v>1</v>
      </c>
      <c r="H24" s="129">
        <f>IF(B$17=0,0,G24/B$17)</f>
        <v>5.8823529411764705E-3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8237.7777777777774</v>
      </c>
      <c r="C25" s="137">
        <v>370700</v>
      </c>
      <c r="E25" s="59" t="s">
        <v>93</v>
      </c>
      <c r="F25" s="56" t="s">
        <v>48</v>
      </c>
      <c r="G25" s="44">
        <v>1</v>
      </c>
      <c r="H25" s="129">
        <f>IF(B$17=0,0,G25/B$17)</f>
        <v>5.8823529411764705E-3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-7860.416666666667</v>
      </c>
      <c r="C26" s="137">
        <v>-754600</v>
      </c>
      <c r="E26" s="59" t="s">
        <v>97</v>
      </c>
      <c r="F26" s="56" t="s">
        <v>52</v>
      </c>
      <c r="G26" s="44">
        <v>1</v>
      </c>
      <c r="H26" s="129">
        <f>IF(B$17=0,0,G26/B$17)</f>
        <v>5.8823529411764705E-3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</sheetData>
  <sortState xmlns:xlrd2="http://schemas.microsoft.com/office/spreadsheetml/2017/richdata2" ref="E2:I7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166</v>
      </c>
      <c r="H2" s="128">
        <f>IF(B$17=0,0,G2/B$17)</f>
        <v>0.75113122171945701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912.5</v>
      </c>
      <c r="P2" s="114">
        <v>96</v>
      </c>
      <c r="Q2" s="98">
        <v>87600</v>
      </c>
    </row>
    <row r="3" spans="1:17" x14ac:dyDescent="0.4">
      <c r="A3" s="51" t="s">
        <v>8</v>
      </c>
      <c r="B3" s="150">
        <v>761</v>
      </c>
      <c r="C3" s="151"/>
      <c r="E3" s="59" t="s">
        <v>72</v>
      </c>
      <c r="F3" s="56" t="s">
        <v>27</v>
      </c>
      <c r="G3" s="44">
        <v>122</v>
      </c>
      <c r="H3" s="129">
        <f>IF(B$17=0,0,G3/B$17)</f>
        <v>0.55203619909502266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652.68817204301081</v>
      </c>
      <c r="P3" s="115">
        <v>93</v>
      </c>
      <c r="Q3" s="99">
        <v>60700</v>
      </c>
    </row>
    <row r="4" spans="1:17" x14ac:dyDescent="0.4">
      <c r="A4" s="51" t="s">
        <v>6</v>
      </c>
      <c r="B4" s="152">
        <v>52.29999999999999</v>
      </c>
      <c r="C4" s="153"/>
      <c r="E4" s="59" t="s">
        <v>64</v>
      </c>
      <c r="F4" s="56" t="s">
        <v>20</v>
      </c>
      <c r="G4" s="44">
        <v>113</v>
      </c>
      <c r="H4" s="129">
        <f>IF(B$17=0,0,G4/B$17)</f>
        <v>0.5113122171945701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-358.62068965517244</v>
      </c>
      <c r="P4" s="115">
        <v>87</v>
      </c>
      <c r="Q4" s="99">
        <v>-31200</v>
      </c>
    </row>
    <row r="5" spans="1:17" x14ac:dyDescent="0.4">
      <c r="A5" s="51" t="s">
        <v>7</v>
      </c>
      <c r="B5" s="154">
        <f>IF(B$2=0,0,B$4/B$2)</f>
        <v>0.54479166666666656</v>
      </c>
      <c r="C5" s="155"/>
      <c r="E5" s="59" t="s">
        <v>171</v>
      </c>
      <c r="F5" s="56" t="s">
        <v>172</v>
      </c>
      <c r="G5" s="44">
        <v>105</v>
      </c>
      <c r="H5" s="129">
        <f>IF(B$17=0,0,G5/B$17)</f>
        <v>0.47511312217194568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64.556962025316452</v>
      </c>
      <c r="P5" s="115">
        <v>79</v>
      </c>
      <c r="Q5" s="99">
        <v>5100</v>
      </c>
    </row>
    <row r="6" spans="1:17" x14ac:dyDescent="0.4">
      <c r="A6" s="51" t="s">
        <v>1</v>
      </c>
      <c r="B6" s="144">
        <f>IF(B$2=0,0,(B$7*1+B$8*2+B$9*3)/B$2)</f>
        <v>2.0104166666666665</v>
      </c>
      <c r="C6" s="145"/>
      <c r="E6" s="59" t="s">
        <v>67</v>
      </c>
      <c r="F6" s="56" t="s">
        <v>23</v>
      </c>
      <c r="G6" s="44">
        <v>88</v>
      </c>
      <c r="H6" s="129">
        <f>IF(B$17=0,0,G6/B$17)</f>
        <v>0.39819004524886875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-671.01449275362324</v>
      </c>
      <c r="P6" s="115">
        <v>69</v>
      </c>
      <c r="Q6" s="99">
        <v>-46300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0.25</v>
      </c>
      <c r="E7" s="59" t="s">
        <v>68</v>
      </c>
      <c r="F7" s="56" t="s">
        <v>12</v>
      </c>
      <c r="G7" s="44">
        <v>74</v>
      </c>
      <c r="H7" s="129">
        <f>IF(B$17=0,0,G7/B$17)</f>
        <v>0.33484162895927599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-579.66101694915255</v>
      </c>
      <c r="P7" s="116">
        <v>59</v>
      </c>
      <c r="Q7" s="100">
        <v>-34200</v>
      </c>
    </row>
    <row r="8" spans="1:17" x14ac:dyDescent="0.4">
      <c r="A8" s="51" t="s">
        <v>3</v>
      </c>
      <c r="B8" s="44">
        <v>47</v>
      </c>
      <c r="C8" s="37">
        <f t="shared" si="1"/>
        <v>0.48958333333333331</v>
      </c>
      <c r="E8" s="59" t="s">
        <v>69</v>
      </c>
      <c r="F8" s="56" t="s">
        <v>24</v>
      </c>
      <c r="G8" s="44">
        <v>31</v>
      </c>
      <c r="H8" s="129">
        <f>IF(B$17=0,0,G8/B$17)</f>
        <v>0.14027149321266968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0.26041666666666669</v>
      </c>
      <c r="E9" s="59" t="s">
        <v>71</v>
      </c>
      <c r="F9" s="56" t="s">
        <v>26</v>
      </c>
      <c r="G9" s="44">
        <v>22</v>
      </c>
      <c r="H9" s="129">
        <f>IF(B$17=0,0,G9/B$17)</f>
        <v>9.9547511312217188E-2</v>
      </c>
      <c r="I9" s="90">
        <v>2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8.3333333333333329E-2</v>
      </c>
      <c r="E10" s="59" t="s">
        <v>89</v>
      </c>
      <c r="F10" s="56" t="s">
        <v>44</v>
      </c>
      <c r="G10" s="44">
        <v>21</v>
      </c>
      <c r="H10" s="129">
        <f>IF(B$17=0,0,G10/B$17)</f>
        <v>9.5022624434389136E-2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0.74390243902439002</v>
      </c>
      <c r="P10" s="114">
        <v>41</v>
      </c>
      <c r="Q10" s="102">
        <v>30.499999999999993</v>
      </c>
    </row>
    <row r="11" spans="1:17" x14ac:dyDescent="0.4">
      <c r="A11" s="52" t="s">
        <v>138</v>
      </c>
      <c r="B11" s="45">
        <v>9</v>
      </c>
      <c r="C11" s="38">
        <f t="shared" si="1"/>
        <v>9.375E-2</v>
      </c>
      <c r="E11" s="59" t="s">
        <v>70</v>
      </c>
      <c r="F11" s="56" t="s">
        <v>25</v>
      </c>
      <c r="G11" s="44">
        <v>18</v>
      </c>
      <c r="H11" s="129">
        <f>IF(B$17=0,0,G11/B$17)</f>
        <v>8.1447963800904979E-2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3.1172413793103448</v>
      </c>
      <c r="P11" s="115">
        <v>29</v>
      </c>
      <c r="Q11" s="103">
        <v>90.4</v>
      </c>
    </row>
    <row r="12" spans="1:17" x14ac:dyDescent="0.4">
      <c r="A12" s="53" t="s">
        <v>158</v>
      </c>
      <c r="B12" s="46">
        <v>5</v>
      </c>
      <c r="C12" s="40">
        <f t="shared" si="1"/>
        <v>5.2083333333333336E-2</v>
      </c>
      <c r="E12" s="59" t="s">
        <v>65</v>
      </c>
      <c r="F12" s="56" t="s">
        <v>21</v>
      </c>
      <c r="G12" s="44">
        <v>17</v>
      </c>
      <c r="H12" s="129">
        <f>IF(B$17=0,0,G12/B$17)</f>
        <v>7.6923076923076927E-2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205</v>
      </c>
      <c r="C13" s="42">
        <f>IF(B$3=0,0,B13/B$3)</f>
        <v>0.26938239159001315</v>
      </c>
      <c r="E13" s="59" t="s">
        <v>86</v>
      </c>
      <c r="F13" s="56" t="s">
        <v>41</v>
      </c>
      <c r="G13" s="44">
        <v>12</v>
      </c>
      <c r="H13" s="129">
        <f>IF(B$17=0,0,G13/B$17)</f>
        <v>5.4298642533936653E-2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167</v>
      </c>
      <c r="C14" s="37">
        <f>IF(B$3=0,0,B14/B$3)</f>
        <v>0.21944809461235218</v>
      </c>
      <c r="E14" s="59" t="s">
        <v>83</v>
      </c>
      <c r="F14" s="56" t="s">
        <v>38</v>
      </c>
      <c r="G14" s="44">
        <v>8</v>
      </c>
      <c r="H14" s="129">
        <f>IF(B$17=0,0,G14/B$17)</f>
        <v>3.6199095022624438E-2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120</v>
      </c>
      <c r="C15" s="35">
        <f>IF(B$13=0,0,B15/B$13)</f>
        <v>0.58536585365853655</v>
      </c>
      <c r="E15" s="59" t="s">
        <v>79</v>
      </c>
      <c r="F15" s="56" t="s">
        <v>34</v>
      </c>
      <c r="G15" s="44">
        <v>6</v>
      </c>
      <c r="H15" s="129">
        <f>IF(B$17=0,0,G15/B$17)</f>
        <v>2.7149321266968326E-2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69</v>
      </c>
      <c r="C16" s="35">
        <f>IF(B$14=0,0,B16/B$14)</f>
        <v>0.41317365269461076</v>
      </c>
      <c r="E16" s="59" t="s">
        <v>167</v>
      </c>
      <c r="F16" s="56" t="s">
        <v>168</v>
      </c>
      <c r="G16" s="44">
        <v>6</v>
      </c>
      <c r="H16" s="129">
        <f>IF(B$17=0,0,G16/B$17)</f>
        <v>2.7149321266968326E-2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221</v>
      </c>
      <c r="C17" s="35">
        <f>IF(B$3=0,0,B17/B$3)</f>
        <v>0.29040735873850199</v>
      </c>
      <c r="E17" s="59" t="s">
        <v>73</v>
      </c>
      <c r="F17" s="56" t="s">
        <v>28</v>
      </c>
      <c r="G17" s="44">
        <v>3</v>
      </c>
      <c r="H17" s="129">
        <f>IF(B$17=0,0,G17/B$17)</f>
        <v>1.3574660633484163E-2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100</v>
      </c>
      <c r="C18" s="37">
        <f>IF(B$17=0,0,B18/B$17)</f>
        <v>0.45248868778280543</v>
      </c>
      <c r="E18" s="59" t="s">
        <v>78</v>
      </c>
      <c r="F18" s="56" t="s">
        <v>33</v>
      </c>
      <c r="G18" s="44">
        <v>3</v>
      </c>
      <c r="H18" s="129">
        <f>IF(B$17=0,0,G18/B$17)</f>
        <v>1.3574660633484163E-2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121</v>
      </c>
      <c r="C19" s="37">
        <f>IF(B$17=0,0,B19/B$17)</f>
        <v>0.54751131221719462</v>
      </c>
      <c r="E19" s="59" t="s">
        <v>81</v>
      </c>
      <c r="F19" s="56" t="s">
        <v>36</v>
      </c>
      <c r="G19" s="44">
        <v>3</v>
      </c>
      <c r="H19" s="129">
        <f>IF(B$17=0,0,G19/B$17)</f>
        <v>1.3574660633484163E-2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102</v>
      </c>
      <c r="C20" s="37">
        <f>IF(B$3=0,0,B20/B$3)</f>
        <v>0.13403416557161629</v>
      </c>
      <c r="E20" s="59" t="s">
        <v>91</v>
      </c>
      <c r="F20" s="56" t="s">
        <v>46</v>
      </c>
      <c r="G20" s="44">
        <v>2</v>
      </c>
      <c r="H20" s="129">
        <f>IF(B$17=0,0,G20/B$17)</f>
        <v>9.0497737556561094E-3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74</v>
      </c>
      <c r="F21" s="56" t="s">
        <v>29</v>
      </c>
      <c r="G21" s="44">
        <v>1</v>
      </c>
      <c r="H21" s="129">
        <f>IF(B$17=0,0,G21/B$17)</f>
        <v>4.5248868778280547E-3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4</v>
      </c>
      <c r="E22" s="59" t="s">
        <v>75</v>
      </c>
      <c r="F22" s="56" t="s">
        <v>30</v>
      </c>
      <c r="G22" s="44">
        <v>1</v>
      </c>
      <c r="H22" s="129">
        <f>IF(B$17=0,0,G22/B$17)</f>
        <v>4.5248868778280547E-3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8432.1266968325799</v>
      </c>
      <c r="C23" s="39">
        <v>1863500</v>
      </c>
      <c r="E23" s="59" t="s">
        <v>85</v>
      </c>
      <c r="F23" s="56" t="s">
        <v>40</v>
      </c>
      <c r="G23" s="44">
        <v>1</v>
      </c>
      <c r="H23" s="129">
        <f>IF(B$17=0,0,G23/B$17)</f>
        <v>4.5248868778280547E-3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9348.6842105263149</v>
      </c>
      <c r="C24" s="137">
        <v>1421000</v>
      </c>
      <c r="E24" s="59" t="s">
        <v>87</v>
      </c>
      <c r="F24" s="56" t="s">
        <v>42</v>
      </c>
      <c r="G24" s="44">
        <v>1</v>
      </c>
      <c r="H24" s="129">
        <f>IF(B$17=0,0,G24/B$17)</f>
        <v>4.5248868778280547E-3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6413.04347826087</v>
      </c>
      <c r="C25" s="137">
        <v>442500</v>
      </c>
      <c r="E25" s="59" t="s">
        <v>88</v>
      </c>
      <c r="F25" s="56" t="s">
        <v>43</v>
      </c>
      <c r="G25" s="44">
        <v>1</v>
      </c>
      <c r="H25" s="129">
        <f>IF(B$17=0,0,G25/B$17)</f>
        <v>4.5248868778280547E-3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-7909.8039215686276</v>
      </c>
      <c r="C26" s="137">
        <v>-806800</v>
      </c>
      <c r="E26" s="59" t="s">
        <v>93</v>
      </c>
      <c r="F26" s="56" t="s">
        <v>48</v>
      </c>
      <c r="G26" s="44">
        <v>1</v>
      </c>
      <c r="H26" s="129">
        <f>IF(B$17=0,0,G26/B$17)</f>
        <v>4.5248868778280547E-3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4.5248868778280547E-3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2.6281208935611039E-3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</sheetData>
  <sortState xmlns:xlrd2="http://schemas.microsoft.com/office/spreadsheetml/2017/richdata2" ref="E2:I9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2">
        <v>-624.80000000000007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4">
        <f>IF(B$2=0,0,B$4/B$2)</f>
        <v>-15.239024390243904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4">
        <f>IF(B$2=0,0,(B$7*1+B$8*2+B$9*3)/B$2)</f>
        <v>2.4146341463414633</v>
      </c>
      <c r="C6" s="145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-3571.4285714285716</v>
      </c>
      <c r="P7" s="116">
        <v>28</v>
      </c>
      <c r="Q7" s="100">
        <v>-100000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5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4</v>
      </c>
      <c r="K18" s="36">
        <v>16</v>
      </c>
      <c r="L18" s="95">
        <v>-320.30000000000007</v>
      </c>
      <c r="N18" s="111" t="s">
        <v>178</v>
      </c>
      <c r="O18" s="121">
        <f t="shared" si="2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8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8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20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2019-11-17T08:15:37Z</dcterms:modified>
</cp:coreProperties>
</file>