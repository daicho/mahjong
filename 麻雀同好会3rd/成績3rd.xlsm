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D93924A-C4CD-4EE2-B164-A76A5B0CC3F9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47" r:id="rId6"/>
    <sheet name="たかの" sheetId="6149" r:id="rId7"/>
    <sheet name="だいち" sheetId="6151" r:id="rId8"/>
    <sheet name="ただ" sheetId="6153" r:id="rId9"/>
    <sheet name="りくと" sheetId="6155" r:id="rId10"/>
    <sheet name="れんたろう" sheetId="6157" r:id="rId11"/>
    <sheet name="まっつん" sheetId="6159" r:id="rId12"/>
    <sheet name="のり" sheetId="6161" r:id="rId13"/>
    <sheet name="ぱぱ" sheetId="6163" r:id="rId14"/>
    <sheet name="ほたに" sheetId="6165" r:id="rId15"/>
    <sheet name="いっしー" sheetId="6167" r:id="rId16"/>
    <sheet name="ともき" sheetId="6169" r:id="rId17"/>
    <sheet name="たか" sheetId="6171" r:id="rId18"/>
    <sheet name="ゆう" sheetId="6173" r:id="rId19"/>
    <sheet name="ゆう2" sheetId="6174" state="hidden" r:id="rId20"/>
    <sheet name="たか2" sheetId="6172" state="hidden" r:id="rId21"/>
    <sheet name="ともき2" sheetId="6170" state="hidden" r:id="rId22"/>
    <sheet name="いっしー2" sheetId="6168" state="hidden" r:id="rId23"/>
    <sheet name="ほたに2" sheetId="6166" state="hidden" r:id="rId24"/>
    <sheet name="ぱぱ2" sheetId="6164" state="hidden" r:id="rId25"/>
    <sheet name="のり2" sheetId="6162" state="hidden" r:id="rId26"/>
    <sheet name="まっつん2" sheetId="6160" state="hidden" r:id="rId27"/>
    <sheet name="れんたろう2" sheetId="6158" state="hidden" r:id="rId28"/>
    <sheet name="りくと2" sheetId="6156" state="hidden" r:id="rId29"/>
    <sheet name="ただ2" sheetId="6154" state="hidden" r:id="rId30"/>
    <sheet name="だいち2" sheetId="6152" state="hidden" r:id="rId31"/>
    <sheet name="たかの2" sheetId="6150" state="hidden" r:id="rId32"/>
    <sheet name="全体2" sheetId="6148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71" l="1"/>
  <c r="O23" i="6149"/>
  <c r="O20" i="6159" l="1"/>
  <c r="O16" i="6173"/>
  <c r="O18" i="6171"/>
  <c r="O15" i="6149" l="1"/>
  <c r="O21" i="6169"/>
  <c r="O19" i="6171" l="1"/>
  <c r="O15" i="6173"/>
  <c r="O17" i="6173"/>
  <c r="C30" i="6173"/>
  <c r="B25" i="6173"/>
  <c r="C16" i="6173"/>
  <c r="B15" i="6173"/>
  <c r="H4" i="6173" s="1"/>
  <c r="B14" i="6173"/>
  <c r="C14" i="6173" s="1"/>
  <c r="B13" i="6173"/>
  <c r="C13" i="6173" s="1"/>
  <c r="O12" i="6173"/>
  <c r="C12" i="6173"/>
  <c r="O11" i="6173"/>
  <c r="C11" i="6173"/>
  <c r="O10" i="6173"/>
  <c r="C10" i="6173"/>
  <c r="C9" i="6173"/>
  <c r="C8" i="6173"/>
  <c r="O7" i="6173"/>
  <c r="C7" i="6173"/>
  <c r="O6" i="6173"/>
  <c r="B6" i="6173"/>
  <c r="O5" i="6173"/>
  <c r="B5" i="6173"/>
  <c r="O4" i="6173"/>
  <c r="O3" i="6173"/>
  <c r="O2" i="6173"/>
  <c r="O16" i="6161"/>
  <c r="O15" i="6171"/>
  <c r="O17" i="6171"/>
  <c r="C30" i="6171"/>
  <c r="B25" i="6171"/>
  <c r="C16" i="6171"/>
  <c r="B15" i="6171"/>
  <c r="H52" i="6171" s="1"/>
  <c r="B14" i="6171"/>
  <c r="B24" i="6171" s="1"/>
  <c r="B13" i="6171"/>
  <c r="C13" i="6171" s="1"/>
  <c r="O12" i="6171"/>
  <c r="C12" i="6171"/>
  <c r="O11" i="6171"/>
  <c r="C11" i="6171"/>
  <c r="O10" i="6171"/>
  <c r="C10" i="6171"/>
  <c r="C9" i="6171"/>
  <c r="C8" i="6171"/>
  <c r="O7" i="6171"/>
  <c r="C7" i="6171"/>
  <c r="O6" i="6171"/>
  <c r="B6" i="6171"/>
  <c r="O5" i="6171"/>
  <c r="B5" i="6171"/>
  <c r="O4" i="6171"/>
  <c r="O3" i="6171"/>
  <c r="O2" i="6171"/>
  <c r="O15" i="6147"/>
  <c r="H37" i="6173" l="1"/>
  <c r="H2" i="6173"/>
  <c r="H13" i="6173"/>
  <c r="H28" i="6173"/>
  <c r="C14" i="6171"/>
  <c r="H41" i="6173"/>
  <c r="H45" i="6173"/>
  <c r="H3" i="6173"/>
  <c r="H8" i="6173"/>
  <c r="C20" i="6173"/>
  <c r="H33" i="6173"/>
  <c r="H52" i="6173"/>
  <c r="H7" i="6173"/>
  <c r="H18" i="6173"/>
  <c r="C17" i="6173"/>
  <c r="C21" i="6173"/>
  <c r="H29" i="6173"/>
  <c r="H34" i="6173"/>
  <c r="H38" i="6173"/>
  <c r="H42" i="6173"/>
  <c r="H47" i="6173"/>
  <c r="H10" i="6173"/>
  <c r="H6" i="6173"/>
  <c r="H14" i="6173"/>
  <c r="H16" i="6173"/>
  <c r="H17" i="6173"/>
  <c r="C18" i="6173"/>
  <c r="B22" i="6173"/>
  <c r="H35" i="6173"/>
  <c r="H39" i="6173"/>
  <c r="H43" i="6173"/>
  <c r="H49" i="6173"/>
  <c r="H11" i="6173"/>
  <c r="H15" i="6173"/>
  <c r="B23" i="6173"/>
  <c r="C15" i="6173"/>
  <c r="C19" i="6173"/>
  <c r="H32" i="6173"/>
  <c r="H36" i="6173"/>
  <c r="H40" i="6173"/>
  <c r="H44" i="6173"/>
  <c r="H51" i="6173"/>
  <c r="B24" i="6173"/>
  <c r="H5" i="6173"/>
  <c r="H21" i="6173"/>
  <c r="H23" i="6173"/>
  <c r="H25" i="6173"/>
  <c r="H27" i="6173"/>
  <c r="H9" i="6173"/>
  <c r="H31" i="6173"/>
  <c r="C33" i="6173"/>
  <c r="C35" i="6173"/>
  <c r="C37" i="6173"/>
  <c r="C39" i="6173"/>
  <c r="C41" i="6173"/>
  <c r="C43" i="6173"/>
  <c r="H46" i="6173"/>
  <c r="H50" i="6173"/>
  <c r="H19" i="6173"/>
  <c r="H20" i="6173"/>
  <c r="H22" i="6173"/>
  <c r="H24" i="6173"/>
  <c r="H26" i="6173"/>
  <c r="H12" i="6173"/>
  <c r="H30" i="6173"/>
  <c r="C32" i="6173"/>
  <c r="C34" i="6173"/>
  <c r="C36" i="6173"/>
  <c r="C38" i="6173"/>
  <c r="C40" i="6173"/>
  <c r="C42" i="6173"/>
  <c r="C44" i="6173"/>
  <c r="H48" i="6173"/>
  <c r="H2" i="6171"/>
  <c r="H3" i="6171"/>
  <c r="H21" i="6171"/>
  <c r="H42" i="6171"/>
  <c r="H17" i="6171"/>
  <c r="C42" i="6171"/>
  <c r="H26" i="6171"/>
  <c r="C15" i="6171"/>
  <c r="C32" i="6171"/>
  <c r="H34" i="6171"/>
  <c r="C44" i="6171"/>
  <c r="C36" i="6171"/>
  <c r="H11" i="6171"/>
  <c r="H16" i="6171"/>
  <c r="C19" i="6171"/>
  <c r="H38" i="6171"/>
  <c r="H9" i="6171"/>
  <c r="H6" i="6171"/>
  <c r="H15" i="6171"/>
  <c r="H19" i="6171"/>
  <c r="H12" i="6171"/>
  <c r="H30" i="6171"/>
  <c r="C38" i="6171"/>
  <c r="H4" i="6171"/>
  <c r="H10" i="6171"/>
  <c r="H8" i="6171"/>
  <c r="H24" i="6171"/>
  <c r="H14" i="6171"/>
  <c r="C34" i="6171"/>
  <c r="C40" i="6171"/>
  <c r="H47" i="6171"/>
  <c r="H48" i="6171"/>
  <c r="C17" i="6171"/>
  <c r="C21" i="6171"/>
  <c r="H28" i="6171"/>
  <c r="H32" i="6171"/>
  <c r="H36" i="6171"/>
  <c r="H40" i="6171"/>
  <c r="H44" i="6171"/>
  <c r="H51" i="6171"/>
  <c r="H20" i="6171"/>
  <c r="H22" i="6171"/>
  <c r="H23" i="6171"/>
  <c r="H25" i="6171"/>
  <c r="H27" i="6171"/>
  <c r="H13" i="6171"/>
  <c r="H31" i="6171"/>
  <c r="C33" i="6171"/>
  <c r="C35" i="6171"/>
  <c r="C37" i="6171"/>
  <c r="C39" i="6171"/>
  <c r="C41" i="6171"/>
  <c r="C43" i="6171"/>
  <c r="H46" i="6171"/>
  <c r="H50" i="6171"/>
  <c r="B23" i="6171"/>
  <c r="H5" i="6171"/>
  <c r="H7" i="6171"/>
  <c r="H18" i="6171"/>
  <c r="C18" i="6171"/>
  <c r="C20" i="6171"/>
  <c r="B22" i="6171"/>
  <c r="H29" i="6171"/>
  <c r="H33" i="6171"/>
  <c r="H35" i="6171"/>
  <c r="H37" i="6171"/>
  <c r="H39" i="6171"/>
  <c r="H41" i="6171"/>
  <c r="H43" i="6171"/>
  <c r="H45" i="6171"/>
  <c r="H49" i="6171"/>
  <c r="O20" i="6169" l="1"/>
  <c r="O16" i="6151"/>
  <c r="O22" i="6153" l="1"/>
  <c r="O16" i="6169"/>
  <c r="O19" i="6169"/>
  <c r="O22" i="6155"/>
  <c r="O23" i="6163" l="1"/>
  <c r="O15" i="6169"/>
  <c r="O23" i="6157" l="1"/>
  <c r="O18" i="6169"/>
  <c r="O17" i="6169"/>
  <c r="C30" i="6169"/>
  <c r="B25" i="6169"/>
  <c r="C16" i="6169"/>
  <c r="B15" i="6169"/>
  <c r="H51" i="6169" s="1"/>
  <c r="B14" i="6169"/>
  <c r="B24" i="6169" s="1"/>
  <c r="B13" i="6169"/>
  <c r="C13" i="6169" s="1"/>
  <c r="O12" i="6169"/>
  <c r="C12" i="6169"/>
  <c r="O11" i="6169"/>
  <c r="C11" i="6169"/>
  <c r="O10" i="6169"/>
  <c r="C10" i="6169"/>
  <c r="C9" i="6169"/>
  <c r="C8" i="6169"/>
  <c r="O7" i="6169"/>
  <c r="C7" i="6169"/>
  <c r="O6" i="6169"/>
  <c r="B6" i="6169"/>
  <c r="O5" i="6169"/>
  <c r="B5" i="6169"/>
  <c r="O4" i="6169"/>
  <c r="O3" i="6169"/>
  <c r="O2" i="6169"/>
  <c r="O18" i="6161"/>
  <c r="O24" i="6147"/>
  <c r="C14" i="6169" l="1"/>
  <c r="H3" i="6169"/>
  <c r="H2" i="6169"/>
  <c r="C34" i="6169"/>
  <c r="H9" i="6169"/>
  <c r="H15" i="6169"/>
  <c r="C18" i="6169"/>
  <c r="H6" i="6169"/>
  <c r="H14" i="6169"/>
  <c r="C20" i="6169"/>
  <c r="C38" i="6169"/>
  <c r="H21" i="6169"/>
  <c r="H30" i="6169"/>
  <c r="C42" i="6169"/>
  <c r="H19" i="6169"/>
  <c r="C15" i="6169"/>
  <c r="H27" i="6169"/>
  <c r="H7" i="6169"/>
  <c r="B22" i="6169"/>
  <c r="H10" i="6169"/>
  <c r="H5" i="6169"/>
  <c r="H20" i="6169"/>
  <c r="H48" i="6169"/>
  <c r="H16" i="6169"/>
  <c r="H11" i="6169"/>
  <c r="H35" i="6169"/>
  <c r="H39" i="6169"/>
  <c r="H43" i="6169"/>
  <c r="H49" i="6169"/>
  <c r="C32" i="6169"/>
  <c r="C36" i="6169"/>
  <c r="C40" i="6169"/>
  <c r="C44" i="6169"/>
  <c r="H8" i="6169"/>
  <c r="H24" i="6169"/>
  <c r="H12" i="6169"/>
  <c r="H28" i="6169"/>
  <c r="H33" i="6169"/>
  <c r="H37" i="6169"/>
  <c r="H41" i="6169"/>
  <c r="H45" i="6169"/>
  <c r="H52" i="6169"/>
  <c r="H22" i="6169"/>
  <c r="H23" i="6169"/>
  <c r="H25" i="6169"/>
  <c r="H26" i="6169"/>
  <c r="H17" i="6169"/>
  <c r="H13" i="6169"/>
  <c r="H31" i="6169"/>
  <c r="C33" i="6169"/>
  <c r="C35" i="6169"/>
  <c r="C37" i="6169"/>
  <c r="C39" i="6169"/>
  <c r="C41" i="6169"/>
  <c r="C43" i="6169"/>
  <c r="H46" i="6169"/>
  <c r="H50" i="6169"/>
  <c r="H4" i="6169"/>
  <c r="H18" i="6169"/>
  <c r="C17" i="6169"/>
  <c r="C19" i="6169"/>
  <c r="C21" i="6169"/>
  <c r="B23" i="6169"/>
  <c r="H29" i="6169"/>
  <c r="H32" i="6169"/>
  <c r="H34" i="6169"/>
  <c r="H36" i="6169"/>
  <c r="H38" i="6169"/>
  <c r="H40" i="6169"/>
  <c r="H42" i="6169"/>
  <c r="H44" i="6169"/>
  <c r="H47" i="6169"/>
  <c r="O16" i="6159" l="1"/>
  <c r="O17" i="6167"/>
  <c r="O23" i="6151"/>
  <c r="O16" i="6167"/>
  <c r="O15" i="6167"/>
  <c r="C30" i="6167"/>
  <c r="B25" i="6167"/>
  <c r="C16" i="6167"/>
  <c r="B15" i="6167"/>
  <c r="H51" i="6167" s="1"/>
  <c r="B14" i="6167"/>
  <c r="B24" i="6167" s="1"/>
  <c r="B13" i="6167"/>
  <c r="C13" i="6167" s="1"/>
  <c r="O12" i="6167"/>
  <c r="C12" i="6167"/>
  <c r="O11" i="6167"/>
  <c r="C11" i="6167"/>
  <c r="O10" i="6167"/>
  <c r="C10" i="6167"/>
  <c r="C9" i="6167"/>
  <c r="C8" i="6167"/>
  <c r="O7" i="6167"/>
  <c r="C7" i="6167"/>
  <c r="O6" i="6167"/>
  <c r="B6" i="6167"/>
  <c r="O5" i="6167"/>
  <c r="B5" i="6167"/>
  <c r="O4" i="6167"/>
  <c r="O3" i="6167"/>
  <c r="O2" i="6167"/>
  <c r="O20" i="6161"/>
  <c r="O26" i="6147"/>
  <c r="C18" i="6167" l="1"/>
  <c r="H6" i="6167"/>
  <c r="H13" i="6167"/>
  <c r="H3" i="6167"/>
  <c r="H17" i="6167"/>
  <c r="C14" i="6167"/>
  <c r="H35" i="6167"/>
  <c r="C38" i="6167"/>
  <c r="H7" i="6167"/>
  <c r="C19" i="6167"/>
  <c r="H12" i="6167"/>
  <c r="C21" i="6167"/>
  <c r="H39" i="6167"/>
  <c r="H30" i="6167"/>
  <c r="H2" i="6167"/>
  <c r="H18" i="6167"/>
  <c r="H9" i="6167"/>
  <c r="H8" i="6167"/>
  <c r="C34" i="6167"/>
  <c r="C42" i="6167"/>
  <c r="H48" i="6167"/>
  <c r="H43" i="6167"/>
  <c r="H49" i="6167"/>
  <c r="C17" i="6167"/>
  <c r="H22" i="6167"/>
  <c r="B22" i="6167"/>
  <c r="H27" i="6167"/>
  <c r="C32" i="6167"/>
  <c r="C36" i="6167"/>
  <c r="C40" i="6167"/>
  <c r="C44" i="6167"/>
  <c r="H11" i="6167"/>
  <c r="H10" i="6167"/>
  <c r="H15" i="6167"/>
  <c r="H16" i="6167"/>
  <c r="H4" i="6167"/>
  <c r="H14" i="6167"/>
  <c r="B23" i="6167"/>
  <c r="C15" i="6167"/>
  <c r="H20" i="6167"/>
  <c r="C20" i="6167"/>
  <c r="H25" i="6167"/>
  <c r="H28" i="6167"/>
  <c r="H33" i="6167"/>
  <c r="H37" i="6167"/>
  <c r="H41" i="6167"/>
  <c r="H45" i="6167"/>
  <c r="H52" i="6167"/>
  <c r="H19" i="6167"/>
  <c r="H21" i="6167"/>
  <c r="H23" i="6167"/>
  <c r="H24" i="6167"/>
  <c r="H26" i="6167"/>
  <c r="H5" i="6167"/>
  <c r="H31" i="6167"/>
  <c r="C33" i="6167"/>
  <c r="C35" i="6167"/>
  <c r="C37" i="6167"/>
  <c r="C39" i="6167"/>
  <c r="C41" i="6167"/>
  <c r="C43" i="6167"/>
  <c r="H46" i="6167"/>
  <c r="H50" i="6167"/>
  <c r="H29" i="6167"/>
  <c r="H32" i="6167"/>
  <c r="H34" i="6167"/>
  <c r="H36" i="6167"/>
  <c r="H38" i="6167"/>
  <c r="H40" i="6167"/>
  <c r="H42" i="6167"/>
  <c r="H44" i="6167"/>
  <c r="H47" i="6167"/>
  <c r="O22" i="6149" l="1"/>
  <c r="O16" i="6157"/>
  <c r="O15" i="6157" l="1"/>
  <c r="O19" i="6165"/>
  <c r="O15" i="6155" l="1"/>
  <c r="O22" i="6161"/>
  <c r="O16" i="6165" l="1"/>
  <c r="O23" i="6155"/>
  <c r="O21" i="6149" l="1"/>
  <c r="O17" i="6151"/>
  <c r="O15" i="6161"/>
  <c r="O23" i="6161"/>
  <c r="O19" i="6159" l="1"/>
  <c r="O18" i="6163"/>
  <c r="O16" i="6153" l="1"/>
  <c r="O17" i="6159"/>
  <c r="O19" i="6161"/>
  <c r="O21" i="6161"/>
  <c r="O16" i="6149" l="1"/>
  <c r="O17" i="6163"/>
  <c r="O19" i="6163"/>
  <c r="O18" i="6155"/>
  <c r="O20" i="6153" l="1"/>
  <c r="O20" i="6157"/>
  <c r="O19" i="6157" l="1"/>
  <c r="O22" i="6151"/>
  <c r="O25" i="6161"/>
  <c r="O17" i="6165"/>
  <c r="O15" i="6165"/>
  <c r="O21" i="6163"/>
  <c r="O15" i="6153" l="1"/>
  <c r="O21" i="6153"/>
  <c r="O18" i="6165"/>
  <c r="O20" i="6165"/>
  <c r="C30" i="6165"/>
  <c r="B25" i="6165"/>
  <c r="C16" i="6165"/>
  <c r="B15" i="6165"/>
  <c r="H50" i="6165" s="1"/>
  <c r="B14" i="6165"/>
  <c r="B24" i="6165" s="1"/>
  <c r="B13" i="6165"/>
  <c r="C13" i="6165" s="1"/>
  <c r="O12" i="6165"/>
  <c r="C12" i="6165"/>
  <c r="O11" i="6165"/>
  <c r="C11" i="6165"/>
  <c r="O10" i="6165"/>
  <c r="C10" i="6165"/>
  <c r="C9" i="6165"/>
  <c r="C8" i="6165"/>
  <c r="O7" i="6165"/>
  <c r="C7" i="6165"/>
  <c r="O6" i="6165"/>
  <c r="B6" i="6165"/>
  <c r="O5" i="6165"/>
  <c r="B5" i="6165"/>
  <c r="O4" i="6165"/>
  <c r="O3" i="6165"/>
  <c r="O2" i="6165"/>
  <c r="O22" i="6159"/>
  <c r="O15" i="6159"/>
  <c r="O16" i="6147"/>
  <c r="C14" i="6165" l="1"/>
  <c r="H8" i="6165"/>
  <c r="H7" i="6165"/>
  <c r="H12" i="6165"/>
  <c r="H18" i="6165"/>
  <c r="H10" i="6165"/>
  <c r="H19" i="6165"/>
  <c r="C19" i="6165"/>
  <c r="H14" i="6165"/>
  <c r="H27" i="6165"/>
  <c r="H34" i="6165"/>
  <c r="C36" i="6165"/>
  <c r="H39" i="6165"/>
  <c r="H42" i="6165"/>
  <c r="C44" i="6165"/>
  <c r="H49" i="6165"/>
  <c r="H17" i="6165"/>
  <c r="C17" i="6165"/>
  <c r="B22" i="6165"/>
  <c r="H32" i="6165"/>
  <c r="H37" i="6165"/>
  <c r="C42" i="6165"/>
  <c r="H45" i="6165"/>
  <c r="H16" i="6165"/>
  <c r="H26" i="6165"/>
  <c r="C32" i="6165"/>
  <c r="H38" i="6165"/>
  <c r="C40" i="6165"/>
  <c r="H43" i="6165"/>
  <c r="H47" i="6165"/>
  <c r="H6" i="6165"/>
  <c r="H23" i="6165"/>
  <c r="H28" i="6165"/>
  <c r="C34" i="6165"/>
  <c r="H40" i="6165"/>
  <c r="H51" i="6165"/>
  <c r="H4" i="6165"/>
  <c r="C15" i="6165"/>
  <c r="H13" i="6165"/>
  <c r="C20" i="6165"/>
  <c r="H29" i="6165"/>
  <c r="H35" i="6165"/>
  <c r="H3" i="6165"/>
  <c r="H2" i="6165"/>
  <c r="H11" i="6165"/>
  <c r="H5" i="6165"/>
  <c r="H20" i="6165"/>
  <c r="C18" i="6165"/>
  <c r="C21" i="6165"/>
  <c r="H30" i="6165"/>
  <c r="H33" i="6165"/>
  <c r="H36" i="6165"/>
  <c r="C38" i="6165"/>
  <c r="H41" i="6165"/>
  <c r="H44" i="6165"/>
  <c r="H48" i="6165"/>
  <c r="H52" i="6165"/>
  <c r="B23" i="6165"/>
  <c r="H21" i="6165"/>
  <c r="H22" i="6165"/>
  <c r="H24" i="6165"/>
  <c r="H25" i="6165"/>
  <c r="H15" i="6165"/>
  <c r="H9" i="6165"/>
  <c r="H31" i="6165"/>
  <c r="C33" i="6165"/>
  <c r="C35" i="6165"/>
  <c r="C37" i="6165"/>
  <c r="C39" i="6165"/>
  <c r="C41" i="6165"/>
  <c r="C43" i="6165"/>
  <c r="H46" i="6165"/>
  <c r="O20" i="6151" l="1"/>
  <c r="O19" i="6155"/>
  <c r="O19" i="6151" l="1"/>
  <c r="O21" i="6159"/>
  <c r="O24" i="6159"/>
  <c r="O17" i="6149"/>
  <c r="O17" i="6153"/>
  <c r="O16" i="6155"/>
  <c r="O21" i="6155"/>
  <c r="O19" i="6149"/>
  <c r="O18" i="6153"/>
  <c r="O15" i="6151"/>
  <c r="O20" i="6163"/>
  <c r="O22" i="6163"/>
  <c r="O22" i="6157" l="1"/>
  <c r="O17" i="6157"/>
  <c r="O15" i="6163"/>
  <c r="O16" i="6163"/>
  <c r="C30" i="6163"/>
  <c r="B25" i="6163"/>
  <c r="C16" i="6163"/>
  <c r="B15" i="6163"/>
  <c r="H51" i="6163" s="1"/>
  <c r="B14" i="6163"/>
  <c r="B24" i="6163" s="1"/>
  <c r="B13" i="6163"/>
  <c r="C13" i="6163" s="1"/>
  <c r="O12" i="6163"/>
  <c r="C12" i="6163"/>
  <c r="O11" i="6163"/>
  <c r="C11" i="6163"/>
  <c r="O10" i="6163"/>
  <c r="C10" i="6163"/>
  <c r="C9" i="6163"/>
  <c r="C8" i="6163"/>
  <c r="O7" i="6163"/>
  <c r="C7" i="6163"/>
  <c r="O6" i="6163"/>
  <c r="B6" i="6163"/>
  <c r="O5" i="6163"/>
  <c r="B5" i="6163"/>
  <c r="O4" i="6163"/>
  <c r="O3" i="6163"/>
  <c r="O2" i="6163"/>
  <c r="O17" i="6147"/>
  <c r="O17" i="6161"/>
  <c r="O24" i="6161"/>
  <c r="C30" i="6161"/>
  <c r="B25" i="6161"/>
  <c r="C16" i="6161"/>
  <c r="B15" i="6161"/>
  <c r="H21" i="6161" s="1"/>
  <c r="B14" i="6161"/>
  <c r="B24" i="6161" s="1"/>
  <c r="B13" i="6161"/>
  <c r="C13" i="6161" s="1"/>
  <c r="O12" i="6161"/>
  <c r="C12" i="6161"/>
  <c r="O11" i="6161"/>
  <c r="C11" i="6161"/>
  <c r="O10" i="6161"/>
  <c r="C10" i="6161"/>
  <c r="C9" i="6161"/>
  <c r="C8" i="6161"/>
  <c r="O7" i="6161"/>
  <c r="C7" i="6161"/>
  <c r="O6" i="6161"/>
  <c r="B6" i="6161"/>
  <c r="O5" i="6161"/>
  <c r="B5" i="6161"/>
  <c r="O4" i="6161"/>
  <c r="O3" i="6161"/>
  <c r="O2" i="6161"/>
  <c r="O20" i="6147"/>
  <c r="C14" i="6161" l="1"/>
  <c r="C14" i="6163"/>
  <c r="H15" i="6163"/>
  <c r="H23" i="6163"/>
  <c r="C19" i="6163"/>
  <c r="H35" i="6163"/>
  <c r="H40" i="6163"/>
  <c r="H8" i="6163"/>
  <c r="H19" i="6163"/>
  <c r="H43" i="6163"/>
  <c r="C44" i="6163"/>
  <c r="C36" i="6163"/>
  <c r="H50" i="6163"/>
  <c r="H9" i="6163"/>
  <c r="H4" i="6163"/>
  <c r="H11" i="6163"/>
  <c r="H22" i="6163"/>
  <c r="H16" i="6163"/>
  <c r="C17" i="6163"/>
  <c r="H29" i="6163"/>
  <c r="H46" i="6163"/>
  <c r="H7" i="6163"/>
  <c r="H21" i="6163"/>
  <c r="C15" i="6163"/>
  <c r="H25" i="6163"/>
  <c r="C20" i="6163"/>
  <c r="H18" i="6163"/>
  <c r="H30" i="6163"/>
  <c r="C32" i="6163"/>
  <c r="H36" i="6163"/>
  <c r="H39" i="6163"/>
  <c r="C40" i="6163"/>
  <c r="H44" i="6163"/>
  <c r="H48" i="6163"/>
  <c r="H5" i="6163"/>
  <c r="H17" i="6163"/>
  <c r="B22" i="6163"/>
  <c r="H33" i="6163"/>
  <c r="C34" i="6163"/>
  <c r="H38" i="6163"/>
  <c r="H41" i="6163"/>
  <c r="C42" i="6163"/>
  <c r="H20" i="6163"/>
  <c r="H3" i="6163"/>
  <c r="H2" i="6163"/>
  <c r="H10" i="6163"/>
  <c r="H6" i="6163"/>
  <c r="H24" i="6163"/>
  <c r="C18" i="6163"/>
  <c r="C21" i="6163"/>
  <c r="H31" i="6163"/>
  <c r="H34" i="6163"/>
  <c r="H37" i="6163"/>
  <c r="C38" i="6163"/>
  <c r="H42" i="6163"/>
  <c r="H45" i="6163"/>
  <c r="H49" i="6163"/>
  <c r="H52" i="6163"/>
  <c r="B23" i="6163"/>
  <c r="H13" i="6163"/>
  <c r="H26" i="6163"/>
  <c r="H27" i="6163"/>
  <c r="H28" i="6163"/>
  <c r="H14" i="6163"/>
  <c r="H12" i="6163"/>
  <c r="H32" i="6163"/>
  <c r="C33" i="6163"/>
  <c r="C35" i="6163"/>
  <c r="C37" i="6163"/>
  <c r="C39" i="6163"/>
  <c r="C41" i="6163"/>
  <c r="C43" i="6163"/>
  <c r="H47" i="6163"/>
  <c r="C21" i="6161"/>
  <c r="C34" i="6161"/>
  <c r="H9" i="6161"/>
  <c r="H10" i="6161"/>
  <c r="H25" i="6161"/>
  <c r="H13" i="6161"/>
  <c r="H4" i="6161"/>
  <c r="H3" i="6161"/>
  <c r="H12" i="6161"/>
  <c r="C38" i="6161"/>
  <c r="H2" i="6161"/>
  <c r="H7" i="6161"/>
  <c r="H11" i="6161"/>
  <c r="H24" i="6161"/>
  <c r="C18" i="6161"/>
  <c r="H16" i="6161"/>
  <c r="H40" i="6161"/>
  <c r="C42" i="6161"/>
  <c r="C19" i="6161"/>
  <c r="H36" i="6161"/>
  <c r="H44" i="6161"/>
  <c r="H49" i="6161"/>
  <c r="H50" i="6161"/>
  <c r="C17" i="6161"/>
  <c r="H15" i="6161"/>
  <c r="B22" i="6161"/>
  <c r="H31" i="6161"/>
  <c r="C32" i="6161"/>
  <c r="C36" i="6161"/>
  <c r="C40" i="6161"/>
  <c r="C44" i="6161"/>
  <c r="H5" i="6161"/>
  <c r="H17" i="6161"/>
  <c r="H23" i="6161"/>
  <c r="H6" i="6161"/>
  <c r="H22" i="6161"/>
  <c r="B23" i="6161"/>
  <c r="C15" i="6161"/>
  <c r="H26" i="6161"/>
  <c r="C20" i="6161"/>
  <c r="H30" i="6161"/>
  <c r="H32" i="6161"/>
  <c r="H35" i="6161"/>
  <c r="H38" i="6161"/>
  <c r="H42" i="6161"/>
  <c r="H46" i="6161"/>
  <c r="H52" i="6161"/>
  <c r="H18" i="6161"/>
  <c r="H27" i="6161"/>
  <c r="H28" i="6161"/>
  <c r="H29" i="6161"/>
  <c r="H14" i="6161"/>
  <c r="H8" i="6161"/>
  <c r="H19" i="6161"/>
  <c r="C33" i="6161"/>
  <c r="C35" i="6161"/>
  <c r="C37" i="6161"/>
  <c r="C39" i="6161"/>
  <c r="C41" i="6161"/>
  <c r="C43" i="6161"/>
  <c r="H47" i="6161"/>
  <c r="H51" i="6161"/>
  <c r="H33" i="6161"/>
  <c r="H34" i="6161"/>
  <c r="H20" i="6161"/>
  <c r="H37" i="6161"/>
  <c r="H39" i="6161"/>
  <c r="H41" i="6161"/>
  <c r="H43" i="6161"/>
  <c r="H45" i="6161"/>
  <c r="H48" i="6161"/>
  <c r="O23" i="6159" l="1"/>
  <c r="O18" i="6159"/>
  <c r="C30" i="6159"/>
  <c r="B25" i="6159"/>
  <c r="C16" i="6159"/>
  <c r="B15" i="6159"/>
  <c r="H52" i="6159" s="1"/>
  <c r="B14" i="6159"/>
  <c r="B24" i="6159" s="1"/>
  <c r="B13" i="6159"/>
  <c r="C13" i="6159" s="1"/>
  <c r="O12" i="6159"/>
  <c r="C12" i="6159"/>
  <c r="O11" i="6159"/>
  <c r="C11" i="6159"/>
  <c r="O10" i="6159"/>
  <c r="C10" i="6159"/>
  <c r="C9" i="6159"/>
  <c r="C8" i="6159"/>
  <c r="O7" i="6159"/>
  <c r="C7" i="6159"/>
  <c r="O6" i="6159"/>
  <c r="B6" i="6159"/>
  <c r="O5" i="6159"/>
  <c r="B5" i="6159"/>
  <c r="O4" i="6159"/>
  <c r="O3" i="6159"/>
  <c r="O2" i="6159"/>
  <c r="O21" i="6157"/>
  <c r="O18" i="6157"/>
  <c r="C30" i="6157"/>
  <c r="B25" i="6157"/>
  <c r="C16" i="6157"/>
  <c r="B15" i="6157"/>
  <c r="H52" i="6157" s="1"/>
  <c r="B14" i="6157"/>
  <c r="B24" i="6157" s="1"/>
  <c r="B13" i="6157"/>
  <c r="C13" i="6157" s="1"/>
  <c r="O12" i="6157"/>
  <c r="C12" i="6157"/>
  <c r="O11" i="6157"/>
  <c r="C11" i="6157"/>
  <c r="O10" i="6157"/>
  <c r="C10" i="6157"/>
  <c r="C9" i="6157"/>
  <c r="C8" i="6157"/>
  <c r="O7" i="6157"/>
  <c r="C7" i="6157"/>
  <c r="O6" i="6157"/>
  <c r="B6" i="6157"/>
  <c r="O5" i="6157"/>
  <c r="B5" i="6157"/>
  <c r="O4" i="6157"/>
  <c r="O3" i="6157"/>
  <c r="O2" i="6157"/>
  <c r="O18" i="6147"/>
  <c r="O20" i="6155"/>
  <c r="O17" i="6155"/>
  <c r="C30" i="6155"/>
  <c r="B25" i="6155"/>
  <c r="C16" i="6155"/>
  <c r="B15" i="6155"/>
  <c r="H16" i="6155" s="1"/>
  <c r="B14" i="6155"/>
  <c r="B24" i="6155" s="1"/>
  <c r="B13" i="6155"/>
  <c r="C13" i="6155" s="1"/>
  <c r="O12" i="6155"/>
  <c r="C12" i="6155"/>
  <c r="O11" i="6155"/>
  <c r="C11" i="6155"/>
  <c r="O10" i="6155"/>
  <c r="C10" i="6155"/>
  <c r="C9" i="6155"/>
  <c r="C8" i="6155"/>
  <c r="O7" i="6155"/>
  <c r="C7" i="6155"/>
  <c r="O6" i="6155"/>
  <c r="B6" i="6155"/>
  <c r="O5" i="6155"/>
  <c r="B5" i="6155"/>
  <c r="O4" i="6155"/>
  <c r="O3" i="6155"/>
  <c r="O2" i="6155"/>
  <c r="O22" i="6147"/>
  <c r="O23" i="6147"/>
  <c r="C14" i="6155" l="1"/>
  <c r="C14" i="6157"/>
  <c r="H13" i="6155"/>
  <c r="H8" i="6155"/>
  <c r="H6" i="6155"/>
  <c r="H20" i="6155"/>
  <c r="C42" i="6155"/>
  <c r="C20" i="6155"/>
  <c r="H10" i="6155"/>
  <c r="H23" i="6155"/>
  <c r="C34" i="6155"/>
  <c r="C38" i="6155"/>
  <c r="H7" i="6159"/>
  <c r="C14" i="6159"/>
  <c r="H11" i="6159"/>
  <c r="H10" i="6159"/>
  <c r="H23" i="6159"/>
  <c r="H18" i="6159"/>
  <c r="C40" i="6159"/>
  <c r="H6" i="6159"/>
  <c r="H17" i="6159"/>
  <c r="C15" i="6159"/>
  <c r="H15" i="6159"/>
  <c r="C21" i="6159"/>
  <c r="H24" i="6159"/>
  <c r="C34" i="6159"/>
  <c r="C42" i="6159"/>
  <c r="H22" i="6159"/>
  <c r="C17" i="6159"/>
  <c r="H5" i="6159"/>
  <c r="H12" i="6159"/>
  <c r="H14" i="6159"/>
  <c r="C36" i="6159"/>
  <c r="C44" i="6159"/>
  <c r="C32" i="6159"/>
  <c r="H4" i="6159"/>
  <c r="H2" i="6159"/>
  <c r="H3" i="6159"/>
  <c r="H29" i="6159"/>
  <c r="C18" i="6159"/>
  <c r="H21" i="6159"/>
  <c r="H8" i="6159"/>
  <c r="H28" i="6159"/>
  <c r="C19" i="6159"/>
  <c r="H20" i="6159"/>
  <c r="C38" i="6159"/>
  <c r="H49" i="6159"/>
  <c r="H19" i="6159"/>
  <c r="H30" i="6159"/>
  <c r="H31" i="6159"/>
  <c r="H32" i="6159"/>
  <c r="H13" i="6159"/>
  <c r="H9" i="6159"/>
  <c r="H34" i="6159"/>
  <c r="C33" i="6159"/>
  <c r="C35" i="6159"/>
  <c r="C37" i="6159"/>
  <c r="C39" i="6159"/>
  <c r="C41" i="6159"/>
  <c r="C43" i="6159"/>
  <c r="H47" i="6159"/>
  <c r="H51" i="6159"/>
  <c r="B23" i="6159"/>
  <c r="H33" i="6159"/>
  <c r="H26" i="6159"/>
  <c r="H36" i="6159"/>
  <c r="H38" i="6159"/>
  <c r="H40" i="6159"/>
  <c r="H27" i="6159"/>
  <c r="H43" i="6159"/>
  <c r="H45" i="6159"/>
  <c r="H48" i="6159"/>
  <c r="H16" i="6159"/>
  <c r="C20" i="6159"/>
  <c r="B22" i="6159"/>
  <c r="H25" i="6159"/>
  <c r="H35" i="6159"/>
  <c r="H37" i="6159"/>
  <c r="H39" i="6159"/>
  <c r="H41" i="6159"/>
  <c r="H42" i="6159"/>
  <c r="H44" i="6159"/>
  <c r="H46" i="6159"/>
  <c r="H50" i="6159"/>
  <c r="H10" i="6157"/>
  <c r="H13" i="6157"/>
  <c r="H6" i="6157"/>
  <c r="H28" i="6157"/>
  <c r="H24" i="6157"/>
  <c r="C15" i="6157"/>
  <c r="H16" i="6157"/>
  <c r="H31" i="6157"/>
  <c r="H32" i="6157"/>
  <c r="H22" i="6157"/>
  <c r="H14" i="6157"/>
  <c r="H8" i="6157"/>
  <c r="H19" i="6157"/>
  <c r="C33" i="6157"/>
  <c r="C35" i="6157"/>
  <c r="C37" i="6157"/>
  <c r="C39" i="6157"/>
  <c r="C41" i="6157"/>
  <c r="C43" i="6157"/>
  <c r="H47" i="6157"/>
  <c r="H51" i="6157"/>
  <c r="H5" i="6157"/>
  <c r="H20" i="6157"/>
  <c r="C17" i="6157"/>
  <c r="C19" i="6157"/>
  <c r="C21" i="6157"/>
  <c r="B23" i="6157"/>
  <c r="H23" i="6157"/>
  <c r="H26" i="6157"/>
  <c r="H36" i="6157"/>
  <c r="H27" i="6157"/>
  <c r="H39" i="6157"/>
  <c r="H41" i="6157"/>
  <c r="H43" i="6157"/>
  <c r="H45" i="6157"/>
  <c r="H48" i="6157"/>
  <c r="H12" i="6157"/>
  <c r="H3" i="6157"/>
  <c r="H2" i="6157"/>
  <c r="H11" i="6157"/>
  <c r="H4" i="6157"/>
  <c r="H30" i="6157"/>
  <c r="H21" i="6157"/>
  <c r="H17" i="6157"/>
  <c r="H15" i="6157"/>
  <c r="H25" i="6157"/>
  <c r="H33" i="6157"/>
  <c r="H18" i="6157"/>
  <c r="C32" i="6157"/>
  <c r="C34" i="6157"/>
  <c r="C36" i="6157"/>
  <c r="C38" i="6157"/>
  <c r="C40" i="6157"/>
  <c r="C42" i="6157"/>
  <c r="C44" i="6157"/>
  <c r="H49" i="6157"/>
  <c r="H7" i="6157"/>
  <c r="H9" i="6157"/>
  <c r="H29" i="6157"/>
  <c r="C18" i="6157"/>
  <c r="C20" i="6157"/>
  <c r="B22" i="6157"/>
  <c r="H34" i="6157"/>
  <c r="H35" i="6157"/>
  <c r="H37" i="6157"/>
  <c r="H38" i="6157"/>
  <c r="H40" i="6157"/>
  <c r="H42" i="6157"/>
  <c r="H44" i="6157"/>
  <c r="H46" i="6157"/>
  <c r="H50" i="6157"/>
  <c r="H49" i="6155"/>
  <c r="H12" i="6155"/>
  <c r="H36" i="6155"/>
  <c r="H40" i="6155"/>
  <c r="H44" i="6155"/>
  <c r="H50" i="6155"/>
  <c r="H17" i="6155"/>
  <c r="C15" i="6155"/>
  <c r="B22" i="6155"/>
  <c r="H29" i="6155"/>
  <c r="C32" i="6155"/>
  <c r="C40" i="6155"/>
  <c r="C44" i="6155"/>
  <c r="H5" i="6155"/>
  <c r="H22" i="6155"/>
  <c r="H18" i="6155"/>
  <c r="H7" i="6155"/>
  <c r="H21" i="6155"/>
  <c r="C18" i="6155"/>
  <c r="C36" i="6155"/>
  <c r="H3" i="6155"/>
  <c r="H2" i="6155"/>
  <c r="H9" i="6155"/>
  <c r="H4" i="6155"/>
  <c r="H24" i="6155"/>
  <c r="H19" i="6155"/>
  <c r="H28" i="6155"/>
  <c r="H30" i="6155"/>
  <c r="H34" i="6155"/>
  <c r="H38" i="6155"/>
  <c r="H42" i="6155"/>
  <c r="H46" i="6155"/>
  <c r="H52" i="6155"/>
  <c r="H15" i="6155"/>
  <c r="H25" i="6155"/>
  <c r="H26" i="6155"/>
  <c r="H27" i="6155"/>
  <c r="H14" i="6155"/>
  <c r="H11" i="6155"/>
  <c r="H32" i="6155"/>
  <c r="C33" i="6155"/>
  <c r="C35" i="6155"/>
  <c r="C37" i="6155"/>
  <c r="C39" i="6155"/>
  <c r="C41" i="6155"/>
  <c r="C43" i="6155"/>
  <c r="H47" i="6155"/>
  <c r="H51" i="6155"/>
  <c r="C17" i="6155"/>
  <c r="C19" i="6155"/>
  <c r="C21" i="6155"/>
  <c r="B23" i="6155"/>
  <c r="H31" i="6155"/>
  <c r="H33" i="6155"/>
  <c r="H35" i="6155"/>
  <c r="H37" i="6155"/>
  <c r="H39" i="6155"/>
  <c r="H41" i="6155"/>
  <c r="H43" i="6155"/>
  <c r="H45" i="6155"/>
  <c r="H48" i="6155"/>
  <c r="O23" i="6153" l="1"/>
  <c r="O19" i="6153"/>
  <c r="C30" i="6153"/>
  <c r="B25" i="6153"/>
  <c r="C16" i="6153"/>
  <c r="B15" i="6153"/>
  <c r="H52" i="6153" s="1"/>
  <c r="B14" i="6153"/>
  <c r="B24" i="6153" s="1"/>
  <c r="B13" i="6153"/>
  <c r="C13" i="6153" s="1"/>
  <c r="O12" i="6153"/>
  <c r="C12" i="6153"/>
  <c r="O11" i="6153"/>
  <c r="C11" i="6153"/>
  <c r="O10" i="6153"/>
  <c r="C10" i="6153"/>
  <c r="C9" i="6153"/>
  <c r="C8" i="6153"/>
  <c r="O7" i="6153"/>
  <c r="C7" i="6153"/>
  <c r="O6" i="6153"/>
  <c r="B6" i="6153"/>
  <c r="O5" i="6153"/>
  <c r="B5" i="6153"/>
  <c r="O4" i="6153"/>
  <c r="O3" i="6153"/>
  <c r="O2" i="6153"/>
  <c r="O21" i="6151"/>
  <c r="O18" i="6151"/>
  <c r="C30" i="6151"/>
  <c r="B25" i="6151"/>
  <c r="C16" i="6151"/>
  <c r="B15" i="6151"/>
  <c r="H16" i="6151" s="1"/>
  <c r="B14" i="6151"/>
  <c r="C14" i="6151" s="1"/>
  <c r="B13" i="6151"/>
  <c r="C13" i="6151" s="1"/>
  <c r="O12" i="6151"/>
  <c r="C12" i="6151"/>
  <c r="O11" i="6151"/>
  <c r="C11" i="6151"/>
  <c r="O10" i="6151"/>
  <c r="C10" i="6151"/>
  <c r="C9" i="6151"/>
  <c r="C8" i="6151"/>
  <c r="O7" i="6151"/>
  <c r="C7" i="6151"/>
  <c r="O6" i="6151"/>
  <c r="B6" i="6151"/>
  <c r="O5" i="6151"/>
  <c r="B5" i="6151"/>
  <c r="O4" i="6151"/>
  <c r="O3" i="6151"/>
  <c r="O2" i="6151"/>
  <c r="O19" i="6147"/>
  <c r="O18" i="6149"/>
  <c r="O20" i="6149"/>
  <c r="C30" i="6149"/>
  <c r="B25" i="6149"/>
  <c r="C16" i="6149"/>
  <c r="B15" i="6149"/>
  <c r="H52" i="6149" s="1"/>
  <c r="B14" i="6149"/>
  <c r="B24" i="6149" s="1"/>
  <c r="B13" i="6149"/>
  <c r="C13" i="6149" s="1"/>
  <c r="O12" i="6149"/>
  <c r="C12" i="6149"/>
  <c r="O11" i="6149"/>
  <c r="C11" i="6149"/>
  <c r="O10" i="6149"/>
  <c r="C10" i="6149"/>
  <c r="C9" i="6149"/>
  <c r="C8" i="6149"/>
  <c r="O7" i="6149"/>
  <c r="C7" i="6149"/>
  <c r="O6" i="6149"/>
  <c r="B6" i="6149"/>
  <c r="O5" i="6149"/>
  <c r="B5" i="6149"/>
  <c r="O4" i="6149"/>
  <c r="O3" i="6149"/>
  <c r="O2" i="6149"/>
  <c r="O21" i="6147"/>
  <c r="O25" i="6147"/>
  <c r="C30" i="6147"/>
  <c r="B25" i="6147"/>
  <c r="C16" i="6147"/>
  <c r="B15" i="6147"/>
  <c r="H51" i="6147" s="1"/>
  <c r="B14" i="6147"/>
  <c r="C14" i="6147" s="1"/>
  <c r="B13" i="6147"/>
  <c r="C13" i="6147" s="1"/>
  <c r="O12" i="6147"/>
  <c r="C12" i="6147"/>
  <c r="O11" i="6147"/>
  <c r="C11" i="6147"/>
  <c r="O10" i="6147"/>
  <c r="C10" i="6147"/>
  <c r="C9" i="6147"/>
  <c r="C8" i="6147"/>
  <c r="O7" i="6147"/>
  <c r="C7" i="6147"/>
  <c r="O6" i="6147"/>
  <c r="B6" i="6147"/>
  <c r="O5" i="6147"/>
  <c r="B5" i="6147"/>
  <c r="O4" i="6147"/>
  <c r="O3" i="6147"/>
  <c r="O2" i="6147"/>
  <c r="H11" i="6153" l="1"/>
  <c r="B24" i="6151"/>
  <c r="H4" i="6151"/>
  <c r="C14" i="6149"/>
  <c r="H2" i="6153"/>
  <c r="C14" i="6153"/>
  <c r="H5" i="6153"/>
  <c r="H6" i="6153"/>
  <c r="H3" i="6153"/>
  <c r="C15" i="6153"/>
  <c r="H12" i="6153"/>
  <c r="H10" i="6153"/>
  <c r="H22" i="6153"/>
  <c r="H21" i="6153"/>
  <c r="H15" i="6153"/>
  <c r="H29" i="6153"/>
  <c r="H30" i="6153"/>
  <c r="H25" i="6153"/>
  <c r="H13" i="6153"/>
  <c r="H9" i="6153"/>
  <c r="H20" i="6153"/>
  <c r="C33" i="6153"/>
  <c r="C35" i="6153"/>
  <c r="C37" i="6153"/>
  <c r="C39" i="6153"/>
  <c r="C41" i="6153"/>
  <c r="C43" i="6153"/>
  <c r="H47" i="6153"/>
  <c r="H51" i="6153"/>
  <c r="H7" i="6153"/>
  <c r="H23" i="6153"/>
  <c r="C17" i="6153"/>
  <c r="C19" i="6153"/>
  <c r="C21" i="6153"/>
  <c r="B23" i="6153"/>
  <c r="H26" i="6153"/>
  <c r="H34" i="6153"/>
  <c r="H27" i="6153"/>
  <c r="H37" i="6153"/>
  <c r="H39" i="6153"/>
  <c r="H41" i="6153"/>
  <c r="H43" i="6153"/>
  <c r="H45" i="6153"/>
  <c r="H48" i="6153"/>
  <c r="H19" i="6153"/>
  <c r="H24" i="6153"/>
  <c r="H18" i="6153"/>
  <c r="H17" i="6153"/>
  <c r="H14" i="6153"/>
  <c r="H31" i="6153"/>
  <c r="H32" i="6153"/>
  <c r="H16" i="6153"/>
  <c r="C32" i="6153"/>
  <c r="C34" i="6153"/>
  <c r="C36" i="6153"/>
  <c r="C38" i="6153"/>
  <c r="C40" i="6153"/>
  <c r="C42" i="6153"/>
  <c r="C44" i="6153"/>
  <c r="H49" i="6153"/>
  <c r="H4" i="6153"/>
  <c r="H8" i="6153"/>
  <c r="H28" i="6153"/>
  <c r="C18" i="6153"/>
  <c r="C20" i="6153"/>
  <c r="B22" i="6153"/>
  <c r="H33" i="6153"/>
  <c r="H35" i="6153"/>
  <c r="H36" i="6153"/>
  <c r="H38" i="6153"/>
  <c r="H40" i="6153"/>
  <c r="H42" i="6153"/>
  <c r="H44" i="6153"/>
  <c r="H46" i="6153"/>
  <c r="H50" i="6153"/>
  <c r="H9" i="6151"/>
  <c r="H2" i="6151"/>
  <c r="H26" i="6151"/>
  <c r="C38" i="6151"/>
  <c r="H6" i="6151"/>
  <c r="H11" i="6151"/>
  <c r="C15" i="6151"/>
  <c r="H17" i="6151"/>
  <c r="H19" i="6151"/>
  <c r="C34" i="6151"/>
  <c r="C40" i="6151"/>
  <c r="H29" i="6151"/>
  <c r="C18" i="6151"/>
  <c r="H52" i="6151"/>
  <c r="H20" i="6151"/>
  <c r="C20" i="6151"/>
  <c r="C36" i="6151"/>
  <c r="H43" i="6151"/>
  <c r="H49" i="6151"/>
  <c r="H23" i="6151"/>
  <c r="H18" i="6151"/>
  <c r="H25" i="6151"/>
  <c r="H36" i="6151"/>
  <c r="C44" i="6151"/>
  <c r="H10" i="6151"/>
  <c r="H13" i="6151"/>
  <c r="H3" i="6151"/>
  <c r="H31" i="6151"/>
  <c r="B22" i="6151"/>
  <c r="H34" i="6151"/>
  <c r="C32" i="6151"/>
  <c r="H39" i="6151"/>
  <c r="C42" i="6151"/>
  <c r="H5" i="6151"/>
  <c r="H24" i="6151"/>
  <c r="H14" i="6151"/>
  <c r="H37" i="6151"/>
  <c r="H41" i="6151"/>
  <c r="H45" i="6151"/>
  <c r="H50" i="6151"/>
  <c r="H15" i="6151"/>
  <c r="H32" i="6151"/>
  <c r="H33" i="6151"/>
  <c r="H21" i="6151"/>
  <c r="H12" i="6151"/>
  <c r="H8" i="6151"/>
  <c r="H22" i="6151"/>
  <c r="C33" i="6151"/>
  <c r="C35" i="6151"/>
  <c r="C37" i="6151"/>
  <c r="C39" i="6151"/>
  <c r="C41" i="6151"/>
  <c r="C43" i="6151"/>
  <c r="H47" i="6151"/>
  <c r="H51" i="6151"/>
  <c r="H7" i="6151"/>
  <c r="H30" i="6151"/>
  <c r="C17" i="6151"/>
  <c r="C19" i="6151"/>
  <c r="C21" i="6151"/>
  <c r="B23" i="6151"/>
  <c r="H28" i="6151"/>
  <c r="H35" i="6151"/>
  <c r="H27" i="6151"/>
  <c r="H38" i="6151"/>
  <c r="H40" i="6151"/>
  <c r="H42" i="6151"/>
  <c r="H44" i="6151"/>
  <c r="H46" i="6151"/>
  <c r="H48" i="6151"/>
  <c r="H7" i="6149"/>
  <c r="C17" i="6149"/>
  <c r="C21" i="6149"/>
  <c r="H30" i="6149"/>
  <c r="C34" i="6149"/>
  <c r="C42" i="6149"/>
  <c r="H20" i="6149"/>
  <c r="H11" i="6149"/>
  <c r="C36" i="6149"/>
  <c r="C44" i="6149"/>
  <c r="H12" i="6149"/>
  <c r="H10" i="6149"/>
  <c r="C15" i="6149"/>
  <c r="H17" i="6149"/>
  <c r="H8" i="6149"/>
  <c r="H25" i="6149"/>
  <c r="H21" i="6149"/>
  <c r="C19" i="6149"/>
  <c r="H29" i="6149"/>
  <c r="C38" i="6149"/>
  <c r="H48" i="6149"/>
  <c r="H6" i="6149"/>
  <c r="H18" i="6149"/>
  <c r="H16" i="6149"/>
  <c r="H5" i="6149"/>
  <c r="H2" i="6149"/>
  <c r="H9" i="6149"/>
  <c r="H3" i="6149"/>
  <c r="H14" i="6149"/>
  <c r="C32" i="6149"/>
  <c r="C40" i="6149"/>
  <c r="H4" i="6149"/>
  <c r="H22" i="6149"/>
  <c r="H27" i="6149"/>
  <c r="H28" i="6149"/>
  <c r="H23" i="6149"/>
  <c r="H15" i="6149"/>
  <c r="H13" i="6149"/>
  <c r="H32" i="6149"/>
  <c r="C33" i="6149"/>
  <c r="C35" i="6149"/>
  <c r="C37" i="6149"/>
  <c r="C39" i="6149"/>
  <c r="C41" i="6149"/>
  <c r="C43" i="6149"/>
  <c r="H46" i="6149"/>
  <c r="H50" i="6149"/>
  <c r="B23" i="6149"/>
  <c r="H31" i="6149"/>
  <c r="H24" i="6149"/>
  <c r="H34" i="6149"/>
  <c r="H36" i="6149"/>
  <c r="H38" i="6149"/>
  <c r="H40" i="6149"/>
  <c r="H42" i="6149"/>
  <c r="H44" i="6149"/>
  <c r="H47" i="6149"/>
  <c r="H51" i="6149"/>
  <c r="H26" i="6149"/>
  <c r="C18" i="6149"/>
  <c r="C20" i="6149"/>
  <c r="B22" i="6149"/>
  <c r="H19" i="6149"/>
  <c r="H33" i="6149"/>
  <c r="H35" i="6149"/>
  <c r="H37" i="6149"/>
  <c r="H39" i="6149"/>
  <c r="H41" i="6149"/>
  <c r="H43" i="6149"/>
  <c r="H45" i="6149"/>
  <c r="H49" i="6149"/>
  <c r="H10" i="6147"/>
  <c r="H6" i="6147"/>
  <c r="H20" i="6147"/>
  <c r="H8" i="6147"/>
  <c r="H35" i="6147"/>
  <c r="C19" i="6147"/>
  <c r="H14" i="6147"/>
  <c r="H30" i="6147"/>
  <c r="H29" i="6147"/>
  <c r="C36" i="6147"/>
  <c r="H42" i="6147"/>
  <c r="H44" i="6147"/>
  <c r="C44" i="6147"/>
  <c r="H50" i="6147"/>
  <c r="H12" i="6147"/>
  <c r="H24" i="6147"/>
  <c r="C17" i="6147"/>
  <c r="H17" i="6147"/>
  <c r="H27" i="6147"/>
  <c r="C34" i="6147"/>
  <c r="H40" i="6147"/>
  <c r="C42" i="6147"/>
  <c r="H34" i="6147"/>
  <c r="C15" i="6147"/>
  <c r="C20" i="6147"/>
  <c r="H28" i="6147"/>
  <c r="C32" i="6147"/>
  <c r="H39" i="6147"/>
  <c r="H41" i="6147"/>
  <c r="C40" i="6147"/>
  <c r="H45" i="6147"/>
  <c r="H48" i="6147"/>
  <c r="H5" i="6147"/>
  <c r="B22" i="6147"/>
  <c r="H31" i="6147"/>
  <c r="H33" i="6147"/>
  <c r="H16" i="6147"/>
  <c r="H7" i="6147"/>
  <c r="H23" i="6147"/>
  <c r="B23" i="6147"/>
  <c r="H19" i="6147"/>
  <c r="H22" i="6147"/>
  <c r="H4" i="6147"/>
  <c r="H2" i="6147"/>
  <c r="H11" i="6147"/>
  <c r="H3" i="6147"/>
  <c r="H26" i="6147"/>
  <c r="C18" i="6147"/>
  <c r="C21" i="6147"/>
  <c r="H18" i="6147"/>
  <c r="H38" i="6147"/>
  <c r="H32" i="6147"/>
  <c r="C38" i="6147"/>
  <c r="H43" i="6147"/>
  <c r="H46" i="6147"/>
  <c r="H49" i="6147"/>
  <c r="H52" i="6147"/>
  <c r="B24" i="6147"/>
  <c r="H15" i="6147"/>
  <c r="H36" i="6147"/>
  <c r="H37" i="6147"/>
  <c r="H25" i="6147"/>
  <c r="H13" i="6147"/>
  <c r="H9" i="6147"/>
  <c r="H21" i="6147"/>
  <c r="C33" i="6147"/>
  <c r="C35" i="6147"/>
  <c r="C37" i="6147"/>
  <c r="C39" i="6147"/>
  <c r="C41" i="6147"/>
  <c r="C43" i="6147"/>
  <c r="H47" i="6147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<sst xmlns="http://schemas.openxmlformats.org/spreadsheetml/2006/main" count="3793" uniqueCount="288">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</sst>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全体!$K$2:$K$782</c:f>
              <c:numCache>
                <c:formatCode>General</c:formatCode>
                <c:ptCount val="7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</c:numCache>
            </c:numRef>
          </c:xVal>
          <c:yVal>
            <c:numRef>
              <c:f>全体!$L$2:$L$782</c:f>
              <c:numCache>
                <c:formatCode>\+0.0;\-0.0;\±0</c:formatCode>
                <c:ptCount val="78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1E-4FBB-BF05-EE4C73340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-27.027027027027028</c:v>
                </c:pt>
                <c:pt idx="1">
                  <c:v>13.071895424836601</c:v>
                </c:pt>
                <c:pt idx="2">
                  <c:v>-11.111111111111111</c:v>
                </c:pt>
                <c:pt idx="3">
                  <c:v>10.279001468428781</c:v>
                </c:pt>
                <c:pt idx="4">
                  <c:v>4.7846889952153111</c:v>
                </c:pt>
                <c:pt idx="5">
                  <c:v>15.238095238095237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5-4A97-B64D-905859C0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147</c:v>
                </c:pt>
                <c:pt idx="1">
                  <c:v>323</c:v>
                </c:pt>
                <c:pt idx="2">
                  <c:v>377</c:v>
                </c:pt>
                <c:pt idx="3">
                  <c:v>336</c:v>
                </c:pt>
                <c:pt idx="4">
                  <c:v>309</c:v>
                </c:pt>
                <c:pt idx="5">
                  <c:v>204</c:v>
                </c:pt>
                <c:pt idx="6">
                  <c:v>107</c:v>
                </c:pt>
                <c:pt idx="7">
                  <c:v>53</c:v>
                </c:pt>
                <c:pt idx="8">
                  <c:v>26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1-44D9-8A03-D8593E269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たかの!$L$2:$L$70</c:f>
              <c:numCache>
                <c:formatCode>\+0.0;\-0.0;\±0</c:formatCode>
                <c:ptCount val="6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E7-429D-B06C-6CB25D078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1494.1176470588234</c:v>
                </c:pt>
                <c:pt idx="1">
                  <c:v>-1811.9402985074628</c:v>
                </c:pt>
                <c:pt idx="2">
                  <c:v>-1627.6923076923076</c:v>
                </c:pt>
                <c:pt idx="3">
                  <c:v>-1221.311475409836</c:v>
                </c:pt>
                <c:pt idx="4">
                  <c:v>-223.33333333333334</c:v>
                </c:pt>
                <c:pt idx="5">
                  <c:v>-2334.6153846153848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1-487E-B638-A08952303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37</c:v>
                </c:pt>
                <c:pt idx="2">
                  <c:v>35</c:v>
                </c:pt>
                <c:pt idx="3">
                  <c:v>24</c:v>
                </c:pt>
                <c:pt idx="4">
                  <c:v>17</c:v>
                </c:pt>
                <c:pt idx="5">
                  <c:v>14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5-49F3-9DCE-973F70682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xVal>
          <c:yVal>
            <c:numRef>
              <c:f>だいち!$L$2:$L$156</c:f>
              <c:numCache>
                <c:formatCode>\+0.0;\-0.0;\±0</c:formatCode>
                <c:ptCount val="15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7-4A19-A789-3DE0B396F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1218.954248366013</c:v>
                </c:pt>
                <c:pt idx="1">
                  <c:v>1036.6666666666667</c:v>
                </c:pt>
                <c:pt idx="2">
                  <c:v>875.69444444444446</c:v>
                </c:pt>
                <c:pt idx="3">
                  <c:v>76.865671641791039</c:v>
                </c:pt>
                <c:pt idx="4">
                  <c:v>2037.0967741935483</c:v>
                </c:pt>
                <c:pt idx="5">
                  <c:v>1778.2178217821781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D-445B-BBA5-F25718B3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40</c:v>
                </c:pt>
                <c:pt idx="1">
                  <c:v>79</c:v>
                </c:pt>
                <c:pt idx="2">
                  <c:v>90</c:v>
                </c:pt>
                <c:pt idx="3">
                  <c:v>78</c:v>
                </c:pt>
                <c:pt idx="4">
                  <c:v>62</c:v>
                </c:pt>
                <c:pt idx="5">
                  <c:v>40</c:v>
                </c:pt>
                <c:pt idx="6">
                  <c:v>21</c:v>
                </c:pt>
                <c:pt idx="7">
                  <c:v>6</c:v>
                </c:pt>
                <c:pt idx="8">
                  <c:v>10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9-429D-AEA7-69B467CC3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ただ!$K$2:$K$138</c:f>
              <c:numCache>
                <c:formatCode>General</c:formatCode>
                <c:ptCount val="1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</c:numCache>
            </c:numRef>
          </c:xVal>
          <c:yVal>
            <c:numRef>
              <c:f>ただ!$L$2:$L$138</c:f>
              <c:numCache>
                <c:formatCode>\+0.0;\-0.0;\±0</c:formatCode>
                <c:ptCount val="13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1F-4750-B41E-E06FFC9E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-1550.3703703703704</c:v>
                </c:pt>
                <c:pt idx="1">
                  <c:v>1505.2631578947369</c:v>
                </c:pt>
                <c:pt idx="2">
                  <c:v>-427.04918032786884</c:v>
                </c:pt>
                <c:pt idx="3">
                  <c:v>404.31034482758622</c:v>
                </c:pt>
                <c:pt idx="4">
                  <c:v>-1004.7169811320755</c:v>
                </c:pt>
                <c:pt idx="5">
                  <c:v>1430.3370786516855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4-4597-A3A0-7FA96601B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24</c:v>
                </c:pt>
                <c:pt idx="1">
                  <c:v>55</c:v>
                </c:pt>
                <c:pt idx="2">
                  <c:v>70</c:v>
                </c:pt>
                <c:pt idx="3">
                  <c:v>74</c:v>
                </c:pt>
                <c:pt idx="4">
                  <c:v>52</c:v>
                </c:pt>
                <c:pt idx="5">
                  <c:v>38</c:v>
                </c:pt>
                <c:pt idx="6">
                  <c:v>11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89A-958A-14566B892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りくと!$L$2:$L$92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F-4148-AF10-404AB097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-191.01123595505618</c:v>
                </c:pt>
                <c:pt idx="1">
                  <c:v>-1214.6067415730338</c:v>
                </c:pt>
                <c:pt idx="2">
                  <c:v>616.86746987951813</c:v>
                </c:pt>
                <c:pt idx="3">
                  <c:v>-445.1219512195122</c:v>
                </c:pt>
                <c:pt idx="4">
                  <c:v>-2923.3766233766232</c:v>
                </c:pt>
                <c:pt idx="5">
                  <c:v>-1231.8181818181818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D-4CCC-A189-F5B83A9F2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48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4-44E5-81A3-D89F38710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れんたろう!$L$2:$L$106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1-48E5-BF9E-A48CDAEA3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1196.1538461538462</c:v>
                </c:pt>
                <c:pt idx="1">
                  <c:v>-1108.8235294117646</c:v>
                </c:pt>
                <c:pt idx="2">
                  <c:v>-258.06451612903226</c:v>
                </c:pt>
                <c:pt idx="3">
                  <c:v>2665.1685393258426</c:v>
                </c:pt>
                <c:pt idx="4">
                  <c:v>602.5</c:v>
                </c:pt>
                <c:pt idx="5">
                  <c:v>142.1875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2-4D45-9FA2-FC4DC0279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30</c:v>
                </c:pt>
                <c:pt idx="3">
                  <c:v>42</c:v>
                </c:pt>
                <c:pt idx="4">
                  <c:v>56</c:v>
                </c:pt>
                <c:pt idx="5">
                  <c:v>27</c:v>
                </c:pt>
                <c:pt idx="6">
                  <c:v>21</c:v>
                </c:pt>
                <c:pt idx="7">
                  <c:v>15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4-443D-A42C-54C7E0EBB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まっつん!$L$2:$L$120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67-4E08-8A99-C49999092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299.15254237288133</c:v>
                </c:pt>
                <c:pt idx="1">
                  <c:v>278.26086956521738</c:v>
                </c:pt>
                <c:pt idx="2">
                  <c:v>623.85321100917429</c:v>
                </c:pt>
                <c:pt idx="3">
                  <c:v>155</c:v>
                </c:pt>
                <c:pt idx="4">
                  <c:v>95.50561797752809</c:v>
                </c:pt>
                <c:pt idx="5">
                  <c:v>-941.55844155844159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EA-4B84-88AE-A416EAC2E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17</c:v>
                </c:pt>
                <c:pt idx="1">
                  <c:v>49</c:v>
                </c:pt>
                <c:pt idx="2">
                  <c:v>56</c:v>
                </c:pt>
                <c:pt idx="3">
                  <c:v>50</c:v>
                </c:pt>
                <c:pt idx="4">
                  <c:v>40</c:v>
                </c:pt>
                <c:pt idx="5">
                  <c:v>32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B-4627-BB95-6DC8DD55E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のり!$L$2:$L$57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D-4B78-A43B-F0D903A22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-2096.3636363636365</c:v>
                </c:pt>
                <c:pt idx="1">
                  <c:v>-261.81818181818181</c:v>
                </c:pt>
                <c:pt idx="2">
                  <c:v>-1358.4905660377358</c:v>
                </c:pt>
                <c:pt idx="3">
                  <c:v>-2133.3333333333335</c:v>
                </c:pt>
                <c:pt idx="4">
                  <c:v>-1854.3478260869565</c:v>
                </c:pt>
                <c:pt idx="5">
                  <c:v>-1846.1538461538462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9-41F6-AD86-20659F6C6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24</c:v>
                </c:pt>
                <c:pt idx="2">
                  <c:v>25</c:v>
                </c:pt>
                <c:pt idx="3">
                  <c:v>16</c:v>
                </c:pt>
                <c:pt idx="4">
                  <c:v>17</c:v>
                </c:pt>
                <c:pt idx="5">
                  <c:v>8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F-4BE4-9F58-986DC97DC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0F-4559-B733-92F5EA96C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24-4F6F-A6E1-77BC001FF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E-479F-A57F-F934D35B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9-4923-9ED5-B35166BF5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D-4F9E-9981-018CEF581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F-4D8D-9709-9C5D13531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B-417F-BED7-E44C5725D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8-42F6-9AEF-1F5A5FFB5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1-48A3-A6FA-F58837C4E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ともき!$L$2:$L$10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1-4103-9746-BB536D81B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-1100</c:v>
                </c:pt>
                <c:pt idx="1">
                  <c:v>-900</c:v>
                </c:pt>
                <c:pt idx="2">
                  <c:v>-2937.5</c:v>
                </c:pt>
                <c:pt idx="3">
                  <c:v>3312.5</c:v>
                </c:pt>
                <c:pt idx="4">
                  <c:v>-14.285714285714286</c:v>
                </c:pt>
                <c:pt idx="5">
                  <c:v>3740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31-4E48-9328-16BB75603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68-4313-83F5-58D092DF0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4-41D8-A8DB-3BA76310B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4-434E-BB5F-F223B9EC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5-4D66-A7A7-FD92BF1E3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37-4190-A1A4-A68A76CBD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8-4F1F-BAE5-83FEA63D4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F-4034-A64A-2717904BA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たか2!$B$3:$B$11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たか2!$C$3:$C$11</c:f>
              <c:numCache>
                <c:formatCode>\+0.0;\-0.0;\±0</c:formatCode>
                <c:ptCount val="9"/>
                <c:pt idx="1">
                  <c:v>35</c:v>
                </c:pt>
                <c:pt idx="2">
                  <c:v>9.1999999999999993</c:v>
                </c:pt>
                <c:pt idx="3">
                  <c:v>21.433333333333334</c:v>
                </c:pt>
                <c:pt idx="4">
                  <c:v>27.475000000000001</c:v>
                </c:pt>
                <c:pt idx="5">
                  <c:v>16.940000000000001</c:v>
                </c:pt>
                <c:pt idx="6">
                  <c:v>21.516666666666666</c:v>
                </c:pt>
                <c:pt idx="7">
                  <c:v>12.5</c:v>
                </c:pt>
                <c:pt idx="8">
                  <c:v>13.3125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92118946466750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たか2!$D$3:$D$11</c:f>
              <c:numCache>
                <c:formatCode>0.00\ "位"</c:formatCode>
                <c:ptCount val="9"/>
                <c:pt idx="1">
                  <c:v>1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1.6666666666666667</c:v>
                </c:pt>
                <c:pt idx="7">
                  <c:v>1.8571428571428572</c:v>
                </c:pt>
                <c:pt idx="8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たか2!$E$3:$E$11</c:f>
              <c:numCache>
                <c:formatCode>0.0%</c:formatCode>
                <c:ptCount val="9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たか2!$F$3:$F$11</c:f>
              <c:numCache>
                <c:formatCode>0.0%</c:formatCode>
                <c:ptCount val="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たか2!$G$3:$G$11</c:f>
              <c:numCache>
                <c:formatCode>0.0%</c:formatCode>
                <c:ptCount val="9"/>
                <c:pt idx="1">
                  <c:v>0.7142857142857143</c:v>
                </c:pt>
                <c:pt idx="2">
                  <c:v>0.46153846153846156</c:v>
                </c:pt>
                <c:pt idx="3">
                  <c:v>0.5</c:v>
                </c:pt>
                <c:pt idx="4">
                  <c:v>0.5</c:v>
                </c:pt>
                <c:pt idx="5">
                  <c:v>0.47222222222222221</c:v>
                </c:pt>
                <c:pt idx="6">
                  <c:v>0.45652173913043476</c:v>
                </c:pt>
                <c:pt idx="7">
                  <c:v>0.38983050847457629</c:v>
                </c:pt>
                <c:pt idx="8">
                  <c:v>0.37681159420289856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510455104551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たか2!$H$3:$H$11</c:f>
              <c:numCache>
                <c:formatCode>0.0%</c:formatCode>
                <c:ptCount val="9"/>
                <c:pt idx="1">
                  <c:v>0.14285714285714285</c:v>
                </c:pt>
                <c:pt idx="2">
                  <c:v>0.15384615384615385</c:v>
                </c:pt>
                <c:pt idx="3">
                  <c:v>0.125</c:v>
                </c:pt>
                <c:pt idx="4">
                  <c:v>0.1</c:v>
                </c:pt>
                <c:pt idx="5">
                  <c:v>0.16666666666666666</c:v>
                </c:pt>
                <c:pt idx="6">
                  <c:v>0.19565217391304349</c:v>
                </c:pt>
                <c:pt idx="7">
                  <c:v>0.22033898305084745</c:v>
                </c:pt>
                <c:pt idx="8">
                  <c:v>0.2318840579710145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976629766297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たか2!$I$3:$I$11</c:f>
              <c:numCache>
                <c:formatCode>0</c:formatCode>
                <c:ptCount val="9"/>
                <c:pt idx="1">
                  <c:v>7100</c:v>
                </c:pt>
                <c:pt idx="2">
                  <c:v>6783.333333333333</c:v>
                </c:pt>
                <c:pt idx="3">
                  <c:v>7608.333333333333</c:v>
                </c:pt>
                <c:pt idx="4">
                  <c:v>8393.3333333333339</c:v>
                </c:pt>
                <c:pt idx="5">
                  <c:v>8347.0588235294126</c:v>
                </c:pt>
                <c:pt idx="6">
                  <c:v>9138.0952380952385</c:v>
                </c:pt>
                <c:pt idx="7">
                  <c:v>9647.826086956522</c:v>
                </c:pt>
                <c:pt idx="8">
                  <c:v>9534.6153846153848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3.85015608740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たか2!$J$3:$J$11</c:f>
              <c:numCache>
                <c:formatCode>0</c:formatCode>
                <c:ptCount val="9"/>
                <c:pt idx="1">
                  <c:v>-8000</c:v>
                </c:pt>
                <c:pt idx="2">
                  <c:v>-8000</c:v>
                </c:pt>
                <c:pt idx="3">
                  <c:v>-7900</c:v>
                </c:pt>
                <c:pt idx="4">
                  <c:v>-7900</c:v>
                </c:pt>
                <c:pt idx="5">
                  <c:v>-8566.6666666666661</c:v>
                </c:pt>
                <c:pt idx="6">
                  <c:v>-7500</c:v>
                </c:pt>
                <c:pt idx="7">
                  <c:v>-8692.3076923076915</c:v>
                </c:pt>
                <c:pt idx="8">
                  <c:v>-8437.5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00.66037735849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たか2!$K$3:$K$11</c:f>
              <c:numCache>
                <c:formatCode>0.0%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15384615384615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たか2!$L$3:$L$11</c:f>
              <c:numCache>
                <c:formatCode>0.0%</c:formatCode>
                <c:ptCount val="9"/>
                <c:pt idx="1">
                  <c:v>0.8571428571428571</c:v>
                </c:pt>
                <c:pt idx="2">
                  <c:v>0.53846153846153844</c:v>
                </c:pt>
                <c:pt idx="3">
                  <c:v>0.45833333333333331</c:v>
                </c:pt>
                <c:pt idx="4">
                  <c:v>0.46666666666666667</c:v>
                </c:pt>
                <c:pt idx="5">
                  <c:v>0.47222222222222221</c:v>
                </c:pt>
                <c:pt idx="6">
                  <c:v>0.43478260869565216</c:v>
                </c:pt>
                <c:pt idx="7">
                  <c:v>0.44067796610169491</c:v>
                </c:pt>
                <c:pt idx="8">
                  <c:v>0.40579710144927539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150061500615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たか2!$M$3:$M$11</c:f>
              <c:numCache>
                <c:formatCode>0.0%</c:formatCode>
                <c:ptCount val="9"/>
                <c:pt idx="1">
                  <c:v>0.14285714285714285</c:v>
                </c:pt>
                <c:pt idx="2">
                  <c:v>0.15384615384615385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0.19444444444444445</c:v>
                </c:pt>
                <c:pt idx="6">
                  <c:v>0.21739130434782608</c:v>
                </c:pt>
                <c:pt idx="7">
                  <c:v>0.1864406779661017</c:v>
                </c:pt>
                <c:pt idx="8">
                  <c:v>0.15942028985507245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167281672816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たか2!$N$3:$N$11</c:f>
              <c:numCache>
                <c:formatCode>0.0%</c:formatCode>
                <c:ptCount val="9"/>
                <c:pt idx="1">
                  <c:v>0.66666666666666663</c:v>
                </c:pt>
                <c:pt idx="2">
                  <c:v>0.7142857142857143</c:v>
                </c:pt>
                <c:pt idx="3">
                  <c:v>0.81818181818181823</c:v>
                </c:pt>
                <c:pt idx="4">
                  <c:v>0.7857142857142857</c:v>
                </c:pt>
                <c:pt idx="5">
                  <c:v>0.76470588235294112</c:v>
                </c:pt>
                <c:pt idx="6">
                  <c:v>0.8</c:v>
                </c:pt>
                <c:pt idx="7">
                  <c:v>0.65384615384615385</c:v>
                </c:pt>
                <c:pt idx="8">
                  <c:v>0.6785714285714286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823529411764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たか2!$O$3:$O$11</c:f>
              <c:numCache>
                <c:formatCode>0.0%</c:formatCode>
                <c:ptCount val="9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0.8</c:v>
                </c:pt>
                <c:pt idx="5">
                  <c:v>0.5714285714285714</c:v>
                </c:pt>
                <c:pt idx="6">
                  <c:v>0.5</c:v>
                </c:pt>
                <c:pt idx="7">
                  <c:v>0.45454545454545453</c:v>
                </c:pt>
                <c:pt idx="8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50673854447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たか2!$P$3:$P$11</c:f>
              <c:numCache>
                <c:formatCode>0.0%</c:formatCode>
                <c:ptCount val="9"/>
                <c:pt idx="1">
                  <c:v>0.4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0.43478260869565216</c:v>
                </c:pt>
                <c:pt idx="8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767950052029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1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3" x14ac:dyDescent="0.45">
      <c r="A81" s="28" t="s">
        <v>287</v>
      </c>
      <c r="B81" s="29">
        <v>43812.455937500003</v>
      </c>
      <c r="C81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780</v>
      </c>
    </row>
    <row r="2" spans="1:2" x14ac:dyDescent="0.45">
      <c r="A2" t="s">
        <v>161</v>
      </c>
      <c r="B2">
        <v>68</v>
      </c>
    </row>
    <row r="3" spans="1:2" x14ac:dyDescent="0.45">
      <c r="A3" t="s">
        <v>126</v>
      </c>
      <c r="B3">
        <v>154</v>
      </c>
    </row>
    <row r="4" spans="1:2" x14ac:dyDescent="0.45">
      <c r="A4" t="s">
        <v>127</v>
      </c>
      <c r="B4">
        <v>136</v>
      </c>
    </row>
    <row r="5" spans="1:2" x14ac:dyDescent="0.45">
      <c r="A5" t="s">
        <v>172</v>
      </c>
      <c r="B5">
        <v>90</v>
      </c>
    </row>
    <row r="6" spans="1:2" x14ac:dyDescent="0.45">
      <c r="A6" t="s">
        <v>170</v>
      </c>
      <c r="B6">
        <v>104</v>
      </c>
    </row>
    <row r="7" spans="1:2" x14ac:dyDescent="0.45">
      <c r="A7" t="s">
        <v>171</v>
      </c>
      <c r="B7">
        <v>118</v>
      </c>
    </row>
    <row r="8" spans="1:2" x14ac:dyDescent="0.45">
      <c r="A8" t="s">
        <v>197</v>
      </c>
      <c r="B8">
        <v>55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8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0.98988296580476143</v>
      </c>
      <c r="G2" s="163"/>
      <c r="H2" s="162">
        <v>0.83865480427119976</v>
      </c>
      <c r="I2" s="163"/>
      <c r="J2" s="162">
        <v>0.89986005976835348</v>
      </c>
      <c r="K2" s="163"/>
      <c r="L2" s="162">
        <v>0.76560207920420154</v>
      </c>
      <c r="M2" s="163"/>
      <c r="N2" s="162">
        <v>0.50559320107622741</v>
      </c>
      <c r="O2" s="163"/>
      <c r="P2" s="162">
        <v>0.54422214464144614</v>
      </c>
      <c r="Q2" s="163"/>
      <c r="R2" s="162">
        <v>0.11691563022197515</v>
      </c>
      <c r="S2" s="163"/>
      <c r="T2" s="162">
        <v>0.54254195496887203</v>
      </c>
      <c r="U2" s="163"/>
      <c r="V2" s="162">
        <v>0.59131399773437932</v>
      </c>
      <c r="W2" s="163"/>
      <c r="X2" s="162">
        <v>-9.6391945065099432E-2</v>
      </c>
      <c r="Y2" s="163"/>
      <c r="Z2" s="162">
        <v>0.51130358734921777</v>
      </c>
      <c r="AA2" s="163"/>
      <c r="AB2" s="162">
        <v>0.28483451625023154</v>
      </c>
      <c r="AC2" s="163"/>
      <c r="AD2" s="162">
        <v>0.10404156229530108</v>
      </c>
      <c r="AE2" s="163"/>
      <c r="AF2" s="162">
        <v>0.85524555846140182</v>
      </c>
      <c r="AG2" s="163"/>
    </row>
    <row r="3" spans="1:33" x14ac:dyDescent="0.45">
      <c r="A3" s="70">
        <v>1</v>
      </c>
      <c r="B3" s="71" t="s">
        <v>126</v>
      </c>
      <c r="C3" s="72">
        <v>1223.7000000000003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10847.639484978541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274</v>
      </c>
      <c r="AA3" s="76">
        <v>0.68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408.90000000000026</v>
      </c>
      <c r="D4" s="81" t="s">
        <v>203</v>
      </c>
      <c r="E4" s="93">
        <v>13.1</v>
      </c>
      <c r="F4" s="81" t="s">
        <v>274</v>
      </c>
      <c r="G4" s="82">
        <v>1.75</v>
      </c>
      <c r="H4" s="81" t="s">
        <v>203</v>
      </c>
      <c r="I4" s="83">
        <v>0.5</v>
      </c>
      <c r="J4" s="81" t="s">
        <v>274</v>
      </c>
      <c r="K4" s="83">
        <v>0.25</v>
      </c>
      <c r="L4" s="81" t="s">
        <v>281</v>
      </c>
      <c r="M4" s="84">
        <v>0.37681159420289856</v>
      </c>
      <c r="N4" s="81" t="s">
        <v>274</v>
      </c>
      <c r="O4" s="84">
        <v>0.13235294117647059</v>
      </c>
      <c r="P4" s="81" t="s">
        <v>281</v>
      </c>
      <c r="Q4" s="85">
        <v>9534.6153846153848</v>
      </c>
      <c r="R4" s="81" t="s">
        <v>171</v>
      </c>
      <c r="S4" s="85">
        <v>-7262.9921259842522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281</v>
      </c>
      <c r="AA4" s="84">
        <v>0.6785714285714286</v>
      </c>
      <c r="AB4" s="81" t="s">
        <v>274</v>
      </c>
      <c r="AC4" s="84">
        <v>0.77777777777777779</v>
      </c>
      <c r="AD4" s="81" t="s">
        <v>170</v>
      </c>
      <c r="AE4" s="84">
        <v>0.52360515021459231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7.9461038961038977</v>
      </c>
      <c r="F5" s="81" t="s">
        <v>281</v>
      </c>
      <c r="G5" s="82">
        <v>1.75</v>
      </c>
      <c r="H5" s="81" t="s">
        <v>274</v>
      </c>
      <c r="I5" s="83">
        <v>0.5</v>
      </c>
      <c r="J5" s="81" t="s">
        <v>126</v>
      </c>
      <c r="K5" s="83">
        <v>0.25974025974025972</v>
      </c>
      <c r="L5" s="81" t="s">
        <v>274</v>
      </c>
      <c r="M5" s="84">
        <v>0.36764705882352944</v>
      </c>
      <c r="N5" s="81" t="s">
        <v>126</v>
      </c>
      <c r="O5" s="84">
        <v>0.13243457573354481</v>
      </c>
      <c r="P5" s="81" t="s">
        <v>280</v>
      </c>
      <c r="Q5" s="85">
        <v>8512.5</v>
      </c>
      <c r="R5" s="81" t="s">
        <v>172</v>
      </c>
      <c r="S5" s="85">
        <v>-7551.7730496453896</v>
      </c>
      <c r="T5" s="81" t="s">
        <v>126</v>
      </c>
      <c r="U5" s="83">
        <v>4.5454545454545456E-2</v>
      </c>
      <c r="V5" s="81" t="s">
        <v>274</v>
      </c>
      <c r="W5" s="84">
        <v>0.36764705882352944</v>
      </c>
      <c r="X5" s="81" t="s">
        <v>127</v>
      </c>
      <c r="Y5" s="84">
        <v>0.30052724077328646</v>
      </c>
      <c r="Z5" s="81" t="s">
        <v>126</v>
      </c>
      <c r="AA5" s="84">
        <v>0.60237388724035612</v>
      </c>
      <c r="AB5" s="81" t="s">
        <v>126</v>
      </c>
      <c r="AC5" s="84">
        <v>0.49315068493150682</v>
      </c>
      <c r="AD5" s="81" t="s">
        <v>172</v>
      </c>
      <c r="AE5" s="84">
        <v>0.46226415094339623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171</v>
      </c>
      <c r="C6" s="80">
        <v>98.4</v>
      </c>
      <c r="D6" s="81" t="s">
        <v>274</v>
      </c>
      <c r="E6" s="93">
        <v>5.1624999999999996</v>
      </c>
      <c r="F6" s="81" t="s">
        <v>126</v>
      </c>
      <c r="G6" s="82">
        <v>1.8116883116883118</v>
      </c>
      <c r="H6" s="81" t="s">
        <v>126</v>
      </c>
      <c r="I6" s="83">
        <v>0.44805194805194803</v>
      </c>
      <c r="J6" s="81" t="s">
        <v>171</v>
      </c>
      <c r="K6" s="83">
        <v>0.27966101694915252</v>
      </c>
      <c r="L6" s="81" t="s">
        <v>126</v>
      </c>
      <c r="M6" s="84">
        <v>0.34337827121332276</v>
      </c>
      <c r="N6" s="81" t="s">
        <v>171</v>
      </c>
      <c r="O6" s="84">
        <v>0.13326337880377753</v>
      </c>
      <c r="P6" s="81" t="s">
        <v>141</v>
      </c>
      <c r="Q6" s="85">
        <v>8403.8501560874083</v>
      </c>
      <c r="R6" s="81" t="s">
        <v>126</v>
      </c>
      <c r="S6" s="85">
        <v>-7691.6167664670656</v>
      </c>
      <c r="T6" s="81" t="s">
        <v>171</v>
      </c>
      <c r="U6" s="83">
        <v>6.7796610169491525E-2</v>
      </c>
      <c r="V6" s="81" t="s">
        <v>170</v>
      </c>
      <c r="W6" s="84">
        <v>0.31071428571428572</v>
      </c>
      <c r="X6" s="81" t="s">
        <v>161</v>
      </c>
      <c r="Y6" s="84">
        <v>0.24916943521594684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281</v>
      </c>
      <c r="AE6" s="84">
        <v>0.46153846153846156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274</v>
      </c>
      <c r="C7" s="80">
        <v>41.3</v>
      </c>
      <c r="D7" s="81" t="s">
        <v>170</v>
      </c>
      <c r="E7" s="93">
        <v>3.9317307692307719</v>
      </c>
      <c r="F7" s="81" t="s">
        <v>170</v>
      </c>
      <c r="G7" s="82">
        <v>1.9134615384615385</v>
      </c>
      <c r="H7" s="81" t="s">
        <v>228</v>
      </c>
      <c r="I7" s="83">
        <v>0.42857142857142855</v>
      </c>
      <c r="J7" s="81" t="s">
        <v>127</v>
      </c>
      <c r="K7" s="83">
        <v>0.3014705882352941</v>
      </c>
      <c r="L7" s="81" t="s">
        <v>127</v>
      </c>
      <c r="M7" s="84">
        <v>0.30228471001757468</v>
      </c>
      <c r="N7" s="81" t="s">
        <v>161</v>
      </c>
      <c r="O7" s="84">
        <v>0.15780730897009967</v>
      </c>
      <c r="P7" s="81" t="s">
        <v>171</v>
      </c>
      <c r="Q7" s="85">
        <v>8393.818181818182</v>
      </c>
      <c r="R7" s="81" t="s">
        <v>141</v>
      </c>
      <c r="S7" s="85">
        <v>-7800.6603773584902</v>
      </c>
      <c r="T7" s="81" t="s">
        <v>161</v>
      </c>
      <c r="U7" s="83">
        <v>7.3529411764705885E-2</v>
      </c>
      <c r="V7" s="81" t="s">
        <v>172</v>
      </c>
      <c r="W7" s="84">
        <v>0.28047182175622543</v>
      </c>
      <c r="X7" s="81" t="s">
        <v>126</v>
      </c>
      <c r="Y7" s="84">
        <v>0.23156225218080889</v>
      </c>
      <c r="Z7" s="81" t="s">
        <v>171</v>
      </c>
      <c r="AA7" s="84">
        <v>0.56692913385826771</v>
      </c>
      <c r="AB7" s="81" t="s">
        <v>171</v>
      </c>
      <c r="AC7" s="84">
        <v>0.44131455399061031</v>
      </c>
      <c r="AD7" s="81" t="s">
        <v>171</v>
      </c>
      <c r="AE7" s="84">
        <v>0.44727272727272727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203</v>
      </c>
      <c r="C8" s="80">
        <v>26.2</v>
      </c>
      <c r="D8" s="81" t="s">
        <v>171</v>
      </c>
      <c r="E8" s="93">
        <v>0.83389830508474583</v>
      </c>
      <c r="F8" s="81" t="s">
        <v>127</v>
      </c>
      <c r="G8" s="82">
        <v>1.963235294117647</v>
      </c>
      <c r="H8" s="81" t="s">
        <v>170</v>
      </c>
      <c r="I8" s="83">
        <v>0.39423076923076922</v>
      </c>
      <c r="J8" s="81" t="s">
        <v>170</v>
      </c>
      <c r="K8" s="83">
        <v>0.30769230769230771</v>
      </c>
      <c r="L8" s="81" t="s">
        <v>141</v>
      </c>
      <c r="M8" s="84">
        <v>0.29551045510455104</v>
      </c>
      <c r="N8" s="81" t="s">
        <v>141</v>
      </c>
      <c r="O8" s="84">
        <v>0.16297662976629768</v>
      </c>
      <c r="P8" s="81" t="s">
        <v>127</v>
      </c>
      <c r="Q8" s="85">
        <v>8392.4418604651164</v>
      </c>
      <c r="R8" s="81" t="s">
        <v>161</v>
      </c>
      <c r="S8" s="85">
        <v>-7827.3684210526317</v>
      </c>
      <c r="T8" s="81" t="s">
        <v>172</v>
      </c>
      <c r="U8" s="83">
        <v>7.7777777777777779E-2</v>
      </c>
      <c r="V8" s="81" t="s">
        <v>126</v>
      </c>
      <c r="W8" s="84">
        <v>0.26724821570182394</v>
      </c>
      <c r="X8" s="81" t="s">
        <v>197</v>
      </c>
      <c r="Y8" s="84">
        <v>0.22958057395143489</v>
      </c>
      <c r="Z8" s="81" t="s">
        <v>141</v>
      </c>
      <c r="AA8" s="84">
        <v>0.55882352941176472</v>
      </c>
      <c r="AB8" s="81" t="s">
        <v>197</v>
      </c>
      <c r="AC8" s="84">
        <v>0.42307692307692307</v>
      </c>
      <c r="AD8" s="81" t="s">
        <v>197</v>
      </c>
      <c r="AE8" s="84">
        <v>0.44444444444444442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127</v>
      </c>
      <c r="C9" s="80">
        <v>22.799999999999809</v>
      </c>
      <c r="D9" s="81" t="s">
        <v>127</v>
      </c>
      <c r="E9" s="93">
        <v>0.16764705882352801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141</v>
      </c>
      <c r="K9" s="83">
        <v>0.33333333333333331</v>
      </c>
      <c r="L9" s="81" t="s">
        <v>171</v>
      </c>
      <c r="M9" s="84">
        <v>0.28856243441762852</v>
      </c>
      <c r="N9" s="81" t="s">
        <v>170</v>
      </c>
      <c r="O9" s="84">
        <v>0.17499999999999999</v>
      </c>
      <c r="P9" s="81" t="s">
        <v>196</v>
      </c>
      <c r="Q9" s="85">
        <v>8385.7142857142862</v>
      </c>
      <c r="R9" s="81" t="s">
        <v>127</v>
      </c>
      <c r="S9" s="85">
        <v>-7936.1502347417836</v>
      </c>
      <c r="T9" s="81" t="s">
        <v>141</v>
      </c>
      <c r="U9" s="83">
        <v>9.6153846153846159E-2</v>
      </c>
      <c r="V9" s="81" t="s">
        <v>203</v>
      </c>
      <c r="W9" s="84">
        <v>0.26666666666666666</v>
      </c>
      <c r="X9" s="81" t="s">
        <v>141</v>
      </c>
      <c r="Y9" s="84">
        <v>0.22816728167281672</v>
      </c>
      <c r="Z9" s="81" t="s">
        <v>170</v>
      </c>
      <c r="AA9" s="84">
        <v>0.55555555555555558</v>
      </c>
      <c r="AB9" s="81" t="s">
        <v>141</v>
      </c>
      <c r="AC9" s="84">
        <v>0.4225067385444744</v>
      </c>
      <c r="AD9" s="81" t="s">
        <v>141</v>
      </c>
      <c r="AE9" s="84">
        <v>0.44276795005202912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-4.6185277824406512E-14</v>
      </c>
      <c r="D10" s="81" t="s">
        <v>141</v>
      </c>
      <c r="E10" s="93">
        <v>-5.9211894646675015E-17</v>
      </c>
      <c r="F10" s="81" t="s">
        <v>171</v>
      </c>
      <c r="G10" s="82">
        <v>2.0254237288135593</v>
      </c>
      <c r="H10" s="81" t="s">
        <v>127</v>
      </c>
      <c r="I10" s="83">
        <v>0.33823529411764708</v>
      </c>
      <c r="J10" s="81" t="s">
        <v>281</v>
      </c>
      <c r="K10" s="83">
        <v>0.375</v>
      </c>
      <c r="L10" s="81" t="s">
        <v>172</v>
      </c>
      <c r="M10" s="84">
        <v>0.27785058977719529</v>
      </c>
      <c r="N10" s="81" t="s">
        <v>196</v>
      </c>
      <c r="O10" s="84">
        <v>0.17499999999999999</v>
      </c>
      <c r="P10" s="81" t="s">
        <v>126</v>
      </c>
      <c r="Q10" s="85">
        <v>8153.5796766743651</v>
      </c>
      <c r="R10" s="81" t="s">
        <v>280</v>
      </c>
      <c r="S10" s="85">
        <v>-7987.5</v>
      </c>
      <c r="T10" s="81" t="s">
        <v>170</v>
      </c>
      <c r="U10" s="83">
        <v>0.10576923076923077</v>
      </c>
      <c r="V10" s="81" t="s">
        <v>171</v>
      </c>
      <c r="W10" s="84">
        <v>0.26652675760755506</v>
      </c>
      <c r="X10" s="81" t="s">
        <v>171</v>
      </c>
      <c r="Y10" s="84">
        <v>0.22350472193074503</v>
      </c>
      <c r="Z10" s="81" t="s">
        <v>172</v>
      </c>
      <c r="AA10" s="84">
        <v>0.55140186915887845</v>
      </c>
      <c r="AB10" s="81" t="s">
        <v>172</v>
      </c>
      <c r="AC10" s="84">
        <v>0.40909090909090912</v>
      </c>
      <c r="AD10" s="81" t="s">
        <v>274</v>
      </c>
      <c r="AE10" s="84">
        <v>0.44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0.33333333333333331</v>
      </c>
      <c r="J11" s="81" t="s">
        <v>172</v>
      </c>
      <c r="K11" s="83">
        <v>0.37777777777777777</v>
      </c>
      <c r="L11" s="81" t="s">
        <v>170</v>
      </c>
      <c r="M11" s="84">
        <v>0.27738095238095239</v>
      </c>
      <c r="N11" s="81" t="s">
        <v>197</v>
      </c>
      <c r="O11" s="84">
        <v>0.18101545253863136</v>
      </c>
      <c r="P11" s="81" t="s">
        <v>197</v>
      </c>
      <c r="Q11" s="85">
        <v>7968.3760683760684</v>
      </c>
      <c r="R11" s="81" t="s">
        <v>203</v>
      </c>
      <c r="S11" s="85">
        <v>-8000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0.20183486238532111</v>
      </c>
      <c r="Z11" s="81" t="s">
        <v>197</v>
      </c>
      <c r="AA11" s="84">
        <v>0.54081632653061229</v>
      </c>
      <c r="AB11" s="81" t="s">
        <v>161</v>
      </c>
      <c r="AC11" s="84">
        <v>0.40666666666666668</v>
      </c>
      <c r="AD11" s="81" t="s">
        <v>126</v>
      </c>
      <c r="AE11" s="84">
        <v>0.41570438799076215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280</v>
      </c>
      <c r="C12" s="80">
        <v>-80.800000000000011</v>
      </c>
      <c r="D12" s="81" t="s">
        <v>172</v>
      </c>
      <c r="E12" s="93">
        <v>-6.19</v>
      </c>
      <c r="F12" s="81" t="s">
        <v>228</v>
      </c>
      <c r="G12" s="82">
        <v>2.1428571428571428</v>
      </c>
      <c r="H12" s="81" t="s">
        <v>161</v>
      </c>
      <c r="I12" s="83">
        <v>0.30882352941176472</v>
      </c>
      <c r="J12" s="81" t="s">
        <v>196</v>
      </c>
      <c r="K12" s="83">
        <v>0.4</v>
      </c>
      <c r="L12" s="81" t="s">
        <v>161</v>
      </c>
      <c r="M12" s="84">
        <v>0.27242524916943522</v>
      </c>
      <c r="N12" s="81" t="s">
        <v>172</v>
      </c>
      <c r="O12" s="84">
        <v>0.18479685452162517</v>
      </c>
      <c r="P12" s="81" t="s">
        <v>172</v>
      </c>
      <c r="Q12" s="85">
        <v>7730.1886792452833</v>
      </c>
      <c r="R12" s="81" t="s">
        <v>197</v>
      </c>
      <c r="S12" s="85">
        <v>-8185.3658536585363</v>
      </c>
      <c r="T12" s="81" t="s">
        <v>274</v>
      </c>
      <c r="U12" s="83">
        <v>0.125</v>
      </c>
      <c r="V12" s="81" t="s">
        <v>141</v>
      </c>
      <c r="W12" s="84">
        <v>0.25615006150061503</v>
      </c>
      <c r="X12" s="81" t="s">
        <v>170</v>
      </c>
      <c r="Y12" s="84">
        <v>0.16666666666666666</v>
      </c>
      <c r="Z12" s="81" t="s">
        <v>228</v>
      </c>
      <c r="AA12" s="84">
        <v>0.53333333333333333</v>
      </c>
      <c r="AB12" s="81" t="s">
        <v>170</v>
      </c>
      <c r="AC12" s="84">
        <v>0.38571428571428573</v>
      </c>
      <c r="AD12" s="81" t="s">
        <v>127</v>
      </c>
      <c r="AE12" s="84">
        <v>0.41279069767441862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-7.5441176470588269</v>
      </c>
      <c r="F13" s="81" t="s">
        <v>172</v>
      </c>
      <c r="G13" s="82">
        <v>2.1555555555555554</v>
      </c>
      <c r="H13" s="81" t="s">
        <v>171</v>
      </c>
      <c r="I13" s="83">
        <v>0.25423728813559321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0.18717047451669597</v>
      </c>
      <c r="P13" s="81" t="s">
        <v>274</v>
      </c>
      <c r="Q13" s="85">
        <v>7608</v>
      </c>
      <c r="R13" s="81" t="s">
        <v>170</v>
      </c>
      <c r="S13" s="85">
        <v>-8237.4149659863942</v>
      </c>
      <c r="T13" s="81" t="s">
        <v>127</v>
      </c>
      <c r="U13" s="83">
        <v>0.13235294117647059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0.51136363636363635</v>
      </c>
      <c r="AB13" s="81" t="s">
        <v>127</v>
      </c>
      <c r="AC13" s="84">
        <v>0.38011695906432746</v>
      </c>
      <c r="AD13" s="81" t="s">
        <v>161</v>
      </c>
      <c r="AE13" s="84">
        <v>0.40243902439024393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-513.00000000000023</v>
      </c>
      <c r="D14" s="81" t="s">
        <v>197</v>
      </c>
      <c r="E14" s="93">
        <v>-11.389090909090909</v>
      </c>
      <c r="F14" s="81" t="s">
        <v>161</v>
      </c>
      <c r="G14" s="82">
        <v>2.1764705882352939</v>
      </c>
      <c r="H14" s="81" t="s">
        <v>172</v>
      </c>
      <c r="I14" s="83">
        <v>0.22222222222222221</v>
      </c>
      <c r="J14" s="81" t="s">
        <v>197</v>
      </c>
      <c r="K14" s="83">
        <v>0.47272727272727272</v>
      </c>
      <c r="L14" s="81" t="s">
        <v>197</v>
      </c>
      <c r="M14" s="84">
        <v>0.25827814569536423</v>
      </c>
      <c r="N14" s="81" t="s">
        <v>228</v>
      </c>
      <c r="O14" s="84">
        <v>0.19354838709677419</v>
      </c>
      <c r="P14" s="81" t="s">
        <v>228</v>
      </c>
      <c r="Q14" s="85">
        <v>7473.333333333333</v>
      </c>
      <c r="R14" s="81" t="s">
        <v>281</v>
      </c>
      <c r="S14" s="85">
        <v>-8437.5</v>
      </c>
      <c r="T14" s="81" t="s">
        <v>197</v>
      </c>
      <c r="U14" s="83">
        <v>0.18181818181818182</v>
      </c>
      <c r="V14" s="81" t="s">
        <v>127</v>
      </c>
      <c r="W14" s="84">
        <v>0.23286467486818982</v>
      </c>
      <c r="X14" s="81" t="s">
        <v>196</v>
      </c>
      <c r="Y14" s="84">
        <v>0.15</v>
      </c>
      <c r="Z14" s="81" t="s">
        <v>127</v>
      </c>
      <c r="AA14" s="84">
        <v>0.50566037735849056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-557.1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0.48529411764705882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203</v>
      </c>
      <c r="Q15" s="85">
        <v>7385.7142857142853</v>
      </c>
      <c r="R15" s="81" t="s">
        <v>274</v>
      </c>
      <c r="S15" s="85">
        <v>-8477.7777777777774</v>
      </c>
      <c r="T15" s="81" t="s">
        <v>280</v>
      </c>
      <c r="U15" s="83">
        <v>0.2</v>
      </c>
      <c r="V15" s="81" t="s">
        <v>197</v>
      </c>
      <c r="W15" s="84">
        <v>0.21633554083885209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-626.4</v>
      </c>
      <c r="D16" s="81" t="s">
        <v>280</v>
      </c>
      <c r="E16" s="93">
        <v>-16.160000000000004</v>
      </c>
      <c r="F16" s="81" t="s">
        <v>197</v>
      </c>
      <c r="G16" s="82">
        <v>2.290909090909091</v>
      </c>
      <c r="H16" s="81" t="s">
        <v>197</v>
      </c>
      <c r="I16" s="83">
        <v>0.18181818181818182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161</v>
      </c>
      <c r="Q16" s="85">
        <v>6887.1951219512193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0.1461794019933555</v>
      </c>
      <c r="X16" s="81" t="s">
        <v>274</v>
      </c>
      <c r="Y16" s="84">
        <v>0.13235294117647059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853C4-13AA-4FFF-9CBC-962524260415}">
  <sheetPr codeName="Sheet4"/>
  <dimension ref="A1:Q78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780</v>
      </c>
      <c r="C2" s="155"/>
      <c r="E2" s="58" t="s">
        <v>66</v>
      </c>
      <c r="F2" s="55" t="s">
        <v>22</v>
      </c>
      <c r="G2" s="43">
        <v>1463</v>
      </c>
      <c r="H2" s="128">
        <f>IF(B$15=0,0,G2/B$15)</f>
        <v>0.76118626430801251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-27.027027027027028</v>
      </c>
      <c r="P2" s="114">
        <v>777</v>
      </c>
      <c r="Q2" s="98">
        <v>-21000</v>
      </c>
    </row>
    <row r="3" spans="1:17" x14ac:dyDescent="0.45">
      <c r="A3" s="51" t="s">
        <v>8</v>
      </c>
      <c r="B3" s="156">
        <v>6504</v>
      </c>
      <c r="C3" s="157"/>
      <c r="E3" s="59" t="s">
        <v>72</v>
      </c>
      <c r="F3" s="56" t="s">
        <v>27</v>
      </c>
      <c r="G3" s="44">
        <v>1029</v>
      </c>
      <c r="H3" s="129">
        <f>IF(B$15=0,0,G3/B$15)</f>
        <v>0.53537981269510926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13.071895424836601</v>
      </c>
      <c r="P3" s="115">
        <v>765</v>
      </c>
      <c r="Q3" s="99">
        <v>10000</v>
      </c>
    </row>
    <row r="4" spans="1:17" x14ac:dyDescent="0.45">
      <c r="A4" s="51" t="s">
        <v>6</v>
      </c>
      <c r="B4" s="158">
        <v>-4.6185277824406512E-14</v>
      </c>
      <c r="C4" s="159"/>
      <c r="E4" s="59" t="s">
        <v>64</v>
      </c>
      <c r="F4" s="56" t="s">
        <v>20</v>
      </c>
      <c r="G4" s="44">
        <v>898</v>
      </c>
      <c r="H4" s="129">
        <f>IF(B$15=0,0,G4/B$15)</f>
        <v>0.4672216441207076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-11.111111111111111</v>
      </c>
      <c r="P4" s="115">
        <v>720</v>
      </c>
      <c r="Q4" s="99">
        <v>-8000</v>
      </c>
    </row>
    <row r="5" spans="1:17" x14ac:dyDescent="0.45">
      <c r="A5" s="51" t="s">
        <v>7</v>
      </c>
      <c r="B5" s="160">
        <f>IF(B$2=0,0,B$4/B$2)</f>
        <v>-5.9211894646675015E-17</v>
      </c>
      <c r="C5" s="161"/>
      <c r="E5" s="59" t="s">
        <v>166</v>
      </c>
      <c r="F5" s="56" t="s">
        <v>167</v>
      </c>
      <c r="G5" s="44">
        <v>756</v>
      </c>
      <c r="H5" s="129">
        <f>IF(B$15=0,0,G5/B$15)</f>
        <v>0.39334027055150883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10.279001468428781</v>
      </c>
      <c r="P5" s="115">
        <v>681</v>
      </c>
      <c r="Q5" s="99">
        <v>7000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593</v>
      </c>
      <c r="H6" s="129">
        <f>IF(B$15=0,0,G6/B$15)</f>
        <v>0.30853277835587928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4.7846889952153111</v>
      </c>
      <c r="P6" s="115">
        <v>627</v>
      </c>
      <c r="Q6" s="99">
        <v>3000</v>
      </c>
    </row>
    <row r="7" spans="1:17" x14ac:dyDescent="0.45">
      <c r="A7" s="51" t="s">
        <v>2</v>
      </c>
      <c r="B7" s="44">
        <v>260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553</v>
      </c>
      <c r="H7" s="129">
        <f>IF(B$15=0,0,G7/B$15)</f>
        <v>0.28772112382934445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15.238095238095237</v>
      </c>
      <c r="P7" s="116">
        <v>525</v>
      </c>
      <c r="Q7" s="100">
        <v>8000</v>
      </c>
    </row>
    <row r="8" spans="1:17" x14ac:dyDescent="0.45">
      <c r="A8" s="51" t="s">
        <v>3</v>
      </c>
      <c r="B8" s="44">
        <v>260</v>
      </c>
      <c r="C8" s="37">
        <f t="shared" si="1"/>
        <v>0.33333333333333331</v>
      </c>
      <c r="E8" s="59" t="s">
        <v>69</v>
      </c>
      <c r="F8" s="56" t="s">
        <v>24</v>
      </c>
      <c r="G8" s="44">
        <v>279</v>
      </c>
      <c r="H8" s="129">
        <f>IF(B$15=0,0,G8/B$15)</f>
        <v>0.14516129032258066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260</v>
      </c>
      <c r="C9" s="38">
        <f t="shared" si="1"/>
        <v>0.33333333333333331</v>
      </c>
      <c r="E9" s="59" t="s">
        <v>89</v>
      </c>
      <c r="F9" s="56" t="s">
        <v>44</v>
      </c>
      <c r="G9" s="44">
        <v>257</v>
      </c>
      <c r="H9" s="129">
        <f>IF(B$15=0,0,G9/B$15)</f>
        <v>0.13371488033298648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75</v>
      </c>
      <c r="C10" s="40">
        <f t="shared" si="1"/>
        <v>9.6153846153846159E-2</v>
      </c>
      <c r="E10" s="59" t="s">
        <v>65</v>
      </c>
      <c r="F10" s="56" t="s">
        <v>21</v>
      </c>
      <c r="G10" s="44">
        <v>209</v>
      </c>
      <c r="H10" s="129">
        <f>IF(B$15=0,0,G10/B$15)</f>
        <v>0.10874089490114464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-2.1646153846153853</v>
      </c>
      <c r="P10" s="114">
        <v>260</v>
      </c>
      <c r="Q10" s="102">
        <v>-562.80000000000018</v>
      </c>
    </row>
    <row r="11" spans="1:17" x14ac:dyDescent="0.45">
      <c r="A11" s="54" t="s">
        <v>121</v>
      </c>
      <c r="B11" s="47">
        <v>1666</v>
      </c>
      <c r="C11" s="42">
        <f>IF(B$3=0,0,B11/B$3)</f>
        <v>0.25615006150061503</v>
      </c>
      <c r="E11" s="59" t="s">
        <v>70</v>
      </c>
      <c r="F11" s="56" t="s">
        <v>25</v>
      </c>
      <c r="G11" s="44">
        <v>177</v>
      </c>
      <c r="H11" s="129">
        <f>IF(B$15=0,0,G11/B$15)</f>
        <v>9.2091571279916754E-2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0.68923076923076931</v>
      </c>
      <c r="P11" s="115">
        <v>260</v>
      </c>
      <c r="Q11" s="103">
        <v>179.20000000000002</v>
      </c>
    </row>
    <row r="12" spans="1:17" x14ac:dyDescent="0.45">
      <c r="A12" s="51" t="s">
        <v>118</v>
      </c>
      <c r="B12" s="44">
        <v>1484</v>
      </c>
      <c r="C12" s="37">
        <f>IF(B$3=0,0,B12/B$3)</f>
        <v>0.22816728167281672</v>
      </c>
      <c r="E12" s="59" t="s">
        <v>71</v>
      </c>
      <c r="F12" s="56" t="s">
        <v>26</v>
      </c>
      <c r="G12" s="44">
        <v>154</v>
      </c>
      <c r="H12" s="129">
        <f>IF(B$15=0,0,G12/B$15)</f>
        <v>8.0124869927159212E-2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1.4753846153846149</v>
      </c>
      <c r="P12" s="116">
        <v>260</v>
      </c>
      <c r="Q12" s="104">
        <v>383.59999999999985</v>
      </c>
    </row>
    <row r="13" spans="1:17" x14ac:dyDescent="0.45">
      <c r="A13" s="50" t="s">
        <v>123</v>
      </c>
      <c r="B13" s="43">
        <f>B19</f>
        <v>931</v>
      </c>
      <c r="C13" s="35">
        <f>IF(B$11=0,0,B13/B$11)</f>
        <v>0.55882352941176472</v>
      </c>
      <c r="E13" s="59" t="s">
        <v>86</v>
      </c>
      <c r="F13" s="56" t="s">
        <v>41</v>
      </c>
      <c r="G13" s="44">
        <v>102</v>
      </c>
      <c r="H13" s="129">
        <f>IF(B$15=0,0,G13/B$15)</f>
        <v>5.3069719042663895E-2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627</v>
      </c>
      <c r="C14" s="35">
        <f>IF(B$12=0,0,B14/B$12)</f>
        <v>0.4225067385444744</v>
      </c>
      <c r="E14" s="59" t="s">
        <v>83</v>
      </c>
      <c r="F14" s="56" t="s">
        <v>38</v>
      </c>
      <c r="G14" s="44">
        <v>98</v>
      </c>
      <c r="H14" s="129">
        <f>IF(B$15=0,0,G14/B$15)</f>
        <v>5.0988553590010408E-2</v>
      </c>
      <c r="I14" s="90">
        <v>8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1922</v>
      </c>
      <c r="C15" s="35">
        <f>IF(B$3=0,0,B15/B$3)</f>
        <v>0.29551045510455104</v>
      </c>
      <c r="E15" s="59" t="s">
        <v>78</v>
      </c>
      <c r="F15" s="56" t="s">
        <v>33</v>
      </c>
      <c r="G15" s="44">
        <v>47</v>
      </c>
      <c r="H15" s="129">
        <f>IF(B$15=0,0,G15/B$15)</f>
        <v>2.445369406867846E-2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1060</v>
      </c>
      <c r="C16" s="37">
        <f>IF(B$3=0,0,B16/B$3)</f>
        <v>0.16297662976629768</v>
      </c>
      <c r="E16" s="59" t="s">
        <v>162</v>
      </c>
      <c r="F16" s="56" t="s">
        <v>163</v>
      </c>
      <c r="G16" s="44">
        <v>46</v>
      </c>
      <c r="H16" s="129">
        <f>IF(B$15=0,0,G16/B$15)</f>
        <v>2.3933402705515087E-2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851</v>
      </c>
      <c r="C17" s="37">
        <f>IF(B$15=0,0,B17/B$15)</f>
        <v>0.44276795005202912</v>
      </c>
      <c r="E17" s="59" t="s">
        <v>81</v>
      </c>
      <c r="F17" s="56" t="s">
        <v>36</v>
      </c>
      <c r="G17" s="44">
        <v>38</v>
      </c>
      <c r="H17" s="129">
        <f>IF(B$15=0,0,G17/B$15)</f>
        <v>1.9771071800208116E-2</v>
      </c>
      <c r="I17" s="90">
        <v>5</v>
      </c>
      <c r="K17" s="36">
        <v>15</v>
      </c>
      <c r="L17" s="95">
        <v>0</v>
      </c>
      <c r="N17" s="111" t="s">
        <v>197</v>
      </c>
      <c r="O17" s="121">
        <f>IF(P17=0,0,Q17/P17)</f>
        <v>17.083636363636352</v>
      </c>
      <c r="P17" s="115">
        <v>110</v>
      </c>
      <c r="Q17" s="103">
        <v>1879.1999999999987</v>
      </c>
    </row>
    <row r="18" spans="1:17" x14ac:dyDescent="0.45">
      <c r="A18" s="51" t="s">
        <v>11</v>
      </c>
      <c r="B18" s="44">
        <v>1071</v>
      </c>
      <c r="C18" s="37">
        <f>IF(B$15=0,0,B18/B$15)</f>
        <v>0.55723204994797082</v>
      </c>
      <c r="E18" s="59" t="s">
        <v>91</v>
      </c>
      <c r="F18" s="56" t="s">
        <v>46</v>
      </c>
      <c r="G18" s="44">
        <v>27</v>
      </c>
      <c r="H18" s="129">
        <f>IF(B$15=0,0,G18/B$15)</f>
        <v>1.404786680541103E-2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9.2849999999999966</v>
      </c>
      <c r="P18" s="115">
        <v>180</v>
      </c>
      <c r="Q18" s="103">
        <v>1671.2999999999995</v>
      </c>
    </row>
    <row r="19" spans="1:17" x14ac:dyDescent="0.45">
      <c r="A19" s="51" t="s">
        <v>195</v>
      </c>
      <c r="B19" s="44">
        <v>931</v>
      </c>
      <c r="C19" s="37">
        <f>IF(B$15=0,0,B19/B$15)</f>
        <v>0.48439125910509884</v>
      </c>
      <c r="E19" s="59" t="s">
        <v>79</v>
      </c>
      <c r="F19" s="56" t="s">
        <v>34</v>
      </c>
      <c r="G19" s="44">
        <v>25</v>
      </c>
      <c r="H19" s="129">
        <f>IF(B$15=0,0,G19/B$15)</f>
        <v>1.3007284079084287E-2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8.0230263157894672</v>
      </c>
      <c r="P19" s="115">
        <v>152</v>
      </c>
      <c r="Q19" s="103">
        <v>1219.4999999999991</v>
      </c>
    </row>
    <row r="20" spans="1:17" x14ac:dyDescent="0.45">
      <c r="A20" s="51" t="s">
        <v>193</v>
      </c>
      <c r="B20" s="44">
        <v>627</v>
      </c>
      <c r="C20" s="37">
        <f>IF(B$15=0,0,B20/B$15)</f>
        <v>0.32622268470343391</v>
      </c>
      <c r="E20" s="59" t="s">
        <v>75</v>
      </c>
      <c r="F20" s="56" t="s">
        <v>30</v>
      </c>
      <c r="G20" s="44">
        <v>15</v>
      </c>
      <c r="H20" s="129">
        <f>IF(B$15=0,0,G20/B$15)</f>
        <v>7.804370447450572E-3</v>
      </c>
      <c r="I20" s="90">
        <v>5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 x14ac:dyDescent="0.45">
      <c r="A21" s="51" t="s">
        <v>194</v>
      </c>
      <c r="B21" s="44">
        <v>364</v>
      </c>
      <c r="C21" s="37">
        <f>IF(B$15=0,0,B21/B$15)</f>
        <v>0.18938605619146723</v>
      </c>
      <c r="E21" s="59" t="s">
        <v>92</v>
      </c>
      <c r="F21" s="56" t="s">
        <v>47</v>
      </c>
      <c r="G21" s="44">
        <v>11</v>
      </c>
      <c r="H21" s="129">
        <f>IF(B$15=0,0,G21/B$15)</f>
        <v>5.7232049947970867E-3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-0.2514705882352985</v>
      </c>
      <c r="P21" s="115">
        <v>272</v>
      </c>
      <c r="Q21" s="103">
        <v>-68.400000000001185</v>
      </c>
    </row>
    <row r="22" spans="1:17" x14ac:dyDescent="0.45">
      <c r="A22" s="51" t="s">
        <v>5</v>
      </c>
      <c r="B22" s="48">
        <f>IF(B$15=0,0,C22/B$15)</f>
        <v>8403.8501560874083</v>
      </c>
      <c r="C22" s="39">
        <v>16152200</v>
      </c>
      <c r="E22" s="59" t="s">
        <v>85</v>
      </c>
      <c r="F22" s="56" t="s">
        <v>40</v>
      </c>
      <c r="G22" s="44">
        <v>9</v>
      </c>
      <c r="H22" s="129">
        <f>IF(B$15=0,0,G22/B$15)</f>
        <v>4.6826222684703432E-3</v>
      </c>
      <c r="I22" s="90">
        <v>4</v>
      </c>
      <c r="K22" s="36">
        <v>20</v>
      </c>
      <c r="L22" s="95">
        <v>-61.199999999999996</v>
      </c>
      <c r="N22" s="111" t="s">
        <v>171</v>
      </c>
      <c r="O22" s="121">
        <f>IF(P22=0,0,Q22/P22)</f>
        <v>-1.2508474576271191</v>
      </c>
      <c r="P22" s="115">
        <v>236</v>
      </c>
      <c r="Q22" s="103">
        <v>-295.2000000000001</v>
      </c>
    </row>
    <row r="23" spans="1:17" x14ac:dyDescent="0.45">
      <c r="A23" s="52" t="s">
        <v>177</v>
      </c>
      <c r="B23" s="136">
        <f>IF($B$15-B$14=0,0,C23/($B$15-B$14))</f>
        <v>9039.8455598455603</v>
      </c>
      <c r="C23" s="137">
        <v>11706600</v>
      </c>
      <c r="E23" s="59" t="s">
        <v>73</v>
      </c>
      <c r="F23" s="56" t="s">
        <v>28</v>
      </c>
      <c r="G23" s="44">
        <v>8</v>
      </c>
      <c r="H23" s="129">
        <f>IF(B$15=0,0,G23/B$15)</f>
        <v>4.1623309053069723E-3</v>
      </c>
      <c r="I23" s="90">
        <v>3</v>
      </c>
      <c r="K23" s="36">
        <v>21</v>
      </c>
      <c r="L23" s="95">
        <v>7.1054273576010019E-15</v>
      </c>
      <c r="N23" s="111" t="s">
        <v>170</v>
      </c>
      <c r="O23" s="121">
        <f>IF(P23=0,0,Q23/P23)</f>
        <v>-5.8975961538461474</v>
      </c>
      <c r="P23" s="115">
        <v>208</v>
      </c>
      <c r="Q23" s="103">
        <v>-1226.6999999999987</v>
      </c>
    </row>
    <row r="24" spans="1:17" x14ac:dyDescent="0.45">
      <c r="A24" s="52" t="s">
        <v>178</v>
      </c>
      <c r="B24" s="136">
        <f>IF(B$14=0,0,C24/B$14)</f>
        <v>7090.2711323763951</v>
      </c>
      <c r="C24" s="137">
        <v>4445600</v>
      </c>
      <c r="E24" s="59" t="s">
        <v>74</v>
      </c>
      <c r="F24" s="56" t="s">
        <v>29</v>
      </c>
      <c r="G24" s="44">
        <v>8</v>
      </c>
      <c r="H24" s="129">
        <f>IF(B$15=0,0,G24/B$15)</f>
        <v>4.1623309053069723E-3</v>
      </c>
      <c r="I24" s="90">
        <v>5</v>
      </c>
      <c r="K24" s="36">
        <v>22</v>
      </c>
      <c r="L24" s="95">
        <v>-25.099999999999994</v>
      </c>
      <c r="N24" s="111" t="s">
        <v>274</v>
      </c>
      <c r="O24" s="121">
        <f>IF(P24=0,0,Q24/P24)</f>
        <v>-7.7437500000000012</v>
      </c>
      <c r="P24" s="115">
        <v>16</v>
      </c>
      <c r="Q24" s="103">
        <v>-123.90000000000002</v>
      </c>
    </row>
    <row r="25" spans="1:17" x14ac:dyDescent="0.45">
      <c r="A25" s="52" t="s">
        <v>176</v>
      </c>
      <c r="B25" s="136">
        <f>IF(B$16=0,0,C25/B$16)</f>
        <v>-7800.6603773584902</v>
      </c>
      <c r="C25" s="137">
        <v>-8268700</v>
      </c>
      <c r="E25" s="59" t="s">
        <v>84</v>
      </c>
      <c r="F25" s="56" t="s">
        <v>39</v>
      </c>
      <c r="G25" s="44">
        <v>7</v>
      </c>
      <c r="H25" s="129">
        <f>IF(B$15=0,0,G25/B$15)</f>
        <v>3.6420395421436005E-3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-11.91915584415584</v>
      </c>
      <c r="P25" s="115">
        <v>308</v>
      </c>
      <c r="Q25" s="103">
        <v>-3671.0999999999985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5</v>
      </c>
      <c r="H26" s="129">
        <f>IF(B$15=0,0,G26/B$15)</f>
        <v>2.6014568158168575E-3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1</v>
      </c>
      <c r="E27" s="59" t="s">
        <v>88</v>
      </c>
      <c r="F27" s="56" t="s">
        <v>43</v>
      </c>
      <c r="G27" s="44">
        <v>5</v>
      </c>
      <c r="H27" s="129">
        <f>IF(B$15=0,0,G27/B$15)</f>
        <v>2.6014568158168575E-3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4</v>
      </c>
      <c r="H28" s="129">
        <f>IF(B$15=0,0,G28/B$15)</f>
        <v>2.0811654526534861E-3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95</v>
      </c>
      <c r="F29" s="56" t="s">
        <v>50</v>
      </c>
      <c r="G29" s="44">
        <v>4</v>
      </c>
      <c r="H29" s="129">
        <f>IF(B$15=0,0,G29/B$15)</f>
        <v>2.0811654526534861E-3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18</v>
      </c>
      <c r="C30" s="40">
        <f>IF(B$3=0,0,B30/B$3)</f>
        <v>2.7675276752767526E-3</v>
      </c>
      <c r="E30" s="59" t="s">
        <v>87</v>
      </c>
      <c r="F30" s="56" t="s">
        <v>42</v>
      </c>
      <c r="G30" s="44">
        <v>3</v>
      </c>
      <c r="H30" s="129">
        <f>IF(B$15=0,0,G30/B$15)</f>
        <v>1.5608740894901144E-3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3</v>
      </c>
      <c r="H31" s="129">
        <f>IF(B$15=0,0,G31/B$15)</f>
        <v>1.5608740894901144E-3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147</v>
      </c>
      <c r="C32" s="141">
        <f>IF(B$15=0,0,B32/B$15)</f>
        <v>7.6482830385015604E-2</v>
      </c>
      <c r="E32" s="59" t="s">
        <v>97</v>
      </c>
      <c r="F32" s="56" t="s">
        <v>52</v>
      </c>
      <c r="G32" s="44">
        <v>1</v>
      </c>
      <c r="H32" s="129">
        <f>IF(B$15=0,0,G32/B$15)</f>
        <v>5.2029136316337154E-4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323</v>
      </c>
      <c r="C33" s="37">
        <f t="shared" ref="C33:C44" si="2">IF(B$15=0,0,B33/B$15)</f>
        <v>0.16805411030176898</v>
      </c>
      <c r="E33" s="59" t="s">
        <v>101</v>
      </c>
      <c r="F33" s="56" t="s">
        <v>56</v>
      </c>
      <c r="G33" s="44">
        <v>1</v>
      </c>
      <c r="H33" s="129">
        <f>IF(B$15=0,0,G33/B$15)</f>
        <v>5.2029136316337154E-4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377</v>
      </c>
      <c r="C34" s="37">
        <f>IF(B$15=0,0,B34/B$15)</f>
        <v>0.19614984391259105</v>
      </c>
      <c r="E34" s="59" t="s">
        <v>106</v>
      </c>
      <c r="F34" s="56" t="s">
        <v>113</v>
      </c>
      <c r="G34" s="44">
        <v>1</v>
      </c>
      <c r="H34" s="129">
        <f>IF(B$15=0,0,G34/B$15)</f>
        <v>5.2029136316337154E-4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336</v>
      </c>
      <c r="C35" s="37">
        <f t="shared" si="2"/>
        <v>0.17481789802289283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309</v>
      </c>
      <c r="C36" s="37">
        <f t="shared" si="2"/>
        <v>0.16077003121748179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204</v>
      </c>
      <c r="C37" s="37">
        <f t="shared" si="2"/>
        <v>0.10613943808532779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107</v>
      </c>
      <c r="C38" s="37">
        <f t="shared" si="2"/>
        <v>5.5671175858480748E-2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53</v>
      </c>
      <c r="C39" s="37">
        <f t="shared" si="2"/>
        <v>2.7575442247658687E-2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26</v>
      </c>
      <c r="C40" s="37">
        <f t="shared" si="2"/>
        <v>1.3527575442247659E-2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3.6420395421436005E-3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3.1217481789802288E-3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3.1217481789802288E-3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1.0926118626430802E-2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57CAB-F7E9-44E4-B52F-79B5F8FB223C}">
  <sheetPr codeName="Sheet7"/>
  <dimension ref="A1:Q7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68</v>
      </c>
      <c r="C2" s="155"/>
      <c r="E2" s="58" t="s">
        <v>66</v>
      </c>
      <c r="F2" s="55" t="s">
        <v>22</v>
      </c>
      <c r="G2" s="43">
        <v>123</v>
      </c>
      <c r="H2" s="128">
        <f>IF(B$15=0,0,G2/B$15)</f>
        <v>0.75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1494.1176470588234</v>
      </c>
      <c r="P2" s="114">
        <v>68</v>
      </c>
      <c r="Q2" s="98">
        <v>101600</v>
      </c>
    </row>
    <row r="3" spans="1:17" x14ac:dyDescent="0.45">
      <c r="A3" s="51" t="s">
        <v>8</v>
      </c>
      <c r="B3" s="156">
        <v>602</v>
      </c>
      <c r="C3" s="157"/>
      <c r="E3" s="59" t="s">
        <v>72</v>
      </c>
      <c r="F3" s="56" t="s">
        <v>27</v>
      </c>
      <c r="G3" s="44">
        <v>91</v>
      </c>
      <c r="H3" s="129">
        <f>IF(B$15=0,0,G3/B$15)</f>
        <v>0.55487804878048785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-1811.9402985074628</v>
      </c>
      <c r="P3" s="115">
        <v>67</v>
      </c>
      <c r="Q3" s="99">
        <v>-121400</v>
      </c>
    </row>
    <row r="4" spans="1:17" x14ac:dyDescent="0.45">
      <c r="A4" s="51" t="s">
        <v>6</v>
      </c>
      <c r="B4" s="158">
        <v>-513.00000000000023</v>
      </c>
      <c r="C4" s="159"/>
      <c r="E4" s="59" t="s">
        <v>166</v>
      </c>
      <c r="F4" s="56" t="s">
        <v>167</v>
      </c>
      <c r="G4" s="44">
        <v>67</v>
      </c>
      <c r="H4" s="129">
        <f>IF(B$15=0,0,G4/B$15)</f>
        <v>0.40853658536585363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-1627.6923076923076</v>
      </c>
      <c r="P4" s="115">
        <v>65</v>
      </c>
      <c r="Q4" s="99">
        <v>-105800</v>
      </c>
    </row>
    <row r="5" spans="1:17" x14ac:dyDescent="0.45">
      <c r="A5" s="51" t="s">
        <v>7</v>
      </c>
      <c r="B5" s="160">
        <f>IF(B$2=0,0,B$4/B$2)</f>
        <v>-7.5441176470588269</v>
      </c>
      <c r="C5" s="161"/>
      <c r="E5" s="59" t="s">
        <v>64</v>
      </c>
      <c r="F5" s="56" t="s">
        <v>20</v>
      </c>
      <c r="G5" s="44">
        <v>43</v>
      </c>
      <c r="H5" s="129">
        <f>IF(B$15=0,0,G5/B$15)</f>
        <v>0.26219512195121952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-1221.311475409836</v>
      </c>
      <c r="P5" s="115">
        <v>61</v>
      </c>
      <c r="Q5" s="99">
        <v>-74500</v>
      </c>
    </row>
    <row r="6" spans="1:17" x14ac:dyDescent="0.45">
      <c r="A6" s="51" t="s">
        <v>1</v>
      </c>
      <c r="B6" s="150">
        <f>IF(B$2=0,0,(B$7*1+B$8*2+B$9*3)/B$2)</f>
        <v>2.1764705882352939</v>
      </c>
      <c r="C6" s="151"/>
      <c r="E6" s="59" t="s">
        <v>68</v>
      </c>
      <c r="F6" s="56" t="s">
        <v>12</v>
      </c>
      <c r="G6" s="44">
        <v>43</v>
      </c>
      <c r="H6" s="129">
        <f>IF(B$15=0,0,G6/B$15)</f>
        <v>0.26219512195121952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-223.33333333333334</v>
      </c>
      <c r="P6" s="115">
        <v>60</v>
      </c>
      <c r="Q6" s="99">
        <v>-13400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0.30882352941176472</v>
      </c>
      <c r="E7" s="59" t="s">
        <v>69</v>
      </c>
      <c r="F7" s="56" t="s">
        <v>24</v>
      </c>
      <c r="G7" s="44">
        <v>32</v>
      </c>
      <c r="H7" s="129">
        <f>IF(B$15=0,0,G7/B$15)</f>
        <v>0.1951219512195122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-2334.6153846153848</v>
      </c>
      <c r="P7" s="116">
        <v>52</v>
      </c>
      <c r="Q7" s="100">
        <v>-121400</v>
      </c>
    </row>
    <row r="8" spans="1:17" x14ac:dyDescent="0.45">
      <c r="A8" s="51" t="s">
        <v>3</v>
      </c>
      <c r="B8" s="44">
        <v>14</v>
      </c>
      <c r="C8" s="37">
        <f t="shared" si="1"/>
        <v>0.20588235294117646</v>
      </c>
      <c r="E8" s="59" t="s">
        <v>67</v>
      </c>
      <c r="F8" s="56" t="s">
        <v>23</v>
      </c>
      <c r="G8" s="44">
        <v>24</v>
      </c>
      <c r="H8" s="129">
        <f>IF(B$15=0,0,G8/B$15)</f>
        <v>0.14634146341463414</v>
      </c>
      <c r="I8" s="90">
        <v>13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0.48529411764705882</v>
      </c>
      <c r="E9" s="59" t="s">
        <v>70</v>
      </c>
      <c r="F9" s="56" t="s">
        <v>25</v>
      </c>
      <c r="G9" s="44">
        <v>20</v>
      </c>
      <c r="H9" s="129">
        <f>IF(B$15=0,0,G9/B$15)</f>
        <v>0.12195121951219512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7.3529411764705885E-2</v>
      </c>
      <c r="E10" s="59" t="s">
        <v>71</v>
      </c>
      <c r="F10" s="56" t="s">
        <v>26</v>
      </c>
      <c r="G10" s="44">
        <v>18</v>
      </c>
      <c r="H10" s="129">
        <f>IF(B$15=0,0,G10/B$15)</f>
        <v>0.10975609756097561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-13.207692307692307</v>
      </c>
      <c r="P10" s="114">
        <v>26</v>
      </c>
      <c r="Q10" s="102">
        <v>-343.4</v>
      </c>
    </row>
    <row r="11" spans="1:17" x14ac:dyDescent="0.45">
      <c r="A11" s="54" t="s">
        <v>121</v>
      </c>
      <c r="B11" s="47">
        <v>88</v>
      </c>
      <c r="C11" s="42">
        <f>IF(B$3=0,0,B11/B$3)</f>
        <v>0.1461794019933555</v>
      </c>
      <c r="E11" s="59" t="s">
        <v>83</v>
      </c>
      <c r="F11" s="56" t="s">
        <v>38</v>
      </c>
      <c r="G11" s="44">
        <v>13</v>
      </c>
      <c r="H11" s="129">
        <f>IF(B$15=0,0,G11/B$15)</f>
        <v>7.926829268292683E-2</v>
      </c>
      <c r="I11" s="90">
        <v>3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150</v>
      </c>
      <c r="C12" s="37">
        <f>IF(B$3=0,0,B12/B$3)</f>
        <v>0.24916943521594684</v>
      </c>
      <c r="E12" s="59" t="s">
        <v>65</v>
      </c>
      <c r="F12" s="56" t="s">
        <v>21</v>
      </c>
      <c r="G12" s="44">
        <v>10</v>
      </c>
      <c r="H12" s="129">
        <f>IF(B$15=0,0,G12/B$15)</f>
        <v>6.097560975609756E-2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-0.67391304347826031</v>
      </c>
      <c r="P12" s="116">
        <v>23</v>
      </c>
      <c r="Q12" s="104">
        <v>-15.499999999999988</v>
      </c>
    </row>
    <row r="13" spans="1:17" x14ac:dyDescent="0.45">
      <c r="A13" s="50" t="s">
        <v>123</v>
      </c>
      <c r="B13" s="43">
        <f>B19</f>
        <v>45</v>
      </c>
      <c r="C13" s="35">
        <f>IF(B$11=0,0,B13/B$11)</f>
        <v>0.51136363636363635</v>
      </c>
      <c r="E13" s="59" t="s">
        <v>89</v>
      </c>
      <c r="F13" s="56" t="s">
        <v>44</v>
      </c>
      <c r="G13" s="44">
        <v>9</v>
      </c>
      <c r="H13" s="129">
        <f>IF(B$15=0,0,G13/B$15)</f>
        <v>5.4878048780487805E-2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61</v>
      </c>
      <c r="C14" s="35">
        <f>IF(B$12=0,0,B14/B$12)</f>
        <v>0.40666666666666668</v>
      </c>
      <c r="E14" s="59" t="s">
        <v>81</v>
      </c>
      <c r="F14" s="56" t="s">
        <v>36</v>
      </c>
      <c r="G14" s="44">
        <v>6</v>
      </c>
      <c r="H14" s="129">
        <f>IF(B$15=0,0,G14/B$15)</f>
        <v>3.6585365853658534E-2</v>
      </c>
      <c r="I14" s="90">
        <v>2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164</v>
      </c>
      <c r="C15" s="35">
        <f>IF(B$3=0,0,B15/B$3)</f>
        <v>0.27242524916943522</v>
      </c>
      <c r="E15" s="59" t="s">
        <v>86</v>
      </c>
      <c r="F15" s="56" t="s">
        <v>41</v>
      </c>
      <c r="G15" s="44">
        <v>5</v>
      </c>
      <c r="H15" s="129">
        <f>IF(B$15=0,0,G15/B$15)</f>
        <v>3.048780487804878E-2</v>
      </c>
      <c r="I15" s="90">
        <v>11</v>
      </c>
      <c r="K15" s="36">
        <v>13</v>
      </c>
      <c r="L15" s="95">
        <v>-66.2</v>
      </c>
      <c r="N15" s="110" t="s">
        <v>274</v>
      </c>
      <c r="O15" s="120">
        <f>IF(P15=0,0,Q15/P15)</f>
        <v>51.55</v>
      </c>
      <c r="P15" s="114">
        <v>2</v>
      </c>
      <c r="Q15" s="102">
        <v>103.1</v>
      </c>
    </row>
    <row r="16" spans="1:17" x14ac:dyDescent="0.45">
      <c r="A16" s="51" t="s">
        <v>13</v>
      </c>
      <c r="B16" s="44">
        <v>95</v>
      </c>
      <c r="C16" s="37">
        <f>IF(B$3=0,0,B16/B$3)</f>
        <v>0.15780730897009967</v>
      </c>
      <c r="E16" s="59" t="s">
        <v>79</v>
      </c>
      <c r="F16" s="56" t="s">
        <v>34</v>
      </c>
      <c r="G16" s="44">
        <v>3</v>
      </c>
      <c r="H16" s="129">
        <f>IF(B$15=0,0,G16/B$15)</f>
        <v>1.8292682926829267E-2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66</v>
      </c>
      <c r="C17" s="37">
        <f>IF(B$15=0,0,B17/B$15)</f>
        <v>0.40243902439024393</v>
      </c>
      <c r="E17" s="59" t="s">
        <v>91</v>
      </c>
      <c r="F17" s="56" t="s">
        <v>46</v>
      </c>
      <c r="G17" s="44">
        <v>3</v>
      </c>
      <c r="H17" s="129">
        <f>IF(B$15=0,0,G17/B$15)</f>
        <v>1.8292682926829267E-2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-3.9454545454545453</v>
      </c>
      <c r="P17" s="115">
        <v>22</v>
      </c>
      <c r="Q17" s="103">
        <v>-86.8</v>
      </c>
    </row>
    <row r="18" spans="1:17" x14ac:dyDescent="0.45">
      <c r="A18" s="51" t="s">
        <v>11</v>
      </c>
      <c r="B18" s="44">
        <v>98</v>
      </c>
      <c r="C18" s="37">
        <f>IF(B$15=0,0,B18/B$15)</f>
        <v>0.59756097560975607</v>
      </c>
      <c r="E18" s="59" t="s">
        <v>74</v>
      </c>
      <c r="F18" s="56" t="s">
        <v>29</v>
      </c>
      <c r="G18" s="44">
        <v>2</v>
      </c>
      <c r="H18" s="129">
        <f>IF(B$15=0,0,G18/B$15)</f>
        <v>1.2195121951219513E-2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>IF(P18=0,0,Q18/P18)</f>
        <v>-4.1851851851851869</v>
      </c>
      <c r="P18" s="115">
        <v>27</v>
      </c>
      <c r="Q18" s="103">
        <v>-113.00000000000004</v>
      </c>
    </row>
    <row r="19" spans="1:17" x14ac:dyDescent="0.45">
      <c r="A19" s="51" t="s">
        <v>195</v>
      </c>
      <c r="B19" s="44">
        <v>45</v>
      </c>
      <c r="C19" s="37">
        <f>IF(B$15=0,0,B19/B$15)</f>
        <v>0.27439024390243905</v>
      </c>
      <c r="E19" s="59" t="s">
        <v>88</v>
      </c>
      <c r="F19" s="56" t="s">
        <v>43</v>
      </c>
      <c r="G19" s="44">
        <v>2</v>
      </c>
      <c r="H19" s="129">
        <f>IF(B$15=0,0,G19/B$15)</f>
        <v>1.2195121951219513E-2</v>
      </c>
      <c r="I19" s="90">
        <v>1</v>
      </c>
      <c r="K19" s="36">
        <v>17</v>
      </c>
      <c r="L19" s="95">
        <v>-65.2</v>
      </c>
      <c r="N19" s="111" t="s">
        <v>172</v>
      </c>
      <c r="O19" s="121">
        <f>IF(P19=0,0,Q19/P19)</f>
        <v>-6.0625000000000036</v>
      </c>
      <c r="P19" s="115">
        <v>16</v>
      </c>
      <c r="Q19" s="103">
        <v>-97.000000000000057</v>
      </c>
    </row>
    <row r="20" spans="1:17" x14ac:dyDescent="0.45">
      <c r="A20" s="51" t="s">
        <v>193</v>
      </c>
      <c r="B20" s="44">
        <v>61</v>
      </c>
      <c r="C20" s="37">
        <f>IF(B$15=0,0,B20/B$15)</f>
        <v>0.37195121951219512</v>
      </c>
      <c r="E20" s="59" t="s">
        <v>75</v>
      </c>
      <c r="F20" s="56" t="s">
        <v>30</v>
      </c>
      <c r="G20" s="44">
        <v>1</v>
      </c>
      <c r="H20" s="129">
        <f>IF(B$15=0,0,G20/B$15)</f>
        <v>6.0975609756097563E-3</v>
      </c>
      <c r="I20" s="90">
        <v>6</v>
      </c>
      <c r="K20" s="36">
        <v>18</v>
      </c>
      <c r="L20" s="95">
        <v>-80.2</v>
      </c>
      <c r="N20" s="111" t="s">
        <v>126</v>
      </c>
      <c r="O20" s="121">
        <f>IF(P20=0,0,Q20/P20)</f>
        <v>-11.200000000000001</v>
      </c>
      <c r="P20" s="115">
        <v>35</v>
      </c>
      <c r="Q20" s="103">
        <v>-392.00000000000006</v>
      </c>
    </row>
    <row r="21" spans="1:17" x14ac:dyDescent="0.45">
      <c r="A21" s="51" t="s">
        <v>194</v>
      </c>
      <c r="B21" s="44">
        <v>58</v>
      </c>
      <c r="C21" s="37">
        <f>IF(B$15=0,0,B21/B$15)</f>
        <v>0.35365853658536583</v>
      </c>
      <c r="E21" s="59" t="s">
        <v>77</v>
      </c>
      <c r="F21" s="56" t="s">
        <v>32</v>
      </c>
      <c r="G21" s="44">
        <v>1</v>
      </c>
      <c r="H21" s="129">
        <f>IF(B$15=0,0,G21/B$15)</f>
        <v>6.0975609756097563E-3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>IF(P21=0,0,Q21/P21)</f>
        <v>-32.455555555555549</v>
      </c>
      <c r="P21" s="115">
        <v>9</v>
      </c>
      <c r="Q21" s="103">
        <v>-292.09999999999997</v>
      </c>
    </row>
    <row r="22" spans="1:17" x14ac:dyDescent="0.45">
      <c r="A22" s="51" t="s">
        <v>5</v>
      </c>
      <c r="B22" s="48">
        <f>IF(B$15=0,0,C22/B$15)</f>
        <v>6887.1951219512193</v>
      </c>
      <c r="C22" s="39">
        <v>1129500</v>
      </c>
      <c r="E22" s="59" t="s">
        <v>78</v>
      </c>
      <c r="F22" s="56" t="s">
        <v>33</v>
      </c>
      <c r="G22" s="44">
        <v>1</v>
      </c>
      <c r="H22" s="129">
        <f>IF(B$15=0,0,G22/B$15)</f>
        <v>6.0975609756097563E-3</v>
      </c>
      <c r="I22" s="90">
        <v>10</v>
      </c>
      <c r="K22" s="36">
        <v>20</v>
      </c>
      <c r="L22" s="95">
        <v>-88.8</v>
      </c>
      <c r="N22" s="111" t="s">
        <v>170</v>
      </c>
      <c r="O22" s="121">
        <f>IF(P22=0,0,Q22/P22)</f>
        <v>-37.1</v>
      </c>
      <c r="P22" s="115">
        <v>18</v>
      </c>
      <c r="Q22" s="103">
        <v>-667.80000000000007</v>
      </c>
    </row>
    <row r="23" spans="1:17" x14ac:dyDescent="0.45">
      <c r="A23" s="52" t="s">
        <v>177</v>
      </c>
      <c r="B23" s="136">
        <f>IF($B$15-B$14=0,0,C23/($B$15-B$14))</f>
        <v>7350.4854368932038</v>
      </c>
      <c r="C23" s="137">
        <v>757100</v>
      </c>
      <c r="E23" s="59" t="s">
        <v>84</v>
      </c>
      <c r="F23" s="56" t="s">
        <v>39</v>
      </c>
      <c r="G23" s="44">
        <v>1</v>
      </c>
      <c r="H23" s="129">
        <f>IF(B$15=0,0,G23/B$15)</f>
        <v>6.0975609756097563E-3</v>
      </c>
      <c r="I23" s="90">
        <v>3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6104.9180327868853</v>
      </c>
      <c r="C24" s="137">
        <v>372400</v>
      </c>
      <c r="E24" s="59" t="s">
        <v>93</v>
      </c>
      <c r="F24" s="56" t="s">
        <v>48</v>
      </c>
      <c r="G24" s="44">
        <v>1</v>
      </c>
      <c r="H24" s="129">
        <f>IF(B$15=0,0,G24/B$15)</f>
        <v>6.0975609756097563E-3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-7827.3684210526317</v>
      </c>
      <c r="C25" s="137">
        <v>-743600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3.3222591362126247E-3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0.12804878048780488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37</v>
      </c>
      <c r="C33" s="37">
        <f t="shared" ref="C33:C44" si="2">IF(B$15=0,0,B33/B$15)</f>
        <v>0.22560975609756098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35</v>
      </c>
      <c r="C34" s="37">
        <f>IF(B$15=0,0,B34/B$15)</f>
        <v>0.21341463414634146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24</v>
      </c>
      <c r="C35" s="37">
        <f t="shared" si="2"/>
        <v>0.14634146341463414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2"/>
        <v>0.10365853658536585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2"/>
        <v>8.5365853658536592E-2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10</v>
      </c>
      <c r="C38" s="37">
        <f t="shared" si="2"/>
        <v>6.097560975609756E-2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2"/>
        <v>3.048780487804878E-2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2"/>
        <v>6.0975609756097563E-3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7B0B-061B-4A2D-8AC4-02C5B61AFF51}">
  <sheetPr codeName="Sheet9"/>
  <dimension ref="A1:Q15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154</v>
      </c>
      <c r="C2" s="155"/>
      <c r="E2" s="58" t="s">
        <v>66</v>
      </c>
      <c r="F2" s="55" t="s">
        <v>22</v>
      </c>
      <c r="G2" s="43">
        <v>293</v>
      </c>
      <c r="H2" s="128">
        <f>IF(B$15=0,0,G2/B$15)</f>
        <v>0.67667436489607391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1218.954248366013</v>
      </c>
      <c r="P2" s="114">
        <v>153</v>
      </c>
      <c r="Q2" s="98">
        <v>186500</v>
      </c>
    </row>
    <row r="3" spans="1:17" x14ac:dyDescent="0.45">
      <c r="A3" s="51" t="s">
        <v>8</v>
      </c>
      <c r="B3" s="156">
        <v>1261</v>
      </c>
      <c r="C3" s="157"/>
      <c r="E3" s="59" t="s">
        <v>72</v>
      </c>
      <c r="F3" s="56" t="s">
        <v>27</v>
      </c>
      <c r="G3" s="44">
        <v>227</v>
      </c>
      <c r="H3" s="129">
        <f>IF(B$15=0,0,G3/B$15)</f>
        <v>0.5242494226327945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1036.6666666666667</v>
      </c>
      <c r="P3" s="115">
        <v>150</v>
      </c>
      <c r="Q3" s="99">
        <v>155500</v>
      </c>
    </row>
    <row r="4" spans="1:17" x14ac:dyDescent="0.45">
      <c r="A4" s="51" t="s">
        <v>6</v>
      </c>
      <c r="B4" s="158">
        <v>1223.7000000000003</v>
      </c>
      <c r="C4" s="159"/>
      <c r="E4" s="59" t="s">
        <v>64</v>
      </c>
      <c r="F4" s="56" t="s">
        <v>20</v>
      </c>
      <c r="G4" s="44">
        <v>193</v>
      </c>
      <c r="H4" s="129">
        <f>IF(B$15=0,0,G4/B$15)</f>
        <v>0.44572748267898382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875.69444444444446</v>
      </c>
      <c r="P4" s="115">
        <v>144</v>
      </c>
      <c r="Q4" s="99">
        <v>126100</v>
      </c>
    </row>
    <row r="5" spans="1:17" x14ac:dyDescent="0.45">
      <c r="A5" s="51" t="s">
        <v>7</v>
      </c>
      <c r="B5" s="160">
        <f>IF(B$2=0,0,B$4/B$2)</f>
        <v>7.9461038961038977</v>
      </c>
      <c r="C5" s="161"/>
      <c r="E5" s="59" t="s">
        <v>166</v>
      </c>
      <c r="F5" s="56" t="s">
        <v>167</v>
      </c>
      <c r="G5" s="44">
        <v>163</v>
      </c>
      <c r="H5" s="129">
        <f>IF(B$15=0,0,G5/B$15)</f>
        <v>0.37644341801385683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76.865671641791039</v>
      </c>
      <c r="P5" s="115">
        <v>134</v>
      </c>
      <c r="Q5" s="99">
        <v>10300</v>
      </c>
    </row>
    <row r="6" spans="1:17" x14ac:dyDescent="0.45">
      <c r="A6" s="51" t="s">
        <v>1</v>
      </c>
      <c r="B6" s="150">
        <f>IF(B$2=0,0,(B$7*1+B$8*2+B$9*3)/B$2)</f>
        <v>1.8116883116883118</v>
      </c>
      <c r="C6" s="151"/>
      <c r="E6" s="59" t="s">
        <v>68</v>
      </c>
      <c r="F6" s="56" t="s">
        <v>12</v>
      </c>
      <c r="G6" s="44">
        <v>119</v>
      </c>
      <c r="H6" s="129">
        <f>IF(B$15=0,0,G6/B$15)</f>
        <v>0.27482678983833719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2037.0967741935483</v>
      </c>
      <c r="P6" s="115">
        <v>124</v>
      </c>
      <c r="Q6" s="99">
        <v>252600</v>
      </c>
    </row>
    <row r="7" spans="1:17" x14ac:dyDescent="0.45">
      <c r="A7" s="51" t="s">
        <v>2</v>
      </c>
      <c r="B7" s="44">
        <v>69</v>
      </c>
      <c r="C7" s="37">
        <f t="shared" ref="C7:C10" si="1">IF(B$2=0,0,B7/B$2)</f>
        <v>0.44805194805194803</v>
      </c>
      <c r="E7" s="59" t="s">
        <v>67</v>
      </c>
      <c r="F7" s="56" t="s">
        <v>23</v>
      </c>
      <c r="G7" s="44">
        <v>110</v>
      </c>
      <c r="H7" s="129">
        <f>IF(B$15=0,0,G7/B$15)</f>
        <v>0.2540415704387991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1778.2178217821781</v>
      </c>
      <c r="P7" s="116">
        <v>101</v>
      </c>
      <c r="Q7" s="100">
        <v>179600</v>
      </c>
    </row>
    <row r="8" spans="1:17" x14ac:dyDescent="0.45">
      <c r="A8" s="51" t="s">
        <v>3</v>
      </c>
      <c r="B8" s="44">
        <v>45</v>
      </c>
      <c r="C8" s="37">
        <f t="shared" si="1"/>
        <v>0.29220779220779219</v>
      </c>
      <c r="E8" s="59" t="s">
        <v>89</v>
      </c>
      <c r="F8" s="56" t="s">
        <v>44</v>
      </c>
      <c r="G8" s="44">
        <v>61</v>
      </c>
      <c r="H8" s="129">
        <f>IF(B$15=0,0,G8/B$15)</f>
        <v>0.14087759815242495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40</v>
      </c>
      <c r="C9" s="38">
        <f t="shared" si="1"/>
        <v>0.25974025974025972</v>
      </c>
      <c r="E9" s="59" t="s">
        <v>69</v>
      </c>
      <c r="F9" s="56" t="s">
        <v>24</v>
      </c>
      <c r="G9" s="44">
        <v>57</v>
      </c>
      <c r="H9" s="129">
        <f>IF(B$15=0,0,G9/B$15)</f>
        <v>0.13163972286374134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4.5454545454545456E-2</v>
      </c>
      <c r="E10" s="59" t="s">
        <v>65</v>
      </c>
      <c r="F10" s="56" t="s">
        <v>21</v>
      </c>
      <c r="G10" s="44">
        <v>49</v>
      </c>
      <c r="H10" s="129">
        <f>IF(B$15=0,0,G10/B$15)</f>
        <v>0.11316397228637413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12.337777777777772</v>
      </c>
      <c r="P10" s="114">
        <v>45</v>
      </c>
      <c r="Q10" s="102">
        <v>555.1999999999997</v>
      </c>
    </row>
    <row r="11" spans="1:17" x14ac:dyDescent="0.45">
      <c r="A11" s="54" t="s">
        <v>121</v>
      </c>
      <c r="B11" s="47">
        <v>337</v>
      </c>
      <c r="C11" s="42">
        <f>IF(B$3=0,0,B11/B$3)</f>
        <v>0.26724821570182394</v>
      </c>
      <c r="E11" s="59" t="s">
        <v>71</v>
      </c>
      <c r="F11" s="56" t="s">
        <v>26</v>
      </c>
      <c r="G11" s="44">
        <v>30</v>
      </c>
      <c r="H11" s="129">
        <f>IF(B$15=0,0,G11/B$15)</f>
        <v>6.9284064665127015E-2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 x14ac:dyDescent="0.45">
      <c r="A12" s="51" t="s">
        <v>118</v>
      </c>
      <c r="B12" s="44">
        <v>292</v>
      </c>
      <c r="C12" s="37">
        <f>IF(B$3=0,0,B12/B$3)</f>
        <v>0.23156225218080889</v>
      </c>
      <c r="E12" s="59" t="s">
        <v>86</v>
      </c>
      <c r="F12" s="56" t="s">
        <v>41</v>
      </c>
      <c r="G12" s="44">
        <v>29</v>
      </c>
      <c r="H12" s="129">
        <f>IF(B$15=0,0,G12/B$15)</f>
        <v>6.6974595842956119E-2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9.4642857142857117</v>
      </c>
      <c r="P12" s="116">
        <v>56</v>
      </c>
      <c r="Q12" s="104">
        <v>529.99999999999989</v>
      </c>
    </row>
    <row r="13" spans="1:17" x14ac:dyDescent="0.45">
      <c r="A13" s="50" t="s">
        <v>123</v>
      </c>
      <c r="B13" s="43">
        <f>B19</f>
        <v>203</v>
      </c>
      <c r="C13" s="35">
        <f>IF(B$11=0,0,B13/B$11)</f>
        <v>0.60237388724035612</v>
      </c>
      <c r="E13" s="59" t="s">
        <v>70</v>
      </c>
      <c r="F13" s="56" t="s">
        <v>25</v>
      </c>
      <c r="G13" s="44">
        <v>24</v>
      </c>
      <c r="H13" s="129">
        <f>IF(B$15=0,0,G13/B$15)</f>
        <v>5.5427251732101619E-2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144</v>
      </c>
      <c r="C14" s="35">
        <f>IF(B$12=0,0,B14/B$12)</f>
        <v>0.49315068493150682</v>
      </c>
      <c r="E14" s="59" t="s">
        <v>83</v>
      </c>
      <c r="F14" s="56" t="s">
        <v>38</v>
      </c>
      <c r="G14" s="44">
        <v>21</v>
      </c>
      <c r="H14" s="129">
        <f>IF(B$15=0,0,G14/B$15)</f>
        <v>4.8498845265588918E-2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433</v>
      </c>
      <c r="C15" s="35">
        <f>IF(B$3=0,0,B15/B$3)</f>
        <v>0.34337827121332276</v>
      </c>
      <c r="E15" s="59" t="s">
        <v>78</v>
      </c>
      <c r="F15" s="56" t="s">
        <v>33</v>
      </c>
      <c r="G15" s="44">
        <v>15</v>
      </c>
      <c r="H15" s="129">
        <f>IF(B$15=0,0,G15/B$15)</f>
        <v>3.4642032332563508E-2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 t="shared" ref="O15:O23" si="2"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167</v>
      </c>
      <c r="C16" s="37">
        <f>IF(B$3=0,0,B16/B$3)</f>
        <v>0.13243457573354481</v>
      </c>
      <c r="E16" s="59" t="s">
        <v>162</v>
      </c>
      <c r="F16" s="56" t="s">
        <v>163</v>
      </c>
      <c r="G16" s="44">
        <v>13</v>
      </c>
      <c r="H16" s="129">
        <f>IF(B$15=0,0,G16/B$15)</f>
        <v>3.0023094688221709E-2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 t="shared" si="2"/>
        <v>29.949999999999996</v>
      </c>
      <c r="P16" s="115">
        <v>2</v>
      </c>
      <c r="Q16" s="103">
        <v>59.899999999999991</v>
      </c>
    </row>
    <row r="17" spans="1:17" x14ac:dyDescent="0.45">
      <c r="A17" s="51" t="s">
        <v>12</v>
      </c>
      <c r="B17" s="44">
        <v>180</v>
      </c>
      <c r="C17" s="37">
        <f>IF(B$15=0,0,B17/B$15)</f>
        <v>0.41570438799076215</v>
      </c>
      <c r="E17" s="59" t="s">
        <v>81</v>
      </c>
      <c r="F17" s="56" t="s">
        <v>36</v>
      </c>
      <c r="G17" s="44">
        <v>6</v>
      </c>
      <c r="H17" s="129">
        <f>IF(B$15=0,0,G17/B$15)</f>
        <v>1.3856812933025405E-2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 t="shared" si="2"/>
        <v>27.288235294117644</v>
      </c>
      <c r="P17" s="115">
        <v>17</v>
      </c>
      <c r="Q17" s="103">
        <v>463.9</v>
      </c>
    </row>
    <row r="18" spans="1:17" x14ac:dyDescent="0.45">
      <c r="A18" s="51" t="s">
        <v>11</v>
      </c>
      <c r="B18" s="44">
        <v>253</v>
      </c>
      <c r="C18" s="37">
        <f>IF(B$15=0,0,B18/B$15)</f>
        <v>0.58429561200923785</v>
      </c>
      <c r="E18" s="59" t="s">
        <v>75</v>
      </c>
      <c r="F18" s="56" t="s">
        <v>30</v>
      </c>
      <c r="G18" s="44">
        <v>5</v>
      </c>
      <c r="H18" s="129">
        <f>IF(B$15=0,0,G18/B$15)</f>
        <v>1.1547344110854504E-2</v>
      </c>
      <c r="I18" s="90">
        <v>4</v>
      </c>
      <c r="K18" s="36">
        <v>16</v>
      </c>
      <c r="L18" s="95">
        <v>323.69999999999993</v>
      </c>
      <c r="N18" s="111" t="s">
        <v>127</v>
      </c>
      <c r="O18" s="121">
        <f t="shared" si="2"/>
        <v>12.97717391304348</v>
      </c>
      <c r="P18" s="115">
        <v>92</v>
      </c>
      <c r="Q18" s="103">
        <v>1193.9000000000001</v>
      </c>
    </row>
    <row r="19" spans="1:17" x14ac:dyDescent="0.45">
      <c r="A19" s="51" t="s">
        <v>195</v>
      </c>
      <c r="B19" s="44">
        <v>203</v>
      </c>
      <c r="C19" s="37">
        <f>IF(B$15=0,0,B19/B$15)</f>
        <v>0.46882217090069284</v>
      </c>
      <c r="E19" s="59" t="s">
        <v>91</v>
      </c>
      <c r="F19" s="56" t="s">
        <v>46</v>
      </c>
      <c r="G19" s="44">
        <v>4</v>
      </c>
      <c r="H19" s="129">
        <f>IF(B$15=0,0,G19/B$15)</f>
        <v>9.2378752886836026E-3</v>
      </c>
      <c r="I19" s="90">
        <v>7</v>
      </c>
      <c r="K19" s="36">
        <v>17</v>
      </c>
      <c r="L19" s="95">
        <v>359.09999999999991</v>
      </c>
      <c r="N19" s="111" t="s">
        <v>171</v>
      </c>
      <c r="O19" s="121">
        <f t="shared" si="2"/>
        <v>12.944642857142856</v>
      </c>
      <c r="P19" s="115">
        <v>56</v>
      </c>
      <c r="Q19" s="103">
        <v>724.9</v>
      </c>
    </row>
    <row r="20" spans="1:17" x14ac:dyDescent="0.45">
      <c r="A20" s="51" t="s">
        <v>193</v>
      </c>
      <c r="B20" s="44">
        <v>144</v>
      </c>
      <c r="C20" s="37">
        <f>IF(B$15=0,0,B20/B$15)</f>
        <v>0.33256351039260967</v>
      </c>
      <c r="E20" s="59" t="s">
        <v>77</v>
      </c>
      <c r="F20" s="56" t="s">
        <v>32</v>
      </c>
      <c r="G20" s="44">
        <v>3</v>
      </c>
      <c r="H20" s="129">
        <f>IF(B$15=0,0,G20/B$15)</f>
        <v>6.9284064665127024E-3</v>
      </c>
      <c r="I20" s="90">
        <v>1</v>
      </c>
      <c r="K20" s="36">
        <v>18</v>
      </c>
      <c r="L20" s="95">
        <v>352.39999999999992</v>
      </c>
      <c r="N20" s="111" t="s">
        <v>172</v>
      </c>
      <c r="O20" s="121">
        <f t="shared" si="2"/>
        <v>12.07090909090909</v>
      </c>
      <c r="P20" s="115">
        <v>55</v>
      </c>
      <c r="Q20" s="103">
        <v>663.9</v>
      </c>
    </row>
    <row r="21" spans="1:17" x14ac:dyDescent="0.45">
      <c r="A21" s="51" t="s">
        <v>194</v>
      </c>
      <c r="B21" s="44">
        <v>86</v>
      </c>
      <c r="C21" s="37">
        <f>IF(B$15=0,0,B21/B$15)</f>
        <v>0.19861431870669746</v>
      </c>
      <c r="E21" s="59" t="s">
        <v>84</v>
      </c>
      <c r="F21" s="56" t="s">
        <v>39</v>
      </c>
      <c r="G21" s="44">
        <v>3</v>
      </c>
      <c r="H21" s="129">
        <f>IF(B$15=0,0,G21/B$15)</f>
        <v>6.9284064665127024E-3</v>
      </c>
      <c r="I21" s="90">
        <v>2</v>
      </c>
      <c r="K21" s="36">
        <v>19</v>
      </c>
      <c r="L21" s="95">
        <v>383.19999999999993</v>
      </c>
      <c r="N21" s="111" t="s">
        <v>161</v>
      </c>
      <c r="O21" s="121">
        <f t="shared" si="2"/>
        <v>11.755555555555556</v>
      </c>
      <c r="P21" s="115">
        <v>36</v>
      </c>
      <c r="Q21" s="103">
        <v>423.20000000000005</v>
      </c>
    </row>
    <row r="22" spans="1:17" x14ac:dyDescent="0.45">
      <c r="A22" s="51" t="s">
        <v>5</v>
      </c>
      <c r="B22" s="48">
        <f>IF(B$15=0,0,C22/B$15)</f>
        <v>8153.5796766743651</v>
      </c>
      <c r="C22" s="39">
        <v>3530500</v>
      </c>
      <c r="E22" s="59" t="s">
        <v>92</v>
      </c>
      <c r="F22" s="56" t="s">
        <v>47</v>
      </c>
      <c r="G22" s="44">
        <v>3</v>
      </c>
      <c r="H22" s="129">
        <f>IF(B$15=0,0,G22/B$15)</f>
        <v>6.9284064665127024E-3</v>
      </c>
      <c r="I22" s="90">
        <v>4</v>
      </c>
      <c r="K22" s="36">
        <v>20</v>
      </c>
      <c r="L22" s="95">
        <v>365.49999999999994</v>
      </c>
      <c r="N22" s="111" t="s">
        <v>170</v>
      </c>
      <c r="O22" s="121">
        <f t="shared" si="2"/>
        <v>-2.5707317073170728</v>
      </c>
      <c r="P22" s="115">
        <v>41</v>
      </c>
      <c r="Q22" s="103">
        <v>-105.39999999999998</v>
      </c>
    </row>
    <row r="23" spans="1:17" x14ac:dyDescent="0.45">
      <c r="A23" s="52" t="s">
        <v>177</v>
      </c>
      <c r="B23" s="136">
        <f>IF($B$15-B$14=0,0,C23/($B$15-B$14))</f>
        <v>8608.9965397923879</v>
      </c>
      <c r="C23" s="137">
        <v>2488000</v>
      </c>
      <c r="E23" s="59" t="s">
        <v>74</v>
      </c>
      <c r="F23" s="56" t="s">
        <v>29</v>
      </c>
      <c r="G23" s="44">
        <v>2</v>
      </c>
      <c r="H23" s="129">
        <f>IF(B$15=0,0,G23/B$15)</f>
        <v>4.6189376443418013E-3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 t="shared" si="2"/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7239.583333333333</v>
      </c>
      <c r="C24" s="137">
        <v>1042500</v>
      </c>
      <c r="E24" s="59" t="s">
        <v>79</v>
      </c>
      <c r="F24" s="56" t="s">
        <v>34</v>
      </c>
      <c r="G24" s="44">
        <v>2</v>
      </c>
      <c r="H24" s="129">
        <f>IF(B$15=0,0,G24/B$15)</f>
        <v>4.6189376443418013E-3</v>
      </c>
      <c r="I24" s="90">
        <v>9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-7691.6167664670656</v>
      </c>
      <c r="C25" s="137">
        <v>-1284500</v>
      </c>
      <c r="E25" s="59" t="s">
        <v>85</v>
      </c>
      <c r="F25" s="56" t="s">
        <v>40</v>
      </c>
      <c r="G25" s="44">
        <v>2</v>
      </c>
      <c r="H25" s="129">
        <f>IF(B$15=0,0,G25/B$15)</f>
        <v>4.6189376443418013E-3</v>
      </c>
      <c r="I25" s="90">
        <v>5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4.6189376443418013E-3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4.6189376443418013E-3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2.3094688221709007E-3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2.3094688221709007E-3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7.9302141157811261E-4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40</v>
      </c>
      <c r="C32" s="141">
        <f>IF(B$15=0,0,B32/B$15)</f>
        <v>9.237875288683603E-2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79</v>
      </c>
      <c r="C33" s="37">
        <f t="shared" ref="C33:C44" si="3">IF(B$15=0,0,B33/B$15)</f>
        <v>0.18244803695150116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90</v>
      </c>
      <c r="C34" s="37">
        <f>IF(B$15=0,0,B34/B$15)</f>
        <v>0.20785219399538107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78</v>
      </c>
      <c r="C35" s="37">
        <f t="shared" si="3"/>
        <v>0.18013856812933027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62</v>
      </c>
      <c r="C36" s="37">
        <f t="shared" si="3"/>
        <v>0.14318706697459585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40</v>
      </c>
      <c r="C37" s="37">
        <f t="shared" si="3"/>
        <v>9.237875288683603E-2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21</v>
      </c>
      <c r="C38" s="37">
        <f t="shared" si="3"/>
        <v>4.8498845265588918E-2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3"/>
        <v>1.3856812933025405E-2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3"/>
        <v>2.3094688221709007E-2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3"/>
        <v>2.3094688221709007E-3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3"/>
        <v>1.3856812933025405E-2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</sheetData>
  <sortState xmlns:xlrd2="http://schemas.microsoft.com/office/spreadsheetml/2017/richdata2" ref="E2:I15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2F36-9EF9-4FB8-9866-4E48C91959DE}">
  <sheetPr codeName="Sheet11"/>
  <dimension ref="A1:Q13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136</v>
      </c>
      <c r="C2" s="155"/>
      <c r="E2" s="58" t="s">
        <v>66</v>
      </c>
      <c r="F2" s="55" t="s">
        <v>22</v>
      </c>
      <c r="G2" s="43">
        <v>280</v>
      </c>
      <c r="H2" s="128">
        <f>IF(B$15=0,0,G2/B$15)</f>
        <v>0.81395348837209303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-1550.3703703703704</v>
      </c>
      <c r="P2" s="114">
        <v>135</v>
      </c>
      <c r="Q2" s="98">
        <v>-209300</v>
      </c>
    </row>
    <row r="3" spans="1:17" x14ac:dyDescent="0.45">
      <c r="A3" s="51" t="s">
        <v>8</v>
      </c>
      <c r="B3" s="156">
        <v>1138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0.56104651162790697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1505.2631578947369</v>
      </c>
      <c r="P3" s="115">
        <v>133</v>
      </c>
      <c r="Q3" s="99">
        <v>200200</v>
      </c>
    </row>
    <row r="4" spans="1:17" x14ac:dyDescent="0.45">
      <c r="A4" s="51" t="s">
        <v>6</v>
      </c>
      <c r="B4" s="158">
        <v>22.799999999999809</v>
      </c>
      <c r="C4" s="159"/>
      <c r="E4" s="59" t="s">
        <v>166</v>
      </c>
      <c r="F4" s="56" t="s">
        <v>167</v>
      </c>
      <c r="G4" s="44">
        <v>136</v>
      </c>
      <c r="H4" s="129">
        <f>IF(B$15=0,0,G4/B$15)</f>
        <v>0.39534883720930231</v>
      </c>
      <c r="I4" s="90">
        <v>6</v>
      </c>
      <c r="K4" s="36">
        <v>2</v>
      </c>
      <c r="L4" s="95">
        <v>-34.299999999999997</v>
      </c>
      <c r="N4" s="111" t="s">
        <v>132</v>
      </c>
      <c r="O4" s="118">
        <f t="shared" si="0"/>
        <v>-427.04918032786884</v>
      </c>
      <c r="P4" s="115">
        <v>122</v>
      </c>
      <c r="Q4" s="99">
        <v>-52100</v>
      </c>
    </row>
    <row r="5" spans="1:17" x14ac:dyDescent="0.45">
      <c r="A5" s="51" t="s">
        <v>7</v>
      </c>
      <c r="B5" s="160">
        <f>IF(B$2=0,0,B$4/B$2)</f>
        <v>0.16764705882352801</v>
      </c>
      <c r="C5" s="161"/>
      <c r="E5" s="59" t="s">
        <v>64</v>
      </c>
      <c r="F5" s="56" t="s">
        <v>20</v>
      </c>
      <c r="G5" s="44">
        <v>134</v>
      </c>
      <c r="H5" s="129">
        <f>IF(B$15=0,0,G5/B$15)</f>
        <v>0.38953488372093026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404.31034482758622</v>
      </c>
      <c r="P5" s="115">
        <v>116</v>
      </c>
      <c r="Q5" s="99">
        <v>46900</v>
      </c>
    </row>
    <row r="6" spans="1:17" x14ac:dyDescent="0.45">
      <c r="A6" s="51" t="s">
        <v>1</v>
      </c>
      <c r="B6" s="150">
        <f>IF(B$2=0,0,(B$7*1+B$8*2+B$9*3)/B$2)</f>
        <v>1.963235294117647</v>
      </c>
      <c r="C6" s="151"/>
      <c r="E6" s="59" t="s">
        <v>68</v>
      </c>
      <c r="F6" s="56" t="s">
        <v>12</v>
      </c>
      <c r="G6" s="44">
        <v>95</v>
      </c>
      <c r="H6" s="129">
        <f>IF(B$15=0,0,G6/B$15)</f>
        <v>0.27616279069767441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-1004.7169811320755</v>
      </c>
      <c r="P6" s="115">
        <v>106</v>
      </c>
      <c r="Q6" s="99">
        <v>-106500</v>
      </c>
    </row>
    <row r="7" spans="1:17" x14ac:dyDescent="0.45">
      <c r="A7" s="51" t="s">
        <v>2</v>
      </c>
      <c r="B7" s="44">
        <v>46</v>
      </c>
      <c r="C7" s="37">
        <f t="shared" ref="C7:C10" si="1">IF(B$2=0,0,B7/B$2)</f>
        <v>0.33823529411764708</v>
      </c>
      <c r="E7" s="59" t="s">
        <v>67</v>
      </c>
      <c r="F7" s="56" t="s">
        <v>23</v>
      </c>
      <c r="G7" s="44">
        <v>71</v>
      </c>
      <c r="H7" s="129">
        <f>IF(B$15=0,0,G7/B$15)</f>
        <v>0.20639534883720931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1430.3370786516855</v>
      </c>
      <c r="P7" s="116">
        <v>89</v>
      </c>
      <c r="Q7" s="100">
        <v>127300</v>
      </c>
    </row>
    <row r="8" spans="1:17" x14ac:dyDescent="0.45">
      <c r="A8" s="51" t="s">
        <v>3</v>
      </c>
      <c r="B8" s="44">
        <v>49</v>
      </c>
      <c r="C8" s="37">
        <f t="shared" si="1"/>
        <v>0.36029411764705882</v>
      </c>
      <c r="E8" s="59" t="s">
        <v>69</v>
      </c>
      <c r="F8" s="56" t="s">
        <v>24</v>
      </c>
      <c r="G8" s="44">
        <v>41</v>
      </c>
      <c r="H8" s="129">
        <f>IF(B$15=0,0,G8/B$15)</f>
        <v>0.11918604651162791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0.3014705882352941</v>
      </c>
      <c r="E9" s="59" t="s">
        <v>89</v>
      </c>
      <c r="F9" s="56" t="s">
        <v>44</v>
      </c>
      <c r="G9" s="44">
        <v>41</v>
      </c>
      <c r="H9" s="129">
        <f>IF(B$15=0,0,G9/B$15)</f>
        <v>0.11918604651162791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0.13235294117647059</v>
      </c>
      <c r="E10" s="59" t="s">
        <v>70</v>
      </c>
      <c r="F10" s="56" t="s">
        <v>25</v>
      </c>
      <c r="G10" s="44">
        <v>34</v>
      </c>
      <c r="H10" s="129">
        <f>IF(B$15=0,0,G10/B$15)</f>
        <v>9.8837209302325577E-2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0.42972972972973034</v>
      </c>
      <c r="P10" s="114">
        <v>37</v>
      </c>
      <c r="Q10" s="102">
        <v>15.900000000000023</v>
      </c>
    </row>
    <row r="11" spans="1:17" x14ac:dyDescent="0.45">
      <c r="A11" s="54" t="s">
        <v>121</v>
      </c>
      <c r="B11" s="47">
        <v>265</v>
      </c>
      <c r="C11" s="42">
        <f>IF(B$3=0,0,B11/B$3)</f>
        <v>0.23286467486818982</v>
      </c>
      <c r="E11" s="59" t="s">
        <v>71</v>
      </c>
      <c r="F11" s="56" t="s">
        <v>26</v>
      </c>
      <c r="G11" s="44">
        <v>34</v>
      </c>
      <c r="H11" s="129">
        <f>IF(B$15=0,0,G11/B$15)</f>
        <v>9.8837209302325577E-2</v>
      </c>
      <c r="I11" s="90">
        <v>4</v>
      </c>
      <c r="K11" s="36">
        <v>9</v>
      </c>
      <c r="L11" s="95">
        <v>-83.699999999999989</v>
      </c>
      <c r="N11" s="111" t="s">
        <v>158</v>
      </c>
      <c r="O11" s="121">
        <f>IF(P11=0,0,Q11/P11)</f>
        <v>4.8382978723404273</v>
      </c>
      <c r="P11" s="115">
        <v>47</v>
      </c>
      <c r="Q11" s="103">
        <v>227.40000000000006</v>
      </c>
    </row>
    <row r="12" spans="1:17" x14ac:dyDescent="0.45">
      <c r="A12" s="51" t="s">
        <v>118</v>
      </c>
      <c r="B12" s="44">
        <v>342</v>
      </c>
      <c r="C12" s="37">
        <f>IF(B$3=0,0,B12/B$3)</f>
        <v>0.30052724077328646</v>
      </c>
      <c r="E12" s="59" t="s">
        <v>65</v>
      </c>
      <c r="F12" s="56" t="s">
        <v>21</v>
      </c>
      <c r="G12" s="44">
        <v>30</v>
      </c>
      <c r="H12" s="129">
        <f>IF(B$15=0,0,G12/B$15)</f>
        <v>8.7209302325581398E-2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 x14ac:dyDescent="0.45">
      <c r="A13" s="50" t="s">
        <v>123</v>
      </c>
      <c r="B13" s="43">
        <f>B19</f>
        <v>134</v>
      </c>
      <c r="C13" s="35">
        <f>IF(B$11=0,0,B13/B$11)</f>
        <v>0.50566037735849056</v>
      </c>
      <c r="E13" s="59" t="s">
        <v>86</v>
      </c>
      <c r="F13" s="56" t="s">
        <v>41</v>
      </c>
      <c r="G13" s="44">
        <v>23</v>
      </c>
      <c r="H13" s="129">
        <f>IF(B$15=0,0,G13/B$15)</f>
        <v>6.6860465116279064E-2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130</v>
      </c>
      <c r="C14" s="35">
        <f>IF(B$12=0,0,B14/B$12)</f>
        <v>0.38011695906432746</v>
      </c>
      <c r="E14" s="59" t="s">
        <v>83</v>
      </c>
      <c r="F14" s="56" t="s">
        <v>38</v>
      </c>
      <c r="G14" s="44">
        <v>19</v>
      </c>
      <c r="H14" s="129">
        <f>IF(B$15=0,0,G14/B$15)</f>
        <v>5.5232558139534885E-2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344</v>
      </c>
      <c r="C15" s="35">
        <f>IF(B$3=0,0,B15/B$3)</f>
        <v>0.30228471001757468</v>
      </c>
      <c r="E15" s="59" t="s">
        <v>78</v>
      </c>
      <c r="F15" s="56" t="s">
        <v>33</v>
      </c>
      <c r="G15" s="44">
        <v>10</v>
      </c>
      <c r="H15" s="129">
        <f>IF(B$15=0,0,G15/B$15)</f>
        <v>2.9069767441860465E-2</v>
      </c>
      <c r="I15" s="90">
        <v>5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213</v>
      </c>
      <c r="C16" s="37">
        <f>IF(B$3=0,0,B16/B$3)</f>
        <v>0.18717047451669597</v>
      </c>
      <c r="E16" s="59" t="s">
        <v>91</v>
      </c>
      <c r="F16" s="56" t="s">
        <v>46</v>
      </c>
      <c r="G16" s="44">
        <v>10</v>
      </c>
      <c r="H16" s="129">
        <f>IF(B$15=0,0,G16/B$15)</f>
        <v>2.9069767441860465E-2</v>
      </c>
      <c r="I16" s="90">
        <v>2</v>
      </c>
      <c r="K16" s="36">
        <v>14</v>
      </c>
      <c r="L16" s="95">
        <v>-138.4</v>
      </c>
      <c r="N16" s="111" t="s">
        <v>197</v>
      </c>
      <c r="O16" s="121">
        <f>IF(P16=0,0,Q16/P16)</f>
        <v>16.62857142857143</v>
      </c>
      <c r="P16" s="115">
        <v>14</v>
      </c>
      <c r="Q16" s="103">
        <v>232.8</v>
      </c>
    </row>
    <row r="17" spans="1:17" x14ac:dyDescent="0.45">
      <c r="A17" s="51" t="s">
        <v>12</v>
      </c>
      <c r="B17" s="44">
        <v>142</v>
      </c>
      <c r="C17" s="37">
        <f>IF(B$15=0,0,B17/B$15)</f>
        <v>0.41279069767441862</v>
      </c>
      <c r="E17" s="59" t="s">
        <v>81</v>
      </c>
      <c r="F17" s="56" t="s">
        <v>36</v>
      </c>
      <c r="G17" s="44">
        <v>8</v>
      </c>
      <c r="H17" s="129">
        <f>IF(B$15=0,0,G17/B$15)</f>
        <v>2.3255813953488372E-2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16.497872340425523</v>
      </c>
      <c r="P17" s="115">
        <v>47</v>
      </c>
      <c r="Q17" s="103">
        <v>775.39999999999964</v>
      </c>
    </row>
    <row r="18" spans="1:17" x14ac:dyDescent="0.45">
      <c r="A18" s="51" t="s">
        <v>11</v>
      </c>
      <c r="B18" s="44">
        <v>202</v>
      </c>
      <c r="C18" s="37">
        <f>IF(B$15=0,0,B18/B$15)</f>
        <v>0.58720930232558144</v>
      </c>
      <c r="E18" s="59" t="s">
        <v>79</v>
      </c>
      <c r="F18" s="56" t="s">
        <v>34</v>
      </c>
      <c r="G18" s="44">
        <v>6</v>
      </c>
      <c r="H18" s="129">
        <f>IF(B$15=0,0,G18/B$15)</f>
        <v>1.7441860465116279E-2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134</v>
      </c>
      <c r="C19" s="37">
        <f>IF(B$15=0,0,B19/B$15)</f>
        <v>0.38953488372093026</v>
      </c>
      <c r="E19" s="59" t="s">
        <v>162</v>
      </c>
      <c r="F19" s="56" t="s">
        <v>163</v>
      </c>
      <c r="G19" s="44">
        <v>5</v>
      </c>
      <c r="H19" s="129">
        <f>IF(B$15=0,0,G19/B$15)</f>
        <v>1.4534883720930232E-2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4.1851851851851842</v>
      </c>
      <c r="P19" s="115">
        <v>27</v>
      </c>
      <c r="Q19" s="103">
        <v>112.99999999999999</v>
      </c>
    </row>
    <row r="20" spans="1:17" x14ac:dyDescent="0.45">
      <c r="A20" s="51" t="s">
        <v>193</v>
      </c>
      <c r="B20" s="44">
        <v>130</v>
      </c>
      <c r="C20" s="37">
        <f>IF(B$15=0,0,B20/B$15)</f>
        <v>0.37790697674418605</v>
      </c>
      <c r="E20" s="59" t="s">
        <v>92</v>
      </c>
      <c r="F20" s="56" t="s">
        <v>47</v>
      </c>
      <c r="G20" s="44">
        <v>3</v>
      </c>
      <c r="H20" s="129">
        <f>IF(B$15=0,0,G20/B$15)</f>
        <v>8.7209302325581394E-3</v>
      </c>
      <c r="I20" s="90">
        <v>2</v>
      </c>
      <c r="K20" s="36">
        <v>18</v>
      </c>
      <c r="L20" s="95">
        <v>-112.90000000000002</v>
      </c>
      <c r="N20" s="111" t="s">
        <v>170</v>
      </c>
      <c r="O20" s="121">
        <f>IF(P20=0,0,Q20/P20)</f>
        <v>0.66000000000000569</v>
      </c>
      <c r="P20" s="115">
        <v>40</v>
      </c>
      <c r="Q20" s="103">
        <v>26.400000000000226</v>
      </c>
    </row>
    <row r="21" spans="1:17" x14ac:dyDescent="0.45">
      <c r="A21" s="51" t="s">
        <v>194</v>
      </c>
      <c r="B21" s="44">
        <v>80</v>
      </c>
      <c r="C21" s="37">
        <f>IF(B$15=0,0,B21/B$15)</f>
        <v>0.23255813953488372</v>
      </c>
      <c r="E21" s="59" t="s">
        <v>74</v>
      </c>
      <c r="F21" s="56" t="s">
        <v>29</v>
      </c>
      <c r="G21" s="44">
        <v>2</v>
      </c>
      <c r="H21" s="129">
        <f>IF(B$15=0,0,G21/B$15)</f>
        <v>5.8139534883720929E-3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-2.0166666666666644</v>
      </c>
      <c r="P21" s="115">
        <v>42</v>
      </c>
      <c r="Q21" s="103">
        <v>-84.699999999999903</v>
      </c>
    </row>
    <row r="22" spans="1:17" x14ac:dyDescent="0.45">
      <c r="A22" s="51" t="s">
        <v>5</v>
      </c>
      <c r="B22" s="48">
        <f>IF(B$15=0,0,C22/B$15)</f>
        <v>8392.4418604651164</v>
      </c>
      <c r="C22" s="39">
        <v>2887000</v>
      </c>
      <c r="E22" s="59" t="s">
        <v>75</v>
      </c>
      <c r="F22" s="56" t="s">
        <v>30</v>
      </c>
      <c r="G22" s="44">
        <v>2</v>
      </c>
      <c r="H22" s="129">
        <f>IF(B$15=0,0,G22/B$15)</f>
        <v>5.8139534883720929E-3</v>
      </c>
      <c r="I22" s="90">
        <v>7</v>
      </c>
      <c r="K22" s="36">
        <v>20</v>
      </c>
      <c r="L22" s="95">
        <v>-96.000000000000028</v>
      </c>
      <c r="N22" s="111" t="s">
        <v>274</v>
      </c>
      <c r="O22" s="121">
        <f>IF(P22=0,0,Q22/P22)</f>
        <v>-6.2333333333333316</v>
      </c>
      <c r="P22" s="115">
        <v>3</v>
      </c>
      <c r="Q22" s="103">
        <v>-18.699999999999996</v>
      </c>
    </row>
    <row r="23" spans="1:17" x14ac:dyDescent="0.45">
      <c r="A23" s="52" t="s">
        <v>177</v>
      </c>
      <c r="B23" s="136">
        <f>IF($B$15-B$14=0,0,C23/($B$15-B$14))</f>
        <v>9000.4672897196269</v>
      </c>
      <c r="C23" s="137">
        <v>1926100</v>
      </c>
      <c r="E23" s="59" t="s">
        <v>73</v>
      </c>
      <c r="F23" s="56" t="s">
        <v>28</v>
      </c>
      <c r="G23" s="44">
        <v>1</v>
      </c>
      <c r="H23" s="129">
        <f>IF(B$15=0,0,G23/B$15)</f>
        <v>2.9069767441860465E-3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-12.97717391304348</v>
      </c>
      <c r="P23" s="115">
        <v>92</v>
      </c>
      <c r="Q23" s="103">
        <v>-1193.9000000000001</v>
      </c>
    </row>
    <row r="24" spans="1:17" x14ac:dyDescent="0.45">
      <c r="A24" s="52" t="s">
        <v>178</v>
      </c>
      <c r="B24" s="136">
        <f>IF(B$14=0,0,C24/B$14)</f>
        <v>7391.5384615384619</v>
      </c>
      <c r="C24" s="137">
        <v>960900</v>
      </c>
      <c r="E24" s="59" t="s">
        <v>77</v>
      </c>
      <c r="F24" s="56" t="s">
        <v>32</v>
      </c>
      <c r="G24" s="44">
        <v>1</v>
      </c>
      <c r="H24" s="129">
        <f>IF(B$15=0,0,G24/B$15)</f>
        <v>2.9069767441860465E-3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-7936.1502347417836</v>
      </c>
      <c r="C25" s="137">
        <v>-1690400</v>
      </c>
      <c r="E25" s="59" t="s">
        <v>84</v>
      </c>
      <c r="F25" s="56" t="s">
        <v>39</v>
      </c>
      <c r="G25" s="44">
        <v>1</v>
      </c>
      <c r="H25" s="129">
        <f>IF(B$15=0,0,G25/B$15)</f>
        <v>2.9069767441860465E-3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2.9069767441860465E-3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0</v>
      </c>
      <c r="E27" s="59" t="s">
        <v>95</v>
      </c>
      <c r="F27" s="56" t="s">
        <v>50</v>
      </c>
      <c r="G27" s="44">
        <v>1</v>
      </c>
      <c r="H27" s="129">
        <f>IF(B$15=0,0,G27/B$15)</f>
        <v>2.9069767441860465E-3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3.5149384885764497E-3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24</v>
      </c>
      <c r="C32" s="141">
        <f>IF(B$15=0,0,B32/B$15)</f>
        <v>6.9767441860465115E-2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55</v>
      </c>
      <c r="C33" s="37">
        <f t="shared" ref="C33:C44" si="2">IF(B$15=0,0,B33/B$15)</f>
        <v>0.15988372093023256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70</v>
      </c>
      <c r="C34" s="37">
        <f>IF(B$15=0,0,B34/B$15)</f>
        <v>0.20348837209302326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74</v>
      </c>
      <c r="C35" s="37">
        <f t="shared" si="2"/>
        <v>0.21511627906976744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52</v>
      </c>
      <c r="C36" s="37">
        <f t="shared" si="2"/>
        <v>0.15116279069767441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38</v>
      </c>
      <c r="C37" s="37">
        <f t="shared" si="2"/>
        <v>0.11046511627906977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11</v>
      </c>
      <c r="C38" s="37">
        <f t="shared" si="2"/>
        <v>3.1976744186046513E-2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2.3255813953488372E-2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1.4534883720930232E-2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2.9069767441860465E-3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5.8139534883720929E-3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1.1627906976744186E-2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B1BC-CFCD-4866-BD24-A090F5382ECE}">
  <sheetPr codeName="Sheet13"/>
  <dimension ref="A1:Q9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90</v>
      </c>
      <c r="C2" s="155"/>
      <c r="E2" s="58" t="s">
        <v>66</v>
      </c>
      <c r="F2" s="55" t="s">
        <v>22</v>
      </c>
      <c r="G2" s="43">
        <v>166</v>
      </c>
      <c r="H2" s="128">
        <f>IF(B$15=0,0,G2/B$15)</f>
        <v>0.78301886792452835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-191.01123595505618</v>
      </c>
      <c r="P2" s="114">
        <v>89</v>
      </c>
      <c r="Q2" s="98">
        <v>-17000</v>
      </c>
    </row>
    <row r="3" spans="1:17" x14ac:dyDescent="0.45">
      <c r="A3" s="51" t="s">
        <v>8</v>
      </c>
      <c r="B3" s="156">
        <v>763</v>
      </c>
      <c r="C3" s="157"/>
      <c r="E3" s="59" t="s">
        <v>64</v>
      </c>
      <c r="F3" s="56" t="s">
        <v>20</v>
      </c>
      <c r="G3" s="44">
        <v>119</v>
      </c>
      <c r="H3" s="129">
        <f>IF(B$15=0,0,G3/B$15)</f>
        <v>0.56132075471698117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-1214.6067415730338</v>
      </c>
      <c r="P3" s="115">
        <v>89</v>
      </c>
      <c r="Q3" s="99">
        <v>-108100</v>
      </c>
    </row>
    <row r="4" spans="1:17" x14ac:dyDescent="0.45">
      <c r="A4" s="51" t="s">
        <v>6</v>
      </c>
      <c r="B4" s="158">
        <v>-557.1</v>
      </c>
      <c r="C4" s="159"/>
      <c r="E4" s="59" t="s">
        <v>72</v>
      </c>
      <c r="F4" s="56" t="s">
        <v>27</v>
      </c>
      <c r="G4" s="44">
        <v>107</v>
      </c>
      <c r="H4" s="129">
        <f>IF(B$15=0,0,G4/B$15)</f>
        <v>0.50471698113207553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616.86746987951813</v>
      </c>
      <c r="P4" s="115">
        <v>83</v>
      </c>
      <c r="Q4" s="99">
        <v>51200</v>
      </c>
    </row>
    <row r="5" spans="1:17" x14ac:dyDescent="0.45">
      <c r="A5" s="51" t="s">
        <v>7</v>
      </c>
      <c r="B5" s="160">
        <f>IF(B$2=0,0,B$4/B$2)</f>
        <v>-6.19</v>
      </c>
      <c r="C5" s="161"/>
      <c r="E5" s="59" t="s">
        <v>166</v>
      </c>
      <c r="F5" s="56" t="s">
        <v>167</v>
      </c>
      <c r="G5" s="44">
        <v>88</v>
      </c>
      <c r="H5" s="129">
        <f>IF(B$15=0,0,G5/B$15)</f>
        <v>0.41509433962264153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-445.1219512195122</v>
      </c>
      <c r="P5" s="115">
        <v>82</v>
      </c>
      <c r="Q5" s="99">
        <v>-36500</v>
      </c>
    </row>
    <row r="6" spans="1:17" x14ac:dyDescent="0.45">
      <c r="A6" s="51" t="s">
        <v>1</v>
      </c>
      <c r="B6" s="150">
        <f>IF(B$2=0,0,(B$7*1+B$8*2+B$9*3)/B$2)</f>
        <v>2.1555555555555554</v>
      </c>
      <c r="C6" s="151"/>
      <c r="E6" s="59" t="s">
        <v>68</v>
      </c>
      <c r="F6" s="56" t="s">
        <v>12</v>
      </c>
      <c r="G6" s="44">
        <v>72</v>
      </c>
      <c r="H6" s="129">
        <f>IF(B$15=0,0,G6/B$15)</f>
        <v>0.33962264150943394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-2923.3766233766232</v>
      </c>
      <c r="P6" s="115">
        <v>77</v>
      </c>
      <c r="Q6" s="99">
        <v>-225100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0.22222222222222221</v>
      </c>
      <c r="E7" s="59" t="s">
        <v>67</v>
      </c>
      <c r="F7" s="56" t="s">
        <v>23</v>
      </c>
      <c r="G7" s="44">
        <v>62</v>
      </c>
      <c r="H7" s="129">
        <f>IF(B$15=0,0,G7/B$15)</f>
        <v>0.29245283018867924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-1231.8181818181818</v>
      </c>
      <c r="P7" s="116">
        <v>66</v>
      </c>
      <c r="Q7" s="100">
        <v>-81300</v>
      </c>
    </row>
    <row r="8" spans="1:17" x14ac:dyDescent="0.45">
      <c r="A8" s="51" t="s">
        <v>3</v>
      </c>
      <c r="B8" s="44">
        <v>36</v>
      </c>
      <c r="C8" s="37">
        <f t="shared" si="1"/>
        <v>0.4</v>
      </c>
      <c r="E8" s="59" t="s">
        <v>69</v>
      </c>
      <c r="F8" s="56" t="s">
        <v>24</v>
      </c>
      <c r="G8" s="44">
        <v>30</v>
      </c>
      <c r="H8" s="129">
        <f>IF(B$15=0,0,G8/B$15)</f>
        <v>0.14150943396226415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0.37777777777777777</v>
      </c>
      <c r="E9" s="59" t="s">
        <v>70</v>
      </c>
      <c r="F9" s="56" t="s">
        <v>25</v>
      </c>
      <c r="G9" s="44">
        <v>26</v>
      </c>
      <c r="H9" s="129">
        <f>IF(B$15=0,0,G9/B$15)</f>
        <v>0.12264150943396226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7.7777777777777779E-2</v>
      </c>
      <c r="E10" s="59" t="s">
        <v>65</v>
      </c>
      <c r="F10" s="56" t="s">
        <v>21</v>
      </c>
      <c r="G10" s="44">
        <v>25</v>
      </c>
      <c r="H10" s="129">
        <f>IF(B$15=0,0,G10/B$15)</f>
        <v>0.11792452830188679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-5.00810810810811</v>
      </c>
      <c r="P10" s="114">
        <v>37</v>
      </c>
      <c r="Q10" s="102">
        <v>-185.30000000000007</v>
      </c>
    </row>
    <row r="11" spans="1:17" x14ac:dyDescent="0.45">
      <c r="A11" s="54" t="s">
        <v>121</v>
      </c>
      <c r="B11" s="47">
        <v>214</v>
      </c>
      <c r="C11" s="42">
        <f>IF(B$3=0,0,B11/B$3)</f>
        <v>0.28047182175622543</v>
      </c>
      <c r="E11" s="59" t="s">
        <v>89</v>
      </c>
      <c r="F11" s="56" t="s">
        <v>44</v>
      </c>
      <c r="G11" s="44">
        <v>25</v>
      </c>
      <c r="H11" s="129">
        <f>IF(B$15=0,0,G11/B$15)</f>
        <v>0.11792452830188679</v>
      </c>
      <c r="I11" s="90">
        <v>10</v>
      </c>
      <c r="K11" s="36">
        <v>9</v>
      </c>
      <c r="L11" s="95">
        <v>-74.199999999999989</v>
      </c>
      <c r="N11" s="111" t="s">
        <v>158</v>
      </c>
      <c r="O11" s="121">
        <f>IF(P11=0,0,Q11/P11)</f>
        <v>-6.0320000000000018</v>
      </c>
      <c r="P11" s="115">
        <v>25</v>
      </c>
      <c r="Q11" s="103">
        <v>-150.80000000000004</v>
      </c>
    </row>
    <row r="12" spans="1:17" x14ac:dyDescent="0.45">
      <c r="A12" s="51" t="s">
        <v>118</v>
      </c>
      <c r="B12" s="44">
        <v>154</v>
      </c>
      <c r="C12" s="37">
        <f>IF(B$3=0,0,B12/B$3)</f>
        <v>0.20183486238532111</v>
      </c>
      <c r="E12" s="59" t="s">
        <v>83</v>
      </c>
      <c r="F12" s="56" t="s">
        <v>38</v>
      </c>
      <c r="G12" s="44">
        <v>11</v>
      </c>
      <c r="H12" s="129">
        <f>IF(B$15=0,0,G12/B$15)</f>
        <v>5.1886792452830191E-2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 x14ac:dyDescent="0.45">
      <c r="A13" s="50" t="s">
        <v>123</v>
      </c>
      <c r="B13" s="43">
        <f>B19</f>
        <v>118</v>
      </c>
      <c r="C13" s="35">
        <f>IF(B$11=0,0,B13/B$11)</f>
        <v>0.55140186915887845</v>
      </c>
      <c r="E13" s="59" t="s">
        <v>71</v>
      </c>
      <c r="F13" s="56" t="s">
        <v>26</v>
      </c>
      <c r="G13" s="44">
        <v>9</v>
      </c>
      <c r="H13" s="129">
        <f>IF(B$15=0,0,G13/B$15)</f>
        <v>4.2452830188679243E-2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63</v>
      </c>
      <c r="C14" s="35">
        <f>IF(B$12=0,0,B14/B$12)</f>
        <v>0.40909090909090912</v>
      </c>
      <c r="E14" s="59" t="s">
        <v>86</v>
      </c>
      <c r="F14" s="56" t="s">
        <v>41</v>
      </c>
      <c r="G14" s="44">
        <v>9</v>
      </c>
      <c r="H14" s="129">
        <f>IF(B$15=0,0,G14/B$15)</f>
        <v>4.2452830188679243E-2</v>
      </c>
      <c r="I14" s="90">
        <v>8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212</v>
      </c>
      <c r="C15" s="35">
        <f>IF(B$3=0,0,B15/B$3)</f>
        <v>0.27785058977719529</v>
      </c>
      <c r="E15" s="59" t="s">
        <v>78</v>
      </c>
      <c r="F15" s="56" t="s">
        <v>33</v>
      </c>
      <c r="G15" s="44">
        <v>7</v>
      </c>
      <c r="H15" s="129">
        <f>IF(B$15=0,0,G15/B$15)</f>
        <v>3.3018867924528301E-2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141</v>
      </c>
      <c r="C16" s="37">
        <f>IF(B$3=0,0,B16/B$3)</f>
        <v>0.18479685452162517</v>
      </c>
      <c r="E16" s="59" t="s">
        <v>162</v>
      </c>
      <c r="F16" s="56" t="s">
        <v>163</v>
      </c>
      <c r="G16" s="44">
        <v>4</v>
      </c>
      <c r="H16" s="129">
        <f>IF(B$15=0,0,G16/B$15)</f>
        <v>1.8867924528301886E-2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 t="shared" si="2"/>
        <v>6.0625000000000036</v>
      </c>
      <c r="P16" s="115">
        <v>16</v>
      </c>
      <c r="Q16" s="103">
        <v>97.000000000000057</v>
      </c>
    </row>
    <row r="17" spans="1:17" x14ac:dyDescent="0.45">
      <c r="A17" s="51" t="s">
        <v>12</v>
      </c>
      <c r="B17" s="44">
        <v>98</v>
      </c>
      <c r="C17" s="37">
        <f>IF(B$15=0,0,B17/B$15)</f>
        <v>0.46226415094339623</v>
      </c>
      <c r="E17" s="59" t="s">
        <v>75</v>
      </c>
      <c r="F17" s="56" t="s">
        <v>30</v>
      </c>
      <c r="G17" s="44">
        <v>3</v>
      </c>
      <c r="H17" s="129">
        <f>IF(B$15=0,0,G17/B$15)</f>
        <v>1.4150943396226415E-2</v>
      </c>
      <c r="I17" s="90">
        <v>3</v>
      </c>
      <c r="K17" s="36">
        <v>15</v>
      </c>
      <c r="L17" s="95">
        <v>-221.5</v>
      </c>
      <c r="N17" s="111" t="s">
        <v>170</v>
      </c>
      <c r="O17" s="121">
        <f t="shared" si="2"/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114</v>
      </c>
      <c r="C18" s="37">
        <f>IF(B$15=0,0,B18/B$15)</f>
        <v>0.53773584905660377</v>
      </c>
      <c r="E18" s="59" t="s">
        <v>79</v>
      </c>
      <c r="F18" s="56" t="s">
        <v>34</v>
      </c>
      <c r="G18" s="44">
        <v>3</v>
      </c>
      <c r="H18" s="129">
        <f>IF(B$15=0,0,G18/B$15)</f>
        <v>1.4150943396226415E-2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118</v>
      </c>
      <c r="C19" s="37">
        <f>IF(B$15=0,0,B19/B$15)</f>
        <v>0.55660377358490565</v>
      </c>
      <c r="E19" s="59" t="s">
        <v>81</v>
      </c>
      <c r="F19" s="56" t="s">
        <v>36</v>
      </c>
      <c r="G19" s="44">
        <v>3</v>
      </c>
      <c r="H19" s="129">
        <f>IF(B$15=0,0,G19/B$15)</f>
        <v>1.4150943396226415E-2</v>
      </c>
      <c r="I19" s="90">
        <v>9</v>
      </c>
      <c r="K19" s="36">
        <v>17</v>
      </c>
      <c r="L19" s="95">
        <v>-251.4</v>
      </c>
      <c r="N19" s="111" t="s">
        <v>126</v>
      </c>
      <c r="O19" s="121">
        <f t="shared" si="2"/>
        <v>-12.070909090909092</v>
      </c>
      <c r="P19" s="115">
        <v>55</v>
      </c>
      <c r="Q19" s="103">
        <v>-663.90000000000009</v>
      </c>
    </row>
    <row r="20" spans="1:17" x14ac:dyDescent="0.45">
      <c r="A20" s="51" t="s">
        <v>193</v>
      </c>
      <c r="B20" s="44">
        <v>63</v>
      </c>
      <c r="C20" s="37">
        <f>IF(B$15=0,0,B20/B$15)</f>
        <v>0.29716981132075471</v>
      </c>
      <c r="E20" s="59" t="s">
        <v>91</v>
      </c>
      <c r="F20" s="56" t="s">
        <v>46</v>
      </c>
      <c r="G20" s="44">
        <v>1</v>
      </c>
      <c r="H20" s="129">
        <f>IF(B$15=0,0,G20/B$15)</f>
        <v>4.7169811320754715E-3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-13.237499999999999</v>
      </c>
      <c r="P20" s="115">
        <v>24</v>
      </c>
      <c r="Q20" s="103">
        <v>-317.7</v>
      </c>
    </row>
    <row r="21" spans="1:17" x14ac:dyDescent="0.45">
      <c r="A21" s="51" t="s">
        <v>194</v>
      </c>
      <c r="B21" s="44">
        <v>31</v>
      </c>
      <c r="C21" s="37">
        <f>IF(B$15=0,0,B21/B$15)</f>
        <v>0.14622641509433962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-16.497872340425523</v>
      </c>
      <c r="P21" s="115">
        <v>47</v>
      </c>
      <c r="Q21" s="103">
        <v>-775.39999999999964</v>
      </c>
    </row>
    <row r="22" spans="1:17" x14ac:dyDescent="0.45">
      <c r="A22" s="51" t="s">
        <v>5</v>
      </c>
      <c r="B22" s="48">
        <f>IF(B$15=0,0,C22/B$15)</f>
        <v>7730.1886792452833</v>
      </c>
      <c r="C22" s="39">
        <v>1638800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-34.699999999999996</v>
      </c>
      <c r="P22" s="115">
        <v>3</v>
      </c>
      <c r="Q22" s="103">
        <v>-104.1</v>
      </c>
    </row>
    <row r="23" spans="1:17" x14ac:dyDescent="0.45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6298.4126984126988</v>
      </c>
      <c r="C24" s="137">
        <v>396800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-7551.7730496453896</v>
      </c>
      <c r="C25" s="137">
        <v>-1064800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3.9318479685452159E-3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15</v>
      </c>
      <c r="C32" s="141">
        <f>IF(B$15=0,0,B32/B$15)</f>
        <v>7.0754716981132074E-2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0.18396226415094338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48</v>
      </c>
      <c r="C34" s="37">
        <f>IF(B$15=0,0,B34/B$15)</f>
        <v>0.22641509433962265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32</v>
      </c>
      <c r="C35" s="37">
        <f t="shared" si="3"/>
        <v>0.15094339622641509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3"/>
        <v>0.1650943396226415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22</v>
      </c>
      <c r="C37" s="37">
        <f t="shared" si="3"/>
        <v>0.10377358490566038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6.1320754716981132E-2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3"/>
        <v>1.8867924528301886E-2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4.7169811320754715E-3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4.7169811320754715E-3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9.433962264150943E-3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</sheetData>
  <sortState xmlns:xlrd2="http://schemas.microsoft.com/office/spreadsheetml/2017/richdata2" ref="E2:I9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5F1F-E42F-459A-A41F-1800BFBCD48A}">
  <sheetPr codeName="Sheet15"/>
  <dimension ref="A1:Q10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104</v>
      </c>
      <c r="C2" s="155"/>
      <c r="E2" s="58" t="s">
        <v>66</v>
      </c>
      <c r="F2" s="55" t="s">
        <v>22</v>
      </c>
      <c r="G2" s="43">
        <v>198</v>
      </c>
      <c r="H2" s="128">
        <f>IF(B$15=0,0,G2/B$15)</f>
        <v>0.84978540772532185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1196.1538461538462</v>
      </c>
      <c r="P2" s="114">
        <v>104</v>
      </c>
      <c r="Q2" s="98">
        <v>124400</v>
      </c>
    </row>
    <row r="3" spans="1:17" x14ac:dyDescent="0.45">
      <c r="A3" s="51" t="s">
        <v>8</v>
      </c>
      <c r="B3" s="156">
        <v>840</v>
      </c>
      <c r="C3" s="157"/>
      <c r="E3" s="59" t="s">
        <v>64</v>
      </c>
      <c r="F3" s="56" t="s">
        <v>20</v>
      </c>
      <c r="G3" s="44">
        <v>130</v>
      </c>
      <c r="H3" s="129">
        <f>IF(B$15=0,0,G3/B$15)</f>
        <v>0.55793991416309008</v>
      </c>
      <c r="I3" s="90">
        <v>6</v>
      </c>
      <c r="K3" s="36">
        <v>1</v>
      </c>
      <c r="L3" s="95">
        <v>-9.1</v>
      </c>
      <c r="N3" s="111" t="s">
        <v>131</v>
      </c>
      <c r="O3" s="118">
        <f t="shared" si="0"/>
        <v>-1108.8235294117646</v>
      </c>
      <c r="P3" s="115">
        <v>102</v>
      </c>
      <c r="Q3" s="99">
        <v>-113100</v>
      </c>
    </row>
    <row r="4" spans="1:17" x14ac:dyDescent="0.45">
      <c r="A4" s="51" t="s">
        <v>6</v>
      </c>
      <c r="B4" s="158">
        <v>408.90000000000026</v>
      </c>
      <c r="C4" s="159"/>
      <c r="E4" s="59" t="s">
        <v>72</v>
      </c>
      <c r="F4" s="56" t="s">
        <v>27</v>
      </c>
      <c r="G4" s="44">
        <v>126</v>
      </c>
      <c r="H4" s="129">
        <f>IF(B$15=0,0,G4/B$15)</f>
        <v>0.54077253218884125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-258.06451612903226</v>
      </c>
      <c r="P4" s="115">
        <v>93</v>
      </c>
      <c r="Q4" s="99">
        <v>-24000</v>
      </c>
    </row>
    <row r="5" spans="1:17" x14ac:dyDescent="0.45">
      <c r="A5" s="51" t="s">
        <v>7</v>
      </c>
      <c r="B5" s="160">
        <f>IF(B$2=0,0,B$4/B$2)</f>
        <v>3.9317307692307719</v>
      </c>
      <c r="C5" s="161"/>
      <c r="E5" s="59" t="s">
        <v>67</v>
      </c>
      <c r="F5" s="56" t="s">
        <v>23</v>
      </c>
      <c r="G5" s="44">
        <v>101</v>
      </c>
      <c r="H5" s="129">
        <f>IF(B$15=0,0,G5/B$15)</f>
        <v>0.4334763948497854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2665.1685393258426</v>
      </c>
      <c r="P5" s="115">
        <v>89</v>
      </c>
      <c r="Q5" s="99">
        <v>237200</v>
      </c>
    </row>
    <row r="6" spans="1:17" x14ac:dyDescent="0.45">
      <c r="A6" s="51" t="s">
        <v>1</v>
      </c>
      <c r="B6" s="150">
        <f>IF(B$2=0,0,(B$7*1+B$8*2+B$9*3)/B$2)</f>
        <v>1.9134615384615385</v>
      </c>
      <c r="C6" s="151"/>
      <c r="E6" s="59" t="s">
        <v>68</v>
      </c>
      <c r="F6" s="56" t="s">
        <v>12</v>
      </c>
      <c r="G6" s="44">
        <v>95</v>
      </c>
      <c r="H6" s="129">
        <f>IF(B$15=0,0,G6/B$15)</f>
        <v>0.40772532188841204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602.5</v>
      </c>
      <c r="P6" s="115">
        <v>80</v>
      </c>
      <c r="Q6" s="99">
        <v>48200</v>
      </c>
    </row>
    <row r="7" spans="1:17" x14ac:dyDescent="0.45">
      <c r="A7" s="51" t="s">
        <v>2</v>
      </c>
      <c r="B7" s="44">
        <v>41</v>
      </c>
      <c r="C7" s="37">
        <f t="shared" ref="C7:C10" si="1">IF(B$2=0,0,B7/B$2)</f>
        <v>0.39423076923076922</v>
      </c>
      <c r="E7" s="59" t="s">
        <v>166</v>
      </c>
      <c r="F7" s="56" t="s">
        <v>167</v>
      </c>
      <c r="G7" s="44">
        <v>90</v>
      </c>
      <c r="H7" s="129">
        <f>IF(B$15=0,0,G7/B$15)</f>
        <v>0.38626609442060084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142.1875</v>
      </c>
      <c r="P7" s="116">
        <v>64</v>
      </c>
      <c r="Q7" s="100">
        <v>9100</v>
      </c>
    </row>
    <row r="8" spans="1:17" x14ac:dyDescent="0.45">
      <c r="A8" s="51" t="s">
        <v>3</v>
      </c>
      <c r="B8" s="44">
        <v>31</v>
      </c>
      <c r="C8" s="37">
        <f t="shared" si="1"/>
        <v>0.29807692307692307</v>
      </c>
      <c r="E8" s="59" t="s">
        <v>89</v>
      </c>
      <c r="F8" s="56" t="s">
        <v>44</v>
      </c>
      <c r="G8" s="44">
        <v>55</v>
      </c>
      <c r="H8" s="129">
        <f>IF(B$15=0,0,G8/B$15)</f>
        <v>0.23605150214592274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0.30769230769230771</v>
      </c>
      <c r="E9" s="59" t="s">
        <v>69</v>
      </c>
      <c r="F9" s="56" t="s">
        <v>24</v>
      </c>
      <c r="G9" s="44">
        <v>49</v>
      </c>
      <c r="H9" s="129">
        <f>IF(B$15=0,0,G9/B$15)</f>
        <v>0.21030042918454936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0.10576923076923077</v>
      </c>
      <c r="E10" s="59" t="s">
        <v>65</v>
      </c>
      <c r="F10" s="56" t="s">
        <v>21</v>
      </c>
      <c r="G10" s="44">
        <v>36</v>
      </c>
      <c r="H10" s="129">
        <f>IF(B$15=0,0,G10/B$15)</f>
        <v>0.15450643776824036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 x14ac:dyDescent="0.45">
      <c r="A11" s="54" t="s">
        <v>121</v>
      </c>
      <c r="B11" s="47">
        <v>261</v>
      </c>
      <c r="C11" s="42">
        <f>IF(B$3=0,0,B11/B$3)</f>
        <v>0.31071428571428572</v>
      </c>
      <c r="E11" s="59" t="s">
        <v>70</v>
      </c>
      <c r="F11" s="56" t="s">
        <v>25</v>
      </c>
      <c r="G11" s="44">
        <v>25</v>
      </c>
      <c r="H11" s="129">
        <f>IF(B$15=0,0,G11/B$15)</f>
        <v>0.1072961373390558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6.7441860465116266</v>
      </c>
      <c r="P11" s="115">
        <v>43</v>
      </c>
      <c r="Q11" s="103">
        <v>289.99999999999994</v>
      </c>
    </row>
    <row r="12" spans="1:17" x14ac:dyDescent="0.45">
      <c r="A12" s="51" t="s">
        <v>118</v>
      </c>
      <c r="B12" s="44">
        <v>140</v>
      </c>
      <c r="C12" s="37">
        <f>IF(B$3=0,0,B12/B$3)</f>
        <v>0.16666666666666666</v>
      </c>
      <c r="E12" s="59" t="s">
        <v>162</v>
      </c>
      <c r="F12" s="56" t="s">
        <v>163</v>
      </c>
      <c r="G12" s="44">
        <v>16</v>
      </c>
      <c r="H12" s="129">
        <f>IF(B$15=0,0,G12/B$15)</f>
        <v>6.8669527896995708E-2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4.036363636363637</v>
      </c>
      <c r="P12" s="116">
        <v>33</v>
      </c>
      <c r="Q12" s="104">
        <v>133.20000000000002</v>
      </c>
    </row>
    <row r="13" spans="1:17" x14ac:dyDescent="0.45">
      <c r="A13" s="50" t="s">
        <v>123</v>
      </c>
      <c r="B13" s="43">
        <f>B19</f>
        <v>145</v>
      </c>
      <c r="C13" s="35">
        <f>IF(B$11=0,0,B13/B$11)</f>
        <v>0.55555555555555558</v>
      </c>
      <c r="E13" s="59" t="s">
        <v>71</v>
      </c>
      <c r="F13" s="56" t="s">
        <v>26</v>
      </c>
      <c r="G13" s="44">
        <v>13</v>
      </c>
      <c r="H13" s="129">
        <f>IF(B$15=0,0,G13/B$15)</f>
        <v>5.5793991416309016E-2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0.38571428571428573</v>
      </c>
      <c r="E14" s="59" t="s">
        <v>86</v>
      </c>
      <c r="F14" s="56" t="s">
        <v>41</v>
      </c>
      <c r="G14" s="44">
        <v>9</v>
      </c>
      <c r="H14" s="129">
        <f>IF(B$15=0,0,G14/B$15)</f>
        <v>3.8626609442060089E-2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233</v>
      </c>
      <c r="C15" s="35">
        <f>IF(B$3=0,0,B15/B$3)</f>
        <v>0.27738095238095239</v>
      </c>
      <c r="E15" s="59" t="s">
        <v>83</v>
      </c>
      <c r="F15" s="56" t="s">
        <v>38</v>
      </c>
      <c r="G15" s="44">
        <v>7</v>
      </c>
      <c r="H15" s="129">
        <f>IF(B$15=0,0,G15/B$15)</f>
        <v>3.0042918454935622E-2</v>
      </c>
      <c r="I15" s="90">
        <v>12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147</v>
      </c>
      <c r="C16" s="37">
        <f>IF(B$3=0,0,B16/B$3)</f>
        <v>0.17499999999999999</v>
      </c>
      <c r="E16" s="59" t="s">
        <v>78</v>
      </c>
      <c r="F16" s="56" t="s">
        <v>33</v>
      </c>
      <c r="G16" s="44">
        <v>4</v>
      </c>
      <c r="H16" s="129">
        <f>IF(B$15=0,0,G16/B$15)</f>
        <v>1.7167381974248927E-2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122</v>
      </c>
      <c r="C17" s="37">
        <f>IF(B$15=0,0,B17/B$15)</f>
        <v>0.52360515021459231</v>
      </c>
      <c r="E17" s="59" t="s">
        <v>81</v>
      </c>
      <c r="F17" s="56" t="s">
        <v>36</v>
      </c>
      <c r="G17" s="44">
        <v>4</v>
      </c>
      <c r="H17" s="129">
        <f>IF(B$15=0,0,G17/B$15)</f>
        <v>1.7167381974248927E-2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111</v>
      </c>
      <c r="C18" s="37">
        <f>IF(B$15=0,0,B18/B$15)</f>
        <v>0.47639484978540775</v>
      </c>
      <c r="E18" s="59" t="s">
        <v>91</v>
      </c>
      <c r="F18" s="56" t="s">
        <v>46</v>
      </c>
      <c r="G18" s="44">
        <v>4</v>
      </c>
      <c r="H18" s="129">
        <f>IF(B$15=0,0,G18/B$15)</f>
        <v>1.7167381974248927E-2</v>
      </c>
      <c r="I18" s="90">
        <v>4</v>
      </c>
      <c r="K18" s="36">
        <v>16</v>
      </c>
      <c r="L18" s="95">
        <v>-63.099999999999966</v>
      </c>
      <c r="N18" s="111" t="s">
        <v>171</v>
      </c>
      <c r="O18" s="121">
        <f>IF(P18=0,0,Q18/P18)</f>
        <v>7.690384615384616</v>
      </c>
      <c r="P18" s="115">
        <v>52</v>
      </c>
      <c r="Q18" s="103">
        <v>399.90000000000003</v>
      </c>
    </row>
    <row r="19" spans="1:17" x14ac:dyDescent="0.45">
      <c r="A19" s="51" t="s">
        <v>195</v>
      </c>
      <c r="B19" s="44">
        <v>145</v>
      </c>
      <c r="C19" s="37">
        <f>IF(B$15=0,0,B19/B$15)</f>
        <v>0.62231759656652363</v>
      </c>
      <c r="E19" s="59" t="s">
        <v>92</v>
      </c>
      <c r="F19" s="56" t="s">
        <v>47</v>
      </c>
      <c r="G19" s="44">
        <v>4</v>
      </c>
      <c r="H19" s="129">
        <f>IF(B$15=0,0,G19/B$15)</f>
        <v>1.7167381974248927E-2</v>
      </c>
      <c r="I19" s="90">
        <v>1</v>
      </c>
      <c r="K19" s="36">
        <v>17</v>
      </c>
      <c r="L19" s="95">
        <v>-55.799999999999969</v>
      </c>
      <c r="N19" s="111" t="s">
        <v>126</v>
      </c>
      <c r="O19" s="121">
        <f>IF(P19=0,0,Q19/P19)</f>
        <v>2.5707317073170706</v>
      </c>
      <c r="P19" s="115">
        <v>41</v>
      </c>
      <c r="Q19" s="103">
        <v>105.39999999999989</v>
      </c>
    </row>
    <row r="20" spans="1:17" x14ac:dyDescent="0.45">
      <c r="A20" s="51" t="s">
        <v>193</v>
      </c>
      <c r="B20" s="44">
        <v>54</v>
      </c>
      <c r="C20" s="37">
        <f>IF(B$15=0,0,B20/B$15)</f>
        <v>0.23175965665236051</v>
      </c>
      <c r="E20" s="59" t="s">
        <v>73</v>
      </c>
      <c r="F20" s="56" t="s">
        <v>28</v>
      </c>
      <c r="G20" s="44">
        <v>2</v>
      </c>
      <c r="H20" s="129">
        <f>IF(B$15=0,0,G20/B$15)</f>
        <v>8.5836909871244635E-3</v>
      </c>
      <c r="I20" s="90">
        <v>2</v>
      </c>
      <c r="K20" s="36">
        <v>18</v>
      </c>
      <c r="L20" s="95">
        <v>-24.999999999999968</v>
      </c>
      <c r="N20" s="111" t="s">
        <v>127</v>
      </c>
      <c r="O20" s="121">
        <f>IF(P20=0,0,Q20/P20)</f>
        <v>-0.66000000000000258</v>
      </c>
      <c r="P20" s="115">
        <v>40</v>
      </c>
      <c r="Q20" s="103">
        <v>-26.400000000000102</v>
      </c>
    </row>
    <row r="21" spans="1:17" x14ac:dyDescent="0.45">
      <c r="A21" s="51" t="s">
        <v>194</v>
      </c>
      <c r="B21" s="44">
        <v>34</v>
      </c>
      <c r="C21" s="37">
        <f>IF(B$15=0,0,B21/B$15)</f>
        <v>0.14592274678111589</v>
      </c>
      <c r="E21" s="59" t="s">
        <v>79</v>
      </c>
      <c r="F21" s="56" t="s">
        <v>34</v>
      </c>
      <c r="G21" s="44">
        <v>2</v>
      </c>
      <c r="H21" s="129">
        <f>IF(B$15=0,0,G21/B$15)</f>
        <v>8.5836909871244635E-3</v>
      </c>
      <c r="I21" s="90">
        <v>8</v>
      </c>
      <c r="K21" s="36">
        <v>19</v>
      </c>
      <c r="L21" s="95">
        <v>-27.799999999999969</v>
      </c>
      <c r="N21" s="111" t="s">
        <v>172</v>
      </c>
      <c r="O21" s="121">
        <f>IF(P21=0,0,Q21/P21)</f>
        <v>-2.5450000000000008</v>
      </c>
      <c r="P21" s="115">
        <v>20</v>
      </c>
      <c r="Q21" s="103">
        <v>-50.90000000000002</v>
      </c>
    </row>
    <row r="22" spans="1:17" x14ac:dyDescent="0.45">
      <c r="A22" s="51" t="s">
        <v>5</v>
      </c>
      <c r="B22" s="48">
        <f>IF(B$15=0,0,C22/B$15)</f>
        <v>10847.639484978541</v>
      </c>
      <c r="C22" s="39">
        <v>2527500</v>
      </c>
      <c r="E22" s="59" t="s">
        <v>84</v>
      </c>
      <c r="F22" s="56" t="s">
        <v>39</v>
      </c>
      <c r="G22" s="44">
        <v>2</v>
      </c>
      <c r="H22" s="129">
        <f>IF(B$15=0,0,G22/B$15)</f>
        <v>8.5836909871244635E-3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-14.099999999999998</v>
      </c>
      <c r="P22" s="115">
        <v>8</v>
      </c>
      <c r="Q22" s="103">
        <v>-112.79999999999998</v>
      </c>
    </row>
    <row r="23" spans="1:17" x14ac:dyDescent="0.45">
      <c r="A23" s="52" t="s">
        <v>177</v>
      </c>
      <c r="B23" s="136">
        <f>IF($B$15-B$14=0,0,C23/($B$15-B$14))</f>
        <v>11512.849162011173</v>
      </c>
      <c r="C23" s="137">
        <v>2060800</v>
      </c>
      <c r="E23" s="59" t="s">
        <v>90</v>
      </c>
      <c r="F23" s="56" t="s">
        <v>45</v>
      </c>
      <c r="G23" s="44">
        <v>2</v>
      </c>
      <c r="H23" s="129">
        <f>IF(B$15=0,0,G23/B$15)</f>
        <v>8.5836909871244635E-3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-23.5</v>
      </c>
      <c r="P23" s="115">
        <v>4</v>
      </c>
      <c r="Q23" s="103">
        <v>-94</v>
      </c>
    </row>
    <row r="24" spans="1:17" x14ac:dyDescent="0.45">
      <c r="A24" s="52" t="s">
        <v>178</v>
      </c>
      <c r="B24" s="136">
        <f>IF(B$14=0,0,C24/B$14)</f>
        <v>8642.5925925925931</v>
      </c>
      <c r="C24" s="137">
        <v>466700</v>
      </c>
      <c r="E24" s="59" t="s">
        <v>75</v>
      </c>
      <c r="F24" s="56" t="s">
        <v>30</v>
      </c>
      <c r="G24" s="44">
        <v>1</v>
      </c>
      <c r="H24" s="129">
        <f>IF(B$15=0,0,G24/B$15)</f>
        <v>4.2918454935622317E-3</v>
      </c>
      <c r="I24" s="90">
        <v>8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-8237.4149659863942</v>
      </c>
      <c r="C25" s="137">
        <v>-1210900</v>
      </c>
      <c r="E25" s="59" t="s">
        <v>85</v>
      </c>
      <c r="F25" s="56" t="s">
        <v>40</v>
      </c>
      <c r="G25" s="44">
        <v>1</v>
      </c>
      <c r="H25" s="129">
        <f>IF(B$15=0,0,G25/B$15)</f>
        <v>4.2918454935622317E-3</v>
      </c>
      <c r="I25" s="90">
        <v>6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4.2918454935622317E-3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8</v>
      </c>
      <c r="E27" s="59" t="s">
        <v>97</v>
      </c>
      <c r="F27" s="56" t="s">
        <v>52</v>
      </c>
      <c r="G27" s="44">
        <v>1</v>
      </c>
      <c r="H27" s="129">
        <f>IF(B$15=0,0,G27/B$15)</f>
        <v>4.2918454935622317E-3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1.1904761904761906E-3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6</v>
      </c>
      <c r="C32" s="141">
        <f>IF(B$15=0,0,B32/B$15)</f>
        <v>2.575107296137339E-2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2">IF(B$15=0,0,B33/B$15)</f>
        <v>8.15450643776824E-2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30</v>
      </c>
      <c r="C34" s="37">
        <f>IF(B$15=0,0,B34/B$15)</f>
        <v>0.12875536480686695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42</v>
      </c>
      <c r="C35" s="37">
        <f t="shared" si="2"/>
        <v>0.18025751072961374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56</v>
      </c>
      <c r="C36" s="37">
        <f t="shared" si="2"/>
        <v>0.24034334763948498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27</v>
      </c>
      <c r="C37" s="37">
        <f t="shared" si="2"/>
        <v>0.11587982832618025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2"/>
        <v>9.012875536480687E-2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2"/>
        <v>6.4377682403433473E-2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2.575107296137339E-2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8.5836909871244635E-3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8.5836909871244635E-3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4.2918454935622317E-3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2.575107296137339E-2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2734-DF76-4B50-A8D4-6DEBB6719F3C}">
  <sheetPr codeName="Sheet17"/>
  <dimension ref="A1:Q12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118</v>
      </c>
      <c r="C2" s="155"/>
      <c r="E2" s="58" t="s">
        <v>66</v>
      </c>
      <c r="F2" s="55" t="s">
        <v>22</v>
      </c>
      <c r="G2" s="43">
        <v>205</v>
      </c>
      <c r="H2" s="128">
        <f>IF(B$15=0,0,G2/B$15)</f>
        <v>0.74545454545454548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299.15254237288133</v>
      </c>
      <c r="P2" s="114">
        <v>118</v>
      </c>
      <c r="Q2" s="98">
        <v>35300</v>
      </c>
    </row>
    <row r="3" spans="1:17" x14ac:dyDescent="0.45">
      <c r="A3" s="51" t="s">
        <v>8</v>
      </c>
      <c r="B3" s="156">
        <v>953</v>
      </c>
      <c r="C3" s="157"/>
      <c r="E3" s="59" t="s">
        <v>72</v>
      </c>
      <c r="F3" s="56" t="s">
        <v>27</v>
      </c>
      <c r="G3" s="44">
        <v>157</v>
      </c>
      <c r="H3" s="129">
        <f>IF(B$15=0,0,G3/B$15)</f>
        <v>0.57090909090909092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278.26086956521738</v>
      </c>
      <c r="P3" s="115">
        <v>115</v>
      </c>
      <c r="Q3" s="99">
        <v>32000</v>
      </c>
    </row>
    <row r="4" spans="1:17" x14ac:dyDescent="0.45">
      <c r="A4" s="51" t="s">
        <v>6</v>
      </c>
      <c r="B4" s="158">
        <v>98.4</v>
      </c>
      <c r="C4" s="159"/>
      <c r="E4" s="59" t="s">
        <v>64</v>
      </c>
      <c r="F4" s="56" t="s">
        <v>20</v>
      </c>
      <c r="G4" s="44">
        <v>138</v>
      </c>
      <c r="H4" s="129">
        <f>IF(B$15=0,0,G4/B$15)</f>
        <v>0.50181818181818183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623.85321100917429</v>
      </c>
      <c r="P4" s="115">
        <v>109</v>
      </c>
      <c r="Q4" s="99">
        <v>68000</v>
      </c>
    </row>
    <row r="5" spans="1:17" x14ac:dyDescent="0.45">
      <c r="A5" s="51" t="s">
        <v>7</v>
      </c>
      <c r="B5" s="160">
        <f>IF(B$2=0,0,B$4/B$2)</f>
        <v>0.83389830508474583</v>
      </c>
      <c r="C5" s="161"/>
      <c r="E5" s="59" t="s">
        <v>166</v>
      </c>
      <c r="F5" s="56" t="s">
        <v>167</v>
      </c>
      <c r="G5" s="44">
        <v>120</v>
      </c>
      <c r="H5" s="129">
        <f>IF(B$15=0,0,G5/B$15)</f>
        <v>0.43636363636363634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155</v>
      </c>
      <c r="P5" s="115">
        <v>100</v>
      </c>
      <c r="Q5" s="99">
        <v>15500</v>
      </c>
    </row>
    <row r="6" spans="1:17" x14ac:dyDescent="0.45">
      <c r="A6" s="51" t="s">
        <v>1</v>
      </c>
      <c r="B6" s="150">
        <f>IF(B$2=0,0,(B$7*1+B$8*2+B$9*3)/B$2)</f>
        <v>2.0254237288135593</v>
      </c>
      <c r="C6" s="151"/>
      <c r="E6" s="59" t="s">
        <v>67</v>
      </c>
      <c r="F6" s="56" t="s">
        <v>23</v>
      </c>
      <c r="G6" s="44">
        <v>100</v>
      </c>
      <c r="H6" s="129">
        <f>IF(B$15=0,0,G6/B$15)</f>
        <v>0.36363636363636365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95.50561797752809</v>
      </c>
      <c r="P6" s="115">
        <v>89</v>
      </c>
      <c r="Q6" s="99">
        <v>8500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0.25423728813559321</v>
      </c>
      <c r="E7" s="59" t="s">
        <v>68</v>
      </c>
      <c r="F7" s="56" t="s">
        <v>12</v>
      </c>
      <c r="G7" s="44">
        <v>90</v>
      </c>
      <c r="H7" s="129">
        <f>IF(B$15=0,0,G7/B$15)</f>
        <v>0.32727272727272727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-941.55844155844159</v>
      </c>
      <c r="P7" s="116">
        <v>77</v>
      </c>
      <c r="Q7" s="100">
        <v>-72500</v>
      </c>
    </row>
    <row r="8" spans="1:17" x14ac:dyDescent="0.45">
      <c r="A8" s="51" t="s">
        <v>3</v>
      </c>
      <c r="B8" s="44">
        <v>55</v>
      </c>
      <c r="C8" s="37">
        <f t="shared" si="1"/>
        <v>0.46610169491525422</v>
      </c>
      <c r="E8" s="59" t="s">
        <v>69</v>
      </c>
      <c r="F8" s="56" t="s">
        <v>24</v>
      </c>
      <c r="G8" s="44">
        <v>37</v>
      </c>
      <c r="H8" s="129">
        <f>IF(B$15=0,0,G8/B$15)</f>
        <v>0.13454545454545455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0.27966101694915252</v>
      </c>
      <c r="E9" s="59" t="s">
        <v>89</v>
      </c>
      <c r="F9" s="56" t="s">
        <v>44</v>
      </c>
      <c r="G9" s="44">
        <v>33</v>
      </c>
      <c r="H9" s="129">
        <f>IF(B$15=0,0,G9/B$15)</f>
        <v>0.12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6.7796610169491525E-2</v>
      </c>
      <c r="E10" s="59" t="s">
        <v>71</v>
      </c>
      <c r="F10" s="56" t="s">
        <v>26</v>
      </c>
      <c r="G10" s="44">
        <v>27</v>
      </c>
      <c r="H10" s="129">
        <f>IF(B$15=0,0,G10/B$15)</f>
        <v>9.8181818181818176E-2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0.32040816326530597</v>
      </c>
      <c r="P10" s="114">
        <v>49</v>
      </c>
      <c r="Q10" s="102">
        <v>15.699999999999992</v>
      </c>
    </row>
    <row r="11" spans="1:17" x14ac:dyDescent="0.45">
      <c r="A11" s="54" t="s">
        <v>121</v>
      </c>
      <c r="B11" s="47">
        <v>254</v>
      </c>
      <c r="C11" s="42">
        <f>IF(B$3=0,0,B11/B$3)</f>
        <v>0.26652675760755506</v>
      </c>
      <c r="E11" s="59" t="s">
        <v>65</v>
      </c>
      <c r="F11" s="56" t="s">
        <v>21</v>
      </c>
      <c r="G11" s="44">
        <v>23</v>
      </c>
      <c r="H11" s="129">
        <f>IF(B$15=0,0,G11/B$15)</f>
        <v>8.3636363636363634E-2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3.0085714285714293</v>
      </c>
      <c r="P11" s="115">
        <v>35</v>
      </c>
      <c r="Q11" s="103">
        <v>105.30000000000003</v>
      </c>
    </row>
    <row r="12" spans="1:17" x14ac:dyDescent="0.45">
      <c r="A12" s="51" t="s">
        <v>118</v>
      </c>
      <c r="B12" s="44">
        <v>213</v>
      </c>
      <c r="C12" s="37">
        <f>IF(B$3=0,0,B12/B$3)</f>
        <v>0.22350472193074503</v>
      </c>
      <c r="E12" s="59" t="s">
        <v>70</v>
      </c>
      <c r="F12" s="56" t="s">
        <v>25</v>
      </c>
      <c r="G12" s="44">
        <v>21</v>
      </c>
      <c r="H12" s="129">
        <f>IF(B$15=0,0,G12/B$15)</f>
        <v>7.636363636363637E-2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-0.66470588235294159</v>
      </c>
      <c r="P12" s="116">
        <v>34</v>
      </c>
      <c r="Q12" s="104">
        <v>-22.600000000000016</v>
      </c>
    </row>
    <row r="13" spans="1:17" x14ac:dyDescent="0.45">
      <c r="A13" s="50" t="s">
        <v>123</v>
      </c>
      <c r="B13" s="43">
        <f>B19</f>
        <v>144</v>
      </c>
      <c r="C13" s="35">
        <f>IF(B$11=0,0,B13/B$11)</f>
        <v>0.56692913385826771</v>
      </c>
      <c r="E13" s="59" t="s">
        <v>86</v>
      </c>
      <c r="F13" s="56" t="s">
        <v>41</v>
      </c>
      <c r="G13" s="44">
        <v>14</v>
      </c>
      <c r="H13" s="129">
        <f>IF(B$15=0,0,G13/B$15)</f>
        <v>5.0909090909090911E-2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94</v>
      </c>
      <c r="C14" s="35">
        <f>IF(B$12=0,0,B14/B$12)</f>
        <v>0.44131455399061031</v>
      </c>
      <c r="E14" s="59" t="s">
        <v>83</v>
      </c>
      <c r="F14" s="56" t="s">
        <v>38</v>
      </c>
      <c r="G14" s="44">
        <v>12</v>
      </c>
      <c r="H14" s="129">
        <f>IF(B$15=0,0,G14/B$15)</f>
        <v>4.363636363636364E-2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275</v>
      </c>
      <c r="C15" s="35">
        <f>IF(B$3=0,0,B15/B$3)</f>
        <v>0.28856243441762852</v>
      </c>
      <c r="E15" s="59" t="s">
        <v>79</v>
      </c>
      <c r="F15" s="56" t="s">
        <v>34</v>
      </c>
      <c r="G15" s="44">
        <v>7</v>
      </c>
      <c r="H15" s="129">
        <f>IF(B$15=0,0,G15/B$15)</f>
        <v>2.5454545454545455E-2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4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127</v>
      </c>
      <c r="C16" s="37">
        <f>IF(B$3=0,0,B16/B$3)</f>
        <v>0.13326337880377753</v>
      </c>
      <c r="E16" s="59" t="s">
        <v>162</v>
      </c>
      <c r="F16" s="56" t="s">
        <v>163</v>
      </c>
      <c r="G16" s="44">
        <v>6</v>
      </c>
      <c r="H16" s="129">
        <f>IF(B$15=0,0,G16/B$15)</f>
        <v>2.181818181818182E-2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123</v>
      </c>
      <c r="C17" s="37">
        <f>IF(B$15=0,0,B17/B$15)</f>
        <v>0.44727272727272727</v>
      </c>
      <c r="E17" s="59" t="s">
        <v>73</v>
      </c>
      <c r="F17" s="56" t="s">
        <v>28</v>
      </c>
      <c r="G17" s="44">
        <v>5</v>
      </c>
      <c r="H17" s="129">
        <f>IF(B$15=0,0,G17/B$15)</f>
        <v>1.8181818181818181E-2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23.608333333333331</v>
      </c>
      <c r="P17" s="115">
        <v>24</v>
      </c>
      <c r="Q17" s="103">
        <v>566.59999999999991</v>
      </c>
    </row>
    <row r="18" spans="1:17" x14ac:dyDescent="0.45">
      <c r="A18" s="51" t="s">
        <v>11</v>
      </c>
      <c r="B18" s="44">
        <v>152</v>
      </c>
      <c r="C18" s="37">
        <f>IF(B$15=0,0,B18/B$15)</f>
        <v>0.55272727272727273</v>
      </c>
      <c r="E18" s="59" t="s">
        <v>81</v>
      </c>
      <c r="F18" s="56" t="s">
        <v>36</v>
      </c>
      <c r="G18" s="44">
        <v>5</v>
      </c>
      <c r="H18" s="129">
        <f>IF(B$15=0,0,G18/B$15)</f>
        <v>1.8181818181818181E-2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144</v>
      </c>
      <c r="C19" s="37">
        <f>IF(B$15=0,0,B19/B$15)</f>
        <v>0.52363636363636368</v>
      </c>
      <c r="E19" s="59" t="s">
        <v>78</v>
      </c>
      <c r="F19" s="56" t="s">
        <v>33</v>
      </c>
      <c r="G19" s="44">
        <v>3</v>
      </c>
      <c r="H19" s="129">
        <f>IF(B$15=0,0,G19/B$15)</f>
        <v>1.090909090909091E-2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94</v>
      </c>
      <c r="C20" s="37">
        <f>IF(B$15=0,0,B20/B$15)</f>
        <v>0.3418181818181818</v>
      </c>
      <c r="E20" s="59" t="s">
        <v>85</v>
      </c>
      <c r="F20" s="56" t="s">
        <v>40</v>
      </c>
      <c r="G20" s="44">
        <v>3</v>
      </c>
      <c r="H20" s="129">
        <f>IF(B$15=0,0,G20/B$15)</f>
        <v>1.090909090909091E-2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37</v>
      </c>
      <c r="C21" s="37">
        <f>IF(B$15=0,0,B21/B$15)</f>
        <v>0.13454545454545455</v>
      </c>
      <c r="E21" s="59" t="s">
        <v>91</v>
      </c>
      <c r="F21" s="56" t="s">
        <v>46</v>
      </c>
      <c r="G21" s="44">
        <v>2</v>
      </c>
      <c r="H21" s="129">
        <f>IF(B$15=0,0,G21/B$15)</f>
        <v>7.2727272727272727E-3</v>
      </c>
      <c r="I21" s="90">
        <v>8</v>
      </c>
      <c r="K21" s="36">
        <v>19</v>
      </c>
      <c r="L21" s="95">
        <v>-56.399999999999991</v>
      </c>
      <c r="N21" s="111" t="s">
        <v>161</v>
      </c>
      <c r="O21" s="121">
        <f t="shared" si="2"/>
        <v>4.7920000000000007</v>
      </c>
      <c r="P21" s="115">
        <v>25</v>
      </c>
      <c r="Q21" s="103">
        <v>119.80000000000001</v>
      </c>
    </row>
    <row r="22" spans="1:17" x14ac:dyDescent="0.45">
      <c r="A22" s="51" t="s">
        <v>5</v>
      </c>
      <c r="B22" s="48">
        <f>IF(B$15=0,0,C22/B$15)</f>
        <v>8393.818181818182</v>
      </c>
      <c r="C22" s="39">
        <v>2308300</v>
      </c>
      <c r="E22" s="59" t="s">
        <v>74</v>
      </c>
      <c r="F22" s="56" t="s">
        <v>29</v>
      </c>
      <c r="G22" s="44">
        <v>1</v>
      </c>
      <c r="H22" s="129">
        <f>IF(B$15=0,0,G22/B$15)</f>
        <v>3.6363636363636364E-3</v>
      </c>
      <c r="I22" s="90">
        <v>6</v>
      </c>
      <c r="K22" s="36">
        <v>20</v>
      </c>
      <c r="L22" s="95">
        <v>-93.199999999999989</v>
      </c>
      <c r="N22" s="111" t="s">
        <v>127</v>
      </c>
      <c r="O22" s="121">
        <f t="shared" si="2"/>
        <v>2.0166666666666671</v>
      </c>
      <c r="P22" s="115">
        <v>42</v>
      </c>
      <c r="Q22" s="103">
        <v>84.700000000000017</v>
      </c>
    </row>
    <row r="23" spans="1:17" x14ac:dyDescent="0.45">
      <c r="A23" s="52" t="s">
        <v>177</v>
      </c>
      <c r="B23" s="136">
        <f>IF($B$15-B$14=0,0,C23/($B$15-B$14))</f>
        <v>9269.0607734806636</v>
      </c>
      <c r="C23" s="137">
        <v>1677700</v>
      </c>
      <c r="E23" s="59" t="s">
        <v>75</v>
      </c>
      <c r="F23" s="56" t="s">
        <v>30</v>
      </c>
      <c r="G23" s="44">
        <v>1</v>
      </c>
      <c r="H23" s="129">
        <f>IF(B$15=0,0,G23/B$15)</f>
        <v>3.6363636363636364E-3</v>
      </c>
      <c r="I23" s="90">
        <v>9</v>
      </c>
      <c r="K23" s="36">
        <v>21</v>
      </c>
      <c r="L23" s="95">
        <v>-123.69999999999999</v>
      </c>
      <c r="N23" s="111" t="s">
        <v>170</v>
      </c>
      <c r="O23" s="121">
        <f t="shared" si="2"/>
        <v>-7.6903846153846169</v>
      </c>
      <c r="P23" s="115">
        <v>52</v>
      </c>
      <c r="Q23" s="103">
        <v>-399.90000000000009</v>
      </c>
    </row>
    <row r="24" spans="1:17" x14ac:dyDescent="0.45">
      <c r="A24" s="52" t="s">
        <v>178</v>
      </c>
      <c r="B24" s="136">
        <f>IF(B$14=0,0,C24/B$14)</f>
        <v>6708.510638297872</v>
      </c>
      <c r="C24" s="137">
        <v>630600</v>
      </c>
      <c r="E24" s="59" t="s">
        <v>87</v>
      </c>
      <c r="F24" s="56" t="s">
        <v>42</v>
      </c>
      <c r="G24" s="44">
        <v>1</v>
      </c>
      <c r="H24" s="129">
        <f>IF(B$15=0,0,G24/B$15)</f>
        <v>3.6363636363636364E-3</v>
      </c>
      <c r="I24" s="90">
        <v>3</v>
      </c>
      <c r="K24" s="36">
        <v>22</v>
      </c>
      <c r="L24" s="95">
        <v>-66.999999999999986</v>
      </c>
      <c r="N24" s="111" t="s">
        <v>126</v>
      </c>
      <c r="O24" s="121">
        <f t="shared" si="2"/>
        <v>-12.944642857142856</v>
      </c>
      <c r="P24" s="115">
        <v>56</v>
      </c>
      <c r="Q24" s="103">
        <v>-724.9</v>
      </c>
    </row>
    <row r="25" spans="1:17" x14ac:dyDescent="0.45">
      <c r="A25" s="52" t="s">
        <v>176</v>
      </c>
      <c r="B25" s="136">
        <f>IF(B$16=0,0,C25/B$16)</f>
        <v>-7262.9921259842522</v>
      </c>
      <c r="C25" s="137">
        <v>-922400</v>
      </c>
      <c r="E25" s="59" t="s">
        <v>88</v>
      </c>
      <c r="F25" s="56" t="s">
        <v>43</v>
      </c>
      <c r="G25" s="44">
        <v>1</v>
      </c>
      <c r="H25" s="129">
        <f>IF(B$15=0,0,G25/B$15)</f>
        <v>3.6363636363636364E-3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2</v>
      </c>
      <c r="E26" s="59" t="s">
        <v>93</v>
      </c>
      <c r="F26" s="56" t="s">
        <v>48</v>
      </c>
      <c r="G26" s="44">
        <v>1</v>
      </c>
      <c r="H26" s="129">
        <f>IF(B$15=0,0,G26/B$15)</f>
        <v>3.6363636363636364E-3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3.6363636363636364E-3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2.0986358866736622E-3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17</v>
      </c>
      <c r="C32" s="141">
        <f>IF(B$15=0,0,B32/B$15)</f>
        <v>6.1818181818181821E-2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49</v>
      </c>
      <c r="C33" s="37">
        <f t="shared" ref="C33:C44" si="3">IF(B$15=0,0,B33/B$15)</f>
        <v>0.17818181818181819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56</v>
      </c>
      <c r="C34" s="37">
        <f>IF(B$15=0,0,B34/B$15)</f>
        <v>0.20363636363636364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50</v>
      </c>
      <c r="C35" s="37">
        <f t="shared" si="3"/>
        <v>0.18181818181818182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3"/>
        <v>0.14545454545454545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32</v>
      </c>
      <c r="C37" s="37">
        <f t="shared" si="3"/>
        <v>0.11636363636363636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3"/>
        <v>5.0909090909090911E-2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2.5454545454545455E-2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1.090909090909091E-2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7.2727272727272727E-3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3.6363636363636364E-3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7.2727272727272727E-3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7.2727272727272727E-3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</sheetData>
  <sortState xmlns:xlrd2="http://schemas.microsoft.com/office/spreadsheetml/2017/richdata2" ref="E2:I12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4239-A202-471B-BAC5-A23633BFC187}">
  <sheetPr codeName="Sheet19"/>
  <dimension ref="A1:Q5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55</v>
      </c>
      <c r="C2" s="155"/>
      <c r="E2" s="58" t="s">
        <v>72</v>
      </c>
      <c r="F2" s="55" t="s">
        <v>27</v>
      </c>
      <c r="G2" s="43">
        <v>75</v>
      </c>
      <c r="H2" s="128">
        <f>IF(B$15=0,0,G2/B$15)</f>
        <v>0.64102564102564108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-2096.3636363636365</v>
      </c>
      <c r="P2" s="114">
        <v>55</v>
      </c>
      <c r="Q2" s="98">
        <v>-115300</v>
      </c>
    </row>
    <row r="3" spans="1:17" x14ac:dyDescent="0.45">
      <c r="A3" s="51" t="s">
        <v>8</v>
      </c>
      <c r="B3" s="156">
        <v>453</v>
      </c>
      <c r="C3" s="157"/>
      <c r="E3" s="59" t="s">
        <v>66</v>
      </c>
      <c r="F3" s="56" t="s">
        <v>22</v>
      </c>
      <c r="G3" s="44">
        <v>74</v>
      </c>
      <c r="H3" s="129">
        <f>IF(B$15=0,0,G3/B$15)</f>
        <v>0.63247863247863245</v>
      </c>
      <c r="I3" s="90">
        <v>12</v>
      </c>
      <c r="K3" s="36">
        <v>1</v>
      </c>
      <c r="L3" s="95">
        <v>-12</v>
      </c>
      <c r="N3" s="111" t="s">
        <v>131</v>
      </c>
      <c r="O3" s="118">
        <f t="shared" si="0"/>
        <v>-261.81818181818181</v>
      </c>
      <c r="P3" s="115">
        <v>55</v>
      </c>
      <c r="Q3" s="99">
        <v>-14400</v>
      </c>
    </row>
    <row r="4" spans="1:17" x14ac:dyDescent="0.45">
      <c r="A4" s="51" t="s">
        <v>6</v>
      </c>
      <c r="B4" s="158">
        <v>-626.4</v>
      </c>
      <c r="C4" s="159"/>
      <c r="E4" s="59" t="s">
        <v>64</v>
      </c>
      <c r="F4" s="56" t="s">
        <v>20</v>
      </c>
      <c r="G4" s="44">
        <v>51</v>
      </c>
      <c r="H4" s="129">
        <f>IF(B$15=0,0,G4/B$15)</f>
        <v>0.4358974358974359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-1358.4905660377358</v>
      </c>
      <c r="P4" s="115">
        <v>53</v>
      </c>
      <c r="Q4" s="99">
        <v>-72000</v>
      </c>
    </row>
    <row r="5" spans="1:17" x14ac:dyDescent="0.45">
      <c r="A5" s="51" t="s">
        <v>7</v>
      </c>
      <c r="B5" s="160">
        <f>IF(B$2=0,0,B$4/B$2)</f>
        <v>-11.389090909090909</v>
      </c>
      <c r="C5" s="161"/>
      <c r="E5" s="59" t="s">
        <v>166</v>
      </c>
      <c r="F5" s="56" t="s">
        <v>167</v>
      </c>
      <c r="G5" s="44">
        <v>42</v>
      </c>
      <c r="H5" s="129">
        <f>IF(B$15=0,0,G5/B$15)</f>
        <v>0.35897435897435898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-2133.3333333333335</v>
      </c>
      <c r="P5" s="115">
        <v>48</v>
      </c>
      <c r="Q5" s="99">
        <v>-102400</v>
      </c>
    </row>
    <row r="6" spans="1:17" x14ac:dyDescent="0.45">
      <c r="A6" s="51" t="s">
        <v>1</v>
      </c>
      <c r="B6" s="150">
        <f>IF(B$2=0,0,(B$7*1+B$8*2+B$9*3)/B$2)</f>
        <v>2.290909090909091</v>
      </c>
      <c r="C6" s="151"/>
      <c r="E6" s="59" t="s">
        <v>67</v>
      </c>
      <c r="F6" s="56" t="s">
        <v>23</v>
      </c>
      <c r="G6" s="44">
        <v>29</v>
      </c>
      <c r="H6" s="129">
        <f>IF(B$15=0,0,G6/B$15)</f>
        <v>0.24786324786324787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-1854.3478260869565</v>
      </c>
      <c r="P6" s="115">
        <v>46</v>
      </c>
      <c r="Q6" s="99">
        <v>-85300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0.18181818181818182</v>
      </c>
      <c r="E7" s="59" t="s">
        <v>68</v>
      </c>
      <c r="F7" s="56" t="s">
        <v>12</v>
      </c>
      <c r="G7" s="44">
        <v>29</v>
      </c>
      <c r="H7" s="129">
        <f>IF(B$15=0,0,G7/B$15)</f>
        <v>0.24786324786324787</v>
      </c>
      <c r="I7" s="90">
        <v>13</v>
      </c>
      <c r="K7" s="36">
        <v>5</v>
      </c>
      <c r="L7" s="95">
        <v>-124.3</v>
      </c>
      <c r="N7" s="112" t="s">
        <v>135</v>
      </c>
      <c r="O7" s="119">
        <f t="shared" si="0"/>
        <v>-1846.1538461538462</v>
      </c>
      <c r="P7" s="116">
        <v>39</v>
      </c>
      <c r="Q7" s="100">
        <v>-72000</v>
      </c>
    </row>
    <row r="8" spans="1:17" x14ac:dyDescent="0.45">
      <c r="A8" s="51" t="s">
        <v>3</v>
      </c>
      <c r="B8" s="44">
        <v>19</v>
      </c>
      <c r="C8" s="37">
        <f t="shared" si="1"/>
        <v>0.34545454545454546</v>
      </c>
      <c r="E8" s="59" t="s">
        <v>89</v>
      </c>
      <c r="F8" s="56" t="s">
        <v>44</v>
      </c>
      <c r="G8" s="44">
        <v>18</v>
      </c>
      <c r="H8" s="129">
        <f>IF(B$15=0,0,G8/B$15)</f>
        <v>0.15384615384615385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26</v>
      </c>
      <c r="C9" s="38">
        <f t="shared" si="1"/>
        <v>0.47272727272727272</v>
      </c>
      <c r="E9" s="59" t="s">
        <v>65</v>
      </c>
      <c r="F9" s="56" t="s">
        <v>21</v>
      </c>
      <c r="G9" s="44">
        <v>14</v>
      </c>
      <c r="H9" s="129">
        <f>IF(B$15=0,0,G9/B$15)</f>
        <v>0.11965811965811966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0.18181818181818182</v>
      </c>
      <c r="E10" s="59" t="s">
        <v>70</v>
      </c>
      <c r="F10" s="56" t="s">
        <v>25</v>
      </c>
      <c r="G10" s="44">
        <v>12</v>
      </c>
      <c r="H10" s="129">
        <f>IF(B$15=0,0,G10/B$15)</f>
        <v>0.10256410256410256</v>
      </c>
      <c r="I10" s="90">
        <v>7</v>
      </c>
      <c r="K10" s="36">
        <v>8</v>
      </c>
      <c r="L10" s="95">
        <v>-152.6</v>
      </c>
      <c r="N10" s="110" t="s">
        <v>157</v>
      </c>
      <c r="O10" s="120">
        <f>IF(P10=0,0,Q10/P10)</f>
        <v>-19.613043478260867</v>
      </c>
      <c r="P10" s="114">
        <v>23</v>
      </c>
      <c r="Q10" s="102">
        <v>-451.09999999999997</v>
      </c>
    </row>
    <row r="11" spans="1:17" x14ac:dyDescent="0.45">
      <c r="A11" s="54" t="s">
        <v>121</v>
      </c>
      <c r="B11" s="47">
        <v>98</v>
      </c>
      <c r="C11" s="42">
        <f>IF(B$3=0,0,B11/B$3)</f>
        <v>0.21633554083885209</v>
      </c>
      <c r="E11" s="59" t="s">
        <v>71</v>
      </c>
      <c r="F11" s="56" t="s">
        <v>26</v>
      </c>
      <c r="G11" s="44">
        <v>11</v>
      </c>
      <c r="H11" s="129">
        <f>IF(B$15=0,0,G11/B$15)</f>
        <v>9.4017094017094016E-2</v>
      </c>
      <c r="I11" s="90">
        <v>7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 x14ac:dyDescent="0.45">
      <c r="A12" s="51" t="s">
        <v>118</v>
      </c>
      <c r="B12" s="44">
        <v>104</v>
      </c>
      <c r="C12" s="37">
        <f>IF(B$3=0,0,B12/B$3)</f>
        <v>0.22958057395143489</v>
      </c>
      <c r="E12" s="59" t="s">
        <v>69</v>
      </c>
      <c r="F12" s="56" t="s">
        <v>24</v>
      </c>
      <c r="G12" s="44">
        <v>9</v>
      </c>
      <c r="H12" s="129">
        <f>IF(B$15=0,0,G12/B$15)</f>
        <v>7.6923076923076927E-2</v>
      </c>
      <c r="I12" s="90">
        <v>12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5">
      <c r="A13" s="50" t="s">
        <v>123</v>
      </c>
      <c r="B13" s="43">
        <f>B19</f>
        <v>53</v>
      </c>
      <c r="C13" s="35">
        <f>IF(B$11=0,0,B13/B$11)</f>
        <v>0.54081632653061229</v>
      </c>
      <c r="E13" s="59" t="s">
        <v>83</v>
      </c>
      <c r="F13" s="56" t="s">
        <v>38</v>
      </c>
      <c r="G13" s="44">
        <v>8</v>
      </c>
      <c r="H13" s="129">
        <f>IF(B$15=0,0,G13/B$15)</f>
        <v>6.8376068376068383E-2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44</v>
      </c>
      <c r="C14" s="35">
        <f>IF(B$12=0,0,B14/B$12)</f>
        <v>0.42307692307692307</v>
      </c>
      <c r="E14" s="59" t="s">
        <v>86</v>
      </c>
      <c r="F14" s="56" t="s">
        <v>41</v>
      </c>
      <c r="G14" s="44">
        <v>8</v>
      </c>
      <c r="H14" s="129">
        <f>IF(B$15=0,0,G14/B$15)</f>
        <v>6.8376068376068383E-2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117</v>
      </c>
      <c r="C15" s="35">
        <f>IF(B$3=0,0,B15/B$3)</f>
        <v>0.25827814569536423</v>
      </c>
      <c r="E15" s="59" t="s">
        <v>81</v>
      </c>
      <c r="F15" s="56" t="s">
        <v>36</v>
      </c>
      <c r="G15" s="44">
        <v>3</v>
      </c>
      <c r="H15" s="129">
        <f>IF(B$15=0,0,G15/B$15)</f>
        <v>2.564102564102564E-2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11.526666666666662</v>
      </c>
      <c r="P15" s="114">
        <v>15</v>
      </c>
      <c r="Q15" s="102">
        <v>172.89999999999992</v>
      </c>
    </row>
    <row r="16" spans="1:17" x14ac:dyDescent="0.45">
      <c r="A16" s="51" t="s">
        <v>13</v>
      </c>
      <c r="B16" s="44">
        <v>82</v>
      </c>
      <c r="C16" s="37">
        <f>IF(B$3=0,0,B16/B$3)</f>
        <v>0.18101545253863136</v>
      </c>
      <c r="E16" s="59" t="s">
        <v>91</v>
      </c>
      <c r="F16" s="56" t="s">
        <v>46</v>
      </c>
      <c r="G16" s="44">
        <v>2</v>
      </c>
      <c r="H16" s="129">
        <f>IF(B$15=0,0,G16/B$15)</f>
        <v>1.7094017094017096E-2</v>
      </c>
      <c r="I16" s="90">
        <v>5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52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8.5470085470085479E-3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>IF(P17=0,0,Q17/P17)</f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65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8.5470085470085479E-3</v>
      </c>
      <c r="I18" s="90">
        <v>9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53</v>
      </c>
      <c r="C19" s="37">
        <f>IF(B$15=0,0,B19/B$15)</f>
        <v>0.45299145299145299</v>
      </c>
      <c r="E19" s="59" t="s">
        <v>92</v>
      </c>
      <c r="F19" s="56" t="s">
        <v>47</v>
      </c>
      <c r="G19" s="44">
        <v>1</v>
      </c>
      <c r="H19" s="129">
        <f>IF(B$15=0,0,G19/B$15)</f>
        <v>8.5470085470085479E-3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44</v>
      </c>
      <c r="C20" s="37">
        <f>IF(B$15=0,0,B20/B$15)</f>
        <v>0.37606837606837606</v>
      </c>
      <c r="E20" s="59" t="s">
        <v>95</v>
      </c>
      <c r="F20" s="56" t="s">
        <v>50</v>
      </c>
      <c r="G20" s="44">
        <v>1</v>
      </c>
      <c r="H20" s="129">
        <f>IF(B$15=0,0,G20/B$15)</f>
        <v>8.5470085470085479E-3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>IF(P20=0,0,Q20/P20)</f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20</v>
      </c>
      <c r="C21" s="37">
        <f>IF(B$15=0,0,B21/B$15)</f>
        <v>0.17094017094017094</v>
      </c>
      <c r="E21" s="59" t="s">
        <v>162</v>
      </c>
      <c r="F21" s="56" t="s">
        <v>163</v>
      </c>
      <c r="G21" s="44">
        <v>1</v>
      </c>
      <c r="H21" s="129">
        <f>IF(B$15=0,0,G21/B$15)</f>
        <v>8.5470085470085479E-3</v>
      </c>
      <c r="I21" s="90">
        <v>8</v>
      </c>
      <c r="K21" s="36">
        <v>19</v>
      </c>
      <c r="L21" s="95">
        <v>-400.60000000000008</v>
      </c>
      <c r="N21" s="111" t="s">
        <v>171</v>
      </c>
      <c r="O21" s="121">
        <f>IF(P21=0,0,Q21/P21)</f>
        <v>-23.608333333333331</v>
      </c>
      <c r="P21" s="115">
        <v>24</v>
      </c>
      <c r="Q21" s="103">
        <v>-566.59999999999991</v>
      </c>
    </row>
    <row r="22" spans="1:17" x14ac:dyDescent="0.45">
      <c r="A22" s="51" t="s">
        <v>5</v>
      </c>
      <c r="B22" s="48">
        <f>IF(B$15=0,0,C22/B$15)</f>
        <v>7968.3760683760684</v>
      </c>
      <c r="C22" s="39">
        <v>932300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>IF(P22=0,0,Q22/P22)</f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8380.82191780822</v>
      </c>
      <c r="C23" s="137">
        <v>611800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>IF(P23=0,0,Q23/P23)</f>
        <v>-27.288235294117648</v>
      </c>
      <c r="P23" s="115">
        <v>17</v>
      </c>
      <c r="Q23" s="103">
        <v>-463.90000000000003</v>
      </c>
    </row>
    <row r="24" spans="1:17" x14ac:dyDescent="0.45">
      <c r="A24" s="52" t="s">
        <v>178</v>
      </c>
      <c r="B24" s="136">
        <f>IF(B$14=0,0,C24/B$14)</f>
        <v>7284.090909090909</v>
      </c>
      <c r="C24" s="137">
        <v>320500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-8185.3658536585363</v>
      </c>
      <c r="C25" s="137">
        <v>-671200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21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6.6225165562913907E-3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10</v>
      </c>
      <c r="C32" s="141">
        <f>IF(B$15=0,0,B32/B$15)</f>
        <v>8.5470085470085472E-2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24</v>
      </c>
      <c r="C33" s="37">
        <f t="shared" ref="C33:C44" si="2">IF(B$15=0,0,B33/B$15)</f>
        <v>0.20512820512820512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25</v>
      </c>
      <c r="C34" s="37">
        <f>IF(B$15=0,0,B34/B$15)</f>
        <v>0.21367521367521367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16</v>
      </c>
      <c r="C35" s="37">
        <f t="shared" si="2"/>
        <v>0.13675213675213677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17</v>
      </c>
      <c r="C36" s="37">
        <f t="shared" si="2"/>
        <v>0.14529914529914531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8</v>
      </c>
      <c r="C37" s="37">
        <f t="shared" si="2"/>
        <v>6.8376068376068383E-2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9</v>
      </c>
      <c r="C38" s="37">
        <f t="shared" si="2"/>
        <v>7.6923076923076927E-2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2"/>
        <v>4.2735042735042736E-2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8.5470085470085479E-3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1.7094017094017096E-2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8449-D73D-4AB5-BFF3-AB2B1CBECA97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9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10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86EF2-241B-41CC-962B-558F5373C26F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4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F24AC-3853-4C6A-9FFA-143DCB63F2F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5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2963-D98F-439C-A601-CAE959B12724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64</v>
      </c>
      <c r="F2" s="55" t="s">
        <v>20</v>
      </c>
      <c r="G2" s="43">
        <v>18</v>
      </c>
      <c r="H2" s="128">
        <f>IF(B$15=0,0,G2/B$15)</f>
        <v>0.72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-1100</v>
      </c>
      <c r="P2" s="114">
        <v>8</v>
      </c>
      <c r="Q2" s="98">
        <v>-8800</v>
      </c>
    </row>
    <row r="3" spans="1:17" x14ac:dyDescent="0.45">
      <c r="A3" s="51" t="s">
        <v>8</v>
      </c>
      <c r="B3" s="156">
        <v>68</v>
      </c>
      <c r="C3" s="157"/>
      <c r="E3" s="59" t="s">
        <v>66</v>
      </c>
      <c r="F3" s="56" t="s">
        <v>22</v>
      </c>
      <c r="G3" s="44">
        <v>16</v>
      </c>
      <c r="H3" s="129">
        <f>IF(B$15=0,0,G3/B$15)</f>
        <v>0.64</v>
      </c>
      <c r="I3" s="90">
        <v>11</v>
      </c>
      <c r="K3" s="36">
        <v>1</v>
      </c>
      <c r="L3" s="95">
        <v>17.600000000000001</v>
      </c>
      <c r="N3" s="111" t="s">
        <v>131</v>
      </c>
      <c r="O3" s="118">
        <f t="shared" si="0"/>
        <v>-900</v>
      </c>
      <c r="P3" s="115">
        <v>8</v>
      </c>
      <c r="Q3" s="99">
        <v>-7200</v>
      </c>
    </row>
    <row r="4" spans="1:17" x14ac:dyDescent="0.45">
      <c r="A4" s="51" t="s">
        <v>6</v>
      </c>
      <c r="B4" s="158">
        <v>41.3</v>
      </c>
      <c r="C4" s="159"/>
      <c r="E4" s="59" t="s">
        <v>67</v>
      </c>
      <c r="F4" s="56" t="s">
        <v>23</v>
      </c>
      <c r="G4" s="44">
        <v>12</v>
      </c>
      <c r="H4" s="129">
        <f>IF(B$15=0,0,G4/B$15)</f>
        <v>0.48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-2937.5</v>
      </c>
      <c r="P4" s="115">
        <v>8</v>
      </c>
      <c r="Q4" s="99">
        <v>-23500</v>
      </c>
    </row>
    <row r="5" spans="1:17" x14ac:dyDescent="0.45">
      <c r="A5" s="51" t="s">
        <v>7</v>
      </c>
      <c r="B5" s="160">
        <f>IF(B$2=0,0,B$4/B$2)</f>
        <v>5.1624999999999996</v>
      </c>
      <c r="C5" s="161"/>
      <c r="E5" s="59" t="s">
        <v>72</v>
      </c>
      <c r="F5" s="56" t="s">
        <v>27</v>
      </c>
      <c r="G5" s="44">
        <v>11</v>
      </c>
      <c r="H5" s="129">
        <f>IF(B$15=0,0,G5/B$15)</f>
        <v>0.44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3312.5</v>
      </c>
      <c r="P5" s="115">
        <v>8</v>
      </c>
      <c r="Q5" s="99">
        <v>26500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7</v>
      </c>
      <c r="H6" s="129">
        <f>IF(B$15=0,0,G6/B$15)</f>
        <v>0.28000000000000003</v>
      </c>
      <c r="I6" s="90">
        <v>8</v>
      </c>
      <c r="K6" s="36">
        <v>4</v>
      </c>
      <c r="L6" s="95">
        <v>53.1</v>
      </c>
      <c r="N6" s="111" t="s">
        <v>134</v>
      </c>
      <c r="O6" s="118">
        <f t="shared" si="0"/>
        <v>-14.285714285714286</v>
      </c>
      <c r="P6" s="115">
        <v>7</v>
      </c>
      <c r="Q6" s="99">
        <v>-100</v>
      </c>
    </row>
    <row r="7" spans="1:17" x14ac:dyDescent="0.45">
      <c r="A7" s="51" t="s">
        <v>2</v>
      </c>
      <c r="B7" s="44">
        <v>4</v>
      </c>
      <c r="C7" s="37">
        <f t="shared" ref="C7:C10" si="1">IF(B$2=0,0,B7/B$2)</f>
        <v>0.5</v>
      </c>
      <c r="E7" s="59" t="s">
        <v>65</v>
      </c>
      <c r="F7" s="56" t="s">
        <v>21</v>
      </c>
      <c r="G7" s="44">
        <v>5</v>
      </c>
      <c r="H7" s="129">
        <f>IF(B$15=0,0,G7/B$15)</f>
        <v>0.2</v>
      </c>
      <c r="I7" s="90">
        <v>1</v>
      </c>
      <c r="K7" s="36">
        <v>5</v>
      </c>
      <c r="L7" s="95">
        <v>28.6</v>
      </c>
      <c r="N7" s="112" t="s">
        <v>135</v>
      </c>
      <c r="O7" s="119">
        <f t="shared" si="0"/>
        <v>3740</v>
      </c>
      <c r="P7" s="116">
        <v>5</v>
      </c>
      <c r="Q7" s="100">
        <v>18700</v>
      </c>
    </row>
    <row r="8" spans="1:17" x14ac:dyDescent="0.45">
      <c r="A8" s="51" t="s">
        <v>3</v>
      </c>
      <c r="B8" s="44">
        <v>2</v>
      </c>
      <c r="C8" s="37">
        <f t="shared" si="1"/>
        <v>0.25</v>
      </c>
      <c r="E8" s="59" t="s">
        <v>166</v>
      </c>
      <c r="F8" s="56" t="s">
        <v>167</v>
      </c>
      <c r="G8" s="44">
        <v>4</v>
      </c>
      <c r="H8" s="129">
        <f>IF(B$15=0,0,G8/B$15)</f>
        <v>0.16</v>
      </c>
      <c r="I8" s="90">
        <v>13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0.25</v>
      </c>
      <c r="E9" s="59" t="s">
        <v>69</v>
      </c>
      <c r="F9" s="56" t="s">
        <v>24</v>
      </c>
      <c r="G9" s="44">
        <v>3</v>
      </c>
      <c r="H9" s="129">
        <f>IF(B$15=0,0,G9/B$15)</f>
        <v>0.12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0.125</v>
      </c>
      <c r="E10" s="59" t="s">
        <v>70</v>
      </c>
      <c r="F10" s="56" t="s">
        <v>25</v>
      </c>
      <c r="G10" s="44">
        <v>2</v>
      </c>
      <c r="H10" s="129">
        <f>IF(B$15=0,0,G10/B$15)</f>
        <v>0.08</v>
      </c>
      <c r="I10" s="90">
        <v>10</v>
      </c>
      <c r="K10" s="36">
        <v>8</v>
      </c>
      <c r="L10" s="95">
        <v>41.3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 x14ac:dyDescent="0.45">
      <c r="A11" s="54" t="s">
        <v>121</v>
      </c>
      <c r="B11" s="47">
        <v>25</v>
      </c>
      <c r="C11" s="42">
        <f>IF(B$3=0,0,B11/B$3)</f>
        <v>0.36764705882352944</v>
      </c>
      <c r="E11" s="59" t="s">
        <v>83</v>
      </c>
      <c r="F11" s="56" t="s">
        <v>38</v>
      </c>
      <c r="G11" s="44">
        <v>2</v>
      </c>
      <c r="H11" s="129">
        <f>IF(B$15=0,0,G11/B$15)</f>
        <v>0.08</v>
      </c>
      <c r="I11" s="90">
        <v>2</v>
      </c>
      <c r="N11" s="111" t="s">
        <v>158</v>
      </c>
      <c r="O11" s="121">
        <f>IF(P11=0,0,Q11/P11)</f>
        <v>-8.7749999999999986</v>
      </c>
      <c r="P11" s="115">
        <v>4</v>
      </c>
      <c r="Q11" s="103">
        <v>-35.099999999999994</v>
      </c>
    </row>
    <row r="12" spans="1:17" x14ac:dyDescent="0.45">
      <c r="A12" s="51" t="s">
        <v>118</v>
      </c>
      <c r="B12" s="44">
        <v>9</v>
      </c>
      <c r="C12" s="37">
        <f>IF(B$3=0,0,B12/B$3)</f>
        <v>0.13235294117647059</v>
      </c>
      <c r="E12" s="59" t="s">
        <v>85</v>
      </c>
      <c r="F12" s="56" t="s">
        <v>40</v>
      </c>
      <c r="G12" s="44">
        <v>2</v>
      </c>
      <c r="H12" s="129">
        <f>IF(B$15=0,0,G12/B$15)</f>
        <v>0.08</v>
      </c>
      <c r="I12" s="90">
        <v>1</v>
      </c>
      <c r="N12" s="112" t="s">
        <v>159</v>
      </c>
      <c r="O12" s="122">
        <f>IF(P12=0,0,Q12/P12)</f>
        <v>36.799999999999997</v>
      </c>
      <c r="P12" s="116">
        <v>2</v>
      </c>
      <c r="Q12" s="104">
        <v>73.599999999999994</v>
      </c>
    </row>
    <row r="13" spans="1:17" x14ac:dyDescent="0.45">
      <c r="A13" s="50" t="s">
        <v>123</v>
      </c>
      <c r="B13" s="43">
        <f>B19</f>
        <v>17</v>
      </c>
      <c r="C13" s="35">
        <f>IF(B$11=0,0,B13/B$11)</f>
        <v>0.68</v>
      </c>
      <c r="E13" s="59" t="s">
        <v>89</v>
      </c>
      <c r="F13" s="56" t="s">
        <v>44</v>
      </c>
      <c r="G13" s="44">
        <v>2</v>
      </c>
      <c r="H13" s="129">
        <f>IF(B$15=0,0,G13/B$15)</f>
        <v>0.08</v>
      </c>
      <c r="I13" s="90">
        <v>11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</v>
      </c>
      <c r="C14" s="35">
        <f>IF(B$12=0,0,B14/B$12)</f>
        <v>0.77777777777777779</v>
      </c>
      <c r="E14" s="59" t="s">
        <v>71</v>
      </c>
      <c r="F14" s="56" t="s">
        <v>26</v>
      </c>
      <c r="G14" s="44">
        <v>1</v>
      </c>
      <c r="H14" s="129">
        <f>IF(B$15=0,0,G14/B$15)</f>
        <v>0.04</v>
      </c>
      <c r="I14" s="90">
        <v>13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</v>
      </c>
      <c r="C15" s="35">
        <f>IF(B$3=0,0,B15/B$3)</f>
        <v>0.36764705882352944</v>
      </c>
      <c r="E15" s="59" t="s">
        <v>75</v>
      </c>
      <c r="F15" s="56" t="s">
        <v>30</v>
      </c>
      <c r="G15" s="44">
        <v>1</v>
      </c>
      <c r="H15" s="129">
        <f>IF(B$15=0,0,G15/B$15)</f>
        <v>0.04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9</v>
      </c>
      <c r="C16" s="37">
        <f>IF(B$3=0,0,B16/B$3)</f>
        <v>0.13235294117647059</v>
      </c>
      <c r="E16" s="59" t="s">
        <v>79</v>
      </c>
      <c r="F16" s="56" t="s">
        <v>34</v>
      </c>
      <c r="G16" s="44">
        <v>1</v>
      </c>
      <c r="H16" s="129">
        <f>IF(B$15=0,0,G16/B$15)</f>
        <v>0.04</v>
      </c>
      <c r="I16" s="90">
        <v>2</v>
      </c>
      <c r="N16" s="111" t="s">
        <v>172</v>
      </c>
      <c r="O16" s="121">
        <f>IF(P16=0,0,Q16/P16)</f>
        <v>34.699999999999996</v>
      </c>
      <c r="P16" s="115">
        <v>3</v>
      </c>
      <c r="Q16" s="103">
        <v>104.1</v>
      </c>
    </row>
    <row r="17" spans="1:17" x14ac:dyDescent="0.45">
      <c r="A17" s="51" t="s">
        <v>12</v>
      </c>
      <c r="B17" s="44">
        <v>11</v>
      </c>
      <c r="C17" s="37">
        <f>IF(B$15=0,0,B17/B$15)</f>
        <v>0.44</v>
      </c>
      <c r="E17" s="59" t="s">
        <v>86</v>
      </c>
      <c r="F17" s="56" t="s">
        <v>41</v>
      </c>
      <c r="G17" s="44">
        <v>1</v>
      </c>
      <c r="H17" s="129">
        <f>IF(B$15=0,0,G17/B$15)</f>
        <v>0.04</v>
      </c>
      <c r="I17" s="90">
        <v>9</v>
      </c>
      <c r="N17" s="111" t="s">
        <v>170</v>
      </c>
      <c r="O17" s="121">
        <f>IF(P17=0,0,Q17/P17)</f>
        <v>23.500000000000004</v>
      </c>
      <c r="P17" s="115">
        <v>4</v>
      </c>
      <c r="Q17" s="103">
        <v>94.000000000000014</v>
      </c>
    </row>
    <row r="18" spans="1:17" x14ac:dyDescent="0.45">
      <c r="A18" s="51" t="s">
        <v>11</v>
      </c>
      <c r="B18" s="44">
        <v>14</v>
      </c>
      <c r="C18" s="37">
        <f>IF(B$15=0,0,B18/B$15)</f>
        <v>0.56000000000000005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17</v>
      </c>
      <c r="C19" s="37">
        <f>IF(B$15=0,0,B19/B$15)</f>
        <v>0.68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>IF(P19=0,0,Q19/P19)</f>
        <v>6.2333333333333343</v>
      </c>
      <c r="P19" s="115">
        <v>3</v>
      </c>
      <c r="Q19" s="103">
        <v>18.700000000000003</v>
      </c>
    </row>
    <row r="20" spans="1:17" x14ac:dyDescent="0.45">
      <c r="A20" s="51" t="s">
        <v>193</v>
      </c>
      <c r="B20" s="44">
        <v>7</v>
      </c>
      <c r="C20" s="37">
        <f>IF(B$15=0,0,B20/B$15)</f>
        <v>0.28000000000000003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126</v>
      </c>
      <c r="O20" s="121">
        <f>IF(P20=0,0,Q20/P20)</f>
        <v>-29.949999999999996</v>
      </c>
      <c r="P20" s="115">
        <v>2</v>
      </c>
      <c r="Q20" s="103">
        <v>-59.899999999999991</v>
      </c>
    </row>
    <row r="21" spans="1:17" x14ac:dyDescent="0.45">
      <c r="A21" s="51" t="s">
        <v>194</v>
      </c>
      <c r="B21" s="44">
        <v>1</v>
      </c>
      <c r="C21" s="37">
        <f>IF(B$15=0,0,B21/B$15)</f>
        <v>0.04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  <c r="N21" s="111" t="s">
        <v>161</v>
      </c>
      <c r="O21" s="121">
        <f>IF(P21=0,0,Q21/P21)</f>
        <v>-51.55</v>
      </c>
      <c r="P21" s="115">
        <v>2</v>
      </c>
      <c r="Q21" s="103">
        <v>-103.1</v>
      </c>
    </row>
    <row r="22" spans="1:17" x14ac:dyDescent="0.45">
      <c r="A22" s="51" t="s">
        <v>5</v>
      </c>
      <c r="B22" s="48">
        <f>IF(B$15=0,0,C22/B$15)</f>
        <v>7608</v>
      </c>
      <c r="C22" s="39">
        <v>190200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8438.8888888888887</v>
      </c>
      <c r="C23" s="137">
        <v>151900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5471.4285714285716</v>
      </c>
      <c r="C24" s="137">
        <v>38300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-8477.7777777777774</v>
      </c>
      <c r="C25" s="137">
        <v>-76300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1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1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3</v>
      </c>
      <c r="C32" s="141">
        <f>IF(B$15=0,0,B32/B$15)</f>
        <v>0.12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4</v>
      </c>
      <c r="C33" s="37">
        <f t="shared" ref="C33:C44" si="2">IF(B$15=0,0,B33/B$15)</f>
        <v>0.16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0.12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7</v>
      </c>
      <c r="C35" s="37">
        <f t="shared" si="2"/>
        <v>0.28000000000000003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0.16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0.04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2"/>
        <v>0.08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2"/>
        <v>0.04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DD99B-11CA-4BE4-AB25-3BFA2F514FA7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6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5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4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2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5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9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363E-A0F0-4A02-845E-3B05350B782E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13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12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5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6CE41-B84A-480B-B2B3-462930710693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48032-F2CC-48A2-B1E0-766CB9D9A28C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14061-A518-4D76-8E47-48642FD9FB1E}">
  <sheetPr codeName="Sheet28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2F4D-2FB1-4AC2-A18A-17854BEA473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8CEC-F03E-416D-90B9-D54B7B96426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FC41-C54F-4C3E-89EA-DB3B13719860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B1DFC-FADA-4372-B5A6-D3D6D4AF0B3D}">
  <sheetPr codeName="Sheet20"/>
  <dimension ref="A1:Q5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28C35-2CF8-4307-97AA-50E0DA93D122}">
  <sheetPr codeName="Sheet18"/>
  <dimension ref="A1:Q1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741E-0E94-47E2-93FC-6BAAED1E7F3C}">
  <sheetPr codeName="Sheet16"/>
  <dimension ref="A1:Q10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912A4-C413-4022-8AE3-28B67F840C9E}">
  <sheetPr codeName="Sheet14"/>
  <dimension ref="A1:Q9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A668-4C57-4BA6-827A-8E1F3F3A1F89}">
  <sheetPr codeName="Sheet12"/>
  <dimension ref="A1:Q13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A3E04-5866-4C78-A151-A2385B1C500B}">
  <sheetPr codeName="Sheet10"/>
  <dimension ref="A1:Q15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5287-9281-4E41-9555-D26CE51A3D33}">
  <sheetPr codeName="Sheet8"/>
  <dimension ref="A1:Q7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69B0-E4BB-491E-A693-2786963BE876}">
  <sheetPr codeName="Sheet6"/>
  <dimension ref="A1:Q26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2019-12-13T01:57:10Z</dcterms:modified>
</cp:coreProperties>
</file>