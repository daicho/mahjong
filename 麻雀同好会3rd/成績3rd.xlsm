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29C839F-114F-4CAD-8CA3-BE132BAE9029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いっしー2" sheetId="6140" state="hidden" r:id="rId17"/>
    <sheet name="ほたに2" sheetId="6138" state="hidden" r:id="rId18"/>
    <sheet name="ぱぱ2" sheetId="6136" state="hidden" r:id="rId19"/>
    <sheet name="のり2" sheetId="6134" state="hidden" r:id="rId20"/>
    <sheet name="まっつん2" sheetId="6132" state="hidden" r:id="rId21"/>
    <sheet name="れんたろう2" sheetId="6130" state="hidden" r:id="rId22"/>
    <sheet name="りくと2" sheetId="6128" state="hidden" r:id="rId23"/>
    <sheet name="ただ2" sheetId="6126" state="hidden" r:id="rId24"/>
    <sheet name="だいち2" sheetId="6124" state="hidden" r:id="rId25"/>
    <sheet name="たかの2" sheetId="6122" state="hidden" r:id="rId26"/>
    <sheet name="全体2" sheetId="6120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31" l="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18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0" i="6121" l="1"/>
  <c r="O16" i="6129"/>
  <c r="O15" i="6129" l="1"/>
  <c r="O19" i="6137"/>
  <c r="O17" i="6127" l="1"/>
  <c r="O16" i="6133"/>
  <c r="O16" i="6137" l="1"/>
  <c r="O22" i="6127"/>
  <c r="O21" i="6121" l="1"/>
  <c r="O16" i="6123"/>
  <c r="O15" i="6133"/>
  <c r="O21" i="6133"/>
  <c r="O19" i="6131" l="1"/>
  <c r="O18" i="6135"/>
  <c r="O16" i="6125" l="1"/>
  <c r="O17" i="6131"/>
  <c r="O19" i="6133"/>
  <c r="O20" i="6133"/>
  <c r="O15" i="6121" l="1"/>
  <c r="O17" i="6135"/>
  <c r="O19" i="6135"/>
  <c r="O18" i="6127"/>
  <c r="O19" i="6125" l="1"/>
  <c r="O21" i="6129"/>
  <c r="O19" i="6129" l="1"/>
  <c r="O21" i="6123"/>
  <c r="O23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7" i="6123" l="1"/>
  <c r="O20" i="6127"/>
  <c r="O19" i="6123" l="1"/>
  <c r="O20" i="6131"/>
  <c r="O23" i="6131"/>
  <c r="O17" i="6121"/>
  <c r="O17" i="6125"/>
  <c r="O15" i="6127"/>
  <c r="O21" i="6127"/>
  <c r="O19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2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4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2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6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3" i="6129"/>
  <c r="H22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4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4" i="6129"/>
  <c r="H8" i="6129"/>
  <c r="C33" i="6129"/>
  <c r="C37" i="6129"/>
  <c r="C41" i="6129"/>
  <c r="H47" i="6129"/>
  <c r="H3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4" i="6127"/>
  <c r="H26" i="6127"/>
  <c r="H15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8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6" i="6121"/>
  <c r="O18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19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20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8" i="6123"/>
  <c r="H24" i="6123"/>
  <c r="H21" i="6123"/>
  <c r="C34" i="6123"/>
  <c r="C38" i="6123"/>
  <c r="C42" i="6123"/>
  <c r="H49" i="6123"/>
  <c r="H17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4" i="6121"/>
  <c r="H25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3" i="6121"/>
  <c r="H40" i="6121"/>
  <c r="H51" i="6121"/>
  <c r="H27" i="6121"/>
  <c r="H22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6" i="6121"/>
  <c r="C34" i="6121"/>
  <c r="C38" i="6121"/>
  <c r="C42" i="6121"/>
  <c r="H48" i="6121"/>
  <c r="H20" i="6121"/>
  <c r="H26" i="6121"/>
  <c r="H28" i="6121"/>
  <c r="H15" i="6121"/>
  <c r="H32" i="6121"/>
  <c r="C35" i="6121"/>
  <c r="C39" i="6121"/>
  <c r="C43" i="6121"/>
  <c r="H50" i="6121"/>
  <c r="H9" i="6121"/>
  <c r="H17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3" i="6119"/>
  <c r="C40" i="6119"/>
  <c r="H49" i="6119"/>
  <c r="H27" i="6119"/>
  <c r="H6" i="6119"/>
  <c r="H13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4" i="6119"/>
  <c r="H9" i="6119"/>
  <c r="C33" i="6119"/>
  <c r="C37" i="6119"/>
  <c r="C41" i="6119"/>
  <c r="H47" i="6119"/>
  <c r="B23" i="6119"/>
  <c r="H20" i="6119"/>
  <c r="H16" i="6119"/>
  <c r="H37" i="6119"/>
  <c r="H14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<sst xmlns="http://schemas.openxmlformats.org/spreadsheetml/2006/main" count="3052" uniqueCount="273">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</sst>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全体!$K$2:$K$692</c:f>
              <c:numCache>
                <c:formatCode>General</c:formatCode>
                <c:ptCount val="6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</c:numCache>
            </c:numRef>
          </c:xVal>
          <c:yVal>
            <c:numRef>
              <c:f>全体!$L$2:$L$692</c:f>
              <c:numCache>
                <c:formatCode>\+0.0;\-0.0;\±0</c:formatCode>
                <c:ptCount val="69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-24.745269286754002</c:v>
                </c:pt>
                <c:pt idx="1">
                  <c:v>8.8888888888888893</c:v>
                </c:pt>
                <c:pt idx="2">
                  <c:v>-11.0062893081761</c:v>
                </c:pt>
                <c:pt idx="3">
                  <c:v>10.050251256281408</c:v>
                </c:pt>
                <c:pt idx="4">
                  <c:v>9.1575091575091569</c:v>
                </c:pt>
                <c:pt idx="5">
                  <c:v>13.071895424836601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128</c:v>
                </c:pt>
                <c:pt idx="1">
                  <c:v>282</c:v>
                </c:pt>
                <c:pt idx="2">
                  <c:v>340</c:v>
                </c:pt>
                <c:pt idx="3">
                  <c:v>298</c:v>
                </c:pt>
                <c:pt idx="4">
                  <c:v>276</c:v>
                </c:pt>
                <c:pt idx="5">
                  <c:v>175</c:v>
                </c:pt>
                <c:pt idx="6">
                  <c:v>90</c:v>
                </c:pt>
                <c:pt idx="7">
                  <c:v>51</c:v>
                </c:pt>
                <c:pt idx="8">
                  <c:v>19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1487.0967741935483</c:v>
                </c:pt>
                <c:pt idx="1">
                  <c:v>-1855.7377049180327</c:v>
                </c:pt>
                <c:pt idx="2">
                  <c:v>-1793.2203389830509</c:v>
                </c:pt>
                <c:pt idx="3">
                  <c:v>-1058.1818181818182</c:v>
                </c:pt>
                <c:pt idx="4">
                  <c:v>-264.81481481481484</c:v>
                </c:pt>
                <c:pt idx="5">
                  <c:v>-2310.6382978723404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19</c:v>
                </c:pt>
                <c:pt idx="1">
                  <c:v>29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12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だいち!$L$2:$L$146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1043.3566433566434</c:v>
                </c:pt>
                <c:pt idx="1">
                  <c:v>969.28571428571433</c:v>
                </c:pt>
                <c:pt idx="2">
                  <c:v>941.79104477611941</c:v>
                </c:pt>
                <c:pt idx="3">
                  <c:v>139.51612903225808</c:v>
                </c:pt>
                <c:pt idx="4">
                  <c:v>1870.1754385964912</c:v>
                </c:pt>
                <c:pt idx="5">
                  <c:v>2217.0212765957449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35</c:v>
                </c:pt>
                <c:pt idx="1">
                  <c:v>70</c:v>
                </c:pt>
                <c:pt idx="2">
                  <c:v>88</c:v>
                </c:pt>
                <c:pt idx="3">
                  <c:v>73</c:v>
                </c:pt>
                <c:pt idx="4">
                  <c:v>59</c:v>
                </c:pt>
                <c:pt idx="5">
                  <c:v>37</c:v>
                </c:pt>
                <c:pt idx="6">
                  <c:v>18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ただ!$L$2:$L$129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-1301.5873015873017</c:v>
                </c:pt>
                <c:pt idx="1">
                  <c:v>1572.5806451612902</c:v>
                </c:pt>
                <c:pt idx="2">
                  <c:v>-231.57894736842104</c:v>
                </c:pt>
                <c:pt idx="3">
                  <c:v>323.14814814814815</c:v>
                </c:pt>
                <c:pt idx="4">
                  <c:v>-926.26262626262621</c:v>
                </c:pt>
                <c:pt idx="5">
                  <c:v>1467.0588235294117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36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りくと!$L$2:$L$82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-443.03797468354429</c:v>
                </c:pt>
                <c:pt idx="1">
                  <c:v>-1150.632911392405</c:v>
                </c:pt>
                <c:pt idx="2">
                  <c:v>927.39726027397262</c:v>
                </c:pt>
                <c:pt idx="3">
                  <c:v>-261.11111111111109</c:v>
                </c:pt>
                <c:pt idx="4">
                  <c:v>-2939.705882352941</c:v>
                </c:pt>
                <c:pt idx="5">
                  <c:v>-1740.6779661016949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34</c:v>
                </c:pt>
                <c:pt idx="2">
                  <c:v>44</c:v>
                </c:pt>
                <c:pt idx="3">
                  <c:v>30</c:v>
                </c:pt>
                <c:pt idx="4">
                  <c:v>32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れんたろう!$L$2:$L$93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1016.4835164835165</c:v>
                </c:pt>
                <c:pt idx="1">
                  <c:v>-1568.5393258426966</c:v>
                </c:pt>
                <c:pt idx="2">
                  <c:v>-346.91358024691357</c:v>
                </c:pt>
                <c:pt idx="3">
                  <c:v>2572.7272727272725</c:v>
                </c:pt>
                <c:pt idx="4">
                  <c:v>382.35294117647061</c:v>
                </c:pt>
                <c:pt idx="5">
                  <c:v>-68.518518518518519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25</c:v>
                </c:pt>
                <c:pt idx="3">
                  <c:v>36</c:v>
                </c:pt>
                <c:pt idx="4">
                  <c:v>52</c:v>
                </c:pt>
                <c:pt idx="5">
                  <c:v>21</c:v>
                </c:pt>
                <c:pt idx="6">
                  <c:v>19</c:v>
                </c:pt>
                <c:pt idx="7">
                  <c:v>14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464.48598130841123</c:v>
                </c:pt>
                <c:pt idx="1">
                  <c:v>556.73076923076928</c:v>
                </c:pt>
                <c:pt idx="2">
                  <c:v>326.53061224489795</c:v>
                </c:pt>
                <c:pt idx="3">
                  <c:v>187.64044943820224</c:v>
                </c:pt>
                <c:pt idx="4">
                  <c:v>-235.89743589743588</c:v>
                </c:pt>
                <c:pt idx="5">
                  <c:v>-764.17910447761199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49</c:v>
                </c:pt>
                <c:pt idx="3">
                  <c:v>43</c:v>
                </c:pt>
                <c:pt idx="4">
                  <c:v>40</c:v>
                </c:pt>
                <c:pt idx="5">
                  <c:v>29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のり!$L$2:$L$48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-1971.7391304347825</c:v>
                </c:pt>
                <c:pt idx="1">
                  <c:v>-132.60869565217391</c:v>
                </c:pt>
                <c:pt idx="2">
                  <c:v>-1415.2173913043478</c:v>
                </c:pt>
                <c:pt idx="3">
                  <c:v>-3136.5853658536585</c:v>
                </c:pt>
                <c:pt idx="4">
                  <c:v>-1261.5384615384614</c:v>
                </c:pt>
                <c:pt idx="5">
                  <c:v>-2157.5757575757575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まっつん2!$B$3:$B$110</c:f>
              <c:numCache>
                <c:formatCode>\+0.0;\-0.0;\±0</c:formatCode>
                <c:ptCount val="10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まっつん2!$C$3:$C$110</c:f>
              <c:numCache>
                <c:formatCode>\+0.0;\-0.0;\±0</c:formatCode>
                <c:ptCount val="108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17863248487043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まっつん2!$D$3:$D$110</c:f>
              <c:numCache>
                <c:formatCode>0.00\ "位"</c:formatCode>
                <c:ptCount val="108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まっつん2!$E$3:$E$110</c:f>
              <c:numCache>
                <c:formatCode>0.0%</c:formatCode>
                <c:ptCount val="10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まっつん2!$F$3:$F$110</c:f>
              <c:numCache>
                <c:formatCode>0.0%</c:formatCode>
                <c:ptCount val="10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まっつん2!$G$3:$G$110</c:f>
              <c:numCache>
                <c:formatCode>0.0%</c:formatCode>
                <c:ptCount val="108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272853667014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まっつん2!$H$3:$H$110</c:f>
              <c:numCache>
                <c:formatCode>0.0%</c:formatCode>
                <c:ptCount val="108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017031630170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まっつん2!$I$3:$I$110</c:f>
              <c:numCache>
                <c:formatCode>0</c:formatCode>
                <c:ptCount val="108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70.80635668039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まっつん2!$J$3:$J$110</c:f>
              <c:numCache>
                <c:formatCode>0</c:formatCode>
                <c:ptCount val="108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31.76972281449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まっつん2!$K$3:$K$110</c:f>
              <c:numCache>
                <c:formatCode>0.0%</c:formatCode>
                <c:ptCount val="10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まっつん2!$L$3:$L$110</c:f>
              <c:numCache>
                <c:formatCode>0.0%</c:formatCode>
                <c:ptCount val="108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62738964198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まっつん2!$M$3:$M$110</c:f>
              <c:numCache>
                <c:formatCode>0.0%</c:formatCode>
                <c:ptCount val="108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100799443865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まっつん2!$N$3:$N$110</c:f>
              <c:numCache>
                <c:formatCode>0.0%</c:formatCode>
                <c:ptCount val="108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5860178204249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まっつん2!$O$3:$O$110</c:f>
              <c:numCache>
                <c:formatCode>0.0%</c:formatCode>
                <c:ptCount val="108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163141993957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まっつん2!$A$3:$A$110</c:f>
              <c:numCache>
                <c:formatCode>0\ "回"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まっつん2!$P$3:$P$110</c:f>
              <c:numCache>
                <c:formatCode>0.0%</c:formatCode>
                <c:ptCount val="108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201883460859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9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690</v>
      </c>
    </row>
    <row r="2" spans="1:2" x14ac:dyDescent="0.45">
      <c r="A2" t="s">
        <v>161</v>
      </c>
      <c r="B2">
        <v>62</v>
      </c>
    </row>
    <row r="3" spans="1:2" x14ac:dyDescent="0.45">
      <c r="A3" t="s">
        <v>126</v>
      </c>
      <c r="B3">
        <v>144</v>
      </c>
    </row>
    <row r="4" spans="1:2" x14ac:dyDescent="0.45">
      <c r="A4" t="s">
        <v>127</v>
      </c>
      <c r="B4">
        <v>127</v>
      </c>
    </row>
    <row r="5" spans="1:2" x14ac:dyDescent="0.45">
      <c r="A5" t="s">
        <v>172</v>
      </c>
      <c r="B5">
        <v>80</v>
      </c>
    </row>
    <row r="6" spans="1:2" x14ac:dyDescent="0.45">
      <c r="A6" t="s">
        <v>170</v>
      </c>
      <c r="B6">
        <v>91</v>
      </c>
    </row>
    <row r="7" spans="1:2" x14ac:dyDescent="0.45">
      <c r="A7" t="s">
        <v>171</v>
      </c>
      <c r="B7">
        <v>107</v>
      </c>
    </row>
    <row r="8" spans="1:2" x14ac:dyDescent="0.45">
      <c r="A8" t="s">
        <v>197</v>
      </c>
      <c r="B8">
        <v>46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0.99035733569038797</v>
      </c>
      <c r="G2" s="167"/>
      <c r="H2" s="166">
        <v>0.8444996757607649</v>
      </c>
      <c r="I2" s="167"/>
      <c r="J2" s="166">
        <v>0.89810830970920419</v>
      </c>
      <c r="K2" s="167"/>
      <c r="L2" s="166">
        <v>0.81504319316951801</v>
      </c>
      <c r="M2" s="167"/>
      <c r="N2" s="166">
        <v>0.51767903872640708</v>
      </c>
      <c r="O2" s="167"/>
      <c r="P2" s="166">
        <v>0.49313193982165965</v>
      </c>
      <c r="Q2" s="167"/>
      <c r="R2" s="166">
        <v>0.10349974738159243</v>
      </c>
      <c r="S2" s="167"/>
      <c r="T2" s="166">
        <v>0.56463922125021815</v>
      </c>
      <c r="U2" s="167"/>
      <c r="V2" s="166">
        <v>0.62021068693952497</v>
      </c>
      <c r="W2" s="167"/>
      <c r="X2" s="166">
        <v>-4.8366224433921599E-2</v>
      </c>
      <c r="Y2" s="167"/>
      <c r="Z2" s="166">
        <v>0.46027900989830989</v>
      </c>
      <c r="AA2" s="167"/>
      <c r="AB2" s="166">
        <v>0.1669586612264703</v>
      </c>
      <c r="AC2" s="167"/>
      <c r="AD2" s="166">
        <v>0.19537269045994446</v>
      </c>
      <c r="AE2" s="167"/>
      <c r="AF2" s="166">
        <v>0.81698584773960314</v>
      </c>
      <c r="AG2" s="167"/>
    </row>
    <row r="3" spans="1:33" x14ac:dyDescent="0.45">
      <c r="A3" s="70">
        <v>1</v>
      </c>
      <c r="B3" s="71" t="s">
        <v>126</v>
      </c>
      <c r="C3" s="72">
        <v>1171.1000000000001</v>
      </c>
      <c r="D3" s="73" t="s">
        <v>203</v>
      </c>
      <c r="E3" s="92">
        <v>13.1</v>
      </c>
      <c r="F3" s="73" t="s">
        <v>203</v>
      </c>
      <c r="G3" s="74">
        <v>1.5</v>
      </c>
      <c r="H3" s="73" t="s">
        <v>203</v>
      </c>
      <c r="I3" s="75">
        <v>0.5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10912.254901960785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170</v>
      </c>
      <c r="W3" s="76">
        <v>0.31564625850340133</v>
      </c>
      <c r="X3" s="73" t="s">
        <v>228</v>
      </c>
      <c r="Y3" s="76">
        <v>0.35483870967741937</v>
      </c>
      <c r="Z3" s="73" t="s">
        <v>126</v>
      </c>
      <c r="AA3" s="76">
        <v>0.60188087774294674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240.30000000000013</v>
      </c>
      <c r="D4" s="81" t="s">
        <v>126</v>
      </c>
      <c r="E4" s="93">
        <v>8.1326388888888896</v>
      </c>
      <c r="F4" s="81" t="s">
        <v>126</v>
      </c>
      <c r="G4" s="82">
        <v>1.8055555555555556</v>
      </c>
      <c r="H4" s="81" t="s">
        <v>126</v>
      </c>
      <c r="I4" s="83">
        <v>0.45833333333333331</v>
      </c>
      <c r="J4" s="81" t="s">
        <v>126</v>
      </c>
      <c r="K4" s="83">
        <v>0.2638888888888889</v>
      </c>
      <c r="L4" s="81" t="s">
        <v>126</v>
      </c>
      <c r="M4" s="84">
        <v>0.34069668649107904</v>
      </c>
      <c r="N4" s="81" t="s">
        <v>126</v>
      </c>
      <c r="O4" s="84">
        <v>0.13254035683942225</v>
      </c>
      <c r="P4" s="81" t="s">
        <v>171</v>
      </c>
      <c r="Q4" s="85">
        <v>8514.3426294820711</v>
      </c>
      <c r="R4" s="81" t="s">
        <v>172</v>
      </c>
      <c r="S4" s="85">
        <v>-7549.6124031007748</v>
      </c>
      <c r="T4" s="81" t="s">
        <v>126</v>
      </c>
      <c r="U4" s="83">
        <v>4.8611111111111112E-2</v>
      </c>
      <c r="V4" s="81" t="s">
        <v>172</v>
      </c>
      <c r="W4" s="84">
        <v>0.28193832599118945</v>
      </c>
      <c r="X4" s="81" t="s">
        <v>203</v>
      </c>
      <c r="Y4" s="84">
        <v>0.33333333333333331</v>
      </c>
      <c r="Z4" s="81" t="s">
        <v>196</v>
      </c>
      <c r="AA4" s="84">
        <v>0.5901639344262295</v>
      </c>
      <c r="AB4" s="81" t="s">
        <v>126</v>
      </c>
      <c r="AC4" s="84">
        <v>0.47547169811320755</v>
      </c>
      <c r="AD4" s="81" t="s">
        <v>170</v>
      </c>
      <c r="AE4" s="84">
        <v>0.52941176470588236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106.29999999999998</v>
      </c>
      <c r="D5" s="81" t="s">
        <v>170</v>
      </c>
      <c r="E5" s="93">
        <v>2.6406593406593419</v>
      </c>
      <c r="F5" s="81" t="s">
        <v>127</v>
      </c>
      <c r="G5" s="82">
        <v>1.9448818897637796</v>
      </c>
      <c r="H5" s="81" t="s">
        <v>228</v>
      </c>
      <c r="I5" s="83">
        <v>0.42857142857142855</v>
      </c>
      <c r="J5" s="81" t="s">
        <v>171</v>
      </c>
      <c r="K5" s="83">
        <v>0.27102803738317754</v>
      </c>
      <c r="L5" s="81" t="s">
        <v>127</v>
      </c>
      <c r="M5" s="84">
        <v>0.30430711610486894</v>
      </c>
      <c r="N5" s="81" t="s">
        <v>171</v>
      </c>
      <c r="O5" s="84">
        <v>0.1351981351981352</v>
      </c>
      <c r="P5" s="81" t="s">
        <v>141</v>
      </c>
      <c r="Q5" s="85">
        <v>8470.8063566803994</v>
      </c>
      <c r="R5" s="81" t="s">
        <v>161</v>
      </c>
      <c r="S5" s="85">
        <v>-7594.318181818182</v>
      </c>
      <c r="T5" s="81" t="s">
        <v>171</v>
      </c>
      <c r="U5" s="83">
        <v>7.476635514018691E-2</v>
      </c>
      <c r="V5" s="81" t="s">
        <v>171</v>
      </c>
      <c r="W5" s="84">
        <v>0.27272727272727271</v>
      </c>
      <c r="X5" s="81" t="s">
        <v>127</v>
      </c>
      <c r="Y5" s="84">
        <v>0.31367041198501872</v>
      </c>
      <c r="Z5" s="81" t="s">
        <v>171</v>
      </c>
      <c r="AA5" s="84">
        <v>0.57692307692307687</v>
      </c>
      <c r="AB5" s="81" t="s">
        <v>197</v>
      </c>
      <c r="AC5" s="84">
        <v>0.43902439024390244</v>
      </c>
      <c r="AD5" s="81" t="s">
        <v>172</v>
      </c>
      <c r="AE5" s="84">
        <v>0.45549738219895286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127</v>
      </c>
      <c r="C6" s="80">
        <v>83.199999999999804</v>
      </c>
      <c r="D6" s="81" t="s">
        <v>171</v>
      </c>
      <c r="E6" s="93">
        <v>0.99345794392523346</v>
      </c>
      <c r="F6" s="81" t="s">
        <v>170</v>
      </c>
      <c r="G6" s="82">
        <v>1.956043956043956</v>
      </c>
      <c r="H6" s="81" t="s">
        <v>196</v>
      </c>
      <c r="I6" s="83">
        <v>0.375</v>
      </c>
      <c r="J6" s="81" t="s">
        <v>127</v>
      </c>
      <c r="K6" s="83">
        <v>0.29133858267716534</v>
      </c>
      <c r="L6" s="81" t="s">
        <v>141</v>
      </c>
      <c r="M6" s="84">
        <v>0.29527285366701422</v>
      </c>
      <c r="N6" s="81" t="s">
        <v>161</v>
      </c>
      <c r="O6" s="84">
        <v>0.15970961887477314</v>
      </c>
      <c r="P6" s="81" t="s">
        <v>196</v>
      </c>
      <c r="Q6" s="85">
        <v>8456.4516129032254</v>
      </c>
      <c r="R6" s="81" t="s">
        <v>171</v>
      </c>
      <c r="S6" s="85">
        <v>-7597.4137931034484</v>
      </c>
      <c r="T6" s="81" t="s">
        <v>172</v>
      </c>
      <c r="U6" s="83">
        <v>7.4999999999999997E-2</v>
      </c>
      <c r="V6" s="81" t="s">
        <v>126</v>
      </c>
      <c r="W6" s="84">
        <v>0.27102803738317754</v>
      </c>
      <c r="X6" s="81" t="s">
        <v>161</v>
      </c>
      <c r="Y6" s="84">
        <v>0.2413793103448276</v>
      </c>
      <c r="Z6" s="81" t="s">
        <v>172</v>
      </c>
      <c r="AA6" s="84">
        <v>0.56770833333333337</v>
      </c>
      <c r="AB6" s="81" t="s">
        <v>171</v>
      </c>
      <c r="AC6" s="84">
        <v>0.43548387096774194</v>
      </c>
      <c r="AD6" s="81" t="s">
        <v>197</v>
      </c>
      <c r="AE6" s="84">
        <v>0.45360824742268041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203</v>
      </c>
      <c r="C7" s="80">
        <v>26.2</v>
      </c>
      <c r="D7" s="81" t="s">
        <v>127</v>
      </c>
      <c r="E7" s="93">
        <v>0.65511811023621891</v>
      </c>
      <c r="F7" s="81" t="s">
        <v>196</v>
      </c>
      <c r="G7" s="82">
        <v>2</v>
      </c>
      <c r="H7" s="81" t="s">
        <v>170</v>
      </c>
      <c r="I7" s="83">
        <v>0.37362637362637363</v>
      </c>
      <c r="J7" s="81" t="s">
        <v>170</v>
      </c>
      <c r="K7" s="83">
        <v>0.32967032967032966</v>
      </c>
      <c r="L7" s="81" t="s">
        <v>171</v>
      </c>
      <c r="M7" s="84">
        <v>0.29254079254079252</v>
      </c>
      <c r="N7" s="81" t="s">
        <v>141</v>
      </c>
      <c r="O7" s="84">
        <v>0.16301703163017031</v>
      </c>
      <c r="P7" s="81" t="s">
        <v>127</v>
      </c>
      <c r="Q7" s="85">
        <v>8425.8461538461543</v>
      </c>
      <c r="R7" s="81" t="s">
        <v>126</v>
      </c>
      <c r="S7" s="85">
        <v>-7669.8717948717949</v>
      </c>
      <c r="T7" s="81" t="s">
        <v>161</v>
      </c>
      <c r="U7" s="83">
        <v>8.0645161290322578E-2</v>
      </c>
      <c r="V7" s="81" t="s">
        <v>203</v>
      </c>
      <c r="W7" s="84">
        <v>0.26666666666666666</v>
      </c>
      <c r="X7" s="81" t="s">
        <v>141</v>
      </c>
      <c r="Y7" s="84">
        <v>0.23010079944386513</v>
      </c>
      <c r="Z7" s="81" t="s">
        <v>141</v>
      </c>
      <c r="AA7" s="84">
        <v>0.55586017820424949</v>
      </c>
      <c r="AB7" s="81" t="s">
        <v>141</v>
      </c>
      <c r="AC7" s="84">
        <v>0.41616314199395771</v>
      </c>
      <c r="AD7" s="81" t="s">
        <v>171</v>
      </c>
      <c r="AE7" s="84">
        <v>0.44621513944223107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196</v>
      </c>
      <c r="C8" s="80">
        <v>2.1999999999999957</v>
      </c>
      <c r="D8" s="81" t="s">
        <v>196</v>
      </c>
      <c r="E8" s="93">
        <v>9.1666666666666494E-2</v>
      </c>
      <c r="F8" s="81" t="s">
        <v>141</v>
      </c>
      <c r="G8" s="82">
        <v>2</v>
      </c>
      <c r="H8" s="81" t="s">
        <v>127</v>
      </c>
      <c r="I8" s="83">
        <v>0.34645669291338582</v>
      </c>
      <c r="J8" s="81" t="s">
        <v>141</v>
      </c>
      <c r="K8" s="83">
        <v>0.33333333333333331</v>
      </c>
      <c r="L8" s="81" t="s">
        <v>172</v>
      </c>
      <c r="M8" s="84">
        <v>0.28046989720998533</v>
      </c>
      <c r="N8" s="81" t="s">
        <v>196</v>
      </c>
      <c r="O8" s="84">
        <v>0.16593886462882096</v>
      </c>
      <c r="P8" s="81" t="s">
        <v>126</v>
      </c>
      <c r="Q8" s="85">
        <v>8218.4538653366581</v>
      </c>
      <c r="R8" s="81" t="s">
        <v>141</v>
      </c>
      <c r="S8" s="85">
        <v>-7831.7697228144989</v>
      </c>
      <c r="T8" s="81" t="s">
        <v>196</v>
      </c>
      <c r="U8" s="83">
        <v>8.3333333333333329E-2</v>
      </c>
      <c r="V8" s="81" t="s">
        <v>196</v>
      </c>
      <c r="W8" s="84">
        <v>0.26637554585152839</v>
      </c>
      <c r="X8" s="81" t="s">
        <v>126</v>
      </c>
      <c r="Y8" s="84">
        <v>0.22514868309260833</v>
      </c>
      <c r="Z8" s="81" t="s">
        <v>170</v>
      </c>
      <c r="AA8" s="84">
        <v>0.54741379310344829</v>
      </c>
      <c r="AB8" s="81" t="s">
        <v>172</v>
      </c>
      <c r="AC8" s="84">
        <v>0.40579710144927539</v>
      </c>
      <c r="AD8" s="81" t="s">
        <v>141</v>
      </c>
      <c r="AE8" s="84">
        <v>0.44320188346085931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141</v>
      </c>
      <c r="C9" s="80">
        <v>-4.2632564145606011E-14</v>
      </c>
      <c r="D9" s="81" t="s">
        <v>141</v>
      </c>
      <c r="E9" s="93">
        <v>-6.1786324848704365E-17</v>
      </c>
      <c r="F9" s="81" t="s">
        <v>171</v>
      </c>
      <c r="G9" s="82">
        <v>2.0093457943925235</v>
      </c>
      <c r="H9" s="81" t="s">
        <v>141</v>
      </c>
      <c r="I9" s="83">
        <v>0.33333333333333331</v>
      </c>
      <c r="J9" s="81" t="s">
        <v>172</v>
      </c>
      <c r="K9" s="83">
        <v>0.375</v>
      </c>
      <c r="L9" s="81" t="s">
        <v>170</v>
      </c>
      <c r="M9" s="84">
        <v>0.27755102040816326</v>
      </c>
      <c r="N9" s="81" t="s">
        <v>170</v>
      </c>
      <c r="O9" s="84">
        <v>0.17823129251700681</v>
      </c>
      <c r="P9" s="81" t="s">
        <v>197</v>
      </c>
      <c r="Q9" s="85">
        <v>7917.5257731958764</v>
      </c>
      <c r="R9" s="81" t="s">
        <v>127</v>
      </c>
      <c r="S9" s="85">
        <v>-7997.4874371859296</v>
      </c>
      <c r="T9" s="81" t="s">
        <v>141</v>
      </c>
      <c r="U9" s="83">
        <v>0.1</v>
      </c>
      <c r="V9" s="81" t="s">
        <v>141</v>
      </c>
      <c r="W9" s="84">
        <v>0.25356273896419884</v>
      </c>
      <c r="X9" s="81" t="s">
        <v>197</v>
      </c>
      <c r="Y9" s="84">
        <v>0.21693121693121692</v>
      </c>
      <c r="Z9" s="81" t="s">
        <v>197</v>
      </c>
      <c r="AA9" s="84">
        <v>0.54545454545454541</v>
      </c>
      <c r="AB9" s="81" t="s">
        <v>170</v>
      </c>
      <c r="AC9" s="84">
        <v>0.3983739837398374</v>
      </c>
      <c r="AD9" s="81" t="s">
        <v>126</v>
      </c>
      <c r="AE9" s="84">
        <v>0.42394014962593518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228</v>
      </c>
      <c r="C10" s="80">
        <v>-104.80000000000001</v>
      </c>
      <c r="D10" s="81" t="s">
        <v>172</v>
      </c>
      <c r="E10" s="93">
        <v>-6.0825000000000005</v>
      </c>
      <c r="F10" s="81" t="s">
        <v>228</v>
      </c>
      <c r="G10" s="82">
        <v>2.1428571428571428</v>
      </c>
      <c r="H10" s="81" t="s">
        <v>161</v>
      </c>
      <c r="I10" s="83">
        <v>0.30645161290322581</v>
      </c>
      <c r="J10" s="81" t="s">
        <v>196</v>
      </c>
      <c r="K10" s="83">
        <v>0.375</v>
      </c>
      <c r="L10" s="81" t="s">
        <v>196</v>
      </c>
      <c r="M10" s="84">
        <v>0.27074235807860264</v>
      </c>
      <c r="N10" s="81" t="s">
        <v>197</v>
      </c>
      <c r="O10" s="84">
        <v>0.17989417989417988</v>
      </c>
      <c r="P10" s="81" t="s">
        <v>172</v>
      </c>
      <c r="Q10" s="85">
        <v>7791.0994764397901</v>
      </c>
      <c r="R10" s="81" t="s">
        <v>203</v>
      </c>
      <c r="S10" s="85">
        <v>-8000</v>
      </c>
      <c r="T10" s="81" t="s">
        <v>170</v>
      </c>
      <c r="U10" s="83">
        <v>0.12087912087912088</v>
      </c>
      <c r="V10" s="81" t="s">
        <v>228</v>
      </c>
      <c r="W10" s="84">
        <v>0.24193548387096775</v>
      </c>
      <c r="X10" s="81" t="s">
        <v>171</v>
      </c>
      <c r="Y10" s="84">
        <v>0.21678321678321677</v>
      </c>
      <c r="Z10" s="81" t="s">
        <v>228</v>
      </c>
      <c r="AA10" s="84">
        <v>0.53333333333333333</v>
      </c>
      <c r="AB10" s="81" t="s">
        <v>161</v>
      </c>
      <c r="AC10" s="84">
        <v>0.39097744360902253</v>
      </c>
      <c r="AD10" s="81" t="s">
        <v>127</v>
      </c>
      <c r="AE10" s="84">
        <v>0.41230769230769232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161</v>
      </c>
      <c r="C11" s="80">
        <v>-482.00000000000011</v>
      </c>
      <c r="D11" s="81" t="s">
        <v>161</v>
      </c>
      <c r="E11" s="93">
        <v>-7.7741935483870988</v>
      </c>
      <c r="F11" s="81" t="s">
        <v>172</v>
      </c>
      <c r="G11" s="82">
        <v>2.1625000000000001</v>
      </c>
      <c r="H11" s="81" t="s">
        <v>171</v>
      </c>
      <c r="I11" s="83">
        <v>0.26168224299065418</v>
      </c>
      <c r="J11" s="81" t="s">
        <v>161</v>
      </c>
      <c r="K11" s="83">
        <v>0.4838709677419355</v>
      </c>
      <c r="L11" s="81" t="s">
        <v>161</v>
      </c>
      <c r="M11" s="84">
        <v>0.26497277676950998</v>
      </c>
      <c r="N11" s="81" t="s">
        <v>127</v>
      </c>
      <c r="O11" s="84">
        <v>0.18632958801498128</v>
      </c>
      <c r="P11" s="81" t="s">
        <v>228</v>
      </c>
      <c r="Q11" s="85">
        <v>7473.333333333333</v>
      </c>
      <c r="R11" s="81" t="s">
        <v>197</v>
      </c>
      <c r="S11" s="85">
        <v>-8198.5294117647063</v>
      </c>
      <c r="T11" s="81" t="s">
        <v>127</v>
      </c>
      <c r="U11" s="83">
        <v>0.13385826771653545</v>
      </c>
      <c r="V11" s="81" t="s">
        <v>127</v>
      </c>
      <c r="W11" s="84">
        <v>0.22846441947565543</v>
      </c>
      <c r="X11" s="81" t="s">
        <v>172</v>
      </c>
      <c r="Y11" s="84">
        <v>0.20264317180616739</v>
      </c>
      <c r="Z11" s="81" t="s">
        <v>203</v>
      </c>
      <c r="AA11" s="84">
        <v>0.5</v>
      </c>
      <c r="AB11" s="81" t="s">
        <v>127</v>
      </c>
      <c r="AC11" s="84">
        <v>0.38208955223880597</v>
      </c>
      <c r="AD11" s="81" t="s">
        <v>161</v>
      </c>
      <c r="AE11" s="84">
        <v>0.38356164383561642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-486.6</v>
      </c>
      <c r="D12" s="81" t="s">
        <v>197</v>
      </c>
      <c r="E12" s="93">
        <v>-12.084782608695654</v>
      </c>
      <c r="F12" s="81" t="s">
        <v>161</v>
      </c>
      <c r="G12" s="82">
        <v>2.1774193548387095</v>
      </c>
      <c r="H12" s="81" t="s">
        <v>172</v>
      </c>
      <c r="I12" s="83">
        <v>0.21249999999999999</v>
      </c>
      <c r="J12" s="81" t="s">
        <v>197</v>
      </c>
      <c r="K12" s="83">
        <v>0.5</v>
      </c>
      <c r="L12" s="81" t="s">
        <v>197</v>
      </c>
      <c r="M12" s="84">
        <v>0.25661375661375663</v>
      </c>
      <c r="N12" s="81" t="s">
        <v>172</v>
      </c>
      <c r="O12" s="84">
        <v>0.1894273127753304</v>
      </c>
      <c r="P12" s="81" t="s">
        <v>203</v>
      </c>
      <c r="Q12" s="85">
        <v>7385.7142857142853</v>
      </c>
      <c r="R12" s="81" t="s">
        <v>170</v>
      </c>
      <c r="S12" s="85">
        <v>-8400.7633587786258</v>
      </c>
      <c r="T12" s="81" t="s">
        <v>197</v>
      </c>
      <c r="U12" s="83">
        <v>0.19565217391304349</v>
      </c>
      <c r="V12" s="81" t="s">
        <v>197</v>
      </c>
      <c r="W12" s="84">
        <v>0.20370370370370369</v>
      </c>
      <c r="X12" s="81" t="s">
        <v>170</v>
      </c>
      <c r="Y12" s="84">
        <v>0.16734693877551021</v>
      </c>
      <c r="Z12" s="81" t="s">
        <v>127</v>
      </c>
      <c r="AA12" s="84">
        <v>0.49590163934426229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197</v>
      </c>
      <c r="C13" s="80">
        <v>-555.90000000000009</v>
      </c>
      <c r="D13" s="81" t="s">
        <v>228</v>
      </c>
      <c r="E13" s="93">
        <v>-14.971428571428573</v>
      </c>
      <c r="F13" s="81" t="s">
        <v>197</v>
      </c>
      <c r="G13" s="82">
        <v>2.3043478260869565</v>
      </c>
      <c r="H13" s="81" t="s">
        <v>197</v>
      </c>
      <c r="I13" s="83">
        <v>0.19565217391304349</v>
      </c>
      <c r="J13" s="81" t="s">
        <v>228</v>
      </c>
      <c r="K13" s="83">
        <v>0.5714285714285714</v>
      </c>
      <c r="L13" s="81" t="s">
        <v>228</v>
      </c>
      <c r="M13" s="84">
        <v>0.24193548387096775</v>
      </c>
      <c r="N13" s="81" t="s">
        <v>228</v>
      </c>
      <c r="O13" s="84">
        <v>0.19354838709677419</v>
      </c>
      <c r="P13" s="81" t="s">
        <v>161</v>
      </c>
      <c r="Q13" s="85">
        <v>7195.2054794520545</v>
      </c>
      <c r="R13" s="81" t="s">
        <v>228</v>
      </c>
      <c r="S13" s="85">
        <v>-9075</v>
      </c>
      <c r="T13" s="81" t="s">
        <v>228</v>
      </c>
      <c r="U13" s="83">
        <v>0.5714285714285714</v>
      </c>
      <c r="V13" s="81" t="s">
        <v>161</v>
      </c>
      <c r="W13" s="84">
        <v>0.14700544464609799</v>
      </c>
      <c r="X13" s="81" t="s">
        <v>196</v>
      </c>
      <c r="Y13" s="84">
        <v>0.15283842794759825</v>
      </c>
      <c r="Z13" s="81" t="s">
        <v>161</v>
      </c>
      <c r="AA13" s="84">
        <v>0.48148148148148145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69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690</v>
      </c>
      <c r="C2" s="155"/>
      <c r="E2" s="58" t="s">
        <v>66</v>
      </c>
      <c r="F2" s="55" t="s">
        <v>22</v>
      </c>
      <c r="G2" s="43">
        <v>1300</v>
      </c>
      <c r="H2" s="128">
        <f>IF(B$15=0,0,G2/B$15)</f>
        <v>0.76515597410241321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-24.745269286754002</v>
      </c>
      <c r="P2" s="114">
        <v>687</v>
      </c>
      <c r="Q2" s="98">
        <v>-17000</v>
      </c>
    </row>
    <row r="3" spans="1:17" x14ac:dyDescent="0.45">
      <c r="A3" s="51" t="s">
        <v>8</v>
      </c>
      <c r="B3" s="156">
        <v>5754</v>
      </c>
      <c r="C3" s="157"/>
      <c r="E3" s="59" t="s">
        <v>72</v>
      </c>
      <c r="F3" s="56" t="s">
        <v>27</v>
      </c>
      <c r="G3" s="44">
        <v>914</v>
      </c>
      <c r="H3" s="129">
        <f>IF(B$15=0,0,G3/B$15)</f>
        <v>0.53796350794585046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8.8888888888888893</v>
      </c>
      <c r="P3" s="115">
        <v>675</v>
      </c>
      <c r="Q3" s="99">
        <v>6000</v>
      </c>
    </row>
    <row r="4" spans="1:17" x14ac:dyDescent="0.45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779</v>
      </c>
      <c r="H4" s="129">
        <f>IF(B$15=0,0,G4/B$15)</f>
        <v>0.45850500294290758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-11.0062893081761</v>
      </c>
      <c r="P4" s="115">
        <v>636</v>
      </c>
      <c r="Q4" s="99">
        <v>-7000</v>
      </c>
    </row>
    <row r="5" spans="1:17" x14ac:dyDescent="0.45">
      <c r="A5" s="51" t="s">
        <v>7</v>
      </c>
      <c r="B5" s="160">
        <f>IF(B$2=0,0,B$4/B$2)</f>
        <v>-6.1786324848704365E-17</v>
      </c>
      <c r="C5" s="161"/>
      <c r="E5" s="59" t="s">
        <v>166</v>
      </c>
      <c r="F5" s="56" t="s">
        <v>167</v>
      </c>
      <c r="G5" s="44">
        <v>684</v>
      </c>
      <c r="H5" s="129">
        <f>IF(B$15=0,0,G5/B$15)</f>
        <v>0.40258975868157743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10.050251256281408</v>
      </c>
      <c r="P5" s="115">
        <v>597</v>
      </c>
      <c r="Q5" s="99">
        <v>6000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531</v>
      </c>
      <c r="H6" s="129">
        <f>IF(B$15=0,0,G6/B$15)</f>
        <v>0.31253678634490878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9.1575091575091569</v>
      </c>
      <c r="P6" s="115">
        <v>546</v>
      </c>
      <c r="Q6" s="99">
        <v>5000</v>
      </c>
    </row>
    <row r="7" spans="1:17" x14ac:dyDescent="0.45">
      <c r="A7" s="51" t="s">
        <v>2</v>
      </c>
      <c r="B7" s="44">
        <v>230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483</v>
      </c>
      <c r="H7" s="129">
        <f>IF(B$15=0,0,G7/B$15)</f>
        <v>0.2842848734549735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13.071895424836601</v>
      </c>
      <c r="P7" s="116">
        <v>459</v>
      </c>
      <c r="Q7" s="100">
        <v>6000</v>
      </c>
    </row>
    <row r="8" spans="1:17" x14ac:dyDescent="0.45">
      <c r="A8" s="51" t="s">
        <v>3</v>
      </c>
      <c r="B8" s="44">
        <v>230</v>
      </c>
      <c r="C8" s="37">
        <f t="shared" si="1"/>
        <v>0.33333333333333331</v>
      </c>
      <c r="E8" s="59" t="s">
        <v>69</v>
      </c>
      <c r="F8" s="56" t="s">
        <v>24</v>
      </c>
      <c r="G8" s="44">
        <v>247</v>
      </c>
      <c r="H8" s="129">
        <f>IF(B$15=0,0,G8/B$15)</f>
        <v>0.1453796350794585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230</v>
      </c>
      <c r="C9" s="38">
        <f t="shared" si="1"/>
        <v>0.33333333333333331</v>
      </c>
      <c r="E9" s="59" t="s">
        <v>89</v>
      </c>
      <c r="F9" s="56" t="s">
        <v>44</v>
      </c>
      <c r="G9" s="44">
        <v>225</v>
      </c>
      <c r="H9" s="129">
        <f>IF(B$15=0,0,G9/B$15)</f>
        <v>0.13243084167157151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69</v>
      </c>
      <c r="C10" s="40">
        <f t="shared" si="1"/>
        <v>0.1</v>
      </c>
      <c r="E10" s="59" t="s">
        <v>65</v>
      </c>
      <c r="F10" s="56" t="s">
        <v>21</v>
      </c>
      <c r="G10" s="44">
        <v>179</v>
      </c>
      <c r="H10" s="129">
        <f>IF(B$15=0,0,G10/B$15)</f>
        <v>0.1053560918187169</v>
      </c>
      <c r="I10" s="90">
        <v>6</v>
      </c>
      <c r="K10" s="36">
        <v>8</v>
      </c>
      <c r="L10" s="95">
        <v>-46.9</v>
      </c>
      <c r="N10" s="110" t="s">
        <v>157</v>
      </c>
      <c r="O10" s="120">
        <f>IF(P10=0,0,Q10/P10)</f>
        <v>-1.9117391304347831</v>
      </c>
      <c r="P10" s="114">
        <v>230</v>
      </c>
      <c r="Q10" s="102">
        <v>-439.7000000000001</v>
      </c>
    </row>
    <row r="11" spans="1:17" x14ac:dyDescent="0.45">
      <c r="A11" s="54" t="s">
        <v>121</v>
      </c>
      <c r="B11" s="47">
        <v>1459</v>
      </c>
      <c r="C11" s="42">
        <f>IF(B$3=0,0,B11/B$3)</f>
        <v>0.25356273896419884</v>
      </c>
      <c r="E11" s="59" t="s">
        <v>70</v>
      </c>
      <c r="F11" s="56" t="s">
        <v>25</v>
      </c>
      <c r="G11" s="44">
        <v>154</v>
      </c>
      <c r="H11" s="129">
        <f>IF(B$15=0,0,G11/B$15)</f>
        <v>9.0641553855208945E-2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1.5086956521739128</v>
      </c>
      <c r="P11" s="115">
        <v>230</v>
      </c>
      <c r="Q11" s="103">
        <v>346.99999999999994</v>
      </c>
    </row>
    <row r="12" spans="1:17" x14ac:dyDescent="0.45">
      <c r="A12" s="51" t="s">
        <v>118</v>
      </c>
      <c r="B12" s="44">
        <v>1324</v>
      </c>
      <c r="C12" s="37">
        <f>IF(B$3=0,0,B12/B$3)</f>
        <v>0.23010079944386513</v>
      </c>
      <c r="E12" s="59" t="s">
        <v>71</v>
      </c>
      <c r="F12" s="56" t="s">
        <v>26</v>
      </c>
      <c r="G12" s="44">
        <v>133</v>
      </c>
      <c r="H12" s="129">
        <f>IF(B$15=0,0,G12/B$15)</f>
        <v>7.8281341965862269E-2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0.403043478260869</v>
      </c>
      <c r="P12" s="116">
        <v>230</v>
      </c>
      <c r="Q12" s="104">
        <v>92.699999999999875</v>
      </c>
    </row>
    <row r="13" spans="1:17" x14ac:dyDescent="0.45">
      <c r="A13" s="50" t="s">
        <v>123</v>
      </c>
      <c r="B13" s="43">
        <f>B19</f>
        <v>811</v>
      </c>
      <c r="C13" s="35">
        <f>IF(B$11=0,0,B13/B$11)</f>
        <v>0.55586017820424949</v>
      </c>
      <c r="E13" s="59" t="s">
        <v>83</v>
      </c>
      <c r="F13" s="56" t="s">
        <v>38</v>
      </c>
      <c r="G13" s="44">
        <v>87</v>
      </c>
      <c r="H13" s="129">
        <f>IF(B$15=0,0,G13/B$15)</f>
        <v>5.1206592113007654E-2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551</v>
      </c>
      <c r="C14" s="35">
        <f>IF(B$12=0,0,B14/B$12)</f>
        <v>0.41616314199395771</v>
      </c>
      <c r="E14" s="59" t="s">
        <v>86</v>
      </c>
      <c r="F14" s="56" t="s">
        <v>41</v>
      </c>
      <c r="G14" s="44">
        <v>87</v>
      </c>
      <c r="H14" s="129">
        <f>IF(B$15=0,0,G14/B$15)</f>
        <v>5.1206592113007654E-2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1699</v>
      </c>
      <c r="C15" s="35">
        <f>IF(B$3=0,0,B15/B$3)</f>
        <v>0.29527285366701422</v>
      </c>
      <c r="E15" s="59" t="s">
        <v>162</v>
      </c>
      <c r="F15" s="56" t="s">
        <v>163</v>
      </c>
      <c r="G15" s="44">
        <v>43</v>
      </c>
      <c r="H15" s="129">
        <f>IF(B$15=0,0,G15/B$15)</f>
        <v>2.5309005297233667E-2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938</v>
      </c>
      <c r="C16" s="37">
        <f>IF(B$3=0,0,B16/B$3)</f>
        <v>0.16301703163017031</v>
      </c>
      <c r="E16" s="59" t="s">
        <v>78</v>
      </c>
      <c r="F16" s="56" t="s">
        <v>33</v>
      </c>
      <c r="G16" s="44">
        <v>40</v>
      </c>
      <c r="H16" s="129">
        <f>IF(B$15=0,0,G16/B$15)</f>
        <v>2.3543260741612712E-2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18.12717391304346</v>
      </c>
      <c r="P16" s="115">
        <v>92</v>
      </c>
      <c r="Q16" s="103">
        <v>1667.6999999999982</v>
      </c>
    </row>
    <row r="17" spans="1:17" x14ac:dyDescent="0.45">
      <c r="A17" s="51" t="s">
        <v>12</v>
      </c>
      <c r="B17" s="44">
        <v>753</v>
      </c>
      <c r="C17" s="37">
        <f>IF(B$15=0,0,B17/B$15)</f>
        <v>0.44320188346085931</v>
      </c>
      <c r="E17" s="59" t="s">
        <v>81</v>
      </c>
      <c r="F17" s="56" t="s">
        <v>36</v>
      </c>
      <c r="G17" s="44">
        <v>31</v>
      </c>
      <c r="H17" s="129">
        <f>IF(B$15=0,0,G17/B$15)</f>
        <v>1.8246027074749854E-2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11.661290322580642</v>
      </c>
      <c r="P17" s="115">
        <v>124</v>
      </c>
      <c r="Q17" s="103">
        <v>1445.9999999999995</v>
      </c>
    </row>
    <row r="18" spans="1:17" x14ac:dyDescent="0.45">
      <c r="A18" s="51" t="s">
        <v>11</v>
      </c>
      <c r="B18" s="44">
        <v>946</v>
      </c>
      <c r="C18" s="37">
        <f>IF(B$15=0,0,B18/B$15)</f>
        <v>0.55679811653914069</v>
      </c>
      <c r="E18" s="59" t="s">
        <v>91</v>
      </c>
      <c r="F18" s="56" t="s">
        <v>46</v>
      </c>
      <c r="G18" s="44">
        <v>24</v>
      </c>
      <c r="H18" s="129">
        <f>IF(B$15=0,0,G18/B$15)</f>
        <v>1.4125956444967627E-2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9.1237499999999976</v>
      </c>
      <c r="P18" s="115">
        <v>160</v>
      </c>
      <c r="Q18" s="103">
        <v>1459.7999999999997</v>
      </c>
    </row>
    <row r="19" spans="1:17" x14ac:dyDescent="0.45">
      <c r="A19" s="51" t="s">
        <v>195</v>
      </c>
      <c r="B19" s="44">
        <v>811</v>
      </c>
      <c r="C19" s="37">
        <f>IF(B$15=0,0,B19/B$15)</f>
        <v>0.47733961153619775</v>
      </c>
      <c r="E19" s="59" t="s">
        <v>79</v>
      </c>
      <c r="F19" s="56" t="s">
        <v>34</v>
      </c>
      <c r="G19" s="44">
        <v>21</v>
      </c>
      <c r="H19" s="129">
        <f>IF(B$15=0,0,G19/B$15)</f>
        <v>1.2360211889346674E-2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193</v>
      </c>
      <c r="B20" s="44">
        <v>551</v>
      </c>
      <c r="C20" s="37">
        <f>IF(B$15=0,0,B20/B$15)</f>
        <v>0.32430841671571514</v>
      </c>
      <c r="E20" s="59" t="s">
        <v>75</v>
      </c>
      <c r="F20" s="56" t="s">
        <v>30</v>
      </c>
      <c r="G20" s="44">
        <v>13</v>
      </c>
      <c r="H20" s="129">
        <f>IF(B$15=0,0,G20/B$15)</f>
        <v>7.6515597410241314E-3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-0.98267716535433558</v>
      </c>
      <c r="P20" s="115">
        <v>254</v>
      </c>
      <c r="Q20" s="103">
        <v>-249.60000000000124</v>
      </c>
    </row>
    <row r="21" spans="1:17" x14ac:dyDescent="0.45">
      <c r="A21" s="51" t="s">
        <v>194</v>
      </c>
      <c r="B21" s="44">
        <v>337</v>
      </c>
      <c r="C21" s="37">
        <f>IF(B$15=0,0,B21/B$15)</f>
        <v>0.19835197174808711</v>
      </c>
      <c r="E21" s="59" t="s">
        <v>92</v>
      </c>
      <c r="F21" s="56" t="s">
        <v>47</v>
      </c>
      <c r="G21" s="44">
        <v>11</v>
      </c>
      <c r="H21" s="129">
        <f>IF(B$15=0,0,G21/B$15)</f>
        <v>6.4743967039434958E-3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-1.4901869158878518</v>
      </c>
      <c r="P21" s="115">
        <v>214</v>
      </c>
      <c r="Q21" s="103">
        <v>-318.90000000000026</v>
      </c>
    </row>
    <row r="22" spans="1:17" x14ac:dyDescent="0.45">
      <c r="A22" s="51" t="s">
        <v>5</v>
      </c>
      <c r="B22" s="48">
        <f>IF(B$15=0,0,C22/B$15)</f>
        <v>8470.8063566803994</v>
      </c>
      <c r="C22" s="39">
        <v>14391900</v>
      </c>
      <c r="E22" s="59" t="s">
        <v>73</v>
      </c>
      <c r="F22" s="56" t="s">
        <v>28</v>
      </c>
      <c r="G22" s="44">
        <v>7</v>
      </c>
      <c r="H22" s="129">
        <f>IF(B$15=0,0,G22/B$15)</f>
        <v>4.1200706297822246E-3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-3.9609890109890076</v>
      </c>
      <c r="P22" s="115">
        <v>182</v>
      </c>
      <c r="Q22" s="103">
        <v>-720.89999999999941</v>
      </c>
    </row>
    <row r="23" spans="1:17" x14ac:dyDescent="0.45">
      <c r="A23" s="52" t="s">
        <v>177</v>
      </c>
      <c r="B23" s="136">
        <f>IF($B$15-B$14=0,0,C23/($B$15-B$14))</f>
        <v>9082.6655052264814</v>
      </c>
      <c r="C23" s="137">
        <v>10426900</v>
      </c>
      <c r="E23" s="59" t="s">
        <v>74</v>
      </c>
      <c r="F23" s="56" t="s">
        <v>29</v>
      </c>
      <c r="G23" s="44">
        <v>6</v>
      </c>
      <c r="H23" s="129">
        <f>IF(B$15=0,0,G23/B$15)</f>
        <v>3.5314891112419068E-3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-12.198958333333328</v>
      </c>
      <c r="P23" s="115">
        <v>288</v>
      </c>
      <c r="Q23" s="103">
        <v>-3513.2999999999984</v>
      </c>
    </row>
    <row r="24" spans="1:17" x14ac:dyDescent="0.45">
      <c r="A24" s="52" t="s">
        <v>178</v>
      </c>
      <c r="B24" s="136">
        <f>IF(B$14=0,0,C24/B$14)</f>
        <v>7196.0072595281308</v>
      </c>
      <c r="C24" s="137">
        <v>3965000</v>
      </c>
      <c r="E24" s="59" t="s">
        <v>84</v>
      </c>
      <c r="F24" s="56" t="s">
        <v>39</v>
      </c>
      <c r="G24" s="44">
        <v>6</v>
      </c>
      <c r="H24" s="129">
        <f>IF(B$15=0,0,G24/B$15)</f>
        <v>3.5314891112419068E-3</v>
      </c>
      <c r="I24" s="90">
        <v>4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-7831.7697228144989</v>
      </c>
      <c r="C25" s="137">
        <v>-7346200</v>
      </c>
      <c r="E25" s="59" t="s">
        <v>85</v>
      </c>
      <c r="F25" s="56" t="s">
        <v>40</v>
      </c>
      <c r="G25" s="44">
        <v>6</v>
      </c>
      <c r="H25" s="129">
        <f>IF(B$15=0,0,G25/B$15)</f>
        <v>3.5314891112419068E-3</v>
      </c>
      <c r="I25" s="90">
        <v>5</v>
      </c>
      <c r="K25" s="36">
        <v>23</v>
      </c>
      <c r="L25" s="95">
        <v>-26.799999999999994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2.942907592701589E-3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5</v>
      </c>
      <c r="H27" s="129">
        <f>IF(B$15=0,0,G27/B$15)</f>
        <v>2.942907592701589E-3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4</v>
      </c>
      <c r="H28" s="129">
        <f>IF(B$15=0,0,G28/B$15)</f>
        <v>2.3543260741612712E-3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95</v>
      </c>
      <c r="F29" s="56" t="s">
        <v>50</v>
      </c>
      <c r="G29" s="44">
        <v>4</v>
      </c>
      <c r="H29" s="129">
        <f>IF(B$15=0,0,G29/B$15)</f>
        <v>2.3543260741612712E-3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15</v>
      </c>
      <c r="C30" s="40">
        <f>IF(B$3=0,0,B30/B$3)</f>
        <v>2.6068821689259644E-3</v>
      </c>
      <c r="E30" s="59" t="s">
        <v>93</v>
      </c>
      <c r="F30" s="56" t="s">
        <v>48</v>
      </c>
      <c r="G30" s="44">
        <v>3</v>
      </c>
      <c r="H30" s="129">
        <f>IF(B$15=0,0,G30/B$15)</f>
        <v>1.7657445556209534E-3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1.1771630370806356E-3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128</v>
      </c>
      <c r="C32" s="141">
        <f>IF(B$15=0,0,B32/B$15)</f>
        <v>7.5338434373160679E-2</v>
      </c>
      <c r="E32" s="59" t="s">
        <v>97</v>
      </c>
      <c r="F32" s="56" t="s">
        <v>52</v>
      </c>
      <c r="G32" s="44">
        <v>1</v>
      </c>
      <c r="H32" s="129">
        <f>IF(B$15=0,0,G32/B$15)</f>
        <v>5.885815185403178E-4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282</v>
      </c>
      <c r="C33" s="37">
        <f t="shared" ref="C33:C44" si="2">IF(B$15=0,0,B33/B$15)</f>
        <v>0.16597998822836962</v>
      </c>
      <c r="E33" s="59" t="s">
        <v>101</v>
      </c>
      <c r="F33" s="56" t="s">
        <v>56</v>
      </c>
      <c r="G33" s="44">
        <v>1</v>
      </c>
      <c r="H33" s="129">
        <f>IF(B$15=0,0,G33/B$15)</f>
        <v>5.885815185403178E-4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340</v>
      </c>
      <c r="C34" s="37">
        <f>IF(B$15=0,0,B34/B$15)</f>
        <v>0.20011771630370806</v>
      </c>
      <c r="E34" s="59" t="s">
        <v>106</v>
      </c>
      <c r="F34" s="56" t="s">
        <v>113</v>
      </c>
      <c r="G34" s="44">
        <v>1</v>
      </c>
      <c r="H34" s="129">
        <f>IF(B$15=0,0,G34/B$15)</f>
        <v>5.885815185403178E-4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298</v>
      </c>
      <c r="C35" s="37">
        <f t="shared" si="2"/>
        <v>0.17539729252501471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276</v>
      </c>
      <c r="C36" s="37">
        <f t="shared" si="2"/>
        <v>0.16244849911712772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175</v>
      </c>
      <c r="C37" s="37">
        <f t="shared" si="2"/>
        <v>0.10300176574455562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90</v>
      </c>
      <c r="C38" s="37">
        <f t="shared" si="2"/>
        <v>5.2972336668628606E-2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51</v>
      </c>
      <c r="C39" s="37">
        <f t="shared" si="2"/>
        <v>3.001765744555621E-2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19</v>
      </c>
      <c r="C40" s="37">
        <f t="shared" si="2"/>
        <v>1.1183048852266038E-2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4.1200706297822246E-3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3.5314891112419068E-3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3.5314891112419068E-3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1.2360211889346674E-2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112</v>
      </c>
      <c r="H2" s="128">
        <f>IF(B$15=0,0,G2/B$15)</f>
        <v>0.76712328767123283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1487.0967741935483</v>
      </c>
      <c r="P2" s="114">
        <v>62</v>
      </c>
      <c r="Q2" s="98">
        <v>92200</v>
      </c>
    </row>
    <row r="3" spans="1:17" x14ac:dyDescent="0.45">
      <c r="A3" s="51" t="s">
        <v>8</v>
      </c>
      <c r="B3" s="156">
        <v>551</v>
      </c>
      <c r="C3" s="157"/>
      <c r="E3" s="59" t="s">
        <v>72</v>
      </c>
      <c r="F3" s="56" t="s">
        <v>27</v>
      </c>
      <c r="G3" s="44">
        <v>82</v>
      </c>
      <c r="H3" s="129">
        <f>IF(B$15=0,0,G3/B$15)</f>
        <v>0.56164383561643838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-1855.7377049180327</v>
      </c>
      <c r="P3" s="115">
        <v>61</v>
      </c>
      <c r="Q3" s="99">
        <v>-113200</v>
      </c>
    </row>
    <row r="4" spans="1:17" x14ac:dyDescent="0.45">
      <c r="A4" s="51" t="s">
        <v>6</v>
      </c>
      <c r="B4" s="158">
        <v>-482.00000000000011</v>
      </c>
      <c r="C4" s="159"/>
      <c r="E4" s="59" t="s">
        <v>166</v>
      </c>
      <c r="F4" s="56" t="s">
        <v>167</v>
      </c>
      <c r="G4" s="44">
        <v>60</v>
      </c>
      <c r="H4" s="129">
        <f>IF(B$15=0,0,G4/B$15)</f>
        <v>0.41095890410958902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-1793.2203389830509</v>
      </c>
      <c r="P4" s="115">
        <v>59</v>
      </c>
      <c r="Q4" s="99">
        <v>-105800</v>
      </c>
    </row>
    <row r="5" spans="1:17" x14ac:dyDescent="0.45">
      <c r="A5" s="51" t="s">
        <v>7</v>
      </c>
      <c r="B5" s="160">
        <f>IF(B$2=0,0,B$4/B$2)</f>
        <v>-7.7741935483870988</v>
      </c>
      <c r="C5" s="161"/>
      <c r="E5" s="59" t="s">
        <v>64</v>
      </c>
      <c r="F5" s="56" t="s">
        <v>20</v>
      </c>
      <c r="G5" s="44">
        <v>38</v>
      </c>
      <c r="H5" s="129">
        <f>IF(B$15=0,0,G5/B$15)</f>
        <v>0.26027397260273971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-1058.1818181818182</v>
      </c>
      <c r="P5" s="115">
        <v>55</v>
      </c>
      <c r="Q5" s="99">
        <v>-58200</v>
      </c>
    </row>
    <row r="6" spans="1:17" x14ac:dyDescent="0.45">
      <c r="A6" s="51" t="s">
        <v>1</v>
      </c>
      <c r="B6" s="150">
        <f>IF(B$2=0,0,(B$7*1+B$8*2+B$9*3)/B$2)</f>
        <v>2.1774193548387095</v>
      </c>
      <c r="C6" s="151"/>
      <c r="E6" s="59" t="s">
        <v>68</v>
      </c>
      <c r="F6" s="56" t="s">
        <v>12</v>
      </c>
      <c r="G6" s="44">
        <v>38</v>
      </c>
      <c r="H6" s="129">
        <f>IF(B$15=0,0,G6/B$15)</f>
        <v>0.26027397260273971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-264.81481481481484</v>
      </c>
      <c r="P6" s="115">
        <v>54</v>
      </c>
      <c r="Q6" s="99">
        <v>-14300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0.30645161290322581</v>
      </c>
      <c r="E7" s="59" t="s">
        <v>69</v>
      </c>
      <c r="F7" s="56" t="s">
        <v>24</v>
      </c>
      <c r="G7" s="44">
        <v>29</v>
      </c>
      <c r="H7" s="129">
        <f>IF(B$15=0,0,G7/B$15)</f>
        <v>0.19863013698630136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-2310.6382978723404</v>
      </c>
      <c r="P7" s="116">
        <v>47</v>
      </c>
      <c r="Q7" s="100">
        <v>-108600</v>
      </c>
    </row>
    <row r="8" spans="1:17" x14ac:dyDescent="0.45">
      <c r="A8" s="51" t="s">
        <v>3</v>
      </c>
      <c r="B8" s="44">
        <v>13</v>
      </c>
      <c r="C8" s="37">
        <f t="shared" si="1"/>
        <v>0.20967741935483872</v>
      </c>
      <c r="E8" s="59" t="s">
        <v>67</v>
      </c>
      <c r="F8" s="56" t="s">
        <v>23</v>
      </c>
      <c r="G8" s="44">
        <v>21</v>
      </c>
      <c r="H8" s="129">
        <f>IF(B$15=0,0,G8/B$15)</f>
        <v>0.14383561643835616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0.4838709677419355</v>
      </c>
      <c r="E9" s="59" t="s">
        <v>70</v>
      </c>
      <c r="F9" s="56" t="s">
        <v>25</v>
      </c>
      <c r="G9" s="44">
        <v>19</v>
      </c>
      <c r="H9" s="129">
        <f>IF(B$15=0,0,G9/B$15)</f>
        <v>0.13013698630136986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8.0645161290322578E-2</v>
      </c>
      <c r="E10" s="59" t="s">
        <v>71</v>
      </c>
      <c r="F10" s="56" t="s">
        <v>26</v>
      </c>
      <c r="G10" s="44">
        <v>16</v>
      </c>
      <c r="H10" s="129">
        <f>IF(B$15=0,0,G10/B$15)</f>
        <v>0.1095890410958904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-14.545833333333333</v>
      </c>
      <c r="P10" s="114">
        <v>24</v>
      </c>
      <c r="Q10" s="102">
        <v>-349.09999999999997</v>
      </c>
    </row>
    <row r="11" spans="1:17" x14ac:dyDescent="0.45">
      <c r="A11" s="54" t="s">
        <v>121</v>
      </c>
      <c r="B11" s="47">
        <v>81</v>
      </c>
      <c r="C11" s="42">
        <f>IF(B$3=0,0,B11/B$3)</f>
        <v>0.14700544464609799</v>
      </c>
      <c r="E11" s="59" t="s">
        <v>83</v>
      </c>
      <c r="F11" s="56" t="s">
        <v>38</v>
      </c>
      <c r="G11" s="44">
        <v>13</v>
      </c>
      <c r="H11" s="129">
        <f>IF(B$15=0,0,G11/B$15)</f>
        <v>8.9041095890410954E-2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-5.011764705882352</v>
      </c>
      <c r="P11" s="115">
        <v>17</v>
      </c>
      <c r="Q11" s="103">
        <v>-85.199999999999989</v>
      </c>
    </row>
    <row r="12" spans="1:17" x14ac:dyDescent="0.45">
      <c r="A12" s="51" t="s">
        <v>118</v>
      </c>
      <c r="B12" s="44">
        <v>133</v>
      </c>
      <c r="C12" s="37">
        <f>IF(B$3=0,0,B12/B$3)</f>
        <v>0.2413793103448276</v>
      </c>
      <c r="E12" s="59" t="s">
        <v>65</v>
      </c>
      <c r="F12" s="56" t="s">
        <v>21</v>
      </c>
      <c r="G12" s="44">
        <v>9</v>
      </c>
      <c r="H12" s="129">
        <f>IF(B$15=0,0,G12/B$15)</f>
        <v>6.1643835616438353E-2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39</v>
      </c>
      <c r="C13" s="35">
        <f>IF(B$11=0,0,B13/B$11)</f>
        <v>0.48148148148148145</v>
      </c>
      <c r="E13" s="59" t="s">
        <v>89</v>
      </c>
      <c r="F13" s="56" t="s">
        <v>44</v>
      </c>
      <c r="G13" s="44">
        <v>9</v>
      </c>
      <c r="H13" s="129">
        <f>IF(B$15=0,0,G13/B$15)</f>
        <v>6.1643835616438353E-2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52</v>
      </c>
      <c r="C14" s="35">
        <f>IF(B$12=0,0,B14/B$12)</f>
        <v>0.39097744360902253</v>
      </c>
      <c r="E14" s="59" t="s">
        <v>81</v>
      </c>
      <c r="F14" s="56" t="s">
        <v>36</v>
      </c>
      <c r="G14" s="44">
        <v>5</v>
      </c>
      <c r="H14" s="129">
        <f>IF(B$15=0,0,G14/B$15)</f>
        <v>3.4246575342465752E-2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146</v>
      </c>
      <c r="C15" s="35">
        <f>IF(B$3=0,0,B15/B$3)</f>
        <v>0.26497277676950998</v>
      </c>
      <c r="E15" s="59" t="s">
        <v>86</v>
      </c>
      <c r="F15" s="56" t="s">
        <v>41</v>
      </c>
      <c r="G15" s="44">
        <v>5</v>
      </c>
      <c r="H15" s="129">
        <f>IF(B$15=0,0,G15/B$15)</f>
        <v>3.4246575342465752E-2</v>
      </c>
      <c r="I15" s="90">
        <v>8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88</v>
      </c>
      <c r="C16" s="37">
        <f>IF(B$3=0,0,B16/B$3)</f>
        <v>0.15970961887477314</v>
      </c>
      <c r="E16" s="59" t="s">
        <v>91</v>
      </c>
      <c r="F16" s="56" t="s">
        <v>46</v>
      </c>
      <c r="G16" s="44">
        <v>3</v>
      </c>
      <c r="H16" s="129">
        <f>IF(B$15=0,0,G16/B$15)</f>
        <v>2.0547945205479451E-2</v>
      </c>
      <c r="I16" s="90">
        <v>3</v>
      </c>
      <c r="K16" s="36">
        <v>14</v>
      </c>
      <c r="L16" s="95">
        <v>-51.1</v>
      </c>
      <c r="N16" s="111" t="s">
        <v>127</v>
      </c>
      <c r="O16" s="121">
        <f t="shared" si="2"/>
        <v>-3.5115384615384633</v>
      </c>
      <c r="P16" s="115">
        <v>26</v>
      </c>
      <c r="Q16" s="103">
        <v>-91.30000000000004</v>
      </c>
    </row>
    <row r="17" spans="1:17" x14ac:dyDescent="0.45">
      <c r="A17" s="51" t="s">
        <v>12</v>
      </c>
      <c r="B17" s="44">
        <v>56</v>
      </c>
      <c r="C17" s="37">
        <f>IF(B$15=0,0,B17/B$15)</f>
        <v>0.38356164383561642</v>
      </c>
      <c r="E17" s="59" t="s">
        <v>79</v>
      </c>
      <c r="F17" s="56" t="s">
        <v>34</v>
      </c>
      <c r="G17" s="44">
        <v>2</v>
      </c>
      <c r="H17" s="129">
        <f>IF(B$15=0,0,G17/B$15)</f>
        <v>1.3698630136986301E-2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 t="shared" si="2"/>
        <v>-5.6476190476190471</v>
      </c>
      <c r="P17" s="115">
        <v>21</v>
      </c>
      <c r="Q17" s="103">
        <v>-118.6</v>
      </c>
    </row>
    <row r="18" spans="1:17" x14ac:dyDescent="0.45">
      <c r="A18" s="51" t="s">
        <v>11</v>
      </c>
      <c r="B18" s="44">
        <v>90</v>
      </c>
      <c r="C18" s="37">
        <f>IF(B$15=0,0,B18/B$15)</f>
        <v>0.61643835616438358</v>
      </c>
      <c r="E18" s="59" t="s">
        <v>88</v>
      </c>
      <c r="F18" s="56" t="s">
        <v>43</v>
      </c>
      <c r="G18" s="44">
        <v>2</v>
      </c>
      <c r="H18" s="129">
        <f>IF(B$15=0,0,G18/B$15)</f>
        <v>1.3698630136986301E-2</v>
      </c>
      <c r="I18" s="90">
        <v>1</v>
      </c>
      <c r="K18" s="36">
        <v>16</v>
      </c>
      <c r="L18" s="95">
        <v>-70.600000000000009</v>
      </c>
      <c r="N18" s="111" t="s">
        <v>126</v>
      </c>
      <c r="O18" s="121">
        <f t="shared" si="2"/>
        <v>-9.3727272727272748</v>
      </c>
      <c r="P18" s="115">
        <v>33</v>
      </c>
      <c r="Q18" s="103">
        <v>-309.30000000000007</v>
      </c>
    </row>
    <row r="19" spans="1:17" x14ac:dyDescent="0.45">
      <c r="A19" s="51" t="s">
        <v>195</v>
      </c>
      <c r="B19" s="44">
        <v>39</v>
      </c>
      <c r="C19" s="37">
        <f>IF(B$15=0,0,B19/B$15)</f>
        <v>0.26712328767123289</v>
      </c>
      <c r="E19" s="59" t="s">
        <v>74</v>
      </c>
      <c r="F19" s="56" t="s">
        <v>29</v>
      </c>
      <c r="G19" s="44">
        <v>1</v>
      </c>
      <c r="H19" s="129">
        <f>IF(B$15=0,0,G19/B$15)</f>
        <v>6.8493150684931503E-3</v>
      </c>
      <c r="I19" s="90">
        <v>2</v>
      </c>
      <c r="K19" s="36">
        <v>17</v>
      </c>
      <c r="L19" s="95">
        <v>-65.2</v>
      </c>
      <c r="N19" s="111" t="s">
        <v>172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5">
      <c r="A20" s="51" t="s">
        <v>193</v>
      </c>
      <c r="B20" s="44">
        <v>52</v>
      </c>
      <c r="C20" s="37">
        <f>IF(B$15=0,0,B20/B$15)</f>
        <v>0.35616438356164382</v>
      </c>
      <c r="E20" s="59" t="s">
        <v>75</v>
      </c>
      <c r="F20" s="56" t="s">
        <v>30</v>
      </c>
      <c r="G20" s="44">
        <v>1</v>
      </c>
      <c r="H20" s="129">
        <f>IF(B$15=0,0,G20/B$15)</f>
        <v>6.8493150684931503E-3</v>
      </c>
      <c r="I20" s="90">
        <v>5</v>
      </c>
      <c r="K20" s="36">
        <v>18</v>
      </c>
      <c r="L20" s="95">
        <v>-80.2</v>
      </c>
      <c r="N20" s="111" t="s">
        <v>170</v>
      </c>
      <c r="O20" s="121">
        <f t="shared" si="2"/>
        <v>-32.931249999999999</v>
      </c>
      <c r="P20" s="115">
        <v>16</v>
      </c>
      <c r="Q20" s="103">
        <v>-526.9</v>
      </c>
    </row>
    <row r="21" spans="1:17" x14ac:dyDescent="0.45">
      <c r="A21" s="51" t="s">
        <v>194</v>
      </c>
      <c r="B21" s="44">
        <v>55</v>
      </c>
      <c r="C21" s="37">
        <f>IF(B$15=0,0,B21/B$15)</f>
        <v>0.37671232876712329</v>
      </c>
      <c r="E21" s="59" t="s">
        <v>77</v>
      </c>
      <c r="F21" s="56" t="s">
        <v>32</v>
      </c>
      <c r="G21" s="44">
        <v>1</v>
      </c>
      <c r="H21" s="129">
        <f>IF(B$15=0,0,G21/B$15)</f>
        <v>6.8493150684931503E-3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 t="shared" si="2"/>
        <v>-34.137499999999996</v>
      </c>
      <c r="P21" s="115">
        <v>8</v>
      </c>
      <c r="Q21" s="103">
        <v>-273.09999999999997</v>
      </c>
    </row>
    <row r="22" spans="1:17" x14ac:dyDescent="0.45">
      <c r="A22" s="51" t="s">
        <v>5</v>
      </c>
      <c r="B22" s="48">
        <f>IF(B$15=0,0,C22/B$15)</f>
        <v>7195.2054794520545</v>
      </c>
      <c r="C22" s="39">
        <v>1050500</v>
      </c>
      <c r="E22" s="59" t="s">
        <v>84</v>
      </c>
      <c r="F22" s="56" t="s">
        <v>39</v>
      </c>
      <c r="G22" s="44">
        <v>1</v>
      </c>
      <c r="H22" s="129">
        <f>IF(B$15=0,0,G22/B$15)</f>
        <v>6.8493150684931503E-3</v>
      </c>
      <c r="I22" s="90">
        <v>2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7444.6808510638302</v>
      </c>
      <c r="C23" s="137">
        <v>699800</v>
      </c>
      <c r="E23" s="59" t="s">
        <v>93</v>
      </c>
      <c r="F23" s="56" t="s">
        <v>48</v>
      </c>
      <c r="G23" s="44">
        <v>1</v>
      </c>
      <c r="H23" s="129">
        <f>IF(B$15=0,0,G23/B$15)</f>
        <v>6.8493150684931503E-3</v>
      </c>
      <c r="I23" s="90">
        <v>1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6744.2307692307695</v>
      </c>
      <c r="C24" s="137">
        <v>350700</v>
      </c>
      <c r="E24" s="59" t="s">
        <v>73</v>
      </c>
      <c r="F24" s="56" t="s">
        <v>28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-7594.318181818182</v>
      </c>
      <c r="C25" s="137">
        <v>-668300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78</v>
      </c>
      <c r="F26" s="56" t="s">
        <v>33</v>
      </c>
      <c r="G26" s="44">
        <v>0</v>
      </c>
      <c r="H26" s="129">
        <f>IF(B$15=0,0,G26/B$15)</f>
        <v>0</v>
      </c>
      <c r="I26" s="90">
        <v>9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3.629764065335753E-3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19</v>
      </c>
      <c r="C32" s="141">
        <f>IF(B$15=0,0,B32/B$15)</f>
        <v>0.13013698630136986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29</v>
      </c>
      <c r="C33" s="37">
        <f t="shared" ref="C33:C44" si="3">IF(B$15=0,0,B33/B$15)</f>
        <v>0.19863013698630136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0.21232876712328766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0.15753424657534246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0.11643835616438356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12</v>
      </c>
      <c r="C37" s="37">
        <f t="shared" si="3"/>
        <v>8.2191780821917804E-2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6.1643835616438353E-2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3.4246575342465752E-2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6.8493150684931503E-3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144</v>
      </c>
      <c r="C2" s="155"/>
      <c r="E2" s="58" t="s">
        <v>66</v>
      </c>
      <c r="F2" s="55" t="s">
        <v>22</v>
      </c>
      <c r="G2" s="43">
        <v>266</v>
      </c>
      <c r="H2" s="128">
        <f>IF(B$15=0,0,G2/B$15)</f>
        <v>0.66334164588528677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1043.3566433566434</v>
      </c>
      <c r="P2" s="114">
        <v>143</v>
      </c>
      <c r="Q2" s="98">
        <v>149200</v>
      </c>
    </row>
    <row r="3" spans="1:17" x14ac:dyDescent="0.45">
      <c r="A3" s="51" t="s">
        <v>8</v>
      </c>
      <c r="B3" s="156">
        <v>1177</v>
      </c>
      <c r="C3" s="157"/>
      <c r="E3" s="59" t="s">
        <v>72</v>
      </c>
      <c r="F3" s="56" t="s">
        <v>27</v>
      </c>
      <c r="G3" s="44">
        <v>200</v>
      </c>
      <c r="H3" s="129">
        <f>IF(B$15=0,0,G3/B$15)</f>
        <v>0.49875311720698257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969.28571428571433</v>
      </c>
      <c r="P3" s="115">
        <v>140</v>
      </c>
      <c r="Q3" s="99">
        <v>135700</v>
      </c>
    </row>
    <row r="4" spans="1:17" x14ac:dyDescent="0.45">
      <c r="A4" s="51" t="s">
        <v>6</v>
      </c>
      <c r="B4" s="158">
        <v>1171.1000000000001</v>
      </c>
      <c r="C4" s="159"/>
      <c r="E4" s="59" t="s">
        <v>64</v>
      </c>
      <c r="F4" s="56" t="s">
        <v>20</v>
      </c>
      <c r="G4" s="44">
        <v>182</v>
      </c>
      <c r="H4" s="129">
        <f>IF(B$15=0,0,G4/B$15)</f>
        <v>0.4538653366583541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941.79104477611941</v>
      </c>
      <c r="P4" s="115">
        <v>134</v>
      </c>
      <c r="Q4" s="99">
        <v>126200</v>
      </c>
    </row>
    <row r="5" spans="1:17" x14ac:dyDescent="0.45">
      <c r="A5" s="51" t="s">
        <v>7</v>
      </c>
      <c r="B5" s="160">
        <f>IF(B$2=0,0,B$4/B$2)</f>
        <v>8.1326388888888896</v>
      </c>
      <c r="C5" s="161"/>
      <c r="E5" s="59" t="s">
        <v>166</v>
      </c>
      <c r="F5" s="56" t="s">
        <v>167</v>
      </c>
      <c r="G5" s="44">
        <v>155</v>
      </c>
      <c r="H5" s="129">
        <f>IF(B$15=0,0,G5/B$15)</f>
        <v>0.38653366583541149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139.51612903225808</v>
      </c>
      <c r="P5" s="115">
        <v>124</v>
      </c>
      <c r="Q5" s="99">
        <v>17300</v>
      </c>
    </row>
    <row r="6" spans="1:17" x14ac:dyDescent="0.45">
      <c r="A6" s="51" t="s">
        <v>1</v>
      </c>
      <c r="B6" s="150">
        <f>IF(B$2=0,0,(B$7*1+B$8*2+B$9*3)/B$2)</f>
        <v>1.8055555555555556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0.29177057356608477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1870.1754385964912</v>
      </c>
      <c r="P6" s="115">
        <v>114</v>
      </c>
      <c r="Q6" s="99">
        <v>213200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0.45833333333333331</v>
      </c>
      <c r="E7" s="59" t="s">
        <v>67</v>
      </c>
      <c r="F7" s="56" t="s">
        <v>23</v>
      </c>
      <c r="G7" s="44">
        <v>103</v>
      </c>
      <c r="H7" s="129">
        <f>IF(B$15=0,0,G7/B$15)</f>
        <v>0.256857855361596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2217.0212765957449</v>
      </c>
      <c r="P7" s="116">
        <v>94</v>
      </c>
      <c r="Q7" s="100">
        <v>208400</v>
      </c>
    </row>
    <row r="8" spans="1:17" x14ac:dyDescent="0.45">
      <c r="A8" s="51" t="s">
        <v>3</v>
      </c>
      <c r="B8" s="44">
        <v>40</v>
      </c>
      <c r="C8" s="37">
        <f t="shared" si="1"/>
        <v>0.27777777777777779</v>
      </c>
      <c r="E8" s="59" t="s">
        <v>89</v>
      </c>
      <c r="F8" s="56" t="s">
        <v>44</v>
      </c>
      <c r="G8" s="44">
        <v>59</v>
      </c>
      <c r="H8" s="129">
        <f>IF(B$15=0,0,G8/B$15)</f>
        <v>0.14713216957605985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0.2638888888888889</v>
      </c>
      <c r="E9" s="59" t="s">
        <v>69</v>
      </c>
      <c r="F9" s="56" t="s">
        <v>24</v>
      </c>
      <c r="G9" s="44">
        <v>56</v>
      </c>
      <c r="H9" s="129">
        <f>IF(B$15=0,0,G9/B$15)</f>
        <v>0.1396508728179551</v>
      </c>
      <c r="I9" s="90">
        <v>5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4.8611111111111112E-2</v>
      </c>
      <c r="E10" s="59" t="s">
        <v>65</v>
      </c>
      <c r="F10" s="56" t="s">
        <v>21</v>
      </c>
      <c r="G10" s="44">
        <v>47</v>
      </c>
      <c r="H10" s="129">
        <f>IF(B$15=0,0,G10/B$15)</f>
        <v>0.1172069825436409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5">
      <c r="A11" s="54" t="s">
        <v>121</v>
      </c>
      <c r="B11" s="47">
        <v>319</v>
      </c>
      <c r="C11" s="42">
        <f>IF(B$3=0,0,B11/B$3)</f>
        <v>0.27102803738317754</v>
      </c>
      <c r="E11" s="59" t="s">
        <v>71</v>
      </c>
      <c r="F11" s="56" t="s">
        <v>26</v>
      </c>
      <c r="G11" s="44">
        <v>27</v>
      </c>
      <c r="H11" s="129">
        <f>IF(B$15=0,0,G11/B$15)</f>
        <v>6.7331670822942641E-2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2.6980392156862743</v>
      </c>
      <c r="P11" s="115">
        <v>51</v>
      </c>
      <c r="Q11" s="103">
        <v>137.6</v>
      </c>
    </row>
    <row r="12" spans="1:17" x14ac:dyDescent="0.45">
      <c r="A12" s="51" t="s">
        <v>118</v>
      </c>
      <c r="B12" s="44">
        <v>265</v>
      </c>
      <c r="C12" s="37">
        <f>IF(B$3=0,0,B12/B$3)</f>
        <v>0.22514868309260833</v>
      </c>
      <c r="E12" s="59" t="s">
        <v>86</v>
      </c>
      <c r="F12" s="56" t="s">
        <v>41</v>
      </c>
      <c r="G12" s="44">
        <v>26</v>
      </c>
      <c r="H12" s="129">
        <f>IF(B$15=0,0,G12/B$15)</f>
        <v>6.4837905236907731E-2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10.116666666666664</v>
      </c>
      <c r="P12" s="116">
        <v>54</v>
      </c>
      <c r="Q12" s="104">
        <v>546.29999999999984</v>
      </c>
    </row>
    <row r="13" spans="1:17" x14ac:dyDescent="0.45">
      <c r="A13" s="50" t="s">
        <v>123</v>
      </c>
      <c r="B13" s="43">
        <f>B19</f>
        <v>192</v>
      </c>
      <c r="C13" s="35">
        <f>IF(B$11=0,0,B13/B$11)</f>
        <v>0.60188087774294674</v>
      </c>
      <c r="E13" s="59" t="s">
        <v>70</v>
      </c>
      <c r="F13" s="56" t="s">
        <v>25</v>
      </c>
      <c r="G13" s="44">
        <v>21</v>
      </c>
      <c r="H13" s="129">
        <f>IF(B$15=0,0,G13/B$15)</f>
        <v>5.2369077306733167E-2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0.47547169811320755</v>
      </c>
      <c r="E14" s="59" t="s">
        <v>83</v>
      </c>
      <c r="F14" s="56" t="s">
        <v>38</v>
      </c>
      <c r="G14" s="44">
        <v>17</v>
      </c>
      <c r="H14" s="129">
        <f>IF(B$15=0,0,G14/B$15)</f>
        <v>4.2394014962593519E-2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401</v>
      </c>
      <c r="C15" s="35">
        <f>IF(B$3=0,0,B15/B$3)</f>
        <v>0.34069668649107904</v>
      </c>
      <c r="E15" s="59" t="s">
        <v>78</v>
      </c>
      <c r="F15" s="56" t="s">
        <v>33</v>
      </c>
      <c r="G15" s="44">
        <v>15</v>
      </c>
      <c r="H15" s="129">
        <f>IF(B$15=0,0,G15/B$15)</f>
        <v>3.7406483790523692E-2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156</v>
      </c>
      <c r="C16" s="37">
        <f>IF(B$3=0,0,B16/B$3)</f>
        <v>0.13254035683942225</v>
      </c>
      <c r="E16" s="59" t="s">
        <v>162</v>
      </c>
      <c r="F16" s="56" t="s">
        <v>163</v>
      </c>
      <c r="G16" s="44">
        <v>13</v>
      </c>
      <c r="H16" s="129">
        <f>IF(B$15=0,0,G16/B$15)</f>
        <v>3.2418952618453865E-2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170</v>
      </c>
      <c r="C17" s="37">
        <f>IF(B$15=0,0,B17/B$15)</f>
        <v>0.42394014962593518</v>
      </c>
      <c r="E17" s="59" t="s">
        <v>75</v>
      </c>
      <c r="F17" s="56" t="s">
        <v>30</v>
      </c>
      <c r="G17" s="44">
        <v>4</v>
      </c>
      <c r="H17" s="129">
        <f>IF(B$15=0,0,G17/B$15)</f>
        <v>9.9750623441396506E-3</v>
      </c>
      <c r="I17" s="90">
        <v>3</v>
      </c>
      <c r="K17" s="36">
        <v>15</v>
      </c>
      <c r="L17" s="95">
        <v>269.49999999999994</v>
      </c>
      <c r="N17" s="111" t="s">
        <v>172</v>
      </c>
      <c r="O17" s="121">
        <f>IF(P17=0,0,Q17/P17)</f>
        <v>14.407692307692308</v>
      </c>
      <c r="P17" s="115">
        <v>52</v>
      </c>
      <c r="Q17" s="103">
        <v>749.2</v>
      </c>
    </row>
    <row r="18" spans="1:17" x14ac:dyDescent="0.45">
      <c r="A18" s="51" t="s">
        <v>11</v>
      </c>
      <c r="B18" s="44">
        <v>231</v>
      </c>
      <c r="C18" s="37">
        <f>IF(B$15=0,0,B18/B$15)</f>
        <v>0.57605985037406482</v>
      </c>
      <c r="E18" s="59" t="s">
        <v>81</v>
      </c>
      <c r="F18" s="56" t="s">
        <v>36</v>
      </c>
      <c r="G18" s="44">
        <v>4</v>
      </c>
      <c r="H18" s="129">
        <f>IF(B$15=0,0,G18/B$15)</f>
        <v>9.9750623441396506E-3</v>
      </c>
      <c r="I18" s="90">
        <v>9</v>
      </c>
      <c r="K18" s="36">
        <v>16</v>
      </c>
      <c r="L18" s="95">
        <v>323.69999999999993</v>
      </c>
      <c r="N18" s="111" t="s">
        <v>127</v>
      </c>
      <c r="O18" s="121">
        <f>IF(P18=0,0,Q18/P18)</f>
        <v>14.101123595505621</v>
      </c>
      <c r="P18" s="115">
        <v>89</v>
      </c>
      <c r="Q18" s="103">
        <v>1255.0000000000002</v>
      </c>
    </row>
    <row r="19" spans="1:17" x14ac:dyDescent="0.45">
      <c r="A19" s="51" t="s">
        <v>195</v>
      </c>
      <c r="B19" s="44">
        <v>192</v>
      </c>
      <c r="C19" s="37">
        <f>IF(B$15=0,0,B19/B$15)</f>
        <v>0.47880299251870323</v>
      </c>
      <c r="E19" s="59" t="s">
        <v>77</v>
      </c>
      <c r="F19" s="56" t="s">
        <v>32</v>
      </c>
      <c r="G19" s="44">
        <v>3</v>
      </c>
      <c r="H19" s="129">
        <f>IF(B$15=0,0,G19/B$15)</f>
        <v>7.481296758104738E-3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>IF(P19=0,0,Q19/P19)</f>
        <v>13.271698113207547</v>
      </c>
      <c r="P19" s="115">
        <v>53</v>
      </c>
      <c r="Q19" s="103">
        <v>703.4</v>
      </c>
    </row>
    <row r="20" spans="1:17" x14ac:dyDescent="0.45">
      <c r="A20" s="51" t="s">
        <v>193</v>
      </c>
      <c r="B20" s="44">
        <v>126</v>
      </c>
      <c r="C20" s="37">
        <f>IF(B$15=0,0,B20/B$15)</f>
        <v>0.31421446384039903</v>
      </c>
      <c r="E20" s="59" t="s">
        <v>84</v>
      </c>
      <c r="F20" s="56" t="s">
        <v>39</v>
      </c>
      <c r="G20" s="44">
        <v>3</v>
      </c>
      <c r="H20" s="129">
        <f>IF(B$15=0,0,G20/B$15)</f>
        <v>7.481296758104738E-3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9.372727272727273</v>
      </c>
      <c r="P20" s="115">
        <v>33</v>
      </c>
      <c r="Q20" s="103">
        <v>309.3</v>
      </c>
    </row>
    <row r="21" spans="1:17" x14ac:dyDescent="0.45">
      <c r="A21" s="51" t="s">
        <v>194</v>
      </c>
      <c r="B21" s="44">
        <v>83</v>
      </c>
      <c r="C21" s="37">
        <f>IF(B$15=0,0,B21/B$15)</f>
        <v>0.20698254364089774</v>
      </c>
      <c r="E21" s="59" t="s">
        <v>91</v>
      </c>
      <c r="F21" s="56" t="s">
        <v>46</v>
      </c>
      <c r="G21" s="44">
        <v>3</v>
      </c>
      <c r="H21" s="129">
        <f>IF(B$15=0,0,G21/B$15)</f>
        <v>7.481296758104738E-3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-3.8054054054054047</v>
      </c>
      <c r="P21" s="115">
        <v>37</v>
      </c>
      <c r="Q21" s="103">
        <v>-140.79999999999998</v>
      </c>
    </row>
    <row r="22" spans="1:17" x14ac:dyDescent="0.45">
      <c r="A22" s="51" t="s">
        <v>5</v>
      </c>
      <c r="B22" s="48">
        <f>IF(B$15=0,0,C22/B$15)</f>
        <v>8218.4538653366581</v>
      </c>
      <c r="C22" s="39">
        <v>3295600</v>
      </c>
      <c r="E22" s="59" t="s">
        <v>92</v>
      </c>
      <c r="F22" s="56" t="s">
        <v>47</v>
      </c>
      <c r="G22" s="44">
        <v>3</v>
      </c>
      <c r="H22" s="129">
        <f>IF(B$15=0,0,G22/B$15)</f>
        <v>7.481296758104738E-3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8575.2727272727279</v>
      </c>
      <c r="C23" s="137">
        <v>2358200</v>
      </c>
      <c r="E23" s="59" t="s">
        <v>79</v>
      </c>
      <c r="F23" s="56" t="s">
        <v>34</v>
      </c>
      <c r="G23" s="44">
        <v>2</v>
      </c>
      <c r="H23" s="129">
        <f>IF(B$15=0,0,G23/B$15)</f>
        <v>4.9875311720698253E-3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7439.6825396825398</v>
      </c>
      <c r="C24" s="137">
        <v>937400</v>
      </c>
      <c r="E24" s="59" t="s">
        <v>85</v>
      </c>
      <c r="F24" s="56" t="s">
        <v>40</v>
      </c>
      <c r="G24" s="44">
        <v>2</v>
      </c>
      <c r="H24" s="129">
        <f>IF(B$15=0,0,G24/B$15)</f>
        <v>4.9875311720698253E-3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-7669.8717948717949</v>
      </c>
      <c r="C25" s="137">
        <v>-1196500</v>
      </c>
      <c r="E25" s="59" t="s">
        <v>88</v>
      </c>
      <c r="F25" s="56" t="s">
        <v>43</v>
      </c>
      <c r="G25" s="44">
        <v>2</v>
      </c>
      <c r="H25" s="129">
        <f>IF(B$15=0,0,G25/B$15)</f>
        <v>4.9875311720698253E-3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4.9875311720698253E-3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3</v>
      </c>
      <c r="E27" s="59" t="s">
        <v>74</v>
      </c>
      <c r="F27" s="56" t="s">
        <v>29</v>
      </c>
      <c r="G27" s="44">
        <v>1</v>
      </c>
      <c r="H27" s="129">
        <f>IF(B$15=0,0,G27/B$15)</f>
        <v>2.4937655860349127E-3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7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2.4937655860349127E-3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2.4937655860349127E-3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8.4961767204757861E-4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35</v>
      </c>
      <c r="C32" s="141">
        <f>IF(B$15=0,0,B32/B$15)</f>
        <v>8.7281795511221949E-2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70</v>
      </c>
      <c r="C33" s="37">
        <f t="shared" ref="C33:C44" si="2">IF(B$15=0,0,B33/B$15)</f>
        <v>0.1745635910224439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88</v>
      </c>
      <c r="C34" s="37">
        <f>IF(B$15=0,0,B34/B$15)</f>
        <v>0.21945137157107231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73</v>
      </c>
      <c r="C35" s="37">
        <f t="shared" si="2"/>
        <v>0.18204488778054864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59</v>
      </c>
      <c r="C36" s="37">
        <f t="shared" si="2"/>
        <v>0.14713216957605985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2"/>
        <v>9.2269326683291769E-2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18</v>
      </c>
      <c r="C38" s="37">
        <f t="shared" si="2"/>
        <v>4.488778054862843E-2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1.4962593516209476E-2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1.9950124688279301E-2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2.4937655860349127E-3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1.4962593516209476E-2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2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127</v>
      </c>
      <c r="C2" s="155"/>
      <c r="E2" s="58" t="s">
        <v>66</v>
      </c>
      <c r="F2" s="55" t="s">
        <v>22</v>
      </c>
      <c r="G2" s="43">
        <v>272</v>
      </c>
      <c r="H2" s="128">
        <f>IF(B$15=0,0,G2/B$15)</f>
        <v>0.83692307692307688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-1301.5873015873017</v>
      </c>
      <c r="P2" s="114">
        <v>126</v>
      </c>
      <c r="Q2" s="98">
        <v>-164000</v>
      </c>
    </row>
    <row r="3" spans="1:17" x14ac:dyDescent="0.45">
      <c r="A3" s="51" t="s">
        <v>8</v>
      </c>
      <c r="B3" s="156">
        <v>1068</v>
      </c>
      <c r="C3" s="157"/>
      <c r="E3" s="59" t="s">
        <v>72</v>
      </c>
      <c r="F3" s="56" t="s">
        <v>27</v>
      </c>
      <c r="G3" s="44">
        <v>190</v>
      </c>
      <c r="H3" s="129">
        <f>IF(B$15=0,0,G3/B$15)</f>
        <v>0.58461538461538465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1572.5806451612902</v>
      </c>
      <c r="P3" s="115">
        <v>124</v>
      </c>
      <c r="Q3" s="99">
        <v>195000</v>
      </c>
    </row>
    <row r="4" spans="1:17" x14ac:dyDescent="0.45">
      <c r="A4" s="51" t="s">
        <v>6</v>
      </c>
      <c r="B4" s="158">
        <v>83.199999999999804</v>
      </c>
      <c r="C4" s="159"/>
      <c r="E4" s="59" t="s">
        <v>166</v>
      </c>
      <c r="F4" s="56" t="s">
        <v>167</v>
      </c>
      <c r="G4" s="44">
        <v>129</v>
      </c>
      <c r="H4" s="129">
        <f>IF(B$15=0,0,G4/B$15)</f>
        <v>0.39692307692307693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-231.57894736842104</v>
      </c>
      <c r="P4" s="115">
        <v>114</v>
      </c>
      <c r="Q4" s="99">
        <v>-26400</v>
      </c>
    </row>
    <row r="5" spans="1:17" x14ac:dyDescent="0.45">
      <c r="A5" s="51" t="s">
        <v>7</v>
      </c>
      <c r="B5" s="160">
        <f>IF(B$2=0,0,B$4/B$2)</f>
        <v>0.65511811023621891</v>
      </c>
      <c r="C5" s="161"/>
      <c r="E5" s="59" t="s">
        <v>64</v>
      </c>
      <c r="F5" s="56" t="s">
        <v>20</v>
      </c>
      <c r="G5" s="44">
        <v>123</v>
      </c>
      <c r="H5" s="129">
        <f>IF(B$15=0,0,G5/B$15)</f>
        <v>0.37846153846153846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323.14814814814815</v>
      </c>
      <c r="P5" s="115">
        <v>108</v>
      </c>
      <c r="Q5" s="99">
        <v>34900</v>
      </c>
    </row>
    <row r="6" spans="1:17" x14ac:dyDescent="0.45">
      <c r="A6" s="51" t="s">
        <v>1</v>
      </c>
      <c r="B6" s="150">
        <f>IF(B$2=0,0,(B$7*1+B$8*2+B$9*3)/B$2)</f>
        <v>1.9448818897637796</v>
      </c>
      <c r="C6" s="151"/>
      <c r="E6" s="59" t="s">
        <v>68</v>
      </c>
      <c r="F6" s="56" t="s">
        <v>12</v>
      </c>
      <c r="G6" s="44">
        <v>87</v>
      </c>
      <c r="H6" s="129">
        <f>IF(B$15=0,0,G6/B$15)</f>
        <v>0.26769230769230767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-926.26262626262621</v>
      </c>
      <c r="P6" s="115">
        <v>99</v>
      </c>
      <c r="Q6" s="99">
        <v>-91700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0.34645669291338582</v>
      </c>
      <c r="E7" s="59" t="s">
        <v>67</v>
      </c>
      <c r="F7" s="56" t="s">
        <v>23</v>
      </c>
      <c r="G7" s="44">
        <v>69</v>
      </c>
      <c r="H7" s="129">
        <f>IF(B$15=0,0,G7/B$15)</f>
        <v>0.21230769230769231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1467.0588235294117</v>
      </c>
      <c r="P7" s="116">
        <v>85</v>
      </c>
      <c r="Q7" s="100">
        <v>124700</v>
      </c>
    </row>
    <row r="8" spans="1:17" x14ac:dyDescent="0.45">
      <c r="A8" s="51" t="s">
        <v>3</v>
      </c>
      <c r="B8" s="44">
        <v>46</v>
      </c>
      <c r="C8" s="37">
        <f t="shared" si="1"/>
        <v>0.36220472440944884</v>
      </c>
      <c r="E8" s="59" t="s">
        <v>89</v>
      </c>
      <c r="F8" s="56" t="s">
        <v>44</v>
      </c>
      <c r="G8" s="44">
        <v>40</v>
      </c>
      <c r="H8" s="129">
        <f>IF(B$15=0,0,G8/B$15)</f>
        <v>0.12307692307692308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37</v>
      </c>
      <c r="C9" s="38">
        <f t="shared" si="1"/>
        <v>0.29133858267716534</v>
      </c>
      <c r="E9" s="59" t="s">
        <v>69</v>
      </c>
      <c r="F9" s="56" t="s">
        <v>24</v>
      </c>
      <c r="G9" s="44">
        <v>38</v>
      </c>
      <c r="H9" s="129">
        <f>IF(B$15=0,0,G9/B$15)</f>
        <v>0.11692307692307692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17</v>
      </c>
      <c r="C10" s="40">
        <f t="shared" si="1"/>
        <v>0.13385826771653545</v>
      </c>
      <c r="E10" s="59" t="s">
        <v>71</v>
      </c>
      <c r="F10" s="56" t="s">
        <v>26</v>
      </c>
      <c r="G10" s="44">
        <v>30</v>
      </c>
      <c r="H10" s="129">
        <f>IF(B$15=0,0,G10/B$15)</f>
        <v>9.2307692307692313E-2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1.8666666666666674</v>
      </c>
      <c r="P10" s="114">
        <v>33</v>
      </c>
      <c r="Q10" s="102">
        <v>61.600000000000023</v>
      </c>
    </row>
    <row r="11" spans="1:17" x14ac:dyDescent="0.45">
      <c r="A11" s="54" t="s">
        <v>121</v>
      </c>
      <c r="B11" s="47">
        <v>244</v>
      </c>
      <c r="C11" s="42">
        <f>IF(B$3=0,0,B11/B$3)</f>
        <v>0.22846441947565543</v>
      </c>
      <c r="E11" s="59" t="s">
        <v>70</v>
      </c>
      <c r="F11" s="56" t="s">
        <v>25</v>
      </c>
      <c r="G11" s="44">
        <v>28</v>
      </c>
      <c r="H11" s="129">
        <f>IF(B$15=0,0,G11/B$15)</f>
        <v>8.615384615384615E-2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5.330232558139536</v>
      </c>
      <c r="P11" s="115">
        <v>43</v>
      </c>
      <c r="Q11" s="103">
        <v>229.20000000000005</v>
      </c>
    </row>
    <row r="12" spans="1:17" x14ac:dyDescent="0.45">
      <c r="A12" s="51" t="s">
        <v>118</v>
      </c>
      <c r="B12" s="44">
        <v>335</v>
      </c>
      <c r="C12" s="37">
        <f>IF(B$3=0,0,B12/B$3)</f>
        <v>0.31367041198501872</v>
      </c>
      <c r="E12" s="59" t="s">
        <v>65</v>
      </c>
      <c r="F12" s="56" t="s">
        <v>21</v>
      </c>
      <c r="G12" s="44">
        <v>27</v>
      </c>
      <c r="H12" s="129">
        <f>IF(B$15=0,0,G12/B$15)</f>
        <v>8.3076923076923076E-2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0.49590163934426229</v>
      </c>
      <c r="E13" s="59" t="s">
        <v>86</v>
      </c>
      <c r="F13" s="56" t="s">
        <v>41</v>
      </c>
      <c r="G13" s="44">
        <v>21</v>
      </c>
      <c r="H13" s="129">
        <f>IF(B$15=0,0,G13/B$15)</f>
        <v>6.4615384615384616E-2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0.38208955223880597</v>
      </c>
      <c r="E14" s="59" t="s">
        <v>83</v>
      </c>
      <c r="F14" s="56" t="s">
        <v>38</v>
      </c>
      <c r="G14" s="44">
        <v>19</v>
      </c>
      <c r="H14" s="129">
        <f>IF(B$15=0,0,G14/B$15)</f>
        <v>5.8461538461538461E-2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325</v>
      </c>
      <c r="C15" s="35">
        <f>IF(B$3=0,0,B15/B$3)</f>
        <v>0.30430711610486894</v>
      </c>
      <c r="E15" s="59" t="s">
        <v>78</v>
      </c>
      <c r="F15" s="56" t="s">
        <v>33</v>
      </c>
      <c r="G15" s="44">
        <v>9</v>
      </c>
      <c r="H15" s="129">
        <f>IF(B$15=0,0,G15/B$15)</f>
        <v>2.7692307692307693E-2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199</v>
      </c>
      <c r="C16" s="37">
        <f>IF(B$3=0,0,B16/B$3)</f>
        <v>0.18632958801498128</v>
      </c>
      <c r="E16" s="59" t="s">
        <v>91</v>
      </c>
      <c r="F16" s="56" t="s">
        <v>46</v>
      </c>
      <c r="G16" s="44">
        <v>9</v>
      </c>
      <c r="H16" s="129">
        <f>IF(B$15=0,0,G16/B$15)</f>
        <v>2.7692307692307693E-2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 t="shared" si="2"/>
        <v>22.276923076923079</v>
      </c>
      <c r="P16" s="115">
        <v>13</v>
      </c>
      <c r="Q16" s="103">
        <v>289.60000000000002</v>
      </c>
    </row>
    <row r="17" spans="1:17" x14ac:dyDescent="0.45">
      <c r="A17" s="51" t="s">
        <v>12</v>
      </c>
      <c r="B17" s="44">
        <v>134</v>
      </c>
      <c r="C17" s="37">
        <f>IF(B$15=0,0,B17/B$15)</f>
        <v>0.41230769230769232</v>
      </c>
      <c r="E17" s="59" t="s">
        <v>81</v>
      </c>
      <c r="F17" s="56" t="s">
        <v>36</v>
      </c>
      <c r="G17" s="44">
        <v>8</v>
      </c>
      <c r="H17" s="129">
        <f>IF(B$15=0,0,G17/B$15)</f>
        <v>2.4615384615384615E-2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2"/>
        <v>14.939534883720924</v>
      </c>
      <c r="P17" s="115">
        <v>43</v>
      </c>
      <c r="Q17" s="103">
        <v>642.39999999999975</v>
      </c>
    </row>
    <row r="18" spans="1:17" x14ac:dyDescent="0.45">
      <c r="A18" s="51" t="s">
        <v>11</v>
      </c>
      <c r="B18" s="44">
        <v>191</v>
      </c>
      <c r="C18" s="37">
        <f>IF(B$15=0,0,B18/B$15)</f>
        <v>0.58769230769230774</v>
      </c>
      <c r="E18" s="59" t="s">
        <v>79</v>
      </c>
      <c r="F18" s="56" t="s">
        <v>34</v>
      </c>
      <c r="G18" s="44">
        <v>6</v>
      </c>
      <c r="H18" s="129">
        <f>IF(B$15=0,0,G18/B$15)</f>
        <v>1.8461538461538463E-2</v>
      </c>
      <c r="I18" s="90">
        <v>3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121</v>
      </c>
      <c r="C19" s="37">
        <f>IF(B$15=0,0,B19/B$15)</f>
        <v>0.37230769230769228</v>
      </c>
      <c r="E19" s="59" t="s">
        <v>92</v>
      </c>
      <c r="F19" s="56" t="s">
        <v>47</v>
      </c>
      <c r="G19" s="44">
        <v>3</v>
      </c>
      <c r="H19" s="129">
        <f>IF(B$15=0,0,G19/B$15)</f>
        <v>9.2307692307692316E-3</v>
      </c>
      <c r="I19" s="90">
        <v>3</v>
      </c>
      <c r="K19" s="36">
        <v>17</v>
      </c>
      <c r="L19" s="95">
        <v>-179.70000000000002</v>
      </c>
      <c r="N19" s="111" t="s">
        <v>170</v>
      </c>
      <c r="O19" s="121">
        <f t="shared" si="2"/>
        <v>7.6833333333333389</v>
      </c>
      <c r="P19" s="115">
        <v>36</v>
      </c>
      <c r="Q19" s="103">
        <v>276.60000000000019</v>
      </c>
    </row>
    <row r="20" spans="1:17" x14ac:dyDescent="0.45">
      <c r="A20" s="51" t="s">
        <v>193</v>
      </c>
      <c r="B20" s="44">
        <v>128</v>
      </c>
      <c r="C20" s="37">
        <f>IF(B$15=0,0,B20/B$15)</f>
        <v>0.39384615384615385</v>
      </c>
      <c r="E20" s="59" t="s">
        <v>162</v>
      </c>
      <c r="F20" s="56" t="s">
        <v>163</v>
      </c>
      <c r="G20" s="44">
        <v>3</v>
      </c>
      <c r="H20" s="129">
        <f>IF(B$15=0,0,G20/B$15)</f>
        <v>9.2307692307692316E-3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 t="shared" si="2"/>
        <v>3.5115384615384611</v>
      </c>
      <c r="P20" s="115">
        <v>26</v>
      </c>
      <c r="Q20" s="103">
        <v>91.299999999999983</v>
      </c>
    </row>
    <row r="21" spans="1:17" x14ac:dyDescent="0.45">
      <c r="A21" s="51" t="s">
        <v>194</v>
      </c>
      <c r="B21" s="44">
        <v>76</v>
      </c>
      <c r="C21" s="37">
        <f>IF(B$15=0,0,B21/B$15)</f>
        <v>0.23384615384615384</v>
      </c>
      <c r="E21" s="59" t="s">
        <v>74</v>
      </c>
      <c r="F21" s="56" t="s">
        <v>29</v>
      </c>
      <c r="G21" s="44">
        <v>2</v>
      </c>
      <c r="H21" s="129">
        <f>IF(B$15=0,0,G21/B$15)</f>
        <v>6.1538461538461538E-3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8425.8461538461543</v>
      </c>
      <c r="C22" s="39">
        <v>2738400</v>
      </c>
      <c r="E22" s="59" t="s">
        <v>75</v>
      </c>
      <c r="F22" s="56" t="s">
        <v>30</v>
      </c>
      <c r="G22" s="44">
        <v>2</v>
      </c>
      <c r="H22" s="129">
        <f>IF(B$15=0,0,G22/B$15)</f>
        <v>6.1538461538461538E-3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2"/>
        <v>-14.101123595505621</v>
      </c>
      <c r="P22" s="115">
        <v>89</v>
      </c>
      <c r="Q22" s="103">
        <v>-1255.0000000000002</v>
      </c>
    </row>
    <row r="23" spans="1:17" x14ac:dyDescent="0.45">
      <c r="A23" s="52" t="s">
        <v>177</v>
      </c>
      <c r="B23" s="136">
        <f>IF($B$15-B$14=0,0,C23/($B$15-B$14))</f>
        <v>9124.3654822335029</v>
      </c>
      <c r="C23" s="137">
        <v>1797500</v>
      </c>
      <c r="E23" s="59" t="s">
        <v>73</v>
      </c>
      <c r="F23" s="56" t="s">
        <v>28</v>
      </c>
      <c r="G23" s="44">
        <v>1</v>
      </c>
      <c r="H23" s="129">
        <f>IF(B$15=0,0,G23/B$15)</f>
        <v>3.0769230769230769E-3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3.0769230769230769E-3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-7997.4874371859296</v>
      </c>
      <c r="C25" s="137">
        <v>-1591500</v>
      </c>
      <c r="E25" s="59" t="s">
        <v>84</v>
      </c>
      <c r="F25" s="56" t="s">
        <v>39</v>
      </c>
      <c r="G25" s="44">
        <v>1</v>
      </c>
      <c r="H25" s="129">
        <f>IF(B$15=0,0,G25/B$15)</f>
        <v>3.0769230769230769E-3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3.0769230769230769E-3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3.0769230769230769E-3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3.7453183520599251E-3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7.0769230769230765E-2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3">IF(B$15=0,0,B33/B$15)</f>
        <v>0.15384615384615385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0.21230769230769231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3"/>
        <v>0.20923076923076922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3"/>
        <v>0.15076923076923077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36</v>
      </c>
      <c r="C37" s="37">
        <f t="shared" si="3"/>
        <v>0.11076923076923077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3"/>
        <v>3.0769230769230771E-2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2.4615384615384615E-2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3"/>
        <v>1.5384615384615385E-2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3.0769230769230769E-3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6.1538461538461538E-3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1.2307692307692308E-2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</sheetData>
  <sortState xmlns:xlrd2="http://schemas.microsoft.com/office/spreadsheetml/2017/richdata2" ref="E2:I13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80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0.75916230366492143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-443.03797468354429</v>
      </c>
      <c r="P2" s="114">
        <v>79</v>
      </c>
      <c r="Q2" s="98">
        <v>-35000</v>
      </c>
    </row>
    <row r="3" spans="1:17" x14ac:dyDescent="0.45">
      <c r="A3" s="51" t="s">
        <v>8</v>
      </c>
      <c r="B3" s="156">
        <v>681</v>
      </c>
      <c r="C3" s="157"/>
      <c r="E3" s="59" t="s">
        <v>64</v>
      </c>
      <c r="F3" s="56" t="s">
        <v>20</v>
      </c>
      <c r="G3" s="44">
        <v>108</v>
      </c>
      <c r="H3" s="129">
        <f>IF(B$15=0,0,G3/B$15)</f>
        <v>0.56544502617801051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-1150.632911392405</v>
      </c>
      <c r="P3" s="115">
        <v>79</v>
      </c>
      <c r="Q3" s="99">
        <v>-90900</v>
      </c>
    </row>
    <row r="4" spans="1:17" x14ac:dyDescent="0.45">
      <c r="A4" s="51" t="s">
        <v>6</v>
      </c>
      <c r="B4" s="158">
        <v>-486.6</v>
      </c>
      <c r="C4" s="159"/>
      <c r="E4" s="59" t="s">
        <v>72</v>
      </c>
      <c r="F4" s="56" t="s">
        <v>27</v>
      </c>
      <c r="G4" s="44">
        <v>96</v>
      </c>
      <c r="H4" s="129">
        <f>IF(B$15=0,0,G4/B$15)</f>
        <v>0.50261780104712039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927.39726027397262</v>
      </c>
      <c r="P4" s="115">
        <v>73</v>
      </c>
      <c r="Q4" s="99">
        <v>67700</v>
      </c>
    </row>
    <row r="5" spans="1:17" x14ac:dyDescent="0.45">
      <c r="A5" s="51" t="s">
        <v>7</v>
      </c>
      <c r="B5" s="160">
        <f>IF(B$2=0,0,B$4/B$2)</f>
        <v>-6.0825000000000005</v>
      </c>
      <c r="C5" s="161"/>
      <c r="E5" s="59" t="s">
        <v>166</v>
      </c>
      <c r="F5" s="56" t="s">
        <v>167</v>
      </c>
      <c r="G5" s="44">
        <v>81</v>
      </c>
      <c r="H5" s="129">
        <f>IF(B$15=0,0,G5/B$15)</f>
        <v>0.42408376963350786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-261.11111111111109</v>
      </c>
      <c r="P5" s="115">
        <v>72</v>
      </c>
      <c r="Q5" s="99">
        <v>-18800</v>
      </c>
    </row>
    <row r="6" spans="1:17" x14ac:dyDescent="0.45">
      <c r="A6" s="51" t="s">
        <v>1</v>
      </c>
      <c r="B6" s="150">
        <f>IF(B$2=0,0,(B$7*1+B$8*2+B$9*3)/B$2)</f>
        <v>2.1625000000000001</v>
      </c>
      <c r="C6" s="151"/>
      <c r="E6" s="59" t="s">
        <v>68</v>
      </c>
      <c r="F6" s="56" t="s">
        <v>12</v>
      </c>
      <c r="G6" s="44">
        <v>66</v>
      </c>
      <c r="H6" s="129">
        <f>IF(B$15=0,0,G6/B$15)</f>
        <v>0.34554973821989526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-2939.705882352941</v>
      </c>
      <c r="P6" s="115">
        <v>68</v>
      </c>
      <c r="Q6" s="99">
        <v>-199900</v>
      </c>
    </row>
    <row r="7" spans="1:17" x14ac:dyDescent="0.45">
      <c r="A7" s="51" t="s">
        <v>2</v>
      </c>
      <c r="B7" s="44">
        <v>17</v>
      </c>
      <c r="C7" s="37">
        <f t="shared" ref="C7:C10" si="1">IF(B$2=0,0,B7/B$2)</f>
        <v>0.21249999999999999</v>
      </c>
      <c r="E7" s="59" t="s">
        <v>67</v>
      </c>
      <c r="F7" s="56" t="s">
        <v>23</v>
      </c>
      <c r="G7" s="44">
        <v>54</v>
      </c>
      <c r="H7" s="129">
        <f>IF(B$15=0,0,G7/B$15)</f>
        <v>0.28272251308900526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-1740.6779661016949</v>
      </c>
      <c r="P7" s="116">
        <v>59</v>
      </c>
      <c r="Q7" s="100">
        <v>-102700</v>
      </c>
    </row>
    <row r="8" spans="1:17" x14ac:dyDescent="0.45">
      <c r="A8" s="51" t="s">
        <v>3</v>
      </c>
      <c r="B8" s="44">
        <v>33</v>
      </c>
      <c r="C8" s="37">
        <f t="shared" si="1"/>
        <v>0.41249999999999998</v>
      </c>
      <c r="E8" s="59" t="s">
        <v>69</v>
      </c>
      <c r="F8" s="56" t="s">
        <v>24</v>
      </c>
      <c r="G8" s="44">
        <v>26</v>
      </c>
      <c r="H8" s="129">
        <f>IF(B$15=0,0,G8/B$15)</f>
        <v>0.13612565445026178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0.375</v>
      </c>
      <c r="E9" s="59" t="s">
        <v>70</v>
      </c>
      <c r="F9" s="56" t="s">
        <v>25</v>
      </c>
      <c r="G9" s="44">
        <v>25</v>
      </c>
      <c r="H9" s="129">
        <f>IF(B$15=0,0,G9/B$15)</f>
        <v>0.13089005235602094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7.4999999999999997E-2</v>
      </c>
      <c r="E10" s="59" t="s">
        <v>65</v>
      </c>
      <c r="F10" s="56" t="s">
        <v>21</v>
      </c>
      <c r="G10" s="44">
        <v>23</v>
      </c>
      <c r="H10" s="129">
        <f>IF(B$15=0,0,G10/B$15)</f>
        <v>0.12041884816753927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-3.8062500000000008</v>
      </c>
      <c r="P10" s="114">
        <v>32</v>
      </c>
      <c r="Q10" s="102">
        <v>-121.80000000000003</v>
      </c>
    </row>
    <row r="11" spans="1:17" x14ac:dyDescent="0.45">
      <c r="A11" s="54" t="s">
        <v>121</v>
      </c>
      <c r="B11" s="47">
        <v>192</v>
      </c>
      <c r="C11" s="42">
        <f>IF(B$3=0,0,B11/B$3)</f>
        <v>0.28193832599118945</v>
      </c>
      <c r="E11" s="59" t="s">
        <v>89</v>
      </c>
      <c r="F11" s="56" t="s">
        <v>44</v>
      </c>
      <c r="G11" s="44">
        <v>22</v>
      </c>
      <c r="H11" s="129">
        <f>IF(B$15=0,0,G11/B$15)</f>
        <v>0.11518324607329843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5">
      <c r="A12" s="51" t="s">
        <v>118</v>
      </c>
      <c r="B12" s="44">
        <v>138</v>
      </c>
      <c r="C12" s="37">
        <f>IF(B$3=0,0,B12/B$3)</f>
        <v>0.20264317180616739</v>
      </c>
      <c r="E12" s="59" t="s">
        <v>83</v>
      </c>
      <c r="F12" s="56" t="s">
        <v>38</v>
      </c>
      <c r="G12" s="44">
        <v>10</v>
      </c>
      <c r="H12" s="129">
        <f>IF(B$15=0,0,G12/B$15)</f>
        <v>5.2356020942408377E-2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-7.0884615384615364</v>
      </c>
      <c r="P12" s="116">
        <v>26</v>
      </c>
      <c r="Q12" s="104">
        <v>-184.29999999999995</v>
      </c>
    </row>
    <row r="13" spans="1:17" x14ac:dyDescent="0.45">
      <c r="A13" s="50" t="s">
        <v>123</v>
      </c>
      <c r="B13" s="43">
        <f>B19</f>
        <v>109</v>
      </c>
      <c r="C13" s="35">
        <f>IF(B$11=0,0,B13/B$11)</f>
        <v>0.56770833333333337</v>
      </c>
      <c r="E13" s="59" t="s">
        <v>71</v>
      </c>
      <c r="F13" s="56" t="s">
        <v>26</v>
      </c>
      <c r="G13" s="44">
        <v>8</v>
      </c>
      <c r="H13" s="129">
        <f>IF(B$15=0,0,G13/B$15)</f>
        <v>4.1884816753926704E-2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</v>
      </c>
      <c r="C14" s="35">
        <f>IF(B$12=0,0,B14/B$12)</f>
        <v>0.40579710144927539</v>
      </c>
      <c r="E14" s="59" t="s">
        <v>78</v>
      </c>
      <c r="F14" s="56" t="s">
        <v>33</v>
      </c>
      <c r="G14" s="44">
        <v>7</v>
      </c>
      <c r="H14" s="129">
        <f>IF(B$15=0,0,G14/B$15)</f>
        <v>3.6649214659685861E-2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191</v>
      </c>
      <c r="C15" s="35">
        <f>IF(B$3=0,0,B15/B$3)</f>
        <v>0.28046989720998533</v>
      </c>
      <c r="E15" s="59" t="s">
        <v>86</v>
      </c>
      <c r="F15" s="56" t="s">
        <v>41</v>
      </c>
      <c r="G15" s="44">
        <v>6</v>
      </c>
      <c r="H15" s="129">
        <f>IF(B$15=0,0,G15/B$15)</f>
        <v>3.1413612565445025E-2</v>
      </c>
      <c r="I15" s="90">
        <v>9</v>
      </c>
      <c r="K15" s="36">
        <v>13</v>
      </c>
      <c r="L15" s="95">
        <v>-207.3</v>
      </c>
      <c r="N15" s="110" t="s">
        <v>161</v>
      </c>
      <c r="O15" s="120">
        <f t="shared" ref="O15:O22" si="2">IF(P15=0,0,Q15/P15)</f>
        <v>12.242857142857146</v>
      </c>
      <c r="P15" s="114">
        <v>14</v>
      </c>
      <c r="Q15" s="102">
        <v>171.40000000000003</v>
      </c>
    </row>
    <row r="16" spans="1:17" x14ac:dyDescent="0.45">
      <c r="A16" s="51" t="s">
        <v>13</v>
      </c>
      <c r="B16" s="44">
        <v>129</v>
      </c>
      <c r="C16" s="37">
        <f>IF(B$3=0,0,B16/B$3)</f>
        <v>0.1894273127753304</v>
      </c>
      <c r="E16" s="59" t="s">
        <v>162</v>
      </c>
      <c r="F16" s="56" t="s">
        <v>163</v>
      </c>
      <c r="G16" s="44">
        <v>4</v>
      </c>
      <c r="H16" s="129">
        <f>IF(B$15=0,0,G16/B$15)</f>
        <v>2.0942408376963352E-2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5.0235294117647067</v>
      </c>
      <c r="P16" s="115">
        <v>17</v>
      </c>
      <c r="Q16" s="103">
        <v>85.40000000000002</v>
      </c>
    </row>
    <row r="17" spans="1:17" x14ac:dyDescent="0.45">
      <c r="A17" s="51" t="s">
        <v>12</v>
      </c>
      <c r="B17" s="44">
        <v>87</v>
      </c>
      <c r="C17" s="37">
        <f>IF(B$15=0,0,B17/B$15)</f>
        <v>0.45549738219895286</v>
      </c>
      <c r="E17" s="59" t="s">
        <v>75</v>
      </c>
      <c r="F17" s="56" t="s">
        <v>30</v>
      </c>
      <c r="G17" s="44">
        <v>3</v>
      </c>
      <c r="H17" s="129">
        <f>IF(B$15=0,0,G17/B$15)</f>
        <v>1.5706806282722512E-2</v>
      </c>
      <c r="I17" s="90">
        <v>2</v>
      </c>
      <c r="K17" s="36">
        <v>15</v>
      </c>
      <c r="L17" s="95">
        <v>-221.5</v>
      </c>
      <c r="N17" s="111" t="s">
        <v>197</v>
      </c>
      <c r="O17" s="121">
        <f t="shared" si="2"/>
        <v>3.1666666666666656</v>
      </c>
      <c r="P17" s="115">
        <v>3</v>
      </c>
      <c r="Q17" s="103">
        <v>9.4999999999999964</v>
      </c>
    </row>
    <row r="18" spans="1:17" x14ac:dyDescent="0.45">
      <c r="A18" s="51" t="s">
        <v>11</v>
      </c>
      <c r="B18" s="44">
        <v>104</v>
      </c>
      <c r="C18" s="37">
        <f>IF(B$15=0,0,B18/B$15)</f>
        <v>0.54450261780104714</v>
      </c>
      <c r="E18" s="59" t="s">
        <v>81</v>
      </c>
      <c r="F18" s="56" t="s">
        <v>36</v>
      </c>
      <c r="G18" s="44">
        <v>3</v>
      </c>
      <c r="H18" s="129">
        <f>IF(B$15=0,0,G18/B$15)</f>
        <v>1.5706806282722512E-2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109</v>
      </c>
      <c r="C19" s="37">
        <f>IF(B$15=0,0,B19/B$15)</f>
        <v>0.5706806282722513</v>
      </c>
      <c r="E19" s="59" t="s">
        <v>79</v>
      </c>
      <c r="F19" s="56" t="s">
        <v>34</v>
      </c>
      <c r="G19" s="44">
        <v>2</v>
      </c>
      <c r="H19" s="129">
        <f>IF(B$15=0,0,G19/B$15)</f>
        <v>1.0471204188481676E-2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 t="shared" si="2"/>
        <v>-13.965</v>
      </c>
      <c r="P19" s="115">
        <v>20</v>
      </c>
      <c r="Q19" s="103">
        <v>-279.3</v>
      </c>
    </row>
    <row r="20" spans="1:17" x14ac:dyDescent="0.45">
      <c r="A20" s="51" t="s">
        <v>193</v>
      </c>
      <c r="B20" s="44">
        <v>56</v>
      </c>
      <c r="C20" s="37">
        <f>IF(B$15=0,0,B20/B$15)</f>
        <v>0.29319371727748689</v>
      </c>
      <c r="E20" s="59" t="s">
        <v>91</v>
      </c>
      <c r="F20" s="56" t="s">
        <v>46</v>
      </c>
      <c r="G20" s="44">
        <v>1</v>
      </c>
      <c r="H20" s="129">
        <f>IF(B$15=0,0,G20/B$15)</f>
        <v>5.235602094240838E-3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 t="shared" si="2"/>
        <v>-14.407692307692312</v>
      </c>
      <c r="P20" s="115">
        <v>52</v>
      </c>
      <c r="Q20" s="103">
        <v>-749.20000000000016</v>
      </c>
    </row>
    <row r="21" spans="1:17" x14ac:dyDescent="0.45">
      <c r="A21" s="51" t="s">
        <v>194</v>
      </c>
      <c r="B21" s="44">
        <v>26</v>
      </c>
      <c r="C21" s="37">
        <f>IF(B$15=0,0,B21/B$15)</f>
        <v>0.13612565445026178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-14.939534883720924</v>
      </c>
      <c r="P21" s="115">
        <v>43</v>
      </c>
      <c r="Q21" s="103">
        <v>-642.39999999999975</v>
      </c>
    </row>
    <row r="22" spans="1:17" x14ac:dyDescent="0.45">
      <c r="A22" s="51" t="s">
        <v>5</v>
      </c>
      <c r="B22" s="48">
        <f>IF(B$15=0,0,C22/B$15)</f>
        <v>7791.0994764397901</v>
      </c>
      <c r="C22" s="39">
        <v>1488100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 t="shared" si="2"/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8354.8148148148157</v>
      </c>
      <c r="C23" s="137">
        <v>1127900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6432.1428571428569</v>
      </c>
      <c r="C24" s="137">
        <v>360200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-7549.6124031007748</v>
      </c>
      <c r="C25" s="137">
        <v>-973900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2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17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4.4052863436123352E-3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7.3298429319371722E-2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34</v>
      </c>
      <c r="C33" s="37">
        <f t="shared" ref="C33:C44" si="3">IF(B$15=0,0,B33/B$15)</f>
        <v>0.17801047120418848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44</v>
      </c>
      <c r="C34" s="37">
        <f>IF(B$15=0,0,B34/B$15)</f>
        <v>0.23036649214659685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30</v>
      </c>
      <c r="C35" s="37">
        <f t="shared" si="3"/>
        <v>0.15706806282722513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32</v>
      </c>
      <c r="C36" s="37">
        <f t="shared" si="3"/>
        <v>0.16753926701570682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19</v>
      </c>
      <c r="C37" s="37">
        <f t="shared" si="3"/>
        <v>9.947643979057591E-2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5.7591623036649213E-2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3"/>
        <v>2.0942408376963352E-2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5.235602094240838E-3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1.0471204188481676E-2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</sheetData>
  <sortState xmlns:xlrd2="http://schemas.microsoft.com/office/spreadsheetml/2017/richdata2" ref="E2:I8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9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91</v>
      </c>
      <c r="C2" s="155"/>
      <c r="E2" s="58" t="s">
        <v>66</v>
      </c>
      <c r="F2" s="55" t="s">
        <v>22</v>
      </c>
      <c r="G2" s="43">
        <v>171</v>
      </c>
      <c r="H2" s="128">
        <f>IF(B$15=0,0,G2/B$15)</f>
        <v>0.83823529411764708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1016.4835164835165</v>
      </c>
      <c r="P2" s="114">
        <v>91</v>
      </c>
      <c r="Q2" s="98">
        <v>92500</v>
      </c>
    </row>
    <row r="3" spans="1:17" x14ac:dyDescent="0.45">
      <c r="A3" s="51" t="s">
        <v>8</v>
      </c>
      <c r="B3" s="156">
        <v>735</v>
      </c>
      <c r="C3" s="157"/>
      <c r="E3" s="59" t="s">
        <v>72</v>
      </c>
      <c r="F3" s="56" t="s">
        <v>27</v>
      </c>
      <c r="G3" s="44">
        <v>113</v>
      </c>
      <c r="H3" s="129">
        <f>IF(B$15=0,0,G3/B$15)</f>
        <v>0.55392156862745101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-1568.5393258426966</v>
      </c>
      <c r="P3" s="115">
        <v>89</v>
      </c>
      <c r="Q3" s="99">
        <v>-139600</v>
      </c>
    </row>
    <row r="4" spans="1:17" x14ac:dyDescent="0.45">
      <c r="A4" s="51" t="s">
        <v>6</v>
      </c>
      <c r="B4" s="158">
        <v>240.30000000000013</v>
      </c>
      <c r="C4" s="159"/>
      <c r="E4" s="59" t="s">
        <v>64</v>
      </c>
      <c r="F4" s="56" t="s">
        <v>20</v>
      </c>
      <c r="G4" s="44">
        <v>112</v>
      </c>
      <c r="H4" s="129">
        <f>IF(B$15=0,0,G4/B$15)</f>
        <v>0.5490196078431373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-346.91358024691357</v>
      </c>
      <c r="P4" s="115">
        <v>81</v>
      </c>
      <c r="Q4" s="99">
        <v>-28100</v>
      </c>
    </row>
    <row r="5" spans="1:17" x14ac:dyDescent="0.45">
      <c r="A5" s="51" t="s">
        <v>7</v>
      </c>
      <c r="B5" s="160">
        <f>IF(B$2=0,0,B$4/B$2)</f>
        <v>2.6406593406593419</v>
      </c>
      <c r="C5" s="161"/>
      <c r="E5" s="59" t="s">
        <v>67</v>
      </c>
      <c r="F5" s="56" t="s">
        <v>23</v>
      </c>
      <c r="G5" s="44">
        <v>90</v>
      </c>
      <c r="H5" s="129">
        <f>IF(B$15=0,0,G5/B$15)</f>
        <v>0.44117647058823528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2572.7272727272725</v>
      </c>
      <c r="P5" s="115">
        <v>77</v>
      </c>
      <c r="Q5" s="99">
        <v>198100</v>
      </c>
    </row>
    <row r="6" spans="1:17" x14ac:dyDescent="0.45">
      <c r="A6" s="51" t="s">
        <v>1</v>
      </c>
      <c r="B6" s="150">
        <f>IF(B$2=0,0,(B$7*1+B$8*2+B$9*3)/B$2)</f>
        <v>1.956043956043956</v>
      </c>
      <c r="C6" s="151"/>
      <c r="E6" s="59" t="s">
        <v>68</v>
      </c>
      <c r="F6" s="56" t="s">
        <v>12</v>
      </c>
      <c r="G6" s="44">
        <v>83</v>
      </c>
      <c r="H6" s="129">
        <f>IF(B$15=0,0,G6/B$15)</f>
        <v>0.40686274509803921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382.35294117647061</v>
      </c>
      <c r="P6" s="115">
        <v>68</v>
      </c>
      <c r="Q6" s="99">
        <v>26000</v>
      </c>
    </row>
    <row r="7" spans="1:17" x14ac:dyDescent="0.45">
      <c r="A7" s="51" t="s">
        <v>2</v>
      </c>
      <c r="B7" s="44">
        <v>34</v>
      </c>
      <c r="C7" s="37">
        <f t="shared" ref="C7:C10" si="1">IF(B$2=0,0,B7/B$2)</f>
        <v>0.37362637362637363</v>
      </c>
      <c r="E7" s="59" t="s">
        <v>166</v>
      </c>
      <c r="F7" s="56" t="s">
        <v>167</v>
      </c>
      <c r="G7" s="44">
        <v>79</v>
      </c>
      <c r="H7" s="129">
        <f>IF(B$15=0,0,G7/B$15)</f>
        <v>0.38725490196078433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-68.518518518518519</v>
      </c>
      <c r="P7" s="116">
        <v>54</v>
      </c>
      <c r="Q7" s="100">
        <v>-3700</v>
      </c>
    </row>
    <row r="8" spans="1:17" x14ac:dyDescent="0.45">
      <c r="A8" s="51" t="s">
        <v>3</v>
      </c>
      <c r="B8" s="44">
        <v>27</v>
      </c>
      <c r="C8" s="37">
        <f t="shared" si="1"/>
        <v>0.2967032967032967</v>
      </c>
      <c r="E8" s="59" t="s">
        <v>89</v>
      </c>
      <c r="F8" s="56" t="s">
        <v>44</v>
      </c>
      <c r="G8" s="44">
        <v>45</v>
      </c>
      <c r="H8" s="129">
        <f>IF(B$15=0,0,G8/B$15)</f>
        <v>0.22058823529411764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0.32967032967032966</v>
      </c>
      <c r="E9" s="59" t="s">
        <v>69</v>
      </c>
      <c r="F9" s="56" t="s">
        <v>24</v>
      </c>
      <c r="G9" s="44">
        <v>43</v>
      </c>
      <c r="H9" s="129">
        <f>IF(B$15=0,0,G9/B$15)</f>
        <v>0.2107843137254902</v>
      </c>
      <c r="I9" s="90">
        <v>1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0.12087912087912088</v>
      </c>
      <c r="E10" s="59" t="s">
        <v>65</v>
      </c>
      <c r="F10" s="56" t="s">
        <v>21</v>
      </c>
      <c r="G10" s="44">
        <v>31</v>
      </c>
      <c r="H10" s="129">
        <f>IF(B$15=0,0,G10/B$15)</f>
        <v>0.15196078431372548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-0.92692307692307685</v>
      </c>
      <c r="P10" s="114">
        <v>26</v>
      </c>
      <c r="Q10" s="102">
        <v>-24.099999999999998</v>
      </c>
    </row>
    <row r="11" spans="1:17" x14ac:dyDescent="0.45">
      <c r="A11" s="54" t="s">
        <v>121</v>
      </c>
      <c r="B11" s="47">
        <v>232</v>
      </c>
      <c r="C11" s="42">
        <f>IF(B$3=0,0,B11/B$3)</f>
        <v>0.31564625850340133</v>
      </c>
      <c r="E11" s="59" t="s">
        <v>70</v>
      </c>
      <c r="F11" s="56" t="s">
        <v>25</v>
      </c>
      <c r="G11" s="44">
        <v>23</v>
      </c>
      <c r="H11" s="129">
        <f>IF(B$15=0,0,G11/B$15)</f>
        <v>0.11274509803921569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6.1205128205128192</v>
      </c>
      <c r="P11" s="115">
        <v>39</v>
      </c>
      <c r="Q11" s="103">
        <v>238.69999999999996</v>
      </c>
    </row>
    <row r="12" spans="1:17" x14ac:dyDescent="0.45">
      <c r="A12" s="51" t="s">
        <v>118</v>
      </c>
      <c r="B12" s="44">
        <v>123</v>
      </c>
      <c r="C12" s="37">
        <f>IF(B$3=0,0,B12/B$3)</f>
        <v>0.16734693877551021</v>
      </c>
      <c r="E12" s="59" t="s">
        <v>162</v>
      </c>
      <c r="F12" s="56" t="s">
        <v>163</v>
      </c>
      <c r="G12" s="44">
        <v>16</v>
      </c>
      <c r="H12" s="129">
        <f>IF(B$15=0,0,G12/B$15)</f>
        <v>7.8431372549019607E-2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0.98846153846153884</v>
      </c>
      <c r="P12" s="116">
        <v>26</v>
      </c>
      <c r="Q12" s="104">
        <v>25.70000000000001</v>
      </c>
    </row>
    <row r="13" spans="1:17" x14ac:dyDescent="0.45">
      <c r="A13" s="50" t="s">
        <v>123</v>
      </c>
      <c r="B13" s="43">
        <f>B19</f>
        <v>127</v>
      </c>
      <c r="C13" s="35">
        <f>IF(B$11=0,0,B13/B$11)</f>
        <v>0.54741379310344829</v>
      </c>
      <c r="E13" s="59" t="s">
        <v>71</v>
      </c>
      <c r="F13" s="56" t="s">
        <v>26</v>
      </c>
      <c r="G13" s="44">
        <v>11</v>
      </c>
      <c r="H13" s="129">
        <f>IF(B$15=0,0,G13/B$15)</f>
        <v>5.3921568627450983E-2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49</v>
      </c>
      <c r="C14" s="35">
        <f>IF(B$12=0,0,B14/B$12)</f>
        <v>0.3983739837398374</v>
      </c>
      <c r="E14" s="59" t="s">
        <v>83</v>
      </c>
      <c r="F14" s="56" t="s">
        <v>38</v>
      </c>
      <c r="G14" s="44">
        <v>7</v>
      </c>
      <c r="H14" s="129">
        <f>IF(B$15=0,0,G14/B$15)</f>
        <v>3.4313725490196081E-2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204</v>
      </c>
      <c r="C15" s="35">
        <f>IF(B$3=0,0,B15/B$3)</f>
        <v>0.27755102040816326</v>
      </c>
      <c r="E15" s="59" t="s">
        <v>86</v>
      </c>
      <c r="F15" s="56" t="s">
        <v>41</v>
      </c>
      <c r="G15" s="44">
        <v>5</v>
      </c>
      <c r="H15" s="129">
        <f>IF(B$15=0,0,G15/B$15)</f>
        <v>2.4509803921568627E-2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131</v>
      </c>
      <c r="C16" s="37">
        <f>IF(B$3=0,0,B16/B$3)</f>
        <v>0.17823129251700681</v>
      </c>
      <c r="E16" s="59" t="s">
        <v>81</v>
      </c>
      <c r="F16" s="56" t="s">
        <v>36</v>
      </c>
      <c r="G16" s="44">
        <v>4</v>
      </c>
      <c r="H16" s="129">
        <f>IF(B$15=0,0,G16/B$15)</f>
        <v>1.9607843137254902E-2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32.931249999999999</v>
      </c>
      <c r="P16" s="115">
        <v>16</v>
      </c>
      <c r="Q16" s="103">
        <v>526.9</v>
      </c>
    </row>
    <row r="17" spans="1:17" x14ac:dyDescent="0.45">
      <c r="A17" s="51" t="s">
        <v>12</v>
      </c>
      <c r="B17" s="44">
        <v>108</v>
      </c>
      <c r="C17" s="37">
        <f>IF(B$15=0,0,B17/B$15)</f>
        <v>0.52941176470588236</v>
      </c>
      <c r="E17" s="59" t="s">
        <v>91</v>
      </c>
      <c r="F17" s="56" t="s">
        <v>46</v>
      </c>
      <c r="G17" s="44">
        <v>4</v>
      </c>
      <c r="H17" s="129">
        <f>IF(B$15=0,0,G17/B$15)</f>
        <v>1.9607843137254902E-2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9.7285714285714313</v>
      </c>
      <c r="P17" s="115">
        <v>21</v>
      </c>
      <c r="Q17" s="103">
        <v>204.30000000000004</v>
      </c>
    </row>
    <row r="18" spans="1:17" x14ac:dyDescent="0.45">
      <c r="A18" s="51" t="s">
        <v>11</v>
      </c>
      <c r="B18" s="44">
        <v>96</v>
      </c>
      <c r="C18" s="37">
        <f>IF(B$15=0,0,B18/B$15)</f>
        <v>0.47058823529411764</v>
      </c>
      <c r="E18" s="59" t="s">
        <v>92</v>
      </c>
      <c r="F18" s="56" t="s">
        <v>47</v>
      </c>
      <c r="G18" s="44">
        <v>4</v>
      </c>
      <c r="H18" s="129">
        <f>IF(B$15=0,0,G18/B$15)</f>
        <v>1.9607843137254902E-2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6.2608695652173889</v>
      </c>
      <c r="P18" s="115">
        <v>46</v>
      </c>
      <c r="Q18" s="103">
        <v>287.99999999999989</v>
      </c>
    </row>
    <row r="19" spans="1:17" x14ac:dyDescent="0.45">
      <c r="A19" s="51" t="s">
        <v>195</v>
      </c>
      <c r="B19" s="44">
        <v>127</v>
      </c>
      <c r="C19" s="37">
        <f>IF(B$15=0,0,B19/B$15)</f>
        <v>0.62254901960784315</v>
      </c>
      <c r="E19" s="59" t="s">
        <v>73</v>
      </c>
      <c r="F19" s="56" t="s">
        <v>28</v>
      </c>
      <c r="G19" s="44">
        <v>2</v>
      </c>
      <c r="H19" s="129">
        <f>IF(B$15=0,0,G19/B$15)</f>
        <v>9.8039215686274508E-3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3.8054054054054034</v>
      </c>
      <c r="P19" s="115">
        <v>37</v>
      </c>
      <c r="Q19" s="103">
        <v>140.79999999999993</v>
      </c>
    </row>
    <row r="20" spans="1:17" x14ac:dyDescent="0.45">
      <c r="A20" s="51" t="s">
        <v>193</v>
      </c>
      <c r="B20" s="44">
        <v>49</v>
      </c>
      <c r="C20" s="37">
        <f>IF(B$15=0,0,B20/B$15)</f>
        <v>0.24019607843137256</v>
      </c>
      <c r="E20" s="59" t="s">
        <v>78</v>
      </c>
      <c r="F20" s="56" t="s">
        <v>33</v>
      </c>
      <c r="G20" s="44">
        <v>2</v>
      </c>
      <c r="H20" s="129">
        <f>IF(B$15=0,0,G20/B$15)</f>
        <v>9.8039215686274508E-3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-5.0235294117647058</v>
      </c>
      <c r="P20" s="115">
        <v>17</v>
      </c>
      <c r="Q20" s="103">
        <v>-85.4</v>
      </c>
    </row>
    <row r="21" spans="1:17" x14ac:dyDescent="0.45">
      <c r="A21" s="51" t="s">
        <v>194</v>
      </c>
      <c r="B21" s="44">
        <v>28</v>
      </c>
      <c r="C21" s="37">
        <f>IF(B$15=0,0,B21/B$15)</f>
        <v>0.13725490196078433</v>
      </c>
      <c r="E21" s="59" t="s">
        <v>79</v>
      </c>
      <c r="F21" s="56" t="s">
        <v>34</v>
      </c>
      <c r="G21" s="44">
        <v>2</v>
      </c>
      <c r="H21" s="129">
        <f>IF(B$15=0,0,G21/B$15)</f>
        <v>9.8039215686274508E-3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-7.6833333333333353</v>
      </c>
      <c r="P21" s="115">
        <v>36</v>
      </c>
      <c r="Q21" s="103">
        <v>-276.60000000000008</v>
      </c>
    </row>
    <row r="22" spans="1:17" x14ac:dyDescent="0.45">
      <c r="A22" s="51" t="s">
        <v>5</v>
      </c>
      <c r="B22" s="48">
        <f>IF(B$15=0,0,C22/B$15)</f>
        <v>10912.254901960785</v>
      </c>
      <c r="C22" s="39">
        <v>2226100</v>
      </c>
      <c r="E22" s="59" t="s">
        <v>90</v>
      </c>
      <c r="F22" s="56" t="s">
        <v>45</v>
      </c>
      <c r="G22" s="44">
        <v>2</v>
      </c>
      <c r="H22" s="129">
        <f>IF(B$15=0,0,G22/B$15)</f>
        <v>9.8039215686274508E-3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11670.967741935483</v>
      </c>
      <c r="C23" s="137">
        <v>1809000</v>
      </c>
      <c r="E23" s="59" t="s">
        <v>75</v>
      </c>
      <c r="F23" s="56" t="s">
        <v>30</v>
      </c>
      <c r="G23" s="44">
        <v>1</v>
      </c>
      <c r="H23" s="129">
        <f>IF(B$15=0,0,G23/B$15)</f>
        <v>4.9019607843137254E-3</v>
      </c>
      <c r="I23" s="90">
        <v>7</v>
      </c>
      <c r="K23" s="36">
        <v>21</v>
      </c>
      <c r="L23" s="95">
        <v>-59.89999999999997</v>
      </c>
    </row>
    <row r="24" spans="1:17" x14ac:dyDescent="0.45">
      <c r="A24" s="52" t="s">
        <v>178</v>
      </c>
      <c r="B24" s="136">
        <f>IF(B$14=0,0,C24/B$14)</f>
        <v>8512.2448979591845</v>
      </c>
      <c r="C24" s="137">
        <v>417100</v>
      </c>
      <c r="E24" s="59" t="s">
        <v>84</v>
      </c>
      <c r="F24" s="56" t="s">
        <v>39</v>
      </c>
      <c r="G24" s="44">
        <v>1</v>
      </c>
      <c r="H24" s="129">
        <f>IF(B$15=0,0,G24/B$15)</f>
        <v>4.9019607843137254E-3</v>
      </c>
      <c r="I24" s="90">
        <v>3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-8400.7633587786258</v>
      </c>
      <c r="C25" s="137">
        <v>-1100500</v>
      </c>
      <c r="E25" s="59" t="s">
        <v>85</v>
      </c>
      <c r="F25" s="56" t="s">
        <v>40</v>
      </c>
      <c r="G25" s="44">
        <v>1</v>
      </c>
      <c r="H25" s="129">
        <f>IF(B$15=0,0,G25/B$15)</f>
        <v>4.9019607843137254E-3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4.9019607843137254E-3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97</v>
      </c>
      <c r="F27" s="56" t="s">
        <v>52</v>
      </c>
      <c r="G27" s="44">
        <v>1</v>
      </c>
      <c r="H27" s="129">
        <f>IF(B$15=0,0,G27/B$15)</f>
        <v>4.9019607843137254E-3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2.4509803921568627E-2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18</v>
      </c>
      <c r="C33" s="37">
        <f t="shared" ref="C33:C44" si="2">IF(B$15=0,0,B33/B$15)</f>
        <v>8.8235294117647065E-2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25</v>
      </c>
      <c r="C34" s="37">
        <f>IF(B$15=0,0,B34/B$15)</f>
        <v>0.12254901960784313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36</v>
      </c>
      <c r="C35" s="37">
        <f t="shared" si="2"/>
        <v>0.17647058823529413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52</v>
      </c>
      <c r="C36" s="37">
        <f t="shared" si="2"/>
        <v>0.25490196078431371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21</v>
      </c>
      <c r="C37" s="37">
        <f t="shared" si="2"/>
        <v>0.10294117647058823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19</v>
      </c>
      <c r="C38" s="37">
        <f t="shared" si="2"/>
        <v>9.3137254901960786E-2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14</v>
      </c>
      <c r="C39" s="37">
        <f t="shared" si="2"/>
        <v>6.8627450980392163E-2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3</v>
      </c>
      <c r="C40" s="37">
        <f t="shared" si="2"/>
        <v>1.4705882352941176E-2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9.8039215686274508E-3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9.8039215686274508E-3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4.9019607843137254E-3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2.9411764705882353E-2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0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107</v>
      </c>
      <c r="C2" s="155"/>
      <c r="E2" s="58" t="s">
        <v>66</v>
      </c>
      <c r="F2" s="55" t="s">
        <v>22</v>
      </c>
      <c r="G2" s="43">
        <v>193</v>
      </c>
      <c r="H2" s="128">
        <f>IF(B$15=0,0,G2/B$15)</f>
        <v>0.7689243027888446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464.48598130841123</v>
      </c>
      <c r="P2" s="114">
        <v>107</v>
      </c>
      <c r="Q2" s="98">
        <v>49700</v>
      </c>
    </row>
    <row r="3" spans="1:17" x14ac:dyDescent="0.45">
      <c r="A3" s="51" t="s">
        <v>8</v>
      </c>
      <c r="B3" s="156">
        <v>858</v>
      </c>
      <c r="C3" s="157"/>
      <c r="E3" s="59" t="s">
        <v>72</v>
      </c>
      <c r="F3" s="56" t="s">
        <v>27</v>
      </c>
      <c r="G3" s="44">
        <v>140</v>
      </c>
      <c r="H3" s="129">
        <f>IF(B$15=0,0,G3/B$15)</f>
        <v>0.55776892430278879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556.73076923076928</v>
      </c>
      <c r="P3" s="115">
        <v>104</v>
      </c>
      <c r="Q3" s="99">
        <v>57900</v>
      </c>
    </row>
    <row r="4" spans="1:17" x14ac:dyDescent="0.45">
      <c r="A4" s="51" t="s">
        <v>6</v>
      </c>
      <c r="B4" s="158">
        <v>106.29999999999998</v>
      </c>
      <c r="C4" s="159"/>
      <c r="E4" s="59" t="s">
        <v>64</v>
      </c>
      <c r="F4" s="56" t="s">
        <v>20</v>
      </c>
      <c r="G4" s="44">
        <v>129</v>
      </c>
      <c r="H4" s="129">
        <f>IF(B$15=0,0,G4/B$15)</f>
        <v>0.51394422310756971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326.53061224489795</v>
      </c>
      <c r="P4" s="115">
        <v>98</v>
      </c>
      <c r="Q4" s="99">
        <v>32000</v>
      </c>
    </row>
    <row r="5" spans="1:17" x14ac:dyDescent="0.45">
      <c r="A5" s="51" t="s">
        <v>7</v>
      </c>
      <c r="B5" s="160">
        <f>IF(B$2=0,0,B$4/B$2)</f>
        <v>0.99345794392523346</v>
      </c>
      <c r="C5" s="161"/>
      <c r="E5" s="59" t="s">
        <v>166</v>
      </c>
      <c r="F5" s="56" t="s">
        <v>167</v>
      </c>
      <c r="G5" s="44">
        <v>115</v>
      </c>
      <c r="H5" s="129">
        <f>IF(B$15=0,0,G5/B$15)</f>
        <v>0.45816733067729082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187.64044943820224</v>
      </c>
      <c r="P5" s="115">
        <v>89</v>
      </c>
      <c r="Q5" s="99">
        <v>16700</v>
      </c>
    </row>
    <row r="6" spans="1:17" x14ac:dyDescent="0.45">
      <c r="A6" s="51" t="s">
        <v>1</v>
      </c>
      <c r="B6" s="150">
        <f>IF(B$2=0,0,(B$7*1+B$8*2+B$9*3)/B$2)</f>
        <v>2.0093457943925235</v>
      </c>
      <c r="C6" s="151"/>
      <c r="E6" s="59" t="s">
        <v>67</v>
      </c>
      <c r="F6" s="56" t="s">
        <v>23</v>
      </c>
      <c r="G6" s="44">
        <v>95</v>
      </c>
      <c r="H6" s="129">
        <f>IF(B$15=0,0,G6/B$15)</f>
        <v>0.37848605577689243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-235.89743589743588</v>
      </c>
      <c r="P6" s="115">
        <v>78</v>
      </c>
      <c r="Q6" s="99">
        <v>-18400</v>
      </c>
    </row>
    <row r="7" spans="1:17" x14ac:dyDescent="0.45">
      <c r="A7" s="51" t="s">
        <v>2</v>
      </c>
      <c r="B7" s="44">
        <v>28</v>
      </c>
      <c r="C7" s="37">
        <f t="shared" ref="C7:C10" si="1">IF(B$2=0,0,B7/B$2)</f>
        <v>0.26168224299065418</v>
      </c>
      <c r="E7" s="59" t="s">
        <v>68</v>
      </c>
      <c r="F7" s="56" t="s">
        <v>12</v>
      </c>
      <c r="G7" s="44">
        <v>83</v>
      </c>
      <c r="H7" s="129">
        <f>IF(B$15=0,0,G7/B$15)</f>
        <v>0.33067729083665337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-764.17910447761199</v>
      </c>
      <c r="P7" s="116">
        <v>67</v>
      </c>
      <c r="Q7" s="100">
        <v>-51200</v>
      </c>
    </row>
    <row r="8" spans="1:17" x14ac:dyDescent="0.45">
      <c r="A8" s="51" t="s">
        <v>3</v>
      </c>
      <c r="B8" s="44">
        <v>50</v>
      </c>
      <c r="C8" s="37">
        <f t="shared" si="1"/>
        <v>0.46728971962616822</v>
      </c>
      <c r="E8" s="59" t="s">
        <v>69</v>
      </c>
      <c r="F8" s="56" t="s">
        <v>24</v>
      </c>
      <c r="G8" s="44">
        <v>35</v>
      </c>
      <c r="H8" s="129">
        <f>IF(B$15=0,0,G8/B$15)</f>
        <v>0.1394422310756972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0.27102803738317754</v>
      </c>
      <c r="E9" s="59" t="s">
        <v>89</v>
      </c>
      <c r="F9" s="56" t="s">
        <v>44</v>
      </c>
      <c r="G9" s="44">
        <v>28</v>
      </c>
      <c r="H9" s="129">
        <f>IF(B$15=0,0,G9/B$15)</f>
        <v>0.11155378486055777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7.476635514018691E-2</v>
      </c>
      <c r="E10" s="59" t="s">
        <v>71</v>
      </c>
      <c r="F10" s="56" t="s">
        <v>26</v>
      </c>
      <c r="G10" s="44">
        <v>24</v>
      </c>
      <c r="H10" s="129">
        <f>IF(B$15=0,0,G10/B$15)</f>
        <v>9.5617529880478086E-2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0.6297872340425531</v>
      </c>
      <c r="P10" s="114">
        <v>47</v>
      </c>
      <c r="Q10" s="102">
        <v>29.599999999999994</v>
      </c>
    </row>
    <row r="11" spans="1:17" x14ac:dyDescent="0.45">
      <c r="A11" s="54" t="s">
        <v>121</v>
      </c>
      <c r="B11" s="47">
        <v>234</v>
      </c>
      <c r="C11" s="42">
        <f>IF(B$3=0,0,B11/B$3)</f>
        <v>0.27272727272727271</v>
      </c>
      <c r="E11" s="59" t="s">
        <v>65</v>
      </c>
      <c r="F11" s="56" t="s">
        <v>21</v>
      </c>
      <c r="G11" s="44">
        <v>20</v>
      </c>
      <c r="H11" s="129">
        <f>IF(B$15=0,0,G11/B$15)</f>
        <v>7.9681274900398405E-2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2.7843750000000007</v>
      </c>
      <c r="P11" s="115">
        <v>32</v>
      </c>
      <c r="Q11" s="103">
        <v>89.100000000000023</v>
      </c>
    </row>
    <row r="12" spans="1:17" x14ac:dyDescent="0.45">
      <c r="A12" s="51" t="s">
        <v>118</v>
      </c>
      <c r="B12" s="44">
        <v>186</v>
      </c>
      <c r="C12" s="37">
        <f>IF(B$3=0,0,B12/B$3)</f>
        <v>0.21678321678321677</v>
      </c>
      <c r="E12" s="59" t="s">
        <v>70</v>
      </c>
      <c r="F12" s="56" t="s">
        <v>25</v>
      </c>
      <c r="G12" s="44">
        <v>19</v>
      </c>
      <c r="H12" s="129">
        <f>IF(B$15=0,0,G12/B$15)</f>
        <v>7.5697211155378488E-2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-0.44285714285714306</v>
      </c>
      <c r="P12" s="116">
        <v>28</v>
      </c>
      <c r="Q12" s="104">
        <v>-12.400000000000006</v>
      </c>
    </row>
    <row r="13" spans="1:17" x14ac:dyDescent="0.45">
      <c r="A13" s="50" t="s">
        <v>123</v>
      </c>
      <c r="B13" s="43">
        <f>B19</f>
        <v>135</v>
      </c>
      <c r="C13" s="35">
        <f>IF(B$11=0,0,B13/B$11)</f>
        <v>0.57692307692307687</v>
      </c>
      <c r="E13" s="59" t="s">
        <v>86</v>
      </c>
      <c r="F13" s="56" t="s">
        <v>41</v>
      </c>
      <c r="G13" s="44">
        <v>13</v>
      </c>
      <c r="H13" s="129">
        <f>IF(B$15=0,0,G13/B$15)</f>
        <v>5.1792828685258967E-2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0.43548387096774194</v>
      </c>
      <c r="E14" s="59" t="s">
        <v>83</v>
      </c>
      <c r="F14" s="56" t="s">
        <v>38</v>
      </c>
      <c r="G14" s="44">
        <v>9</v>
      </c>
      <c r="H14" s="129">
        <f>IF(B$15=0,0,G14/B$15)</f>
        <v>3.5856573705179286E-2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251</v>
      </c>
      <c r="C15" s="35">
        <f>IF(B$3=0,0,B15/B$3)</f>
        <v>0.29254079254079252</v>
      </c>
      <c r="E15" s="59" t="s">
        <v>79</v>
      </c>
      <c r="F15" s="56" t="s">
        <v>34</v>
      </c>
      <c r="G15" s="44">
        <v>6</v>
      </c>
      <c r="H15" s="129">
        <f>IF(B$15=0,0,G15/B$15)</f>
        <v>2.3904382470119521E-2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116</v>
      </c>
      <c r="C16" s="37">
        <f>IF(B$3=0,0,B16/B$3)</f>
        <v>0.1351981351981352</v>
      </c>
      <c r="E16" s="59" t="s">
        <v>162</v>
      </c>
      <c r="F16" s="56" t="s">
        <v>163</v>
      </c>
      <c r="G16" s="44">
        <v>6</v>
      </c>
      <c r="H16" s="129">
        <f>IF(B$15=0,0,G16/B$15)</f>
        <v>2.3904382470119521E-2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112</v>
      </c>
      <c r="C17" s="37">
        <f>IF(B$15=0,0,B17/B$15)</f>
        <v>0.44621513944223107</v>
      </c>
      <c r="E17" s="59" t="s">
        <v>73</v>
      </c>
      <c r="F17" s="56" t="s">
        <v>28</v>
      </c>
      <c r="G17" s="44">
        <v>4</v>
      </c>
      <c r="H17" s="129">
        <f>IF(B$15=0,0,G17/B$15)</f>
        <v>1.5936254980079681E-2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139</v>
      </c>
      <c r="C18" s="37">
        <f>IF(B$15=0,0,B18/B$15)</f>
        <v>0.55378486055776888</v>
      </c>
      <c r="E18" s="59" t="s">
        <v>81</v>
      </c>
      <c r="F18" s="56" t="s">
        <v>36</v>
      </c>
      <c r="G18" s="44">
        <v>4</v>
      </c>
      <c r="H18" s="129">
        <f>IF(B$15=0,0,G18/B$15)</f>
        <v>1.5936254980079681E-2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13.965000000000003</v>
      </c>
      <c r="P18" s="115">
        <v>20</v>
      </c>
      <c r="Q18" s="103">
        <v>279.30000000000007</v>
      </c>
    </row>
    <row r="19" spans="1:17" x14ac:dyDescent="0.45">
      <c r="A19" s="51" t="s">
        <v>195</v>
      </c>
      <c r="B19" s="44">
        <v>135</v>
      </c>
      <c r="C19" s="37">
        <f>IF(B$15=0,0,B19/B$15)</f>
        <v>0.53784860557768921</v>
      </c>
      <c r="E19" s="59" t="s">
        <v>78</v>
      </c>
      <c r="F19" s="56" t="s">
        <v>33</v>
      </c>
      <c r="G19" s="44">
        <v>3</v>
      </c>
      <c r="H19" s="129">
        <f>IF(B$15=0,0,G19/B$15)</f>
        <v>1.1952191235059761E-2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81</v>
      </c>
      <c r="C20" s="37">
        <f>IF(B$15=0,0,B20/B$15)</f>
        <v>0.32270916334661354</v>
      </c>
      <c r="E20" s="59" t="s">
        <v>85</v>
      </c>
      <c r="F20" s="56" t="s">
        <v>40</v>
      </c>
      <c r="G20" s="44">
        <v>2</v>
      </c>
      <c r="H20" s="129">
        <f>IF(B$15=0,0,G20/B$15)</f>
        <v>7.9681274900398405E-3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>IF(P20=0,0,Q20/P20)</f>
        <v>5.647619047619048</v>
      </c>
      <c r="P20" s="115">
        <v>21</v>
      </c>
      <c r="Q20" s="103">
        <v>118.60000000000001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0.1394422310756972</v>
      </c>
      <c r="E21" s="59" t="s">
        <v>91</v>
      </c>
      <c r="F21" s="56" t="s">
        <v>46</v>
      </c>
      <c r="G21" s="44">
        <v>2</v>
      </c>
      <c r="H21" s="129">
        <f>IF(B$15=0,0,G21/B$15)</f>
        <v>7.9681274900398405E-3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8514.3426294820711</v>
      </c>
      <c r="C22" s="39">
        <v>2137100</v>
      </c>
      <c r="E22" s="59" t="s">
        <v>74</v>
      </c>
      <c r="F22" s="56" t="s">
        <v>29</v>
      </c>
      <c r="G22" s="44">
        <v>1</v>
      </c>
      <c r="H22" s="129">
        <f>IF(B$15=0,0,G22/B$15)</f>
        <v>3.9840637450199202E-3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>IF(P22=0,0,Q22/P22)</f>
        <v>-6.2608695652173916</v>
      </c>
      <c r="P22" s="115">
        <v>46</v>
      </c>
      <c r="Q22" s="103">
        <v>-288</v>
      </c>
    </row>
    <row r="23" spans="1:17" x14ac:dyDescent="0.45">
      <c r="A23" s="52" t="s">
        <v>177</v>
      </c>
      <c r="B23" s="136">
        <f>IF($B$15-B$14=0,0,C23/($B$15-B$14))</f>
        <v>9399.4117647058829</v>
      </c>
      <c r="C23" s="137">
        <v>1597900</v>
      </c>
      <c r="E23" s="59" t="s">
        <v>75</v>
      </c>
      <c r="F23" s="56" t="s">
        <v>30</v>
      </c>
      <c r="G23" s="44">
        <v>1</v>
      </c>
      <c r="H23" s="129">
        <f>IF(B$15=0,0,G23/B$15)</f>
        <v>3.9840637450199202E-3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>IF(P23=0,0,Q23/P23)</f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6656.7901234567898</v>
      </c>
      <c r="C24" s="137">
        <v>539200</v>
      </c>
      <c r="E24" s="59" t="s">
        <v>87</v>
      </c>
      <c r="F24" s="56" t="s">
        <v>42</v>
      </c>
      <c r="G24" s="44">
        <v>1</v>
      </c>
      <c r="H24" s="129">
        <f>IF(B$15=0,0,G24/B$15)</f>
        <v>3.9840637450199202E-3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-7597.4137931034484</v>
      </c>
      <c r="C25" s="137">
        <v>-881300</v>
      </c>
      <c r="E25" s="59" t="s">
        <v>88</v>
      </c>
      <c r="F25" s="56" t="s">
        <v>43</v>
      </c>
      <c r="G25" s="44">
        <v>1</v>
      </c>
      <c r="H25" s="129">
        <f>IF(B$15=0,0,G25/B$15)</f>
        <v>3.9840637450199202E-3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93</v>
      </c>
      <c r="F26" s="56" t="s">
        <v>48</v>
      </c>
      <c r="G26" s="44">
        <v>1</v>
      </c>
      <c r="H26" s="129">
        <f>IF(B$15=0,0,G26/B$15)</f>
        <v>3.9840637450199202E-3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6</v>
      </c>
      <c r="E27" s="59" t="s">
        <v>101</v>
      </c>
      <c r="F27" s="56" t="s">
        <v>56</v>
      </c>
      <c r="G27" s="44">
        <v>1</v>
      </c>
      <c r="H27" s="129">
        <f>IF(B$15=0,0,G27/B$15)</f>
        <v>3.9840637450199202E-3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2.331002331002331E-3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5.9760956175298807E-2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2">IF(B$15=0,0,B33/B$15)</f>
        <v>0.18326693227091634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49</v>
      </c>
      <c r="C34" s="37">
        <f>IF(B$15=0,0,B34/B$15)</f>
        <v>0.19521912350597609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43</v>
      </c>
      <c r="C35" s="37">
        <f t="shared" si="2"/>
        <v>0.17131474103585656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2"/>
        <v>0.15936254980079681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29</v>
      </c>
      <c r="C37" s="37">
        <f t="shared" si="2"/>
        <v>0.11553784860557768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2"/>
        <v>4.7808764940239043E-2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2.7888446215139442E-2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1.1952191235059761E-2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7.9681274900398405E-3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3.9840637450199202E-3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7.9681274900398405E-3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7.9681274900398405E-3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46</v>
      </c>
      <c r="C2" s="155"/>
      <c r="E2" s="58" t="s">
        <v>66</v>
      </c>
      <c r="F2" s="55" t="s">
        <v>22</v>
      </c>
      <c r="G2" s="43">
        <v>64</v>
      </c>
      <c r="H2" s="128">
        <f>IF(B$15=0,0,G2/B$15)</f>
        <v>0.65979381443298968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-1971.7391304347825</v>
      </c>
      <c r="P2" s="114">
        <v>46</v>
      </c>
      <c r="Q2" s="98">
        <v>-90700</v>
      </c>
    </row>
    <row r="3" spans="1:17" x14ac:dyDescent="0.45">
      <c r="A3" s="51" t="s">
        <v>8</v>
      </c>
      <c r="B3" s="156">
        <v>378</v>
      </c>
      <c r="C3" s="157"/>
      <c r="E3" s="59" t="s">
        <v>72</v>
      </c>
      <c r="F3" s="56" t="s">
        <v>27</v>
      </c>
      <c r="G3" s="44">
        <v>58</v>
      </c>
      <c r="H3" s="129">
        <f>IF(B$15=0,0,G3/B$15)</f>
        <v>0.59793814432989689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-132.60869565217391</v>
      </c>
      <c r="P3" s="115">
        <v>46</v>
      </c>
      <c r="Q3" s="99">
        <v>-6100</v>
      </c>
    </row>
    <row r="4" spans="1:17" x14ac:dyDescent="0.45">
      <c r="A4" s="51" t="s">
        <v>6</v>
      </c>
      <c r="B4" s="158">
        <v>-555.90000000000009</v>
      </c>
      <c r="C4" s="159"/>
      <c r="E4" s="59" t="s">
        <v>64</v>
      </c>
      <c r="F4" s="56" t="s">
        <v>20</v>
      </c>
      <c r="G4" s="44">
        <v>41</v>
      </c>
      <c r="H4" s="129">
        <f>IF(B$15=0,0,G4/B$15)</f>
        <v>0.42268041237113402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-1415.2173913043478</v>
      </c>
      <c r="P4" s="115">
        <v>46</v>
      </c>
      <c r="Q4" s="99">
        <v>-65100</v>
      </c>
    </row>
    <row r="5" spans="1:17" x14ac:dyDescent="0.45">
      <c r="A5" s="51" t="s">
        <v>7</v>
      </c>
      <c r="B5" s="160">
        <f>IF(B$2=0,0,B$4/B$2)</f>
        <v>-12.084782608695654</v>
      </c>
      <c r="C5" s="161"/>
      <c r="E5" s="59" t="s">
        <v>166</v>
      </c>
      <c r="F5" s="56" t="s">
        <v>167</v>
      </c>
      <c r="G5" s="44">
        <v>35</v>
      </c>
      <c r="H5" s="129">
        <f>IF(B$15=0,0,G5/B$15)</f>
        <v>0.36082474226804123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-3136.5853658536585</v>
      </c>
      <c r="P5" s="115">
        <v>41</v>
      </c>
      <c r="Q5" s="99">
        <v>-128600</v>
      </c>
    </row>
    <row r="6" spans="1:17" x14ac:dyDescent="0.45">
      <c r="A6" s="51" t="s">
        <v>1</v>
      </c>
      <c r="B6" s="150">
        <f>IF(B$2=0,0,(B$7*1+B$8*2+B$9*3)/B$2)</f>
        <v>2.3043478260869565</v>
      </c>
      <c r="C6" s="151"/>
      <c r="E6" s="59" t="s">
        <v>67</v>
      </c>
      <c r="F6" s="56" t="s">
        <v>23</v>
      </c>
      <c r="G6" s="44">
        <v>25</v>
      </c>
      <c r="H6" s="129">
        <f>IF(B$15=0,0,G6/B$15)</f>
        <v>0.25773195876288657</v>
      </c>
      <c r="I6" s="90">
        <v>8</v>
      </c>
      <c r="K6" s="36">
        <v>4</v>
      </c>
      <c r="L6" s="95">
        <v>-80.5</v>
      </c>
      <c r="N6" s="111" t="s">
        <v>134</v>
      </c>
      <c r="O6" s="118">
        <f t="shared" si="0"/>
        <v>-1261.5384615384614</v>
      </c>
      <c r="P6" s="115">
        <v>39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0.19565217391304349</v>
      </c>
      <c r="E7" s="59" t="s">
        <v>68</v>
      </c>
      <c r="F7" s="56" t="s">
        <v>12</v>
      </c>
      <c r="G7" s="44">
        <v>25</v>
      </c>
      <c r="H7" s="129">
        <f>IF(B$15=0,0,G7/B$15)</f>
        <v>0.25773195876288657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-2157.5757575757575</v>
      </c>
      <c r="P7" s="116">
        <v>33</v>
      </c>
      <c r="Q7" s="100">
        <v>-71200</v>
      </c>
    </row>
    <row r="8" spans="1:17" x14ac:dyDescent="0.45">
      <c r="A8" s="51" t="s">
        <v>3</v>
      </c>
      <c r="B8" s="44">
        <v>14</v>
      </c>
      <c r="C8" s="37">
        <f t="shared" si="1"/>
        <v>0.30434782608695654</v>
      </c>
      <c r="E8" s="59" t="s">
        <v>89</v>
      </c>
      <c r="F8" s="56" t="s">
        <v>44</v>
      </c>
      <c r="G8" s="44">
        <v>12</v>
      </c>
      <c r="H8" s="129">
        <f>IF(B$15=0,0,G8/B$15)</f>
        <v>0.12371134020618557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0.5</v>
      </c>
      <c r="E9" s="59" t="s">
        <v>70</v>
      </c>
      <c r="F9" s="56" t="s">
        <v>25</v>
      </c>
      <c r="G9" s="44">
        <v>11</v>
      </c>
      <c r="H9" s="129">
        <f>IF(B$15=0,0,G9/B$15)</f>
        <v>0.1134020618556701</v>
      </c>
      <c r="I9" s="90">
        <v>4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0.19565217391304349</v>
      </c>
      <c r="E10" s="59" t="s">
        <v>65</v>
      </c>
      <c r="F10" s="56" t="s">
        <v>21</v>
      </c>
      <c r="G10" s="44">
        <v>10</v>
      </c>
      <c r="H10" s="129">
        <f>IF(B$15=0,0,G10/B$15)</f>
        <v>0.10309278350515463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5">
      <c r="A11" s="54" t="s">
        <v>121</v>
      </c>
      <c r="B11" s="47">
        <v>77</v>
      </c>
      <c r="C11" s="42">
        <f>IF(B$3=0,0,B11/B$3)</f>
        <v>0.20370370370370369</v>
      </c>
      <c r="E11" s="59" t="s">
        <v>71</v>
      </c>
      <c r="F11" s="56" t="s">
        <v>26</v>
      </c>
      <c r="G11" s="44">
        <v>9</v>
      </c>
      <c r="H11" s="129">
        <f>IF(B$15=0,0,G11/B$15)</f>
        <v>9.2783505154639179E-2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82</v>
      </c>
      <c r="C12" s="37">
        <f>IF(B$3=0,0,B12/B$3)</f>
        <v>0.21693121693121692</v>
      </c>
      <c r="E12" s="59" t="s">
        <v>83</v>
      </c>
      <c r="F12" s="56" t="s">
        <v>38</v>
      </c>
      <c r="G12" s="44">
        <v>7</v>
      </c>
      <c r="H12" s="129">
        <f>IF(B$15=0,0,G12/B$15)</f>
        <v>7.2164948453608241E-2</v>
      </c>
      <c r="I12" s="90">
        <v>3</v>
      </c>
      <c r="K12" s="36">
        <v>10</v>
      </c>
      <c r="L12" s="95">
        <v>-151.1</v>
      </c>
      <c r="N12" s="112" t="s">
        <v>159</v>
      </c>
      <c r="O12" s="122">
        <f>IF(P12=0,0,Q12/P12)</f>
        <v>-5.0785714285714283</v>
      </c>
      <c r="P12" s="116">
        <v>14</v>
      </c>
      <c r="Q12" s="104">
        <v>-71.099999999999994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0.54545454545454541</v>
      </c>
      <c r="E13" s="59" t="s">
        <v>86</v>
      </c>
      <c r="F13" s="56" t="s">
        <v>41</v>
      </c>
      <c r="G13" s="44">
        <v>7</v>
      </c>
      <c r="H13" s="129">
        <f>IF(B$15=0,0,G13/B$15)</f>
        <v>7.2164948453608241E-2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36</v>
      </c>
      <c r="C14" s="35">
        <f>IF(B$12=0,0,B14/B$12)</f>
        <v>0.43902439024390244</v>
      </c>
      <c r="E14" s="59" t="s">
        <v>69</v>
      </c>
      <c r="F14" s="56" t="s">
        <v>24</v>
      </c>
      <c r="G14" s="44">
        <v>6</v>
      </c>
      <c r="H14" s="129">
        <f>IF(B$15=0,0,G14/B$15)</f>
        <v>6.1855670103092786E-2</v>
      </c>
      <c r="I14" s="90">
        <v>10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97</v>
      </c>
      <c r="C15" s="35">
        <f>IF(B$3=0,0,B15/B$3)</f>
        <v>0.25661375661375663</v>
      </c>
      <c r="E15" s="59" t="s">
        <v>81</v>
      </c>
      <c r="F15" s="56" t="s">
        <v>36</v>
      </c>
      <c r="G15" s="44">
        <v>2</v>
      </c>
      <c r="H15" s="129">
        <f>IF(B$15=0,0,G15/B$15)</f>
        <v>2.0618556701030927E-2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68</v>
      </c>
      <c r="C16" s="37">
        <f>IF(B$3=0,0,B16/B$3)</f>
        <v>0.17989417989417988</v>
      </c>
      <c r="E16" s="59" t="s">
        <v>91</v>
      </c>
      <c r="F16" s="56" t="s">
        <v>46</v>
      </c>
      <c r="G16" s="44">
        <v>2</v>
      </c>
      <c r="H16" s="129">
        <f>IF(B$15=0,0,G16/B$15)</f>
        <v>2.0618556701030927E-2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0.45360824742268041</v>
      </c>
      <c r="E17" s="59" t="s">
        <v>74</v>
      </c>
      <c r="F17" s="56" t="s">
        <v>29</v>
      </c>
      <c r="G17" s="44">
        <v>1</v>
      </c>
      <c r="H17" s="129">
        <f>IF(B$15=0,0,G17/B$15)</f>
        <v>1.0309278350515464E-2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-9.7285714285714295</v>
      </c>
      <c r="P17" s="115">
        <v>21</v>
      </c>
      <c r="Q17" s="103">
        <v>-204.3</v>
      </c>
    </row>
    <row r="18" spans="1:17" x14ac:dyDescent="0.45">
      <c r="A18" s="51" t="s">
        <v>11</v>
      </c>
      <c r="B18" s="44">
        <v>53</v>
      </c>
      <c r="C18" s="37">
        <f>IF(B$15=0,0,B18/B$15)</f>
        <v>0.54639175257731953</v>
      </c>
      <c r="E18" s="59" t="s">
        <v>78</v>
      </c>
      <c r="F18" s="56" t="s">
        <v>33</v>
      </c>
      <c r="G18" s="44">
        <v>1</v>
      </c>
      <c r="H18" s="129">
        <f>IF(B$15=0,0,G18/B$15)</f>
        <v>1.0309278350515464E-2</v>
      </c>
      <c r="I18" s="90">
        <v>7</v>
      </c>
      <c r="K18" s="36">
        <v>16</v>
      </c>
      <c r="L18" s="95">
        <v>-320.30000000000007</v>
      </c>
      <c r="N18" s="111" t="s">
        <v>203</v>
      </c>
      <c r="O18" s="121">
        <f t="shared" si="2"/>
        <v>-17.649999999999999</v>
      </c>
      <c r="P18" s="115">
        <v>2</v>
      </c>
      <c r="Q18" s="103">
        <v>-35.299999999999997</v>
      </c>
    </row>
    <row r="19" spans="1:17" x14ac:dyDescent="0.45">
      <c r="A19" s="51" t="s">
        <v>195</v>
      </c>
      <c r="B19" s="44">
        <v>42</v>
      </c>
      <c r="C19" s="37">
        <f>IF(B$15=0,0,B19/B$15)</f>
        <v>0.4329896907216495</v>
      </c>
      <c r="E19" s="59" t="s">
        <v>92</v>
      </c>
      <c r="F19" s="56" t="s">
        <v>47</v>
      </c>
      <c r="G19" s="44">
        <v>1</v>
      </c>
      <c r="H19" s="129">
        <f>IF(B$15=0,0,G19/B$15)</f>
        <v>1.0309278350515464E-2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-22.276923076923079</v>
      </c>
      <c r="P19" s="115">
        <v>13</v>
      </c>
      <c r="Q19" s="103">
        <v>-289.60000000000002</v>
      </c>
    </row>
    <row r="20" spans="1:17" x14ac:dyDescent="0.45">
      <c r="A20" s="51" t="s">
        <v>193</v>
      </c>
      <c r="B20" s="44">
        <v>36</v>
      </c>
      <c r="C20" s="37">
        <f>IF(B$15=0,0,B20/B$15)</f>
        <v>0.37113402061855671</v>
      </c>
      <c r="E20" s="59" t="s">
        <v>95</v>
      </c>
      <c r="F20" s="56" t="s">
        <v>50</v>
      </c>
      <c r="G20" s="44">
        <v>1</v>
      </c>
      <c r="H20" s="129">
        <f>IF(B$15=0,0,G20/B$15)</f>
        <v>1.0309278350515464E-2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-25.104347826086954</v>
      </c>
      <c r="P20" s="115">
        <v>23</v>
      </c>
      <c r="Q20" s="103">
        <v>-577.4</v>
      </c>
    </row>
    <row r="21" spans="1:17" x14ac:dyDescent="0.45">
      <c r="A21" s="51" t="s">
        <v>194</v>
      </c>
      <c r="B21" s="44">
        <v>19</v>
      </c>
      <c r="C21" s="37">
        <f>IF(B$15=0,0,B21/B$15)</f>
        <v>0.19587628865979381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126</v>
      </c>
      <c r="O21" s="121">
        <f t="shared" si="2"/>
        <v>-26.026666666666667</v>
      </c>
      <c r="P21" s="115">
        <v>15</v>
      </c>
      <c r="Q21" s="103">
        <v>-390.40000000000003</v>
      </c>
    </row>
    <row r="22" spans="1:17" x14ac:dyDescent="0.45">
      <c r="A22" s="51" t="s">
        <v>5</v>
      </c>
      <c r="B22" s="48">
        <f>IF(B$15=0,0,C22/B$15)</f>
        <v>7917.5257731958764</v>
      </c>
      <c r="C22" s="39">
        <v>768000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196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5">
      <c r="A23" s="52" t="s">
        <v>177</v>
      </c>
      <c r="B23" s="136">
        <f>IF($B$15-B$14=0,0,C23/($B$15-B$14))</f>
        <v>8375.4098360655735</v>
      </c>
      <c r="C23" s="137">
        <v>510900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228</v>
      </c>
      <c r="O23" s="121">
        <f t="shared" si="2"/>
        <v>-65.55</v>
      </c>
      <c r="P23" s="115">
        <v>2</v>
      </c>
      <c r="Q23" s="103">
        <v>-131.1</v>
      </c>
    </row>
    <row r="24" spans="1:17" x14ac:dyDescent="0.45">
      <c r="A24" s="52" t="s">
        <v>178</v>
      </c>
      <c r="B24" s="136">
        <f>IF(B$14=0,0,C24/B$14)</f>
        <v>7141.666666666667</v>
      </c>
      <c r="C24" s="137">
        <v>257100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</row>
    <row r="25" spans="1:17" x14ac:dyDescent="0.45">
      <c r="A25" s="52" t="s">
        <v>176</v>
      </c>
      <c r="B25" s="136">
        <f>IF(B$16=0,0,C25/B$16)</f>
        <v>-8198.5294117647063</v>
      </c>
      <c r="C25" s="137">
        <v>-557500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11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2.6455026455026454E-3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8.247422680412371E-2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0.22680412371134021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0.21649484536082475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0.13402061855670103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0.13402061855670103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6</v>
      </c>
      <c r="C37" s="37">
        <f t="shared" si="3"/>
        <v>6.1855670103092786E-2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6</v>
      </c>
      <c r="C38" s="37">
        <f t="shared" si="3"/>
        <v>6.1855670103092786E-2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5.1546391752577317E-2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1.0309278350515464E-2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2.0618556701030927E-2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9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9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3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2019-12-02T12:04:24Z</dcterms:modified>
</cp:coreProperties>
</file>