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5D132795-3C47-4F69-B11F-949F8FF1EEAF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0" i="6341" l="1"/>
  <c r="O17" i="6357"/>
  <c r="O19" i="6357"/>
  <c r="O22" i="6343"/>
  <c r="O23" i="6351" l="1"/>
  <c r="O15" i="6357"/>
  <c r="O19" i="6345" l="1"/>
  <c r="O18" i="6357"/>
  <c r="O20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8" i="6349"/>
  <c r="O20" i="6335"/>
  <c r="C19" i="6357" l="1"/>
  <c r="H8" i="6357"/>
  <c r="H9" i="6357"/>
  <c r="H5" i="6357"/>
  <c r="H20" i="6357"/>
  <c r="H12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3" i="6357"/>
  <c r="C32" i="6357"/>
  <c r="H35" i="6357"/>
  <c r="H38" i="6357"/>
  <c r="C40" i="6357"/>
  <c r="H43" i="6357"/>
  <c r="H47" i="6357"/>
  <c r="H7" i="6357"/>
  <c r="H14" i="6357"/>
  <c r="H15" i="6357"/>
  <c r="H24" i="6357"/>
  <c r="H6" i="6357"/>
  <c r="C15" i="6357"/>
  <c r="H16" i="6357"/>
  <c r="H29" i="6357"/>
  <c r="H2" i="6357"/>
  <c r="H3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2" i="6349"/>
  <c r="O16" i="6353" l="1"/>
  <c r="O23" i="6343"/>
  <c r="O21" i="6337" l="1"/>
  <c r="O17" i="6339"/>
  <c r="O15" i="6349"/>
  <c r="O23" i="6349"/>
  <c r="O19" i="6347" l="1"/>
  <c r="O18" i="6351"/>
  <c r="O17" i="6341" l="1"/>
  <c r="O17" i="6347"/>
  <c r="O19" i="6349"/>
  <c r="O20" i="6349"/>
  <c r="O16" i="6337" l="1"/>
  <c r="O17" i="6351"/>
  <c r="O19" i="6351"/>
  <c r="O18" i="6343"/>
  <c r="O22" i="6341" l="1"/>
  <c r="O20" i="6345"/>
  <c r="O21" i="6345" l="1"/>
  <c r="O22" i="6339"/>
  <c r="O25" i="6349"/>
  <c r="O17" i="6353"/>
  <c r="O15" i="6353"/>
  <c r="O21" i="6351"/>
  <c r="O15" i="6341" l="1"/>
  <c r="O21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8" i="6339" l="1"/>
  <c r="O19" i="6343"/>
  <c r="O20" i="6339" l="1"/>
  <c r="O22" i="6347"/>
  <c r="O24" i="6347"/>
  <c r="O17" i="6337"/>
  <c r="O16" i="6341"/>
  <c r="O17" i="6343"/>
  <c r="O21" i="6343"/>
  <c r="O18" i="6337"/>
  <c r="O18" i="6341"/>
  <c r="O16" i="6339"/>
  <c r="O20" i="6351"/>
  <c r="O22" i="6351"/>
  <c r="O23" i="6345" l="1"/>
  <c r="O18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7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1" i="6335"/>
  <c r="C14" i="6349" l="1"/>
  <c r="H12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0" i="6349"/>
  <c r="H6" i="6349"/>
  <c r="C38" i="6349"/>
  <c r="C18" i="6349"/>
  <c r="H42" i="6349"/>
  <c r="H45" i="6349"/>
  <c r="C21" i="6349"/>
  <c r="H35" i="6349"/>
  <c r="H4" i="6349"/>
  <c r="H2" i="6349"/>
  <c r="H11" i="6349"/>
  <c r="H17" i="6349"/>
  <c r="H23" i="6349"/>
  <c r="H25" i="6349"/>
  <c r="H37" i="6349"/>
  <c r="H49" i="6349"/>
  <c r="H24" i="6349"/>
  <c r="C19" i="6349"/>
  <c r="H13" i="6349"/>
  <c r="H31" i="6349"/>
  <c r="H20" i="6349"/>
  <c r="C36" i="6349"/>
  <c r="H40" i="6349"/>
  <c r="H43" i="6349"/>
  <c r="C44" i="6349"/>
  <c r="H50" i="6349"/>
  <c r="C17" i="6349"/>
  <c r="H15" i="6349"/>
  <c r="B22" i="6349"/>
  <c r="H32" i="6349"/>
  <c r="H34" i="6349"/>
  <c r="C34" i="6349"/>
  <c r="H38" i="6349"/>
  <c r="H41" i="6349"/>
  <c r="C42" i="6349"/>
  <c r="H46" i="6349"/>
  <c r="H21" i="6349"/>
  <c r="H7" i="6349"/>
  <c r="H22" i="6349"/>
  <c r="C15" i="6349"/>
  <c r="H26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4" i="6349"/>
  <c r="H8" i="6349"/>
  <c r="H19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2" i="6345"/>
  <c r="O17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20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2" i="6335"/>
  <c r="O24" i="6335"/>
  <c r="C34" i="6343" l="1"/>
  <c r="C18" i="6343"/>
  <c r="C14" i="6345"/>
  <c r="C14" i="6343"/>
  <c r="H23" i="6343"/>
  <c r="H2" i="6343"/>
  <c r="H3" i="6343"/>
  <c r="H9" i="6343"/>
  <c r="H8" i="6343"/>
  <c r="H4" i="6343"/>
  <c r="C42" i="6343"/>
  <c r="C19" i="6343"/>
  <c r="H36" i="6343"/>
  <c r="H22" i="6343"/>
  <c r="H19" i="6343"/>
  <c r="H14" i="6343"/>
  <c r="C21" i="6343"/>
  <c r="H20" i="6343"/>
  <c r="C38" i="6343"/>
  <c r="H6" i="6343"/>
  <c r="H24" i="6343"/>
  <c r="H10" i="6343"/>
  <c r="H12" i="6343"/>
  <c r="H40" i="6343"/>
  <c r="C14" i="6347"/>
  <c r="H7" i="6347"/>
  <c r="H11" i="6347"/>
  <c r="H27" i="6347"/>
  <c r="H8" i="6347"/>
  <c r="H28" i="6347"/>
  <c r="C19" i="6347"/>
  <c r="H14" i="6347"/>
  <c r="H24" i="6347"/>
  <c r="H36" i="6347"/>
  <c r="C36" i="6347"/>
  <c r="H41" i="6347"/>
  <c r="H43" i="6347"/>
  <c r="C44" i="6347"/>
  <c r="H50" i="6347"/>
  <c r="B22" i="6347"/>
  <c r="C34" i="6347"/>
  <c r="H46" i="6347"/>
  <c r="H6" i="6347"/>
  <c r="H17" i="6347"/>
  <c r="H15" i="6347"/>
  <c r="C20" i="6347"/>
  <c r="H33" i="6347"/>
  <c r="C32" i="6347"/>
  <c r="H37" i="6347"/>
  <c r="H40" i="6347"/>
  <c r="C40" i="6347"/>
  <c r="H44" i="6347"/>
  <c r="H48" i="6347"/>
  <c r="H5" i="6347"/>
  <c r="H10" i="6347"/>
  <c r="H23" i="6347"/>
  <c r="H22" i="6347"/>
  <c r="C17" i="6347"/>
  <c r="H19" i="6347"/>
  <c r="H25" i="6347"/>
  <c r="H26" i="6347"/>
  <c r="H39" i="6347"/>
  <c r="C42" i="6347"/>
  <c r="H16" i="6347"/>
  <c r="C15" i="6347"/>
  <c r="H20" i="6347"/>
  <c r="H4" i="6347"/>
  <c r="H2" i="6347"/>
  <c r="H12" i="6347"/>
  <c r="H3" i="6347"/>
  <c r="H29" i="6347"/>
  <c r="C18" i="6347"/>
  <c r="C21" i="6347"/>
  <c r="H21" i="6347"/>
  <c r="H35" i="6347"/>
  <c r="H38" i="6347"/>
  <c r="C38" i="6347"/>
  <c r="H42" i="6347"/>
  <c r="H45" i="6347"/>
  <c r="H49" i="6347"/>
  <c r="H52" i="6347"/>
  <c r="B23" i="6347"/>
  <c r="H18" i="6347"/>
  <c r="H30" i="6347"/>
  <c r="H31" i="6347"/>
  <c r="H32" i="6347"/>
  <c r="H13" i="6347"/>
  <c r="H9" i="6347"/>
  <c r="H34" i="6347"/>
  <c r="C33" i="6347"/>
  <c r="C35" i="6347"/>
  <c r="C37" i="6347"/>
  <c r="C39" i="6347"/>
  <c r="C41" i="6347"/>
  <c r="C43" i="6347"/>
  <c r="H47" i="6347"/>
  <c r="H6" i="6345"/>
  <c r="H10" i="6345"/>
  <c r="H13" i="6345"/>
  <c r="H29" i="6345"/>
  <c r="H22" i="6345"/>
  <c r="H9" i="6345"/>
  <c r="H30" i="6345"/>
  <c r="C20" i="6345"/>
  <c r="H37" i="6345"/>
  <c r="C40" i="6345"/>
  <c r="H48" i="6345"/>
  <c r="H33" i="6345"/>
  <c r="C32" i="6345"/>
  <c r="H42" i="6345"/>
  <c r="H5" i="6345"/>
  <c r="H21" i="6345"/>
  <c r="C18" i="6345"/>
  <c r="H14" i="6345"/>
  <c r="H35" i="6345"/>
  <c r="H39" i="6345"/>
  <c r="H44" i="6345"/>
  <c r="H7" i="6345"/>
  <c r="H25" i="6345"/>
  <c r="C21" i="6345"/>
  <c r="H28" i="6345"/>
  <c r="H49" i="6345"/>
  <c r="C15" i="6345"/>
  <c r="H24" i="6345"/>
  <c r="H4" i="6345"/>
  <c r="H2" i="6345"/>
  <c r="H11" i="6345"/>
  <c r="H3" i="6345"/>
  <c r="H26" i="6345"/>
  <c r="C19" i="6345"/>
  <c r="H20" i="6345"/>
  <c r="H18" i="6345"/>
  <c r="H36" i="6345"/>
  <c r="C38" i="6345"/>
  <c r="H45" i="6345"/>
  <c r="H52" i="6345"/>
  <c r="C36" i="6345"/>
  <c r="H40" i="6345"/>
  <c r="H43" i="6345"/>
  <c r="C44" i="6345"/>
  <c r="H50" i="6345"/>
  <c r="C17" i="6345"/>
  <c r="H17" i="6345"/>
  <c r="B22" i="6345"/>
  <c r="H34" i="6345"/>
  <c r="H27" i="6345"/>
  <c r="C34" i="6345"/>
  <c r="H38" i="6345"/>
  <c r="H41" i="6345"/>
  <c r="C42" i="6345"/>
  <c r="H46" i="6345"/>
  <c r="H12" i="6345"/>
  <c r="B23" i="6345"/>
  <c r="H16" i="6345"/>
  <c r="H31" i="6345"/>
  <c r="H32" i="6345"/>
  <c r="H23" i="6345"/>
  <c r="H15" i="6345"/>
  <c r="H8" i="6345"/>
  <c r="H19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1" i="6343"/>
  <c r="B23" i="6343"/>
  <c r="C15" i="6343"/>
  <c r="H16" i="6343"/>
  <c r="C20" i="6343"/>
  <c r="H28" i="6343"/>
  <c r="H30" i="6343"/>
  <c r="H34" i="6343"/>
  <c r="H38" i="6343"/>
  <c r="H42" i="6343"/>
  <c r="H46" i="6343"/>
  <c r="H52" i="6343"/>
  <c r="H15" i="6343"/>
  <c r="H25" i="6343"/>
  <c r="H26" i="6343"/>
  <c r="H27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19" i="6339"/>
  <c r="O21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19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3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2" i="6337"/>
  <c r="H11" i="6337"/>
  <c r="H27" i="6337"/>
  <c r="C14" i="6337"/>
  <c r="C14" i="6341"/>
  <c r="C15" i="6341"/>
  <c r="H6" i="6341"/>
  <c r="H21" i="6341"/>
  <c r="H8" i="6337"/>
  <c r="H10" i="6337"/>
  <c r="H22" i="6341"/>
  <c r="H15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6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3" i="6339"/>
  <c r="H9" i="6339"/>
  <c r="H31" i="6339"/>
  <c r="C19" i="6339"/>
  <c r="H14" i="6339"/>
  <c r="H34" i="6339"/>
  <c r="H27" i="6339"/>
  <c r="C36" i="6339"/>
  <c r="H41" i="6339"/>
  <c r="H44" i="6339"/>
  <c r="C44" i="6339"/>
  <c r="H50" i="6339"/>
  <c r="H10" i="6339"/>
  <c r="H6" i="6339"/>
  <c r="H11" i="6339"/>
  <c r="H19" i="6339"/>
  <c r="C17" i="6339"/>
  <c r="B22" i="6339"/>
  <c r="H26" i="6339"/>
  <c r="H35" i="6339"/>
  <c r="C34" i="6339"/>
  <c r="H39" i="6339"/>
  <c r="H42" i="6339"/>
  <c r="C42" i="6339"/>
  <c r="H29" i="6339"/>
  <c r="H7" i="6339"/>
  <c r="H30" i="6339"/>
  <c r="B23" i="6339"/>
  <c r="C15" i="6339"/>
  <c r="H20" i="6339"/>
  <c r="C20" i="6339"/>
  <c r="H21" i="6339"/>
  <c r="H28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8" i="6339"/>
  <c r="H36" i="6339"/>
  <c r="H38" i="6339"/>
  <c r="C38" i="6339"/>
  <c r="H43" i="6339"/>
  <c r="H46" i="6339"/>
  <c r="H49" i="6339"/>
  <c r="H52" i="6339"/>
  <c r="B24" i="6339"/>
  <c r="H15" i="6339"/>
  <c r="H32" i="6339"/>
  <c r="H33" i="6339"/>
  <c r="H24" i="6339"/>
  <c r="H12" i="6339"/>
  <c r="H8" i="6339"/>
  <c r="H22" i="6339"/>
  <c r="C33" i="6339"/>
  <c r="C35" i="6339"/>
  <c r="C37" i="6339"/>
  <c r="C39" i="6339"/>
  <c r="C41" i="6339"/>
  <c r="C43" i="6339"/>
  <c r="H47" i="6339"/>
  <c r="H25" i="6337"/>
  <c r="H5" i="6337"/>
  <c r="C19" i="6337"/>
  <c r="H34" i="6337"/>
  <c r="C36" i="6337"/>
  <c r="H39" i="6337"/>
  <c r="H42" i="6337"/>
  <c r="C44" i="6337"/>
  <c r="H49" i="6337"/>
  <c r="C17" i="6337"/>
  <c r="H14" i="6337"/>
  <c r="B22" i="6337"/>
  <c r="H20" i="6337"/>
  <c r="H21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22" i="6337"/>
  <c r="H7" i="6337"/>
  <c r="H26" i="6337"/>
  <c r="H16" i="6337"/>
  <c r="H6" i="6337"/>
  <c r="H2" i="6337"/>
  <c r="H9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19" i="6337"/>
  <c r="H28" i="6337"/>
  <c r="H29" i="6337"/>
  <c r="H24" i="6337"/>
  <c r="H15" i="6337"/>
  <c r="H13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3" i="6335"/>
  <c r="H28" i="6335"/>
  <c r="H31" i="6335"/>
  <c r="C36" i="6335"/>
  <c r="H42" i="6335"/>
  <c r="H44" i="6335"/>
  <c r="C44" i="6335"/>
  <c r="H50" i="6335"/>
  <c r="H20" i="6335"/>
  <c r="C17" i="6335"/>
  <c r="H27" i="6335"/>
  <c r="H30" i="6335"/>
  <c r="H40" i="6335"/>
  <c r="H33" i="6335"/>
  <c r="H34" i="6335"/>
  <c r="H16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7" i="6335"/>
  <c r="C42" i="6335"/>
  <c r="H7" i="6335"/>
  <c r="H23" i="6335"/>
  <c r="H21" i="6335"/>
  <c r="H4" i="6335"/>
  <c r="H2" i="6335"/>
  <c r="H11" i="6335"/>
  <c r="H3" i="6335"/>
  <c r="H26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4" i="6335"/>
  <c r="H9" i="6335"/>
  <c r="H22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<sst xmlns="http://schemas.openxmlformats.org/spreadsheetml/2006/main" count="3842" uniqueCount="299">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</sst>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全体!$K$2:$K$890</c:f>
              <c:numCache>
                <c:formatCode>General</c:formatCode>
                <c:ptCount val="8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</c:numCache>
            </c:numRef>
          </c:xVal>
          <c:yVal>
            <c:numRef>
              <c:f>全体!$L$2:$L$890</c:f>
              <c:numCache>
                <c:formatCode>\+0.0;\-0.0;\±0</c:formatCode>
                <c:ptCount val="88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-30.508474576271187</c:v>
                </c:pt>
                <c:pt idx="1">
                  <c:v>9.1638029782359673</c:v>
                </c:pt>
                <c:pt idx="2">
                  <c:v>-2.4330900243309004</c:v>
                </c:pt>
                <c:pt idx="3">
                  <c:v>9.043927648578812</c:v>
                </c:pt>
                <c:pt idx="4">
                  <c:v>4.2194092827004219</c:v>
                </c:pt>
                <c:pt idx="5">
                  <c:v>15.151515151515152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173</c:v>
                </c:pt>
                <c:pt idx="1">
                  <c:v>370</c:v>
                </c:pt>
                <c:pt idx="2">
                  <c:v>427</c:v>
                </c:pt>
                <c:pt idx="3">
                  <c:v>386</c:v>
                </c:pt>
                <c:pt idx="4">
                  <c:v>346</c:v>
                </c:pt>
                <c:pt idx="5">
                  <c:v>236</c:v>
                </c:pt>
                <c:pt idx="6">
                  <c:v>116</c:v>
                </c:pt>
                <c:pt idx="7">
                  <c:v>63</c:v>
                </c:pt>
                <c:pt idx="8">
                  <c:v>28</c:v>
                </c:pt>
                <c:pt idx="9">
                  <c:v>9</c:v>
                </c:pt>
                <c:pt idx="10">
                  <c:v>6</c:v>
                </c:pt>
                <c:pt idx="11">
                  <c:v>6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たかの!$L$2:$L$80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2233.3333333333335</c:v>
                </c:pt>
                <c:pt idx="1">
                  <c:v>-1844.1558441558441</c:v>
                </c:pt>
                <c:pt idx="2">
                  <c:v>-1763.5135135135135</c:v>
                </c:pt>
                <c:pt idx="3">
                  <c:v>-991.304347826087</c:v>
                </c:pt>
                <c:pt idx="4">
                  <c:v>-83.582089552238813</c:v>
                </c:pt>
                <c:pt idx="5">
                  <c:v>-2245.6140350877195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38</c:v>
                </c:pt>
                <c:pt idx="2">
                  <c:v>41</c:v>
                </c:pt>
                <c:pt idx="3">
                  <c:v>32</c:v>
                </c:pt>
                <c:pt idx="4">
                  <c:v>20</c:v>
                </c:pt>
                <c:pt idx="5">
                  <c:v>16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だいち!$K$2:$K$177</c:f>
              <c:numCache>
                <c:formatCode>General</c:formatCode>
                <c:ptCount val="1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</c:numCache>
            </c:numRef>
          </c:xVal>
          <c:yVal>
            <c:numRef>
              <c:f>だいち!$L$2:$L$177</c:f>
              <c:numCache>
                <c:formatCode>\+0.0;\-0.0;\±0</c:formatCode>
                <c:ptCount val="176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1105.7471264367816</c:v>
                </c:pt>
                <c:pt idx="1">
                  <c:v>1235.0877192982457</c:v>
                </c:pt>
                <c:pt idx="2">
                  <c:v>1126.8292682926829</c:v>
                </c:pt>
                <c:pt idx="3">
                  <c:v>296.73202614379085</c:v>
                </c:pt>
                <c:pt idx="4">
                  <c:v>1573.943661971831</c:v>
                </c:pt>
                <c:pt idx="5">
                  <c:v>2268.3760683760684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47</c:v>
                </c:pt>
                <c:pt idx="1">
                  <c:v>90</c:v>
                </c:pt>
                <c:pt idx="2">
                  <c:v>97</c:v>
                </c:pt>
                <c:pt idx="3">
                  <c:v>88</c:v>
                </c:pt>
                <c:pt idx="4">
                  <c:v>70</c:v>
                </c:pt>
                <c:pt idx="5">
                  <c:v>47</c:v>
                </c:pt>
                <c:pt idx="6">
                  <c:v>24</c:v>
                </c:pt>
                <c:pt idx="7">
                  <c:v>8</c:v>
                </c:pt>
                <c:pt idx="8">
                  <c:v>10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ただ!$K$2:$K$155</c:f>
              <c:numCache>
                <c:formatCode>General</c:formatCode>
                <c:ptCount val="1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</c:numCache>
            </c:numRef>
          </c:xVal>
          <c:yVal>
            <c:numRef>
              <c:f>ただ!$L$2:$L$155</c:f>
              <c:numCache>
                <c:formatCode>\+0.0;\-0.0;\±0</c:formatCode>
                <c:ptCount val="15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-1161.1842105263158</c:v>
                </c:pt>
                <c:pt idx="1">
                  <c:v>1249.3333333333333</c:v>
                </c:pt>
                <c:pt idx="2">
                  <c:v>-448.92086330935251</c:v>
                </c:pt>
                <c:pt idx="3">
                  <c:v>232.57575757575756</c:v>
                </c:pt>
                <c:pt idx="4">
                  <c:v>-1043.3333333333333</c:v>
                </c:pt>
                <c:pt idx="5">
                  <c:v>1098.0198019801981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28</c:v>
                </c:pt>
                <c:pt idx="1">
                  <c:v>66</c:v>
                </c:pt>
                <c:pt idx="2">
                  <c:v>81</c:v>
                </c:pt>
                <c:pt idx="3">
                  <c:v>77</c:v>
                </c:pt>
                <c:pt idx="4">
                  <c:v>58</c:v>
                </c:pt>
                <c:pt idx="5">
                  <c:v>41</c:v>
                </c:pt>
                <c:pt idx="6">
                  <c:v>13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りくと!$L$2:$L$99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-453.125</c:v>
                </c:pt>
                <c:pt idx="1">
                  <c:v>-558.33333333333337</c:v>
                </c:pt>
                <c:pt idx="2">
                  <c:v>418.88888888888891</c:v>
                </c:pt>
                <c:pt idx="3">
                  <c:v>-651.13636363636363</c:v>
                </c:pt>
                <c:pt idx="4">
                  <c:v>-2996.3855421686749</c:v>
                </c:pt>
                <c:pt idx="5">
                  <c:v>-2010.958904109589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16</c:v>
                </c:pt>
                <c:pt idx="1">
                  <c:v>39</c:v>
                </c:pt>
                <c:pt idx="2">
                  <c:v>51</c:v>
                </c:pt>
                <c:pt idx="3">
                  <c:v>34</c:v>
                </c:pt>
                <c:pt idx="4">
                  <c:v>38</c:v>
                </c:pt>
                <c:pt idx="5">
                  <c:v>23</c:v>
                </c:pt>
                <c:pt idx="6">
                  <c:v>13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れんたろう!$K$2:$K$126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</c:numCache>
            </c:numRef>
          </c:xVal>
          <c:yVal>
            <c:numRef>
              <c:f>れんたろう!$L$2:$L$126</c:f>
              <c:numCache>
                <c:formatCode>\+0.0;\-0.0;\±0</c:formatCode>
                <c:ptCount val="12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1470.9677419354839</c:v>
                </c:pt>
                <c:pt idx="1">
                  <c:v>-1598.360655737705</c:v>
                </c:pt>
                <c:pt idx="2">
                  <c:v>13.513513513513514</c:v>
                </c:pt>
                <c:pt idx="3">
                  <c:v>2242.8571428571427</c:v>
                </c:pt>
                <c:pt idx="4">
                  <c:v>1109.6774193548388</c:v>
                </c:pt>
                <c:pt idx="5">
                  <c:v>468.05555555555554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8</c:v>
                </c:pt>
                <c:pt idx="1">
                  <c:v>22</c:v>
                </c:pt>
                <c:pt idx="2">
                  <c:v>39</c:v>
                </c:pt>
                <c:pt idx="3">
                  <c:v>54</c:v>
                </c:pt>
                <c:pt idx="4">
                  <c:v>64</c:v>
                </c:pt>
                <c:pt idx="5">
                  <c:v>38</c:v>
                </c:pt>
                <c:pt idx="6">
                  <c:v>22</c:v>
                </c:pt>
                <c:pt idx="7">
                  <c:v>19</c:v>
                </c:pt>
                <c:pt idx="8">
                  <c:v>6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まっつん!$K$2:$K$141</c:f>
              <c:numCache>
                <c:formatCode>General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まっつん!$L$2:$L$141</c:f>
              <c:numCache>
                <c:formatCode>\+0.0;\-0.0;\±0</c:formatCode>
                <c:ptCount val="140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-302.15827338129498</c:v>
                </c:pt>
                <c:pt idx="1">
                  <c:v>-196.3235294117647</c:v>
                </c:pt>
                <c:pt idx="2">
                  <c:v>174.41860465116278</c:v>
                </c:pt>
                <c:pt idx="3">
                  <c:v>200</c:v>
                </c:pt>
                <c:pt idx="4">
                  <c:v>316.82242990654208</c:v>
                </c:pt>
                <c:pt idx="5">
                  <c:v>-1036.9565217391305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19</c:v>
                </c:pt>
                <c:pt idx="1">
                  <c:v>60</c:v>
                </c:pt>
                <c:pt idx="2">
                  <c:v>65</c:v>
                </c:pt>
                <c:pt idx="3">
                  <c:v>58</c:v>
                </c:pt>
                <c:pt idx="4">
                  <c:v>45</c:v>
                </c:pt>
                <c:pt idx="5">
                  <c:v>37</c:v>
                </c:pt>
                <c:pt idx="6">
                  <c:v>15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-2541.9354838709678</c:v>
                </c:pt>
                <c:pt idx="1">
                  <c:v>738.70967741935488</c:v>
                </c:pt>
                <c:pt idx="2">
                  <c:v>-691.52542372881351</c:v>
                </c:pt>
                <c:pt idx="3">
                  <c:v>-1784.9056603773586</c:v>
                </c:pt>
                <c:pt idx="4">
                  <c:v>-1862</c:v>
                </c:pt>
                <c:pt idx="5">
                  <c:v>-2182.9268292682927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27</c:v>
                </c:pt>
                <c:pt idx="3">
                  <c:v>21</c:v>
                </c:pt>
                <c:pt idx="4">
                  <c:v>19</c:v>
                </c:pt>
                <c:pt idx="5">
                  <c:v>11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-2923.0769230769229</c:v>
                </c:pt>
                <c:pt idx="1">
                  <c:v>-430.76923076923077</c:v>
                </c:pt>
                <c:pt idx="2">
                  <c:v>-2992.3076923076924</c:v>
                </c:pt>
                <c:pt idx="3">
                  <c:v>623.07692307692309</c:v>
                </c:pt>
                <c:pt idx="4">
                  <c:v>-827.27272727272725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まっつん2!$B$3:$B$142</c:f>
              <c:numCache>
                <c:formatCode>\+0.0;\-0.0;\±0</c:formatCode>
                <c:ptCount val="140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329070518200751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まっつん2!$C$3:$C$142</c:f>
              <c:numCache>
                <c:formatCode>\+0.0;\-0.0;\±0</c:formatCode>
                <c:ptCount val="140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  <c:pt idx="88">
                  <c:v>-0.71818181818181825</c:v>
                </c:pt>
                <c:pt idx="89">
                  <c:v>-1.3438202247191011</c:v>
                </c:pt>
                <c:pt idx="90">
                  <c:v>-0.64000000000000012</c:v>
                </c:pt>
                <c:pt idx="91">
                  <c:v>-0.60329670329670337</c:v>
                </c:pt>
                <c:pt idx="92">
                  <c:v>-0.1858695652173914</c:v>
                </c:pt>
                <c:pt idx="93">
                  <c:v>9.4623655913978394E-2</c:v>
                </c:pt>
                <c:pt idx="94">
                  <c:v>-4.3617021276595856E-2</c:v>
                </c:pt>
                <c:pt idx="95">
                  <c:v>0.33578947368421042</c:v>
                </c:pt>
                <c:pt idx="96">
                  <c:v>0.54479166666666656</c:v>
                </c:pt>
                <c:pt idx="97">
                  <c:v>0.14432989690721643</c:v>
                </c:pt>
                <c:pt idx="98">
                  <c:v>0.21836734693877544</c:v>
                </c:pt>
                <c:pt idx="99">
                  <c:v>-5.454545454545464E-2</c:v>
                </c:pt>
                <c:pt idx="100">
                  <c:v>-0.25600000000000006</c:v>
                </c:pt>
                <c:pt idx="101">
                  <c:v>0.31881188118811871</c:v>
                </c:pt>
                <c:pt idx="102">
                  <c:v>0.27156862745098026</c:v>
                </c:pt>
                <c:pt idx="103">
                  <c:v>0.44466019417475716</c:v>
                </c:pt>
                <c:pt idx="104">
                  <c:v>1.1749999999999998</c:v>
                </c:pt>
                <c:pt idx="105">
                  <c:v>0.82190476190476169</c:v>
                </c:pt>
                <c:pt idx="106">
                  <c:v>0.79528301886792441</c:v>
                </c:pt>
                <c:pt idx="107">
                  <c:v>0.99345794392523346</c:v>
                </c:pt>
                <c:pt idx="108">
                  <c:v>0.9185185185185184</c:v>
                </c:pt>
                <c:pt idx="109">
                  <c:v>1.2128440366972475</c:v>
                </c:pt>
                <c:pt idx="110">
                  <c:v>1.0918181818181818</c:v>
                </c:pt>
                <c:pt idx="111">
                  <c:v>0.95765765765765765</c:v>
                </c:pt>
                <c:pt idx="112">
                  <c:v>0.9330357142857143</c:v>
                </c:pt>
                <c:pt idx="113">
                  <c:v>0.89823008849557517</c:v>
                </c:pt>
                <c:pt idx="114">
                  <c:v>1.025438596491228</c:v>
                </c:pt>
                <c:pt idx="115">
                  <c:v>0.76347826086956527</c:v>
                </c:pt>
                <c:pt idx="116">
                  <c:v>0.61034482758620701</c:v>
                </c:pt>
                <c:pt idx="117">
                  <c:v>0.54358974358974366</c:v>
                </c:pt>
                <c:pt idx="118">
                  <c:v>0.83389830508474583</c:v>
                </c:pt>
                <c:pt idx="119">
                  <c:v>0.81176470588235305</c:v>
                </c:pt>
                <c:pt idx="120">
                  <c:v>0.55583333333333351</c:v>
                </c:pt>
                <c:pt idx="121">
                  <c:v>0.28264462809917368</c:v>
                </c:pt>
                <c:pt idx="122">
                  <c:v>8.1967213114766914E-4</c:v>
                </c:pt>
                <c:pt idx="123">
                  <c:v>-0.30081300813008116</c:v>
                </c:pt>
                <c:pt idx="124">
                  <c:v>-0.53951612903225787</c:v>
                </c:pt>
                <c:pt idx="125">
                  <c:v>-0.6791999999999998</c:v>
                </c:pt>
                <c:pt idx="126">
                  <c:v>-1.049206349206349</c:v>
                </c:pt>
                <c:pt idx="127">
                  <c:v>-1.0433070866141732</c:v>
                </c:pt>
                <c:pt idx="128">
                  <c:v>-1.41484375</c:v>
                </c:pt>
                <c:pt idx="129">
                  <c:v>-1.6302325581395347</c:v>
                </c:pt>
                <c:pt idx="130">
                  <c:v>-1.776153846153846</c:v>
                </c:pt>
                <c:pt idx="131">
                  <c:v>-1.8503816793893129</c:v>
                </c:pt>
                <c:pt idx="132">
                  <c:v>-1.8045454545454545</c:v>
                </c:pt>
                <c:pt idx="133">
                  <c:v>-1.7105263157894737</c:v>
                </c:pt>
                <c:pt idx="134">
                  <c:v>-1.4447761194029851</c:v>
                </c:pt>
                <c:pt idx="135">
                  <c:v>-1.5711111111111111</c:v>
                </c:pt>
                <c:pt idx="136">
                  <c:v>-1.3169117647058823</c:v>
                </c:pt>
                <c:pt idx="137">
                  <c:v>-1.1116788321167883</c:v>
                </c:pt>
                <c:pt idx="138">
                  <c:v>-1.1775362318840579</c:v>
                </c:pt>
                <c:pt idx="139">
                  <c:v>-1.0812949640287768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0012055385143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まっつん2!$D$3:$D$142</c:f>
              <c:numCache>
                <c:formatCode>0.00\ "位"</c:formatCode>
                <c:ptCount val="140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2.0454545454545454</c:v>
                </c:pt>
                <c:pt idx="89">
                  <c:v>2.0561797752808988</c:v>
                </c:pt>
                <c:pt idx="90">
                  <c:v>2.0444444444444443</c:v>
                </c:pt>
                <c:pt idx="91">
                  <c:v>2.0439560439560438</c:v>
                </c:pt>
                <c:pt idx="92">
                  <c:v>2.0326086956521738</c:v>
                </c:pt>
                <c:pt idx="93">
                  <c:v>2.021505376344086</c:v>
                </c:pt>
                <c:pt idx="94">
                  <c:v>2.021276595744681</c:v>
                </c:pt>
                <c:pt idx="95">
                  <c:v>2.0105263157894737</c:v>
                </c:pt>
                <c:pt idx="96">
                  <c:v>2.0104166666666665</c:v>
                </c:pt>
                <c:pt idx="97">
                  <c:v>2.0206185567010309</c:v>
                </c:pt>
                <c:pt idx="98">
                  <c:v>2.0204081632653059</c:v>
                </c:pt>
                <c:pt idx="99">
                  <c:v>2.0303030303030303</c:v>
                </c:pt>
                <c:pt idx="100">
                  <c:v>2.04</c:v>
                </c:pt>
                <c:pt idx="101">
                  <c:v>2.0297029702970297</c:v>
                </c:pt>
                <c:pt idx="102">
                  <c:v>2.0294117647058822</c:v>
                </c:pt>
                <c:pt idx="103">
                  <c:v>2.0194174757281553</c:v>
                </c:pt>
                <c:pt idx="104">
                  <c:v>2.0096153846153846</c:v>
                </c:pt>
                <c:pt idx="105">
                  <c:v>2.019047619047619</c:v>
                </c:pt>
                <c:pt idx="106">
                  <c:v>2.0188679245283021</c:v>
                </c:pt>
                <c:pt idx="107">
                  <c:v>2.0093457943925235</c:v>
                </c:pt>
                <c:pt idx="108">
                  <c:v>2.0092592592592591</c:v>
                </c:pt>
                <c:pt idx="109">
                  <c:v>2</c:v>
                </c:pt>
                <c:pt idx="110">
                  <c:v>2.0090909090909093</c:v>
                </c:pt>
                <c:pt idx="111">
                  <c:v>2.0180180180180178</c:v>
                </c:pt>
                <c:pt idx="112">
                  <c:v>2.0178571428571428</c:v>
                </c:pt>
                <c:pt idx="113">
                  <c:v>2.0176991150442478</c:v>
                </c:pt>
                <c:pt idx="114">
                  <c:v>2.0175438596491229</c:v>
                </c:pt>
                <c:pt idx="115">
                  <c:v>2.026086956521739</c:v>
                </c:pt>
                <c:pt idx="116">
                  <c:v>2.0344827586206895</c:v>
                </c:pt>
                <c:pt idx="117">
                  <c:v>2.0341880341880341</c:v>
                </c:pt>
                <c:pt idx="118">
                  <c:v>2.0254237288135593</c:v>
                </c:pt>
                <c:pt idx="119">
                  <c:v>2.0252100840336134</c:v>
                </c:pt>
                <c:pt idx="120">
                  <c:v>2.0333333333333332</c:v>
                </c:pt>
                <c:pt idx="121">
                  <c:v>2.0413223140495869</c:v>
                </c:pt>
                <c:pt idx="122">
                  <c:v>2.0491803278688523</c:v>
                </c:pt>
                <c:pt idx="123">
                  <c:v>2.0569105691056913</c:v>
                </c:pt>
                <c:pt idx="124">
                  <c:v>2.064516129032258</c:v>
                </c:pt>
                <c:pt idx="125">
                  <c:v>2.0720000000000001</c:v>
                </c:pt>
                <c:pt idx="126">
                  <c:v>2.0793650793650795</c:v>
                </c:pt>
                <c:pt idx="127">
                  <c:v>2.0787401574803148</c:v>
                </c:pt>
                <c:pt idx="128">
                  <c:v>2.0859375</c:v>
                </c:pt>
                <c:pt idx="129">
                  <c:v>2.0930232558139537</c:v>
                </c:pt>
                <c:pt idx="130">
                  <c:v>2.0923076923076924</c:v>
                </c:pt>
                <c:pt idx="131">
                  <c:v>2.0916030534351147</c:v>
                </c:pt>
                <c:pt idx="132">
                  <c:v>2.0909090909090908</c:v>
                </c:pt>
                <c:pt idx="133">
                  <c:v>2.0902255639097747</c:v>
                </c:pt>
                <c:pt idx="134">
                  <c:v>2.0820895522388061</c:v>
                </c:pt>
                <c:pt idx="135">
                  <c:v>2.0814814814814815</c:v>
                </c:pt>
                <c:pt idx="136">
                  <c:v>2.0735294117647061</c:v>
                </c:pt>
                <c:pt idx="137">
                  <c:v>2.0656934306569341</c:v>
                </c:pt>
                <c:pt idx="138">
                  <c:v>2.0652173913043477</c:v>
                </c:pt>
                <c:pt idx="139">
                  <c:v>2.0575539568345325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まっつん2!$E$3:$E$142</c:f>
              <c:numCache>
                <c:formatCode>0.0%</c:formatCode>
                <c:ptCount val="140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0.23333333333333334</c:v>
                </c:pt>
                <c:pt idx="91">
                  <c:v>0.23076923076923078</c:v>
                </c:pt>
                <c:pt idx="92">
                  <c:v>0.2391304347826087</c:v>
                </c:pt>
                <c:pt idx="93">
                  <c:v>0.24731182795698925</c:v>
                </c:pt>
                <c:pt idx="94">
                  <c:v>0.24468085106382978</c:v>
                </c:pt>
                <c:pt idx="95">
                  <c:v>0.25263157894736843</c:v>
                </c:pt>
                <c:pt idx="96">
                  <c:v>0.25</c:v>
                </c:pt>
                <c:pt idx="97">
                  <c:v>0.24742268041237114</c:v>
                </c:pt>
                <c:pt idx="98">
                  <c:v>0.24489795918367346</c:v>
                </c:pt>
                <c:pt idx="99">
                  <c:v>0.24242424242424243</c:v>
                </c:pt>
                <c:pt idx="100">
                  <c:v>0.24</c:v>
                </c:pt>
                <c:pt idx="101">
                  <c:v>0.24752475247524752</c:v>
                </c:pt>
                <c:pt idx="102">
                  <c:v>0.24509803921568626</c:v>
                </c:pt>
                <c:pt idx="103">
                  <c:v>0.25242718446601942</c:v>
                </c:pt>
                <c:pt idx="104">
                  <c:v>0.25961538461538464</c:v>
                </c:pt>
                <c:pt idx="105">
                  <c:v>0.25714285714285712</c:v>
                </c:pt>
                <c:pt idx="106">
                  <c:v>0.25471698113207547</c:v>
                </c:pt>
                <c:pt idx="107">
                  <c:v>0.26168224299065418</c:v>
                </c:pt>
                <c:pt idx="108">
                  <c:v>0.25925925925925924</c:v>
                </c:pt>
                <c:pt idx="109">
                  <c:v>0.26605504587155965</c:v>
                </c:pt>
                <c:pt idx="110">
                  <c:v>0.26363636363636361</c:v>
                </c:pt>
                <c:pt idx="111">
                  <c:v>0.26126126126126126</c:v>
                </c:pt>
                <c:pt idx="112">
                  <c:v>0.25892857142857145</c:v>
                </c:pt>
                <c:pt idx="113">
                  <c:v>0.25663716814159293</c:v>
                </c:pt>
                <c:pt idx="114">
                  <c:v>0.25438596491228072</c:v>
                </c:pt>
                <c:pt idx="115">
                  <c:v>0.25217391304347825</c:v>
                </c:pt>
                <c:pt idx="116">
                  <c:v>0.25</c:v>
                </c:pt>
                <c:pt idx="117">
                  <c:v>0.24786324786324787</c:v>
                </c:pt>
                <c:pt idx="118">
                  <c:v>0.25423728813559321</c:v>
                </c:pt>
                <c:pt idx="119">
                  <c:v>0.25210084033613445</c:v>
                </c:pt>
                <c:pt idx="120">
                  <c:v>0.25</c:v>
                </c:pt>
                <c:pt idx="121">
                  <c:v>0.24793388429752067</c:v>
                </c:pt>
                <c:pt idx="122">
                  <c:v>0.24590163934426229</c:v>
                </c:pt>
                <c:pt idx="123">
                  <c:v>0.24390243902439024</c:v>
                </c:pt>
                <c:pt idx="124">
                  <c:v>0.24193548387096775</c:v>
                </c:pt>
                <c:pt idx="125">
                  <c:v>0.24</c:v>
                </c:pt>
                <c:pt idx="126">
                  <c:v>0.23809523809523808</c:v>
                </c:pt>
                <c:pt idx="127">
                  <c:v>0.23622047244094488</c:v>
                </c:pt>
                <c:pt idx="128">
                  <c:v>0.234375</c:v>
                </c:pt>
                <c:pt idx="129">
                  <c:v>0.23255813953488372</c:v>
                </c:pt>
                <c:pt idx="130">
                  <c:v>0.23076923076923078</c:v>
                </c:pt>
                <c:pt idx="131">
                  <c:v>0.22900763358778625</c:v>
                </c:pt>
                <c:pt idx="132">
                  <c:v>0.22727272727272727</c:v>
                </c:pt>
                <c:pt idx="133">
                  <c:v>0.22556390977443608</c:v>
                </c:pt>
                <c:pt idx="134">
                  <c:v>0.23134328358208955</c:v>
                </c:pt>
                <c:pt idx="135">
                  <c:v>0.22962962962962963</c:v>
                </c:pt>
                <c:pt idx="136">
                  <c:v>0.23529411764705882</c:v>
                </c:pt>
                <c:pt idx="137">
                  <c:v>0.24087591240875914</c:v>
                </c:pt>
                <c:pt idx="138">
                  <c:v>0.2391304347826087</c:v>
                </c:pt>
                <c:pt idx="139">
                  <c:v>0.2446043165467626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まっつん2!$F$3:$F$142</c:f>
              <c:numCache>
                <c:formatCode>0.0%</c:formatCode>
                <c:ptCount val="140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  <c:pt idx="89">
                  <c:v>0.2808988764044944</c:v>
                </c:pt>
                <c:pt idx="90">
                  <c:v>0.27777777777777779</c:v>
                </c:pt>
                <c:pt idx="91">
                  <c:v>0.27472527472527475</c:v>
                </c:pt>
                <c:pt idx="92">
                  <c:v>0.27173913043478259</c:v>
                </c:pt>
                <c:pt idx="93">
                  <c:v>0.26881720430107525</c:v>
                </c:pt>
                <c:pt idx="94">
                  <c:v>0.26595744680851063</c:v>
                </c:pt>
                <c:pt idx="95">
                  <c:v>0.26315789473684209</c:v>
                </c:pt>
                <c:pt idx="96">
                  <c:v>0.26041666666666669</c:v>
                </c:pt>
                <c:pt idx="97">
                  <c:v>0.26804123711340205</c:v>
                </c:pt>
                <c:pt idx="98">
                  <c:v>0.26530612244897961</c:v>
                </c:pt>
                <c:pt idx="99">
                  <c:v>0.27272727272727271</c:v>
                </c:pt>
                <c:pt idx="100">
                  <c:v>0.28000000000000003</c:v>
                </c:pt>
                <c:pt idx="101">
                  <c:v>0.27722772277227725</c:v>
                </c:pt>
                <c:pt idx="102">
                  <c:v>0.27450980392156865</c:v>
                </c:pt>
                <c:pt idx="103">
                  <c:v>0.27184466019417475</c:v>
                </c:pt>
                <c:pt idx="104">
                  <c:v>0.26923076923076922</c:v>
                </c:pt>
                <c:pt idx="105">
                  <c:v>0.27619047619047621</c:v>
                </c:pt>
                <c:pt idx="106">
                  <c:v>0.27358490566037735</c:v>
                </c:pt>
                <c:pt idx="107">
                  <c:v>0.27102803738317754</c:v>
                </c:pt>
                <c:pt idx="108">
                  <c:v>0.26851851851851855</c:v>
                </c:pt>
                <c:pt idx="109">
                  <c:v>0.26605504587155965</c:v>
                </c:pt>
                <c:pt idx="110">
                  <c:v>0.27272727272727271</c:v>
                </c:pt>
                <c:pt idx="111">
                  <c:v>0.27927927927927926</c:v>
                </c:pt>
                <c:pt idx="112">
                  <c:v>0.2767857142857143</c:v>
                </c:pt>
                <c:pt idx="113">
                  <c:v>0.27433628318584069</c:v>
                </c:pt>
                <c:pt idx="114">
                  <c:v>0.27192982456140352</c:v>
                </c:pt>
                <c:pt idx="115">
                  <c:v>0.27826086956521739</c:v>
                </c:pt>
                <c:pt idx="116">
                  <c:v>0.28448275862068967</c:v>
                </c:pt>
                <c:pt idx="117">
                  <c:v>0.28205128205128205</c:v>
                </c:pt>
                <c:pt idx="118">
                  <c:v>0.27966101694915252</c:v>
                </c:pt>
                <c:pt idx="119">
                  <c:v>0.27731092436974791</c:v>
                </c:pt>
                <c:pt idx="120">
                  <c:v>0.28333333333333333</c:v>
                </c:pt>
                <c:pt idx="121">
                  <c:v>0.28925619834710742</c:v>
                </c:pt>
                <c:pt idx="122">
                  <c:v>0.29508196721311475</c:v>
                </c:pt>
                <c:pt idx="123">
                  <c:v>0.30081300813008133</c:v>
                </c:pt>
                <c:pt idx="124">
                  <c:v>0.30645161290322581</c:v>
                </c:pt>
                <c:pt idx="125">
                  <c:v>0.312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0.3203125</c:v>
                </c:pt>
                <c:pt idx="129">
                  <c:v>0.32558139534883723</c:v>
                </c:pt>
                <c:pt idx="130">
                  <c:v>0.32307692307692309</c:v>
                </c:pt>
                <c:pt idx="131">
                  <c:v>0.32061068702290074</c:v>
                </c:pt>
                <c:pt idx="132">
                  <c:v>0.31818181818181818</c:v>
                </c:pt>
                <c:pt idx="133">
                  <c:v>0.31578947368421051</c:v>
                </c:pt>
                <c:pt idx="134">
                  <c:v>0.31343283582089554</c:v>
                </c:pt>
                <c:pt idx="135">
                  <c:v>0.31111111111111112</c:v>
                </c:pt>
                <c:pt idx="136">
                  <c:v>0.30882352941176472</c:v>
                </c:pt>
                <c:pt idx="137">
                  <c:v>0.30656934306569344</c:v>
                </c:pt>
                <c:pt idx="138">
                  <c:v>0.30434782608695654</c:v>
                </c:pt>
                <c:pt idx="139">
                  <c:v>0.30215827338129497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まっつん2!$G$3:$G$142</c:f>
              <c:numCache>
                <c:formatCode>0.0%</c:formatCode>
                <c:ptCount val="140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  <c:pt idx="88">
                  <c:v>0.28307254623044098</c:v>
                </c:pt>
                <c:pt idx="89">
                  <c:v>0.28212290502793297</c:v>
                </c:pt>
                <c:pt idx="90">
                  <c:v>0.28393351800554018</c:v>
                </c:pt>
                <c:pt idx="91">
                  <c:v>0.28434065934065933</c:v>
                </c:pt>
                <c:pt idx="92">
                  <c:v>0.2857142857142857</c:v>
                </c:pt>
                <c:pt idx="93">
                  <c:v>0.28936742934051146</c:v>
                </c:pt>
                <c:pt idx="94">
                  <c:v>0.28894806924101196</c:v>
                </c:pt>
                <c:pt idx="95">
                  <c:v>0.28912466843501328</c:v>
                </c:pt>
                <c:pt idx="96">
                  <c:v>0.29040735873850199</c:v>
                </c:pt>
                <c:pt idx="97">
                  <c:v>0.28793774319066145</c:v>
                </c:pt>
                <c:pt idx="98">
                  <c:v>0.28937259923175418</c:v>
                </c:pt>
                <c:pt idx="99">
                  <c:v>0.2878787878787879</c:v>
                </c:pt>
                <c:pt idx="100">
                  <c:v>0.28714107365792757</c:v>
                </c:pt>
                <c:pt idx="101">
                  <c:v>0.28888888888888886</c:v>
                </c:pt>
                <c:pt idx="102">
                  <c:v>0.28886168910648713</c:v>
                </c:pt>
                <c:pt idx="103">
                  <c:v>0.28950542822677927</c:v>
                </c:pt>
                <c:pt idx="104">
                  <c:v>0.2930622009569378</c:v>
                </c:pt>
                <c:pt idx="105">
                  <c:v>0.29078014184397161</c:v>
                </c:pt>
                <c:pt idx="106">
                  <c:v>0.29024676850763809</c:v>
                </c:pt>
                <c:pt idx="107">
                  <c:v>0.29254079254079252</c:v>
                </c:pt>
                <c:pt idx="108">
                  <c:v>0.29032258064516131</c:v>
                </c:pt>
                <c:pt idx="109">
                  <c:v>0.29142857142857143</c:v>
                </c:pt>
                <c:pt idx="110">
                  <c:v>0.29171396140749151</c:v>
                </c:pt>
                <c:pt idx="111">
                  <c:v>0.29021372328458944</c:v>
                </c:pt>
                <c:pt idx="112">
                  <c:v>0.28938547486033517</c:v>
                </c:pt>
                <c:pt idx="113">
                  <c:v>0.28839779005524863</c:v>
                </c:pt>
                <c:pt idx="114">
                  <c:v>0.28758169934640521</c:v>
                </c:pt>
                <c:pt idx="115">
                  <c:v>0.28663793103448276</c:v>
                </c:pt>
                <c:pt idx="116">
                  <c:v>0.28678038379530918</c:v>
                </c:pt>
                <c:pt idx="117">
                  <c:v>0.28752642706131076</c:v>
                </c:pt>
                <c:pt idx="118">
                  <c:v>0.28856243441762852</c:v>
                </c:pt>
                <c:pt idx="119">
                  <c:v>0.28838174273858919</c:v>
                </c:pt>
                <c:pt idx="120">
                  <c:v>0.28717948717948716</c:v>
                </c:pt>
                <c:pt idx="121">
                  <c:v>0.28629441624365481</c:v>
                </c:pt>
                <c:pt idx="122">
                  <c:v>0.28528225806451613</c:v>
                </c:pt>
                <c:pt idx="123">
                  <c:v>0.28243512974051899</c:v>
                </c:pt>
                <c:pt idx="124">
                  <c:v>0.28019801980198022</c:v>
                </c:pt>
                <c:pt idx="125">
                  <c:v>0.27952755905511811</c:v>
                </c:pt>
                <c:pt idx="126">
                  <c:v>0.27918287937743191</c:v>
                </c:pt>
                <c:pt idx="127">
                  <c:v>0.27895752895752896</c:v>
                </c:pt>
                <c:pt idx="128">
                  <c:v>0.27681992337164751</c:v>
                </c:pt>
                <c:pt idx="129">
                  <c:v>0.27619047619047621</c:v>
                </c:pt>
                <c:pt idx="130">
                  <c:v>0.27573182247403211</c:v>
                </c:pt>
                <c:pt idx="131">
                  <c:v>0.27450980392156865</c:v>
                </c:pt>
                <c:pt idx="132">
                  <c:v>0.27525486561631141</c:v>
                </c:pt>
                <c:pt idx="133">
                  <c:v>0.27532228360957645</c:v>
                </c:pt>
                <c:pt idx="134">
                  <c:v>0.2783882783882784</c:v>
                </c:pt>
                <c:pt idx="135">
                  <c:v>0.27636363636363637</c:v>
                </c:pt>
                <c:pt idx="136">
                  <c:v>0.2788808664259928</c:v>
                </c:pt>
                <c:pt idx="137">
                  <c:v>0.28071748878923769</c:v>
                </c:pt>
                <c:pt idx="138">
                  <c:v>0.27960819234194123</c:v>
                </c:pt>
                <c:pt idx="139">
                  <c:v>0.27939876215738285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576772978064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まっつん2!$H$3:$H$142</c:f>
              <c:numCache>
                <c:formatCode>0.0%</c:formatCode>
                <c:ptCount val="140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  <c:pt idx="88">
                  <c:v>0.1337126600284495</c:v>
                </c:pt>
                <c:pt idx="89">
                  <c:v>0.13547486033519554</c:v>
                </c:pt>
                <c:pt idx="90">
                  <c:v>0.13434903047091412</c:v>
                </c:pt>
                <c:pt idx="91">
                  <c:v>0.13461538461538461</c:v>
                </c:pt>
                <c:pt idx="92">
                  <c:v>0.13469387755102041</c:v>
                </c:pt>
                <c:pt idx="93">
                  <c:v>0.13458950201884254</c:v>
                </c:pt>
                <c:pt idx="94">
                  <c:v>0.13448735019973368</c:v>
                </c:pt>
                <c:pt idx="95">
                  <c:v>0.13395225464190982</c:v>
                </c:pt>
                <c:pt idx="96">
                  <c:v>0.13403416557161629</c:v>
                </c:pt>
                <c:pt idx="97">
                  <c:v>0.13618677042801555</c:v>
                </c:pt>
                <c:pt idx="98">
                  <c:v>0.13444302176696543</c:v>
                </c:pt>
                <c:pt idx="99">
                  <c:v>0.13636363636363635</c:v>
                </c:pt>
                <c:pt idx="100">
                  <c:v>0.13732833957553059</c:v>
                </c:pt>
                <c:pt idx="101">
                  <c:v>0.13580246913580246</c:v>
                </c:pt>
                <c:pt idx="102">
                  <c:v>0.13586291309669524</c:v>
                </c:pt>
                <c:pt idx="103">
                  <c:v>0.13751507840772015</c:v>
                </c:pt>
                <c:pt idx="104">
                  <c:v>0.13755980861244019</c:v>
                </c:pt>
                <c:pt idx="105">
                  <c:v>0.13593380614657211</c:v>
                </c:pt>
                <c:pt idx="106">
                  <c:v>0.13513513513513514</c:v>
                </c:pt>
                <c:pt idx="107">
                  <c:v>0.1351981351981352</c:v>
                </c:pt>
                <c:pt idx="108">
                  <c:v>0.1347926267281106</c:v>
                </c:pt>
                <c:pt idx="109">
                  <c:v>0.13485714285714287</c:v>
                </c:pt>
                <c:pt idx="110">
                  <c:v>0.1362088535754824</c:v>
                </c:pt>
                <c:pt idx="111">
                  <c:v>0.13610798650168729</c:v>
                </c:pt>
                <c:pt idx="112">
                  <c:v>0.13519553072625698</c:v>
                </c:pt>
                <c:pt idx="113">
                  <c:v>0.13370165745856355</c:v>
                </c:pt>
                <c:pt idx="114">
                  <c:v>0.13180827886710239</c:v>
                </c:pt>
                <c:pt idx="115">
                  <c:v>0.13254310344827586</c:v>
                </c:pt>
                <c:pt idx="116">
                  <c:v>0.13326226012793177</c:v>
                </c:pt>
                <c:pt idx="117">
                  <c:v>0.1331923890063425</c:v>
                </c:pt>
                <c:pt idx="118">
                  <c:v>0.13326337880377753</c:v>
                </c:pt>
                <c:pt idx="119">
                  <c:v>0.13278008298755187</c:v>
                </c:pt>
                <c:pt idx="120">
                  <c:v>0.13435897435897437</c:v>
                </c:pt>
                <c:pt idx="121">
                  <c:v>0.13604060913705585</c:v>
                </c:pt>
                <c:pt idx="122">
                  <c:v>0.13608870967741934</c:v>
                </c:pt>
                <c:pt idx="123">
                  <c:v>0.13672654690618763</c:v>
                </c:pt>
                <c:pt idx="124">
                  <c:v>0.13663366336633664</c:v>
                </c:pt>
                <c:pt idx="125">
                  <c:v>0.13681102362204725</c:v>
                </c:pt>
                <c:pt idx="126">
                  <c:v>0.13910505836575876</c:v>
                </c:pt>
                <c:pt idx="127">
                  <c:v>0.13996138996138996</c:v>
                </c:pt>
                <c:pt idx="128">
                  <c:v>0.1417624521072797</c:v>
                </c:pt>
                <c:pt idx="129">
                  <c:v>0.14190476190476189</c:v>
                </c:pt>
                <c:pt idx="130">
                  <c:v>0.14069877242681775</c:v>
                </c:pt>
                <c:pt idx="131">
                  <c:v>0.1419234360410831</c:v>
                </c:pt>
                <c:pt idx="132">
                  <c:v>0.14179796107506951</c:v>
                </c:pt>
                <c:pt idx="133">
                  <c:v>0.14088397790055249</c:v>
                </c:pt>
                <c:pt idx="134">
                  <c:v>0.14010989010989011</c:v>
                </c:pt>
                <c:pt idx="135">
                  <c:v>0.1390909090909091</c:v>
                </c:pt>
                <c:pt idx="136">
                  <c:v>0.13898916967509026</c:v>
                </c:pt>
                <c:pt idx="137">
                  <c:v>0.13901345291479822</c:v>
                </c:pt>
                <c:pt idx="138">
                  <c:v>0.13802315227070347</c:v>
                </c:pt>
                <c:pt idx="139">
                  <c:v>0.13881520778072501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081953976584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まっつん2!$I$3:$I$142</c:f>
              <c:numCache>
                <c:formatCode>0</c:formatCode>
                <c:ptCount val="140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  <c:pt idx="88">
                  <c:v>8317.5879396984928</c:v>
                </c:pt>
                <c:pt idx="89">
                  <c:v>8315.8415841584156</c:v>
                </c:pt>
                <c:pt idx="90">
                  <c:v>8426.3414634146338</c:v>
                </c:pt>
                <c:pt idx="91">
                  <c:v>8408.6956521739139</c:v>
                </c:pt>
                <c:pt idx="92">
                  <c:v>8431.9047619047615</c:v>
                </c:pt>
                <c:pt idx="93">
                  <c:v>8365.1162790697672</c:v>
                </c:pt>
                <c:pt idx="94">
                  <c:v>8335.9447004608301</c:v>
                </c:pt>
                <c:pt idx="95">
                  <c:v>8407.798165137614</c:v>
                </c:pt>
                <c:pt idx="96">
                  <c:v>8432.1266968325799</c:v>
                </c:pt>
                <c:pt idx="97">
                  <c:v>8403.6036036036039</c:v>
                </c:pt>
                <c:pt idx="98">
                  <c:v>8381.858407079646</c:v>
                </c:pt>
                <c:pt idx="99">
                  <c:v>8326.3157894736851</c:v>
                </c:pt>
                <c:pt idx="100">
                  <c:v>8340.8695652173919</c:v>
                </c:pt>
                <c:pt idx="101">
                  <c:v>8434.6153846153848</c:v>
                </c:pt>
                <c:pt idx="102">
                  <c:v>8447.8813559322025</c:v>
                </c:pt>
                <c:pt idx="103">
                  <c:v>8495</c:v>
                </c:pt>
                <c:pt idx="104">
                  <c:v>8576.7346938775518</c:v>
                </c:pt>
                <c:pt idx="105">
                  <c:v>8552.4390243902435</c:v>
                </c:pt>
                <c:pt idx="106">
                  <c:v>8550.2024291497983</c:v>
                </c:pt>
                <c:pt idx="107">
                  <c:v>8514.3426294820711</c:v>
                </c:pt>
                <c:pt idx="108">
                  <c:v>8511.5079365079364</c:v>
                </c:pt>
                <c:pt idx="109">
                  <c:v>8554.1176470588234</c:v>
                </c:pt>
                <c:pt idx="110">
                  <c:v>8537.7431906614784</c:v>
                </c:pt>
                <c:pt idx="111">
                  <c:v>8524.8062015503874</c:v>
                </c:pt>
                <c:pt idx="112">
                  <c:v>8521.6216216216217</c:v>
                </c:pt>
                <c:pt idx="113">
                  <c:v>8486.9731800766276</c:v>
                </c:pt>
                <c:pt idx="114">
                  <c:v>8470.8333333333339</c:v>
                </c:pt>
                <c:pt idx="115">
                  <c:v>8427.8195488721813</c:v>
                </c:pt>
                <c:pt idx="116">
                  <c:v>8381.0408921933085</c:v>
                </c:pt>
                <c:pt idx="117">
                  <c:v>8388.6029411764703</c:v>
                </c:pt>
                <c:pt idx="118">
                  <c:v>8393.818181818182</c:v>
                </c:pt>
                <c:pt idx="119">
                  <c:v>8341.0071942446048</c:v>
                </c:pt>
                <c:pt idx="120">
                  <c:v>8314.2857142857138</c:v>
                </c:pt>
                <c:pt idx="121">
                  <c:v>8310.9929078014193</c:v>
                </c:pt>
                <c:pt idx="122">
                  <c:v>8295.4063604240291</c:v>
                </c:pt>
                <c:pt idx="123">
                  <c:v>8295.4063604240291</c:v>
                </c:pt>
                <c:pt idx="124">
                  <c:v>8295.4063604240291</c:v>
                </c:pt>
                <c:pt idx="125">
                  <c:v>8294.3661971830988</c:v>
                </c:pt>
                <c:pt idx="126">
                  <c:v>8252.6132404181189</c:v>
                </c:pt>
                <c:pt idx="127">
                  <c:v>8278.5467128027685</c:v>
                </c:pt>
                <c:pt idx="128">
                  <c:v>8278.5467128027685</c:v>
                </c:pt>
                <c:pt idx="129">
                  <c:v>8276.5517241379312</c:v>
                </c:pt>
                <c:pt idx="130">
                  <c:v>8255.1369863013697</c:v>
                </c:pt>
                <c:pt idx="131">
                  <c:v>8236.3945578231287</c:v>
                </c:pt>
                <c:pt idx="132">
                  <c:v>8234.0067340067344</c:v>
                </c:pt>
                <c:pt idx="133">
                  <c:v>8245.8193979933112</c:v>
                </c:pt>
                <c:pt idx="134">
                  <c:v>8185.5263157894733</c:v>
                </c:pt>
                <c:pt idx="135">
                  <c:v>8185.5263157894733</c:v>
                </c:pt>
                <c:pt idx="136">
                  <c:v>8178.9644012944982</c:v>
                </c:pt>
                <c:pt idx="137">
                  <c:v>8156.2300319488822</c:v>
                </c:pt>
                <c:pt idx="138">
                  <c:v>8147.1337579617839</c:v>
                </c:pt>
                <c:pt idx="139">
                  <c:v>8158.8607594936711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72.864321608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まっつん2!$J$3:$J$142</c:f>
              <c:numCache>
                <c:formatCode>0</c:formatCode>
                <c:ptCount val="140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-7886.1702127659573</c:v>
                </c:pt>
                <c:pt idx="89">
                  <c:v>-8062.8865979381444</c:v>
                </c:pt>
                <c:pt idx="90">
                  <c:v>-8062.8865979381444</c:v>
                </c:pt>
                <c:pt idx="91">
                  <c:v>-7990.8163265306121</c:v>
                </c:pt>
                <c:pt idx="92">
                  <c:v>-7936.363636363636</c:v>
                </c:pt>
                <c:pt idx="93">
                  <c:v>-7896</c:v>
                </c:pt>
                <c:pt idx="94">
                  <c:v>-7936.6336633663368</c:v>
                </c:pt>
                <c:pt idx="95">
                  <c:v>-7936.6336633663368</c:v>
                </c:pt>
                <c:pt idx="96">
                  <c:v>-7909.8039215686276</c:v>
                </c:pt>
                <c:pt idx="97">
                  <c:v>-7902.8571428571431</c:v>
                </c:pt>
                <c:pt idx="98">
                  <c:v>-7902.8571428571431</c:v>
                </c:pt>
                <c:pt idx="99">
                  <c:v>-7774.0740740740739</c:v>
                </c:pt>
                <c:pt idx="100">
                  <c:v>-7714.545454545455</c:v>
                </c:pt>
                <c:pt idx="101">
                  <c:v>-7714.545454545455</c:v>
                </c:pt>
                <c:pt idx="102">
                  <c:v>-7671.1711711711714</c:v>
                </c:pt>
                <c:pt idx="103">
                  <c:v>-7662.2807017543855</c:v>
                </c:pt>
                <c:pt idx="104">
                  <c:v>-7618.260869565217</c:v>
                </c:pt>
                <c:pt idx="105">
                  <c:v>-7618.260869565217</c:v>
                </c:pt>
                <c:pt idx="106">
                  <c:v>-7618.260869565217</c:v>
                </c:pt>
                <c:pt idx="107">
                  <c:v>-7597.4137931034484</c:v>
                </c:pt>
                <c:pt idx="108">
                  <c:v>-7554.7008547008545</c:v>
                </c:pt>
                <c:pt idx="109">
                  <c:v>-7523.7288135593217</c:v>
                </c:pt>
                <c:pt idx="110">
                  <c:v>-7435.833333333333</c:v>
                </c:pt>
                <c:pt idx="111">
                  <c:v>-7440.4958677685954</c:v>
                </c:pt>
                <c:pt idx="112">
                  <c:v>-7440.4958677685954</c:v>
                </c:pt>
                <c:pt idx="113">
                  <c:v>-7440.4958677685954</c:v>
                </c:pt>
                <c:pt idx="114">
                  <c:v>-7440.4958677685954</c:v>
                </c:pt>
                <c:pt idx="115">
                  <c:v>-7348.7804878048782</c:v>
                </c:pt>
                <c:pt idx="116">
                  <c:v>-7272.8</c:v>
                </c:pt>
                <c:pt idx="117">
                  <c:v>-7310.3174603174602</c:v>
                </c:pt>
                <c:pt idx="118">
                  <c:v>-7262.9921259842522</c:v>
                </c:pt>
                <c:pt idx="119">
                  <c:v>-7268.75</c:v>
                </c:pt>
                <c:pt idx="120">
                  <c:v>-7283.2061068702287</c:v>
                </c:pt>
                <c:pt idx="121">
                  <c:v>-7288.8059701492539</c:v>
                </c:pt>
                <c:pt idx="122">
                  <c:v>-7273.333333333333</c:v>
                </c:pt>
                <c:pt idx="123">
                  <c:v>-7233.5766423357663</c:v>
                </c:pt>
                <c:pt idx="124">
                  <c:v>-7192.753623188406</c:v>
                </c:pt>
                <c:pt idx="125">
                  <c:v>-7198.5611510791368</c:v>
                </c:pt>
                <c:pt idx="126">
                  <c:v>-7162.9370629370633</c:v>
                </c:pt>
                <c:pt idx="127">
                  <c:v>-7157.2413793103451</c:v>
                </c:pt>
                <c:pt idx="128">
                  <c:v>-7159.4594594594591</c:v>
                </c:pt>
                <c:pt idx="129">
                  <c:v>-7191.9463087248323</c:v>
                </c:pt>
                <c:pt idx="130">
                  <c:v>-7191.9463087248323</c:v>
                </c:pt>
                <c:pt idx="131">
                  <c:v>-7076.3157894736842</c:v>
                </c:pt>
                <c:pt idx="132">
                  <c:v>-7108.4967320261439</c:v>
                </c:pt>
                <c:pt idx="133">
                  <c:v>-7108.4967320261439</c:v>
                </c:pt>
                <c:pt idx="134">
                  <c:v>-7108.4967320261439</c:v>
                </c:pt>
                <c:pt idx="135">
                  <c:v>-7108.4967320261439</c:v>
                </c:pt>
                <c:pt idx="136">
                  <c:v>-7140.2597402597403</c:v>
                </c:pt>
                <c:pt idx="137">
                  <c:v>-7102.5806451612907</c:v>
                </c:pt>
                <c:pt idx="138">
                  <c:v>-7102.5806451612907</c:v>
                </c:pt>
                <c:pt idx="139">
                  <c:v>-7075.7961783439487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76.10693400167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まっつん2!$K$3:$K$142</c:f>
              <c:numCache>
                <c:formatCode>0.0%</c:formatCode>
                <c:ptCount val="14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8.98876404494382E-2</c:v>
                </c:pt>
                <c:pt idx="90">
                  <c:v>8.8888888888888892E-2</c:v>
                </c:pt>
                <c:pt idx="91">
                  <c:v>8.7912087912087919E-2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8.4210526315789472E-2</c:v>
                </c:pt>
                <c:pt idx="96">
                  <c:v>8.3333333333333329E-2</c:v>
                </c:pt>
                <c:pt idx="97">
                  <c:v>8.247422680412371E-2</c:v>
                </c:pt>
                <c:pt idx="98">
                  <c:v>8.1632653061224483E-2</c:v>
                </c:pt>
                <c:pt idx="99">
                  <c:v>8.0808080808080815E-2</c:v>
                </c:pt>
                <c:pt idx="100">
                  <c:v>0.08</c:v>
                </c:pt>
                <c:pt idx="101">
                  <c:v>7.9207920792079209E-2</c:v>
                </c:pt>
                <c:pt idx="102">
                  <c:v>7.8431372549019607E-2</c:v>
                </c:pt>
                <c:pt idx="103">
                  <c:v>7.7669902912621352E-2</c:v>
                </c:pt>
                <c:pt idx="104">
                  <c:v>7.6923076923076927E-2</c:v>
                </c:pt>
                <c:pt idx="105">
                  <c:v>7.6190476190476197E-2</c:v>
                </c:pt>
                <c:pt idx="106">
                  <c:v>7.5471698113207544E-2</c:v>
                </c:pt>
                <c:pt idx="107">
                  <c:v>7.476635514018691E-2</c:v>
                </c:pt>
                <c:pt idx="108">
                  <c:v>7.407407407407407E-2</c:v>
                </c:pt>
                <c:pt idx="109">
                  <c:v>7.3394495412844041E-2</c:v>
                </c:pt>
                <c:pt idx="110">
                  <c:v>7.2727272727272724E-2</c:v>
                </c:pt>
                <c:pt idx="111">
                  <c:v>7.2072072072072071E-2</c:v>
                </c:pt>
                <c:pt idx="112">
                  <c:v>7.1428571428571425E-2</c:v>
                </c:pt>
                <c:pt idx="113">
                  <c:v>7.0796460176991149E-2</c:v>
                </c:pt>
                <c:pt idx="114">
                  <c:v>7.0175438596491224E-2</c:v>
                </c:pt>
                <c:pt idx="115">
                  <c:v>6.9565217391304349E-2</c:v>
                </c:pt>
                <c:pt idx="116">
                  <c:v>6.8965517241379309E-2</c:v>
                </c:pt>
                <c:pt idx="117">
                  <c:v>6.8376068376068383E-2</c:v>
                </c:pt>
                <c:pt idx="118">
                  <c:v>6.7796610169491525E-2</c:v>
                </c:pt>
                <c:pt idx="119">
                  <c:v>6.7226890756302518E-2</c:v>
                </c:pt>
                <c:pt idx="120">
                  <c:v>6.6666666666666666E-2</c:v>
                </c:pt>
                <c:pt idx="121">
                  <c:v>6.6115702479338845E-2</c:v>
                </c:pt>
                <c:pt idx="122">
                  <c:v>6.5573770491803282E-2</c:v>
                </c:pt>
                <c:pt idx="123">
                  <c:v>6.5040650406504072E-2</c:v>
                </c:pt>
                <c:pt idx="124">
                  <c:v>6.4516129032258063E-2</c:v>
                </c:pt>
                <c:pt idx="125">
                  <c:v>6.4000000000000001E-2</c:v>
                </c:pt>
                <c:pt idx="126">
                  <c:v>7.1428571428571425E-2</c:v>
                </c:pt>
                <c:pt idx="127">
                  <c:v>7.0866141732283464E-2</c:v>
                </c:pt>
                <c:pt idx="128">
                  <c:v>7.8125E-2</c:v>
                </c:pt>
                <c:pt idx="129">
                  <c:v>7.7519379844961239E-2</c:v>
                </c:pt>
                <c:pt idx="130">
                  <c:v>7.6923076923076927E-2</c:v>
                </c:pt>
                <c:pt idx="131">
                  <c:v>7.6335877862595422E-2</c:v>
                </c:pt>
                <c:pt idx="132">
                  <c:v>7.575757575757576E-2</c:v>
                </c:pt>
                <c:pt idx="133">
                  <c:v>7.5187969924812026E-2</c:v>
                </c:pt>
                <c:pt idx="134">
                  <c:v>7.4626865671641784E-2</c:v>
                </c:pt>
                <c:pt idx="135">
                  <c:v>7.407407407407407E-2</c:v>
                </c:pt>
                <c:pt idx="136">
                  <c:v>7.3529411764705885E-2</c:v>
                </c:pt>
                <c:pt idx="137">
                  <c:v>7.2992700729927001E-2</c:v>
                </c:pt>
                <c:pt idx="138">
                  <c:v>7.2463768115942032E-2</c:v>
                </c:pt>
                <c:pt idx="139">
                  <c:v>7.1942446043165464E-2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594594594594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まっつん2!$L$3:$L$142</c:f>
              <c:numCache>
                <c:formatCode>0.0%</c:formatCode>
                <c:ptCount val="140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  <c:pt idx="88">
                  <c:v>0.26315789473684209</c:v>
                </c:pt>
                <c:pt idx="89">
                  <c:v>0.26396648044692739</c:v>
                </c:pt>
                <c:pt idx="90">
                  <c:v>0.26592797783933519</c:v>
                </c:pt>
                <c:pt idx="91">
                  <c:v>0.26648351648351648</c:v>
                </c:pt>
                <c:pt idx="92">
                  <c:v>0.26666666666666666</c:v>
                </c:pt>
                <c:pt idx="93">
                  <c:v>0.27052489905787347</c:v>
                </c:pt>
                <c:pt idx="94">
                  <c:v>0.27030625832223704</c:v>
                </c:pt>
                <c:pt idx="95">
                  <c:v>0.27055702917771884</c:v>
                </c:pt>
                <c:pt idx="96">
                  <c:v>0.26938239159001315</c:v>
                </c:pt>
                <c:pt idx="97">
                  <c:v>0.26848249027237353</c:v>
                </c:pt>
                <c:pt idx="98">
                  <c:v>0.26632522407170295</c:v>
                </c:pt>
                <c:pt idx="99">
                  <c:v>0.26767676767676768</c:v>
                </c:pt>
                <c:pt idx="100">
                  <c:v>0.26716604244694131</c:v>
                </c:pt>
                <c:pt idx="101">
                  <c:v>0.26790123456790121</c:v>
                </c:pt>
                <c:pt idx="102">
                  <c:v>0.27050183598531213</c:v>
                </c:pt>
                <c:pt idx="103">
                  <c:v>0.27020506634499397</c:v>
                </c:pt>
                <c:pt idx="104">
                  <c:v>0.27272727272727271</c:v>
                </c:pt>
                <c:pt idx="105">
                  <c:v>0.27304964539007093</c:v>
                </c:pt>
                <c:pt idx="106">
                  <c:v>0.27379553466509987</c:v>
                </c:pt>
                <c:pt idx="107">
                  <c:v>0.27272727272727271</c:v>
                </c:pt>
                <c:pt idx="108">
                  <c:v>0.27073732718894011</c:v>
                </c:pt>
                <c:pt idx="109">
                  <c:v>0.27085714285714285</c:v>
                </c:pt>
                <c:pt idx="110">
                  <c:v>0.26901248581157777</c:v>
                </c:pt>
                <c:pt idx="111">
                  <c:v>0.26884139482564678</c:v>
                </c:pt>
                <c:pt idx="112">
                  <c:v>0.26703910614525139</c:v>
                </c:pt>
                <c:pt idx="113">
                  <c:v>0.26629834254143647</c:v>
                </c:pt>
                <c:pt idx="114">
                  <c:v>0.26361655773420478</c:v>
                </c:pt>
                <c:pt idx="115">
                  <c:v>0.26400862068965519</c:v>
                </c:pt>
                <c:pt idx="116">
                  <c:v>0.26545842217484006</c:v>
                </c:pt>
                <c:pt idx="117">
                  <c:v>0.26427061310782241</c:v>
                </c:pt>
                <c:pt idx="118">
                  <c:v>0.26652675760755506</c:v>
                </c:pt>
                <c:pt idx="119">
                  <c:v>0.26763485477178423</c:v>
                </c:pt>
                <c:pt idx="120">
                  <c:v>0.26871794871794874</c:v>
                </c:pt>
                <c:pt idx="121">
                  <c:v>0.26802030456852793</c:v>
                </c:pt>
                <c:pt idx="122">
                  <c:v>0.26915322580645162</c:v>
                </c:pt>
                <c:pt idx="123">
                  <c:v>0.27045908183632733</c:v>
                </c:pt>
                <c:pt idx="124">
                  <c:v>0.26831683168316833</c:v>
                </c:pt>
                <c:pt idx="125">
                  <c:v>0.26771653543307089</c:v>
                </c:pt>
                <c:pt idx="126">
                  <c:v>0.26653696498054474</c:v>
                </c:pt>
                <c:pt idx="127">
                  <c:v>0.2673745173745174</c:v>
                </c:pt>
                <c:pt idx="128">
                  <c:v>0.26532567049808431</c:v>
                </c:pt>
                <c:pt idx="129">
                  <c:v>0.26476190476190475</c:v>
                </c:pt>
                <c:pt idx="130">
                  <c:v>0.26628895184135976</c:v>
                </c:pt>
                <c:pt idx="131">
                  <c:v>0.26610644257703081</c:v>
                </c:pt>
                <c:pt idx="132">
                  <c:v>0.26413345690454126</c:v>
                </c:pt>
                <c:pt idx="133">
                  <c:v>0.26427255985267034</c:v>
                </c:pt>
                <c:pt idx="134">
                  <c:v>0.26465201465201466</c:v>
                </c:pt>
                <c:pt idx="135">
                  <c:v>0.26363636363636361</c:v>
                </c:pt>
                <c:pt idx="136">
                  <c:v>0.26353790613718414</c:v>
                </c:pt>
                <c:pt idx="137">
                  <c:v>0.26457399103139012</c:v>
                </c:pt>
                <c:pt idx="138">
                  <c:v>0.26357969723953695</c:v>
                </c:pt>
                <c:pt idx="139">
                  <c:v>0.2625994694960212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667070380837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まっつん2!$M$3:$M$142</c:f>
              <c:numCache>
                <c:formatCode>0.0%</c:formatCode>
                <c:ptCount val="140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  <c:pt idx="88">
                  <c:v>0.22759601706970128</c:v>
                </c:pt>
                <c:pt idx="89">
                  <c:v>0.22346368715083798</c:v>
                </c:pt>
                <c:pt idx="90">
                  <c:v>0.22160664819944598</c:v>
                </c:pt>
                <c:pt idx="91">
                  <c:v>0.22115384615384615</c:v>
                </c:pt>
                <c:pt idx="92">
                  <c:v>0.22040816326530613</c:v>
                </c:pt>
                <c:pt idx="93">
                  <c:v>0.21938088829071331</c:v>
                </c:pt>
                <c:pt idx="94">
                  <c:v>0.21970705725699069</c:v>
                </c:pt>
                <c:pt idx="95">
                  <c:v>0.21883289124668434</c:v>
                </c:pt>
                <c:pt idx="96">
                  <c:v>0.21944809461235218</c:v>
                </c:pt>
                <c:pt idx="97">
                  <c:v>0.21789883268482491</c:v>
                </c:pt>
                <c:pt idx="98">
                  <c:v>0.22023047375160051</c:v>
                </c:pt>
                <c:pt idx="99">
                  <c:v>0.2196969696969697</c:v>
                </c:pt>
                <c:pt idx="100">
                  <c:v>0.22097378277153559</c:v>
                </c:pt>
                <c:pt idx="101">
                  <c:v>0.21975308641975308</c:v>
                </c:pt>
                <c:pt idx="102">
                  <c:v>0.21787025703794369</c:v>
                </c:pt>
                <c:pt idx="103">
                  <c:v>0.21833534378769601</c:v>
                </c:pt>
                <c:pt idx="104">
                  <c:v>0.21770334928229665</c:v>
                </c:pt>
                <c:pt idx="105">
                  <c:v>0.21631205673758866</c:v>
                </c:pt>
                <c:pt idx="106">
                  <c:v>0.21504112808460635</c:v>
                </c:pt>
                <c:pt idx="107">
                  <c:v>0.21678321678321677</c:v>
                </c:pt>
                <c:pt idx="108">
                  <c:v>0.21658986175115208</c:v>
                </c:pt>
                <c:pt idx="109">
                  <c:v>0.216</c:v>
                </c:pt>
                <c:pt idx="110">
                  <c:v>0.21793416572077184</c:v>
                </c:pt>
                <c:pt idx="111">
                  <c:v>0.21934758155230596</c:v>
                </c:pt>
                <c:pt idx="112">
                  <c:v>0.2212290502793296</c:v>
                </c:pt>
                <c:pt idx="113">
                  <c:v>0.22209944751381216</c:v>
                </c:pt>
                <c:pt idx="114">
                  <c:v>0.22222222222222221</c:v>
                </c:pt>
                <c:pt idx="115">
                  <c:v>0.22306034482758622</c:v>
                </c:pt>
                <c:pt idx="116">
                  <c:v>0.22388059701492538</c:v>
                </c:pt>
                <c:pt idx="117">
                  <c:v>0.22410147991543342</c:v>
                </c:pt>
                <c:pt idx="118">
                  <c:v>0.22350472193074503</c:v>
                </c:pt>
                <c:pt idx="119">
                  <c:v>0.22095435684647302</c:v>
                </c:pt>
                <c:pt idx="120">
                  <c:v>0.2194871794871795</c:v>
                </c:pt>
                <c:pt idx="121">
                  <c:v>0.22030456852791877</c:v>
                </c:pt>
                <c:pt idx="122">
                  <c:v>0.22076612903225806</c:v>
                </c:pt>
                <c:pt idx="123">
                  <c:v>0.21956087824351297</c:v>
                </c:pt>
                <c:pt idx="124">
                  <c:v>0.22079207920792079</c:v>
                </c:pt>
                <c:pt idx="125">
                  <c:v>0.22244094488188976</c:v>
                </c:pt>
                <c:pt idx="126">
                  <c:v>0.2227626459143969</c:v>
                </c:pt>
                <c:pt idx="127">
                  <c:v>0.22200772200772201</c:v>
                </c:pt>
                <c:pt idx="128">
                  <c:v>0.22318007662835249</c:v>
                </c:pt>
                <c:pt idx="129">
                  <c:v>0.22476190476190477</c:v>
                </c:pt>
                <c:pt idx="130">
                  <c:v>0.22379603399433429</c:v>
                </c:pt>
                <c:pt idx="131">
                  <c:v>0.2250233426704015</c:v>
                </c:pt>
                <c:pt idx="132">
                  <c:v>0.22613531047265986</c:v>
                </c:pt>
                <c:pt idx="133">
                  <c:v>0.22559852670349909</c:v>
                </c:pt>
                <c:pt idx="134">
                  <c:v>0.2271062271062271</c:v>
                </c:pt>
                <c:pt idx="135">
                  <c:v>0.22818181818181818</c:v>
                </c:pt>
                <c:pt idx="136">
                  <c:v>0.23104693140794225</c:v>
                </c:pt>
                <c:pt idx="137">
                  <c:v>0.23139013452914797</c:v>
                </c:pt>
                <c:pt idx="138">
                  <c:v>0.23063223508459482</c:v>
                </c:pt>
                <c:pt idx="139">
                  <c:v>0.23076923076923078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0789934060018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まっつん2!$N$3:$N$142</c:f>
              <c:numCache>
                <c:formatCode>0.0%</c:formatCode>
                <c:ptCount val="140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  <c:pt idx="88">
                  <c:v>0.56216216216216219</c:v>
                </c:pt>
                <c:pt idx="89">
                  <c:v>0.56084656084656082</c:v>
                </c:pt>
                <c:pt idx="90">
                  <c:v>0.56770833333333337</c:v>
                </c:pt>
                <c:pt idx="91">
                  <c:v>0.57216494845360821</c:v>
                </c:pt>
                <c:pt idx="92">
                  <c:v>0.57653061224489799</c:v>
                </c:pt>
                <c:pt idx="93">
                  <c:v>0.58208955223880599</c:v>
                </c:pt>
                <c:pt idx="94">
                  <c:v>0.58128078817733986</c:v>
                </c:pt>
                <c:pt idx="95">
                  <c:v>0.58333333333333337</c:v>
                </c:pt>
                <c:pt idx="96">
                  <c:v>0.58536585365853655</c:v>
                </c:pt>
                <c:pt idx="97">
                  <c:v>0.57971014492753625</c:v>
                </c:pt>
                <c:pt idx="98">
                  <c:v>0.58173076923076927</c:v>
                </c:pt>
                <c:pt idx="99">
                  <c:v>0.57075471698113212</c:v>
                </c:pt>
                <c:pt idx="100">
                  <c:v>0.57009345794392519</c:v>
                </c:pt>
                <c:pt idx="101">
                  <c:v>0.57603686635944695</c:v>
                </c:pt>
                <c:pt idx="102">
                  <c:v>0.57466063348416285</c:v>
                </c:pt>
                <c:pt idx="103">
                  <c:v>0.5758928571428571</c:v>
                </c:pt>
                <c:pt idx="104">
                  <c:v>0.58333333333333337</c:v>
                </c:pt>
                <c:pt idx="105">
                  <c:v>0.58008658008658009</c:v>
                </c:pt>
                <c:pt idx="106">
                  <c:v>0.57510729613733902</c:v>
                </c:pt>
                <c:pt idx="107">
                  <c:v>0.57692307692307687</c:v>
                </c:pt>
                <c:pt idx="108">
                  <c:v>0.5787234042553191</c:v>
                </c:pt>
                <c:pt idx="109">
                  <c:v>0.57805907172995785</c:v>
                </c:pt>
                <c:pt idx="110">
                  <c:v>0.57805907172995785</c:v>
                </c:pt>
                <c:pt idx="111">
                  <c:v>0.57740585774058573</c:v>
                </c:pt>
                <c:pt idx="112">
                  <c:v>0.57740585774058573</c:v>
                </c:pt>
                <c:pt idx="113">
                  <c:v>0.57676348547717837</c:v>
                </c:pt>
                <c:pt idx="114">
                  <c:v>0.57438016528925617</c:v>
                </c:pt>
                <c:pt idx="115">
                  <c:v>0.56734693877551023</c:v>
                </c:pt>
                <c:pt idx="116">
                  <c:v>0.56224899598393574</c:v>
                </c:pt>
                <c:pt idx="117">
                  <c:v>0.56399999999999995</c:v>
                </c:pt>
                <c:pt idx="118">
                  <c:v>0.56692913385826771</c:v>
                </c:pt>
                <c:pt idx="119">
                  <c:v>0.56589147286821706</c:v>
                </c:pt>
                <c:pt idx="120">
                  <c:v>0.56106870229007633</c:v>
                </c:pt>
                <c:pt idx="121">
                  <c:v>0.56060606060606055</c:v>
                </c:pt>
                <c:pt idx="122">
                  <c:v>0.55805243445692887</c:v>
                </c:pt>
                <c:pt idx="123">
                  <c:v>0.54981549815498154</c:v>
                </c:pt>
                <c:pt idx="124">
                  <c:v>0.54981549815498154</c:v>
                </c:pt>
                <c:pt idx="125">
                  <c:v>0.54779411764705888</c:v>
                </c:pt>
                <c:pt idx="126">
                  <c:v>0.54744525547445255</c:v>
                </c:pt>
                <c:pt idx="127">
                  <c:v>0.54512635379061369</c:v>
                </c:pt>
                <c:pt idx="128">
                  <c:v>0.54512635379061369</c:v>
                </c:pt>
                <c:pt idx="129">
                  <c:v>0.5467625899280576</c:v>
                </c:pt>
                <c:pt idx="130">
                  <c:v>0.54609929078014185</c:v>
                </c:pt>
                <c:pt idx="131">
                  <c:v>0.54736842105263162</c:v>
                </c:pt>
                <c:pt idx="132">
                  <c:v>0.54736842105263162</c:v>
                </c:pt>
                <c:pt idx="133">
                  <c:v>0.54703832752613235</c:v>
                </c:pt>
                <c:pt idx="134">
                  <c:v>0.55017301038062283</c:v>
                </c:pt>
                <c:pt idx="135">
                  <c:v>0.5482758620689655</c:v>
                </c:pt>
                <c:pt idx="136">
                  <c:v>0.54794520547945202</c:v>
                </c:pt>
                <c:pt idx="137">
                  <c:v>0.54915254237288136</c:v>
                </c:pt>
                <c:pt idx="138">
                  <c:v>0.55067567567567566</c:v>
                </c:pt>
                <c:pt idx="139">
                  <c:v>0.55218855218855223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9602122015915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まっつん2!$O$3:$O$142</c:f>
              <c:numCache>
                <c:formatCode>0.0%</c:formatCode>
                <c:ptCount val="140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  <c:pt idx="88">
                  <c:v>0.41249999999999998</c:v>
                </c:pt>
                <c:pt idx="89">
                  <c:v>0.41249999999999998</c:v>
                </c:pt>
                <c:pt idx="90">
                  <c:v>0.41249999999999998</c:v>
                </c:pt>
                <c:pt idx="91">
                  <c:v>0.40993788819875776</c:v>
                </c:pt>
                <c:pt idx="92">
                  <c:v>0.41358024691358025</c:v>
                </c:pt>
                <c:pt idx="93">
                  <c:v>0.41717791411042943</c:v>
                </c:pt>
                <c:pt idx="94">
                  <c:v>0.41212121212121211</c:v>
                </c:pt>
                <c:pt idx="95">
                  <c:v>0.41212121212121211</c:v>
                </c:pt>
                <c:pt idx="96">
                  <c:v>0.41317365269461076</c:v>
                </c:pt>
                <c:pt idx="97">
                  <c:v>0.4107142857142857</c:v>
                </c:pt>
                <c:pt idx="98">
                  <c:v>0.41860465116279072</c:v>
                </c:pt>
                <c:pt idx="99">
                  <c:v>0.42528735632183906</c:v>
                </c:pt>
                <c:pt idx="100">
                  <c:v>0.42372881355932202</c:v>
                </c:pt>
                <c:pt idx="101">
                  <c:v>0.42696629213483145</c:v>
                </c:pt>
                <c:pt idx="102">
                  <c:v>0.42696629213483145</c:v>
                </c:pt>
                <c:pt idx="103">
                  <c:v>0.43093922651933703</c:v>
                </c:pt>
                <c:pt idx="104">
                  <c:v>0.43406593406593408</c:v>
                </c:pt>
                <c:pt idx="105">
                  <c:v>0.43169398907103823</c:v>
                </c:pt>
                <c:pt idx="106">
                  <c:v>0.43169398907103823</c:v>
                </c:pt>
                <c:pt idx="107">
                  <c:v>0.43548387096774194</c:v>
                </c:pt>
                <c:pt idx="108">
                  <c:v>0.43085106382978722</c:v>
                </c:pt>
                <c:pt idx="109">
                  <c:v>0.43386243386243384</c:v>
                </c:pt>
                <c:pt idx="110">
                  <c:v>0.4375</c:v>
                </c:pt>
                <c:pt idx="111">
                  <c:v>0.43076923076923079</c:v>
                </c:pt>
                <c:pt idx="112">
                  <c:v>0.42929292929292928</c:v>
                </c:pt>
                <c:pt idx="113">
                  <c:v>0.42786069651741293</c:v>
                </c:pt>
                <c:pt idx="114">
                  <c:v>0.43627450980392157</c:v>
                </c:pt>
                <c:pt idx="115">
                  <c:v>0.43961352657004832</c:v>
                </c:pt>
                <c:pt idx="116">
                  <c:v>0.43809523809523809</c:v>
                </c:pt>
                <c:pt idx="117">
                  <c:v>0.44339622641509435</c:v>
                </c:pt>
                <c:pt idx="118">
                  <c:v>0.44131455399061031</c:v>
                </c:pt>
                <c:pt idx="119">
                  <c:v>0.44131455399061031</c:v>
                </c:pt>
                <c:pt idx="120">
                  <c:v>0.44392523364485981</c:v>
                </c:pt>
                <c:pt idx="121">
                  <c:v>0.44239631336405533</c:v>
                </c:pt>
                <c:pt idx="122">
                  <c:v>0.43835616438356162</c:v>
                </c:pt>
                <c:pt idx="123">
                  <c:v>0.43636363636363634</c:v>
                </c:pt>
                <c:pt idx="124">
                  <c:v>0.43049327354260092</c:v>
                </c:pt>
                <c:pt idx="125">
                  <c:v>0.42920353982300885</c:v>
                </c:pt>
                <c:pt idx="126">
                  <c:v>0.43231441048034935</c:v>
                </c:pt>
                <c:pt idx="127">
                  <c:v>0.43043478260869567</c:v>
                </c:pt>
                <c:pt idx="128">
                  <c:v>0.42489270386266093</c:v>
                </c:pt>
                <c:pt idx="129">
                  <c:v>0.41949152542372881</c:v>
                </c:pt>
                <c:pt idx="130">
                  <c:v>0.41772151898734178</c:v>
                </c:pt>
                <c:pt idx="131">
                  <c:v>0.41078838174273857</c:v>
                </c:pt>
                <c:pt idx="132">
                  <c:v>0.41393442622950821</c:v>
                </c:pt>
                <c:pt idx="133">
                  <c:v>0.41632653061224489</c:v>
                </c:pt>
                <c:pt idx="134">
                  <c:v>0.42338709677419356</c:v>
                </c:pt>
                <c:pt idx="135">
                  <c:v>0.41832669322709165</c:v>
                </c:pt>
                <c:pt idx="136">
                  <c:v>0.42578125</c:v>
                </c:pt>
                <c:pt idx="137">
                  <c:v>0.43023255813953487</c:v>
                </c:pt>
                <c:pt idx="138">
                  <c:v>0.42857142857142855</c:v>
                </c:pt>
                <c:pt idx="139">
                  <c:v>0.42528735632183906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157434402332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まっつん2!$P$3:$P$142</c:f>
              <c:numCache>
                <c:formatCode>0.0%</c:formatCode>
                <c:ptCount val="140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  <c:pt idx="88">
                  <c:v>0.44221105527638194</c:v>
                </c:pt>
                <c:pt idx="89">
                  <c:v>0.4405940594059406</c:v>
                </c:pt>
                <c:pt idx="90">
                  <c:v>0.44878048780487806</c:v>
                </c:pt>
                <c:pt idx="91">
                  <c:v>0.44927536231884058</c:v>
                </c:pt>
                <c:pt idx="92">
                  <c:v>0.45714285714285713</c:v>
                </c:pt>
                <c:pt idx="93">
                  <c:v>0.46046511627906977</c:v>
                </c:pt>
                <c:pt idx="94">
                  <c:v>0.45622119815668205</c:v>
                </c:pt>
                <c:pt idx="95">
                  <c:v>0.45412844036697247</c:v>
                </c:pt>
                <c:pt idx="96">
                  <c:v>0.45248868778280543</c:v>
                </c:pt>
                <c:pt idx="97">
                  <c:v>0.45495495495495497</c:v>
                </c:pt>
                <c:pt idx="98">
                  <c:v>0.44690265486725661</c:v>
                </c:pt>
                <c:pt idx="99">
                  <c:v>0.44736842105263158</c:v>
                </c:pt>
                <c:pt idx="100">
                  <c:v>0.45217391304347826</c:v>
                </c:pt>
                <c:pt idx="101">
                  <c:v>0.45299145299145299</c:v>
                </c:pt>
                <c:pt idx="102">
                  <c:v>0.45338983050847459</c:v>
                </c:pt>
                <c:pt idx="103">
                  <c:v>0.44583333333333336</c:v>
                </c:pt>
                <c:pt idx="104">
                  <c:v>0.44897959183673469</c:v>
                </c:pt>
                <c:pt idx="105">
                  <c:v>0.44715447154471544</c:v>
                </c:pt>
                <c:pt idx="106">
                  <c:v>0.44534412955465585</c:v>
                </c:pt>
                <c:pt idx="107">
                  <c:v>0.44621513944223107</c:v>
                </c:pt>
                <c:pt idx="108">
                  <c:v>0.44841269841269843</c:v>
                </c:pt>
                <c:pt idx="109">
                  <c:v>0.45098039215686275</c:v>
                </c:pt>
                <c:pt idx="110">
                  <c:v>0.44747081712062259</c:v>
                </c:pt>
                <c:pt idx="111">
                  <c:v>0.44573643410852715</c:v>
                </c:pt>
                <c:pt idx="112">
                  <c:v>0.44401544401544402</c:v>
                </c:pt>
                <c:pt idx="113">
                  <c:v>0.44827586206896552</c:v>
                </c:pt>
                <c:pt idx="114">
                  <c:v>0.44696969696969696</c:v>
                </c:pt>
                <c:pt idx="115">
                  <c:v>0.44736842105263158</c:v>
                </c:pt>
                <c:pt idx="116">
                  <c:v>0.44981412639405205</c:v>
                </c:pt>
                <c:pt idx="117">
                  <c:v>0.4485294117647059</c:v>
                </c:pt>
                <c:pt idx="118">
                  <c:v>0.44727272727272727</c:v>
                </c:pt>
                <c:pt idx="119">
                  <c:v>0.4460431654676259</c:v>
                </c:pt>
                <c:pt idx="120">
                  <c:v>0.44642857142857145</c:v>
                </c:pt>
                <c:pt idx="121">
                  <c:v>0.44680851063829785</c:v>
                </c:pt>
                <c:pt idx="122">
                  <c:v>0.44522968197879859</c:v>
                </c:pt>
                <c:pt idx="123">
                  <c:v>0.44522968197879859</c:v>
                </c:pt>
                <c:pt idx="124">
                  <c:v>0.44522968197879859</c:v>
                </c:pt>
                <c:pt idx="125">
                  <c:v>0.44718309859154931</c:v>
                </c:pt>
                <c:pt idx="126">
                  <c:v>0.44599303135888502</c:v>
                </c:pt>
                <c:pt idx="127">
                  <c:v>0.44636678200692043</c:v>
                </c:pt>
                <c:pt idx="128">
                  <c:v>0.44636678200692043</c:v>
                </c:pt>
                <c:pt idx="129">
                  <c:v>0.44827586206896552</c:v>
                </c:pt>
                <c:pt idx="130">
                  <c:v>0.4452054794520548</c:v>
                </c:pt>
                <c:pt idx="131">
                  <c:v>0.445578231292517</c:v>
                </c:pt>
                <c:pt idx="132">
                  <c:v>0.44444444444444442</c:v>
                </c:pt>
                <c:pt idx="133">
                  <c:v>0.44481605351170567</c:v>
                </c:pt>
                <c:pt idx="134">
                  <c:v>0.44407894736842107</c:v>
                </c:pt>
                <c:pt idx="135">
                  <c:v>0.44407894736842107</c:v>
                </c:pt>
                <c:pt idx="136">
                  <c:v>0.44336569579288027</c:v>
                </c:pt>
                <c:pt idx="137">
                  <c:v>0.44089456869009586</c:v>
                </c:pt>
                <c:pt idx="138">
                  <c:v>0.4426751592356688</c:v>
                </c:pt>
                <c:pt idx="139">
                  <c:v>0.44303797468354428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7693010507080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92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9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288</v>
      </c>
      <c r="B82" s="29">
        <v>43814.578449074077</v>
      </c>
      <c r="C82" s="28" t="s">
        <v>128</v>
      </c>
    </row>
    <row r="83" spans="1:9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292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293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294</v>
      </c>
      <c r="B88" s="29">
        <v>43838.76290509259</v>
      </c>
      <c r="C88" s="28" t="s">
        <v>128</v>
      </c>
    </row>
    <row r="89" spans="1:9" x14ac:dyDescent="0.45">
      <c r="A89" s="28" t="s">
        <v>295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296</v>
      </c>
      <c r="B90" s="29">
        <v>43840.436331018522</v>
      </c>
      <c r="C90" s="28" t="s">
        <v>128</v>
      </c>
    </row>
    <row r="91" spans="1:9" x14ac:dyDescent="0.45">
      <c r="A91" s="28" t="s">
        <v>297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298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888</v>
      </c>
    </row>
    <row r="2" spans="1:2" x14ac:dyDescent="0.45">
      <c r="A2" t="s">
        <v>161</v>
      </c>
      <c r="B2">
        <v>78</v>
      </c>
    </row>
    <row r="3" spans="1:2" x14ac:dyDescent="0.45">
      <c r="A3" t="s">
        <v>126</v>
      </c>
      <c r="B3">
        <v>175</v>
      </c>
    </row>
    <row r="4" spans="1:2" x14ac:dyDescent="0.45">
      <c r="A4" t="s">
        <v>127</v>
      </c>
      <c r="B4">
        <v>153</v>
      </c>
    </row>
    <row r="5" spans="1:2" x14ac:dyDescent="0.45">
      <c r="A5" t="s">
        <v>172</v>
      </c>
      <c r="B5">
        <v>97</v>
      </c>
    </row>
    <row r="6" spans="1:2" x14ac:dyDescent="0.45">
      <c r="A6" t="s">
        <v>170</v>
      </c>
      <c r="B6">
        <v>124</v>
      </c>
    </row>
    <row r="7" spans="1:2" x14ac:dyDescent="0.45">
      <c r="A7" t="s">
        <v>171</v>
      </c>
      <c r="B7">
        <v>139</v>
      </c>
    </row>
    <row r="8" spans="1:2" x14ac:dyDescent="0.45">
      <c r="A8" t="s">
        <v>197</v>
      </c>
      <c r="B8">
        <v>62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13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5">
      <c r="A2" s="68" t="s">
        <v>154</v>
      </c>
      <c r="B2" s="166"/>
      <c r="C2" s="167"/>
      <c r="D2" s="166"/>
      <c r="E2" s="167"/>
      <c r="F2" s="162">
        <v>0.970785128281901</v>
      </c>
      <c r="G2" s="163"/>
      <c r="H2" s="162">
        <v>0.83963586584324301</v>
      </c>
      <c r="I2" s="163"/>
      <c r="J2" s="162">
        <v>0.89232842822060943</v>
      </c>
      <c r="K2" s="163"/>
      <c r="L2" s="162">
        <v>0.48872854639920243</v>
      </c>
      <c r="M2" s="163"/>
      <c r="N2" s="162">
        <v>0.52415302693070032</v>
      </c>
      <c r="O2" s="163"/>
      <c r="P2" s="162">
        <v>0.48355263326408876</v>
      </c>
      <c r="Q2" s="163"/>
      <c r="R2" s="162">
        <v>0.29532665022141619</v>
      </c>
      <c r="S2" s="163"/>
      <c r="T2" s="162">
        <v>0.39147980709220526</v>
      </c>
      <c r="U2" s="163"/>
      <c r="V2" s="162">
        <v>0.42038614342408603</v>
      </c>
      <c r="W2" s="163"/>
      <c r="X2" s="162">
        <v>5.5933541005753991E-2</v>
      </c>
      <c r="Y2" s="163"/>
      <c r="Z2" s="162">
        <v>0.37277547461701482</v>
      </c>
      <c r="AA2" s="163"/>
      <c r="AB2" s="162">
        <v>-1.8951063205348447E-2</v>
      </c>
      <c r="AC2" s="163"/>
      <c r="AD2" s="162">
        <v>-5.7916571440227542E-2</v>
      </c>
      <c r="AE2" s="163"/>
      <c r="AF2" s="162">
        <v>0.85793232791008911</v>
      </c>
      <c r="AG2" s="163"/>
    </row>
    <row r="3" spans="1:33" x14ac:dyDescent="0.45">
      <c r="A3" s="70">
        <v>1</v>
      </c>
      <c r="B3" s="71" t="s">
        <v>126</v>
      </c>
      <c r="C3" s="72">
        <v>1535.7999999999997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10697.526501766784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571.00000000000045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0.25142857142857145</v>
      </c>
      <c r="L4" s="81" t="s">
        <v>281</v>
      </c>
      <c r="M4" s="84">
        <v>0.37681159420289856</v>
      </c>
      <c r="N4" s="81" t="s">
        <v>126</v>
      </c>
      <c r="O4" s="84">
        <v>0.13086074177746676</v>
      </c>
      <c r="P4" s="81" t="s">
        <v>281</v>
      </c>
      <c r="Q4" s="85">
        <v>9534.6153846153848</v>
      </c>
      <c r="R4" s="81" t="s">
        <v>171</v>
      </c>
      <c r="S4" s="85">
        <v>-7075.7961783439487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0.61111111111111116</v>
      </c>
      <c r="AB4" s="81" t="s">
        <v>274</v>
      </c>
      <c r="AC4" s="84">
        <v>0.73333333333333328</v>
      </c>
      <c r="AD4" s="81" t="s">
        <v>170</v>
      </c>
      <c r="AE4" s="84">
        <v>0.50176678445229683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8.775999999999998</v>
      </c>
      <c r="F5" s="81" t="s">
        <v>126</v>
      </c>
      <c r="G5" s="82">
        <v>1.7885714285714285</v>
      </c>
      <c r="H5" s="81" t="s">
        <v>126</v>
      </c>
      <c r="I5" s="83">
        <v>0.46285714285714286</v>
      </c>
      <c r="J5" s="81" t="s">
        <v>171</v>
      </c>
      <c r="K5" s="83">
        <v>0.30215827338129497</v>
      </c>
      <c r="L5" s="81" t="s">
        <v>274</v>
      </c>
      <c r="M5" s="84">
        <v>0.3559322033898305</v>
      </c>
      <c r="N5" s="81" t="s">
        <v>171</v>
      </c>
      <c r="O5" s="84">
        <v>0.13881520778072501</v>
      </c>
      <c r="P5" s="81" t="s">
        <v>280</v>
      </c>
      <c r="Q5" s="85">
        <v>8512.5</v>
      </c>
      <c r="R5" s="81" t="s">
        <v>126</v>
      </c>
      <c r="S5" s="85">
        <v>-7731.5508021390378</v>
      </c>
      <c r="T5" s="81" t="s">
        <v>126</v>
      </c>
      <c r="U5" s="83">
        <v>4.5714285714285714E-2</v>
      </c>
      <c r="V5" s="81" t="s">
        <v>170</v>
      </c>
      <c r="W5" s="84">
        <v>0.30700888450148073</v>
      </c>
      <c r="X5" s="81" t="s">
        <v>127</v>
      </c>
      <c r="Y5" s="84">
        <v>0.30164964650432052</v>
      </c>
      <c r="Z5" s="81" t="s">
        <v>196</v>
      </c>
      <c r="AA5" s="84">
        <v>0.59677419354838712</v>
      </c>
      <c r="AB5" s="81" t="s">
        <v>126</v>
      </c>
      <c r="AC5" s="84">
        <v>0.48809523809523808</v>
      </c>
      <c r="AD5" s="81" t="s">
        <v>274</v>
      </c>
      <c r="AE5" s="84">
        <v>0.5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4.6048387096774226</v>
      </c>
      <c r="F6" s="81" t="s">
        <v>170</v>
      </c>
      <c r="G6" s="82">
        <v>1.903225806451613</v>
      </c>
      <c r="H6" s="81" t="s">
        <v>228</v>
      </c>
      <c r="I6" s="83">
        <v>0.42857142857142855</v>
      </c>
      <c r="J6" s="81" t="s">
        <v>170</v>
      </c>
      <c r="K6" s="83">
        <v>0.30645161290322581</v>
      </c>
      <c r="L6" s="81" t="s">
        <v>126</v>
      </c>
      <c r="M6" s="84">
        <v>0.3435969209237229</v>
      </c>
      <c r="N6" s="81" t="s">
        <v>161</v>
      </c>
      <c r="O6" s="84">
        <v>0.15208034433285508</v>
      </c>
      <c r="P6" s="81" t="s">
        <v>196</v>
      </c>
      <c r="Q6" s="85">
        <v>8385.7142857142862</v>
      </c>
      <c r="R6" s="81" t="s">
        <v>141</v>
      </c>
      <c r="S6" s="85">
        <v>-7776.1069340016711</v>
      </c>
      <c r="T6" s="81" t="s">
        <v>171</v>
      </c>
      <c r="U6" s="83">
        <v>7.1942446043165464E-2</v>
      </c>
      <c r="V6" s="81" t="s">
        <v>274</v>
      </c>
      <c r="W6" s="84">
        <v>0.30508474576271188</v>
      </c>
      <c r="X6" s="81" t="s">
        <v>161</v>
      </c>
      <c r="Y6" s="84">
        <v>0.25538020086083213</v>
      </c>
      <c r="Z6" s="81" t="s">
        <v>126</v>
      </c>
      <c r="AA6" s="84">
        <v>0.59055118110236215</v>
      </c>
      <c r="AB6" s="81" t="s">
        <v>281</v>
      </c>
      <c r="AC6" s="84">
        <v>0.45454545454545453</v>
      </c>
      <c r="AD6" s="81" t="s">
        <v>172</v>
      </c>
      <c r="AE6" s="84">
        <v>0.4732142857142857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-5.3290705182007514E-14</v>
      </c>
      <c r="D7" s="81" t="s">
        <v>141</v>
      </c>
      <c r="E7" s="93">
        <v>-6.00120553851436E-17</v>
      </c>
      <c r="F7" s="81" t="s">
        <v>127</v>
      </c>
      <c r="G7" s="82">
        <v>1.9869281045751634</v>
      </c>
      <c r="H7" s="81" t="s">
        <v>170</v>
      </c>
      <c r="I7" s="83">
        <v>0.40322580645161288</v>
      </c>
      <c r="J7" s="81" t="s">
        <v>127</v>
      </c>
      <c r="K7" s="83">
        <v>0.3202614379084967</v>
      </c>
      <c r="L7" s="81" t="s">
        <v>127</v>
      </c>
      <c r="M7" s="84">
        <v>0.30322073841319719</v>
      </c>
      <c r="N7" s="81" t="s">
        <v>141</v>
      </c>
      <c r="O7" s="84">
        <v>0.16108195397658459</v>
      </c>
      <c r="P7" s="81" t="s">
        <v>141</v>
      </c>
      <c r="Q7" s="85">
        <v>8372.86432160804</v>
      </c>
      <c r="R7" s="81" t="s">
        <v>172</v>
      </c>
      <c r="S7" s="85">
        <v>-7855.0335570469797</v>
      </c>
      <c r="T7" s="81" t="s">
        <v>172</v>
      </c>
      <c r="U7" s="83">
        <v>7.2164948453608241E-2</v>
      </c>
      <c r="V7" s="81" t="s">
        <v>172</v>
      </c>
      <c r="W7" s="84">
        <v>0.279322853688029</v>
      </c>
      <c r="X7" s="81" t="s">
        <v>126</v>
      </c>
      <c r="Y7" s="84">
        <v>0.23512946116165151</v>
      </c>
      <c r="Z7" s="81" t="s">
        <v>171</v>
      </c>
      <c r="AA7" s="84">
        <v>0.55218855218855223</v>
      </c>
      <c r="AB7" s="81" t="s">
        <v>197</v>
      </c>
      <c r="AC7" s="84">
        <v>0.43220338983050849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127</v>
      </c>
      <c r="C8" s="80">
        <v>-43.800000000000189</v>
      </c>
      <c r="D8" s="81" t="s">
        <v>127</v>
      </c>
      <c r="E8" s="93">
        <v>-0.28627450980392283</v>
      </c>
      <c r="F8" s="81" t="s">
        <v>274</v>
      </c>
      <c r="G8" s="82">
        <v>2</v>
      </c>
      <c r="H8" s="81" t="s">
        <v>274</v>
      </c>
      <c r="I8" s="83">
        <v>0.38461538461538464</v>
      </c>
      <c r="J8" s="81" t="s">
        <v>141</v>
      </c>
      <c r="K8" s="83">
        <v>0.33333333333333331</v>
      </c>
      <c r="L8" s="81" t="s">
        <v>141</v>
      </c>
      <c r="M8" s="84">
        <v>0.29457677297806484</v>
      </c>
      <c r="N8" s="81" t="s">
        <v>274</v>
      </c>
      <c r="O8" s="84">
        <v>0.16949152542372881</v>
      </c>
      <c r="P8" s="81" t="s">
        <v>127</v>
      </c>
      <c r="Q8" s="85">
        <v>8247.6683937823836</v>
      </c>
      <c r="R8" s="81" t="s">
        <v>127</v>
      </c>
      <c r="S8" s="85">
        <v>-7866.8085106382978</v>
      </c>
      <c r="T8" s="81" t="s">
        <v>161</v>
      </c>
      <c r="U8" s="83">
        <v>7.6923076923076927E-2</v>
      </c>
      <c r="V8" s="81" t="s">
        <v>203</v>
      </c>
      <c r="W8" s="84">
        <v>0.26666666666666666</v>
      </c>
      <c r="X8" s="81" t="s">
        <v>141</v>
      </c>
      <c r="Y8" s="84">
        <v>0.23078993406001885</v>
      </c>
      <c r="Z8" s="81" t="s">
        <v>170</v>
      </c>
      <c r="AA8" s="84">
        <v>0.54983922829581988</v>
      </c>
      <c r="AB8" s="81" t="s">
        <v>171</v>
      </c>
      <c r="AC8" s="84">
        <v>0.42528735632183906</v>
      </c>
      <c r="AD8" s="81" t="s">
        <v>197</v>
      </c>
      <c r="AE8" s="84">
        <v>0.45522388059701491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196</v>
      </c>
      <c r="C9" s="80">
        <v>-45.7</v>
      </c>
      <c r="D9" s="81" t="s">
        <v>171</v>
      </c>
      <c r="E9" s="93">
        <v>-1.0812949640287768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281</v>
      </c>
      <c r="K9" s="83">
        <v>0.375</v>
      </c>
      <c r="L9" s="81" t="s">
        <v>171</v>
      </c>
      <c r="M9" s="84">
        <v>0.27939876215738285</v>
      </c>
      <c r="N9" s="81" t="s">
        <v>170</v>
      </c>
      <c r="O9" s="84">
        <v>0.16979269496544916</v>
      </c>
      <c r="P9" s="81" t="s">
        <v>126</v>
      </c>
      <c r="Q9" s="85">
        <v>8217.5152749490826</v>
      </c>
      <c r="R9" s="81" t="s">
        <v>170</v>
      </c>
      <c r="S9" s="85">
        <v>-7897.0930232558139</v>
      </c>
      <c r="T9" s="81" t="s">
        <v>141</v>
      </c>
      <c r="U9" s="83">
        <v>9.45945945945946E-2</v>
      </c>
      <c r="V9" s="81" t="s">
        <v>126</v>
      </c>
      <c r="W9" s="84">
        <v>0.26662001399580126</v>
      </c>
      <c r="X9" s="81" t="s">
        <v>171</v>
      </c>
      <c r="Y9" s="84">
        <v>0.23076923076923078</v>
      </c>
      <c r="Z9" s="81" t="s">
        <v>141</v>
      </c>
      <c r="AA9" s="84">
        <v>0.54960212201591507</v>
      </c>
      <c r="AB9" s="81" t="s">
        <v>141</v>
      </c>
      <c r="AC9" s="84">
        <v>0.42215743440233239</v>
      </c>
      <c r="AD9" s="81" t="s">
        <v>141</v>
      </c>
      <c r="AE9" s="84">
        <v>0.44769301050708088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274</v>
      </c>
      <c r="C10" s="80">
        <v>-47.6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0.33333333333333331</v>
      </c>
      <c r="J10" s="81" t="s">
        <v>274</v>
      </c>
      <c r="K10" s="83">
        <v>0.38461538461538464</v>
      </c>
      <c r="L10" s="81" t="s">
        <v>170</v>
      </c>
      <c r="M10" s="84">
        <v>0.27936821322803551</v>
      </c>
      <c r="N10" s="81" t="s">
        <v>196</v>
      </c>
      <c r="O10" s="84">
        <v>0.17499999999999999</v>
      </c>
      <c r="P10" s="81" t="s">
        <v>171</v>
      </c>
      <c r="Q10" s="85">
        <v>8158.8607594936711</v>
      </c>
      <c r="R10" s="81" t="s">
        <v>161</v>
      </c>
      <c r="S10" s="85">
        <v>-7918.867924528302</v>
      </c>
      <c r="T10" s="81" t="s">
        <v>170</v>
      </c>
      <c r="U10" s="83">
        <v>0.11290322580645161</v>
      </c>
      <c r="V10" s="81" t="s">
        <v>171</v>
      </c>
      <c r="W10" s="84">
        <v>0.2625994694960212</v>
      </c>
      <c r="X10" s="81" t="s">
        <v>197</v>
      </c>
      <c r="Y10" s="84">
        <v>0.22823984526112184</v>
      </c>
      <c r="Z10" s="81" t="s">
        <v>172</v>
      </c>
      <c r="AA10" s="84">
        <v>0.53679653679653683</v>
      </c>
      <c r="AB10" s="81" t="s">
        <v>161</v>
      </c>
      <c r="AC10" s="84">
        <v>0.4157303370786517</v>
      </c>
      <c r="AD10" s="81" t="s">
        <v>171</v>
      </c>
      <c r="AE10" s="84">
        <v>0.44303797468354428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280</v>
      </c>
      <c r="C11" s="80">
        <v>-80.800000000000011</v>
      </c>
      <c r="D11" s="81" t="s">
        <v>274</v>
      </c>
      <c r="E11" s="93">
        <v>-3.6615384615384619</v>
      </c>
      <c r="F11" s="81" t="s">
        <v>171</v>
      </c>
      <c r="G11" s="82">
        <v>2.0575539568345325</v>
      </c>
      <c r="H11" s="81" t="s">
        <v>141</v>
      </c>
      <c r="I11" s="83">
        <v>0.33333333333333331</v>
      </c>
      <c r="J11" s="81" t="s">
        <v>172</v>
      </c>
      <c r="K11" s="83">
        <v>0.39175257731958762</v>
      </c>
      <c r="L11" s="81" t="s">
        <v>161</v>
      </c>
      <c r="M11" s="84">
        <v>0.27833572453371591</v>
      </c>
      <c r="N11" s="81" t="s">
        <v>197</v>
      </c>
      <c r="O11" s="84">
        <v>0.17794970986460348</v>
      </c>
      <c r="P11" s="81" t="s">
        <v>197</v>
      </c>
      <c r="Q11" s="85">
        <v>8070.1492537313434</v>
      </c>
      <c r="R11" s="81" t="s">
        <v>280</v>
      </c>
      <c r="S11" s="85">
        <v>-7987.5</v>
      </c>
      <c r="T11" s="81" t="s">
        <v>127</v>
      </c>
      <c r="U11" s="83">
        <v>0.11764705882352941</v>
      </c>
      <c r="V11" s="81" t="s">
        <v>196</v>
      </c>
      <c r="W11" s="84">
        <v>0.25833333333333336</v>
      </c>
      <c r="X11" s="81" t="s">
        <v>172</v>
      </c>
      <c r="Y11" s="84">
        <v>0.19347037484885127</v>
      </c>
      <c r="Z11" s="81" t="s">
        <v>228</v>
      </c>
      <c r="AA11" s="84">
        <v>0.53333333333333333</v>
      </c>
      <c r="AB11" s="81" t="s">
        <v>172</v>
      </c>
      <c r="AC11" s="84">
        <v>0.41249999999999998</v>
      </c>
      <c r="AD11" s="81" t="s">
        <v>161</v>
      </c>
      <c r="AE11" s="84">
        <v>0.42783505154639173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228</v>
      </c>
      <c r="C12" s="80">
        <v>-104.80000000000001</v>
      </c>
      <c r="D12" s="81" t="s">
        <v>161</v>
      </c>
      <c r="E12" s="93">
        <v>-5.4820512820512857</v>
      </c>
      <c r="F12" s="81" t="s">
        <v>161</v>
      </c>
      <c r="G12" s="82">
        <v>2.1153846153846154</v>
      </c>
      <c r="H12" s="81" t="s">
        <v>161</v>
      </c>
      <c r="I12" s="83">
        <v>0.32051282051282054</v>
      </c>
      <c r="J12" s="81" t="s">
        <v>196</v>
      </c>
      <c r="K12" s="83">
        <v>0.4</v>
      </c>
      <c r="L12" s="81" t="s">
        <v>172</v>
      </c>
      <c r="M12" s="84">
        <v>0.27085852478839179</v>
      </c>
      <c r="N12" s="81" t="s">
        <v>172</v>
      </c>
      <c r="O12" s="84">
        <v>0.18016928657799275</v>
      </c>
      <c r="P12" s="81" t="s">
        <v>172</v>
      </c>
      <c r="Q12" s="85">
        <v>7832.1428571428569</v>
      </c>
      <c r="R12" s="81" t="s">
        <v>203</v>
      </c>
      <c r="S12" s="85">
        <v>-8000</v>
      </c>
      <c r="T12" s="81" t="s">
        <v>196</v>
      </c>
      <c r="U12" s="83">
        <v>0.12</v>
      </c>
      <c r="V12" s="81" t="s">
        <v>141</v>
      </c>
      <c r="W12" s="84">
        <v>0.25366707038083702</v>
      </c>
      <c r="X12" s="81" t="s">
        <v>170</v>
      </c>
      <c r="Y12" s="84">
        <v>0.18065153010858837</v>
      </c>
      <c r="Z12" s="81" t="s">
        <v>197</v>
      </c>
      <c r="AA12" s="84">
        <v>0.52293577981651373</v>
      </c>
      <c r="AB12" s="81" t="s">
        <v>170</v>
      </c>
      <c r="AC12" s="84">
        <v>0.39890710382513661</v>
      </c>
      <c r="AD12" s="81" t="s">
        <v>126</v>
      </c>
      <c r="AE12" s="84">
        <v>0.42769857433808556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171</v>
      </c>
      <c r="C13" s="80">
        <v>-150.29999999999998</v>
      </c>
      <c r="D13" s="81" t="s">
        <v>172</v>
      </c>
      <c r="E13" s="93">
        <v>-6.9432989690721634</v>
      </c>
      <c r="F13" s="81" t="s">
        <v>228</v>
      </c>
      <c r="G13" s="82">
        <v>2.1428571428571428</v>
      </c>
      <c r="H13" s="81" t="s">
        <v>171</v>
      </c>
      <c r="I13" s="83">
        <v>0.2446043165467626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127</v>
      </c>
      <c r="O13" s="84">
        <v>0.18460329929300864</v>
      </c>
      <c r="P13" s="81" t="s">
        <v>228</v>
      </c>
      <c r="Q13" s="85">
        <v>7473.333333333333</v>
      </c>
      <c r="R13" s="81" t="s">
        <v>274</v>
      </c>
      <c r="S13" s="85">
        <v>-8205</v>
      </c>
      <c r="T13" s="81" t="s">
        <v>197</v>
      </c>
      <c r="U13" s="83">
        <v>0.16129032258064516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161</v>
      </c>
      <c r="AA13" s="84">
        <v>0.52</v>
      </c>
      <c r="AB13" s="81" t="s">
        <v>127</v>
      </c>
      <c r="AC13" s="84">
        <v>0.375</v>
      </c>
      <c r="AD13" s="81" t="s">
        <v>127</v>
      </c>
      <c r="AE13" s="84">
        <v>0.41450777202072536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-427.60000000000025</v>
      </c>
      <c r="D14" s="81" t="s">
        <v>197</v>
      </c>
      <c r="E14" s="93">
        <v>-10.732258064516131</v>
      </c>
      <c r="F14" s="81" t="s">
        <v>172</v>
      </c>
      <c r="G14" s="82">
        <v>2.1752577319587627</v>
      </c>
      <c r="H14" s="81" t="s">
        <v>172</v>
      </c>
      <c r="I14" s="83">
        <v>0.21649484536082475</v>
      </c>
      <c r="J14" s="81" t="s">
        <v>197</v>
      </c>
      <c r="K14" s="83">
        <v>0.43548387096774194</v>
      </c>
      <c r="L14" s="81" t="s">
        <v>197</v>
      </c>
      <c r="M14" s="84">
        <v>0.25918762088974856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-8323.9130434782601</v>
      </c>
      <c r="T14" s="81" t="s">
        <v>280</v>
      </c>
      <c r="U14" s="83">
        <v>0.2</v>
      </c>
      <c r="V14" s="81" t="s">
        <v>127</v>
      </c>
      <c r="W14" s="84">
        <v>0.23252160251374707</v>
      </c>
      <c r="X14" s="81" t="s">
        <v>196</v>
      </c>
      <c r="Y14" s="84">
        <v>0.15</v>
      </c>
      <c r="Z14" s="81" t="s">
        <v>127</v>
      </c>
      <c r="AA14" s="84">
        <v>0.5033783783783784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197</v>
      </c>
      <c r="C15" s="80">
        <v>-665.40000000000009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161</v>
      </c>
      <c r="K15" s="83">
        <v>0.4358974358974359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7171.1340206185569</v>
      </c>
      <c r="R15" s="81" t="s">
        <v>281</v>
      </c>
      <c r="S15" s="85">
        <v>-8437.5</v>
      </c>
      <c r="T15" s="81" t="s">
        <v>274</v>
      </c>
      <c r="U15" s="83">
        <v>0.23076923076923078</v>
      </c>
      <c r="V15" s="81" t="s">
        <v>197</v>
      </c>
      <c r="W15" s="84">
        <v>0.21083172147001933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172</v>
      </c>
      <c r="C16" s="80">
        <v>-673.49999999999989</v>
      </c>
      <c r="D16" s="81" t="s">
        <v>280</v>
      </c>
      <c r="E16" s="93">
        <v>-16.160000000000004</v>
      </c>
      <c r="F16" s="81" t="s">
        <v>197</v>
      </c>
      <c r="G16" s="82">
        <v>2.274193548387097</v>
      </c>
      <c r="H16" s="81" t="s">
        <v>197</v>
      </c>
      <c r="I16" s="83">
        <v>0.16129032258064516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6407.1428571428569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0.14347202295552366</v>
      </c>
      <c r="X16" s="81" t="s">
        <v>274</v>
      </c>
      <c r="Y16" s="84">
        <v>0.1271186440677966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89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888</v>
      </c>
      <c r="C2" s="155"/>
      <c r="E2" s="58" t="s">
        <v>66</v>
      </c>
      <c r="F2" s="55" t="s">
        <v>22</v>
      </c>
      <c r="G2" s="43">
        <v>1654</v>
      </c>
      <c r="H2" s="128">
        <f>IF(B$15=0,0,G2/B$15)</f>
        <v>0.75559616263133855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-30.508474576271187</v>
      </c>
      <c r="P2" s="114">
        <v>885</v>
      </c>
      <c r="Q2" s="98">
        <v>-27000</v>
      </c>
    </row>
    <row r="3" spans="1:17" x14ac:dyDescent="0.45">
      <c r="A3" s="51" t="s">
        <v>8</v>
      </c>
      <c r="B3" s="156">
        <v>7431</v>
      </c>
      <c r="C3" s="157"/>
      <c r="E3" s="59" t="s">
        <v>72</v>
      </c>
      <c r="F3" s="56" t="s">
        <v>27</v>
      </c>
      <c r="G3" s="44">
        <v>1170</v>
      </c>
      <c r="H3" s="129">
        <f>IF(B$15=0,0,G3/B$15)</f>
        <v>0.53449063499314753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9.1638029782359673</v>
      </c>
      <c r="P3" s="115">
        <v>873</v>
      </c>
      <c r="Q3" s="99">
        <v>8000</v>
      </c>
    </row>
    <row r="4" spans="1:17" x14ac:dyDescent="0.45">
      <c r="A4" s="51" t="s">
        <v>6</v>
      </c>
      <c r="B4" s="158">
        <v>-5.3290705182007514E-14</v>
      </c>
      <c r="C4" s="159"/>
      <c r="E4" s="59" t="s">
        <v>64</v>
      </c>
      <c r="F4" s="56" t="s">
        <v>20</v>
      </c>
      <c r="G4" s="44">
        <v>1000</v>
      </c>
      <c r="H4" s="129">
        <f>IF(B$15=0,0,G4/B$15)</f>
        <v>0.45682960255824578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-2.4330900243309004</v>
      </c>
      <c r="P4" s="115">
        <v>822</v>
      </c>
      <c r="Q4" s="99">
        <v>-2000</v>
      </c>
    </row>
    <row r="5" spans="1:17" x14ac:dyDescent="0.45">
      <c r="A5" s="51" t="s">
        <v>7</v>
      </c>
      <c r="B5" s="160">
        <f>IF(B$2=0,0,B$4/B$2)</f>
        <v>-6.00120553851436E-17</v>
      </c>
      <c r="C5" s="161"/>
      <c r="E5" s="59" t="s">
        <v>166</v>
      </c>
      <c r="F5" s="56" t="s">
        <v>167</v>
      </c>
      <c r="G5" s="44">
        <v>848</v>
      </c>
      <c r="H5" s="129">
        <f>IF(B$15=0,0,G5/B$15)</f>
        <v>0.3873915029693924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9.043927648578812</v>
      </c>
      <c r="P5" s="115">
        <v>774</v>
      </c>
      <c r="Q5" s="99">
        <v>7000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682</v>
      </c>
      <c r="H6" s="129">
        <f>IF(B$15=0,0,G6/B$15)</f>
        <v>0.31155778894472363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4.2194092827004219</v>
      </c>
      <c r="P6" s="115">
        <v>711</v>
      </c>
      <c r="Q6" s="99">
        <v>3000</v>
      </c>
    </row>
    <row r="7" spans="1:17" x14ac:dyDescent="0.45">
      <c r="A7" s="51" t="s">
        <v>2</v>
      </c>
      <c r="B7" s="44">
        <v>296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616</v>
      </c>
      <c r="H7" s="129">
        <f>IF(B$15=0,0,G7/B$15)</f>
        <v>0.28140703517587939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15.151515151515152</v>
      </c>
      <c r="P7" s="116">
        <v>594</v>
      </c>
      <c r="Q7" s="100">
        <v>9000</v>
      </c>
    </row>
    <row r="8" spans="1:17" x14ac:dyDescent="0.45">
      <c r="A8" s="51" t="s">
        <v>3</v>
      </c>
      <c r="B8" s="44">
        <v>296</v>
      </c>
      <c r="C8" s="37">
        <f t="shared" si="1"/>
        <v>0.33333333333333331</v>
      </c>
      <c r="E8" s="59" t="s">
        <v>69</v>
      </c>
      <c r="F8" s="56" t="s">
        <v>24</v>
      </c>
      <c r="G8" s="44">
        <v>314</v>
      </c>
      <c r="H8" s="129">
        <f>IF(B$15=0,0,G8/B$15)</f>
        <v>0.14344449520328917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296</v>
      </c>
      <c r="C9" s="38">
        <f t="shared" si="1"/>
        <v>0.33333333333333331</v>
      </c>
      <c r="E9" s="59" t="s">
        <v>89</v>
      </c>
      <c r="F9" s="56" t="s">
        <v>44</v>
      </c>
      <c r="G9" s="44">
        <v>303</v>
      </c>
      <c r="H9" s="129">
        <f>IF(B$15=0,0,G9/B$15)</f>
        <v>0.13841936957514847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84</v>
      </c>
      <c r="C10" s="40">
        <f t="shared" si="1"/>
        <v>9.45945945945946E-2</v>
      </c>
      <c r="E10" s="59" t="s">
        <v>65</v>
      </c>
      <c r="F10" s="56" t="s">
        <v>21</v>
      </c>
      <c r="G10" s="44">
        <v>230</v>
      </c>
      <c r="H10" s="129">
        <f>IF(B$15=0,0,G10/B$15)</f>
        <v>0.10507080858839653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-2.7533783783783781</v>
      </c>
      <c r="P10" s="114">
        <v>296</v>
      </c>
      <c r="Q10" s="102">
        <v>-814.99999999999989</v>
      </c>
    </row>
    <row r="11" spans="1:17" x14ac:dyDescent="0.45">
      <c r="A11" s="54" t="s">
        <v>121</v>
      </c>
      <c r="B11" s="47">
        <v>1885</v>
      </c>
      <c r="C11" s="42">
        <f>IF(B$3=0,0,B11/B$3)</f>
        <v>0.25366707038083702</v>
      </c>
      <c r="E11" s="59" t="s">
        <v>70</v>
      </c>
      <c r="F11" s="56" t="s">
        <v>25</v>
      </c>
      <c r="G11" s="44">
        <v>199</v>
      </c>
      <c r="H11" s="129">
        <f>IF(B$15=0,0,G11/B$15)</f>
        <v>9.0909090909090912E-2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0.58243243243243259</v>
      </c>
      <c r="P11" s="115">
        <v>296</v>
      </c>
      <c r="Q11" s="103">
        <v>172.40000000000003</v>
      </c>
    </row>
    <row r="12" spans="1:17" x14ac:dyDescent="0.45">
      <c r="A12" s="51" t="s">
        <v>118</v>
      </c>
      <c r="B12" s="44">
        <v>1715</v>
      </c>
      <c r="C12" s="37">
        <f>IF(B$3=0,0,B12/B$3)</f>
        <v>0.23078993406001885</v>
      </c>
      <c r="E12" s="59" t="s">
        <v>71</v>
      </c>
      <c r="F12" s="56" t="s">
        <v>26</v>
      </c>
      <c r="G12" s="44">
        <v>173</v>
      </c>
      <c r="H12" s="129">
        <f>IF(B$15=0,0,G12/B$15)</f>
        <v>7.9031521242576522E-2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2.1709459459459448</v>
      </c>
      <c r="P12" s="116">
        <v>296</v>
      </c>
      <c r="Q12" s="104">
        <v>642.59999999999968</v>
      </c>
    </row>
    <row r="13" spans="1:17" x14ac:dyDescent="0.45">
      <c r="A13" s="50" t="s">
        <v>123</v>
      </c>
      <c r="B13" s="43">
        <f>B19</f>
        <v>1036</v>
      </c>
      <c r="C13" s="35">
        <f>IF(B$11=0,0,B13/B$11)</f>
        <v>0.54960212201591507</v>
      </c>
      <c r="E13" s="59" t="s">
        <v>83</v>
      </c>
      <c r="F13" s="56" t="s">
        <v>38</v>
      </c>
      <c r="G13" s="44">
        <v>113</v>
      </c>
      <c r="H13" s="129">
        <f>IF(B$15=0,0,G13/B$15)</f>
        <v>5.1621745089081773E-2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724</v>
      </c>
      <c r="C14" s="35">
        <f>IF(B$12=0,0,B14/B$12)</f>
        <v>0.42215743440233239</v>
      </c>
      <c r="E14" s="59" t="s">
        <v>86</v>
      </c>
      <c r="F14" s="56" t="s">
        <v>41</v>
      </c>
      <c r="G14" s="44">
        <v>108</v>
      </c>
      <c r="H14" s="129">
        <f>IF(B$15=0,0,G14/B$15)</f>
        <v>4.933759707629054E-2</v>
      </c>
      <c r="I14" s="90">
        <v>5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2189</v>
      </c>
      <c r="C15" s="35">
        <f>IF(B$3=0,0,B15/B$3)</f>
        <v>0.29457677297806484</v>
      </c>
      <c r="E15" s="59" t="s">
        <v>78</v>
      </c>
      <c r="F15" s="56" t="s">
        <v>33</v>
      </c>
      <c r="G15" s="44">
        <v>61</v>
      </c>
      <c r="H15" s="129">
        <f>IF(B$15=0,0,G15/B$15)</f>
        <v>2.7866605756052994E-2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1197</v>
      </c>
      <c r="C16" s="37">
        <f>IF(B$3=0,0,B16/B$3)</f>
        <v>0.16108195397658459</v>
      </c>
      <c r="E16" s="59" t="s">
        <v>162</v>
      </c>
      <c r="F16" s="56" t="s">
        <v>163</v>
      </c>
      <c r="G16" s="44">
        <v>48</v>
      </c>
      <c r="H16" s="129">
        <f>IF(B$15=0,0,G16/B$15)</f>
        <v>2.1927820922795799E-2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980</v>
      </c>
      <c r="C17" s="37">
        <f>IF(B$15=0,0,B17/B$15)</f>
        <v>0.44769301050708088</v>
      </c>
      <c r="E17" s="59" t="s">
        <v>81</v>
      </c>
      <c r="F17" s="56" t="s">
        <v>36</v>
      </c>
      <c r="G17" s="44">
        <v>47</v>
      </c>
      <c r="H17" s="129">
        <f>IF(B$15=0,0,G17/B$15)</f>
        <v>2.147099132023755E-2</v>
      </c>
      <c r="I17" s="90">
        <v>4</v>
      </c>
      <c r="K17" s="36">
        <v>15</v>
      </c>
      <c r="L17" s="95">
        <v>0</v>
      </c>
      <c r="N17" s="111" t="s">
        <v>197</v>
      </c>
      <c r="O17" s="121">
        <f>IF(P17=0,0,Q17/P17)</f>
        <v>16.098387096774179</v>
      </c>
      <c r="P17" s="115">
        <v>124</v>
      </c>
      <c r="Q17" s="103">
        <v>1996.1999999999982</v>
      </c>
    </row>
    <row r="18" spans="1:17" x14ac:dyDescent="0.45">
      <c r="A18" s="51" t="s">
        <v>11</v>
      </c>
      <c r="B18" s="44">
        <v>1209</v>
      </c>
      <c r="C18" s="37">
        <f>IF(B$15=0,0,B18/B$15)</f>
        <v>0.55230698949291912</v>
      </c>
      <c r="E18" s="59" t="s">
        <v>91</v>
      </c>
      <c r="F18" s="56" t="s">
        <v>46</v>
      </c>
      <c r="G18" s="44">
        <v>34</v>
      </c>
      <c r="H18" s="129">
        <f>IF(B$15=0,0,G18/B$15)</f>
        <v>1.5532206486980357E-2</v>
      </c>
      <c r="I18" s="90">
        <v>4</v>
      </c>
      <c r="K18" s="36">
        <v>16</v>
      </c>
      <c r="L18" s="95">
        <v>-28.2</v>
      </c>
      <c r="N18" s="111" t="s">
        <v>172</v>
      </c>
      <c r="O18" s="121">
        <f>IF(P18=0,0,Q18/P18)</f>
        <v>10.414948453608243</v>
      </c>
      <c r="P18" s="115">
        <v>194</v>
      </c>
      <c r="Q18" s="103">
        <v>2020.4999999999991</v>
      </c>
    </row>
    <row r="19" spans="1:17" x14ac:dyDescent="0.45">
      <c r="A19" s="51" t="s">
        <v>195</v>
      </c>
      <c r="B19" s="44">
        <v>1036</v>
      </c>
      <c r="C19" s="37">
        <f>IF(B$15=0,0,B19/B$15)</f>
        <v>0.47327546825034261</v>
      </c>
      <c r="E19" s="59" t="s">
        <v>79</v>
      </c>
      <c r="F19" s="56" t="s">
        <v>34</v>
      </c>
      <c r="G19" s="44">
        <v>30</v>
      </c>
      <c r="H19" s="129">
        <f>IF(B$15=0,0,G19/B$15)</f>
        <v>1.3704888076747372E-2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5.6005813953488293</v>
      </c>
      <c r="P19" s="115">
        <v>172</v>
      </c>
      <c r="Q19" s="103">
        <v>963.2999999999987</v>
      </c>
    </row>
    <row r="20" spans="1:17" x14ac:dyDescent="0.45">
      <c r="A20" s="51" t="s">
        <v>193</v>
      </c>
      <c r="B20" s="44">
        <v>724</v>
      </c>
      <c r="C20" s="37">
        <f>IF(B$15=0,0,B20/B$15)</f>
        <v>0.33074463225216993</v>
      </c>
      <c r="E20" s="59" t="s">
        <v>75</v>
      </c>
      <c r="F20" s="56" t="s">
        <v>30</v>
      </c>
      <c r="G20" s="44">
        <v>16</v>
      </c>
      <c r="H20" s="129">
        <f>IF(B$15=0,0,G20/B$15)</f>
        <v>7.3092736409319323E-3</v>
      </c>
      <c r="I20" s="90">
        <v>5</v>
      </c>
      <c r="K20" s="36">
        <v>18</v>
      </c>
      <c r="L20" s="95">
        <v>0</v>
      </c>
      <c r="N20" s="111" t="s">
        <v>274</v>
      </c>
      <c r="O20" s="121">
        <f>IF(P20=0,0,Q20/P20)</f>
        <v>5.4923076923076897</v>
      </c>
      <c r="P20" s="115">
        <v>26</v>
      </c>
      <c r="Q20" s="103">
        <v>142.79999999999993</v>
      </c>
    </row>
    <row r="21" spans="1:17" x14ac:dyDescent="0.45">
      <c r="A21" s="51" t="s">
        <v>194</v>
      </c>
      <c r="B21" s="44">
        <v>429</v>
      </c>
      <c r="C21" s="37">
        <f>IF(B$15=0,0,B21/B$15)</f>
        <v>0.19597989949748743</v>
      </c>
      <c r="E21" s="59" t="s">
        <v>85</v>
      </c>
      <c r="F21" s="56" t="s">
        <v>40</v>
      </c>
      <c r="G21" s="44">
        <v>13</v>
      </c>
      <c r="H21" s="129">
        <f>IF(B$15=0,0,G21/B$15)</f>
        <v>5.9387848332571949E-3</v>
      </c>
      <c r="I21" s="90">
        <v>6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5">
      <c r="A22" s="51" t="s">
        <v>5</v>
      </c>
      <c r="B22" s="48">
        <f>IF(B$15=0,0,C22/B$15)</f>
        <v>8372.86432160804</v>
      </c>
      <c r="C22" s="39">
        <v>18328200</v>
      </c>
      <c r="E22" s="59" t="s">
        <v>92</v>
      </c>
      <c r="F22" s="56" t="s">
        <v>47</v>
      </c>
      <c r="G22" s="44">
        <v>12</v>
      </c>
      <c r="H22" s="129">
        <f>IF(B$15=0,0,G22/B$15)</f>
        <v>5.4819552306989497E-3</v>
      </c>
      <c r="I22" s="90">
        <v>5</v>
      </c>
      <c r="K22" s="36">
        <v>20</v>
      </c>
      <c r="L22" s="95">
        <v>-61.199999999999996</v>
      </c>
      <c r="N22" s="111" t="s">
        <v>171</v>
      </c>
      <c r="O22" s="121">
        <f>IF(P22=0,0,Q22/P22)</f>
        <v>1.6219424460431657</v>
      </c>
      <c r="P22" s="115">
        <v>278</v>
      </c>
      <c r="Q22" s="103">
        <v>450.90000000000009</v>
      </c>
    </row>
    <row r="23" spans="1:17" x14ac:dyDescent="0.45">
      <c r="A23" s="52" t="s">
        <v>177</v>
      </c>
      <c r="B23" s="136">
        <f>IF($B$15-B$14=0,0,C23/($B$15-B$14))</f>
        <v>9021.5017064846415</v>
      </c>
      <c r="C23" s="137">
        <v>13216500</v>
      </c>
      <c r="E23" s="59" t="s">
        <v>73</v>
      </c>
      <c r="F23" s="56" t="s">
        <v>28</v>
      </c>
      <c r="G23" s="44">
        <v>8</v>
      </c>
      <c r="H23" s="129">
        <f>IF(B$15=0,0,G23/B$15)</f>
        <v>3.6546368204659662E-3</v>
      </c>
      <c r="I23" s="90">
        <v>3</v>
      </c>
      <c r="K23" s="36">
        <v>21</v>
      </c>
      <c r="L23" s="95">
        <v>7.1054273576010019E-15</v>
      </c>
      <c r="N23" s="111" t="s">
        <v>127</v>
      </c>
      <c r="O23" s="121">
        <f>IF(P23=0,0,Q23/P23)</f>
        <v>0.4294117647058785</v>
      </c>
      <c r="P23" s="115">
        <v>306</v>
      </c>
      <c r="Q23" s="103">
        <v>131.39999999999881</v>
      </c>
    </row>
    <row r="24" spans="1:17" x14ac:dyDescent="0.45">
      <c r="A24" s="52" t="s">
        <v>178</v>
      </c>
      <c r="B24" s="136">
        <f>IF(B$14=0,0,C24/B$14)</f>
        <v>7060.3591160220994</v>
      </c>
      <c r="C24" s="137">
        <v>5111700</v>
      </c>
      <c r="E24" s="59" t="s">
        <v>74</v>
      </c>
      <c r="F24" s="56" t="s">
        <v>29</v>
      </c>
      <c r="G24" s="44">
        <v>8</v>
      </c>
      <c r="H24" s="129">
        <f>IF(B$15=0,0,G24/B$15)</f>
        <v>3.6546368204659662E-3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-6.907258064516121</v>
      </c>
      <c r="P24" s="115">
        <v>248</v>
      </c>
      <c r="Q24" s="103">
        <v>-1712.999999999998</v>
      </c>
    </row>
    <row r="25" spans="1:17" x14ac:dyDescent="0.45">
      <c r="A25" s="52" t="s">
        <v>176</v>
      </c>
      <c r="B25" s="136">
        <f>IF(B$16=0,0,C25/B$16)</f>
        <v>-7776.1069340016711</v>
      </c>
      <c r="C25" s="137">
        <v>-9308000</v>
      </c>
      <c r="E25" s="59" t="s">
        <v>84</v>
      </c>
      <c r="F25" s="56" t="s">
        <v>39</v>
      </c>
      <c r="G25" s="44">
        <v>7</v>
      </c>
      <c r="H25" s="129">
        <f>IF(B$15=0,0,G25/B$15)</f>
        <v>3.1978072179077205E-3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-13.164000000000005</v>
      </c>
      <c r="P25" s="115">
        <v>350</v>
      </c>
      <c r="Q25" s="103">
        <v>-4607.4000000000015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6</v>
      </c>
      <c r="H26" s="129">
        <f>IF(B$15=0,0,G26/B$15)</f>
        <v>2.7409776153494748E-3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1</v>
      </c>
      <c r="E27" s="59" t="s">
        <v>88</v>
      </c>
      <c r="F27" s="56" t="s">
        <v>43</v>
      </c>
      <c r="G27" s="44">
        <v>5</v>
      </c>
      <c r="H27" s="129">
        <f>IF(B$15=0,0,G27/B$15)</f>
        <v>2.2841480127912287E-3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4</v>
      </c>
      <c r="H28" s="129">
        <f>IF(B$15=0,0,G28/B$15)</f>
        <v>1.8273184102329831E-3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1.8273184102329831E-3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20</v>
      </c>
      <c r="C30" s="40">
        <f>IF(B$3=0,0,B30/B$3)</f>
        <v>2.6914278024491992E-3</v>
      </c>
      <c r="E30" s="59" t="s">
        <v>93</v>
      </c>
      <c r="F30" s="56" t="s">
        <v>48</v>
      </c>
      <c r="G30" s="44">
        <v>4</v>
      </c>
      <c r="H30" s="129">
        <f>IF(B$15=0,0,G30/B$15)</f>
        <v>1.8273184102329831E-3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95</v>
      </c>
      <c r="F31" s="56" t="s">
        <v>50</v>
      </c>
      <c r="G31" s="44">
        <v>4</v>
      </c>
      <c r="H31" s="129">
        <f>IF(B$15=0,0,G31/B$15)</f>
        <v>1.8273184102329831E-3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173</v>
      </c>
      <c r="C32" s="141">
        <f>IF(B$15=0,0,B32/B$15)</f>
        <v>7.9031521242576522E-2</v>
      </c>
      <c r="E32" s="59" t="s">
        <v>97</v>
      </c>
      <c r="F32" s="56" t="s">
        <v>52</v>
      </c>
      <c r="G32" s="44">
        <v>1</v>
      </c>
      <c r="H32" s="129">
        <f>IF(B$15=0,0,G32/B$15)</f>
        <v>4.5682960255824577E-4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370</v>
      </c>
      <c r="C33" s="37">
        <f t="shared" ref="C33:C44" si="2">IF(B$15=0,0,B33/B$15)</f>
        <v>0.16902695294655093</v>
      </c>
      <c r="E33" s="59" t="s">
        <v>101</v>
      </c>
      <c r="F33" s="56" t="s">
        <v>56</v>
      </c>
      <c r="G33" s="44">
        <v>1</v>
      </c>
      <c r="H33" s="129">
        <f>IF(B$15=0,0,G33/B$15)</f>
        <v>4.5682960255824577E-4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427</v>
      </c>
      <c r="C34" s="37">
        <f>IF(B$15=0,0,B34/B$15)</f>
        <v>0.19506624029237093</v>
      </c>
      <c r="E34" s="59" t="s">
        <v>106</v>
      </c>
      <c r="F34" s="56" t="s">
        <v>113</v>
      </c>
      <c r="G34" s="44">
        <v>1</v>
      </c>
      <c r="H34" s="129">
        <f>IF(B$15=0,0,G34/B$15)</f>
        <v>4.5682960255824577E-4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386</v>
      </c>
      <c r="C35" s="37">
        <f t="shared" si="2"/>
        <v>0.17633622658748288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346</v>
      </c>
      <c r="C36" s="37">
        <f t="shared" si="2"/>
        <v>0.15806304248515304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236</v>
      </c>
      <c r="C37" s="37">
        <f t="shared" si="2"/>
        <v>0.107811786203746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116</v>
      </c>
      <c r="C38" s="37">
        <f t="shared" si="2"/>
        <v>5.2992233896756509E-2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63</v>
      </c>
      <c r="C39" s="37">
        <f t="shared" si="2"/>
        <v>2.8780264961169484E-2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28</v>
      </c>
      <c r="C40" s="37">
        <f t="shared" si="2"/>
        <v>1.2791228871630882E-2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9</v>
      </c>
      <c r="C41" s="37">
        <f t="shared" si="2"/>
        <v>4.1114664230242123E-3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2.7409776153494748E-3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2.7409776153494748E-3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23</v>
      </c>
      <c r="C44" s="40">
        <f t="shared" si="2"/>
        <v>1.0507080858839652E-2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8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78</v>
      </c>
      <c r="C2" s="155"/>
      <c r="E2" s="58" t="s">
        <v>66</v>
      </c>
      <c r="F2" s="55" t="s">
        <v>22</v>
      </c>
      <c r="G2" s="43">
        <v>139</v>
      </c>
      <c r="H2" s="128">
        <f>IF(B$15=0,0,G2/B$15)</f>
        <v>0.71649484536082475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2233.3333333333335</v>
      </c>
      <c r="P2" s="114">
        <v>78</v>
      </c>
      <c r="Q2" s="98">
        <v>174200</v>
      </c>
    </row>
    <row r="3" spans="1:17" x14ac:dyDescent="0.45">
      <c r="A3" s="51" t="s">
        <v>8</v>
      </c>
      <c r="B3" s="156">
        <v>697</v>
      </c>
      <c r="C3" s="157"/>
      <c r="E3" s="59" t="s">
        <v>72</v>
      </c>
      <c r="F3" s="56" t="s">
        <v>27</v>
      </c>
      <c r="G3" s="44">
        <v>107</v>
      </c>
      <c r="H3" s="129">
        <f>IF(B$15=0,0,G3/B$15)</f>
        <v>0.55154639175257736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-1844.1558441558441</v>
      </c>
      <c r="P3" s="115">
        <v>77</v>
      </c>
      <c r="Q3" s="99">
        <v>-142000</v>
      </c>
    </row>
    <row r="4" spans="1:17" x14ac:dyDescent="0.45">
      <c r="A4" s="51" t="s">
        <v>6</v>
      </c>
      <c r="B4" s="158">
        <v>-427.60000000000025</v>
      </c>
      <c r="C4" s="159"/>
      <c r="E4" s="59" t="s">
        <v>166</v>
      </c>
      <c r="F4" s="56" t="s">
        <v>167</v>
      </c>
      <c r="G4" s="44">
        <v>72</v>
      </c>
      <c r="H4" s="129">
        <f>IF(B$15=0,0,G4/B$15)</f>
        <v>0.37113402061855671</v>
      </c>
      <c r="I4" s="90">
        <v>9</v>
      </c>
      <c r="K4" s="36">
        <v>2</v>
      </c>
      <c r="L4" s="95">
        <v>19.899999999999999</v>
      </c>
      <c r="N4" s="111" t="s">
        <v>132</v>
      </c>
      <c r="O4" s="118">
        <f t="shared" si="0"/>
        <v>-1763.5135135135135</v>
      </c>
      <c r="P4" s="115">
        <v>74</v>
      </c>
      <c r="Q4" s="99">
        <v>-130500</v>
      </c>
    </row>
    <row r="5" spans="1:17" x14ac:dyDescent="0.45">
      <c r="A5" s="51" t="s">
        <v>7</v>
      </c>
      <c r="B5" s="160">
        <f>IF(B$2=0,0,B$4/B$2)</f>
        <v>-5.4820512820512857</v>
      </c>
      <c r="C5" s="161"/>
      <c r="E5" s="59" t="s">
        <v>68</v>
      </c>
      <c r="F5" s="56" t="s">
        <v>12</v>
      </c>
      <c r="G5" s="44">
        <v>52</v>
      </c>
      <c r="H5" s="129">
        <f>IF(B$15=0,0,G5/B$15)</f>
        <v>0.26804123711340205</v>
      </c>
      <c r="I5" s="90">
        <v>12</v>
      </c>
      <c r="K5" s="36">
        <v>3</v>
      </c>
      <c r="L5" s="95">
        <v>-8.3000000000000007</v>
      </c>
      <c r="N5" s="111" t="s">
        <v>133</v>
      </c>
      <c r="O5" s="118">
        <f t="shared" si="0"/>
        <v>-991.304347826087</v>
      </c>
      <c r="P5" s="115">
        <v>69</v>
      </c>
      <c r="Q5" s="99">
        <v>-68400</v>
      </c>
    </row>
    <row r="6" spans="1:17" x14ac:dyDescent="0.45">
      <c r="A6" s="51" t="s">
        <v>1</v>
      </c>
      <c r="B6" s="150">
        <f>IF(B$2=0,0,(B$7*1+B$8*2+B$9*3)/B$2)</f>
        <v>2.1153846153846154</v>
      </c>
      <c r="C6" s="151"/>
      <c r="E6" s="59" t="s">
        <v>64</v>
      </c>
      <c r="F6" s="56" t="s">
        <v>20</v>
      </c>
      <c r="G6" s="44">
        <v>51</v>
      </c>
      <c r="H6" s="129">
        <f>IF(B$15=0,0,G6/B$15)</f>
        <v>0.26288659793814434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-83.582089552238813</v>
      </c>
      <c r="P6" s="115">
        <v>67</v>
      </c>
      <c r="Q6" s="99">
        <v>-5600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0.32051282051282054</v>
      </c>
      <c r="E7" s="59" t="s">
        <v>67</v>
      </c>
      <c r="F7" s="56" t="s">
        <v>23</v>
      </c>
      <c r="G7" s="44">
        <v>34</v>
      </c>
      <c r="H7" s="129">
        <f>IF(B$15=0,0,G7/B$15)</f>
        <v>0.17525773195876287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-2245.6140350877195</v>
      </c>
      <c r="P7" s="116">
        <v>57</v>
      </c>
      <c r="Q7" s="100">
        <v>-128000</v>
      </c>
    </row>
    <row r="8" spans="1:17" x14ac:dyDescent="0.45">
      <c r="A8" s="51" t="s">
        <v>3</v>
      </c>
      <c r="B8" s="44">
        <v>19</v>
      </c>
      <c r="C8" s="37">
        <f t="shared" si="1"/>
        <v>0.24358974358974358</v>
      </c>
      <c r="E8" s="59" t="s">
        <v>69</v>
      </c>
      <c r="F8" s="56" t="s">
        <v>24</v>
      </c>
      <c r="G8" s="44">
        <v>32</v>
      </c>
      <c r="H8" s="129">
        <f>IF(B$15=0,0,G8/B$15)</f>
        <v>0.16494845360824742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34</v>
      </c>
      <c r="C9" s="38">
        <f t="shared" si="1"/>
        <v>0.4358974358974359</v>
      </c>
      <c r="E9" s="59" t="s">
        <v>70</v>
      </c>
      <c r="F9" s="56" t="s">
        <v>25</v>
      </c>
      <c r="G9" s="44">
        <v>23</v>
      </c>
      <c r="H9" s="129">
        <f>IF(B$15=0,0,G9/B$15)</f>
        <v>0.11855670103092783</v>
      </c>
      <c r="I9" s="90">
        <v>4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7.6923076923076927E-2</v>
      </c>
      <c r="E10" s="59" t="s">
        <v>71</v>
      </c>
      <c r="F10" s="56" t="s">
        <v>26</v>
      </c>
      <c r="G10" s="44">
        <v>23</v>
      </c>
      <c r="H10" s="129">
        <f>IF(B$15=0,0,G10/B$15)</f>
        <v>0.11855670103092783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-11.592592592592593</v>
      </c>
      <c r="P10" s="114">
        <v>27</v>
      </c>
      <c r="Q10" s="102">
        <v>-313</v>
      </c>
    </row>
    <row r="11" spans="1:17" x14ac:dyDescent="0.45">
      <c r="A11" s="54" t="s">
        <v>121</v>
      </c>
      <c r="B11" s="47">
        <v>100</v>
      </c>
      <c r="C11" s="42">
        <f>IF(B$3=0,0,B11/B$3)</f>
        <v>0.14347202295552366</v>
      </c>
      <c r="E11" s="59" t="s">
        <v>83</v>
      </c>
      <c r="F11" s="56" t="s">
        <v>38</v>
      </c>
      <c r="G11" s="44">
        <v>18</v>
      </c>
      <c r="H11" s="129">
        <f>IF(B$15=0,0,G11/B$15)</f>
        <v>9.2783505154639179E-2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-5.2208333333333323</v>
      </c>
      <c r="P11" s="115">
        <v>24</v>
      </c>
      <c r="Q11" s="103">
        <v>-125.29999999999998</v>
      </c>
    </row>
    <row r="12" spans="1:17" x14ac:dyDescent="0.45">
      <c r="A12" s="51" t="s">
        <v>118</v>
      </c>
      <c r="B12" s="44">
        <v>178</v>
      </c>
      <c r="C12" s="37">
        <f>IF(B$3=0,0,B12/B$3)</f>
        <v>0.25538020086083213</v>
      </c>
      <c r="E12" s="59" t="s">
        <v>65</v>
      </c>
      <c r="F12" s="56" t="s">
        <v>21</v>
      </c>
      <c r="G12" s="44">
        <v>13</v>
      </c>
      <c r="H12" s="129">
        <f>IF(B$15=0,0,G12/B$15)</f>
        <v>6.7010309278350513E-2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0.39629629629629665</v>
      </c>
      <c r="P12" s="116">
        <v>27</v>
      </c>
      <c r="Q12" s="104">
        <v>10.70000000000001</v>
      </c>
    </row>
    <row r="13" spans="1:17" x14ac:dyDescent="0.45">
      <c r="A13" s="50" t="s">
        <v>123</v>
      </c>
      <c r="B13" s="43">
        <f>B19</f>
        <v>52</v>
      </c>
      <c r="C13" s="35">
        <f>IF(B$11=0,0,B13/B$11)</f>
        <v>0.52</v>
      </c>
      <c r="E13" s="59" t="s">
        <v>89</v>
      </c>
      <c r="F13" s="56" t="s">
        <v>44</v>
      </c>
      <c r="G13" s="44">
        <v>12</v>
      </c>
      <c r="H13" s="129">
        <f>IF(B$15=0,0,G13/B$15)</f>
        <v>6.1855670103092786E-2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74</v>
      </c>
      <c r="C14" s="35">
        <f>IF(B$12=0,0,B14/B$12)</f>
        <v>0.4157303370786517</v>
      </c>
      <c r="E14" s="59" t="s">
        <v>81</v>
      </c>
      <c r="F14" s="56" t="s">
        <v>36</v>
      </c>
      <c r="G14" s="44">
        <v>9</v>
      </c>
      <c r="H14" s="129">
        <f>IF(B$15=0,0,G14/B$15)</f>
        <v>4.6391752577319589E-2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194</v>
      </c>
      <c r="C15" s="35">
        <f>IF(B$3=0,0,B15/B$3)</f>
        <v>0.27833572453371591</v>
      </c>
      <c r="E15" s="59" t="s">
        <v>86</v>
      </c>
      <c r="F15" s="56" t="s">
        <v>41</v>
      </c>
      <c r="G15" s="44">
        <v>5</v>
      </c>
      <c r="H15" s="129">
        <f>IF(B$15=0,0,G15/B$15)</f>
        <v>2.5773195876288658E-2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106</v>
      </c>
      <c r="C16" s="37">
        <f>IF(B$3=0,0,B16/B$3)</f>
        <v>0.15208034433285508</v>
      </c>
      <c r="E16" s="59" t="s">
        <v>79</v>
      </c>
      <c r="F16" s="56" t="s">
        <v>34</v>
      </c>
      <c r="G16" s="44">
        <v>4</v>
      </c>
      <c r="H16" s="129">
        <f>IF(B$15=0,0,G16/B$15)</f>
        <v>2.0618556701030927E-2</v>
      </c>
      <c r="I16" s="90">
        <v>4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83</v>
      </c>
      <c r="C17" s="37">
        <f>IF(B$15=0,0,B17/B$15)</f>
        <v>0.42783505154639173</v>
      </c>
      <c r="E17" s="59" t="s">
        <v>91</v>
      </c>
      <c r="F17" s="56" t="s">
        <v>46</v>
      </c>
      <c r="G17" s="44">
        <v>4</v>
      </c>
      <c r="H17" s="129">
        <f>IF(B$15=0,0,G17/B$15)</f>
        <v>2.0618556701030927E-2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 t="shared" si="2"/>
        <v>4.4185185185185185</v>
      </c>
      <c r="P17" s="115">
        <v>27</v>
      </c>
      <c r="Q17" s="103">
        <v>119.3</v>
      </c>
    </row>
    <row r="18" spans="1:17" x14ac:dyDescent="0.45">
      <c r="A18" s="51" t="s">
        <v>11</v>
      </c>
      <c r="B18" s="44">
        <v>111</v>
      </c>
      <c r="C18" s="37">
        <f>IF(B$15=0,0,B18/B$15)</f>
        <v>0.57216494845360821</v>
      </c>
      <c r="E18" s="59" t="s">
        <v>74</v>
      </c>
      <c r="F18" s="56" t="s">
        <v>29</v>
      </c>
      <c r="G18" s="44">
        <v>2</v>
      </c>
      <c r="H18" s="129">
        <f>IF(B$15=0,0,G18/B$15)</f>
        <v>1.0309278350515464E-2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-1.4666666666666697</v>
      </c>
      <c r="P18" s="115">
        <v>18</v>
      </c>
      <c r="Q18" s="103">
        <v>-26.400000000000055</v>
      </c>
    </row>
    <row r="19" spans="1:17" x14ac:dyDescent="0.45">
      <c r="A19" s="51" t="s">
        <v>195</v>
      </c>
      <c r="B19" s="44">
        <v>52</v>
      </c>
      <c r="C19" s="37">
        <f>IF(B$15=0,0,B19/B$15)</f>
        <v>0.26804123711340205</v>
      </c>
      <c r="E19" s="59" t="s">
        <v>78</v>
      </c>
      <c r="F19" s="56" t="s">
        <v>33</v>
      </c>
      <c r="G19" s="44">
        <v>2</v>
      </c>
      <c r="H19" s="129">
        <f>IF(B$15=0,0,G19/B$15)</f>
        <v>1.0309278350515464E-2</v>
      </c>
      <c r="I19" s="90">
        <v>9</v>
      </c>
      <c r="K19" s="36">
        <v>17</v>
      </c>
      <c r="L19" s="95">
        <v>-65.2</v>
      </c>
      <c r="N19" s="111" t="s">
        <v>127</v>
      </c>
      <c r="O19" s="121">
        <f t="shared" si="2"/>
        <v>-5.5300000000000011</v>
      </c>
      <c r="P19" s="115">
        <v>30</v>
      </c>
      <c r="Q19" s="103">
        <v>-165.90000000000003</v>
      </c>
    </row>
    <row r="20" spans="1:17" x14ac:dyDescent="0.45">
      <c r="A20" s="51" t="s">
        <v>193</v>
      </c>
      <c r="B20" s="44">
        <v>74</v>
      </c>
      <c r="C20" s="37">
        <f>IF(B$15=0,0,B20/B$15)</f>
        <v>0.38144329896907214</v>
      </c>
      <c r="E20" s="59" t="s">
        <v>88</v>
      </c>
      <c r="F20" s="56" t="s">
        <v>43</v>
      </c>
      <c r="G20" s="44">
        <v>2</v>
      </c>
      <c r="H20" s="129">
        <f>IF(B$15=0,0,G20/B$15)</f>
        <v>1.0309278350515464E-2</v>
      </c>
      <c r="I20" s="90">
        <v>1</v>
      </c>
      <c r="K20" s="36">
        <v>18</v>
      </c>
      <c r="L20" s="95">
        <v>-80.2</v>
      </c>
      <c r="N20" s="111" t="s">
        <v>126</v>
      </c>
      <c r="O20" s="121">
        <f t="shared" si="2"/>
        <v>-12.572222222222225</v>
      </c>
      <c r="P20" s="115">
        <v>36</v>
      </c>
      <c r="Q20" s="103">
        <v>-452.60000000000008</v>
      </c>
    </row>
    <row r="21" spans="1:17" x14ac:dyDescent="0.45">
      <c r="A21" s="51" t="s">
        <v>194</v>
      </c>
      <c r="B21" s="44">
        <v>68</v>
      </c>
      <c r="C21" s="37">
        <f>IF(B$15=0,0,B21/B$15)</f>
        <v>0.35051546391752575</v>
      </c>
      <c r="E21" s="59" t="s">
        <v>93</v>
      </c>
      <c r="F21" s="56" t="s">
        <v>48</v>
      </c>
      <c r="G21" s="44">
        <v>2</v>
      </c>
      <c r="H21" s="129">
        <f>IF(B$15=0,0,G21/B$15)</f>
        <v>1.0309278350515464E-2</v>
      </c>
      <c r="I21" s="90">
        <v>1</v>
      </c>
      <c r="K21" s="36">
        <v>19</v>
      </c>
      <c r="L21" s="95">
        <v>-115.1</v>
      </c>
      <c r="N21" s="111" t="s">
        <v>197</v>
      </c>
      <c r="O21" s="121">
        <f t="shared" si="2"/>
        <v>-18.291666666666664</v>
      </c>
      <c r="P21" s="115">
        <v>12</v>
      </c>
      <c r="Q21" s="103">
        <v>-219.49999999999997</v>
      </c>
    </row>
    <row r="22" spans="1:17" x14ac:dyDescent="0.45">
      <c r="A22" s="51" t="s">
        <v>5</v>
      </c>
      <c r="B22" s="48">
        <f>IF(B$15=0,0,C22/B$15)</f>
        <v>7171.1340206185569</v>
      </c>
      <c r="C22" s="39">
        <v>1391200</v>
      </c>
      <c r="E22" s="59" t="s">
        <v>75</v>
      </c>
      <c r="F22" s="56" t="s">
        <v>30</v>
      </c>
      <c r="G22" s="44">
        <v>1</v>
      </c>
      <c r="H22" s="129">
        <f>IF(B$15=0,0,G22/B$15)</f>
        <v>5.1546391752577319E-3</v>
      </c>
      <c r="I22" s="90">
        <v>8</v>
      </c>
      <c r="K22" s="36">
        <v>20</v>
      </c>
      <c r="L22" s="95">
        <v>-88.8</v>
      </c>
      <c r="N22" s="111" t="s">
        <v>170</v>
      </c>
      <c r="O22" s="121">
        <f t="shared" si="2"/>
        <v>-31.130434782608695</v>
      </c>
      <c r="P22" s="115">
        <v>23</v>
      </c>
      <c r="Q22" s="103">
        <v>-716</v>
      </c>
    </row>
    <row r="23" spans="1:17" x14ac:dyDescent="0.45">
      <c r="A23" s="52" t="s">
        <v>177</v>
      </c>
      <c r="B23" s="136">
        <f>IF($B$15-B$14=0,0,C23/($B$15-B$14))</f>
        <v>7721.666666666667</v>
      </c>
      <c r="C23" s="137">
        <v>926600</v>
      </c>
      <c r="E23" s="59" t="s">
        <v>77</v>
      </c>
      <c r="F23" s="56" t="s">
        <v>32</v>
      </c>
      <c r="G23" s="44">
        <v>1</v>
      </c>
      <c r="H23" s="129">
        <f>IF(B$15=0,0,G23/B$15)</f>
        <v>5.1546391752577319E-3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6278.3783783783783</v>
      </c>
      <c r="C24" s="137">
        <v>464600</v>
      </c>
      <c r="E24" s="59" t="s">
        <v>84</v>
      </c>
      <c r="F24" s="56" t="s">
        <v>39</v>
      </c>
      <c r="G24" s="44">
        <v>1</v>
      </c>
      <c r="H24" s="129">
        <f>IF(B$15=0,0,G24/B$15)</f>
        <v>5.1546391752577319E-3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-7918.867924528302</v>
      </c>
      <c r="C25" s="137">
        <v>-839400</v>
      </c>
      <c r="E25" s="59" t="s">
        <v>87</v>
      </c>
      <c r="F25" s="56" t="s">
        <v>42</v>
      </c>
      <c r="G25" s="44">
        <v>1</v>
      </c>
      <c r="H25" s="129">
        <f>IF(B$15=0,0,G25/B$15)</f>
        <v>5.1546391752577319E-3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5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8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2.8694404591104736E-3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0.13917525773195877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38</v>
      </c>
      <c r="C33" s="37">
        <f t="shared" ref="C33:C44" si="3">IF(B$15=0,0,B33/B$15)</f>
        <v>0.19587628865979381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41</v>
      </c>
      <c r="C34" s="37">
        <f>IF(B$15=0,0,B34/B$15)</f>
        <v>0.21134020618556701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32</v>
      </c>
      <c r="C35" s="37">
        <f t="shared" si="3"/>
        <v>0.16494845360824742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20</v>
      </c>
      <c r="C36" s="37">
        <f t="shared" si="3"/>
        <v>0.10309278350515463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16</v>
      </c>
      <c r="C37" s="37">
        <f t="shared" si="3"/>
        <v>8.247422680412371E-2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3"/>
        <v>5.6701030927835051E-2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3.0927835051546393E-2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5.1546391752577319E-3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1.0309278350515464E-2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</sheetData>
  <sortState xmlns:xlrd2="http://schemas.microsoft.com/office/spreadsheetml/2017/richdata2" ref="E2:I8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17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175</v>
      </c>
      <c r="C2" s="155"/>
      <c r="E2" s="58" t="s">
        <v>66</v>
      </c>
      <c r="F2" s="55" t="s">
        <v>22</v>
      </c>
      <c r="G2" s="43">
        <v>334</v>
      </c>
      <c r="H2" s="128">
        <f>IF(B$15=0,0,G2/B$15)</f>
        <v>0.68024439918533608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1105.7471264367816</v>
      </c>
      <c r="P2" s="114">
        <v>174</v>
      </c>
      <c r="Q2" s="98">
        <v>192400</v>
      </c>
    </row>
    <row r="3" spans="1:17" x14ac:dyDescent="0.45">
      <c r="A3" s="51" t="s">
        <v>8</v>
      </c>
      <c r="B3" s="156">
        <v>1429</v>
      </c>
      <c r="C3" s="157"/>
      <c r="E3" s="59" t="s">
        <v>72</v>
      </c>
      <c r="F3" s="56" t="s">
        <v>27</v>
      </c>
      <c r="G3" s="44">
        <v>254</v>
      </c>
      <c r="H3" s="129">
        <f>IF(B$15=0,0,G3/B$15)</f>
        <v>0.51731160896130346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1235.0877192982457</v>
      </c>
      <c r="P3" s="115">
        <v>171</v>
      </c>
      <c r="Q3" s="99">
        <v>211200</v>
      </c>
    </row>
    <row r="4" spans="1:17" x14ac:dyDescent="0.45">
      <c r="A4" s="51" t="s">
        <v>6</v>
      </c>
      <c r="B4" s="158">
        <v>1535.7999999999997</v>
      </c>
      <c r="C4" s="159"/>
      <c r="E4" s="59" t="s">
        <v>64</v>
      </c>
      <c r="F4" s="56" t="s">
        <v>20</v>
      </c>
      <c r="G4" s="44">
        <v>214</v>
      </c>
      <c r="H4" s="129">
        <f>IF(B$15=0,0,G4/B$15)</f>
        <v>0.43584521384928715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1126.8292682926829</v>
      </c>
      <c r="P4" s="115">
        <v>164</v>
      </c>
      <c r="Q4" s="99">
        <v>184800</v>
      </c>
    </row>
    <row r="5" spans="1:17" x14ac:dyDescent="0.45">
      <c r="A5" s="51" t="s">
        <v>7</v>
      </c>
      <c r="B5" s="160">
        <f>IF(B$2=0,0,B$4/B$2)</f>
        <v>8.775999999999998</v>
      </c>
      <c r="C5" s="161"/>
      <c r="E5" s="59" t="s">
        <v>166</v>
      </c>
      <c r="F5" s="56" t="s">
        <v>167</v>
      </c>
      <c r="G5" s="44">
        <v>187</v>
      </c>
      <c r="H5" s="129">
        <f>IF(B$15=0,0,G5/B$15)</f>
        <v>0.38085539714867617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296.73202614379085</v>
      </c>
      <c r="P5" s="115">
        <v>153</v>
      </c>
      <c r="Q5" s="99">
        <v>45400</v>
      </c>
    </row>
    <row r="6" spans="1:17" x14ac:dyDescent="0.45">
      <c r="A6" s="51" t="s">
        <v>1</v>
      </c>
      <c r="B6" s="150">
        <f>IF(B$2=0,0,(B$7*1+B$8*2+B$9*3)/B$2)</f>
        <v>1.7885714285714285</v>
      </c>
      <c r="C6" s="151"/>
      <c r="E6" s="59" t="s">
        <v>68</v>
      </c>
      <c r="F6" s="56" t="s">
        <v>12</v>
      </c>
      <c r="G6" s="44">
        <v>137</v>
      </c>
      <c r="H6" s="129">
        <f>IF(B$15=0,0,G6/B$15)</f>
        <v>0.27902240325865579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1573.943661971831</v>
      </c>
      <c r="P6" s="115">
        <v>142</v>
      </c>
      <c r="Q6" s="99">
        <v>223500</v>
      </c>
    </row>
    <row r="7" spans="1:17" x14ac:dyDescent="0.45">
      <c r="A7" s="51" t="s">
        <v>2</v>
      </c>
      <c r="B7" s="44">
        <v>81</v>
      </c>
      <c r="C7" s="37">
        <f t="shared" ref="C7:C10" si="1">IF(B$2=0,0,B7/B$2)</f>
        <v>0.46285714285714286</v>
      </c>
      <c r="E7" s="59" t="s">
        <v>67</v>
      </c>
      <c r="F7" s="56" t="s">
        <v>23</v>
      </c>
      <c r="G7" s="44">
        <v>118</v>
      </c>
      <c r="H7" s="129">
        <f>IF(B$15=0,0,G7/B$15)</f>
        <v>0.24032586558044808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2268.3760683760684</v>
      </c>
      <c r="P7" s="116">
        <v>117</v>
      </c>
      <c r="Q7" s="100">
        <v>265400</v>
      </c>
    </row>
    <row r="8" spans="1:17" x14ac:dyDescent="0.45">
      <c r="A8" s="51" t="s">
        <v>3</v>
      </c>
      <c r="B8" s="44">
        <v>50</v>
      </c>
      <c r="C8" s="37">
        <f t="shared" si="1"/>
        <v>0.2857142857142857</v>
      </c>
      <c r="E8" s="59" t="s">
        <v>89</v>
      </c>
      <c r="F8" s="56" t="s">
        <v>44</v>
      </c>
      <c r="G8" s="44">
        <v>72</v>
      </c>
      <c r="H8" s="129">
        <f>IF(B$15=0,0,G8/B$15)</f>
        <v>0.14663951120162932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44</v>
      </c>
      <c r="C9" s="38">
        <f t="shared" si="1"/>
        <v>0.25142857142857145</v>
      </c>
      <c r="E9" s="59" t="s">
        <v>69</v>
      </c>
      <c r="F9" s="56" t="s">
        <v>24</v>
      </c>
      <c r="G9" s="44">
        <v>61</v>
      </c>
      <c r="H9" s="129">
        <f>IF(B$15=0,0,G9/B$15)</f>
        <v>0.12423625254582485</v>
      </c>
      <c r="I9" s="90">
        <v>10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4.5714285714285714E-2</v>
      </c>
      <c r="E10" s="59" t="s">
        <v>65</v>
      </c>
      <c r="F10" s="56" t="s">
        <v>21</v>
      </c>
      <c r="G10" s="44">
        <v>54</v>
      </c>
      <c r="H10" s="129">
        <f>IF(B$15=0,0,G10/B$15)</f>
        <v>0.10997963340122199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13.427450980392154</v>
      </c>
      <c r="P10" s="114">
        <v>51</v>
      </c>
      <c r="Q10" s="102">
        <v>684.79999999999984</v>
      </c>
    </row>
    <row r="11" spans="1:17" x14ac:dyDescent="0.45">
      <c r="A11" s="54" t="s">
        <v>121</v>
      </c>
      <c r="B11" s="47">
        <v>381</v>
      </c>
      <c r="C11" s="42">
        <f>IF(B$3=0,0,B11/B$3)</f>
        <v>0.26662001399580126</v>
      </c>
      <c r="E11" s="59" t="s">
        <v>71</v>
      </c>
      <c r="F11" s="56" t="s">
        <v>26</v>
      </c>
      <c r="G11" s="44">
        <v>35</v>
      </c>
      <c r="H11" s="129">
        <f>IF(B$15=0,0,G11/B$15)</f>
        <v>7.128309572301425E-2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3.1254237288135589</v>
      </c>
      <c r="P11" s="115">
        <v>59</v>
      </c>
      <c r="Q11" s="103">
        <v>184.39999999999998</v>
      </c>
    </row>
    <row r="12" spans="1:17" x14ac:dyDescent="0.45">
      <c r="A12" s="51" t="s">
        <v>118</v>
      </c>
      <c r="B12" s="44">
        <v>336</v>
      </c>
      <c r="C12" s="37">
        <f>IF(B$3=0,0,B12/B$3)</f>
        <v>0.23512946116165151</v>
      </c>
      <c r="E12" s="59" t="s">
        <v>86</v>
      </c>
      <c r="F12" s="56" t="s">
        <v>41</v>
      </c>
      <c r="G12" s="44">
        <v>32</v>
      </c>
      <c r="H12" s="129">
        <f>IF(B$15=0,0,G12/B$15)</f>
        <v>6.5173116089613028E-2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10.255384615384612</v>
      </c>
      <c r="P12" s="116">
        <v>65</v>
      </c>
      <c r="Q12" s="104">
        <v>666.5999999999998</v>
      </c>
    </row>
    <row r="13" spans="1:17" x14ac:dyDescent="0.45">
      <c r="A13" s="50" t="s">
        <v>123</v>
      </c>
      <c r="B13" s="43">
        <f>B19</f>
        <v>225</v>
      </c>
      <c r="C13" s="35">
        <f>IF(B$11=0,0,B13/B$11)</f>
        <v>0.59055118110236215</v>
      </c>
      <c r="E13" s="59" t="s">
        <v>70</v>
      </c>
      <c r="F13" s="56" t="s">
        <v>25</v>
      </c>
      <c r="G13" s="44">
        <v>29</v>
      </c>
      <c r="H13" s="129">
        <f>IF(B$15=0,0,G13/B$15)</f>
        <v>5.9063136456211814E-2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164</v>
      </c>
      <c r="C14" s="35">
        <f>IF(B$12=0,0,B14/B$12)</f>
        <v>0.48809523809523808</v>
      </c>
      <c r="E14" s="59" t="s">
        <v>83</v>
      </c>
      <c r="F14" s="56" t="s">
        <v>38</v>
      </c>
      <c r="G14" s="44">
        <v>24</v>
      </c>
      <c r="H14" s="129">
        <f>IF(B$15=0,0,G14/B$15)</f>
        <v>4.8879837067209775E-2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491</v>
      </c>
      <c r="C15" s="35">
        <f>IF(B$3=0,0,B15/B$3)</f>
        <v>0.3435969209237229</v>
      </c>
      <c r="E15" s="59" t="s">
        <v>78</v>
      </c>
      <c r="F15" s="56" t="s">
        <v>33</v>
      </c>
      <c r="G15" s="44">
        <v>21</v>
      </c>
      <c r="H15" s="129">
        <f>IF(B$15=0,0,G15/B$15)</f>
        <v>4.2769857433808553E-2</v>
      </c>
      <c r="I15" s="90">
        <v>3</v>
      </c>
      <c r="K15" s="36">
        <v>13</v>
      </c>
      <c r="L15" s="95">
        <v>206.39999999999998</v>
      </c>
      <c r="N15" s="110" t="s">
        <v>274</v>
      </c>
      <c r="O15" s="120">
        <f>IF(P15=0,0,Q15/P15)</f>
        <v>49.766666666666659</v>
      </c>
      <c r="P15" s="114">
        <v>3</v>
      </c>
      <c r="Q15" s="102">
        <v>149.29999999999998</v>
      </c>
    </row>
    <row r="16" spans="1:17" x14ac:dyDescent="0.45">
      <c r="A16" s="51" t="s">
        <v>13</v>
      </c>
      <c r="B16" s="44">
        <v>187</v>
      </c>
      <c r="C16" s="37">
        <f>IF(B$3=0,0,B16/B$3)</f>
        <v>0.13086074177746676</v>
      </c>
      <c r="E16" s="59" t="s">
        <v>162</v>
      </c>
      <c r="F16" s="56" t="s">
        <v>163</v>
      </c>
      <c r="G16" s="44">
        <v>14</v>
      </c>
      <c r="H16" s="129">
        <f>IF(B$15=0,0,G16/B$15)</f>
        <v>2.8513238289205704E-2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39.662500000000009</v>
      </c>
      <c r="P16" s="115">
        <v>8</v>
      </c>
      <c r="Q16" s="103">
        <v>317.30000000000007</v>
      </c>
    </row>
    <row r="17" spans="1:17" x14ac:dyDescent="0.45">
      <c r="A17" s="51" t="s">
        <v>12</v>
      </c>
      <c r="B17" s="44">
        <v>210</v>
      </c>
      <c r="C17" s="37">
        <f>IF(B$15=0,0,B17/B$15)</f>
        <v>0.42769857433808556</v>
      </c>
      <c r="E17" s="59" t="s">
        <v>81</v>
      </c>
      <c r="F17" s="56" t="s">
        <v>36</v>
      </c>
      <c r="G17" s="44">
        <v>7</v>
      </c>
      <c r="H17" s="129">
        <f>IF(B$15=0,0,G17/B$15)</f>
        <v>1.4256619144602852E-2</v>
      </c>
      <c r="I17" s="90">
        <v>9</v>
      </c>
      <c r="K17" s="36">
        <v>15</v>
      </c>
      <c r="L17" s="95">
        <v>269.49999999999994</v>
      </c>
      <c r="N17" s="111" t="s">
        <v>197</v>
      </c>
      <c r="O17" s="121">
        <f>IF(P17=0,0,Q17/P17)</f>
        <v>26.642105263157898</v>
      </c>
      <c r="P17" s="115">
        <v>19</v>
      </c>
      <c r="Q17" s="103">
        <v>506.20000000000005</v>
      </c>
    </row>
    <row r="18" spans="1:17" x14ac:dyDescent="0.45">
      <c r="A18" s="51" t="s">
        <v>11</v>
      </c>
      <c r="B18" s="44">
        <v>281</v>
      </c>
      <c r="C18" s="37">
        <f>IF(B$15=0,0,B18/B$15)</f>
        <v>0.57230142566191444</v>
      </c>
      <c r="E18" s="59" t="s">
        <v>91</v>
      </c>
      <c r="F18" s="56" t="s">
        <v>46</v>
      </c>
      <c r="G18" s="44">
        <v>6</v>
      </c>
      <c r="H18" s="129">
        <f>IF(B$15=0,0,G18/B$15)</f>
        <v>1.2219959266802444E-2</v>
      </c>
      <c r="I18" s="90">
        <v>7</v>
      </c>
      <c r="K18" s="36">
        <v>16</v>
      </c>
      <c r="L18" s="95">
        <v>323.69999999999993</v>
      </c>
      <c r="N18" s="111" t="s">
        <v>172</v>
      </c>
      <c r="O18" s="121">
        <f>IF(P18=0,0,Q18/P18)</f>
        <v>15.152459016393442</v>
      </c>
      <c r="P18" s="115">
        <v>61</v>
      </c>
      <c r="Q18" s="103">
        <v>924.3</v>
      </c>
    </row>
    <row r="19" spans="1:17" x14ac:dyDescent="0.45">
      <c r="A19" s="51" t="s">
        <v>195</v>
      </c>
      <c r="B19" s="44">
        <v>225</v>
      </c>
      <c r="C19" s="37">
        <f>IF(B$15=0,0,B19/B$15)</f>
        <v>0.45824847250509165</v>
      </c>
      <c r="E19" s="59" t="s">
        <v>75</v>
      </c>
      <c r="F19" s="56" t="s">
        <v>30</v>
      </c>
      <c r="G19" s="44">
        <v>5</v>
      </c>
      <c r="H19" s="129">
        <f>IF(B$15=0,0,G19/B$15)</f>
        <v>1.0183299389002037E-2</v>
      </c>
      <c r="I19" s="90">
        <v>4</v>
      </c>
      <c r="K19" s="36">
        <v>17</v>
      </c>
      <c r="L19" s="95">
        <v>359.09999999999991</v>
      </c>
      <c r="N19" s="111" t="s">
        <v>161</v>
      </c>
      <c r="O19" s="121">
        <f>IF(P19=0,0,Q19/P19)</f>
        <v>13.075675675675678</v>
      </c>
      <c r="P19" s="115">
        <v>37</v>
      </c>
      <c r="Q19" s="103">
        <v>483.80000000000007</v>
      </c>
    </row>
    <row r="20" spans="1:17" x14ac:dyDescent="0.45">
      <c r="A20" s="51" t="s">
        <v>193</v>
      </c>
      <c r="B20" s="44">
        <v>164</v>
      </c>
      <c r="C20" s="37">
        <f>IF(B$15=0,0,B20/B$15)</f>
        <v>0.33401221995926678</v>
      </c>
      <c r="E20" s="59" t="s">
        <v>79</v>
      </c>
      <c r="F20" s="56" t="s">
        <v>34</v>
      </c>
      <c r="G20" s="44">
        <v>4</v>
      </c>
      <c r="H20" s="129">
        <f>IF(B$15=0,0,G20/B$15)</f>
        <v>8.1466395112016286E-3</v>
      </c>
      <c r="I20" s="90">
        <v>8</v>
      </c>
      <c r="K20" s="36">
        <v>18</v>
      </c>
      <c r="L20" s="95">
        <v>352.39999999999992</v>
      </c>
      <c r="N20" s="111" t="s">
        <v>171</v>
      </c>
      <c r="O20" s="121">
        <f>IF(P20=0,0,Q20/P20)</f>
        <v>12.623880597014924</v>
      </c>
      <c r="P20" s="115">
        <v>67</v>
      </c>
      <c r="Q20" s="103">
        <v>845.8</v>
      </c>
    </row>
    <row r="21" spans="1:17" x14ac:dyDescent="0.45">
      <c r="A21" s="51" t="s">
        <v>194</v>
      </c>
      <c r="B21" s="44">
        <v>102</v>
      </c>
      <c r="C21" s="37">
        <f>IF(B$15=0,0,B21/B$15)</f>
        <v>0.20773930753564154</v>
      </c>
      <c r="E21" s="59" t="s">
        <v>85</v>
      </c>
      <c r="F21" s="56" t="s">
        <v>40</v>
      </c>
      <c r="G21" s="44">
        <v>4</v>
      </c>
      <c r="H21" s="129">
        <f>IF(B$15=0,0,G21/B$15)</f>
        <v>8.1466395112016286E-3</v>
      </c>
      <c r="I21" s="90">
        <v>5</v>
      </c>
      <c r="K21" s="36">
        <v>19</v>
      </c>
      <c r="L21" s="95">
        <v>383.19999999999993</v>
      </c>
      <c r="N21" s="111" t="s">
        <v>127</v>
      </c>
      <c r="O21" s="121">
        <f>IF(P21=0,0,Q21/P21)</f>
        <v>12.54903846153846</v>
      </c>
      <c r="P21" s="115">
        <v>104</v>
      </c>
      <c r="Q21" s="103">
        <v>1305.0999999999999</v>
      </c>
    </row>
    <row r="22" spans="1:17" x14ac:dyDescent="0.45">
      <c r="A22" s="51" t="s">
        <v>5</v>
      </c>
      <c r="B22" s="48">
        <f>IF(B$15=0,0,C22/B$15)</f>
        <v>8217.5152749490826</v>
      </c>
      <c r="C22" s="39">
        <v>4034800</v>
      </c>
      <c r="E22" s="59" t="s">
        <v>92</v>
      </c>
      <c r="F22" s="56" t="s">
        <v>47</v>
      </c>
      <c r="G22" s="44">
        <v>4</v>
      </c>
      <c r="H22" s="129">
        <f>IF(B$15=0,0,G22/B$15)</f>
        <v>8.1466395112016286E-3</v>
      </c>
      <c r="I22" s="90">
        <v>2</v>
      </c>
      <c r="K22" s="36">
        <v>20</v>
      </c>
      <c r="L22" s="95">
        <v>365.49999999999994</v>
      </c>
      <c r="N22" s="111" t="s">
        <v>170</v>
      </c>
      <c r="O22" s="121">
        <f>IF(P22=0,0,Q22/P22)</f>
        <v>2.9220000000000006</v>
      </c>
      <c r="P22" s="115">
        <v>50</v>
      </c>
      <c r="Q22" s="103">
        <v>146.10000000000002</v>
      </c>
    </row>
    <row r="23" spans="1:17" x14ac:dyDescent="0.45">
      <c r="A23" s="52" t="s">
        <v>177</v>
      </c>
      <c r="B23" s="136">
        <f>IF($B$15-B$14=0,0,C23/($B$15-B$14))</f>
        <v>8663.3027522935772</v>
      </c>
      <c r="C23" s="137">
        <v>2832900</v>
      </c>
      <c r="E23" s="59" t="s">
        <v>77</v>
      </c>
      <c r="F23" s="56" t="s">
        <v>32</v>
      </c>
      <c r="G23" s="44">
        <v>3</v>
      </c>
      <c r="H23" s="129">
        <f>IF(B$15=0,0,G23/B$15)</f>
        <v>6.1099796334012219E-3</v>
      </c>
      <c r="I23" s="90">
        <v>1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7328.6585365853662</v>
      </c>
      <c r="C24" s="137">
        <v>1201900</v>
      </c>
      <c r="E24" s="59" t="s">
        <v>84</v>
      </c>
      <c r="F24" s="56" t="s">
        <v>39</v>
      </c>
      <c r="G24" s="44">
        <v>3</v>
      </c>
      <c r="H24" s="129">
        <f>IF(B$15=0,0,G24/B$15)</f>
        <v>6.1099796334012219E-3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-7731.5508021390378</v>
      </c>
      <c r="C25" s="137">
        <v>-1445800</v>
      </c>
      <c r="E25" s="59" t="s">
        <v>74</v>
      </c>
      <c r="F25" s="56" t="s">
        <v>29</v>
      </c>
      <c r="G25" s="44">
        <v>2</v>
      </c>
      <c r="H25" s="129">
        <f>IF(B$15=0,0,G25/B$15)</f>
        <v>4.0733197556008143E-3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88</v>
      </c>
      <c r="F26" s="56" t="s">
        <v>43</v>
      </c>
      <c r="G26" s="44">
        <v>2</v>
      </c>
      <c r="H26" s="129">
        <f>IF(B$15=0,0,G26/B$15)</f>
        <v>4.0733197556008143E-3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4</v>
      </c>
      <c r="E27" s="59" t="s">
        <v>95</v>
      </c>
      <c r="F27" s="56" t="s">
        <v>50</v>
      </c>
      <c r="G27" s="44">
        <v>2</v>
      </c>
      <c r="H27" s="129">
        <f>IF(B$15=0,0,G27/B$15)</f>
        <v>4.0733197556008143E-3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2.0366598778004071E-3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2.0366598778004071E-3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6.9979006298110562E-4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47</v>
      </c>
      <c r="C32" s="141">
        <f>IF(B$15=0,0,B32/B$15)</f>
        <v>9.5723014256619138E-2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90</v>
      </c>
      <c r="C33" s="37">
        <f t="shared" ref="C33:C44" si="2">IF(B$15=0,0,B33/B$15)</f>
        <v>0.18329938900203666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97</v>
      </c>
      <c r="C34" s="37">
        <f>IF(B$15=0,0,B34/B$15)</f>
        <v>0.19755600814663951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88</v>
      </c>
      <c r="C35" s="37">
        <f t="shared" si="2"/>
        <v>0.17922606924643583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70</v>
      </c>
      <c r="C36" s="37">
        <f t="shared" si="2"/>
        <v>0.1425661914460285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47</v>
      </c>
      <c r="C37" s="37">
        <f t="shared" si="2"/>
        <v>9.5723014256619138E-2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24</v>
      </c>
      <c r="C38" s="37">
        <f t="shared" si="2"/>
        <v>4.8879837067209775E-2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8</v>
      </c>
      <c r="C39" s="37">
        <f t="shared" si="2"/>
        <v>1.6293279022403257E-2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2"/>
        <v>2.0366598778004074E-2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2</v>
      </c>
      <c r="C41" s="37">
        <f t="shared" si="2"/>
        <v>4.0733197556008143E-3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2.0366598778004071E-3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7</v>
      </c>
      <c r="C44" s="40">
        <f t="shared" si="2"/>
        <v>1.4256619144602852E-2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5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153</v>
      </c>
      <c r="C2" s="155"/>
      <c r="E2" s="58" t="s">
        <v>66</v>
      </c>
      <c r="F2" s="55" t="s">
        <v>22</v>
      </c>
      <c r="G2" s="43">
        <v>303</v>
      </c>
      <c r="H2" s="128">
        <f>IF(B$15=0,0,G2/B$15)</f>
        <v>0.78497409326424872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-1161.1842105263158</v>
      </c>
      <c r="P2" s="114">
        <v>152</v>
      </c>
      <c r="Q2" s="98">
        <v>-176500</v>
      </c>
    </row>
    <row r="3" spans="1:17" x14ac:dyDescent="0.45">
      <c r="A3" s="51" t="s">
        <v>8</v>
      </c>
      <c r="B3" s="156">
        <v>1273</v>
      </c>
      <c r="C3" s="157"/>
      <c r="E3" s="59" t="s">
        <v>72</v>
      </c>
      <c r="F3" s="56" t="s">
        <v>27</v>
      </c>
      <c r="G3" s="44">
        <v>215</v>
      </c>
      <c r="H3" s="129">
        <f>IF(B$15=0,0,G3/B$15)</f>
        <v>0.55699481865284972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1249.3333333333333</v>
      </c>
      <c r="P3" s="115">
        <v>150</v>
      </c>
      <c r="Q3" s="99">
        <v>187400</v>
      </c>
    </row>
    <row r="4" spans="1:17" x14ac:dyDescent="0.45">
      <c r="A4" s="51" t="s">
        <v>6</v>
      </c>
      <c r="B4" s="158">
        <v>-43.800000000000189</v>
      </c>
      <c r="C4" s="159"/>
      <c r="E4" s="59" t="s">
        <v>166</v>
      </c>
      <c r="F4" s="56" t="s">
        <v>167</v>
      </c>
      <c r="G4" s="44">
        <v>152</v>
      </c>
      <c r="H4" s="129">
        <f>IF(B$15=0,0,G4/B$15)</f>
        <v>0.39378238341968913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-448.92086330935251</v>
      </c>
      <c r="P4" s="115">
        <v>139</v>
      </c>
      <c r="Q4" s="99">
        <v>-62400</v>
      </c>
    </row>
    <row r="5" spans="1:17" x14ac:dyDescent="0.45">
      <c r="A5" s="51" t="s">
        <v>7</v>
      </c>
      <c r="B5" s="160">
        <f>IF(B$2=0,0,B$4/B$2)</f>
        <v>-0.28627450980392283</v>
      </c>
      <c r="C5" s="161"/>
      <c r="E5" s="59" t="s">
        <v>64</v>
      </c>
      <c r="F5" s="56" t="s">
        <v>20</v>
      </c>
      <c r="G5" s="44">
        <v>149</v>
      </c>
      <c r="H5" s="129">
        <f>IF(B$15=0,0,G5/B$15)</f>
        <v>0.3860103626943005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232.57575757575756</v>
      </c>
      <c r="P5" s="115">
        <v>132</v>
      </c>
      <c r="Q5" s="99">
        <v>30700</v>
      </c>
    </row>
    <row r="6" spans="1:17" x14ac:dyDescent="0.45">
      <c r="A6" s="51" t="s">
        <v>1</v>
      </c>
      <c r="B6" s="150">
        <f>IF(B$2=0,0,(B$7*1+B$8*2+B$9*3)/B$2)</f>
        <v>1.9869281045751634</v>
      </c>
      <c r="C6" s="151"/>
      <c r="E6" s="59" t="s">
        <v>68</v>
      </c>
      <c r="F6" s="56" t="s">
        <v>12</v>
      </c>
      <c r="G6" s="44">
        <v>109</v>
      </c>
      <c r="H6" s="129">
        <f>IF(B$15=0,0,G6/B$15)</f>
        <v>0.28238341968911918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-1043.3333333333333</v>
      </c>
      <c r="P6" s="115">
        <v>120</v>
      </c>
      <c r="Q6" s="99">
        <v>-125200</v>
      </c>
    </row>
    <row r="7" spans="1:17" x14ac:dyDescent="0.45">
      <c r="A7" s="51" t="s">
        <v>2</v>
      </c>
      <c r="B7" s="44">
        <v>51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83</v>
      </c>
      <c r="H7" s="129">
        <f>IF(B$15=0,0,G7/B$15)</f>
        <v>0.21502590673575128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1098.0198019801981</v>
      </c>
      <c r="P7" s="116">
        <v>101</v>
      </c>
      <c r="Q7" s="100">
        <v>110900</v>
      </c>
    </row>
    <row r="8" spans="1:17" x14ac:dyDescent="0.45">
      <c r="A8" s="51" t="s">
        <v>3</v>
      </c>
      <c r="B8" s="44">
        <v>53</v>
      </c>
      <c r="C8" s="37">
        <f t="shared" si="1"/>
        <v>0.34640522875816993</v>
      </c>
      <c r="E8" s="59" t="s">
        <v>69</v>
      </c>
      <c r="F8" s="56" t="s">
        <v>24</v>
      </c>
      <c r="G8" s="44">
        <v>48</v>
      </c>
      <c r="H8" s="129">
        <f>IF(B$15=0,0,G8/B$15)</f>
        <v>0.12435233160621761</v>
      </c>
      <c r="I8" s="90">
        <v>9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49</v>
      </c>
      <c r="C9" s="38">
        <f t="shared" si="1"/>
        <v>0.3202614379084967</v>
      </c>
      <c r="E9" s="59" t="s">
        <v>89</v>
      </c>
      <c r="F9" s="56" t="s">
        <v>44</v>
      </c>
      <c r="G9" s="44">
        <v>44</v>
      </c>
      <c r="H9" s="129">
        <f>IF(B$15=0,0,G9/B$15)</f>
        <v>0.11398963730569948</v>
      </c>
      <c r="I9" s="90">
        <v>9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0.11764705882352941</v>
      </c>
      <c r="E10" s="59" t="s">
        <v>70</v>
      </c>
      <c r="F10" s="56" t="s">
        <v>25</v>
      </c>
      <c r="G10" s="44">
        <v>36</v>
      </c>
      <c r="H10" s="129">
        <f>IF(B$15=0,0,G10/B$15)</f>
        <v>9.3264248704663211E-2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1.7304347826086961</v>
      </c>
      <c r="P10" s="114">
        <v>46</v>
      </c>
      <c r="Q10" s="102">
        <v>79.600000000000023</v>
      </c>
    </row>
    <row r="11" spans="1:17" x14ac:dyDescent="0.45">
      <c r="A11" s="54" t="s">
        <v>121</v>
      </c>
      <c r="B11" s="47">
        <v>296</v>
      </c>
      <c r="C11" s="42">
        <f>IF(B$3=0,0,B11/B$3)</f>
        <v>0.23252160251374707</v>
      </c>
      <c r="E11" s="59" t="s">
        <v>71</v>
      </c>
      <c r="F11" s="56" t="s">
        <v>26</v>
      </c>
      <c r="G11" s="44">
        <v>36</v>
      </c>
      <c r="H11" s="129">
        <f>IF(B$15=0,0,G11/B$15)</f>
        <v>9.3264248704663211E-2</v>
      </c>
      <c r="I11" s="90">
        <v>7</v>
      </c>
      <c r="K11" s="36">
        <v>9</v>
      </c>
      <c r="L11" s="95">
        <v>-83.699999999999989</v>
      </c>
      <c r="N11" s="111" t="s">
        <v>158</v>
      </c>
      <c r="O11" s="121">
        <f>IF(P11=0,0,Q11/P11)</f>
        <v>3.3346938775510218</v>
      </c>
      <c r="P11" s="115">
        <v>49</v>
      </c>
      <c r="Q11" s="103">
        <v>163.40000000000006</v>
      </c>
    </row>
    <row r="12" spans="1:17" x14ac:dyDescent="0.45">
      <c r="A12" s="51" t="s">
        <v>118</v>
      </c>
      <c r="B12" s="44">
        <v>384</v>
      </c>
      <c r="C12" s="37">
        <f>IF(B$3=0,0,B12/B$3)</f>
        <v>0.30164964650432052</v>
      </c>
      <c r="E12" s="59" t="s">
        <v>65</v>
      </c>
      <c r="F12" s="56" t="s">
        <v>21</v>
      </c>
      <c r="G12" s="44">
        <v>31</v>
      </c>
      <c r="H12" s="129">
        <f>IF(B$15=0,0,G12/B$15)</f>
        <v>8.0310880829015538E-2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-4.9448275862068964</v>
      </c>
      <c r="P12" s="116">
        <v>58</v>
      </c>
      <c r="Q12" s="104">
        <v>-286.8</v>
      </c>
    </row>
    <row r="13" spans="1:17" x14ac:dyDescent="0.45">
      <c r="A13" s="50" t="s">
        <v>123</v>
      </c>
      <c r="B13" s="43">
        <f>B19</f>
        <v>149</v>
      </c>
      <c r="C13" s="35">
        <f>IF(B$11=0,0,B13/B$11)</f>
        <v>0.5033783783783784</v>
      </c>
      <c r="E13" s="59" t="s">
        <v>86</v>
      </c>
      <c r="F13" s="56" t="s">
        <v>41</v>
      </c>
      <c r="G13" s="44">
        <v>24</v>
      </c>
      <c r="H13" s="129">
        <f>IF(B$15=0,0,G13/B$15)</f>
        <v>6.2176165803108807E-2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144</v>
      </c>
      <c r="C14" s="35">
        <f>IF(B$12=0,0,B14/B$12)</f>
        <v>0.375</v>
      </c>
      <c r="E14" s="59" t="s">
        <v>83</v>
      </c>
      <c r="F14" s="56" t="s">
        <v>38</v>
      </c>
      <c r="G14" s="44">
        <v>20</v>
      </c>
      <c r="H14" s="129">
        <f>IF(B$15=0,0,G14/B$15)</f>
        <v>5.181347150259067E-2</v>
      </c>
      <c r="I14" s="90">
        <v>6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386</v>
      </c>
      <c r="C15" s="35">
        <f>IF(B$3=0,0,B15/B$3)</f>
        <v>0.30322073841319719</v>
      </c>
      <c r="E15" s="59" t="s">
        <v>78</v>
      </c>
      <c r="F15" s="56" t="s">
        <v>33</v>
      </c>
      <c r="G15" s="44">
        <v>14</v>
      </c>
      <c r="H15" s="129">
        <f>IF(B$15=0,0,G15/B$15)</f>
        <v>3.6269430051813469E-2</v>
      </c>
      <c r="I15" s="90">
        <v>4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235</v>
      </c>
      <c r="C16" s="37">
        <f>IF(B$3=0,0,B16/B$3)</f>
        <v>0.18460329929300864</v>
      </c>
      <c r="E16" s="59" t="s">
        <v>91</v>
      </c>
      <c r="F16" s="56" t="s">
        <v>46</v>
      </c>
      <c r="G16" s="44">
        <v>13</v>
      </c>
      <c r="H16" s="129">
        <f>IF(B$15=0,0,G16/B$15)</f>
        <v>3.367875647668394E-2</v>
      </c>
      <c r="I16" s="90">
        <v>2</v>
      </c>
      <c r="K16" s="36">
        <v>14</v>
      </c>
      <c r="L16" s="95">
        <v>-138.4</v>
      </c>
      <c r="N16" s="111" t="s">
        <v>172</v>
      </c>
      <c r="O16" s="121">
        <f>IF(P16=0,0,Q16/P16)</f>
        <v>17.456249999999994</v>
      </c>
      <c r="P16" s="115">
        <v>48</v>
      </c>
      <c r="Q16" s="103">
        <v>837.89999999999964</v>
      </c>
    </row>
    <row r="17" spans="1:17" x14ac:dyDescent="0.45">
      <c r="A17" s="51" t="s">
        <v>12</v>
      </c>
      <c r="B17" s="44">
        <v>160</v>
      </c>
      <c r="C17" s="37">
        <f>IF(B$15=0,0,B17/B$15)</f>
        <v>0.41450777202072536</v>
      </c>
      <c r="E17" s="59" t="s">
        <v>81</v>
      </c>
      <c r="F17" s="56" t="s">
        <v>36</v>
      </c>
      <c r="G17" s="44">
        <v>8</v>
      </c>
      <c r="H17" s="129">
        <f>IF(B$15=0,0,G17/B$15)</f>
        <v>2.072538860103627E-2</v>
      </c>
      <c r="I17" s="90">
        <v>5</v>
      </c>
      <c r="K17" s="36">
        <v>15</v>
      </c>
      <c r="L17" s="95">
        <v>-144.30000000000001</v>
      </c>
      <c r="N17" s="111" t="s">
        <v>197</v>
      </c>
      <c r="O17" s="121">
        <f>IF(P17=0,0,Q17/P17)</f>
        <v>16.62857142857143</v>
      </c>
      <c r="P17" s="115">
        <v>14</v>
      </c>
      <c r="Q17" s="103">
        <v>232.8</v>
      </c>
    </row>
    <row r="18" spans="1:17" x14ac:dyDescent="0.45">
      <c r="A18" s="51" t="s">
        <v>11</v>
      </c>
      <c r="B18" s="44">
        <v>226</v>
      </c>
      <c r="C18" s="37">
        <f>IF(B$15=0,0,B18/B$15)</f>
        <v>0.58549222797927458</v>
      </c>
      <c r="E18" s="59" t="s">
        <v>79</v>
      </c>
      <c r="F18" s="56" t="s">
        <v>34</v>
      </c>
      <c r="G18" s="44">
        <v>7</v>
      </c>
      <c r="H18" s="129">
        <f>IF(B$15=0,0,G18/B$15)</f>
        <v>1.8134715025906734E-2</v>
      </c>
      <c r="I18" s="90">
        <v>5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149</v>
      </c>
      <c r="C19" s="37">
        <f>IF(B$15=0,0,B19/B$15)</f>
        <v>0.3860103626943005</v>
      </c>
      <c r="E19" s="59" t="s">
        <v>162</v>
      </c>
      <c r="F19" s="56" t="s">
        <v>163</v>
      </c>
      <c r="G19" s="44">
        <v>5</v>
      </c>
      <c r="H19" s="129">
        <f>IF(B$15=0,0,G19/B$15)</f>
        <v>1.2953367875647668E-2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5.5299999999999994</v>
      </c>
      <c r="P19" s="115">
        <v>30</v>
      </c>
      <c r="Q19" s="103">
        <v>165.89999999999998</v>
      </c>
    </row>
    <row r="20" spans="1:17" x14ac:dyDescent="0.45">
      <c r="A20" s="51" t="s">
        <v>193</v>
      </c>
      <c r="B20" s="44">
        <v>144</v>
      </c>
      <c r="C20" s="37">
        <f>IF(B$15=0,0,B20/B$15)</f>
        <v>0.37305699481865284</v>
      </c>
      <c r="E20" s="59" t="s">
        <v>92</v>
      </c>
      <c r="F20" s="56" t="s">
        <v>47</v>
      </c>
      <c r="G20" s="44">
        <v>3</v>
      </c>
      <c r="H20" s="129">
        <f>IF(B$15=0,0,G20/B$15)</f>
        <v>7.7720207253886009E-3</v>
      </c>
      <c r="I20" s="90">
        <v>3</v>
      </c>
      <c r="K20" s="36">
        <v>18</v>
      </c>
      <c r="L20" s="95">
        <v>-112.90000000000002</v>
      </c>
      <c r="N20" s="111" t="s">
        <v>274</v>
      </c>
      <c r="O20" s="121">
        <f>IF(P20=0,0,Q20/P20)</f>
        <v>0.40000000000000036</v>
      </c>
      <c r="P20" s="115">
        <v>4</v>
      </c>
      <c r="Q20" s="103">
        <v>1.6000000000000014</v>
      </c>
    </row>
    <row r="21" spans="1:17" x14ac:dyDescent="0.45">
      <c r="A21" s="51" t="s">
        <v>194</v>
      </c>
      <c r="B21" s="44">
        <v>93</v>
      </c>
      <c r="C21" s="37">
        <f>IF(B$15=0,0,B21/B$15)</f>
        <v>0.24093264248704663</v>
      </c>
      <c r="E21" s="59" t="s">
        <v>74</v>
      </c>
      <c r="F21" s="56" t="s">
        <v>29</v>
      </c>
      <c r="G21" s="44">
        <v>2</v>
      </c>
      <c r="H21" s="129">
        <f>IF(B$15=0,0,G21/B$15)</f>
        <v>5.1813471502590676E-3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-0.58846153846153715</v>
      </c>
      <c r="P21" s="115">
        <v>52</v>
      </c>
      <c r="Q21" s="103">
        <v>-30.59999999999993</v>
      </c>
    </row>
    <row r="22" spans="1:17" x14ac:dyDescent="0.45">
      <c r="A22" s="51" t="s">
        <v>5</v>
      </c>
      <c r="B22" s="48">
        <f>IF(B$15=0,0,C22/B$15)</f>
        <v>8247.6683937823836</v>
      </c>
      <c r="C22" s="39">
        <v>3183600</v>
      </c>
      <c r="E22" s="59" t="s">
        <v>75</v>
      </c>
      <c r="F22" s="56" t="s">
        <v>30</v>
      </c>
      <c r="G22" s="44">
        <v>2</v>
      </c>
      <c r="H22" s="129">
        <f>IF(B$15=0,0,G22/B$15)</f>
        <v>5.1813471502590676E-3</v>
      </c>
      <c r="I22" s="90">
        <v>7</v>
      </c>
      <c r="K22" s="36">
        <v>20</v>
      </c>
      <c r="L22" s="95">
        <v>-96.000000000000028</v>
      </c>
      <c r="N22" s="111" t="s">
        <v>170</v>
      </c>
      <c r="O22" s="121">
        <f>IF(P22=0,0,Q22/P22)</f>
        <v>-5.3617021276595693</v>
      </c>
      <c r="P22" s="115">
        <v>47</v>
      </c>
      <c r="Q22" s="103">
        <v>-251.99999999999977</v>
      </c>
    </row>
    <row r="23" spans="1:17" x14ac:dyDescent="0.45">
      <c r="A23" s="52" t="s">
        <v>177</v>
      </c>
      <c r="B23" s="136">
        <f>IF($B$15-B$14=0,0,C23/($B$15-B$14))</f>
        <v>8889.6694214876024</v>
      </c>
      <c r="C23" s="137">
        <v>2151300</v>
      </c>
      <c r="E23" s="59" t="s">
        <v>73</v>
      </c>
      <c r="F23" s="56" t="s">
        <v>28</v>
      </c>
      <c r="G23" s="44">
        <v>1</v>
      </c>
      <c r="H23" s="129">
        <f>IF(B$15=0,0,G23/B$15)</f>
        <v>2.5906735751295338E-3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-12.54903846153846</v>
      </c>
      <c r="P23" s="115">
        <v>104</v>
      </c>
      <c r="Q23" s="103">
        <v>-1305.0999999999999</v>
      </c>
    </row>
    <row r="24" spans="1:17" x14ac:dyDescent="0.45">
      <c r="A24" s="52" t="s">
        <v>178</v>
      </c>
      <c r="B24" s="136">
        <f>IF(B$14=0,0,C24/B$14)</f>
        <v>7168.75</v>
      </c>
      <c r="C24" s="137">
        <v>1032300</v>
      </c>
      <c r="E24" s="59" t="s">
        <v>77</v>
      </c>
      <c r="F24" s="56" t="s">
        <v>32</v>
      </c>
      <c r="G24" s="44">
        <v>1</v>
      </c>
      <c r="H24" s="129">
        <f>IF(B$15=0,0,G24/B$15)</f>
        <v>2.5906735751295338E-3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-7866.8085106382978</v>
      </c>
      <c r="C25" s="137">
        <v>-1848700</v>
      </c>
      <c r="E25" s="59" t="s">
        <v>84</v>
      </c>
      <c r="F25" s="56" t="s">
        <v>39</v>
      </c>
      <c r="G25" s="44">
        <v>1</v>
      </c>
      <c r="H25" s="129">
        <f>IF(B$15=0,0,G25/B$15)</f>
        <v>2.5906735751295338E-3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2.5906735751295338E-3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5</v>
      </c>
      <c r="E27" s="59" t="s">
        <v>95</v>
      </c>
      <c r="F27" s="56" t="s">
        <v>50</v>
      </c>
      <c r="G27" s="44">
        <v>1</v>
      </c>
      <c r="H27" s="129">
        <f>IF(B$15=0,0,G27/B$15)</f>
        <v>2.5906735751295338E-3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5</v>
      </c>
      <c r="C30" s="40">
        <f>IF(B$3=0,0,B30/B$3)</f>
        <v>3.927729772191673E-3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28</v>
      </c>
      <c r="C32" s="141">
        <f>IF(B$15=0,0,B32/B$15)</f>
        <v>7.2538860103626937E-2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66</v>
      </c>
      <c r="C33" s="37">
        <f t="shared" ref="C33:C44" si="2">IF(B$15=0,0,B33/B$15)</f>
        <v>0.17098445595854922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81</v>
      </c>
      <c r="C34" s="37">
        <f>IF(B$15=0,0,B34/B$15)</f>
        <v>0.20984455958549222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77</v>
      </c>
      <c r="C35" s="37">
        <f t="shared" si="2"/>
        <v>0.19948186528497408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58</v>
      </c>
      <c r="C36" s="37">
        <f t="shared" si="2"/>
        <v>0.15025906735751296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41</v>
      </c>
      <c r="C37" s="37">
        <f t="shared" si="2"/>
        <v>0.10621761658031088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13</v>
      </c>
      <c r="C38" s="37">
        <f t="shared" si="2"/>
        <v>3.367875647668394E-2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2"/>
        <v>2.3316062176165803E-2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1.5544041450777202E-2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2.5906735751295338E-3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5.1813471502590676E-3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1.0362694300518135E-2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9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97</v>
      </c>
      <c r="C2" s="155"/>
      <c r="E2" s="58" t="s">
        <v>66</v>
      </c>
      <c r="F2" s="55" t="s">
        <v>22</v>
      </c>
      <c r="G2" s="43">
        <v>175</v>
      </c>
      <c r="H2" s="128">
        <f>IF(B$15=0,0,G2/B$15)</f>
        <v>0.78125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-453.125</v>
      </c>
      <c r="P2" s="114">
        <v>96</v>
      </c>
      <c r="Q2" s="98">
        <v>-43500</v>
      </c>
    </row>
    <row r="3" spans="1:17" x14ac:dyDescent="0.45">
      <c r="A3" s="51" t="s">
        <v>8</v>
      </c>
      <c r="B3" s="156">
        <v>827</v>
      </c>
      <c r="C3" s="157"/>
      <c r="E3" s="59" t="s">
        <v>64</v>
      </c>
      <c r="F3" s="56" t="s">
        <v>20</v>
      </c>
      <c r="G3" s="44">
        <v>124</v>
      </c>
      <c r="H3" s="129">
        <f>IF(B$15=0,0,G3/B$15)</f>
        <v>0.5535714285714286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-558.33333333333337</v>
      </c>
      <c r="P3" s="115">
        <v>96</v>
      </c>
      <c r="Q3" s="99">
        <v>-53600</v>
      </c>
    </row>
    <row r="4" spans="1:17" x14ac:dyDescent="0.45">
      <c r="A4" s="51" t="s">
        <v>6</v>
      </c>
      <c r="B4" s="158">
        <v>-673.49999999999989</v>
      </c>
      <c r="C4" s="159"/>
      <c r="E4" s="59" t="s">
        <v>72</v>
      </c>
      <c r="F4" s="56" t="s">
        <v>27</v>
      </c>
      <c r="G4" s="44">
        <v>112</v>
      </c>
      <c r="H4" s="129">
        <f>IF(B$15=0,0,G4/B$15)</f>
        <v>0.5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418.88888888888891</v>
      </c>
      <c r="P4" s="115">
        <v>90</v>
      </c>
      <c r="Q4" s="99">
        <v>37700</v>
      </c>
    </row>
    <row r="5" spans="1:17" x14ac:dyDescent="0.45">
      <c r="A5" s="51" t="s">
        <v>7</v>
      </c>
      <c r="B5" s="160">
        <f>IF(B$2=0,0,B$4/B$2)</f>
        <v>-6.9432989690721634</v>
      </c>
      <c r="C5" s="161"/>
      <c r="E5" s="59" t="s">
        <v>166</v>
      </c>
      <c r="F5" s="56" t="s">
        <v>167</v>
      </c>
      <c r="G5" s="44">
        <v>95</v>
      </c>
      <c r="H5" s="129">
        <f>IF(B$15=0,0,G5/B$15)</f>
        <v>0.42410714285714285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-651.13636363636363</v>
      </c>
      <c r="P5" s="115">
        <v>88</v>
      </c>
      <c r="Q5" s="99">
        <v>-57300</v>
      </c>
    </row>
    <row r="6" spans="1:17" x14ac:dyDescent="0.45">
      <c r="A6" s="51" t="s">
        <v>1</v>
      </c>
      <c r="B6" s="150">
        <f>IF(B$2=0,0,(B$7*1+B$8*2+B$9*3)/B$2)</f>
        <v>2.1752577319587627</v>
      </c>
      <c r="C6" s="151"/>
      <c r="E6" s="59" t="s">
        <v>68</v>
      </c>
      <c r="F6" s="56" t="s">
        <v>12</v>
      </c>
      <c r="G6" s="44">
        <v>79</v>
      </c>
      <c r="H6" s="129">
        <f>IF(B$15=0,0,G6/B$15)</f>
        <v>0.35267857142857145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-2996.3855421686749</v>
      </c>
      <c r="P6" s="115">
        <v>83</v>
      </c>
      <c r="Q6" s="99">
        <v>-248700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0.21649484536082475</v>
      </c>
      <c r="E7" s="59" t="s">
        <v>67</v>
      </c>
      <c r="F7" s="56" t="s">
        <v>23</v>
      </c>
      <c r="G7" s="44">
        <v>68</v>
      </c>
      <c r="H7" s="129">
        <f>IF(B$15=0,0,G7/B$15)</f>
        <v>0.30357142857142855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-2010.958904109589</v>
      </c>
      <c r="P7" s="116">
        <v>73</v>
      </c>
      <c r="Q7" s="100">
        <v>-146800</v>
      </c>
    </row>
    <row r="8" spans="1:17" x14ac:dyDescent="0.45">
      <c r="A8" s="51" t="s">
        <v>3</v>
      </c>
      <c r="B8" s="44">
        <v>38</v>
      </c>
      <c r="C8" s="37">
        <f t="shared" si="1"/>
        <v>0.39175257731958762</v>
      </c>
      <c r="E8" s="59" t="s">
        <v>69</v>
      </c>
      <c r="F8" s="56" t="s">
        <v>24</v>
      </c>
      <c r="G8" s="44">
        <v>32</v>
      </c>
      <c r="H8" s="129">
        <f>IF(B$15=0,0,G8/B$15)</f>
        <v>0.14285714285714285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38</v>
      </c>
      <c r="C9" s="38">
        <f t="shared" si="1"/>
        <v>0.39175257731958762</v>
      </c>
      <c r="E9" s="59" t="s">
        <v>70</v>
      </c>
      <c r="F9" s="56" t="s">
        <v>25</v>
      </c>
      <c r="G9" s="44">
        <v>27</v>
      </c>
      <c r="H9" s="129">
        <f>IF(B$15=0,0,G9/B$15)</f>
        <v>0.12053571428571429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7.2164948453608241E-2</v>
      </c>
      <c r="E10" s="59" t="s">
        <v>65</v>
      </c>
      <c r="F10" s="56" t="s">
        <v>21</v>
      </c>
      <c r="G10" s="44">
        <v>26</v>
      </c>
      <c r="H10" s="129">
        <f>IF(B$15=0,0,G10/B$15)</f>
        <v>0.11607142857142858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-5.9589743589743609</v>
      </c>
      <c r="P10" s="114">
        <v>39</v>
      </c>
      <c r="Q10" s="102">
        <v>-232.40000000000009</v>
      </c>
    </row>
    <row r="11" spans="1:17" x14ac:dyDescent="0.45">
      <c r="A11" s="54" t="s">
        <v>121</v>
      </c>
      <c r="B11" s="47">
        <v>231</v>
      </c>
      <c r="C11" s="42">
        <f>IF(B$3=0,0,B11/B$3)</f>
        <v>0.279322853688029</v>
      </c>
      <c r="E11" s="59" t="s">
        <v>89</v>
      </c>
      <c r="F11" s="56" t="s">
        <v>44</v>
      </c>
      <c r="G11" s="44">
        <v>25</v>
      </c>
      <c r="H11" s="129">
        <f>IF(B$15=0,0,G11/B$15)</f>
        <v>0.11160714285714286</v>
      </c>
      <c r="I11" s="90">
        <v>10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160</v>
      </c>
      <c r="C12" s="37">
        <f>IF(B$3=0,0,B12/B$3)</f>
        <v>0.19347037484885127</v>
      </c>
      <c r="E12" s="59" t="s">
        <v>83</v>
      </c>
      <c r="F12" s="56" t="s">
        <v>38</v>
      </c>
      <c r="G12" s="44">
        <v>13</v>
      </c>
      <c r="H12" s="129">
        <f>IF(B$15=0,0,G12/B$15)</f>
        <v>5.8035714285714288E-2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-8.9862068965517228</v>
      </c>
      <c r="P12" s="116">
        <v>29</v>
      </c>
      <c r="Q12" s="104">
        <v>-260.59999999999997</v>
      </c>
    </row>
    <row r="13" spans="1:17" x14ac:dyDescent="0.45">
      <c r="A13" s="50" t="s">
        <v>123</v>
      </c>
      <c r="B13" s="43">
        <f>B19</f>
        <v>124</v>
      </c>
      <c r="C13" s="35">
        <f>IF(B$11=0,0,B13/B$11)</f>
        <v>0.53679653679653683</v>
      </c>
      <c r="E13" s="59" t="s">
        <v>86</v>
      </c>
      <c r="F13" s="56" t="s">
        <v>41</v>
      </c>
      <c r="G13" s="44">
        <v>10</v>
      </c>
      <c r="H13" s="129">
        <f>IF(B$15=0,0,G13/B$15)</f>
        <v>4.4642857142857144E-2</v>
      </c>
      <c r="I13" s="90">
        <v>7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66</v>
      </c>
      <c r="C14" s="35">
        <f>IF(B$12=0,0,B14/B$12)</f>
        <v>0.41249999999999998</v>
      </c>
      <c r="E14" s="59" t="s">
        <v>71</v>
      </c>
      <c r="F14" s="56" t="s">
        <v>26</v>
      </c>
      <c r="G14" s="44">
        <v>9</v>
      </c>
      <c r="H14" s="129">
        <f>IF(B$15=0,0,G14/B$15)</f>
        <v>4.0178571428571432E-2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224</v>
      </c>
      <c r="C15" s="35">
        <f>IF(B$3=0,0,B15/B$3)</f>
        <v>0.27085852478839179</v>
      </c>
      <c r="E15" s="59" t="s">
        <v>78</v>
      </c>
      <c r="F15" s="56" t="s">
        <v>33</v>
      </c>
      <c r="G15" s="44">
        <v>8</v>
      </c>
      <c r="H15" s="129">
        <f>IF(B$15=0,0,G15/B$15)</f>
        <v>3.5714285714285712E-2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149</v>
      </c>
      <c r="C16" s="37">
        <f>IF(B$3=0,0,B16/B$3)</f>
        <v>0.18016928657799275</v>
      </c>
      <c r="E16" s="59" t="s">
        <v>79</v>
      </c>
      <c r="F16" s="56" t="s">
        <v>34</v>
      </c>
      <c r="G16" s="44">
        <v>4</v>
      </c>
      <c r="H16" s="129">
        <f>IF(B$15=0,0,G16/B$15)</f>
        <v>1.7857142857142856E-2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>IF(P16=0,0,Q16/P16)</f>
        <v>7.1727272727272746</v>
      </c>
      <c r="P16" s="115">
        <v>22</v>
      </c>
      <c r="Q16" s="103">
        <v>157.80000000000004</v>
      </c>
    </row>
    <row r="17" spans="1:17" x14ac:dyDescent="0.45">
      <c r="A17" s="51" t="s">
        <v>12</v>
      </c>
      <c r="B17" s="44">
        <v>106</v>
      </c>
      <c r="C17" s="37">
        <f>IF(B$15=0,0,B17/B$15)</f>
        <v>0.4732142857142857</v>
      </c>
      <c r="E17" s="59" t="s">
        <v>81</v>
      </c>
      <c r="F17" s="56" t="s">
        <v>36</v>
      </c>
      <c r="G17" s="44">
        <v>4</v>
      </c>
      <c r="H17" s="129">
        <f>IF(B$15=0,0,G17/B$15)</f>
        <v>1.7857142857142856E-2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>IF(P17=0,0,Q17/P17)</f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118</v>
      </c>
      <c r="C18" s="37">
        <f>IF(B$15=0,0,B18/B$15)</f>
        <v>0.5267857142857143</v>
      </c>
      <c r="E18" s="59" t="s">
        <v>162</v>
      </c>
      <c r="F18" s="56" t="s">
        <v>163</v>
      </c>
      <c r="G18" s="44">
        <v>4</v>
      </c>
      <c r="H18" s="129">
        <f>IF(B$15=0,0,G18/B$15)</f>
        <v>1.7857142857142856E-2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124</v>
      </c>
      <c r="C19" s="37">
        <f>IF(B$15=0,0,B19/B$15)</f>
        <v>0.5535714285714286</v>
      </c>
      <c r="E19" s="59" t="s">
        <v>75</v>
      </c>
      <c r="F19" s="56" t="s">
        <v>30</v>
      </c>
      <c r="G19" s="44">
        <v>3</v>
      </c>
      <c r="H19" s="129">
        <f>IF(B$15=0,0,G19/B$15)</f>
        <v>1.3392857142857142E-2</v>
      </c>
      <c r="I19" s="90">
        <v>3</v>
      </c>
      <c r="K19" s="36">
        <v>17</v>
      </c>
      <c r="L19" s="95">
        <v>-251.4</v>
      </c>
      <c r="N19" s="111" t="s">
        <v>126</v>
      </c>
      <c r="O19" s="121">
        <f>IF(P19=0,0,Q19/P19)</f>
        <v>-15.152459016393443</v>
      </c>
      <c r="P19" s="115">
        <v>61</v>
      </c>
      <c r="Q19" s="103">
        <v>-924.30000000000007</v>
      </c>
    </row>
    <row r="20" spans="1:17" x14ac:dyDescent="0.45">
      <c r="A20" s="51" t="s">
        <v>193</v>
      </c>
      <c r="B20" s="44">
        <v>66</v>
      </c>
      <c r="C20" s="37">
        <f>IF(B$15=0,0,B20/B$15)</f>
        <v>0.29464285714285715</v>
      </c>
      <c r="E20" s="59" t="s">
        <v>91</v>
      </c>
      <c r="F20" s="56" t="s">
        <v>46</v>
      </c>
      <c r="G20" s="44">
        <v>1</v>
      </c>
      <c r="H20" s="129">
        <f>IF(B$15=0,0,G20/B$15)</f>
        <v>4.464285714285714E-3</v>
      </c>
      <c r="I20" s="90">
        <v>9</v>
      </c>
      <c r="K20" s="36">
        <v>18</v>
      </c>
      <c r="L20" s="95">
        <v>-240</v>
      </c>
      <c r="N20" s="111" t="s">
        <v>171</v>
      </c>
      <c r="O20" s="121">
        <f>IF(P20=0,0,Q20/P20)</f>
        <v>-15.669230769230769</v>
      </c>
      <c r="P20" s="115">
        <v>26</v>
      </c>
      <c r="Q20" s="103">
        <v>-407.4</v>
      </c>
    </row>
    <row r="21" spans="1:17" x14ac:dyDescent="0.45">
      <c r="A21" s="51" t="s">
        <v>194</v>
      </c>
      <c r="B21" s="44">
        <v>34</v>
      </c>
      <c r="C21" s="37">
        <f>IF(B$15=0,0,B21/B$15)</f>
        <v>0.15178571428571427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-17.456249999999994</v>
      </c>
      <c r="P21" s="115">
        <v>48</v>
      </c>
      <c r="Q21" s="103">
        <v>-837.89999999999964</v>
      </c>
    </row>
    <row r="22" spans="1:17" x14ac:dyDescent="0.45">
      <c r="A22" s="51" t="s">
        <v>5</v>
      </c>
      <c r="B22" s="48">
        <f>IF(B$15=0,0,C22/B$15)</f>
        <v>7832.1428571428569</v>
      </c>
      <c r="C22" s="39">
        <v>1754400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>IF(P22=0,0,Q22/P22)</f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8484.8101265822788</v>
      </c>
      <c r="C23" s="137">
        <v>1340600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>IF(P23=0,0,Q23/P23)</f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6269.69696969697</v>
      </c>
      <c r="C24" s="137">
        <v>413800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-7855.0335570469797</v>
      </c>
      <c r="C25" s="137">
        <v>-1170400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0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3.6275695284159614E-3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16</v>
      </c>
      <c r="C32" s="141">
        <f>IF(B$15=0,0,B32/B$15)</f>
        <v>7.1428571428571425E-2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2">IF(B$15=0,0,B33/B$15)</f>
        <v>0.17410714285714285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51</v>
      </c>
      <c r="C34" s="37">
        <f>IF(B$15=0,0,B34/B$15)</f>
        <v>0.22767857142857142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34</v>
      </c>
      <c r="C35" s="37">
        <f t="shared" si="2"/>
        <v>0.15178571428571427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38</v>
      </c>
      <c r="C36" s="37">
        <f t="shared" si="2"/>
        <v>0.16964285714285715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2"/>
        <v>0.10267857142857142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13</v>
      </c>
      <c r="C38" s="37">
        <f t="shared" si="2"/>
        <v>5.8035714285714288E-2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6</v>
      </c>
      <c r="C39" s="37">
        <f t="shared" si="2"/>
        <v>2.6785714285714284E-2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2"/>
        <v>4.464285714285714E-3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2"/>
        <v>4.464285714285714E-3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2"/>
        <v>8.9285714285714281E-3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26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124</v>
      </c>
      <c r="C2" s="155"/>
      <c r="E2" s="58" t="s">
        <v>66</v>
      </c>
      <c r="F2" s="55" t="s">
        <v>22</v>
      </c>
      <c r="G2" s="43">
        <v>249</v>
      </c>
      <c r="H2" s="128">
        <f>IF(B$15=0,0,G2/B$15)</f>
        <v>0.87985865724381629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1470.9677419354839</v>
      </c>
      <c r="P2" s="114">
        <v>124</v>
      </c>
      <c r="Q2" s="98">
        <v>182400</v>
      </c>
    </row>
    <row r="3" spans="1:17" x14ac:dyDescent="0.45">
      <c r="A3" s="51" t="s">
        <v>8</v>
      </c>
      <c r="B3" s="156">
        <v>1013</v>
      </c>
      <c r="C3" s="157"/>
      <c r="E3" s="59" t="s">
        <v>72</v>
      </c>
      <c r="F3" s="56" t="s">
        <v>27</v>
      </c>
      <c r="G3" s="44">
        <v>156</v>
      </c>
      <c r="H3" s="129">
        <f>IF(B$15=0,0,G3/B$15)</f>
        <v>0.5512367491166078</v>
      </c>
      <c r="I3" s="90">
        <v>6</v>
      </c>
      <c r="K3" s="36">
        <v>1</v>
      </c>
      <c r="L3" s="95">
        <v>-9.1</v>
      </c>
      <c r="N3" s="111" t="s">
        <v>131</v>
      </c>
      <c r="O3" s="118">
        <f t="shared" si="0"/>
        <v>-1598.360655737705</v>
      </c>
      <c r="P3" s="115">
        <v>122</v>
      </c>
      <c r="Q3" s="99">
        <v>-195000</v>
      </c>
    </row>
    <row r="4" spans="1:17" x14ac:dyDescent="0.45">
      <c r="A4" s="51" t="s">
        <v>6</v>
      </c>
      <c r="B4" s="158">
        <v>571.00000000000045</v>
      </c>
      <c r="C4" s="159"/>
      <c r="E4" s="59" t="s">
        <v>64</v>
      </c>
      <c r="F4" s="56" t="s">
        <v>20</v>
      </c>
      <c r="G4" s="44">
        <v>154</v>
      </c>
      <c r="H4" s="129">
        <f>IF(B$15=0,0,G4/B$15)</f>
        <v>0.54416961130742048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13.513513513513514</v>
      </c>
      <c r="P4" s="115">
        <v>111</v>
      </c>
      <c r="Q4" s="99">
        <v>1500</v>
      </c>
    </row>
    <row r="5" spans="1:17" x14ac:dyDescent="0.45">
      <c r="A5" s="51" t="s">
        <v>7</v>
      </c>
      <c r="B5" s="160">
        <f>IF(B$2=0,0,B$4/B$2)</f>
        <v>4.6048387096774226</v>
      </c>
      <c r="C5" s="161"/>
      <c r="E5" s="59" t="s">
        <v>67</v>
      </c>
      <c r="F5" s="56" t="s">
        <v>23</v>
      </c>
      <c r="G5" s="44">
        <v>118</v>
      </c>
      <c r="H5" s="129">
        <f>IF(B$15=0,0,G5/B$15)</f>
        <v>0.41696113074204949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2242.8571428571427</v>
      </c>
      <c r="P5" s="115">
        <v>105</v>
      </c>
      <c r="Q5" s="99">
        <v>235500</v>
      </c>
    </row>
    <row r="6" spans="1:17" x14ac:dyDescent="0.45">
      <c r="A6" s="51" t="s">
        <v>1</v>
      </c>
      <c r="B6" s="150">
        <f>IF(B$2=0,0,(B$7*1+B$8*2+B$9*3)/B$2)</f>
        <v>1.903225806451613</v>
      </c>
      <c r="C6" s="151"/>
      <c r="E6" s="59" t="s">
        <v>68</v>
      </c>
      <c r="F6" s="56" t="s">
        <v>12</v>
      </c>
      <c r="G6" s="44">
        <v>111</v>
      </c>
      <c r="H6" s="129">
        <f>IF(B$15=0,0,G6/B$15)</f>
        <v>0.392226148409894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1109.6774193548388</v>
      </c>
      <c r="P6" s="115">
        <v>93</v>
      </c>
      <c r="Q6" s="99">
        <v>103200</v>
      </c>
    </row>
    <row r="7" spans="1:17" x14ac:dyDescent="0.45">
      <c r="A7" s="51" t="s">
        <v>2</v>
      </c>
      <c r="B7" s="44">
        <v>50</v>
      </c>
      <c r="C7" s="37">
        <f t="shared" ref="C7:C10" si="1">IF(B$2=0,0,B7/B$2)</f>
        <v>0.40322580645161288</v>
      </c>
      <c r="E7" s="59" t="s">
        <v>166</v>
      </c>
      <c r="F7" s="56" t="s">
        <v>167</v>
      </c>
      <c r="G7" s="44">
        <v>103</v>
      </c>
      <c r="H7" s="129">
        <f>IF(B$15=0,0,G7/B$15)</f>
        <v>0.36395759717314485</v>
      </c>
      <c r="I7" s="90">
        <v>10</v>
      </c>
      <c r="K7" s="36">
        <v>5</v>
      </c>
      <c r="L7" s="95">
        <v>-118.3</v>
      </c>
      <c r="N7" s="112" t="s">
        <v>135</v>
      </c>
      <c r="O7" s="119">
        <f t="shared" si="0"/>
        <v>468.05555555555554</v>
      </c>
      <c r="P7" s="116">
        <v>72</v>
      </c>
      <c r="Q7" s="100">
        <v>33700</v>
      </c>
    </row>
    <row r="8" spans="1:17" x14ac:dyDescent="0.45">
      <c r="A8" s="51" t="s">
        <v>3</v>
      </c>
      <c r="B8" s="44">
        <v>36</v>
      </c>
      <c r="C8" s="37">
        <f t="shared" si="1"/>
        <v>0.29032258064516131</v>
      </c>
      <c r="E8" s="59" t="s">
        <v>89</v>
      </c>
      <c r="F8" s="56" t="s">
        <v>44</v>
      </c>
      <c r="G8" s="44">
        <v>71</v>
      </c>
      <c r="H8" s="129">
        <f>IF(B$15=0,0,G8/B$15)</f>
        <v>0.25088339222614842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38</v>
      </c>
      <c r="C9" s="38">
        <f t="shared" si="1"/>
        <v>0.30645161290322581</v>
      </c>
      <c r="E9" s="59" t="s">
        <v>69</v>
      </c>
      <c r="F9" s="56" t="s">
        <v>24</v>
      </c>
      <c r="G9" s="44">
        <v>60</v>
      </c>
      <c r="H9" s="129">
        <f>IF(B$15=0,0,G9/B$15)</f>
        <v>0.21201413427561838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14</v>
      </c>
      <c r="C10" s="40">
        <f t="shared" si="1"/>
        <v>0.11290322580645161</v>
      </c>
      <c r="E10" s="59" t="s">
        <v>65</v>
      </c>
      <c r="F10" s="56" t="s">
        <v>21</v>
      </c>
      <c r="G10" s="44">
        <v>41</v>
      </c>
      <c r="H10" s="129">
        <f>IF(B$15=0,0,G10/B$15)</f>
        <v>0.14487632508833923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-5.0636363636363635</v>
      </c>
      <c r="P10" s="114">
        <v>33</v>
      </c>
      <c r="Q10" s="102">
        <v>-167.1</v>
      </c>
    </row>
    <row r="11" spans="1:17" x14ac:dyDescent="0.45">
      <c r="A11" s="54" t="s">
        <v>121</v>
      </c>
      <c r="B11" s="47">
        <v>311</v>
      </c>
      <c r="C11" s="42">
        <f>IF(B$3=0,0,B11/B$3)</f>
        <v>0.30700888450148073</v>
      </c>
      <c r="E11" s="59" t="s">
        <v>70</v>
      </c>
      <c r="F11" s="56" t="s">
        <v>25</v>
      </c>
      <c r="G11" s="44">
        <v>32</v>
      </c>
      <c r="H11" s="129">
        <f>IF(B$15=0,0,G11/B$15)</f>
        <v>0.11307420494699646</v>
      </c>
      <c r="I11" s="90">
        <v>5</v>
      </c>
      <c r="K11" s="36">
        <v>9</v>
      </c>
      <c r="L11" s="95">
        <v>-120.99999999999999</v>
      </c>
      <c r="N11" s="111" t="s">
        <v>158</v>
      </c>
      <c r="O11" s="121">
        <f>IF(P11=0,0,Q11/P11)</f>
        <v>7.7081632653061209</v>
      </c>
      <c r="P11" s="115">
        <v>49</v>
      </c>
      <c r="Q11" s="103">
        <v>377.69999999999993</v>
      </c>
    </row>
    <row r="12" spans="1:17" x14ac:dyDescent="0.45">
      <c r="A12" s="51" t="s">
        <v>118</v>
      </c>
      <c r="B12" s="44">
        <v>183</v>
      </c>
      <c r="C12" s="37">
        <f>IF(B$3=0,0,B12/B$3)</f>
        <v>0.18065153010858837</v>
      </c>
      <c r="E12" s="59" t="s">
        <v>162</v>
      </c>
      <c r="F12" s="56" t="s">
        <v>163</v>
      </c>
      <c r="G12" s="44">
        <v>17</v>
      </c>
      <c r="H12" s="129">
        <f>IF(B$15=0,0,G12/B$15)</f>
        <v>6.0070671378091869E-2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8.5809523809523824</v>
      </c>
      <c r="P12" s="116">
        <v>42</v>
      </c>
      <c r="Q12" s="104">
        <v>360.40000000000003</v>
      </c>
    </row>
    <row r="13" spans="1:17" x14ac:dyDescent="0.45">
      <c r="A13" s="50" t="s">
        <v>123</v>
      </c>
      <c r="B13" s="43">
        <f>B19</f>
        <v>171</v>
      </c>
      <c r="C13" s="35">
        <f>IF(B$11=0,0,B13/B$11)</f>
        <v>0.54983922829581988</v>
      </c>
      <c r="E13" s="59" t="s">
        <v>71</v>
      </c>
      <c r="F13" s="56" t="s">
        <v>26</v>
      </c>
      <c r="G13" s="44">
        <v>14</v>
      </c>
      <c r="H13" s="129">
        <f>IF(B$15=0,0,G13/B$15)</f>
        <v>4.9469964664310952E-2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73</v>
      </c>
      <c r="C14" s="35">
        <f>IF(B$12=0,0,B14/B$12)</f>
        <v>0.39890710382513661</v>
      </c>
      <c r="E14" s="59" t="s">
        <v>83</v>
      </c>
      <c r="F14" s="56" t="s">
        <v>38</v>
      </c>
      <c r="G14" s="44">
        <v>10</v>
      </c>
      <c r="H14" s="129">
        <f>IF(B$15=0,0,G14/B$15)</f>
        <v>3.5335689045936397E-2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283</v>
      </c>
      <c r="C15" s="35">
        <f>IF(B$3=0,0,B15/B$3)</f>
        <v>0.27936821322803551</v>
      </c>
      <c r="E15" s="59" t="s">
        <v>86</v>
      </c>
      <c r="F15" s="56" t="s">
        <v>41</v>
      </c>
      <c r="G15" s="44">
        <v>10</v>
      </c>
      <c r="H15" s="129">
        <f>IF(B$15=0,0,G15/B$15)</f>
        <v>3.5335689045936397E-2</v>
      </c>
      <c r="I15" s="90">
        <v>9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172</v>
      </c>
      <c r="C16" s="37">
        <f>IF(B$3=0,0,B16/B$3)</f>
        <v>0.16979269496544916</v>
      </c>
      <c r="E16" s="59" t="s">
        <v>78</v>
      </c>
      <c r="F16" s="56" t="s">
        <v>33</v>
      </c>
      <c r="G16" s="44">
        <v>4</v>
      </c>
      <c r="H16" s="129">
        <f>IF(B$15=0,0,G16/B$15)</f>
        <v>1.4134275618374558E-2</v>
      </c>
      <c r="I16" s="90">
        <v>8</v>
      </c>
      <c r="K16" s="36">
        <v>14</v>
      </c>
      <c r="L16" s="95">
        <v>-86.499999999999972</v>
      </c>
      <c r="N16" s="111" t="s">
        <v>161</v>
      </c>
      <c r="O16" s="121">
        <f>IF(P16=0,0,Q16/P16)</f>
        <v>31.130434782608695</v>
      </c>
      <c r="P16" s="115">
        <v>23</v>
      </c>
      <c r="Q16" s="103">
        <v>716</v>
      </c>
    </row>
    <row r="17" spans="1:17" x14ac:dyDescent="0.45">
      <c r="A17" s="51" t="s">
        <v>12</v>
      </c>
      <c r="B17" s="44">
        <v>142</v>
      </c>
      <c r="C17" s="37">
        <f>IF(B$15=0,0,B17/B$15)</f>
        <v>0.50176678445229683</v>
      </c>
      <c r="E17" s="59" t="s">
        <v>81</v>
      </c>
      <c r="F17" s="56" t="s">
        <v>36</v>
      </c>
      <c r="G17" s="44">
        <v>4</v>
      </c>
      <c r="H17" s="129">
        <f>IF(B$15=0,0,G17/B$15)</f>
        <v>1.4134275618374558E-2</v>
      </c>
      <c r="I17" s="90">
        <v>10</v>
      </c>
      <c r="K17" s="36">
        <v>15</v>
      </c>
      <c r="L17" s="95">
        <v>-101.79999999999997</v>
      </c>
      <c r="N17" s="111" t="s">
        <v>171</v>
      </c>
      <c r="O17" s="121">
        <f>IF(P17=0,0,Q17/P17)</f>
        <v>11.393333333333333</v>
      </c>
      <c r="P17" s="115">
        <v>60</v>
      </c>
      <c r="Q17" s="103">
        <v>683.59999999999991</v>
      </c>
    </row>
    <row r="18" spans="1:17" x14ac:dyDescent="0.45">
      <c r="A18" s="51" t="s">
        <v>11</v>
      </c>
      <c r="B18" s="44">
        <v>141</v>
      </c>
      <c r="C18" s="37">
        <f>IF(B$15=0,0,B18/B$15)</f>
        <v>0.49823321554770317</v>
      </c>
      <c r="E18" s="59" t="s">
        <v>91</v>
      </c>
      <c r="F18" s="56" t="s">
        <v>46</v>
      </c>
      <c r="G18" s="44">
        <v>4</v>
      </c>
      <c r="H18" s="129">
        <f>IF(B$15=0,0,G18/B$15)</f>
        <v>1.4134275618374558E-2</v>
      </c>
      <c r="I18" s="90">
        <v>6</v>
      </c>
      <c r="K18" s="36">
        <v>16</v>
      </c>
      <c r="L18" s="95">
        <v>-63.099999999999966</v>
      </c>
      <c r="N18" s="111" t="s">
        <v>197</v>
      </c>
      <c r="O18" s="121">
        <f>IF(P18=0,0,Q18/P18)</f>
        <v>11.178571428571431</v>
      </c>
      <c r="P18" s="115">
        <v>28</v>
      </c>
      <c r="Q18" s="103">
        <v>313.00000000000006</v>
      </c>
    </row>
    <row r="19" spans="1:17" x14ac:dyDescent="0.45">
      <c r="A19" s="51" t="s">
        <v>195</v>
      </c>
      <c r="B19" s="44">
        <v>171</v>
      </c>
      <c r="C19" s="37">
        <f>IF(B$15=0,0,B19/B$15)</f>
        <v>0.60424028268551233</v>
      </c>
      <c r="E19" s="59" t="s">
        <v>92</v>
      </c>
      <c r="F19" s="56" t="s">
        <v>47</v>
      </c>
      <c r="G19" s="44">
        <v>4</v>
      </c>
      <c r="H19" s="129">
        <f>IF(B$15=0,0,G19/B$15)</f>
        <v>1.4134275618374558E-2</v>
      </c>
      <c r="I19" s="90">
        <v>1</v>
      </c>
      <c r="K19" s="36">
        <v>17</v>
      </c>
      <c r="L19" s="95">
        <v>-55.799999999999969</v>
      </c>
      <c r="N19" s="111" t="s">
        <v>274</v>
      </c>
      <c r="O19" s="121">
        <f>IF(P19=0,0,Q19/P19)</f>
        <v>5.4749999999999988</v>
      </c>
      <c r="P19" s="115">
        <v>8</v>
      </c>
      <c r="Q19" s="103">
        <v>43.79999999999999</v>
      </c>
    </row>
    <row r="20" spans="1:17" x14ac:dyDescent="0.45">
      <c r="A20" s="51" t="s">
        <v>193</v>
      </c>
      <c r="B20" s="44">
        <v>73</v>
      </c>
      <c r="C20" s="37">
        <f>IF(B$15=0,0,B20/B$15)</f>
        <v>0.25795053003533569</v>
      </c>
      <c r="E20" s="59" t="s">
        <v>85</v>
      </c>
      <c r="F20" s="56" t="s">
        <v>40</v>
      </c>
      <c r="G20" s="44">
        <v>3</v>
      </c>
      <c r="H20" s="129">
        <f>IF(B$15=0,0,G20/B$15)</f>
        <v>1.0600706713780919E-2</v>
      </c>
      <c r="I20" s="90">
        <v>3</v>
      </c>
      <c r="K20" s="36">
        <v>18</v>
      </c>
      <c r="L20" s="95">
        <v>-24.999999999999968</v>
      </c>
      <c r="N20" s="111" t="s">
        <v>127</v>
      </c>
      <c r="O20" s="121">
        <f>IF(P20=0,0,Q20/P20)</f>
        <v>5.3617021276595729</v>
      </c>
      <c r="P20" s="115">
        <v>47</v>
      </c>
      <c r="Q20" s="103">
        <v>251.99999999999991</v>
      </c>
    </row>
    <row r="21" spans="1:17" x14ac:dyDescent="0.45">
      <c r="A21" s="51" t="s">
        <v>194</v>
      </c>
      <c r="B21" s="44">
        <v>39</v>
      </c>
      <c r="C21" s="37">
        <f>IF(B$15=0,0,B21/B$15)</f>
        <v>0.13780918727915195</v>
      </c>
      <c r="E21" s="59" t="s">
        <v>73</v>
      </c>
      <c r="F21" s="56" t="s">
        <v>28</v>
      </c>
      <c r="G21" s="44">
        <v>2</v>
      </c>
      <c r="H21" s="129">
        <f>IF(B$15=0,0,G21/B$15)</f>
        <v>7.0671378091872791E-3</v>
      </c>
      <c r="I21" s="90">
        <v>2</v>
      </c>
      <c r="K21" s="36">
        <v>19</v>
      </c>
      <c r="L21" s="95">
        <v>-27.799999999999969</v>
      </c>
      <c r="N21" s="111" t="s">
        <v>126</v>
      </c>
      <c r="O21" s="121">
        <f>IF(P21=0,0,Q21/P21)</f>
        <v>-2.9220000000000028</v>
      </c>
      <c r="P21" s="115">
        <v>50</v>
      </c>
      <c r="Q21" s="103">
        <v>-146.10000000000014</v>
      </c>
    </row>
    <row r="22" spans="1:17" x14ac:dyDescent="0.45">
      <c r="A22" s="51" t="s">
        <v>5</v>
      </c>
      <c r="B22" s="48">
        <f>IF(B$15=0,0,C22/B$15)</f>
        <v>10697.526501766784</v>
      </c>
      <c r="C22" s="39">
        <v>3027400</v>
      </c>
      <c r="E22" s="59" t="s">
        <v>79</v>
      </c>
      <c r="F22" s="56" t="s">
        <v>34</v>
      </c>
      <c r="G22" s="44">
        <v>2</v>
      </c>
      <c r="H22" s="129">
        <f>IF(B$15=0,0,G22/B$15)</f>
        <v>7.0671378091872791E-3</v>
      </c>
      <c r="I22" s="90">
        <v>9</v>
      </c>
      <c r="K22" s="36">
        <v>20</v>
      </c>
      <c r="L22" s="95">
        <v>-50.39999999999997</v>
      </c>
      <c r="N22" s="111" t="s">
        <v>172</v>
      </c>
      <c r="O22" s="121">
        <f>IF(P22=0,0,Q22/P22)</f>
        <v>-7.1727272727272728</v>
      </c>
      <c r="P22" s="115">
        <v>22</v>
      </c>
      <c r="Q22" s="103">
        <v>-157.80000000000001</v>
      </c>
    </row>
    <row r="23" spans="1:17" x14ac:dyDescent="0.45">
      <c r="A23" s="52" t="s">
        <v>177</v>
      </c>
      <c r="B23" s="136">
        <f>IF($B$15-B$14=0,0,C23/($B$15-B$14))</f>
        <v>11377.142857142857</v>
      </c>
      <c r="C23" s="137">
        <v>2389200</v>
      </c>
      <c r="E23" s="59" t="s">
        <v>84</v>
      </c>
      <c r="F23" s="56" t="s">
        <v>39</v>
      </c>
      <c r="G23" s="44">
        <v>2</v>
      </c>
      <c r="H23" s="129">
        <f>IF(B$15=0,0,G23/B$15)</f>
        <v>7.0671378091872791E-3</v>
      </c>
      <c r="I23" s="90">
        <v>1</v>
      </c>
      <c r="K23" s="36">
        <v>21</v>
      </c>
      <c r="L23" s="95">
        <v>-59.89999999999997</v>
      </c>
      <c r="N23" s="111" t="s">
        <v>196</v>
      </c>
      <c r="O23" s="121">
        <f>IF(P23=0,0,Q23/P23)</f>
        <v>-14.099999999999998</v>
      </c>
      <c r="P23" s="115">
        <v>8</v>
      </c>
      <c r="Q23" s="103">
        <v>-112.79999999999998</v>
      </c>
    </row>
    <row r="24" spans="1:17" x14ac:dyDescent="0.45">
      <c r="A24" s="52" t="s">
        <v>178</v>
      </c>
      <c r="B24" s="136">
        <f>IF(B$14=0,0,C24/B$14)</f>
        <v>8742.465753424658</v>
      </c>
      <c r="C24" s="137">
        <v>638200</v>
      </c>
      <c r="E24" s="59" t="s">
        <v>90</v>
      </c>
      <c r="F24" s="56" t="s">
        <v>45</v>
      </c>
      <c r="G24" s="44">
        <v>2</v>
      </c>
      <c r="H24" s="129">
        <f>IF(B$15=0,0,G24/B$15)</f>
        <v>7.0671378091872791E-3</v>
      </c>
      <c r="I24" s="90">
        <v>1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-7897.0930232558139</v>
      </c>
      <c r="C25" s="137">
        <v>-1358300</v>
      </c>
      <c r="E25" s="59" t="s">
        <v>75</v>
      </c>
      <c r="F25" s="56" t="s">
        <v>30</v>
      </c>
      <c r="G25" s="44">
        <v>1</v>
      </c>
      <c r="H25" s="129">
        <f>IF(B$15=0,0,G25/B$15)</f>
        <v>3.5335689045936395E-3</v>
      </c>
      <c r="I25" s="90">
        <v>9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1</v>
      </c>
      <c r="H26" s="129">
        <f>IF(B$15=0,0,G26/B$15)</f>
        <v>3.5335689045936395E-3</v>
      </c>
      <c r="I26" s="90">
        <v>3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0</v>
      </c>
      <c r="E27" s="59" t="s">
        <v>93</v>
      </c>
      <c r="F27" s="56" t="s">
        <v>48</v>
      </c>
      <c r="G27" s="44">
        <v>1</v>
      </c>
      <c r="H27" s="129">
        <f>IF(B$15=0,0,G27/B$15)</f>
        <v>3.5335689045936395E-3</v>
      </c>
      <c r="I27" s="90">
        <v>2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3.5335689045936395E-3</v>
      </c>
      <c r="I28" s="90">
        <v>1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9.871668311944718E-4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8</v>
      </c>
      <c r="C32" s="141">
        <f>IF(B$15=0,0,B32/B$15)</f>
        <v>2.8268551236749116E-2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22</v>
      </c>
      <c r="C33" s="37">
        <f t="shared" ref="C33:C44" si="2">IF(B$15=0,0,B33/B$15)</f>
        <v>7.7738515901060068E-2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39</v>
      </c>
      <c r="C34" s="37">
        <f>IF(B$15=0,0,B34/B$15)</f>
        <v>0.13780918727915195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54</v>
      </c>
      <c r="C35" s="37">
        <f t="shared" si="2"/>
        <v>0.19081272084805653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64</v>
      </c>
      <c r="C36" s="37">
        <f t="shared" si="2"/>
        <v>0.22614840989399293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38</v>
      </c>
      <c r="C37" s="37">
        <f t="shared" si="2"/>
        <v>0.13427561837455831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22</v>
      </c>
      <c r="C38" s="37">
        <f t="shared" si="2"/>
        <v>7.7738515901060068E-2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19</v>
      </c>
      <c r="C39" s="37">
        <f t="shared" si="2"/>
        <v>6.7137809187279157E-2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6</v>
      </c>
      <c r="C40" s="37">
        <f t="shared" si="2"/>
        <v>2.1201413427561839E-2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2"/>
        <v>7.0671378091872791E-3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7.0671378091872791E-3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3.5335689045936395E-3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2"/>
        <v>2.1201413427561839E-2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</sheetData>
  <sortState xmlns:xlrd2="http://schemas.microsoft.com/office/spreadsheetml/2017/richdata2" ref="E2:I127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4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139</v>
      </c>
      <c r="C2" s="155"/>
      <c r="E2" s="58" t="s">
        <v>66</v>
      </c>
      <c r="F2" s="55" t="s">
        <v>22</v>
      </c>
      <c r="G2" s="43">
        <v>231</v>
      </c>
      <c r="H2" s="128">
        <f>IF(B$15=0,0,G2/B$15)</f>
        <v>0.73101265822784811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-302.15827338129498</v>
      </c>
      <c r="P2" s="114">
        <v>139</v>
      </c>
      <c r="Q2" s="98">
        <v>-42000</v>
      </c>
    </row>
    <row r="3" spans="1:17" x14ac:dyDescent="0.45">
      <c r="A3" s="51" t="s">
        <v>8</v>
      </c>
      <c r="B3" s="156">
        <v>1131</v>
      </c>
      <c r="C3" s="157"/>
      <c r="E3" s="59" t="s">
        <v>72</v>
      </c>
      <c r="F3" s="56" t="s">
        <v>27</v>
      </c>
      <c r="G3" s="44">
        <v>177</v>
      </c>
      <c r="H3" s="129">
        <f>IF(B$15=0,0,G3/B$15)</f>
        <v>0.560126582278481</v>
      </c>
      <c r="I3" s="90">
        <v>3</v>
      </c>
      <c r="K3" s="36">
        <v>1</v>
      </c>
      <c r="L3" s="95">
        <v>46.9</v>
      </c>
      <c r="N3" s="111" t="s">
        <v>131</v>
      </c>
      <c r="O3" s="118">
        <f t="shared" si="0"/>
        <v>-196.3235294117647</v>
      </c>
      <c r="P3" s="115">
        <v>136</v>
      </c>
      <c r="Q3" s="99">
        <v>-26700</v>
      </c>
    </row>
    <row r="4" spans="1:17" x14ac:dyDescent="0.45">
      <c r="A4" s="51" t="s">
        <v>6</v>
      </c>
      <c r="B4" s="158">
        <v>-150.29999999999998</v>
      </c>
      <c r="C4" s="159"/>
      <c r="E4" s="59" t="s">
        <v>64</v>
      </c>
      <c r="F4" s="56" t="s">
        <v>20</v>
      </c>
      <c r="G4" s="44">
        <v>158</v>
      </c>
      <c r="H4" s="129">
        <f>IF(B$15=0,0,G4/B$15)</f>
        <v>0.5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174.41860465116278</v>
      </c>
      <c r="P4" s="115">
        <v>129</v>
      </c>
      <c r="Q4" s="99">
        <v>22500</v>
      </c>
    </row>
    <row r="5" spans="1:17" x14ac:dyDescent="0.45">
      <c r="A5" s="51" t="s">
        <v>7</v>
      </c>
      <c r="B5" s="160">
        <f>IF(B$2=0,0,B$4/B$2)</f>
        <v>-1.0812949640287768</v>
      </c>
      <c r="C5" s="161"/>
      <c r="E5" s="59" t="s">
        <v>166</v>
      </c>
      <c r="F5" s="56" t="s">
        <v>167</v>
      </c>
      <c r="G5" s="44">
        <v>135</v>
      </c>
      <c r="H5" s="129">
        <f>IF(B$15=0,0,G5/B$15)</f>
        <v>0.42721518987341772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200</v>
      </c>
      <c r="P5" s="115">
        <v>118</v>
      </c>
      <c r="Q5" s="99">
        <v>23600</v>
      </c>
    </row>
    <row r="6" spans="1:17" x14ac:dyDescent="0.45">
      <c r="A6" s="51" t="s">
        <v>1</v>
      </c>
      <c r="B6" s="150">
        <f>IF(B$2=0,0,(B$7*1+B$8*2+B$9*3)/B$2)</f>
        <v>2.0575539568345325</v>
      </c>
      <c r="C6" s="151"/>
      <c r="E6" s="59" t="s">
        <v>67</v>
      </c>
      <c r="F6" s="56" t="s">
        <v>23</v>
      </c>
      <c r="G6" s="44">
        <v>108</v>
      </c>
      <c r="H6" s="129">
        <f>IF(B$15=0,0,G6/B$15)</f>
        <v>0.34177215189873417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316.82242990654208</v>
      </c>
      <c r="P6" s="115">
        <v>107</v>
      </c>
      <c r="Q6" s="99">
        <v>33900</v>
      </c>
    </row>
    <row r="7" spans="1:17" x14ac:dyDescent="0.45">
      <c r="A7" s="51" t="s">
        <v>2</v>
      </c>
      <c r="B7" s="44">
        <v>34</v>
      </c>
      <c r="C7" s="37">
        <f t="shared" ref="C7:C10" si="1">IF(B$2=0,0,B7/B$2)</f>
        <v>0.2446043165467626</v>
      </c>
      <c r="E7" s="59" t="s">
        <v>68</v>
      </c>
      <c r="F7" s="56" t="s">
        <v>12</v>
      </c>
      <c r="G7" s="44">
        <v>99</v>
      </c>
      <c r="H7" s="129">
        <f>IF(B$15=0,0,G7/B$15)</f>
        <v>0.31329113924050633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-1036.9565217391305</v>
      </c>
      <c r="P7" s="116">
        <v>92</v>
      </c>
      <c r="Q7" s="100">
        <v>-95400</v>
      </c>
    </row>
    <row r="8" spans="1:17" x14ac:dyDescent="0.45">
      <c r="A8" s="51" t="s">
        <v>3</v>
      </c>
      <c r="B8" s="44">
        <v>63</v>
      </c>
      <c r="C8" s="37">
        <f t="shared" si="1"/>
        <v>0.45323741007194246</v>
      </c>
      <c r="E8" s="59" t="s">
        <v>69</v>
      </c>
      <c r="F8" s="56" t="s">
        <v>24</v>
      </c>
      <c r="G8" s="44">
        <v>43</v>
      </c>
      <c r="H8" s="129">
        <f>IF(B$15=0,0,G8/B$15)</f>
        <v>0.13607594936708861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42</v>
      </c>
      <c r="C9" s="38">
        <f t="shared" si="1"/>
        <v>0.30215827338129497</v>
      </c>
      <c r="E9" s="59" t="s">
        <v>89</v>
      </c>
      <c r="F9" s="56" t="s">
        <v>44</v>
      </c>
      <c r="G9" s="44">
        <v>43</v>
      </c>
      <c r="H9" s="129">
        <f>IF(B$15=0,0,G9/B$15)</f>
        <v>0.13607594936708861</v>
      </c>
      <c r="I9" s="90">
        <v>7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7.1942446043165464E-2</v>
      </c>
      <c r="E10" s="59" t="s">
        <v>71</v>
      </c>
      <c r="F10" s="56" t="s">
        <v>26</v>
      </c>
      <c r="G10" s="44">
        <v>31</v>
      </c>
      <c r="H10" s="129">
        <f>IF(B$15=0,0,G10/B$15)</f>
        <v>9.8101265822784806E-2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-2.1561403508771932</v>
      </c>
      <c r="P10" s="114">
        <v>57</v>
      </c>
      <c r="Q10" s="102">
        <v>-122.90000000000002</v>
      </c>
    </row>
    <row r="11" spans="1:17" x14ac:dyDescent="0.45">
      <c r="A11" s="54" t="s">
        <v>121</v>
      </c>
      <c r="B11" s="47">
        <v>297</v>
      </c>
      <c r="C11" s="42">
        <f>IF(B$3=0,0,B11/B$3)</f>
        <v>0.2625994694960212</v>
      </c>
      <c r="E11" s="59" t="s">
        <v>65</v>
      </c>
      <c r="F11" s="56" t="s">
        <v>21</v>
      </c>
      <c r="G11" s="44">
        <v>25</v>
      </c>
      <c r="H11" s="129">
        <f>IF(B$15=0,0,G11/B$15)</f>
        <v>7.9113924050632917E-2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-0.54883720930232494</v>
      </c>
      <c r="P11" s="115">
        <v>43</v>
      </c>
      <c r="Q11" s="103">
        <v>-23.599999999999973</v>
      </c>
    </row>
    <row r="12" spans="1:17" x14ac:dyDescent="0.45">
      <c r="A12" s="51" t="s">
        <v>118</v>
      </c>
      <c r="B12" s="44">
        <v>261</v>
      </c>
      <c r="C12" s="37">
        <f>IF(B$3=0,0,B12/B$3)</f>
        <v>0.23076923076923078</v>
      </c>
      <c r="E12" s="59" t="s">
        <v>70</v>
      </c>
      <c r="F12" s="56" t="s">
        <v>25</v>
      </c>
      <c r="G12" s="44">
        <v>23</v>
      </c>
      <c r="H12" s="129">
        <f>IF(B$15=0,0,G12/B$15)</f>
        <v>7.2784810126582278E-2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-9.7435897435897728E-2</v>
      </c>
      <c r="P12" s="116">
        <v>39</v>
      </c>
      <c r="Q12" s="104">
        <v>-3.8000000000000114</v>
      </c>
    </row>
    <row r="13" spans="1:17" x14ac:dyDescent="0.45">
      <c r="A13" s="50" t="s">
        <v>123</v>
      </c>
      <c r="B13" s="43">
        <f>B19</f>
        <v>164</v>
      </c>
      <c r="C13" s="35">
        <f>IF(B$11=0,0,B13/B$11)</f>
        <v>0.55218855218855223</v>
      </c>
      <c r="E13" s="59" t="s">
        <v>86</v>
      </c>
      <c r="F13" s="56" t="s">
        <v>41</v>
      </c>
      <c r="G13" s="44">
        <v>14</v>
      </c>
      <c r="H13" s="129">
        <f>IF(B$15=0,0,G13/B$15)</f>
        <v>4.4303797468354431E-2</v>
      </c>
      <c r="I13" s="90">
        <v>8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111</v>
      </c>
      <c r="C14" s="35">
        <f>IF(B$12=0,0,B14/B$12)</f>
        <v>0.42528735632183906</v>
      </c>
      <c r="E14" s="59" t="s">
        <v>83</v>
      </c>
      <c r="F14" s="56" t="s">
        <v>38</v>
      </c>
      <c r="G14" s="44">
        <v>13</v>
      </c>
      <c r="H14" s="129">
        <f>IF(B$15=0,0,G14/B$15)</f>
        <v>4.1139240506329111E-2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316</v>
      </c>
      <c r="C15" s="35">
        <f>IF(B$3=0,0,B15/B$3)</f>
        <v>0.27939876215738285</v>
      </c>
      <c r="E15" s="59" t="s">
        <v>79</v>
      </c>
      <c r="F15" s="56" t="s">
        <v>34</v>
      </c>
      <c r="G15" s="44">
        <v>7</v>
      </c>
      <c r="H15" s="129">
        <f>IF(B$15=0,0,G15/B$15)</f>
        <v>2.2151898734177215E-2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157</v>
      </c>
      <c r="C16" s="37">
        <f>IF(B$3=0,0,B16/B$3)</f>
        <v>0.13881520778072501</v>
      </c>
      <c r="E16" s="59" t="s">
        <v>162</v>
      </c>
      <c r="F16" s="56" t="s">
        <v>163</v>
      </c>
      <c r="G16" s="44">
        <v>6</v>
      </c>
      <c r="H16" s="129">
        <f>IF(B$15=0,0,G16/B$15)</f>
        <v>1.8987341772151899E-2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140</v>
      </c>
      <c r="C17" s="37">
        <f>IF(B$15=0,0,B17/B$15)</f>
        <v>0.44303797468354428</v>
      </c>
      <c r="E17" s="59" t="s">
        <v>73</v>
      </c>
      <c r="F17" s="56" t="s">
        <v>28</v>
      </c>
      <c r="G17" s="44">
        <v>5</v>
      </c>
      <c r="H17" s="129">
        <f>IF(B$15=0,0,G17/B$15)</f>
        <v>1.5822784810126583E-2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>IF(P17=0,0,Q17/P17)</f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176</v>
      </c>
      <c r="C18" s="37">
        <f>IF(B$15=0,0,B18/B$15)</f>
        <v>0.55696202531645567</v>
      </c>
      <c r="E18" s="59" t="s">
        <v>78</v>
      </c>
      <c r="F18" s="56" t="s">
        <v>33</v>
      </c>
      <c r="G18" s="44">
        <v>5</v>
      </c>
      <c r="H18" s="129">
        <f>IF(B$15=0,0,G18/B$15)</f>
        <v>1.5822784810126583E-2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>IF(P18=0,0,Q18/P18)</f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164</v>
      </c>
      <c r="C19" s="37">
        <f>IF(B$15=0,0,B19/B$15)</f>
        <v>0.51898734177215189</v>
      </c>
      <c r="E19" s="59" t="s">
        <v>81</v>
      </c>
      <c r="F19" s="56" t="s">
        <v>36</v>
      </c>
      <c r="G19" s="44">
        <v>5</v>
      </c>
      <c r="H19" s="129">
        <f>IF(B$15=0,0,G19/B$15)</f>
        <v>1.5822784810126583E-2</v>
      </c>
      <c r="I19" s="90">
        <v>8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111</v>
      </c>
      <c r="C20" s="37">
        <f>IF(B$15=0,0,B20/B$15)</f>
        <v>0.35126582278481011</v>
      </c>
      <c r="E20" s="59" t="s">
        <v>85</v>
      </c>
      <c r="F20" s="56" t="s">
        <v>40</v>
      </c>
      <c r="G20" s="44">
        <v>3</v>
      </c>
      <c r="H20" s="129">
        <f>IF(B$15=0,0,G20/B$15)</f>
        <v>9.4936708860759497E-3</v>
      </c>
      <c r="I20" s="90">
        <v>4</v>
      </c>
      <c r="K20" s="36">
        <v>18</v>
      </c>
      <c r="L20" s="95">
        <v>-62.399999999999991</v>
      </c>
      <c r="N20" s="111" t="s">
        <v>280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41</v>
      </c>
      <c r="C21" s="37">
        <f>IF(B$15=0,0,B21/B$15)</f>
        <v>0.12974683544303797</v>
      </c>
      <c r="E21" s="59" t="s">
        <v>91</v>
      </c>
      <c r="F21" s="56" t="s">
        <v>46</v>
      </c>
      <c r="G21" s="44">
        <v>3</v>
      </c>
      <c r="H21" s="129">
        <f>IF(B$15=0,0,G21/B$15)</f>
        <v>9.4936708860759497E-3</v>
      </c>
      <c r="I21" s="90">
        <v>8</v>
      </c>
      <c r="K21" s="36">
        <v>19</v>
      </c>
      <c r="L21" s="95">
        <v>-56.399999999999991</v>
      </c>
      <c r="N21" s="111" t="s">
        <v>127</v>
      </c>
      <c r="O21" s="121">
        <f>IF(P21=0,0,Q21/P21)</f>
        <v>0.58846153846153848</v>
      </c>
      <c r="P21" s="115">
        <v>52</v>
      </c>
      <c r="Q21" s="103">
        <v>30.6</v>
      </c>
    </row>
    <row r="22" spans="1:17" x14ac:dyDescent="0.45">
      <c r="A22" s="51" t="s">
        <v>5</v>
      </c>
      <c r="B22" s="48">
        <f>IF(B$15=0,0,C22/B$15)</f>
        <v>8158.8607594936711</v>
      </c>
      <c r="C22" s="39">
        <v>2578200</v>
      </c>
      <c r="E22" s="59" t="s">
        <v>75</v>
      </c>
      <c r="F22" s="56" t="s">
        <v>30</v>
      </c>
      <c r="G22" s="44">
        <v>2</v>
      </c>
      <c r="H22" s="129">
        <f>IF(B$15=0,0,G22/B$15)</f>
        <v>6.3291139240506328E-3</v>
      </c>
      <c r="I22" s="90">
        <v>6</v>
      </c>
      <c r="K22" s="36">
        <v>20</v>
      </c>
      <c r="L22" s="95">
        <v>-93.199999999999989</v>
      </c>
      <c r="N22" s="111" t="s">
        <v>161</v>
      </c>
      <c r="O22" s="121">
        <f>IF(P22=0,0,Q22/P22)</f>
        <v>-2.876666666666666</v>
      </c>
      <c r="P22" s="115">
        <v>30</v>
      </c>
      <c r="Q22" s="103">
        <v>-86.299999999999983</v>
      </c>
    </row>
    <row r="23" spans="1:17" x14ac:dyDescent="0.45">
      <c r="A23" s="52" t="s">
        <v>177</v>
      </c>
      <c r="B23" s="136">
        <f>IF($B$15-B$14=0,0,C23/($B$15-B$14))</f>
        <v>9049.2682926829275</v>
      </c>
      <c r="C23" s="137">
        <v>1855100</v>
      </c>
      <c r="E23" s="59" t="s">
        <v>74</v>
      </c>
      <c r="F23" s="56" t="s">
        <v>29</v>
      </c>
      <c r="G23" s="44">
        <v>1</v>
      </c>
      <c r="H23" s="129">
        <f>IF(B$15=0,0,G23/B$15)</f>
        <v>3.1645569620253164E-3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>IF(P23=0,0,Q23/P23)</f>
        <v>-11.393333333333333</v>
      </c>
      <c r="P23" s="115">
        <v>60</v>
      </c>
      <c r="Q23" s="103">
        <v>-683.59999999999991</v>
      </c>
    </row>
    <row r="24" spans="1:17" x14ac:dyDescent="0.45">
      <c r="A24" s="52" t="s">
        <v>178</v>
      </c>
      <c r="B24" s="136">
        <f>IF(B$14=0,0,C24/B$14)</f>
        <v>6514.4144144144148</v>
      </c>
      <c r="C24" s="137">
        <v>723100</v>
      </c>
      <c r="E24" s="59" t="s">
        <v>87</v>
      </c>
      <c r="F24" s="56" t="s">
        <v>42</v>
      </c>
      <c r="G24" s="44">
        <v>1</v>
      </c>
      <c r="H24" s="129">
        <f>IF(B$15=0,0,G24/B$15)</f>
        <v>3.1645569620253164E-3</v>
      </c>
      <c r="I24" s="90">
        <v>4</v>
      </c>
      <c r="K24" s="36">
        <v>22</v>
      </c>
      <c r="L24" s="95">
        <v>-66.999999999999986</v>
      </c>
      <c r="N24" s="111" t="s">
        <v>126</v>
      </c>
      <c r="O24" s="121">
        <f>IF(P24=0,0,Q24/P24)</f>
        <v>-12.623880597014924</v>
      </c>
      <c r="P24" s="115">
        <v>67</v>
      </c>
      <c r="Q24" s="103">
        <v>-845.8</v>
      </c>
    </row>
    <row r="25" spans="1:17" x14ac:dyDescent="0.45">
      <c r="A25" s="52" t="s">
        <v>176</v>
      </c>
      <c r="B25" s="136">
        <f>IF(B$16=0,0,C25/B$16)</f>
        <v>-7075.7961783439487</v>
      </c>
      <c r="C25" s="137">
        <v>-1110900</v>
      </c>
      <c r="E25" s="59" t="s">
        <v>88</v>
      </c>
      <c r="F25" s="56" t="s">
        <v>43</v>
      </c>
      <c r="G25" s="44">
        <v>1</v>
      </c>
      <c r="H25" s="129">
        <f>IF(B$15=0,0,G25/B$15)</f>
        <v>3.1645569620253164E-3</v>
      </c>
      <c r="I25" s="90">
        <v>3</v>
      </c>
      <c r="K25" s="36">
        <v>23</v>
      </c>
      <c r="L25" s="95">
        <v>-59.599999999999987</v>
      </c>
      <c r="N25" s="111" t="s">
        <v>274</v>
      </c>
      <c r="O25" s="121">
        <f>IF(P25=0,0,Q25/P25)</f>
        <v>-38.25</v>
      </c>
      <c r="P25" s="115">
        <v>2</v>
      </c>
      <c r="Q25" s="103">
        <v>-76.5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3.1645569620253164E-3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</v>
      </c>
      <c r="E27" s="59" t="s">
        <v>101</v>
      </c>
      <c r="F27" s="56" t="s">
        <v>56</v>
      </c>
      <c r="G27" s="44">
        <v>1</v>
      </c>
      <c r="H27" s="129">
        <f>IF(B$15=0,0,G27/B$15)</f>
        <v>3.1645569620253164E-3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1.7683465959328027E-3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19</v>
      </c>
      <c r="C32" s="141">
        <f>IF(B$15=0,0,B32/B$15)</f>
        <v>6.0126582278481014E-2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60</v>
      </c>
      <c r="C33" s="37">
        <f t="shared" ref="C33:C44" si="2">IF(B$15=0,0,B33/B$15)</f>
        <v>0.189873417721519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65</v>
      </c>
      <c r="C34" s="37">
        <f>IF(B$15=0,0,B34/B$15)</f>
        <v>0.20569620253164558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58</v>
      </c>
      <c r="C35" s="37">
        <f t="shared" si="2"/>
        <v>0.18354430379746836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45</v>
      </c>
      <c r="C36" s="37">
        <f t="shared" si="2"/>
        <v>0.14240506329113925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37</v>
      </c>
      <c r="C37" s="37">
        <f t="shared" si="2"/>
        <v>0.11708860759493671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15</v>
      </c>
      <c r="C38" s="37">
        <f t="shared" si="2"/>
        <v>4.746835443037975E-2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2"/>
        <v>2.2151898734177215E-2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2"/>
        <v>9.4936708860759497E-3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6.3291139240506328E-3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3.1645569620253164E-3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6.3291139240506328E-3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2"/>
        <v>6.3291139240506328E-3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62</v>
      </c>
      <c r="C2" s="155"/>
      <c r="E2" s="58" t="s">
        <v>66</v>
      </c>
      <c r="F2" s="55" t="s">
        <v>22</v>
      </c>
      <c r="G2" s="43">
        <v>93</v>
      </c>
      <c r="H2" s="128">
        <f>IF(B$15=0,0,G2/B$15)</f>
        <v>0.69402985074626866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-2541.9354838709678</v>
      </c>
      <c r="P2" s="114">
        <v>62</v>
      </c>
      <c r="Q2" s="98">
        <v>-157600</v>
      </c>
    </row>
    <row r="3" spans="1:17" x14ac:dyDescent="0.45">
      <c r="A3" s="51" t="s">
        <v>8</v>
      </c>
      <c r="B3" s="156">
        <v>517</v>
      </c>
      <c r="C3" s="157"/>
      <c r="E3" s="59" t="s">
        <v>72</v>
      </c>
      <c r="F3" s="56" t="s">
        <v>27</v>
      </c>
      <c r="G3" s="44">
        <v>87</v>
      </c>
      <c r="H3" s="129">
        <f>IF(B$15=0,0,G3/B$15)</f>
        <v>0.64925373134328357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738.70967741935488</v>
      </c>
      <c r="P3" s="115">
        <v>62</v>
      </c>
      <c r="Q3" s="99">
        <v>45800</v>
      </c>
    </row>
    <row r="4" spans="1:17" x14ac:dyDescent="0.45">
      <c r="A4" s="51" t="s">
        <v>6</v>
      </c>
      <c r="B4" s="158">
        <v>-665.40000000000009</v>
      </c>
      <c r="C4" s="159"/>
      <c r="E4" s="59" t="s">
        <v>64</v>
      </c>
      <c r="F4" s="56" t="s">
        <v>20</v>
      </c>
      <c r="G4" s="44">
        <v>55</v>
      </c>
      <c r="H4" s="129">
        <f>IF(B$15=0,0,G4/B$15)</f>
        <v>0.41044776119402987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-691.52542372881351</v>
      </c>
      <c r="P4" s="115">
        <v>59</v>
      </c>
      <c r="Q4" s="99">
        <v>-40800</v>
      </c>
    </row>
    <row r="5" spans="1:17" x14ac:dyDescent="0.45">
      <c r="A5" s="51" t="s">
        <v>7</v>
      </c>
      <c r="B5" s="160">
        <f>IF(B$2=0,0,B$4/B$2)</f>
        <v>-10.732258064516131</v>
      </c>
      <c r="C5" s="161"/>
      <c r="E5" s="59" t="s">
        <v>166</v>
      </c>
      <c r="F5" s="56" t="s">
        <v>167</v>
      </c>
      <c r="G5" s="44">
        <v>47</v>
      </c>
      <c r="H5" s="129">
        <f>IF(B$15=0,0,G5/B$15)</f>
        <v>0.35074626865671643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-1784.9056603773586</v>
      </c>
      <c r="P5" s="115">
        <v>53</v>
      </c>
      <c r="Q5" s="99">
        <v>-94600</v>
      </c>
    </row>
    <row r="6" spans="1:17" x14ac:dyDescent="0.45">
      <c r="A6" s="51" t="s">
        <v>1</v>
      </c>
      <c r="B6" s="150">
        <f>IF(B$2=0,0,(B$7*1+B$8*2+B$9*3)/B$2)</f>
        <v>2.274193548387097</v>
      </c>
      <c r="C6" s="151"/>
      <c r="E6" s="59" t="s">
        <v>68</v>
      </c>
      <c r="F6" s="56" t="s">
        <v>12</v>
      </c>
      <c r="G6" s="44">
        <v>36</v>
      </c>
      <c r="H6" s="129">
        <f>IF(B$15=0,0,G6/B$15)</f>
        <v>0.26865671641791045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-1862</v>
      </c>
      <c r="P6" s="115">
        <v>50</v>
      </c>
      <c r="Q6" s="99">
        <v>-93100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0.16129032258064516</v>
      </c>
      <c r="E7" s="59" t="s">
        <v>67</v>
      </c>
      <c r="F7" s="56" t="s">
        <v>23</v>
      </c>
      <c r="G7" s="44">
        <v>30</v>
      </c>
      <c r="H7" s="129">
        <f>IF(B$15=0,0,G7/B$15)</f>
        <v>0.22388059701492538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-2182.9268292682927</v>
      </c>
      <c r="P7" s="116">
        <v>41</v>
      </c>
      <c r="Q7" s="100">
        <v>-89500</v>
      </c>
    </row>
    <row r="8" spans="1:17" x14ac:dyDescent="0.45">
      <c r="A8" s="51" t="s">
        <v>3</v>
      </c>
      <c r="B8" s="44">
        <v>25</v>
      </c>
      <c r="C8" s="37">
        <f t="shared" si="1"/>
        <v>0.40322580645161288</v>
      </c>
      <c r="E8" s="59" t="s">
        <v>89</v>
      </c>
      <c r="F8" s="56" t="s">
        <v>44</v>
      </c>
      <c r="G8" s="44">
        <v>20</v>
      </c>
      <c r="H8" s="129">
        <f>IF(B$15=0,0,G8/B$15)</f>
        <v>0.14925373134328357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27</v>
      </c>
      <c r="C9" s="38">
        <f t="shared" si="1"/>
        <v>0.43548387096774194</v>
      </c>
      <c r="E9" s="59" t="s">
        <v>65</v>
      </c>
      <c r="F9" s="56" t="s">
        <v>21</v>
      </c>
      <c r="G9" s="44">
        <v>16</v>
      </c>
      <c r="H9" s="129">
        <f>IF(B$15=0,0,G9/B$15)</f>
        <v>0.11940298507462686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0.16129032258064516</v>
      </c>
      <c r="E10" s="59" t="s">
        <v>71</v>
      </c>
      <c r="F10" s="56" t="s">
        <v>26</v>
      </c>
      <c r="G10" s="44">
        <v>13</v>
      </c>
      <c r="H10" s="129">
        <f>IF(B$15=0,0,G10/B$15)</f>
        <v>9.7014925373134331E-2</v>
      </c>
      <c r="I10" s="90">
        <v>5</v>
      </c>
      <c r="K10" s="36">
        <v>8</v>
      </c>
      <c r="L10" s="95">
        <v>-152.6</v>
      </c>
      <c r="N10" s="110" t="s">
        <v>157</v>
      </c>
      <c r="O10" s="120">
        <f>IF(P10=0,0,Q10/P10)</f>
        <v>-18.719230769230769</v>
      </c>
      <c r="P10" s="114">
        <v>26</v>
      </c>
      <c r="Q10" s="102">
        <v>-486.7</v>
      </c>
    </row>
    <row r="11" spans="1:17" x14ac:dyDescent="0.45">
      <c r="A11" s="54" t="s">
        <v>121</v>
      </c>
      <c r="B11" s="47">
        <v>109</v>
      </c>
      <c r="C11" s="42">
        <f>IF(B$3=0,0,B11/B$3)</f>
        <v>0.21083172147001933</v>
      </c>
      <c r="E11" s="59" t="s">
        <v>69</v>
      </c>
      <c r="F11" s="56" t="s">
        <v>24</v>
      </c>
      <c r="G11" s="44">
        <v>12</v>
      </c>
      <c r="H11" s="129">
        <f>IF(B$15=0,0,G11/B$15)</f>
        <v>8.9552238805970144E-2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-2.8555555555555552</v>
      </c>
      <c r="P11" s="115">
        <v>18</v>
      </c>
      <c r="Q11" s="103">
        <v>-51.399999999999991</v>
      </c>
    </row>
    <row r="12" spans="1:17" x14ac:dyDescent="0.45">
      <c r="A12" s="51" t="s">
        <v>118</v>
      </c>
      <c r="B12" s="44">
        <v>118</v>
      </c>
      <c r="C12" s="37">
        <f>IF(B$3=0,0,B12/B$3)</f>
        <v>0.22823984526112184</v>
      </c>
      <c r="E12" s="59" t="s">
        <v>70</v>
      </c>
      <c r="F12" s="56" t="s">
        <v>25</v>
      </c>
      <c r="G12" s="44">
        <v>12</v>
      </c>
      <c r="H12" s="129">
        <f>IF(B$15=0,0,G12/B$15)</f>
        <v>8.9552238805970144E-2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5">
      <c r="A13" s="50" t="s">
        <v>123</v>
      </c>
      <c r="B13" s="43">
        <f>B19</f>
        <v>57</v>
      </c>
      <c r="C13" s="35">
        <f>IF(B$11=0,0,B13/B$11)</f>
        <v>0.52293577981651373</v>
      </c>
      <c r="E13" s="59" t="s">
        <v>83</v>
      </c>
      <c r="F13" s="56" t="s">
        <v>38</v>
      </c>
      <c r="G13" s="44">
        <v>8</v>
      </c>
      <c r="H13" s="129">
        <f>IF(B$15=0,0,G13/B$15)</f>
        <v>5.9701492537313432E-2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51</v>
      </c>
      <c r="C14" s="35">
        <f>IF(B$12=0,0,B14/B$12)</f>
        <v>0.43220338983050849</v>
      </c>
      <c r="E14" s="59" t="s">
        <v>86</v>
      </c>
      <c r="F14" s="56" t="s">
        <v>41</v>
      </c>
      <c r="G14" s="44">
        <v>8</v>
      </c>
      <c r="H14" s="129">
        <f>IF(B$15=0,0,G14/B$15)</f>
        <v>5.9701492537313432E-2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134</v>
      </c>
      <c r="C15" s="35">
        <f>IF(B$3=0,0,B15/B$3)</f>
        <v>0.25918762088974856</v>
      </c>
      <c r="E15" s="59" t="s">
        <v>81</v>
      </c>
      <c r="F15" s="56" t="s">
        <v>36</v>
      </c>
      <c r="G15" s="44">
        <v>7</v>
      </c>
      <c r="H15" s="129">
        <f>IF(B$15=0,0,G15/B$15)</f>
        <v>5.2238805970149252E-2</v>
      </c>
      <c r="I15" s="90">
        <v>2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5.5722222222222184</v>
      </c>
      <c r="P15" s="114">
        <v>18</v>
      </c>
      <c r="Q15" s="102">
        <v>100.29999999999993</v>
      </c>
    </row>
    <row r="16" spans="1:17" x14ac:dyDescent="0.45">
      <c r="A16" s="51" t="s">
        <v>13</v>
      </c>
      <c r="B16" s="44">
        <v>92</v>
      </c>
      <c r="C16" s="37">
        <f>IF(B$3=0,0,B16/B$3)</f>
        <v>0.17794970986460348</v>
      </c>
      <c r="E16" s="59" t="s">
        <v>91</v>
      </c>
      <c r="F16" s="56" t="s">
        <v>46</v>
      </c>
      <c r="G16" s="44">
        <v>2</v>
      </c>
      <c r="H16" s="129">
        <f>IF(B$15=0,0,G16/B$15)</f>
        <v>1.4925373134328358E-2</v>
      </c>
      <c r="I16" s="90">
        <v>5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61</v>
      </c>
      <c r="C17" s="37">
        <f>IF(B$15=0,0,B17/B$15)</f>
        <v>0.45522388059701491</v>
      </c>
      <c r="E17" s="59" t="s">
        <v>74</v>
      </c>
      <c r="F17" s="56" t="s">
        <v>29</v>
      </c>
      <c r="G17" s="44">
        <v>1</v>
      </c>
      <c r="H17" s="129">
        <f>IF(B$15=0,0,G17/B$15)</f>
        <v>7.462686567164179E-3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 t="shared" si="2"/>
        <v>-11.178571428571429</v>
      </c>
      <c r="P17" s="115">
        <v>28</v>
      </c>
      <c r="Q17" s="103">
        <v>-313</v>
      </c>
    </row>
    <row r="18" spans="1:17" x14ac:dyDescent="0.45">
      <c r="A18" s="51" t="s">
        <v>11</v>
      </c>
      <c r="B18" s="44">
        <v>73</v>
      </c>
      <c r="C18" s="37">
        <f>IF(B$15=0,0,B18/B$15)</f>
        <v>0.54477611940298509</v>
      </c>
      <c r="E18" s="59" t="s">
        <v>78</v>
      </c>
      <c r="F18" s="56" t="s">
        <v>33</v>
      </c>
      <c r="G18" s="44">
        <v>1</v>
      </c>
      <c r="H18" s="129">
        <f>IF(B$15=0,0,G18/B$15)</f>
        <v>7.462686567164179E-3</v>
      </c>
      <c r="I18" s="90">
        <v>10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57</v>
      </c>
      <c r="C19" s="37">
        <f>IF(B$15=0,0,B19/B$15)</f>
        <v>0.42537313432835822</v>
      </c>
      <c r="E19" s="59" t="s">
        <v>92</v>
      </c>
      <c r="F19" s="56" t="s">
        <v>47</v>
      </c>
      <c r="G19" s="44">
        <v>1</v>
      </c>
      <c r="H19" s="129">
        <f>IF(B$15=0,0,G19/B$15)</f>
        <v>7.462686567164179E-3</v>
      </c>
      <c r="I19" s="90">
        <v>4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51</v>
      </c>
      <c r="C20" s="37">
        <f>IF(B$15=0,0,B20/B$15)</f>
        <v>0.38059701492537312</v>
      </c>
      <c r="E20" s="59" t="s">
        <v>95</v>
      </c>
      <c r="F20" s="56" t="s">
        <v>50</v>
      </c>
      <c r="G20" s="44">
        <v>1</v>
      </c>
      <c r="H20" s="129">
        <f>IF(B$15=0,0,G20/B$15)</f>
        <v>7.462686567164179E-3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 t="shared" si="2"/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26</v>
      </c>
      <c r="C21" s="37">
        <f>IF(B$15=0,0,B21/B$15)</f>
        <v>0.19402985074626866</v>
      </c>
      <c r="E21" s="59" t="s">
        <v>162</v>
      </c>
      <c r="F21" s="56" t="s">
        <v>163</v>
      </c>
      <c r="G21" s="44">
        <v>1</v>
      </c>
      <c r="H21" s="129">
        <f>IF(B$15=0,0,G21/B$15)</f>
        <v>7.462686567164179E-3</v>
      </c>
      <c r="I21" s="90">
        <v>8</v>
      </c>
      <c r="K21" s="36">
        <v>19</v>
      </c>
      <c r="L21" s="95">
        <v>-400.60000000000008</v>
      </c>
      <c r="N21" s="111" t="s">
        <v>203</v>
      </c>
      <c r="O21" s="121">
        <f t="shared" si="2"/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8070.1492537313434</v>
      </c>
      <c r="C22" s="39">
        <v>1081400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 t="shared" si="2"/>
        <v>-24.274999999999999</v>
      </c>
      <c r="P22" s="115">
        <v>4</v>
      </c>
      <c r="Q22" s="103">
        <v>-97.1</v>
      </c>
    </row>
    <row r="23" spans="1:17" x14ac:dyDescent="0.45">
      <c r="A23" s="52" t="s">
        <v>177</v>
      </c>
      <c r="B23" s="136">
        <f>IF($B$15-B$14=0,0,C23/($B$15-B$14))</f>
        <v>8591.5662650602408</v>
      </c>
      <c r="C23" s="137">
        <v>713100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 t="shared" si="2"/>
        <v>-26.642105263157902</v>
      </c>
      <c r="P23" s="115">
        <v>19</v>
      </c>
      <c r="Q23" s="103">
        <v>-506.2000000000001</v>
      </c>
    </row>
    <row r="24" spans="1:17" x14ac:dyDescent="0.45">
      <c r="A24" s="52" t="s">
        <v>178</v>
      </c>
      <c r="B24" s="136">
        <f>IF(B$14=0,0,C24/B$14)</f>
        <v>7221.5686274509808</v>
      </c>
      <c r="C24" s="137">
        <v>368300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-8323.9130434782601</v>
      </c>
      <c r="C25" s="137">
        <v>-765800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5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5.8027079303675051E-3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8.9552238805970144E-2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26</v>
      </c>
      <c r="C33" s="37">
        <f t="shared" ref="C33:C44" si="3">IF(B$15=0,0,B33/B$15)</f>
        <v>0.19402985074626866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27</v>
      </c>
      <c r="C34" s="37">
        <f>IF(B$15=0,0,B34/B$15)</f>
        <v>0.20149253731343283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21</v>
      </c>
      <c r="C35" s="37">
        <f t="shared" si="3"/>
        <v>0.15671641791044777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19</v>
      </c>
      <c r="C36" s="37">
        <f t="shared" si="3"/>
        <v>0.1417910447761194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11</v>
      </c>
      <c r="C37" s="37">
        <f t="shared" si="3"/>
        <v>8.2089552238805971E-2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3"/>
        <v>7.4626865671641784E-2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3.7313432835820892E-2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7.462686567164179E-3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1.4925373134328358E-2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</sheetData>
  <sortState xmlns:xlrd2="http://schemas.microsoft.com/office/spreadsheetml/2017/richdata2" ref="E2:I6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6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0.54761904761904767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-2923.0769230769229</v>
      </c>
      <c r="P2" s="114">
        <v>13</v>
      </c>
      <c r="Q2" s="98">
        <v>-38000</v>
      </c>
    </row>
    <row r="3" spans="1:17" x14ac:dyDescent="0.45">
      <c r="A3" s="51" t="s">
        <v>8</v>
      </c>
      <c r="B3" s="156">
        <v>118</v>
      </c>
      <c r="C3" s="157"/>
      <c r="E3" s="59" t="s">
        <v>66</v>
      </c>
      <c r="F3" s="56" t="s">
        <v>22</v>
      </c>
      <c r="G3" s="44">
        <v>22</v>
      </c>
      <c r="H3" s="129">
        <f>IF(B$15=0,0,G3/B$15)</f>
        <v>0.52380952380952384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-430.76923076923077</v>
      </c>
      <c r="P3" s="115">
        <v>13</v>
      </c>
      <c r="Q3" s="99">
        <v>-5600</v>
      </c>
    </row>
    <row r="4" spans="1:17" x14ac:dyDescent="0.45">
      <c r="A4" s="51" t="s">
        <v>6</v>
      </c>
      <c r="B4" s="158">
        <v>-47.6</v>
      </c>
      <c r="C4" s="159"/>
      <c r="E4" s="59" t="s">
        <v>72</v>
      </c>
      <c r="F4" s="56" t="s">
        <v>27</v>
      </c>
      <c r="G4" s="44">
        <v>20</v>
      </c>
      <c r="H4" s="129">
        <f>IF(B$15=0,0,G4/B$15)</f>
        <v>0.47619047619047616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-2992.3076923076924</v>
      </c>
      <c r="P4" s="115">
        <v>13</v>
      </c>
      <c r="Q4" s="99">
        <v>-38900</v>
      </c>
    </row>
    <row r="5" spans="1:17" x14ac:dyDescent="0.45">
      <c r="A5" s="51" t="s">
        <v>7</v>
      </c>
      <c r="B5" s="160">
        <f>IF(B$2=0,0,B$4/B$2)</f>
        <v>-3.6615384615384619</v>
      </c>
      <c r="C5" s="161"/>
      <c r="E5" s="59" t="s">
        <v>68</v>
      </c>
      <c r="F5" s="56" t="s">
        <v>12</v>
      </c>
      <c r="G5" s="44">
        <v>16</v>
      </c>
      <c r="H5" s="129">
        <f>IF(B$15=0,0,G5/B$15)</f>
        <v>0.38095238095238093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623.07692307692309</v>
      </c>
      <c r="P5" s="115">
        <v>13</v>
      </c>
      <c r="Q5" s="99">
        <v>8100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0.30952380952380953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-827.27272727272725</v>
      </c>
      <c r="P6" s="115">
        <v>11</v>
      </c>
      <c r="Q6" s="99">
        <v>-9100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0.38461538461538464</v>
      </c>
      <c r="E7" s="59" t="s">
        <v>166</v>
      </c>
      <c r="F7" s="56" t="s">
        <v>167</v>
      </c>
      <c r="G7" s="44">
        <v>11</v>
      </c>
      <c r="H7" s="129">
        <f>IF(B$15=0,0,G7/B$15)</f>
        <v>0.26190476190476192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5">
      <c r="A8" s="51" t="s">
        <v>3</v>
      </c>
      <c r="B8" s="44">
        <v>3</v>
      </c>
      <c r="C8" s="37">
        <f t="shared" si="1"/>
        <v>0.23076923076923078</v>
      </c>
      <c r="E8" s="59" t="s">
        <v>65</v>
      </c>
      <c r="F8" s="56" t="s">
        <v>21</v>
      </c>
      <c r="G8" s="44">
        <v>7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0.38461538461538464</v>
      </c>
      <c r="E9" s="59" t="s">
        <v>69</v>
      </c>
      <c r="F9" s="56" t="s">
        <v>24</v>
      </c>
      <c r="G9" s="44">
        <v>5</v>
      </c>
      <c r="H9" s="129">
        <f>IF(B$15=0,0,G9/B$15)</f>
        <v>0.11904761904761904</v>
      </c>
      <c r="I9" s="90">
        <v>11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0.23076923076923078</v>
      </c>
      <c r="E10" s="59" t="s">
        <v>70</v>
      </c>
      <c r="F10" s="56" t="s">
        <v>25</v>
      </c>
      <c r="G10" s="44">
        <v>4</v>
      </c>
      <c r="H10" s="129">
        <f>IF(B$15=0,0,G10/B$15)</f>
        <v>9.5238095238095233E-2</v>
      </c>
      <c r="I10" s="90">
        <v>7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5">
      <c r="A11" s="54" t="s">
        <v>121</v>
      </c>
      <c r="B11" s="47">
        <v>36</v>
      </c>
      <c r="C11" s="42">
        <f>IF(B$3=0,0,B11/B$3)</f>
        <v>0.30508474576271188</v>
      </c>
      <c r="E11" s="59" t="s">
        <v>89</v>
      </c>
      <c r="F11" s="56" t="s">
        <v>44</v>
      </c>
      <c r="G11" s="44">
        <v>3</v>
      </c>
      <c r="H11" s="129">
        <f>IF(B$15=0,0,G11/B$15)</f>
        <v>7.1428571428571425E-2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5">
      <c r="A12" s="51" t="s">
        <v>118</v>
      </c>
      <c r="B12" s="44">
        <v>15</v>
      </c>
      <c r="C12" s="37">
        <f>IF(B$3=0,0,B12/B$3)</f>
        <v>0.1271186440677966</v>
      </c>
      <c r="E12" s="59" t="s">
        <v>83</v>
      </c>
      <c r="F12" s="56" t="s">
        <v>38</v>
      </c>
      <c r="G12" s="44">
        <v>2</v>
      </c>
      <c r="H12" s="129">
        <f>IF(B$15=0,0,G12/B$15)</f>
        <v>4.7619047619047616E-2</v>
      </c>
      <c r="I12" s="90">
        <v>9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5">
      <c r="A13" s="50" t="s">
        <v>123</v>
      </c>
      <c r="B13" s="43">
        <f>B19</f>
        <v>22</v>
      </c>
      <c r="C13" s="35">
        <f>IF(B$11=0,0,B13/B$11)</f>
        <v>0.61111111111111116</v>
      </c>
      <c r="E13" s="59" t="s">
        <v>85</v>
      </c>
      <c r="F13" s="56" t="s">
        <v>40</v>
      </c>
      <c r="G13" s="44">
        <v>2</v>
      </c>
      <c r="H13" s="129">
        <f>IF(B$15=0,0,G13/B$15)</f>
        <v>4.7619047619047616E-2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</v>
      </c>
      <c r="C14" s="35">
        <f>IF(B$12=0,0,B14/B$12)</f>
        <v>0.73333333333333328</v>
      </c>
      <c r="E14" s="59" t="s">
        <v>71</v>
      </c>
      <c r="F14" s="56" t="s">
        <v>26</v>
      </c>
      <c r="G14" s="44">
        <v>1</v>
      </c>
      <c r="H14" s="129">
        <f>IF(B$15=0,0,G14/B$15)</f>
        <v>2.3809523809523808E-2</v>
      </c>
      <c r="I14" s="90">
        <v>13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42</v>
      </c>
      <c r="C15" s="35">
        <f>IF(B$3=0,0,B15/B$3)</f>
        <v>0.3559322033898305</v>
      </c>
      <c r="E15" s="59" t="s">
        <v>75</v>
      </c>
      <c r="F15" s="56" t="s">
        <v>30</v>
      </c>
      <c r="G15" s="44">
        <v>1</v>
      </c>
      <c r="H15" s="129">
        <f>IF(B$15=0,0,G15/B$15)</f>
        <v>2.3809523809523808E-2</v>
      </c>
      <c r="I15" s="90">
        <v>1</v>
      </c>
      <c r="K15" s="36">
        <v>13</v>
      </c>
      <c r="L15" s="95">
        <v>-47.6</v>
      </c>
      <c r="N15" s="110" t="s">
        <v>196</v>
      </c>
      <c r="O15" s="120">
        <f t="shared" ref="O15:O22" si="2"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20</v>
      </c>
      <c r="C16" s="37">
        <f>IF(B$3=0,0,B16/B$3)</f>
        <v>0.16949152542372881</v>
      </c>
      <c r="E16" s="59" t="s">
        <v>79</v>
      </c>
      <c r="F16" s="56" t="s">
        <v>34</v>
      </c>
      <c r="G16" s="44">
        <v>1</v>
      </c>
      <c r="H16" s="129">
        <f>IF(B$15=0,0,G16/B$15)</f>
        <v>2.3809523809523808E-2</v>
      </c>
      <c r="I16" s="90">
        <v>2</v>
      </c>
      <c r="N16" s="111" t="s">
        <v>171</v>
      </c>
      <c r="O16" s="121">
        <f t="shared" si="2"/>
        <v>38.25</v>
      </c>
      <c r="P16" s="115">
        <v>2</v>
      </c>
      <c r="Q16" s="103">
        <v>76.5</v>
      </c>
    </row>
    <row r="17" spans="1:17" x14ac:dyDescent="0.45">
      <c r="A17" s="51" t="s">
        <v>12</v>
      </c>
      <c r="B17" s="44">
        <v>21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2.3809523809523808E-2</v>
      </c>
      <c r="I17" s="90">
        <v>11</v>
      </c>
      <c r="N17" s="111" t="s">
        <v>172</v>
      </c>
      <c r="O17" s="121">
        <f t="shared" si="2"/>
        <v>19.249999999999996</v>
      </c>
      <c r="P17" s="115">
        <v>4</v>
      </c>
      <c r="Q17" s="103">
        <v>76.999999999999986</v>
      </c>
    </row>
    <row r="18" spans="1:17" x14ac:dyDescent="0.45">
      <c r="A18" s="51" t="s">
        <v>11</v>
      </c>
      <c r="B18" s="44">
        <v>21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22</v>
      </c>
      <c r="C19" s="37">
        <f>IF(B$15=0,0,B19/B$15)</f>
        <v>0.52380952380952384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 t="shared" si="2"/>
        <v>-0.39999999999999858</v>
      </c>
      <c r="P19" s="115">
        <v>4</v>
      </c>
      <c r="Q19" s="103">
        <v>-1.5999999999999943</v>
      </c>
    </row>
    <row r="20" spans="1:17" x14ac:dyDescent="0.45">
      <c r="A20" s="51" t="s">
        <v>193</v>
      </c>
      <c r="B20" s="44">
        <v>11</v>
      </c>
      <c r="C20" s="37">
        <f>IF(B$15=0,0,B20/B$15)</f>
        <v>0.26190476190476192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 t="shared" si="2"/>
        <v>-5.4749999999999988</v>
      </c>
      <c r="P20" s="115">
        <v>8</v>
      </c>
      <c r="Q20" s="103">
        <v>-43.79999999999999</v>
      </c>
    </row>
    <row r="21" spans="1:17" x14ac:dyDescent="0.45">
      <c r="A21" s="51" t="s">
        <v>194</v>
      </c>
      <c r="B21" s="44">
        <v>9</v>
      </c>
      <c r="C21" s="37">
        <f>IF(B$15=0,0,B21/B$15)</f>
        <v>0.21428571428571427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-49.766666666666659</v>
      </c>
      <c r="P21" s="115">
        <v>3</v>
      </c>
      <c r="Q21" s="103">
        <v>-149.29999999999998</v>
      </c>
    </row>
    <row r="22" spans="1:17" x14ac:dyDescent="0.45">
      <c r="A22" s="51" t="s">
        <v>5</v>
      </c>
      <c r="B22" s="48">
        <f>IF(B$15=0,0,C22/B$15)</f>
        <v>6407.1428571428569</v>
      </c>
      <c r="C22" s="39">
        <v>269100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6983.8709677419356</v>
      </c>
      <c r="C23" s="137">
        <v>216500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4781.818181818182</v>
      </c>
      <c r="C24" s="137">
        <v>52600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-8205</v>
      </c>
      <c r="C25" s="137">
        <v>-164100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8.4745762711864406E-3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5</v>
      </c>
      <c r="C32" s="141">
        <f>IF(B$15=0,0,B32/B$15)</f>
        <v>0.11904761904761904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12</v>
      </c>
      <c r="C33" s="37">
        <f t="shared" ref="C33:C44" si="3">IF(B$15=0,0,B33/B$15)</f>
        <v>0.2857142857142857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0.14285714285714285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3"/>
        <v>0.21428571428571427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6</v>
      </c>
      <c r="C36" s="37">
        <f t="shared" si="3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2.3809523809523808E-2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3"/>
        <v>4.7619047619047616E-2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2.3809523809523808E-2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4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2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10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5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17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8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29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2020-01-12T15:39:41Z</dcterms:modified>
</cp:coreProperties>
</file>