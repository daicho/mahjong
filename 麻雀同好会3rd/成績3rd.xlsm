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3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4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5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7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8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3A37D0BD-C21D-41ED-AC5A-C6586972C98B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015" r:id="rId6"/>
    <sheet name="たかの" sheetId="6017" r:id="rId7"/>
    <sheet name="だいち" sheetId="6019" r:id="rId8"/>
    <sheet name="ただ" sheetId="6021" r:id="rId9"/>
    <sheet name="りくと" sheetId="6023" r:id="rId10"/>
    <sheet name="れんたろう" sheetId="6025" r:id="rId11"/>
    <sheet name="まっつん" sheetId="6027" r:id="rId12"/>
    <sheet name="のり" sheetId="6029" r:id="rId13"/>
    <sheet name="ぱぱ" sheetId="6031" r:id="rId14"/>
    <sheet name="ほたに" sheetId="6033" r:id="rId15"/>
    <sheet name="いっしー" sheetId="6035" r:id="rId16"/>
    <sheet name="いっしー2" sheetId="6036" state="hidden" r:id="rId17"/>
    <sheet name="ほたに2" sheetId="6034" state="hidden" r:id="rId18"/>
    <sheet name="ぱぱ2" sheetId="6032" state="hidden" r:id="rId19"/>
    <sheet name="のり2" sheetId="6030" state="hidden" r:id="rId20"/>
    <sheet name="まっつん2" sheetId="6028" state="hidden" r:id="rId21"/>
    <sheet name="れんたろう2" sheetId="6026" state="hidden" r:id="rId22"/>
    <sheet name="りくと2" sheetId="6024" state="hidden" r:id="rId23"/>
    <sheet name="ただ2" sheetId="6022" state="hidden" r:id="rId24"/>
    <sheet name="だいち2" sheetId="6020" state="hidden" r:id="rId25"/>
    <sheet name="たかの2" sheetId="6018" state="hidden" r:id="rId26"/>
    <sheet name="全体2" sheetId="601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15">いっしー!$B$15</definedName>
    <definedName name="アガリ数" localSheetId="7">だいち!$B$15</definedName>
    <definedName name="アガリ数" localSheetId="6">たかの!$B$15</definedName>
    <definedName name="アガリ数" localSheetId="8">ただ!$B$15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6">たかの!$C$15</definedName>
    <definedName name="アガリ率" localSheetId="8">ただ!$C$15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6">たかの!$B$21</definedName>
    <definedName name="ダマアガリ数" localSheetId="8">ただ!$B$21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16">Template1!#REF!</definedName>
    <definedName name="ダマアガリ点" localSheetId="7">だいち!#REF!</definedName>
    <definedName name="ダマアガリ点" localSheetId="24">Template1!#REF!</definedName>
    <definedName name="ダマアガリ点" localSheetId="6">たかの!#REF!</definedName>
    <definedName name="ダマアガリ点" localSheetId="25">Template1!#REF!</definedName>
    <definedName name="ダマアガリ点" localSheetId="8">ただ!#REF!</definedName>
    <definedName name="ダマアガリ点" localSheetId="23">Template1!#REF!</definedName>
    <definedName name="ダマアガリ点" localSheetId="12">のり!#REF!</definedName>
    <definedName name="ダマアガリ点" localSheetId="19">Template1!#REF!</definedName>
    <definedName name="ダマアガリ点" localSheetId="13">ぱぱ!#REF!</definedName>
    <definedName name="ダマアガリ点" localSheetId="18">Template1!#REF!</definedName>
    <definedName name="ダマアガリ点" localSheetId="14">ほたに!#REF!</definedName>
    <definedName name="ダマアガリ点" localSheetId="17">Template1!#REF!</definedName>
    <definedName name="ダマアガリ点" localSheetId="11">まっつん!#REF!</definedName>
    <definedName name="ダマアガリ点" localSheetId="20">Template1!#REF!</definedName>
    <definedName name="ダマアガリ点" localSheetId="9">りくと!#REF!</definedName>
    <definedName name="ダマアガリ点" localSheetId="22">Template1!#REF!</definedName>
    <definedName name="ダマアガリ点" localSheetId="10">れんたろう!#REF!</definedName>
    <definedName name="ダマアガリ点" localSheetId="21">Template1!#REF!</definedName>
    <definedName name="ダマアガリ点" localSheetId="5">全体!#REF!</definedName>
    <definedName name="ダマアガリ点" localSheetId="26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6">たかの!$C$21</definedName>
    <definedName name="ダマアガリ率" localSheetId="8">ただ!$C$21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6">たかの!$B$30</definedName>
    <definedName name="チョンボ数" localSheetId="8">ただ!$B$30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6">たかの!$C$30</definedName>
    <definedName name="チョンボ率" localSheetId="8">ただ!$C$30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6">たかの!$B$17</definedName>
    <definedName name="ツモ数" localSheetId="8">ただ!$B$17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6">たかの!$C$17</definedName>
    <definedName name="ツモ率" localSheetId="8">ただ!$C$17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16">Template1!#REF!</definedName>
    <definedName name="ふっとばし数" localSheetId="7">だいち!#REF!</definedName>
    <definedName name="ふっとばし数" localSheetId="24">Template1!#REF!</definedName>
    <definedName name="ふっとばし数" localSheetId="6">たかの!#REF!</definedName>
    <definedName name="ふっとばし数" localSheetId="25">Template1!#REF!</definedName>
    <definedName name="ふっとばし数" localSheetId="8">ただ!#REF!</definedName>
    <definedName name="ふっとばし数" localSheetId="23">Template1!#REF!</definedName>
    <definedName name="ふっとばし数" localSheetId="12">のり!#REF!</definedName>
    <definedName name="ふっとばし数" localSheetId="19">Template1!#REF!</definedName>
    <definedName name="ふっとばし数" localSheetId="13">ぱぱ!#REF!</definedName>
    <definedName name="ふっとばし数" localSheetId="18">Template1!#REF!</definedName>
    <definedName name="ふっとばし数" localSheetId="14">ほたに!#REF!</definedName>
    <definedName name="ふっとばし数" localSheetId="17">Template1!#REF!</definedName>
    <definedName name="ふっとばし数" localSheetId="11">まっつん!#REF!</definedName>
    <definedName name="ふっとばし数" localSheetId="20">Template1!#REF!</definedName>
    <definedName name="ふっとばし数" localSheetId="9">りくと!#REF!</definedName>
    <definedName name="ふっとばし数" localSheetId="22">Template1!#REF!</definedName>
    <definedName name="ふっとばし数" localSheetId="10">れんたろう!#REF!</definedName>
    <definedName name="ふっとばし数" localSheetId="21">Template1!#REF!</definedName>
    <definedName name="ふっとばし数" localSheetId="5">全体!#REF!</definedName>
    <definedName name="ふっとばし数" localSheetId="26">Template1!#REF!</definedName>
    <definedName name="ふっとばし数">Template1!#REF!</definedName>
    <definedName name="ふっとばし率" localSheetId="15">いっしー!#REF!</definedName>
    <definedName name="ふっとばし率" localSheetId="16">Template1!#REF!</definedName>
    <definedName name="ふっとばし率" localSheetId="7">だいち!#REF!</definedName>
    <definedName name="ふっとばし率" localSheetId="24">Template1!#REF!</definedName>
    <definedName name="ふっとばし率" localSheetId="6">たかの!#REF!</definedName>
    <definedName name="ふっとばし率" localSheetId="25">Template1!#REF!</definedName>
    <definedName name="ふっとばし率" localSheetId="8">ただ!#REF!</definedName>
    <definedName name="ふっとばし率" localSheetId="23">Template1!#REF!</definedName>
    <definedName name="ふっとばし率" localSheetId="12">のり!#REF!</definedName>
    <definedName name="ふっとばし率" localSheetId="19">Template1!#REF!</definedName>
    <definedName name="ふっとばし率" localSheetId="13">ぱぱ!#REF!</definedName>
    <definedName name="ふっとばし率" localSheetId="18">Template1!#REF!</definedName>
    <definedName name="ふっとばし率" localSheetId="14">ほたに!#REF!</definedName>
    <definedName name="ふっとばし率" localSheetId="17">Template1!#REF!</definedName>
    <definedName name="ふっとばし率" localSheetId="11">まっつん!#REF!</definedName>
    <definedName name="ふっとばし率" localSheetId="20">Template1!#REF!</definedName>
    <definedName name="ふっとばし率" localSheetId="9">りくと!#REF!</definedName>
    <definedName name="ふっとばし率" localSheetId="22">Template1!#REF!</definedName>
    <definedName name="ふっとばし率" localSheetId="10">れんたろう!#REF!</definedName>
    <definedName name="ふっとばし率" localSheetId="21">Template1!#REF!</definedName>
    <definedName name="ふっとばし率" localSheetId="5">全体!#REF!</definedName>
    <definedName name="ふっとばし率" localSheetId="26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6">たかの!$B$19</definedName>
    <definedName name="リーチアガリ数" localSheetId="8">ただ!$B$19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6">たかの!$C$19</definedName>
    <definedName name="リーチアガリ率" localSheetId="8">ただ!$C$19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6">たかの!$B$11</definedName>
    <definedName name="リーチ数" localSheetId="8">ただ!$B$11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6">たかの!$B$13</definedName>
    <definedName name="リーチ成功数" localSheetId="8">ただ!$B$13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6">たかの!$C$13</definedName>
    <definedName name="リーチ成功率" localSheetId="8">ただ!$C$13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6">たかの!$C$11</definedName>
    <definedName name="リーチ率" localSheetId="8">ただ!$C$11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6">たかの!$B$18</definedName>
    <definedName name="ロン数" localSheetId="8">ただ!$B$18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6">たかの!$C$18</definedName>
    <definedName name="ロン率" localSheetId="8">ただ!$C$18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16">Template1!#REF!</definedName>
    <definedName name="逆転数" localSheetId="7">だいち!#REF!</definedName>
    <definedName name="逆転数" localSheetId="24">Template1!#REF!</definedName>
    <definedName name="逆転数" localSheetId="6">たかの!#REF!</definedName>
    <definedName name="逆転数" localSheetId="25">Template1!#REF!</definedName>
    <definedName name="逆転数" localSheetId="8">ただ!#REF!</definedName>
    <definedName name="逆転数" localSheetId="23">Template1!#REF!</definedName>
    <definedName name="逆転数" localSheetId="12">のり!#REF!</definedName>
    <definedName name="逆転数" localSheetId="19">Template1!#REF!</definedName>
    <definedName name="逆転数" localSheetId="13">ぱぱ!#REF!</definedName>
    <definedName name="逆転数" localSheetId="18">Template1!#REF!</definedName>
    <definedName name="逆転数" localSheetId="14">ほたに!#REF!</definedName>
    <definedName name="逆転数" localSheetId="17">Template1!#REF!</definedName>
    <definedName name="逆転数" localSheetId="11">まっつん!#REF!</definedName>
    <definedName name="逆転数" localSheetId="20">Template1!#REF!</definedName>
    <definedName name="逆転数" localSheetId="9">りくと!#REF!</definedName>
    <definedName name="逆転数" localSheetId="22">Template1!#REF!</definedName>
    <definedName name="逆転数" localSheetId="10">れんたろう!#REF!</definedName>
    <definedName name="逆転数" localSheetId="21">Template1!#REF!</definedName>
    <definedName name="逆転数" localSheetId="5">全体!#REF!</definedName>
    <definedName name="逆転数" localSheetId="26">Template1!#REF!</definedName>
    <definedName name="逆転数">Template1!#REF!</definedName>
    <definedName name="逆転率" localSheetId="15">いっしー!#REF!</definedName>
    <definedName name="逆転率" localSheetId="16">Template1!#REF!</definedName>
    <definedName name="逆転率" localSheetId="7">だいち!#REF!</definedName>
    <definedName name="逆転率" localSheetId="24">Template1!#REF!</definedName>
    <definedName name="逆転率" localSheetId="6">たかの!#REF!</definedName>
    <definedName name="逆転率" localSheetId="25">Template1!#REF!</definedName>
    <definedName name="逆転率" localSheetId="8">ただ!#REF!</definedName>
    <definedName name="逆転率" localSheetId="23">Template1!#REF!</definedName>
    <definedName name="逆転率" localSheetId="12">のり!#REF!</definedName>
    <definedName name="逆転率" localSheetId="19">Template1!#REF!</definedName>
    <definedName name="逆転率" localSheetId="13">ぱぱ!#REF!</definedName>
    <definedName name="逆転率" localSheetId="18">Template1!#REF!</definedName>
    <definedName name="逆転率" localSheetId="14">ほたに!#REF!</definedName>
    <definedName name="逆転率" localSheetId="17">Template1!#REF!</definedName>
    <definedName name="逆転率" localSheetId="11">まっつん!#REF!</definedName>
    <definedName name="逆転率" localSheetId="20">Template1!#REF!</definedName>
    <definedName name="逆転率" localSheetId="9">りくと!#REF!</definedName>
    <definedName name="逆転率" localSheetId="22">Template1!#REF!</definedName>
    <definedName name="逆転率" localSheetId="10">れんたろう!#REF!</definedName>
    <definedName name="逆転率" localSheetId="21">Template1!#REF!</definedName>
    <definedName name="逆転率" localSheetId="5">全体!#REF!</definedName>
    <definedName name="逆転率" localSheetId="26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6">たかの!$C$26</definedName>
    <definedName name="現行連続アガリ" localSheetId="8">ただ!$C$26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6">たかの!$C$27</definedName>
    <definedName name="現行連続無放銃" localSheetId="8">ただ!$C$27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6">たかの!$B$29</definedName>
    <definedName name="最高点" localSheetId="8">ただ!$B$29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6">たかの!$B$28</definedName>
    <definedName name="最大ドラ数" localSheetId="8">ただ!$B$28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6">たかの!$B$29</definedName>
    <definedName name="最大点数" localSheetId="8">ただ!$B$29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6">たかの!$C$22</definedName>
    <definedName name="通算アガリ点" localSheetId="8">ただ!$C$22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6">たかの!$C$24</definedName>
    <definedName name="通算副露アガリ点" localSheetId="8">ただ!$C$24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6">たかの!$C$25</definedName>
    <definedName name="通算放銃点" localSheetId="8">ただ!$C$25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6">たかの!$C$23</definedName>
    <definedName name="通算門前アガリ点" localSheetId="8">ただ!$C$23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6">たかの!$B$8</definedName>
    <definedName name="二位数" localSheetId="8">ただ!$B$8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6">たかの!$C$8</definedName>
    <definedName name="二位率" localSheetId="8">ただ!$C$8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6">たかの!$B$20</definedName>
    <definedName name="副露アガリ数" localSheetId="8">ただ!$B$20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6">たかの!$B$24</definedName>
    <definedName name="副露アガリ点" localSheetId="8">ただ!$B$24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6">たかの!$C$20</definedName>
    <definedName name="副露アガリ率" localSheetId="8">ただ!$C$20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6">たかの!$B$12</definedName>
    <definedName name="副露数" localSheetId="8">ただ!$B$12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6">たかの!$B$14</definedName>
    <definedName name="副露成功数" localSheetId="8">ただ!$B$14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6">たかの!$C$14</definedName>
    <definedName name="副露成功率" localSheetId="8">ただ!$C$14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6">たかの!$C$12</definedName>
    <definedName name="副露率" localSheetId="8">ただ!$C$12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6">たかの!$B$22</definedName>
    <definedName name="平均アガリ点" localSheetId="8">ただ!$B$22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6">たかの!$B$25</definedName>
    <definedName name="平均放銃点" localSheetId="8">ただ!$B$25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6">たかの!$B$16</definedName>
    <definedName name="放銃数" localSheetId="8">ただ!$B$16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6">たかの!$C$16</definedName>
    <definedName name="放銃率" localSheetId="8">ただ!$C$16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6">たかの!$B$1</definedName>
    <definedName name="名前" localSheetId="8">ただ!$B$1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6">たかの!$B$23</definedName>
    <definedName name="門前アガリ点" localSheetId="8">ただ!$B$23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6">たかの!$B$26</definedName>
    <definedName name="連続アガリ" localSheetId="8">ただ!$B$26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6">たかの!$B$27</definedName>
    <definedName name="連続無放銃" localSheetId="8">ただ!$B$27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6027" l="1"/>
  <c r="O17" i="6035"/>
  <c r="O22" i="6019"/>
  <c r="O16" i="6035"/>
  <c r="O15" i="6035"/>
  <c r="C30" i="6035"/>
  <c r="B25" i="6035"/>
  <c r="C16" i="6035"/>
  <c r="B15" i="6035"/>
  <c r="H50" i="6035" s="1"/>
  <c r="B14" i="6035"/>
  <c r="B24" i="6035" s="1"/>
  <c r="B13" i="6035"/>
  <c r="C13" i="6035" s="1"/>
  <c r="O12" i="6035"/>
  <c r="C12" i="6035"/>
  <c r="O11" i="6035"/>
  <c r="C11" i="6035"/>
  <c r="O10" i="6035"/>
  <c r="C10" i="6035"/>
  <c r="C9" i="6035"/>
  <c r="C8" i="6035"/>
  <c r="O7" i="6035"/>
  <c r="C7" i="6035"/>
  <c r="O6" i="6035"/>
  <c r="B6" i="6035"/>
  <c r="O5" i="6035"/>
  <c r="B5" i="6035"/>
  <c r="O4" i="6035"/>
  <c r="O3" i="6035"/>
  <c r="O2" i="6035"/>
  <c r="O17" i="6029"/>
  <c r="O24" i="6015"/>
  <c r="H34" i="6035" l="1"/>
  <c r="H6" i="6035"/>
  <c r="C19" i="6035"/>
  <c r="H9" i="6035"/>
  <c r="H27" i="6035"/>
  <c r="H17" i="6035"/>
  <c r="H39" i="6035"/>
  <c r="C14" i="6035"/>
  <c r="C44" i="6035"/>
  <c r="H22" i="6035"/>
  <c r="C15" i="6035"/>
  <c r="H47" i="6035"/>
  <c r="H28" i="6035"/>
  <c r="H40" i="6035"/>
  <c r="H15" i="6035"/>
  <c r="H35" i="6035"/>
  <c r="H18" i="6035"/>
  <c r="H36" i="6035"/>
  <c r="H41" i="6035"/>
  <c r="H48" i="6035"/>
  <c r="H12" i="6035"/>
  <c r="H49" i="6035"/>
  <c r="C40" i="6035"/>
  <c r="H3" i="6035"/>
  <c r="H2" i="6035"/>
  <c r="H8" i="6035"/>
  <c r="H42" i="6035"/>
  <c r="H13" i="6035"/>
  <c r="H32" i="6035"/>
  <c r="H51" i="6035"/>
  <c r="C34" i="6035"/>
  <c r="H7" i="6035"/>
  <c r="C20" i="6035"/>
  <c r="C21" i="6035"/>
  <c r="C17" i="6035"/>
  <c r="B22" i="6035"/>
  <c r="H37" i="6035"/>
  <c r="C42" i="6035"/>
  <c r="H25" i="6035"/>
  <c r="H38" i="6035"/>
  <c r="H43" i="6035"/>
  <c r="H11" i="6035"/>
  <c r="H45" i="6035"/>
  <c r="H10" i="6035"/>
  <c r="H29" i="6035"/>
  <c r="H30" i="6035"/>
  <c r="C36" i="6035"/>
  <c r="H20" i="6035"/>
  <c r="C32" i="6035"/>
  <c r="H4" i="6035"/>
  <c r="H14" i="6035"/>
  <c r="C18" i="6035"/>
  <c r="H33" i="6035"/>
  <c r="C38" i="6035"/>
  <c r="H44" i="6035"/>
  <c r="H52" i="6035"/>
  <c r="H21" i="6035"/>
  <c r="H24" i="6035"/>
  <c r="H5" i="6035"/>
  <c r="C33" i="6035"/>
  <c r="C37" i="6035"/>
  <c r="C41" i="6035"/>
  <c r="H46" i="6035"/>
  <c r="B23" i="6035"/>
  <c r="H16" i="6035"/>
  <c r="H19" i="6035"/>
  <c r="H23" i="6035"/>
  <c r="H26" i="6035"/>
  <c r="H31" i="6035"/>
  <c r="C35" i="6035"/>
  <c r="C39" i="6035"/>
  <c r="C43" i="6035"/>
  <c r="O21" i="6017" l="1"/>
  <c r="O16" i="6025"/>
  <c r="O15" i="6025" l="1"/>
  <c r="O19" i="6033"/>
  <c r="O15" i="6023" l="1"/>
  <c r="O21" i="6029"/>
  <c r="O16" i="6033" l="1"/>
  <c r="O22" i="6023"/>
  <c r="O20" i="6017" l="1"/>
  <c r="O16" i="6019"/>
  <c r="O15" i="6029"/>
  <c r="O18" i="6029"/>
  <c r="O19" i="6027" l="1"/>
  <c r="O18" i="6031"/>
  <c r="O16" i="6021" l="1"/>
  <c r="O17" i="6027"/>
  <c r="O19" i="6029"/>
  <c r="O20" i="6029"/>
  <c r="O15" i="6017" l="1"/>
  <c r="O17" i="6031"/>
  <c r="O19" i="6031"/>
  <c r="O18" i="6023"/>
  <c r="O19" i="6021" l="1"/>
  <c r="O21" i="6025"/>
  <c r="O19" i="6025" l="1"/>
  <c r="O21" i="6019"/>
  <c r="O23" i="6029"/>
  <c r="O17" i="6033"/>
  <c r="O15" i="6033"/>
  <c r="O21" i="6031"/>
  <c r="O15" i="6021" l="1"/>
  <c r="O21" i="6021"/>
  <c r="O18" i="6033"/>
  <c r="O20" i="6033"/>
  <c r="C44" i="6033"/>
  <c r="C30" i="6033"/>
  <c r="B25" i="6033"/>
  <c r="C16" i="6033"/>
  <c r="B15" i="6033"/>
  <c r="H50" i="6033" s="1"/>
  <c r="H19" i="6033"/>
  <c r="B14" i="6033"/>
  <c r="B24" i="6033" s="1"/>
  <c r="B13" i="6033"/>
  <c r="C13" i="6033" s="1"/>
  <c r="O12" i="6033"/>
  <c r="C12" i="6033"/>
  <c r="O11" i="6033"/>
  <c r="C11" i="6033"/>
  <c r="O10" i="6033"/>
  <c r="C10" i="6033"/>
  <c r="C9" i="6033"/>
  <c r="C8" i="6033"/>
  <c r="O7" i="6033"/>
  <c r="C7" i="6033"/>
  <c r="O6" i="6033"/>
  <c r="B6" i="6033"/>
  <c r="O5" i="6033"/>
  <c r="B5" i="6033"/>
  <c r="O4" i="6033"/>
  <c r="O3" i="6033"/>
  <c r="O2" i="6033"/>
  <c r="O21" i="6027"/>
  <c r="O15" i="6027"/>
  <c r="O15" i="6015"/>
  <c r="H3" i="6033" l="1"/>
  <c r="C14" i="6033"/>
  <c r="C19" i="6033"/>
  <c r="H27" i="6033"/>
  <c r="H11" i="6033"/>
  <c r="H23" i="6033"/>
  <c r="H34" i="6033"/>
  <c r="H45" i="6033"/>
  <c r="H8" i="6033"/>
  <c r="H17" i="6033"/>
  <c r="H29" i="6033"/>
  <c r="H47" i="6033"/>
  <c r="C21" i="6033"/>
  <c r="H48" i="6033"/>
  <c r="H41" i="6033"/>
  <c r="H28" i="6033"/>
  <c r="H7" i="6033"/>
  <c r="H12" i="6033"/>
  <c r="H30" i="6033"/>
  <c r="H37" i="6033"/>
  <c r="C34" i="6033"/>
  <c r="C20" i="6033"/>
  <c r="H5" i="6033"/>
  <c r="H14" i="6033"/>
  <c r="C36" i="6033"/>
  <c r="H42" i="6033"/>
  <c r="H49" i="6033"/>
  <c r="H10" i="6033"/>
  <c r="C17" i="6033"/>
  <c r="B22" i="6033"/>
  <c r="H32" i="6033"/>
  <c r="C42" i="6033"/>
  <c r="H51" i="6033"/>
  <c r="H13" i="6033"/>
  <c r="H26" i="6033"/>
  <c r="C32" i="6033"/>
  <c r="H38" i="6033"/>
  <c r="H43" i="6033"/>
  <c r="H6" i="6033"/>
  <c r="H39" i="6033"/>
  <c r="H40" i="6033"/>
  <c r="C15" i="6033"/>
  <c r="H35" i="6033"/>
  <c r="C40" i="6033"/>
  <c r="H20" i="6033"/>
  <c r="H36" i="6033"/>
  <c r="H2" i="6033"/>
  <c r="H4" i="6033"/>
  <c r="H16" i="6033"/>
  <c r="C18" i="6033"/>
  <c r="H33" i="6033"/>
  <c r="C38" i="6033"/>
  <c r="H44" i="6033"/>
  <c r="H52" i="6033"/>
  <c r="H22" i="6033"/>
  <c r="H25" i="6033"/>
  <c r="H9" i="6033"/>
  <c r="C33" i="6033"/>
  <c r="C37" i="6033"/>
  <c r="C41" i="6033"/>
  <c r="H46" i="6033"/>
  <c r="B23" i="6033"/>
  <c r="H18" i="6033"/>
  <c r="H21" i="6033"/>
  <c r="H24" i="6033"/>
  <c r="H15" i="6033"/>
  <c r="H31" i="6033"/>
  <c r="C35" i="6033"/>
  <c r="C39" i="6033"/>
  <c r="C43" i="6033"/>
  <c r="O18" i="6019" l="1"/>
  <c r="O20" i="6023"/>
  <c r="O17" i="6019" l="1"/>
  <c r="O20" i="6027"/>
  <c r="O23" i="6027"/>
  <c r="O16" i="6017"/>
  <c r="O17" i="6021"/>
  <c r="O16" i="6023"/>
  <c r="O21" i="6023"/>
  <c r="O19" i="6017"/>
  <c r="O18" i="6021"/>
  <c r="O15" i="6019"/>
  <c r="O20" i="6031"/>
  <c r="O22" i="6031"/>
  <c r="O22" i="6025" l="1"/>
  <c r="O17" i="6025"/>
  <c r="O15" i="6031"/>
  <c r="O16" i="6031"/>
  <c r="C30" i="6031"/>
  <c r="B25" i="6031"/>
  <c r="B24" i="6031"/>
  <c r="C16" i="6031"/>
  <c r="B15" i="6031"/>
  <c r="H20" i="6031" s="1"/>
  <c r="B14" i="6031"/>
  <c r="C14" i="6031" s="1"/>
  <c r="B13" i="6031"/>
  <c r="C13" i="6031" s="1"/>
  <c r="O12" i="6031"/>
  <c r="C12" i="6031"/>
  <c r="O11" i="6031"/>
  <c r="C11" i="6031"/>
  <c r="O10" i="6031"/>
  <c r="C10" i="6031"/>
  <c r="C9" i="6031"/>
  <c r="C8" i="6031"/>
  <c r="O7" i="6031"/>
  <c r="C7" i="6031"/>
  <c r="O6" i="6031"/>
  <c r="B6" i="6031"/>
  <c r="O5" i="6031"/>
  <c r="B5" i="6031"/>
  <c r="O4" i="6031"/>
  <c r="O3" i="6031"/>
  <c r="O2" i="6031"/>
  <c r="O16" i="6015"/>
  <c r="O16" i="6029"/>
  <c r="O22" i="6029"/>
  <c r="C30" i="6029"/>
  <c r="B25" i="6029"/>
  <c r="C16" i="6029"/>
  <c r="B15" i="6029"/>
  <c r="H52" i="6029" s="1"/>
  <c r="B14" i="6029"/>
  <c r="B24" i="6029" s="1"/>
  <c r="B13" i="6029"/>
  <c r="C13" i="6029" s="1"/>
  <c r="O12" i="6029"/>
  <c r="C12" i="6029"/>
  <c r="O11" i="6029"/>
  <c r="C11" i="6029"/>
  <c r="O10" i="6029"/>
  <c r="C10" i="6029"/>
  <c r="C9" i="6029"/>
  <c r="C8" i="6029"/>
  <c r="O7" i="6029"/>
  <c r="C7" i="6029"/>
  <c r="O6" i="6029"/>
  <c r="B6" i="6029"/>
  <c r="O5" i="6029"/>
  <c r="B5" i="6029"/>
  <c r="O4" i="6029"/>
  <c r="O3" i="6029"/>
  <c r="O2" i="6029"/>
  <c r="O20" i="6015"/>
  <c r="H11" i="6029" l="1"/>
  <c r="C14" i="6029"/>
  <c r="B22" i="6031"/>
  <c r="H9" i="6031"/>
  <c r="H15" i="6031"/>
  <c r="H2" i="6031"/>
  <c r="H34" i="6031"/>
  <c r="C36" i="6031"/>
  <c r="H52" i="6031"/>
  <c r="C40" i="6031"/>
  <c r="H29" i="6031"/>
  <c r="H22" i="6031"/>
  <c r="C15" i="6031"/>
  <c r="H42" i="6031"/>
  <c r="C44" i="6031"/>
  <c r="H3" i="6031"/>
  <c r="H11" i="6031"/>
  <c r="H25" i="6031"/>
  <c r="H46" i="6031"/>
  <c r="H23" i="6031"/>
  <c r="H38" i="6031"/>
  <c r="H10" i="6031"/>
  <c r="H19" i="6031"/>
  <c r="H4" i="6031"/>
  <c r="C18" i="6031"/>
  <c r="C32" i="6031"/>
  <c r="H5" i="6031"/>
  <c r="H26" i="6031"/>
  <c r="H28" i="6031"/>
  <c r="H12" i="6031"/>
  <c r="C33" i="6031"/>
  <c r="C37" i="6031"/>
  <c r="C41" i="6031"/>
  <c r="H47" i="6031"/>
  <c r="C19" i="6031"/>
  <c r="B23" i="6031"/>
  <c r="H30" i="6031"/>
  <c r="H35" i="6031"/>
  <c r="H39" i="6031"/>
  <c r="H43" i="6031"/>
  <c r="H48" i="6031"/>
  <c r="H17" i="6031"/>
  <c r="H18" i="6031"/>
  <c r="C34" i="6031"/>
  <c r="C38" i="6031"/>
  <c r="C42" i="6031"/>
  <c r="H49" i="6031"/>
  <c r="H8" i="6031"/>
  <c r="C20" i="6031"/>
  <c r="H36" i="6031"/>
  <c r="H40" i="6031"/>
  <c r="H44" i="6031"/>
  <c r="H50" i="6031"/>
  <c r="H6" i="6031"/>
  <c r="H24" i="6031"/>
  <c r="H31" i="6031"/>
  <c r="H16" i="6031"/>
  <c r="H13" i="6031"/>
  <c r="H27" i="6031"/>
  <c r="H14" i="6031"/>
  <c r="H32" i="6031"/>
  <c r="C35" i="6031"/>
  <c r="C39" i="6031"/>
  <c r="C43" i="6031"/>
  <c r="H51" i="6031"/>
  <c r="H7" i="6031"/>
  <c r="H21" i="6031"/>
  <c r="C17" i="6031"/>
  <c r="C21" i="6031"/>
  <c r="H33" i="6031"/>
  <c r="H37" i="6031"/>
  <c r="H41" i="6031"/>
  <c r="H45" i="6031"/>
  <c r="H6" i="6029"/>
  <c r="H9" i="6029"/>
  <c r="C15" i="6029"/>
  <c r="C37" i="6029"/>
  <c r="B23" i="6029"/>
  <c r="H31" i="6029"/>
  <c r="H19" i="6029"/>
  <c r="H38" i="6029"/>
  <c r="H47" i="6029"/>
  <c r="H2" i="6029"/>
  <c r="H3" i="6029"/>
  <c r="H23" i="6029"/>
  <c r="H15" i="6029"/>
  <c r="H28" i="6029"/>
  <c r="H18" i="6029"/>
  <c r="C34" i="6029"/>
  <c r="C38" i="6029"/>
  <c r="C42" i="6029"/>
  <c r="H48" i="6029"/>
  <c r="C33" i="6029"/>
  <c r="C19" i="6029"/>
  <c r="H42" i="6029"/>
  <c r="H13" i="6029"/>
  <c r="C20" i="6029"/>
  <c r="H35" i="6029"/>
  <c r="H39" i="6029"/>
  <c r="H43" i="6029"/>
  <c r="H49" i="6029"/>
  <c r="H27" i="6029"/>
  <c r="H17" i="6029"/>
  <c r="H26" i="6029"/>
  <c r="H12" i="6029"/>
  <c r="H32" i="6029"/>
  <c r="C35" i="6029"/>
  <c r="C39" i="6029"/>
  <c r="C43" i="6029"/>
  <c r="H50" i="6029"/>
  <c r="H25" i="6029"/>
  <c r="C17" i="6029"/>
  <c r="C21" i="6029"/>
  <c r="H33" i="6029"/>
  <c r="H36" i="6029"/>
  <c r="H40" i="6029"/>
  <c r="H44" i="6029"/>
  <c r="H51" i="6029"/>
  <c r="H16" i="6029"/>
  <c r="C41" i="6029"/>
  <c r="H20" i="6029"/>
  <c r="H4" i="6029"/>
  <c r="H10" i="6029"/>
  <c r="H24" i="6029"/>
  <c r="H14" i="6029"/>
  <c r="H29" i="6029"/>
  <c r="C32" i="6029"/>
  <c r="C36" i="6029"/>
  <c r="C40" i="6029"/>
  <c r="C44" i="6029"/>
  <c r="H5" i="6029"/>
  <c r="H8" i="6029"/>
  <c r="H46" i="6029"/>
  <c r="H21" i="6029"/>
  <c r="H7" i="6029"/>
  <c r="H22" i="6029"/>
  <c r="C18" i="6029"/>
  <c r="B22" i="6029"/>
  <c r="H30" i="6029"/>
  <c r="H34" i="6029"/>
  <c r="H37" i="6029"/>
  <c r="H41" i="6029"/>
  <c r="H45" i="6029"/>
  <c r="O22" i="6027" l="1"/>
  <c r="O18" i="6027"/>
  <c r="C30" i="6027"/>
  <c r="B25" i="6027"/>
  <c r="C16" i="6027"/>
  <c r="B15" i="6027"/>
  <c r="H52" i="6027" s="1"/>
  <c r="B14" i="6027"/>
  <c r="B24" i="6027" s="1"/>
  <c r="B13" i="6027"/>
  <c r="C13" i="6027" s="1"/>
  <c r="O12" i="6027"/>
  <c r="C12" i="6027"/>
  <c r="O11" i="6027"/>
  <c r="C11" i="6027"/>
  <c r="O10" i="6027"/>
  <c r="C10" i="6027"/>
  <c r="C9" i="6027"/>
  <c r="C8" i="6027"/>
  <c r="O7" i="6027"/>
  <c r="C7" i="6027"/>
  <c r="O6" i="6027"/>
  <c r="B6" i="6027"/>
  <c r="O5" i="6027"/>
  <c r="B5" i="6027"/>
  <c r="O4" i="6027"/>
  <c r="O3" i="6027"/>
  <c r="O2" i="6027"/>
  <c r="O20" i="6025"/>
  <c r="O18" i="6025"/>
  <c r="C30" i="6025"/>
  <c r="B25" i="6025"/>
  <c r="C16" i="6025"/>
  <c r="B15" i="6025"/>
  <c r="H52" i="6025" s="1"/>
  <c r="B14" i="6025"/>
  <c r="B24" i="6025" s="1"/>
  <c r="B13" i="6025"/>
  <c r="C13" i="6025" s="1"/>
  <c r="O12" i="6025"/>
  <c r="C12" i="6025"/>
  <c r="O11" i="6025"/>
  <c r="C11" i="6025"/>
  <c r="O10" i="6025"/>
  <c r="C10" i="6025"/>
  <c r="C9" i="6025"/>
  <c r="C8" i="6025"/>
  <c r="O7" i="6025"/>
  <c r="C7" i="6025"/>
  <c r="O6" i="6025"/>
  <c r="B6" i="6025"/>
  <c r="O5" i="6025"/>
  <c r="B5" i="6025"/>
  <c r="O4" i="6025"/>
  <c r="O3" i="6025"/>
  <c r="O2" i="6025"/>
  <c r="O17" i="6015"/>
  <c r="O19" i="6023"/>
  <c r="O17" i="6023"/>
  <c r="C30" i="6023"/>
  <c r="B25" i="6023"/>
  <c r="C16" i="6023"/>
  <c r="B15" i="6023"/>
  <c r="H5" i="6023" s="1"/>
  <c r="B14" i="6023"/>
  <c r="B24" i="6023" s="1"/>
  <c r="B13" i="6023"/>
  <c r="C13" i="6023" s="1"/>
  <c r="O12" i="6023"/>
  <c r="C12" i="6023"/>
  <c r="O11" i="6023"/>
  <c r="C11" i="6023"/>
  <c r="O10" i="6023"/>
  <c r="C10" i="6023"/>
  <c r="C9" i="6023"/>
  <c r="C8" i="6023"/>
  <c r="O7" i="6023"/>
  <c r="C7" i="6023"/>
  <c r="O6" i="6023"/>
  <c r="B6" i="6023"/>
  <c r="O5" i="6023"/>
  <c r="B5" i="6023"/>
  <c r="O4" i="6023"/>
  <c r="O3" i="6023"/>
  <c r="O2" i="6023"/>
  <c r="O19" i="6015"/>
  <c r="O22" i="6015"/>
  <c r="C14" i="6025" l="1"/>
  <c r="H3" i="6025"/>
  <c r="C14" i="6023"/>
  <c r="H23" i="6023"/>
  <c r="H3" i="6023"/>
  <c r="H9" i="6023"/>
  <c r="H36" i="6023"/>
  <c r="C21" i="6023"/>
  <c r="H43" i="6023"/>
  <c r="C14" i="6027"/>
  <c r="H10" i="6027"/>
  <c r="C15" i="6027"/>
  <c r="H21" i="6027"/>
  <c r="C37" i="6027"/>
  <c r="H33" i="6027"/>
  <c r="H43" i="6027"/>
  <c r="H2" i="6027"/>
  <c r="H19" i="6027"/>
  <c r="H23" i="6027"/>
  <c r="C34" i="6027"/>
  <c r="C38" i="6027"/>
  <c r="H49" i="6027"/>
  <c r="H8" i="6027"/>
  <c r="C20" i="6027"/>
  <c r="H37" i="6027"/>
  <c r="H41" i="6027"/>
  <c r="H44" i="6027"/>
  <c r="H50" i="6027"/>
  <c r="H47" i="6027"/>
  <c r="H48" i="6027"/>
  <c r="H3" i="6027"/>
  <c r="H29" i="6027"/>
  <c r="H20" i="6027"/>
  <c r="C42" i="6027"/>
  <c r="H22" i="6027"/>
  <c r="H18" i="6027"/>
  <c r="H31" i="6027"/>
  <c r="H13" i="6027"/>
  <c r="H34" i="6027"/>
  <c r="C35" i="6027"/>
  <c r="C39" i="6027"/>
  <c r="C43" i="6027"/>
  <c r="H51" i="6027"/>
  <c r="H7" i="6027"/>
  <c r="H30" i="6027"/>
  <c r="H9" i="6027"/>
  <c r="C41" i="6027"/>
  <c r="B23" i="6027"/>
  <c r="H36" i="6027"/>
  <c r="H6" i="6027"/>
  <c r="C21" i="6027"/>
  <c r="H38" i="6027"/>
  <c r="H27" i="6027"/>
  <c r="H16" i="6027"/>
  <c r="H4" i="6027"/>
  <c r="H11" i="6027"/>
  <c r="H15" i="6027"/>
  <c r="H14" i="6027"/>
  <c r="H24" i="6027"/>
  <c r="C32" i="6027"/>
  <c r="C36" i="6027"/>
  <c r="C40" i="6027"/>
  <c r="C44" i="6027"/>
  <c r="H5" i="6027"/>
  <c r="H12" i="6027"/>
  <c r="H32" i="6027"/>
  <c r="C33" i="6027"/>
  <c r="C19" i="6027"/>
  <c r="H40" i="6027"/>
  <c r="H17" i="6027"/>
  <c r="C17" i="6027"/>
  <c r="H26" i="6027"/>
  <c r="H45" i="6027"/>
  <c r="H28" i="6027"/>
  <c r="C18" i="6027"/>
  <c r="B22" i="6027"/>
  <c r="H25" i="6027"/>
  <c r="H35" i="6027"/>
  <c r="H39" i="6027"/>
  <c r="H42" i="6027"/>
  <c r="H46" i="6027"/>
  <c r="H10" i="6025"/>
  <c r="H2" i="6025"/>
  <c r="C15" i="6025"/>
  <c r="H22" i="6025"/>
  <c r="H11" i="6025"/>
  <c r="H4" i="6025"/>
  <c r="H13" i="6025"/>
  <c r="H14" i="6025"/>
  <c r="H7" i="6025"/>
  <c r="H30" i="6025"/>
  <c r="H32" i="6025"/>
  <c r="H8" i="6025"/>
  <c r="C33" i="6025"/>
  <c r="C37" i="6025"/>
  <c r="C41" i="6025"/>
  <c r="H47" i="6025"/>
  <c r="H27" i="6025"/>
  <c r="C19" i="6025"/>
  <c r="B23" i="6025"/>
  <c r="H24" i="6025"/>
  <c r="H36" i="6025"/>
  <c r="H39" i="6025"/>
  <c r="H43" i="6025"/>
  <c r="H48" i="6025"/>
  <c r="H16" i="6025"/>
  <c r="C34" i="6025"/>
  <c r="H49" i="6025"/>
  <c r="H9" i="6025"/>
  <c r="C20" i="6025"/>
  <c r="H37" i="6025"/>
  <c r="H40" i="6025"/>
  <c r="H44" i="6025"/>
  <c r="H50" i="6025"/>
  <c r="H29" i="6025"/>
  <c r="H18" i="6025"/>
  <c r="C42" i="6025"/>
  <c r="H20" i="6025"/>
  <c r="H21" i="6025"/>
  <c r="H31" i="6025"/>
  <c r="H15" i="6025"/>
  <c r="H17" i="6025"/>
  <c r="C35" i="6025"/>
  <c r="C39" i="6025"/>
  <c r="C43" i="6025"/>
  <c r="H51" i="6025"/>
  <c r="H23" i="6025"/>
  <c r="C38" i="6025"/>
  <c r="H5" i="6025"/>
  <c r="H19" i="6025"/>
  <c r="C17" i="6025"/>
  <c r="C21" i="6025"/>
  <c r="H25" i="6025"/>
  <c r="H26" i="6025"/>
  <c r="H41" i="6025"/>
  <c r="H45" i="6025"/>
  <c r="H12" i="6025"/>
  <c r="H33" i="6025"/>
  <c r="C32" i="6025"/>
  <c r="C36" i="6025"/>
  <c r="C40" i="6025"/>
  <c r="C44" i="6025"/>
  <c r="H6" i="6025"/>
  <c r="H28" i="6025"/>
  <c r="C18" i="6025"/>
  <c r="B22" i="6025"/>
  <c r="H34" i="6025"/>
  <c r="H35" i="6025"/>
  <c r="H38" i="6025"/>
  <c r="H42" i="6025"/>
  <c r="H46" i="6025"/>
  <c r="H30" i="6023"/>
  <c r="B22" i="6023"/>
  <c r="C17" i="6023"/>
  <c r="H10" i="6023"/>
  <c r="H13" i="6023"/>
  <c r="H22" i="6023"/>
  <c r="H45" i="6023"/>
  <c r="H38" i="6023"/>
  <c r="H2" i="6023"/>
  <c r="H4" i="6023"/>
  <c r="H39" i="6023"/>
  <c r="C18" i="6023"/>
  <c r="H40" i="6023"/>
  <c r="H50" i="6023"/>
  <c r="H35" i="6023"/>
  <c r="H6" i="6023"/>
  <c r="H31" i="6023"/>
  <c r="H48" i="6023"/>
  <c r="H8" i="6023"/>
  <c r="H33" i="6023"/>
  <c r="H41" i="6023"/>
  <c r="H17" i="6023"/>
  <c r="H44" i="6023"/>
  <c r="C15" i="6023"/>
  <c r="H37" i="6023"/>
  <c r="H46" i="6023"/>
  <c r="C19" i="6023"/>
  <c r="H7" i="6023"/>
  <c r="H21" i="6023"/>
  <c r="C20" i="6023"/>
  <c r="H34" i="6023"/>
  <c r="H42" i="6023"/>
  <c r="H52" i="6023"/>
  <c r="H25" i="6023"/>
  <c r="H27" i="6023"/>
  <c r="H11" i="6023"/>
  <c r="C33" i="6023"/>
  <c r="C37" i="6023"/>
  <c r="C41" i="6023"/>
  <c r="H47" i="6023"/>
  <c r="B23" i="6023"/>
  <c r="H24" i="6023"/>
  <c r="H16" i="6023"/>
  <c r="H28" i="6023"/>
  <c r="H20" i="6023"/>
  <c r="C34" i="6023"/>
  <c r="C38" i="6023"/>
  <c r="C42" i="6023"/>
  <c r="H49" i="6023"/>
  <c r="H18" i="6023"/>
  <c r="H14" i="6023"/>
  <c r="H26" i="6023"/>
  <c r="H15" i="6023"/>
  <c r="H32" i="6023"/>
  <c r="C35" i="6023"/>
  <c r="C39" i="6023"/>
  <c r="C43" i="6023"/>
  <c r="H51" i="6023"/>
  <c r="H19" i="6023"/>
  <c r="H12" i="6023"/>
  <c r="H29" i="6023"/>
  <c r="C32" i="6023"/>
  <c r="C36" i="6023"/>
  <c r="C40" i="6023"/>
  <c r="C44" i="6023"/>
  <c r="O22" i="6021" l="1"/>
  <c r="O20" i="6021"/>
  <c r="C30" i="6021"/>
  <c r="B25" i="6021"/>
  <c r="C16" i="6021"/>
  <c r="B15" i="6021"/>
  <c r="H20" i="6021" s="1"/>
  <c r="B14" i="6021"/>
  <c r="C14" i="6021" s="1"/>
  <c r="B13" i="6021"/>
  <c r="C13" i="6021" s="1"/>
  <c r="O12" i="6021"/>
  <c r="C12" i="6021"/>
  <c r="O11" i="6021"/>
  <c r="C11" i="6021"/>
  <c r="O10" i="6021"/>
  <c r="C10" i="6021"/>
  <c r="C9" i="6021"/>
  <c r="C8" i="6021"/>
  <c r="O7" i="6021"/>
  <c r="C7" i="6021"/>
  <c r="O6" i="6021"/>
  <c r="B6" i="6021"/>
  <c r="O5" i="6021"/>
  <c r="B5" i="6021"/>
  <c r="O4" i="6021"/>
  <c r="O3" i="6021"/>
  <c r="O2" i="6021"/>
  <c r="O20" i="6019"/>
  <c r="O19" i="6019"/>
  <c r="C30" i="6019"/>
  <c r="B25" i="6019"/>
  <c r="C16" i="6019"/>
  <c r="B15" i="6019"/>
  <c r="H5" i="6019" s="1"/>
  <c r="B14" i="6019"/>
  <c r="B24" i="6019" s="1"/>
  <c r="B13" i="6019"/>
  <c r="C13" i="6019" s="1"/>
  <c r="O12" i="6019"/>
  <c r="C12" i="6019"/>
  <c r="O11" i="6019"/>
  <c r="C11" i="6019"/>
  <c r="O10" i="6019"/>
  <c r="C10" i="6019"/>
  <c r="C9" i="6019"/>
  <c r="C8" i="6019"/>
  <c r="O7" i="6019"/>
  <c r="C7" i="6019"/>
  <c r="O6" i="6019"/>
  <c r="B6" i="6019"/>
  <c r="O5" i="6019"/>
  <c r="B5" i="6019"/>
  <c r="O4" i="6019"/>
  <c r="O3" i="6019"/>
  <c r="O2" i="6019"/>
  <c r="O18" i="6015"/>
  <c r="O18" i="6017"/>
  <c r="O17" i="6017"/>
  <c r="C30" i="6017"/>
  <c r="B25" i="6017"/>
  <c r="C16" i="6017"/>
  <c r="B15" i="6017"/>
  <c r="H4" i="6017" s="1"/>
  <c r="B14" i="6017"/>
  <c r="B24" i="6017" s="1"/>
  <c r="B13" i="6017"/>
  <c r="C13" i="6017" s="1"/>
  <c r="O12" i="6017"/>
  <c r="C12" i="6017"/>
  <c r="O11" i="6017"/>
  <c r="C11" i="6017"/>
  <c r="O10" i="6017"/>
  <c r="C10" i="6017"/>
  <c r="C9" i="6017"/>
  <c r="C8" i="6017"/>
  <c r="O7" i="6017"/>
  <c r="C7" i="6017"/>
  <c r="O6" i="6017"/>
  <c r="B6" i="6017"/>
  <c r="O5" i="6017"/>
  <c r="B5" i="6017"/>
  <c r="O4" i="6017"/>
  <c r="O3" i="6017"/>
  <c r="O2" i="6017"/>
  <c r="O21" i="6015"/>
  <c r="O23" i="6015"/>
  <c r="C30" i="6015"/>
  <c r="B25" i="6015"/>
  <c r="C16" i="6015"/>
  <c r="B15" i="6015"/>
  <c r="H51" i="6015" s="1"/>
  <c r="B14" i="6015"/>
  <c r="B24" i="6015" s="1"/>
  <c r="B13" i="6015"/>
  <c r="C13" i="6015" s="1"/>
  <c r="O12" i="6015"/>
  <c r="C12" i="6015"/>
  <c r="O11" i="6015"/>
  <c r="C11" i="6015"/>
  <c r="O10" i="6015"/>
  <c r="C10" i="6015"/>
  <c r="C9" i="6015"/>
  <c r="C8" i="6015"/>
  <c r="O7" i="6015"/>
  <c r="C7" i="6015"/>
  <c r="O6" i="6015"/>
  <c r="B6" i="6015"/>
  <c r="O5" i="6015"/>
  <c r="B5" i="6015"/>
  <c r="O4" i="6015"/>
  <c r="O3" i="6015"/>
  <c r="O2" i="6015"/>
  <c r="H17" i="6021" l="1"/>
  <c r="H14" i="6021"/>
  <c r="H2" i="6021"/>
  <c r="H16" i="6021"/>
  <c r="B24" i="6021"/>
  <c r="C14" i="6019"/>
  <c r="H23" i="6017"/>
  <c r="H5" i="6017"/>
  <c r="H34" i="6017"/>
  <c r="C14" i="6017"/>
  <c r="H24" i="6017"/>
  <c r="H27" i="6021"/>
  <c r="C40" i="6021"/>
  <c r="H42" i="6021"/>
  <c r="C44" i="6021"/>
  <c r="B22" i="6021"/>
  <c r="H5" i="6021"/>
  <c r="H46" i="6021"/>
  <c r="H49" i="6021"/>
  <c r="C42" i="6021"/>
  <c r="H21" i="6021"/>
  <c r="H30" i="6021"/>
  <c r="H10" i="6021"/>
  <c r="H24" i="6021"/>
  <c r="C36" i="6021"/>
  <c r="H11" i="6021"/>
  <c r="H3" i="6021"/>
  <c r="H18" i="6021"/>
  <c r="H31" i="6021"/>
  <c r="H38" i="6021"/>
  <c r="H4" i="6021"/>
  <c r="H12" i="6021"/>
  <c r="C32" i="6021"/>
  <c r="C15" i="6021"/>
  <c r="H35" i="6021"/>
  <c r="C34" i="6021"/>
  <c r="H6" i="6021"/>
  <c r="C18" i="6021"/>
  <c r="H32" i="6021"/>
  <c r="C38" i="6021"/>
  <c r="H52" i="6021"/>
  <c r="H28" i="6021"/>
  <c r="H25" i="6021"/>
  <c r="H8" i="6021"/>
  <c r="C33" i="6021"/>
  <c r="C37" i="6021"/>
  <c r="C41" i="6021"/>
  <c r="H47" i="6021"/>
  <c r="C19" i="6021"/>
  <c r="B23" i="6021"/>
  <c r="H33" i="6021"/>
  <c r="H26" i="6021"/>
  <c r="H39" i="6021"/>
  <c r="H43" i="6021"/>
  <c r="H48" i="6021"/>
  <c r="H9" i="6021"/>
  <c r="C20" i="6021"/>
  <c r="H44" i="6021"/>
  <c r="H22" i="6021"/>
  <c r="H15" i="6021"/>
  <c r="H29" i="6021"/>
  <c r="H13" i="6021"/>
  <c r="H19" i="6021"/>
  <c r="C35" i="6021"/>
  <c r="C39" i="6021"/>
  <c r="C43" i="6021"/>
  <c r="H51" i="6021"/>
  <c r="H36" i="6021"/>
  <c r="H40" i="6021"/>
  <c r="H50" i="6021"/>
  <c r="H7" i="6021"/>
  <c r="H23" i="6021"/>
  <c r="C17" i="6021"/>
  <c r="C21" i="6021"/>
  <c r="H34" i="6021"/>
  <c r="H37" i="6021"/>
  <c r="H41" i="6021"/>
  <c r="H45" i="6021"/>
  <c r="C14" i="6015"/>
  <c r="H6" i="6019"/>
  <c r="H10" i="6019"/>
  <c r="B22" i="6019"/>
  <c r="H52" i="6019"/>
  <c r="H25" i="6019"/>
  <c r="H9" i="6019"/>
  <c r="H31" i="6019"/>
  <c r="C15" i="6019"/>
  <c r="H39" i="6019"/>
  <c r="H36" i="6019"/>
  <c r="H7" i="6019"/>
  <c r="H26" i="6019"/>
  <c r="H43" i="6019"/>
  <c r="H12" i="6019"/>
  <c r="C18" i="6019"/>
  <c r="H29" i="6019"/>
  <c r="H32" i="6019"/>
  <c r="H20" i="6019"/>
  <c r="H8" i="6019"/>
  <c r="C33" i="6019"/>
  <c r="C37" i="6019"/>
  <c r="C41" i="6019"/>
  <c r="H47" i="6019"/>
  <c r="C19" i="6019"/>
  <c r="B23" i="6019"/>
  <c r="H27" i="6019"/>
  <c r="H28" i="6019"/>
  <c r="H40" i="6019"/>
  <c r="H44" i="6019"/>
  <c r="H48" i="6019"/>
  <c r="H2" i="6019"/>
  <c r="H3" i="6019"/>
  <c r="H18" i="6019"/>
  <c r="H19" i="6019"/>
  <c r="H24" i="6019"/>
  <c r="H21" i="6019"/>
  <c r="C34" i="6019"/>
  <c r="C38" i="6019"/>
  <c r="C42" i="6019"/>
  <c r="H49" i="6019"/>
  <c r="C20" i="6019"/>
  <c r="H37" i="6019"/>
  <c r="H41" i="6019"/>
  <c r="H45" i="6019"/>
  <c r="H50" i="6019"/>
  <c r="H17" i="6019"/>
  <c r="H15" i="6019"/>
  <c r="H33" i="6019"/>
  <c r="H11" i="6019"/>
  <c r="H22" i="6019"/>
  <c r="C35" i="6019"/>
  <c r="C39" i="6019"/>
  <c r="C43" i="6019"/>
  <c r="H51" i="6019"/>
  <c r="H30" i="6019"/>
  <c r="C17" i="6019"/>
  <c r="C21" i="6019"/>
  <c r="H35" i="6019"/>
  <c r="H38" i="6019"/>
  <c r="H42" i="6019"/>
  <c r="H46" i="6019"/>
  <c r="H16" i="6019"/>
  <c r="H4" i="6019"/>
  <c r="H13" i="6019"/>
  <c r="H23" i="6019"/>
  <c r="H14" i="6019"/>
  <c r="H34" i="6019"/>
  <c r="C32" i="6019"/>
  <c r="C36" i="6019"/>
  <c r="C40" i="6019"/>
  <c r="C44" i="6019"/>
  <c r="H8" i="6017"/>
  <c r="C21" i="6017"/>
  <c r="H33" i="6017"/>
  <c r="H42" i="6017"/>
  <c r="H41" i="6017"/>
  <c r="C20" i="6017"/>
  <c r="H52" i="6017"/>
  <c r="H35" i="6017"/>
  <c r="H44" i="6017"/>
  <c r="C15" i="6017"/>
  <c r="H47" i="6017"/>
  <c r="H36" i="6017"/>
  <c r="H12" i="6017"/>
  <c r="H6" i="6017"/>
  <c r="H10" i="6017"/>
  <c r="H17" i="6017"/>
  <c r="H45" i="6017"/>
  <c r="C17" i="6017"/>
  <c r="H31" i="6017"/>
  <c r="H38" i="6017"/>
  <c r="H2" i="6017"/>
  <c r="C18" i="6017"/>
  <c r="H39" i="6017"/>
  <c r="H49" i="6017"/>
  <c r="H9" i="6017"/>
  <c r="B22" i="6017"/>
  <c r="H43" i="6017"/>
  <c r="H18" i="6017"/>
  <c r="H37" i="6017"/>
  <c r="H7" i="6017"/>
  <c r="C19" i="6017"/>
  <c r="H22" i="6017"/>
  <c r="H40" i="6017"/>
  <c r="H51" i="6017"/>
  <c r="H26" i="6017"/>
  <c r="H28" i="6017"/>
  <c r="H13" i="6017"/>
  <c r="C33" i="6017"/>
  <c r="C37" i="6017"/>
  <c r="C41" i="6017"/>
  <c r="H46" i="6017"/>
  <c r="B23" i="6017"/>
  <c r="H3" i="6017"/>
  <c r="H20" i="6017"/>
  <c r="H14" i="6017"/>
  <c r="H29" i="6017"/>
  <c r="H16" i="6017"/>
  <c r="C34" i="6017"/>
  <c r="C38" i="6017"/>
  <c r="C42" i="6017"/>
  <c r="H48" i="6017"/>
  <c r="H19" i="6017"/>
  <c r="H25" i="6017"/>
  <c r="H27" i="6017"/>
  <c r="H15" i="6017"/>
  <c r="H32" i="6017"/>
  <c r="C35" i="6017"/>
  <c r="C39" i="6017"/>
  <c r="C43" i="6017"/>
  <c r="H50" i="6017"/>
  <c r="H21" i="6017"/>
  <c r="H11" i="6017"/>
  <c r="H30" i="6017"/>
  <c r="C32" i="6017"/>
  <c r="C36" i="6017"/>
  <c r="C40" i="6017"/>
  <c r="C44" i="6017"/>
  <c r="H52" i="6015"/>
  <c r="H11" i="6015"/>
  <c r="H7" i="6015"/>
  <c r="C38" i="6015"/>
  <c r="C18" i="6015"/>
  <c r="H38" i="6015"/>
  <c r="H4" i="6015"/>
  <c r="H22" i="6015"/>
  <c r="H35" i="6015"/>
  <c r="H46" i="6015"/>
  <c r="C19" i="6015"/>
  <c r="H30" i="6015"/>
  <c r="H29" i="6015"/>
  <c r="H42" i="6015"/>
  <c r="C44" i="6015"/>
  <c r="C34" i="6015"/>
  <c r="H6" i="6015"/>
  <c r="H23" i="6015"/>
  <c r="H31" i="6015"/>
  <c r="H39" i="6015"/>
  <c r="C40" i="6015"/>
  <c r="H48" i="6015"/>
  <c r="H33" i="6015"/>
  <c r="C15" i="6015"/>
  <c r="C21" i="6015"/>
  <c r="H32" i="6015"/>
  <c r="H50" i="6015"/>
  <c r="H17" i="6015"/>
  <c r="H43" i="6015"/>
  <c r="H49" i="6015"/>
  <c r="H2" i="6015"/>
  <c r="H3" i="6015"/>
  <c r="H14" i="6015"/>
  <c r="C36" i="6015"/>
  <c r="H44" i="6015"/>
  <c r="H8" i="6015"/>
  <c r="C17" i="6015"/>
  <c r="B22" i="6015"/>
  <c r="H28" i="6015"/>
  <c r="H40" i="6015"/>
  <c r="C42" i="6015"/>
  <c r="H15" i="6015"/>
  <c r="H26" i="6015"/>
  <c r="H34" i="6015"/>
  <c r="H10" i="6015"/>
  <c r="H12" i="6015"/>
  <c r="C20" i="6015"/>
  <c r="H24" i="6015"/>
  <c r="H18" i="6015"/>
  <c r="H19" i="6015"/>
  <c r="H25" i="6015"/>
  <c r="C32" i="6015"/>
  <c r="H41" i="6015"/>
  <c r="H45" i="6015"/>
  <c r="H5" i="6015"/>
  <c r="H36" i="6015"/>
  <c r="H27" i="6015"/>
  <c r="H9" i="6015"/>
  <c r="C33" i="6015"/>
  <c r="C37" i="6015"/>
  <c r="C41" i="6015"/>
  <c r="H47" i="6015"/>
  <c r="B23" i="6015"/>
  <c r="H20" i="6015"/>
  <c r="H16" i="6015"/>
  <c r="H37" i="6015"/>
  <c r="H13" i="6015"/>
  <c r="H21" i="6015"/>
  <c r="C35" i="6015"/>
  <c r="C39" i="6015"/>
  <c r="C43" i="6015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<sst xmlns="http://schemas.openxmlformats.org/spreadsheetml/2006/main" count="3032" uniqueCount="269">
  <si>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</si>
  <si>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</si>
  <si>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</si>
  <si>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</si>
  <si>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</si>
  <si>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</si>
  <si>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</si>
  <si>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</si>
  <si>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</si>
  <si>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</si>
  <si>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</si>
  <si>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</si>
  <si>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</si>
  <si>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</si>
  <si>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</si>
  <si>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</si>
  <si>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</si>
  <si>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</si>
  <si>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</si>
  <si>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</si>
  <si>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</si>
  <si>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</si>
  <si>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</si>
  <si>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</si>
  <si>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</si>
  <si>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</si>
  <si>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</si>
  <si>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</si>
  <si>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</si>
  <si>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</si>
  <si>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</si>
  <si>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</si>
  <si>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</si>
  <si>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</si>
  <si>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</si>
  <si>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</si>
  <si>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</si>
  <si>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</si>
  <si>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</si>
  <si>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</si>
  <si>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</si>
  <si>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</si>
  <si>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</si>
  <si>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</si>
  <si>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</si>
  <si>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</si>
  <si>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</si>
  <si>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</si>
  <si>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</si>
  <si>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</si>
  <si>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</si>
  <si>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</si>
  <si>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</si>
  <si>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</si>
  <si>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</si>
  <si>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</si>
  <si>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</si>
  <si>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</si>
  <si>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</si>
  <si>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</si>
  <si>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</si>
  <si>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</si>
  <si>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</si>
  <si>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</si>
  <si>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</si>
  <si>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</si>
  <si>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</si>
  <si>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</si>
  <si>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</si>
  <si>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</si>
  <si>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</si>
  <si>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</si>
  <si>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</si>
  <si>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</si>
  <si>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</si>
  <si>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</si>
  <si>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</si>
  <si>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</si>
  <si>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</si>
  <si>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</si>
  <si>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</si>
  <si>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</si>
  <si>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</si>
  <si>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</si>
  <si>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</si>
  <si>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</si>
  <si>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</si>
  <si>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</si>
  <si>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</si>
  <si>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</si>
  <si>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</si>
  <si>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</si>
  <si>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</si>
  <si>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</si>
  <si>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</si>
  <si>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</si>
  <si>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</si>
  <si>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</si>
  <si>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</si>
  <si>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</si>
  <si>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</si>
  <si>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</si>
  <si>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</si>
  <si>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</si>
  <si>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</si>
  <si>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</si>
  <si>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</si>
  <si>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</si>
  <si>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</si>
  <si>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</si>
  <si>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</si>
  <si>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</si>
  <si>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</si>
  <si>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</si>
  <si>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</si>
  <si>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</si>
  <si>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</si>
  <si>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</si>
  <si>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</si>
  <si>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</si>
  <si>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</si>
  <si>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</si>
  <si>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</si>
  <si>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</si>
  <si>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</si>
  <si>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</si>
  <si>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</si>
  <si>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</si>
  <si>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</si>
  <si>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</si>
  <si>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</si>
  <si>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</si>
  <si>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</si>
  <si>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</si>
  <si>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</si>
  <si>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</si>
  <si>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</si>
  <si>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</si>
  <si>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</si>
  <si>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</si>
  <si>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</si>
  <si>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</si>
  <si>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</si>
  <si>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</si>
  <si>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</si>
  <si>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</si>
  <si>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</si>
  <si>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</si>
  <si>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</si>
  <si>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</si>
  <si>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</si>
  <si>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</si>
  <si>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</si>
  <si>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</si>
  <si>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</si>
  <si>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</si>
  <si>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</si>
  <si>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</si>
  <si>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</si>
  <si>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</si>
  <si>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</si>
  <si>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</si>
  <si>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</si>
  <si>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</si>
  <si>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</si>
  <si>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</si>
  <si>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</si>
  <si>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</si>
  <si>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</si>
  <si>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</si>
  <si>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</si>
  <si>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</si>
  <si>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</si>
  <si>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</si>
  <si>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</si>
  <si>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</si>
  <si>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</si>
  <si>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</si>
  <si>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</si>
  <si>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2019-11-18@4.xlsm</t>
  </si>
  <si>
    <t>2019-11-19@2.xlsm</t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</si>
  <si>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</si>
  <si>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</si>
  <si>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</si>
  <si>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</si>
  <si>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</si>
  <si>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</si>
  <si>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</si>
  <si>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</si>
  <si>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</si>
  <si>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</si>
  <si>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</si>
  <si>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</si>
  <si>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</si>
  <si>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</si>
  <si>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</si>
  <si>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</si>
  <si>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</si>
  <si>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2019-09-23@2.xlsm</t>
  </si>
  <si>
    <t>2019-09-25@2.xlsm</t>
  </si>
  <si>
    <t>2019-09-26@3.xlsm</t>
  </si>
  <si>
    <t>ぱぱ</t>
  </si>
  <si>
    <t>のり</t>
  </si>
  <si>
    <t>2019-09-27@2.xlsm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</si>
  <si>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</si>
  <si>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</si>
  <si>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</si>
  <si>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</si>
  <si>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</si>
  <si>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</si>
  <si>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</si>
  <si>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</si>
  <si>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</si>
  <si>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</si>
  <si>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</si>
  <si>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</si>
  <si>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</si>
  <si>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</si>
  <si>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</si>
  <si>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</si>
  <si>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</si>
  <si>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</si>
  <si>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</si>
  <si>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</si>
  <si>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</si>
  <si>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</si>
  <si>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</si>
  <si>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</si>
  <si>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</si>
  <si>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</si>
  <si>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</si>
  <si>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</si>
  <si>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</si>
  <si>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</si>
  <si>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</si>
  <si>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</si>
  <si>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</si>
  <si>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</si>
  <si>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</si>
  <si>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</si>
  <si>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</si>
  <si>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</si>
  <si>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</si>
  <si>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</si>
  <si>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</si>
  <si>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</si>
  <si>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</si>
  <si>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</si>
  <si>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</si>
  <si>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</si>
  <si>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</si>
  <si>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</si>
  <si>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</si>
  <si>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</si>
  <si>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</si>
  <si>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</si>
  <si>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</si>
  <si>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</si>
  <si>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</si>
  <si>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</si>
  <si>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</si>
  <si>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</si>
  <si>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</si>
  <si>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</si>
  <si>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</si>
  <si>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2019-11-20@2.xlsm</t>
  </si>
  <si>
    <t>2019-11-21@2.xlsm</t>
  </si>
  <si>
    <t>2019-11-23@2.xlsm</t>
  </si>
  <si>
    <t>2019-11-24@2.xlsm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</si>
</sst>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全体!$K$2:$K$644</c:f>
              <c:numCache>
                <c:formatCode>General</c:formatCode>
                <c:ptCount val="6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</c:numCache>
            </c:numRef>
          </c:xVal>
          <c:yVal>
            <c:numRef>
              <c:f>全体!$L$2:$L$644</c:f>
              <c:numCache>
                <c:formatCode>\+0.0;\-0.0;\±0</c:formatCode>
                <c:ptCount val="643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-1.4210854715202004E-14</c:v>
                </c:pt>
                <c:pt idx="287">
                  <c:v>-1.4210854715202004E-14</c:v>
                </c:pt>
                <c:pt idx="288">
                  <c:v>-1.4210854715202004E-14</c:v>
                </c:pt>
                <c:pt idx="289">
                  <c:v>6.7999999999999856</c:v>
                </c:pt>
                <c:pt idx="290">
                  <c:v>31.599999999999987</c:v>
                </c:pt>
                <c:pt idx="291">
                  <c:v>-1.4210854715202004E-14</c:v>
                </c:pt>
                <c:pt idx="292">
                  <c:v>-16.100000000000016</c:v>
                </c:pt>
                <c:pt idx="293">
                  <c:v>26.899999999999984</c:v>
                </c:pt>
                <c:pt idx="294">
                  <c:v>-1.4210854715202004E-14</c:v>
                </c:pt>
                <c:pt idx="295">
                  <c:v>6.5999999999999854</c:v>
                </c:pt>
                <c:pt idx="296">
                  <c:v>28.799999999999983</c:v>
                </c:pt>
                <c:pt idx="297">
                  <c:v>-1.7763568394002505E-14</c:v>
                </c:pt>
                <c:pt idx="298">
                  <c:v>4.3999999999999826</c:v>
                </c:pt>
                <c:pt idx="299">
                  <c:v>20.299999999999983</c:v>
                </c:pt>
                <c:pt idx="300">
                  <c:v>-1.7763568394002505E-14</c:v>
                </c:pt>
                <c:pt idx="301">
                  <c:v>18.299999999999983</c:v>
                </c:pt>
                <c:pt idx="302">
                  <c:v>16.699999999999982</c:v>
                </c:pt>
                <c:pt idx="303">
                  <c:v>-1.7763568394002505E-14</c:v>
                </c:pt>
                <c:pt idx="304">
                  <c:v>19.199999999999982</c:v>
                </c:pt>
                <c:pt idx="305">
                  <c:v>27.799999999999983</c:v>
                </c:pt>
                <c:pt idx="306">
                  <c:v>-1.7763568394002505E-14</c:v>
                </c:pt>
                <c:pt idx="307">
                  <c:v>12.399999999999983</c:v>
                </c:pt>
                <c:pt idx="308">
                  <c:v>12.999999999999982</c:v>
                </c:pt>
                <c:pt idx="309">
                  <c:v>-1.7763568394002505E-14</c:v>
                </c:pt>
                <c:pt idx="310">
                  <c:v>61.499999999999986</c:v>
                </c:pt>
                <c:pt idx="311">
                  <c:v>8.7999999999999829</c:v>
                </c:pt>
                <c:pt idx="312">
                  <c:v>-1.7763568394002505E-14</c:v>
                </c:pt>
                <c:pt idx="313">
                  <c:v>-2.0000000000000178</c:v>
                </c:pt>
                <c:pt idx="314">
                  <c:v>35.199999999999989</c:v>
                </c:pt>
                <c:pt idx="315">
                  <c:v>-1.4210854715202004E-14</c:v>
                </c:pt>
                <c:pt idx="316">
                  <c:v>30.499999999999986</c:v>
                </c:pt>
                <c:pt idx="317">
                  <c:v>34.899999999999984</c:v>
                </c:pt>
                <c:pt idx="318">
                  <c:v>-1.4210854715202004E-14</c:v>
                </c:pt>
                <c:pt idx="319">
                  <c:v>12.199999999999985</c:v>
                </c:pt>
                <c:pt idx="320">
                  <c:v>-40.600000000000009</c:v>
                </c:pt>
                <c:pt idx="321">
                  <c:v>-7.1054273576010019E-15</c:v>
                </c:pt>
                <c:pt idx="322">
                  <c:v>32.399999999999991</c:v>
                </c:pt>
                <c:pt idx="323">
                  <c:v>47.999999999999993</c:v>
                </c:pt>
                <c:pt idx="324">
                  <c:v>-7.1054273576010019E-15</c:v>
                </c:pt>
                <c:pt idx="325">
                  <c:v>55.099999999999994</c:v>
                </c:pt>
                <c:pt idx="326">
                  <c:v>35.099999999999994</c:v>
                </c:pt>
                <c:pt idx="327">
                  <c:v>-7.1054273576010019E-15</c:v>
                </c:pt>
                <c:pt idx="328">
                  <c:v>40.899999999999991</c:v>
                </c:pt>
                <c:pt idx="329">
                  <c:v>31.699999999999992</c:v>
                </c:pt>
                <c:pt idx="330">
                  <c:v>-7.1054273576010019E-15</c:v>
                </c:pt>
                <c:pt idx="331">
                  <c:v>-1.400000000000007</c:v>
                </c:pt>
                <c:pt idx="332">
                  <c:v>-18.400000000000006</c:v>
                </c:pt>
                <c:pt idx="333">
                  <c:v>-7.1054273576010019E-15</c:v>
                </c:pt>
                <c:pt idx="334">
                  <c:v>-8.7000000000000064</c:v>
                </c:pt>
                <c:pt idx="335">
                  <c:v>-35.500000000000007</c:v>
                </c:pt>
                <c:pt idx="336">
                  <c:v>-7.1054273576010019E-15</c:v>
                </c:pt>
                <c:pt idx="337">
                  <c:v>28.799999999999994</c:v>
                </c:pt>
                <c:pt idx="338">
                  <c:v>41.399999999999991</c:v>
                </c:pt>
                <c:pt idx="339">
                  <c:v>-7.1054273576010019E-15</c:v>
                </c:pt>
                <c:pt idx="340">
                  <c:v>12.599999999999993</c:v>
                </c:pt>
                <c:pt idx="341">
                  <c:v>-28.700000000000003</c:v>
                </c:pt>
                <c:pt idx="342">
                  <c:v>-3.5527136788005009E-15</c:v>
                </c:pt>
                <c:pt idx="343">
                  <c:v>14.899999999999997</c:v>
                </c:pt>
                <c:pt idx="344">
                  <c:v>42.699999999999996</c:v>
                </c:pt>
                <c:pt idx="345">
                  <c:v>-7.1054273576010019E-15</c:v>
                </c:pt>
                <c:pt idx="346">
                  <c:v>-24.000000000000007</c:v>
                </c:pt>
                <c:pt idx="347">
                  <c:v>-25.600000000000009</c:v>
                </c:pt>
                <c:pt idx="348">
                  <c:v>-7.1054273576010019E-15</c:v>
                </c:pt>
                <c:pt idx="349">
                  <c:v>3.9999999999999929</c:v>
                </c:pt>
                <c:pt idx="350">
                  <c:v>-24.100000000000009</c:v>
                </c:pt>
                <c:pt idx="351">
                  <c:v>-7.1054273576010019E-15</c:v>
                </c:pt>
                <c:pt idx="352">
                  <c:v>-4.5000000000000071</c:v>
                </c:pt>
                <c:pt idx="353">
                  <c:v>-34.500000000000007</c:v>
                </c:pt>
                <c:pt idx="354">
                  <c:v>-7.1054273576010019E-15</c:v>
                </c:pt>
                <c:pt idx="355">
                  <c:v>-30.500000000000007</c:v>
                </c:pt>
                <c:pt idx="356">
                  <c:v>-33.800000000000004</c:v>
                </c:pt>
                <c:pt idx="357">
                  <c:v>-7.1054273576010019E-15</c:v>
                </c:pt>
                <c:pt idx="358">
                  <c:v>-31.300000000000008</c:v>
                </c:pt>
                <c:pt idx="359">
                  <c:v>-6.5000000000000071</c:v>
                </c:pt>
                <c:pt idx="360">
                  <c:v>-7.1054273576010019E-15</c:v>
                </c:pt>
                <c:pt idx="361">
                  <c:v>-22.400000000000006</c:v>
                </c:pt>
                <c:pt idx="362">
                  <c:v>3.0999999999999943</c:v>
                </c:pt>
                <c:pt idx="363">
                  <c:v>-5.773159728050814E-15</c:v>
                </c:pt>
                <c:pt idx="364">
                  <c:v>1.2999999999999943</c:v>
                </c:pt>
                <c:pt idx="365">
                  <c:v>26.099999999999994</c:v>
                </c:pt>
                <c:pt idx="366">
                  <c:v>-7.1054273576010019E-15</c:v>
                </c:pt>
                <c:pt idx="367">
                  <c:v>5.5999999999999925</c:v>
                </c:pt>
                <c:pt idx="368">
                  <c:v>-19.400000000000006</c:v>
                </c:pt>
                <c:pt idx="369">
                  <c:v>-7.1054273576010019E-15</c:v>
                </c:pt>
                <c:pt idx="370">
                  <c:v>14.799999999999994</c:v>
                </c:pt>
                <c:pt idx="371">
                  <c:v>14.199999999999994</c:v>
                </c:pt>
                <c:pt idx="372">
                  <c:v>-5.3290705182007514E-15</c:v>
                </c:pt>
                <c:pt idx="373">
                  <c:v>-42.300000000000004</c:v>
                </c:pt>
                <c:pt idx="374">
                  <c:v>-49.1</c:v>
                </c:pt>
                <c:pt idx="375">
                  <c:v>0</c:v>
                </c:pt>
                <c:pt idx="376">
                  <c:v>11.4</c:v>
                </c:pt>
                <c:pt idx="377">
                  <c:v>53.4</c:v>
                </c:pt>
                <c:pt idx="378">
                  <c:v>0</c:v>
                </c:pt>
                <c:pt idx="379">
                  <c:v>22.2</c:v>
                </c:pt>
                <c:pt idx="380">
                  <c:v>-9.4000000000000021</c:v>
                </c:pt>
                <c:pt idx="381">
                  <c:v>-1.7763568394002505E-15</c:v>
                </c:pt>
                <c:pt idx="382">
                  <c:v>9.0999999999999979</c:v>
                </c:pt>
                <c:pt idx="383">
                  <c:v>-20.400000000000002</c:v>
                </c:pt>
                <c:pt idx="384">
                  <c:v>-3.5527136788005009E-15</c:v>
                </c:pt>
                <c:pt idx="385">
                  <c:v>-36.100000000000009</c:v>
                </c:pt>
                <c:pt idx="386">
                  <c:v>-7.3000000000000078</c:v>
                </c:pt>
                <c:pt idx="387">
                  <c:v>-7.9936057773011271E-15</c:v>
                </c:pt>
                <c:pt idx="388">
                  <c:v>-3.000000000000008</c:v>
                </c:pt>
                <c:pt idx="389">
                  <c:v>-31.500000000000007</c:v>
                </c:pt>
                <c:pt idx="390">
                  <c:v>-7.1054273576010019E-15</c:v>
                </c:pt>
                <c:pt idx="391">
                  <c:v>32.499999999999993</c:v>
                </c:pt>
                <c:pt idx="392">
                  <c:v>21.299999999999994</c:v>
                </c:pt>
                <c:pt idx="393">
                  <c:v>-7.1054273576010019E-15</c:v>
                </c:pt>
                <c:pt idx="394">
                  <c:v>-22.400000000000006</c:v>
                </c:pt>
                <c:pt idx="395">
                  <c:v>-69.100000000000009</c:v>
                </c:pt>
                <c:pt idx="396">
                  <c:v>-1.4210854715202004E-14</c:v>
                </c:pt>
                <c:pt idx="397">
                  <c:v>15.199999999999985</c:v>
                </c:pt>
                <c:pt idx="398">
                  <c:v>18.299999999999986</c:v>
                </c:pt>
                <c:pt idx="399">
                  <c:v>-1.4210854715202004E-14</c:v>
                </c:pt>
                <c:pt idx="400">
                  <c:v>1.5999999999999859</c:v>
                </c:pt>
                <c:pt idx="401">
                  <c:v>-48.900000000000013</c:v>
                </c:pt>
                <c:pt idx="402">
                  <c:v>-1.4210854715202004E-14</c:v>
                </c:pt>
                <c:pt idx="403">
                  <c:v>26.799999999999986</c:v>
                </c:pt>
                <c:pt idx="404">
                  <c:v>40.099999999999987</c:v>
                </c:pt>
                <c:pt idx="405">
                  <c:v>-1.4210854715202004E-14</c:v>
                </c:pt>
                <c:pt idx="406">
                  <c:v>-21.300000000000015</c:v>
                </c:pt>
                <c:pt idx="407">
                  <c:v>-4.7000000000000135</c:v>
                </c:pt>
                <c:pt idx="408">
                  <c:v>-1.3322676295501878E-14</c:v>
                </c:pt>
                <c:pt idx="409">
                  <c:v>-29.900000000000013</c:v>
                </c:pt>
                <c:pt idx="410">
                  <c:v>-5.1000000000000121</c:v>
                </c:pt>
                <c:pt idx="411">
                  <c:v>-1.2434497875801753E-14</c:v>
                </c:pt>
                <c:pt idx="412">
                  <c:v>-13.800000000000013</c:v>
                </c:pt>
                <c:pt idx="413">
                  <c:v>-39.300000000000011</c:v>
                </c:pt>
                <c:pt idx="414">
                  <c:v>-1.4210854715202004E-14</c:v>
                </c:pt>
                <c:pt idx="415">
                  <c:v>10.899999999999986</c:v>
                </c:pt>
                <c:pt idx="416">
                  <c:v>55.899999999999984</c:v>
                </c:pt>
                <c:pt idx="417">
                  <c:v>-1.4210854715202004E-14</c:v>
                </c:pt>
                <c:pt idx="418">
                  <c:v>5.9999999999999858</c:v>
                </c:pt>
                <c:pt idx="419">
                  <c:v>-23.600000000000016</c:v>
                </c:pt>
                <c:pt idx="420">
                  <c:v>-1.4210854715202004E-14</c:v>
                </c:pt>
                <c:pt idx="421">
                  <c:v>-15.300000000000015</c:v>
                </c:pt>
                <c:pt idx="422">
                  <c:v>1.7999999999999865</c:v>
                </c:pt>
                <c:pt idx="423">
                  <c:v>-1.354472090042691E-14</c:v>
                </c:pt>
                <c:pt idx="424">
                  <c:v>34.599999999999987</c:v>
                </c:pt>
                <c:pt idx="425">
                  <c:v>-19.900000000000013</c:v>
                </c:pt>
                <c:pt idx="426">
                  <c:v>-1.4210854715202004E-14</c:v>
                </c:pt>
                <c:pt idx="427">
                  <c:v>-6.5000000000000142</c:v>
                </c:pt>
                <c:pt idx="428">
                  <c:v>36.699999999999989</c:v>
                </c:pt>
                <c:pt idx="429">
                  <c:v>-1.4210854715202004E-14</c:v>
                </c:pt>
                <c:pt idx="430">
                  <c:v>-25.300000000000015</c:v>
                </c:pt>
                <c:pt idx="431">
                  <c:v>-20.600000000000016</c:v>
                </c:pt>
                <c:pt idx="432">
                  <c:v>-1.4210854715202004E-14</c:v>
                </c:pt>
                <c:pt idx="433">
                  <c:v>-20.900000000000013</c:v>
                </c:pt>
                <c:pt idx="434">
                  <c:v>-4.0000000000000142</c:v>
                </c:pt>
                <c:pt idx="435">
                  <c:v>-1.4210854715202004E-14</c:v>
                </c:pt>
                <c:pt idx="436">
                  <c:v>16.499999999999986</c:v>
                </c:pt>
                <c:pt idx="437">
                  <c:v>0.59999999999998543</c:v>
                </c:pt>
                <c:pt idx="438">
                  <c:v>-1.4543921622589551E-14</c:v>
                </c:pt>
                <c:pt idx="439">
                  <c:v>3.4999999999999853</c:v>
                </c:pt>
                <c:pt idx="440">
                  <c:v>38.999999999999986</c:v>
                </c:pt>
                <c:pt idx="441">
                  <c:v>-1.4210854715202004E-14</c:v>
                </c:pt>
                <c:pt idx="442">
                  <c:v>-33.000000000000014</c:v>
                </c:pt>
                <c:pt idx="443">
                  <c:v>45.59999999999998</c:v>
                </c:pt>
                <c:pt idx="444">
                  <c:v>-2.1316282072803006E-14</c:v>
                </c:pt>
                <c:pt idx="445">
                  <c:v>-24.100000000000023</c:v>
                </c:pt>
                <c:pt idx="446">
                  <c:v>-23.800000000000022</c:v>
                </c:pt>
                <c:pt idx="447">
                  <c:v>-2.1316282072803006E-14</c:v>
                </c:pt>
                <c:pt idx="448">
                  <c:v>10.299999999999979</c:v>
                </c:pt>
                <c:pt idx="449">
                  <c:v>45.399999999999977</c:v>
                </c:pt>
                <c:pt idx="450">
                  <c:v>-2.1316282072803006E-14</c:v>
                </c:pt>
                <c:pt idx="451">
                  <c:v>26.699999999999978</c:v>
                </c:pt>
                <c:pt idx="452">
                  <c:v>22.299999999999976</c:v>
                </c:pt>
                <c:pt idx="453">
                  <c:v>-2.4868995751603507E-14</c:v>
                </c:pt>
                <c:pt idx="454">
                  <c:v>-28.900000000000023</c:v>
                </c:pt>
                <c:pt idx="455">
                  <c:v>-43.100000000000023</c:v>
                </c:pt>
                <c:pt idx="456">
                  <c:v>-2.1316282072803006E-14</c:v>
                </c:pt>
                <c:pt idx="457">
                  <c:v>21.499999999999979</c:v>
                </c:pt>
                <c:pt idx="458">
                  <c:v>23.999999999999979</c:v>
                </c:pt>
                <c:pt idx="459">
                  <c:v>-2.1316282072803006E-14</c:v>
                </c:pt>
                <c:pt idx="460">
                  <c:v>-25.100000000000023</c:v>
                </c:pt>
                <c:pt idx="461">
                  <c:v>4.9999999999999787</c:v>
                </c:pt>
                <c:pt idx="462">
                  <c:v>-2.1316282072803006E-14</c:v>
                </c:pt>
                <c:pt idx="463">
                  <c:v>2.9999999999999787</c:v>
                </c:pt>
                <c:pt idx="464">
                  <c:v>37.09999999999998</c:v>
                </c:pt>
                <c:pt idx="465">
                  <c:v>-2.1316282072803006E-14</c:v>
                </c:pt>
                <c:pt idx="466">
                  <c:v>-1.9000000000000212</c:v>
                </c:pt>
                <c:pt idx="467">
                  <c:v>-27.700000000000021</c:v>
                </c:pt>
                <c:pt idx="468">
                  <c:v>-2.1316282072803006E-14</c:v>
                </c:pt>
                <c:pt idx="469">
                  <c:v>35.899999999999977</c:v>
                </c:pt>
                <c:pt idx="470">
                  <c:v>45.199999999999974</c:v>
                </c:pt>
                <c:pt idx="471">
                  <c:v>-2.8421709430404007E-14</c:v>
                </c:pt>
                <c:pt idx="472">
                  <c:v>37.39999999999997</c:v>
                </c:pt>
                <c:pt idx="473">
                  <c:v>59.099999999999966</c:v>
                </c:pt>
                <c:pt idx="474">
                  <c:v>-3.5527136788005009E-14</c:v>
                </c:pt>
                <c:pt idx="475">
                  <c:v>-3.5000000000000355</c:v>
                </c:pt>
                <c:pt idx="476">
                  <c:v>15.999999999999964</c:v>
                </c:pt>
                <c:pt idx="477">
                  <c:v>-3.5527136788005009E-14</c:v>
                </c:pt>
                <c:pt idx="478">
                  <c:v>28.099999999999966</c:v>
                </c:pt>
                <c:pt idx="479">
                  <c:v>41.699999999999967</c:v>
                </c:pt>
                <c:pt idx="480">
                  <c:v>-3.5527136788005009E-14</c:v>
                </c:pt>
                <c:pt idx="481">
                  <c:v>51.899999999999963</c:v>
                </c:pt>
                <c:pt idx="482">
                  <c:v>2.3999999999999631</c:v>
                </c:pt>
                <c:pt idx="483">
                  <c:v>-3.6859404417555197E-14</c:v>
                </c:pt>
                <c:pt idx="484">
                  <c:v>-17.100000000000037</c:v>
                </c:pt>
                <c:pt idx="485">
                  <c:v>-21.900000000000038</c:v>
                </c:pt>
                <c:pt idx="486">
                  <c:v>-3.907985046680551E-14</c:v>
                </c:pt>
                <c:pt idx="487">
                  <c:v>-46.100000000000037</c:v>
                </c:pt>
                <c:pt idx="488">
                  <c:v>-41.900000000000034</c:v>
                </c:pt>
                <c:pt idx="489">
                  <c:v>-3.5527136788005009E-14</c:v>
                </c:pt>
                <c:pt idx="490">
                  <c:v>-30.300000000000036</c:v>
                </c:pt>
                <c:pt idx="491">
                  <c:v>16.499999999999961</c:v>
                </c:pt>
                <c:pt idx="492">
                  <c:v>-3.907985046680551E-14</c:v>
                </c:pt>
                <c:pt idx="493">
                  <c:v>-36.600000000000037</c:v>
                </c:pt>
                <c:pt idx="494">
                  <c:v>-49.000000000000036</c:v>
                </c:pt>
                <c:pt idx="495">
                  <c:v>-3.5527136788005009E-14</c:v>
                </c:pt>
                <c:pt idx="496">
                  <c:v>-48.600000000000037</c:v>
                </c:pt>
                <c:pt idx="497">
                  <c:v>-44.400000000000034</c:v>
                </c:pt>
                <c:pt idx="498">
                  <c:v>-3.5527136788005009E-14</c:v>
                </c:pt>
                <c:pt idx="499">
                  <c:v>-9.6000000000000352</c:v>
                </c:pt>
                <c:pt idx="500">
                  <c:v>40.19999999999996</c:v>
                </c:pt>
                <c:pt idx="501">
                  <c:v>-4.2632564145606011E-14</c:v>
                </c:pt>
                <c:pt idx="502">
                  <c:v>-48.80000000000004</c:v>
                </c:pt>
                <c:pt idx="503">
                  <c:v>-50.000000000000043</c:v>
                </c:pt>
                <c:pt idx="504">
                  <c:v>-4.2632564145606011E-14</c:v>
                </c:pt>
                <c:pt idx="505">
                  <c:v>-11.400000000000043</c:v>
                </c:pt>
                <c:pt idx="506">
                  <c:v>33.69999999999996</c:v>
                </c:pt>
                <c:pt idx="507">
                  <c:v>-4.2632564145606011E-14</c:v>
                </c:pt>
                <c:pt idx="508">
                  <c:v>124.09999999999995</c:v>
                </c:pt>
                <c:pt idx="509">
                  <c:v>132.89999999999995</c:v>
                </c:pt>
                <c:pt idx="510">
                  <c:v>-5.6843418860808015E-14</c:v>
                </c:pt>
                <c:pt idx="511">
                  <c:v>22.399999999999942</c:v>
                </c:pt>
                <c:pt idx="512">
                  <c:v>29.399999999999942</c:v>
                </c:pt>
                <c:pt idx="513">
                  <c:v>-5.6843418860808015E-14</c:v>
                </c:pt>
                <c:pt idx="514">
                  <c:v>13.599999999999943</c:v>
                </c:pt>
                <c:pt idx="515">
                  <c:v>-0.50000000000005684</c:v>
                </c:pt>
                <c:pt idx="516">
                  <c:v>-5.6843418860808015E-14</c:v>
                </c:pt>
                <c:pt idx="517">
                  <c:v>-48.20000000000006</c:v>
                </c:pt>
                <c:pt idx="518">
                  <c:v>-70.600000000000051</c:v>
                </c:pt>
                <c:pt idx="519">
                  <c:v>-5.6843418860808015E-14</c:v>
                </c:pt>
                <c:pt idx="520">
                  <c:v>44.499999999999943</c:v>
                </c:pt>
                <c:pt idx="521">
                  <c:v>30.999999999999943</c:v>
                </c:pt>
                <c:pt idx="522">
                  <c:v>-5.6843418860808015E-14</c:v>
                </c:pt>
                <c:pt idx="523">
                  <c:v>16.999999999999943</c:v>
                </c:pt>
                <c:pt idx="524">
                  <c:v>-6.6000000000000583</c:v>
                </c:pt>
                <c:pt idx="525">
                  <c:v>-5.8619775700208265E-14</c:v>
                </c:pt>
                <c:pt idx="526">
                  <c:v>3.1999999999999416</c:v>
                </c:pt>
                <c:pt idx="527">
                  <c:v>-26.400000000000059</c:v>
                </c:pt>
                <c:pt idx="528">
                  <c:v>-6.0396132539608516E-14</c:v>
                </c:pt>
                <c:pt idx="529">
                  <c:v>-52.300000000000054</c:v>
                </c:pt>
                <c:pt idx="530">
                  <c:v>-11.500000000000057</c:v>
                </c:pt>
                <c:pt idx="531">
                  <c:v>-5.6843418860808015E-14</c:v>
                </c:pt>
                <c:pt idx="532">
                  <c:v>-22.800000000000058</c:v>
                </c:pt>
                <c:pt idx="533">
                  <c:v>-70.600000000000051</c:v>
                </c:pt>
                <c:pt idx="534">
                  <c:v>-5.6843418860808015E-14</c:v>
                </c:pt>
                <c:pt idx="535">
                  <c:v>5.799999999999943</c:v>
                </c:pt>
                <c:pt idx="536">
                  <c:v>-16.300000000000058</c:v>
                </c:pt>
                <c:pt idx="537">
                  <c:v>-5.6843418860808015E-14</c:v>
                </c:pt>
                <c:pt idx="538">
                  <c:v>-41.100000000000058</c:v>
                </c:pt>
                <c:pt idx="539">
                  <c:v>5.7999999999999403</c:v>
                </c:pt>
                <c:pt idx="540">
                  <c:v>-5.9507954119908391E-14</c:v>
                </c:pt>
                <c:pt idx="541">
                  <c:v>-56.400000000000055</c:v>
                </c:pt>
                <c:pt idx="542">
                  <c:v>-7.4000000000000554</c:v>
                </c:pt>
                <c:pt idx="543">
                  <c:v>-5.5067062021407764E-14</c:v>
                </c:pt>
                <c:pt idx="544">
                  <c:v>36.199999999999946</c:v>
                </c:pt>
                <c:pt idx="545">
                  <c:v>43.299999999999947</c:v>
                </c:pt>
                <c:pt idx="546">
                  <c:v>-4.9737991503207013E-14</c:v>
                </c:pt>
                <c:pt idx="547">
                  <c:v>-26.400000000000048</c:v>
                </c:pt>
                <c:pt idx="548">
                  <c:v>-25.00000000000005</c:v>
                </c:pt>
                <c:pt idx="549">
                  <c:v>-4.9737991503207013E-14</c:v>
                </c:pt>
                <c:pt idx="550">
                  <c:v>-13.100000000000049</c:v>
                </c:pt>
                <c:pt idx="551">
                  <c:v>36.099999999999952</c:v>
                </c:pt>
                <c:pt idx="552">
                  <c:v>-4.9737991503207013E-14</c:v>
                </c:pt>
                <c:pt idx="553">
                  <c:v>-3.9000000000000496</c:v>
                </c:pt>
                <c:pt idx="554">
                  <c:v>-19.200000000000049</c:v>
                </c:pt>
                <c:pt idx="555">
                  <c:v>-4.9737991503207013E-14</c:v>
                </c:pt>
                <c:pt idx="556">
                  <c:v>-49.00000000000005</c:v>
                </c:pt>
                <c:pt idx="557">
                  <c:v>12.99999999999995</c:v>
                </c:pt>
                <c:pt idx="558">
                  <c:v>-4.9737991503207013E-14</c:v>
                </c:pt>
                <c:pt idx="559">
                  <c:v>-19.50000000000005</c:v>
                </c:pt>
                <c:pt idx="560">
                  <c:v>-16.80000000000005</c:v>
                </c:pt>
                <c:pt idx="561">
                  <c:v>-4.9737991503207013E-14</c:v>
                </c:pt>
                <c:pt idx="562">
                  <c:v>37.799999999999947</c:v>
                </c:pt>
                <c:pt idx="563">
                  <c:v>-7.7000000000000526</c:v>
                </c:pt>
                <c:pt idx="564">
                  <c:v>-5.2402526762307389E-14</c:v>
                </c:pt>
                <c:pt idx="565">
                  <c:v>-18.400000000000052</c:v>
                </c:pt>
                <c:pt idx="566">
                  <c:v>-59.200000000000045</c:v>
                </c:pt>
                <c:pt idx="567">
                  <c:v>-4.2632564145606011E-14</c:v>
                </c:pt>
                <c:pt idx="568">
                  <c:v>1.0999999999999575</c:v>
                </c:pt>
                <c:pt idx="569">
                  <c:v>44.799999999999962</c:v>
                </c:pt>
                <c:pt idx="570">
                  <c:v>-3.5527136788005009E-14</c:v>
                </c:pt>
                <c:pt idx="571">
                  <c:v>1.0999999999999646</c:v>
                </c:pt>
                <c:pt idx="572">
                  <c:v>25.099999999999966</c:v>
                </c:pt>
                <c:pt idx="573">
                  <c:v>-3.5527136788005009E-14</c:v>
                </c:pt>
                <c:pt idx="574">
                  <c:v>-0.10000000000003553</c:v>
                </c:pt>
                <c:pt idx="575">
                  <c:v>-35.80000000000004</c:v>
                </c:pt>
                <c:pt idx="576">
                  <c:v>-4.2632564145606011E-14</c:v>
                </c:pt>
                <c:pt idx="577">
                  <c:v>-22.500000000000043</c:v>
                </c:pt>
                <c:pt idx="578">
                  <c:v>-30.400000000000041</c:v>
                </c:pt>
                <c:pt idx="579">
                  <c:v>-4.2632564145606011E-14</c:v>
                </c:pt>
                <c:pt idx="580">
                  <c:v>-87.400000000000048</c:v>
                </c:pt>
                <c:pt idx="581">
                  <c:v>9.699999999999946</c:v>
                </c:pt>
                <c:pt idx="582">
                  <c:v>-5.3290705182007514E-14</c:v>
                </c:pt>
                <c:pt idx="583">
                  <c:v>25.899999999999945</c:v>
                </c:pt>
                <c:pt idx="584">
                  <c:v>2.7999999999999439</c:v>
                </c:pt>
                <c:pt idx="585">
                  <c:v>-5.595524044110789E-14</c:v>
                </c:pt>
                <c:pt idx="586">
                  <c:v>-12.900000000000055</c:v>
                </c:pt>
                <c:pt idx="587">
                  <c:v>32.299999999999947</c:v>
                </c:pt>
                <c:pt idx="588">
                  <c:v>-4.9737991503207013E-14</c:v>
                </c:pt>
                <c:pt idx="589">
                  <c:v>35.99999999999995</c:v>
                </c:pt>
                <c:pt idx="590">
                  <c:v>-12.800000000000047</c:v>
                </c:pt>
                <c:pt idx="591">
                  <c:v>-4.6185277824406512E-14</c:v>
                </c:pt>
                <c:pt idx="592">
                  <c:v>20.399999999999952</c:v>
                </c:pt>
                <c:pt idx="593">
                  <c:v>-30.700000000000049</c:v>
                </c:pt>
                <c:pt idx="594">
                  <c:v>-4.9737991503207013E-14</c:v>
                </c:pt>
                <c:pt idx="595">
                  <c:v>-60.300000000000047</c:v>
                </c:pt>
                <c:pt idx="596">
                  <c:v>-0.3000000000000469</c:v>
                </c:pt>
                <c:pt idx="597">
                  <c:v>-4.6906922790412864E-14</c:v>
                </c:pt>
                <c:pt idx="598">
                  <c:v>-45.600000000000051</c:v>
                </c:pt>
                <c:pt idx="599">
                  <c:v>9.5999999999999517</c:v>
                </c:pt>
                <c:pt idx="600">
                  <c:v>-4.7961634663806763E-14</c:v>
                </c:pt>
                <c:pt idx="601">
                  <c:v>28.899999999999949</c:v>
                </c:pt>
                <c:pt idx="602">
                  <c:v>27.899999999999949</c:v>
                </c:pt>
                <c:pt idx="603">
                  <c:v>-4.9737991503207013E-14</c:v>
                </c:pt>
                <c:pt idx="604">
                  <c:v>-31.50000000000005</c:v>
                </c:pt>
                <c:pt idx="605">
                  <c:v>-38.400000000000048</c:v>
                </c:pt>
                <c:pt idx="606">
                  <c:v>-4.9737991503207013E-14</c:v>
                </c:pt>
                <c:pt idx="607">
                  <c:v>33.49999999999995</c:v>
                </c:pt>
                <c:pt idx="608">
                  <c:v>0.6999999999999531</c:v>
                </c:pt>
                <c:pt idx="609">
                  <c:v>-4.6851411639181606E-14</c:v>
                </c:pt>
                <c:pt idx="610">
                  <c:v>11.999999999999954</c:v>
                </c:pt>
                <c:pt idx="611">
                  <c:v>38.299999999999955</c:v>
                </c:pt>
                <c:pt idx="612">
                  <c:v>-4.2632564145606011E-14</c:v>
                </c:pt>
                <c:pt idx="613">
                  <c:v>7.3999999999999577</c:v>
                </c:pt>
                <c:pt idx="614">
                  <c:v>26.799999999999955</c:v>
                </c:pt>
                <c:pt idx="615">
                  <c:v>-4.6185277824406512E-14</c:v>
                </c:pt>
                <c:pt idx="616">
                  <c:v>-26.800000000000047</c:v>
                </c:pt>
                <c:pt idx="617">
                  <c:v>-5.3000000000000469</c:v>
                </c:pt>
                <c:pt idx="618">
                  <c:v>-4.7073456244106637E-14</c:v>
                </c:pt>
                <c:pt idx="619">
                  <c:v>-20.200000000000045</c:v>
                </c:pt>
                <c:pt idx="620">
                  <c:v>-28.900000000000045</c:v>
                </c:pt>
                <c:pt idx="621">
                  <c:v>-4.6185277824406512E-14</c:v>
                </c:pt>
                <c:pt idx="622">
                  <c:v>-22.600000000000048</c:v>
                </c:pt>
                <c:pt idx="623">
                  <c:v>-20.000000000000046</c:v>
                </c:pt>
                <c:pt idx="624">
                  <c:v>-4.6185277824406512E-14</c:v>
                </c:pt>
                <c:pt idx="625">
                  <c:v>42.299999999999955</c:v>
                </c:pt>
                <c:pt idx="626">
                  <c:v>46.999999999999957</c:v>
                </c:pt>
                <c:pt idx="627">
                  <c:v>-4.2632564145606011E-14</c:v>
                </c:pt>
                <c:pt idx="628">
                  <c:v>-21.600000000000044</c:v>
                </c:pt>
                <c:pt idx="629">
                  <c:v>0.59999999999995524</c:v>
                </c:pt>
                <c:pt idx="630">
                  <c:v>-4.4741987892393809E-14</c:v>
                </c:pt>
                <c:pt idx="631">
                  <c:v>1.0999999999999552</c:v>
                </c:pt>
                <c:pt idx="632">
                  <c:v>-47.400000000000048</c:v>
                </c:pt>
                <c:pt idx="633">
                  <c:v>-4.9737991503207013E-14</c:v>
                </c:pt>
                <c:pt idx="634">
                  <c:v>-55.50000000000005</c:v>
                </c:pt>
                <c:pt idx="635">
                  <c:v>-66.200000000000045</c:v>
                </c:pt>
                <c:pt idx="636">
                  <c:v>-4.2632564145606011E-14</c:v>
                </c:pt>
                <c:pt idx="637">
                  <c:v>54.19999999999996</c:v>
                </c:pt>
                <c:pt idx="638">
                  <c:v>48.69999999999996</c:v>
                </c:pt>
                <c:pt idx="639">
                  <c:v>-4.2632564145606011E-14</c:v>
                </c:pt>
                <c:pt idx="640">
                  <c:v>15.699999999999957</c:v>
                </c:pt>
                <c:pt idx="641">
                  <c:v>18.299999999999958</c:v>
                </c:pt>
                <c:pt idx="642">
                  <c:v>-4.2632564145606011E-14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01-4F67-A1B4-EA2C0CEB4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-23.584905660377359</c:v>
                </c:pt>
                <c:pt idx="1">
                  <c:v>11.217948717948717</c:v>
                </c:pt>
                <c:pt idx="2">
                  <c:v>-15.384615384615385</c:v>
                </c:pt>
                <c:pt idx="3">
                  <c:v>10.810810810810811</c:v>
                </c:pt>
                <c:pt idx="4">
                  <c:v>9.8039215686274517</c:v>
                </c:pt>
                <c:pt idx="5">
                  <c:v>14.084507042253522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75-43BE-8AD6-47B30C79B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115</c:v>
                </c:pt>
                <c:pt idx="1">
                  <c:v>257</c:v>
                </c:pt>
                <c:pt idx="2">
                  <c:v>325</c:v>
                </c:pt>
                <c:pt idx="3">
                  <c:v>279</c:v>
                </c:pt>
                <c:pt idx="4">
                  <c:v>253</c:v>
                </c:pt>
                <c:pt idx="5">
                  <c:v>162</c:v>
                </c:pt>
                <c:pt idx="6">
                  <c:v>85</c:v>
                </c:pt>
                <c:pt idx="7">
                  <c:v>45</c:v>
                </c:pt>
                <c:pt idx="8">
                  <c:v>18</c:v>
                </c:pt>
                <c:pt idx="9">
                  <c:v>7</c:v>
                </c:pt>
                <c:pt idx="10">
                  <c:v>5</c:v>
                </c:pt>
                <c:pt idx="11">
                  <c:v>5</c:v>
                </c:pt>
                <c:pt idx="1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11-4946-ABDF-07B4316DB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たかの!$L$2:$L$58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9E-46AB-8408-8FA472BE3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1325</c:v>
                </c:pt>
                <c:pt idx="1">
                  <c:v>-881.81818181818187</c:v>
                </c:pt>
                <c:pt idx="2">
                  <c:v>-1754.7169811320755</c:v>
                </c:pt>
                <c:pt idx="3">
                  <c:v>-1473.0769230769231</c:v>
                </c:pt>
                <c:pt idx="4">
                  <c:v>25.490196078431371</c:v>
                </c:pt>
                <c:pt idx="5">
                  <c:v>-1881.8181818181818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14-46E9-8D45-7EC9C3CF0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18</c:v>
                </c:pt>
                <c:pt idx="1">
                  <c:v>26</c:v>
                </c:pt>
                <c:pt idx="2">
                  <c:v>31</c:v>
                </c:pt>
                <c:pt idx="3">
                  <c:v>19</c:v>
                </c:pt>
                <c:pt idx="4">
                  <c:v>15</c:v>
                </c:pt>
                <c:pt idx="5">
                  <c:v>10</c:v>
                </c:pt>
                <c:pt idx="6">
                  <c:v>8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E-4778-A5A3-4215B0EED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だいち!$K$2:$K$136</c:f>
              <c:numCache>
                <c:formatCode>General</c:formatCode>
                <c:ptCount val="1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</c:numCache>
            </c:numRef>
          </c:xVal>
          <c:yVal>
            <c:numRef>
              <c:f>だいち!$L$2:$L$136</c:f>
              <c:numCache>
                <c:formatCode>\+0.0;\-0.0;\±0</c:formatCode>
                <c:ptCount val="135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500.59999999999997</c:v>
                </c:pt>
                <c:pt idx="65">
                  <c:v>518.9</c:v>
                </c:pt>
                <c:pt idx="66">
                  <c:v>538.1</c:v>
                </c:pt>
                <c:pt idx="67">
                  <c:v>538.70000000000005</c:v>
                </c:pt>
                <c:pt idx="68">
                  <c:v>503.50000000000006</c:v>
                </c:pt>
                <c:pt idx="69">
                  <c:v>544.1</c:v>
                </c:pt>
                <c:pt idx="70">
                  <c:v>576.5</c:v>
                </c:pt>
                <c:pt idx="71">
                  <c:v>544.79999999999995</c:v>
                </c:pt>
                <c:pt idx="72">
                  <c:v>502.09999999999997</c:v>
                </c:pt>
                <c:pt idx="73">
                  <c:v>526.19999999999993</c:v>
                </c:pt>
                <c:pt idx="74">
                  <c:v>550.99999999999989</c:v>
                </c:pt>
                <c:pt idx="75">
                  <c:v>576.49999999999989</c:v>
                </c:pt>
                <c:pt idx="76">
                  <c:v>601.29999999999984</c:v>
                </c:pt>
                <c:pt idx="77">
                  <c:v>576.29999999999984</c:v>
                </c:pt>
                <c:pt idx="78">
                  <c:v>546.79999999999984</c:v>
                </c:pt>
                <c:pt idx="79">
                  <c:v>579.29999999999984</c:v>
                </c:pt>
                <c:pt idx="80">
                  <c:v>556.89999999999986</c:v>
                </c:pt>
                <c:pt idx="81">
                  <c:v>572.09999999999991</c:v>
                </c:pt>
                <c:pt idx="82">
                  <c:v>521.59999999999991</c:v>
                </c:pt>
                <c:pt idx="83">
                  <c:v>548.39999999999986</c:v>
                </c:pt>
                <c:pt idx="84">
                  <c:v>546.59999999999991</c:v>
                </c:pt>
                <c:pt idx="85">
                  <c:v>566.49999999999989</c:v>
                </c:pt>
                <c:pt idx="86">
                  <c:v>529.79999999999984</c:v>
                </c:pt>
                <c:pt idx="87">
                  <c:v>550.39999999999986</c:v>
                </c:pt>
                <c:pt idx="88">
                  <c:v>554.39999999999986</c:v>
                </c:pt>
                <c:pt idx="89">
                  <c:v>570.89999999999986</c:v>
                </c:pt>
                <c:pt idx="90">
                  <c:v>531.89999999999986</c:v>
                </c:pt>
                <c:pt idx="91">
                  <c:v>486.29999999999984</c:v>
                </c:pt>
                <c:pt idx="92">
                  <c:v>520.39999999999986</c:v>
                </c:pt>
                <c:pt idx="93">
                  <c:v>548.09999999999991</c:v>
                </c:pt>
                <c:pt idx="94">
                  <c:v>583.99999999999989</c:v>
                </c:pt>
                <c:pt idx="95">
                  <c:v>605.69999999999993</c:v>
                </c:pt>
                <c:pt idx="96">
                  <c:v>625.19999999999993</c:v>
                </c:pt>
                <c:pt idx="97">
                  <c:v>638.79999999999995</c:v>
                </c:pt>
                <c:pt idx="98">
                  <c:v>680.69999999999993</c:v>
                </c:pt>
                <c:pt idx="99">
                  <c:v>664.19999999999993</c:v>
                </c:pt>
                <c:pt idx="100">
                  <c:v>713.19999999999993</c:v>
                </c:pt>
                <c:pt idx="101">
                  <c:v>757.59999999999991</c:v>
                </c:pt>
                <c:pt idx="102">
                  <c:v>717.39999999999986</c:v>
                </c:pt>
                <c:pt idx="103">
                  <c:v>767.39999999999986</c:v>
                </c:pt>
                <c:pt idx="104">
                  <c:v>891.49999999999989</c:v>
                </c:pt>
                <c:pt idx="105">
                  <c:v>898.49999999999989</c:v>
                </c:pt>
                <c:pt idx="106">
                  <c:v>884.39999999999986</c:v>
                </c:pt>
                <c:pt idx="107">
                  <c:v>954.99999999999989</c:v>
                </c:pt>
                <c:pt idx="108">
                  <c:v>923.99999999999989</c:v>
                </c:pt>
                <c:pt idx="109">
                  <c:v>900.39999999999986</c:v>
                </c:pt>
                <c:pt idx="110">
                  <c:v>903.59999999999991</c:v>
                </c:pt>
                <c:pt idx="111">
                  <c:v>915.09999999999991</c:v>
                </c:pt>
                <c:pt idx="112">
                  <c:v>985.69999999999993</c:v>
                </c:pt>
                <c:pt idx="113">
                  <c:v>991.49999999999989</c:v>
                </c:pt>
                <c:pt idx="114">
                  <c:v>1038.3999999999999</c:v>
                </c:pt>
                <c:pt idx="115">
                  <c:v>1045.8</c:v>
                </c:pt>
                <c:pt idx="116">
                  <c:v>1047.2</c:v>
                </c:pt>
                <c:pt idx="117">
                  <c:v>1043.3</c:v>
                </c:pt>
                <c:pt idx="118">
                  <c:v>1060.0999999999999</c:v>
                </c:pt>
                <c:pt idx="119">
                  <c:v>1067.8</c:v>
                </c:pt>
                <c:pt idx="120">
                  <c:v>1027</c:v>
                </c:pt>
                <c:pt idx="121">
                  <c:v>1070.7</c:v>
                </c:pt>
                <c:pt idx="122">
                  <c:v>1071.8</c:v>
                </c:pt>
                <c:pt idx="123">
                  <c:v>1110.2</c:v>
                </c:pt>
                <c:pt idx="124">
                  <c:v>1077.4000000000001</c:v>
                </c:pt>
                <c:pt idx="125">
                  <c:v>1103.7</c:v>
                </c:pt>
                <c:pt idx="126">
                  <c:v>1125.2</c:v>
                </c:pt>
                <c:pt idx="127">
                  <c:v>1116.5</c:v>
                </c:pt>
                <c:pt idx="128">
                  <c:v>1093.9000000000001</c:v>
                </c:pt>
                <c:pt idx="129">
                  <c:v>1098.6000000000001</c:v>
                </c:pt>
                <c:pt idx="130">
                  <c:v>1120.8000000000002</c:v>
                </c:pt>
                <c:pt idx="131">
                  <c:v>1072.3000000000002</c:v>
                </c:pt>
                <c:pt idx="132">
                  <c:v>1138.5000000000002</c:v>
                </c:pt>
                <c:pt idx="133">
                  <c:v>1192.7000000000003</c:v>
                </c:pt>
                <c:pt idx="134">
                  <c:v>1208.4000000000003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48-4AB6-A786-EFD8BC489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1100.7575757575758</c:v>
                </c:pt>
                <c:pt idx="1">
                  <c:v>744.18604651162786</c:v>
                </c:pt>
                <c:pt idx="2">
                  <c:v>1017.0731707317074</c:v>
                </c:pt>
                <c:pt idx="3">
                  <c:v>573.04347826086962</c:v>
                </c:pt>
                <c:pt idx="4">
                  <c:v>2164.4859813084113</c:v>
                </c:pt>
                <c:pt idx="5">
                  <c:v>2337.9310344827586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90-4734-9864-581EC1F46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30</c:v>
                </c:pt>
                <c:pt idx="1">
                  <c:v>64</c:v>
                </c:pt>
                <c:pt idx="2">
                  <c:v>83</c:v>
                </c:pt>
                <c:pt idx="3">
                  <c:v>72</c:v>
                </c:pt>
                <c:pt idx="4">
                  <c:v>54</c:v>
                </c:pt>
                <c:pt idx="5">
                  <c:v>37</c:v>
                </c:pt>
                <c:pt idx="6">
                  <c:v>17</c:v>
                </c:pt>
                <c:pt idx="7">
                  <c:v>5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3C-4716-ABF6-C2A5C3FF2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ただ!$K$2:$K$124</c:f>
              <c:numCache>
                <c:formatCode>General</c:formatCode>
                <c:ptCount val="1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</c:numCache>
            </c:numRef>
          </c:xVal>
          <c:yVal>
            <c:numRef>
              <c:f>ただ!$L$2:$L$124</c:f>
              <c:numCache>
                <c:formatCode>\+0.0;\-0.0;\±0</c:formatCode>
                <c:ptCount val="123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74-4D79-974A-65AB3D1B0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-1330.5785123966941</c:v>
                </c:pt>
                <c:pt idx="1">
                  <c:v>1721.0084033613446</c:v>
                </c:pt>
                <c:pt idx="2">
                  <c:v>-99.082568807339456</c:v>
                </c:pt>
                <c:pt idx="3">
                  <c:v>669.23076923076928</c:v>
                </c:pt>
                <c:pt idx="4">
                  <c:v>-1082.1052631578948</c:v>
                </c:pt>
                <c:pt idx="5">
                  <c:v>1446.9135802469136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48-407C-AD49-9B3928332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22</c:v>
                </c:pt>
                <c:pt idx="1">
                  <c:v>48</c:v>
                </c:pt>
                <c:pt idx="2">
                  <c:v>69</c:v>
                </c:pt>
                <c:pt idx="3">
                  <c:v>64</c:v>
                </c:pt>
                <c:pt idx="4">
                  <c:v>48</c:v>
                </c:pt>
                <c:pt idx="5">
                  <c:v>35</c:v>
                </c:pt>
                <c:pt idx="6">
                  <c:v>10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23-470D-8938-DB272F09E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りくと!$K$2:$K$76</c:f>
              <c:numCache>
                <c:formatCode>General</c:formatCode>
                <c:ptCount val="7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</c:numCache>
            </c:numRef>
          </c:xVal>
          <c:yVal>
            <c:numRef>
              <c:f>りくと!$L$2:$L$76</c:f>
              <c:numCache>
                <c:formatCode>\+0.0;\-0.0;\±0</c:formatCode>
                <c:ptCount val="75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-236.8</c:v>
                </c:pt>
                <c:pt idx="36">
                  <c:v>-264.60000000000002</c:v>
                </c:pt>
                <c:pt idx="37">
                  <c:v>-252.20000000000002</c:v>
                </c:pt>
                <c:pt idx="38">
                  <c:v>-261</c:v>
                </c:pt>
                <c:pt idx="39">
                  <c:v>-245.4</c:v>
                </c:pt>
                <c:pt idx="40">
                  <c:v>-227</c:v>
                </c:pt>
                <c:pt idx="41">
                  <c:v>-268.39999999999998</c:v>
                </c:pt>
                <c:pt idx="42">
                  <c:v>-264.39999999999998</c:v>
                </c:pt>
                <c:pt idx="43">
                  <c:v>-268.89999999999998</c:v>
                </c:pt>
                <c:pt idx="44">
                  <c:v>-299.39999999999998</c:v>
                </c:pt>
                <c:pt idx="45">
                  <c:v>-330.7</c:v>
                </c:pt>
                <c:pt idx="46">
                  <c:v>-353.09999999999997</c:v>
                </c:pt>
                <c:pt idx="47">
                  <c:v>-351.79999999999995</c:v>
                </c:pt>
                <c:pt idx="48">
                  <c:v>-346.19999999999993</c:v>
                </c:pt>
                <c:pt idx="49">
                  <c:v>-357.39999999999992</c:v>
                </c:pt>
                <c:pt idx="50">
                  <c:v>-404.09999999999991</c:v>
                </c:pt>
                <c:pt idx="51">
                  <c:v>-400.99999999999989</c:v>
                </c:pt>
                <c:pt idx="52">
                  <c:v>-414.7999999999999</c:v>
                </c:pt>
                <c:pt idx="53">
                  <c:v>-403.89999999999992</c:v>
                </c:pt>
                <c:pt idx="54">
                  <c:v>-386.7999999999999</c:v>
                </c:pt>
                <c:pt idx="55">
                  <c:v>-441.2999999999999</c:v>
                </c:pt>
                <c:pt idx="56">
                  <c:v>-398.09999999999991</c:v>
                </c:pt>
                <c:pt idx="57">
                  <c:v>-393.39999999999992</c:v>
                </c:pt>
                <c:pt idx="58">
                  <c:v>-376.49999999999994</c:v>
                </c:pt>
                <c:pt idx="59">
                  <c:v>-373.49999999999994</c:v>
                </c:pt>
                <c:pt idx="60">
                  <c:v>-399.29999999999995</c:v>
                </c:pt>
                <c:pt idx="61">
                  <c:v>-448.79999999999995</c:v>
                </c:pt>
                <c:pt idx="62">
                  <c:v>-453.59999999999997</c:v>
                </c:pt>
                <c:pt idx="63">
                  <c:v>-501.79999999999995</c:v>
                </c:pt>
                <c:pt idx="64">
                  <c:v>-457.29999999999995</c:v>
                </c:pt>
                <c:pt idx="65">
                  <c:v>-421.09999999999997</c:v>
                </c:pt>
                <c:pt idx="66">
                  <c:v>-465.9</c:v>
                </c:pt>
                <c:pt idx="67">
                  <c:v>-441.9</c:v>
                </c:pt>
                <c:pt idx="68">
                  <c:v>-477.59999999999997</c:v>
                </c:pt>
                <c:pt idx="69">
                  <c:v>-477.29999999999995</c:v>
                </c:pt>
                <c:pt idx="70">
                  <c:v>-486.9</c:v>
                </c:pt>
                <c:pt idx="71">
                  <c:v>-458</c:v>
                </c:pt>
                <c:pt idx="72">
                  <c:v>-484.8</c:v>
                </c:pt>
                <c:pt idx="73">
                  <c:v>-506.40000000000003</c:v>
                </c:pt>
                <c:pt idx="74">
                  <c:v>-505.3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39-44A3-86AF-3594A58EF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-284.72222222222223</c:v>
                </c:pt>
                <c:pt idx="1">
                  <c:v>-1340.2777777777778</c:v>
                </c:pt>
                <c:pt idx="2">
                  <c:v>1081.8181818181818</c:v>
                </c:pt>
                <c:pt idx="3">
                  <c:v>-1144.6153846153845</c:v>
                </c:pt>
                <c:pt idx="4">
                  <c:v>-3072.1311475409834</c:v>
                </c:pt>
                <c:pt idx="5">
                  <c:v>-1566.0377358490566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FA-40A8-A39F-F3715BEF2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28</c:v>
                </c:pt>
                <c:pt idx="2">
                  <c:v>39</c:v>
                </c:pt>
                <c:pt idx="3">
                  <c:v>28</c:v>
                </c:pt>
                <c:pt idx="4">
                  <c:v>29</c:v>
                </c:pt>
                <c:pt idx="5">
                  <c:v>18</c:v>
                </c:pt>
                <c:pt idx="6">
                  <c:v>11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11-42B5-B8CA-34154938E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れんたろう!$K$2:$K$82</c:f>
              <c:numCache>
                <c:formatCode>General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れんたろう!$L$2:$L$82</c:f>
              <c:numCache>
                <c:formatCode>\+0.0;\-0.0;\±0</c:formatCode>
                <c:ptCount val="81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6B-42C6-BABE-BCE642954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1041.25</c:v>
                </c:pt>
                <c:pt idx="1">
                  <c:v>-2439.7435897435898</c:v>
                </c:pt>
                <c:pt idx="2">
                  <c:v>422.85714285714283</c:v>
                </c:pt>
                <c:pt idx="3">
                  <c:v>2894.0298507462685</c:v>
                </c:pt>
                <c:pt idx="4">
                  <c:v>601.66666666666663</c:v>
                </c:pt>
                <c:pt idx="5">
                  <c:v>-193.61702127659575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3C-4B30-82A4-DA0F9DEF3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4</c:v>
                </c:pt>
                <c:pt idx="1">
                  <c:v>16</c:v>
                </c:pt>
                <c:pt idx="2">
                  <c:v>23</c:v>
                </c:pt>
                <c:pt idx="3">
                  <c:v>34</c:v>
                </c:pt>
                <c:pt idx="4">
                  <c:v>46</c:v>
                </c:pt>
                <c:pt idx="5">
                  <c:v>17</c:v>
                </c:pt>
                <c:pt idx="6">
                  <c:v>17</c:v>
                </c:pt>
                <c:pt idx="7">
                  <c:v>10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97-4102-A04D-D3CCE9306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まっつん!$K$2:$K$103</c:f>
              <c:numCache>
                <c:formatCode>General</c:formatCode>
                <c:ptCount val="1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</c:numCache>
            </c:numRef>
          </c:xVal>
          <c:yVal>
            <c:numRef>
              <c:f>まっつん!$L$2:$L$103</c:f>
              <c:numCache>
                <c:formatCode>\+0.0;\-0.0;\±0</c:formatCode>
                <c:ptCount val="102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-58.59999999999998</c:v>
                </c:pt>
                <c:pt idx="39">
                  <c:v>-51.799999999999983</c:v>
                </c:pt>
                <c:pt idx="40">
                  <c:v>-67.899999999999977</c:v>
                </c:pt>
                <c:pt idx="41">
                  <c:v>-61.299999999999976</c:v>
                </c:pt>
                <c:pt idx="42">
                  <c:v>-56.899999999999977</c:v>
                </c:pt>
                <c:pt idx="43">
                  <c:v>-58.499999999999979</c:v>
                </c:pt>
                <c:pt idx="44">
                  <c:v>-49.899999999999977</c:v>
                </c:pt>
                <c:pt idx="45">
                  <c:v>11.600000000000023</c:v>
                </c:pt>
                <c:pt idx="46">
                  <c:v>-23.299999999999976</c:v>
                </c:pt>
                <c:pt idx="47">
                  <c:v>-11.099999999999977</c:v>
                </c:pt>
                <c:pt idx="48">
                  <c:v>-31.099999999999977</c:v>
                </c:pt>
                <c:pt idx="49">
                  <c:v>-18.499999999999979</c:v>
                </c:pt>
                <c:pt idx="50">
                  <c:v>7.1000000000000227</c:v>
                </c:pt>
                <c:pt idx="51">
                  <c:v>6.5000000000000231</c:v>
                </c:pt>
                <c:pt idx="52">
                  <c:v>-0.29999999999997673</c:v>
                </c:pt>
                <c:pt idx="53">
                  <c:v>8.800000000000022</c:v>
                </c:pt>
                <c:pt idx="54">
                  <c:v>5.800000000000022</c:v>
                </c:pt>
                <c:pt idx="55">
                  <c:v>-12.499999999999979</c:v>
                </c:pt>
                <c:pt idx="56">
                  <c:v>36.40000000000002</c:v>
                </c:pt>
                <c:pt idx="57">
                  <c:v>-3.6999999999999815</c:v>
                </c:pt>
                <c:pt idx="58">
                  <c:v>12.90000000000002</c:v>
                </c:pt>
                <c:pt idx="59">
                  <c:v>37.700000000000017</c:v>
                </c:pt>
                <c:pt idx="60">
                  <c:v>77.000000000000014</c:v>
                </c:pt>
                <c:pt idx="61">
                  <c:v>21.100000000000016</c:v>
                </c:pt>
                <c:pt idx="62">
                  <c:v>27.100000000000016</c:v>
                </c:pt>
                <c:pt idx="63">
                  <c:v>11.800000000000015</c:v>
                </c:pt>
                <c:pt idx="64">
                  <c:v>46.40000000000002</c:v>
                </c:pt>
                <c:pt idx="65">
                  <c:v>39.90000000000002</c:v>
                </c:pt>
                <c:pt idx="66">
                  <c:v>14.600000000000019</c:v>
                </c:pt>
                <c:pt idx="67">
                  <c:v>-6.2999999999999794</c:v>
                </c:pt>
                <c:pt idx="68">
                  <c:v>-2.7999999999999794</c:v>
                </c:pt>
                <c:pt idx="69">
                  <c:v>-35.799999999999983</c:v>
                </c:pt>
                <c:pt idx="70">
                  <c:v>-59.899999999999984</c:v>
                </c:pt>
                <c:pt idx="71">
                  <c:v>-49.59999999999998</c:v>
                </c:pt>
                <c:pt idx="72">
                  <c:v>-53.999999999999979</c:v>
                </c:pt>
                <c:pt idx="73">
                  <c:v>-68.199999999999974</c:v>
                </c:pt>
                <c:pt idx="74">
                  <c:v>-65.699999999999974</c:v>
                </c:pt>
                <c:pt idx="75">
                  <c:v>-35.599999999999973</c:v>
                </c:pt>
                <c:pt idx="76">
                  <c:v>-37.499999999999972</c:v>
                </c:pt>
                <c:pt idx="77">
                  <c:v>-28.199999999999971</c:v>
                </c:pt>
                <c:pt idx="78">
                  <c:v>-87.299999999999969</c:v>
                </c:pt>
                <c:pt idx="79">
                  <c:v>-133.39999999999998</c:v>
                </c:pt>
                <c:pt idx="80">
                  <c:v>-169.99999999999997</c:v>
                </c:pt>
                <c:pt idx="81">
                  <c:v>-165.79999999999998</c:v>
                </c:pt>
                <c:pt idx="82">
                  <c:v>-115.99999999999999</c:v>
                </c:pt>
                <c:pt idx="83">
                  <c:v>-117.19999999999999</c:v>
                </c:pt>
                <c:pt idx="84">
                  <c:v>-128.6</c:v>
                </c:pt>
                <c:pt idx="85">
                  <c:v>-119.8</c:v>
                </c:pt>
                <c:pt idx="86">
                  <c:v>-97.4</c:v>
                </c:pt>
                <c:pt idx="87">
                  <c:v>-83.800000000000011</c:v>
                </c:pt>
                <c:pt idx="88">
                  <c:v>-57.400000000000013</c:v>
                </c:pt>
                <c:pt idx="89">
                  <c:v>-63.20000000000001</c:v>
                </c:pt>
                <c:pt idx="90">
                  <c:v>-119.60000000000001</c:v>
                </c:pt>
                <c:pt idx="91">
                  <c:v>-57.600000000000009</c:v>
                </c:pt>
                <c:pt idx="92">
                  <c:v>-54.900000000000006</c:v>
                </c:pt>
                <c:pt idx="93">
                  <c:v>-17.100000000000009</c:v>
                </c:pt>
                <c:pt idx="94">
                  <c:v>8.7999999999999901</c:v>
                </c:pt>
                <c:pt idx="95">
                  <c:v>-4.1000000000000103</c:v>
                </c:pt>
                <c:pt idx="96">
                  <c:v>31.899999999999991</c:v>
                </c:pt>
                <c:pt idx="97">
                  <c:v>52.29999999999999</c:v>
                </c:pt>
                <c:pt idx="98">
                  <c:v>13.999999999999993</c:v>
                </c:pt>
                <c:pt idx="99">
                  <c:v>21.399999999999991</c:v>
                </c:pt>
                <c:pt idx="100">
                  <c:v>-5.4000000000000092</c:v>
                </c:pt>
                <c:pt idx="101">
                  <c:v>-25.600000000000009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F8-4B83-9C89-40863934D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746</c:v>
                </c:pt>
                <c:pt idx="1">
                  <c:v>863.91752577319585</c:v>
                </c:pt>
                <c:pt idx="2">
                  <c:v>-596.7032967032967</c:v>
                </c:pt>
                <c:pt idx="3">
                  <c:v>13.253012048192771</c:v>
                </c:pt>
                <c:pt idx="4">
                  <c:v>-977.02702702702697</c:v>
                </c:pt>
                <c:pt idx="5">
                  <c:v>-763.49206349206349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B3-45F3-9E05-27F459102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13</c:v>
                </c:pt>
                <c:pt idx="1">
                  <c:v>43</c:v>
                </c:pt>
                <c:pt idx="2">
                  <c:v>48</c:v>
                </c:pt>
                <c:pt idx="3">
                  <c:v>38</c:v>
                </c:pt>
                <c:pt idx="4">
                  <c:v>36</c:v>
                </c:pt>
                <c:pt idx="5">
                  <c:v>25</c:v>
                </c:pt>
                <c:pt idx="6">
                  <c:v>11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09-4B7A-9F70-64BDDF2ED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のり!$L$2:$L$44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A5-4E2D-BCEB-03C11F9A3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-2380.9523809523807</c:v>
                </c:pt>
                <c:pt idx="1">
                  <c:v>-226.1904761904762</c:v>
                </c:pt>
                <c:pt idx="2">
                  <c:v>-1654.7619047619048</c:v>
                </c:pt>
                <c:pt idx="3">
                  <c:v>-3107.8947368421054</c:v>
                </c:pt>
                <c:pt idx="4">
                  <c:v>-1133.3333333333333</c:v>
                </c:pt>
                <c:pt idx="5">
                  <c:v>-3287.0967741935483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D6-468A-AB5F-35D2785F5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7</c:v>
                </c:pt>
                <c:pt idx="1">
                  <c:v>19</c:v>
                </c:pt>
                <c:pt idx="2">
                  <c:v>19</c:v>
                </c:pt>
                <c:pt idx="3">
                  <c:v>12</c:v>
                </c:pt>
                <c:pt idx="4">
                  <c:v>11</c:v>
                </c:pt>
                <c:pt idx="5">
                  <c:v>5</c:v>
                </c:pt>
                <c:pt idx="6">
                  <c:v>6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C4-434D-B7EA-1E7A6BDC9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EF-478A-A898-1CBA3AF54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-3145.8333333333335</c:v>
                </c:pt>
                <c:pt idx="1">
                  <c:v>-1225</c:v>
                </c:pt>
                <c:pt idx="2">
                  <c:v>1560.8695652173913</c:v>
                </c:pt>
                <c:pt idx="3">
                  <c:v>-2230.4347826086955</c:v>
                </c:pt>
                <c:pt idx="4">
                  <c:v>5409.5238095238092</c:v>
                </c:pt>
                <c:pt idx="5">
                  <c:v>1223.5294117647059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DE-40F5-B6AF-2E9216490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65-4AD8-8751-88FA1B45B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A3-43FA-A4D0-DEE304767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16-4927-B71B-E37DFD700E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B8-4292-A801-78F107254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D3-4B4B-A0EF-3A9D604CC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EA-46F4-AC3F-A8D9A4D8D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6C-4BB9-AB2F-1EB4EE99F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れんたろう2!$B$1:$B$2</c:f>
              <c:strCache>
                <c:ptCount val="2"/>
                <c:pt idx="0">
                  <c:v>れんたろう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れんたろう2!$A$3:$A$83</c:f>
              <c:numCache>
                <c:formatCode>0\ "回"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れんたろう2!$B$3:$B$83</c:f>
              <c:numCache>
                <c:formatCode>\+0.0;\-0.0;\±0</c:formatCode>
                <c:ptCount val="81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れんたろう2!$C$1:$C$2</c:f>
              <c:strCache>
                <c:ptCount val="2"/>
                <c:pt idx="0">
                  <c:v>れんたろう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れんたろう2!$A$3:$A$83</c:f>
              <c:numCache>
                <c:formatCode>0\ "回"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れんたろう2!$C$3:$C$83</c:f>
              <c:numCache>
                <c:formatCode>\+0.0;\-0.0;\±0</c:formatCode>
                <c:ptCount val="81"/>
                <c:pt idx="1">
                  <c:v>-9.1</c:v>
                </c:pt>
                <c:pt idx="2">
                  <c:v>-33.65</c:v>
                </c:pt>
                <c:pt idx="3">
                  <c:v>-37.93333333333333</c:v>
                </c:pt>
                <c:pt idx="4">
                  <c:v>-18.649999999999999</c:v>
                </c:pt>
                <c:pt idx="5">
                  <c:v>-23.66</c:v>
                </c:pt>
                <c:pt idx="6">
                  <c:v>-10.049999999999999</c:v>
                </c:pt>
                <c:pt idx="7">
                  <c:v>-8.6857142857142851</c:v>
                </c:pt>
                <c:pt idx="8">
                  <c:v>-13.774999999999999</c:v>
                </c:pt>
                <c:pt idx="9">
                  <c:v>-13.444444444444443</c:v>
                </c:pt>
                <c:pt idx="10">
                  <c:v>-11.329999999999998</c:v>
                </c:pt>
                <c:pt idx="11">
                  <c:v>-14.881818181818181</c:v>
                </c:pt>
                <c:pt idx="12">
                  <c:v>-9.2083333333333321</c:v>
                </c:pt>
                <c:pt idx="13">
                  <c:v>-10.184615384615382</c:v>
                </c:pt>
                <c:pt idx="14">
                  <c:v>-6.1785714285714262</c:v>
                </c:pt>
                <c:pt idx="15">
                  <c:v>-6.7866666666666644</c:v>
                </c:pt>
                <c:pt idx="16">
                  <c:v>-3.9437499999999979</c:v>
                </c:pt>
                <c:pt idx="17">
                  <c:v>-3.2823529411764687</c:v>
                </c:pt>
                <c:pt idx="18">
                  <c:v>-1.3888888888888871</c:v>
                </c:pt>
                <c:pt idx="19">
                  <c:v>-1.4631578947368404</c:v>
                </c:pt>
                <c:pt idx="20">
                  <c:v>-2.5199999999999987</c:v>
                </c:pt>
                <c:pt idx="21">
                  <c:v>-2.8523809523809511</c:v>
                </c:pt>
                <c:pt idx="22">
                  <c:v>-0.99090909090908952</c:v>
                </c:pt>
                <c:pt idx="23">
                  <c:v>-0.44782608695652038</c:v>
                </c:pt>
                <c:pt idx="24">
                  <c:v>-2.1416666666666653</c:v>
                </c:pt>
                <c:pt idx="25">
                  <c:v>-1.5079999999999989</c:v>
                </c:pt>
                <c:pt idx="26">
                  <c:v>-3.2692307692307683</c:v>
                </c:pt>
                <c:pt idx="27">
                  <c:v>-1.1666666666666656</c:v>
                </c:pt>
                <c:pt idx="28">
                  <c:v>-0.39285714285714185</c:v>
                </c:pt>
                <c:pt idx="29">
                  <c:v>-0.56896551724137834</c:v>
                </c:pt>
                <c:pt idx="30">
                  <c:v>1.0300000000000009</c:v>
                </c:pt>
                <c:pt idx="31">
                  <c:v>2.3838709677419367</c:v>
                </c:pt>
                <c:pt idx="32">
                  <c:v>3.0031250000000012</c:v>
                </c:pt>
                <c:pt idx="33">
                  <c:v>3.3939393939393954</c:v>
                </c:pt>
                <c:pt idx="34">
                  <c:v>3.2352941176470602</c:v>
                </c:pt>
                <c:pt idx="35">
                  <c:v>4.014285714285716</c:v>
                </c:pt>
                <c:pt idx="36">
                  <c:v>2.9277777777777794</c:v>
                </c:pt>
                <c:pt idx="37">
                  <c:v>3.9540540540540561</c:v>
                </c:pt>
                <c:pt idx="38">
                  <c:v>3.40263157894737</c:v>
                </c:pt>
                <c:pt idx="39">
                  <c:v>2.5948717948717968</c:v>
                </c:pt>
                <c:pt idx="40">
                  <c:v>1.7800000000000018</c:v>
                </c:pt>
                <c:pt idx="41">
                  <c:v>1.6560975609756117</c:v>
                </c:pt>
                <c:pt idx="42">
                  <c:v>2.6166666666666685</c:v>
                </c:pt>
                <c:pt idx="43">
                  <c:v>1.8209302325581411</c:v>
                </c:pt>
                <c:pt idx="44">
                  <c:v>2.4340909090909104</c:v>
                </c:pt>
                <c:pt idx="45">
                  <c:v>1.9066666666666683</c:v>
                </c:pt>
                <c:pt idx="46">
                  <c:v>3.3673913043478274</c:v>
                </c:pt>
                <c:pt idx="47">
                  <c:v>4.0510638297872354</c:v>
                </c:pt>
                <c:pt idx="48">
                  <c:v>5.6041666666666679</c:v>
                </c:pt>
                <c:pt idx="49">
                  <c:v>5.4959183673469401</c:v>
                </c:pt>
                <c:pt idx="50">
                  <c:v>6.0880000000000019</c:v>
                </c:pt>
                <c:pt idx="51">
                  <c:v>5.5313725490196095</c:v>
                </c:pt>
                <c:pt idx="52">
                  <c:v>6.2538461538461556</c:v>
                </c:pt>
                <c:pt idx="53">
                  <c:v>5.6830188679245301</c:v>
                </c:pt>
                <c:pt idx="54">
                  <c:v>5.4851851851851867</c:v>
                </c:pt>
                <c:pt idx="55">
                  <c:v>4.7109090909090927</c:v>
                </c:pt>
                <c:pt idx="56">
                  <c:v>4.4053571428571443</c:v>
                </c:pt>
                <c:pt idx="57">
                  <c:v>5.1192982456140363</c:v>
                </c:pt>
                <c:pt idx="58">
                  <c:v>5.3241379310344836</c:v>
                </c:pt>
                <c:pt idx="59">
                  <c:v>6.0644067796610184</c:v>
                </c:pt>
                <c:pt idx="60">
                  <c:v>6.0816666666666679</c:v>
                </c:pt>
                <c:pt idx="61">
                  <c:v>5.7672131147540995</c:v>
                </c:pt>
                <c:pt idx="62">
                  <c:v>5.4645161290322593</c:v>
                </c:pt>
                <c:pt idx="63">
                  <c:v>5.0682539682539689</c:v>
                </c:pt>
                <c:pt idx="64">
                  <c:v>4.2781250000000011</c:v>
                </c:pt>
                <c:pt idx="65">
                  <c:v>5.1230769230769235</c:v>
                </c:pt>
                <c:pt idx="66">
                  <c:v>5.5878787878787888</c:v>
                </c:pt>
                <c:pt idx="67">
                  <c:v>5.3865671641791062</c:v>
                </c:pt>
                <c:pt idx="68">
                  <c:v>6.7352941176470607</c:v>
                </c:pt>
                <c:pt idx="69">
                  <c:v>6.5971014492753639</c:v>
                </c:pt>
                <c:pt idx="70">
                  <c:v>6.0414285714285727</c:v>
                </c:pt>
                <c:pt idx="71">
                  <c:v>6.136619718309861</c:v>
                </c:pt>
                <c:pt idx="72">
                  <c:v>6.4777777777777787</c:v>
                </c:pt>
                <c:pt idx="73">
                  <c:v>5.5630136986301384</c:v>
                </c:pt>
                <c:pt idx="74">
                  <c:v>4.8716216216216228</c:v>
                </c:pt>
                <c:pt idx="75">
                  <c:v>4.4346666666666676</c:v>
                </c:pt>
                <c:pt idx="76">
                  <c:v>4.2855263157894754</c:v>
                </c:pt>
                <c:pt idx="77">
                  <c:v>4.7792207792207808</c:v>
                </c:pt>
                <c:pt idx="78">
                  <c:v>4.0064102564102582</c:v>
                </c:pt>
                <c:pt idx="79">
                  <c:v>3.3392405063291153</c:v>
                </c:pt>
                <c:pt idx="80">
                  <c:v>3.0687500000000014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640586315514954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れんたろう2!$D$1:$D$2</c:f>
              <c:strCache>
                <c:ptCount val="2"/>
                <c:pt idx="0">
                  <c:v>れんたろう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れんたろう2!$A$3:$A$83</c:f>
              <c:numCache>
                <c:formatCode>0\ "回"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れんたろう2!$D$3:$D$83</c:f>
              <c:numCache>
                <c:formatCode>0.00\ "位"</c:formatCode>
                <c:ptCount val="81"/>
                <c:pt idx="1">
                  <c:v>2</c:v>
                </c:pt>
                <c:pt idx="2">
                  <c:v>2.5</c:v>
                </c:pt>
                <c:pt idx="3">
                  <c:v>2.6666666666666665</c:v>
                </c:pt>
                <c:pt idx="4">
                  <c:v>2.25</c:v>
                </c:pt>
                <c:pt idx="5">
                  <c:v>2.4</c:v>
                </c:pt>
                <c:pt idx="6">
                  <c:v>2.1666666666666665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2.2000000000000002</c:v>
                </c:pt>
                <c:pt idx="11">
                  <c:v>2.2727272727272729</c:v>
                </c:pt>
                <c:pt idx="12">
                  <c:v>2.1666666666666665</c:v>
                </c:pt>
                <c:pt idx="13">
                  <c:v>2.2307692307692308</c:v>
                </c:pt>
                <c:pt idx="14">
                  <c:v>2.1428571428571428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</c:v>
                </c:pt>
                <c:pt idx="19">
                  <c:v>2</c:v>
                </c:pt>
                <c:pt idx="20">
                  <c:v>2.0499999999999998</c:v>
                </c:pt>
                <c:pt idx="21">
                  <c:v>2.0476190476190474</c:v>
                </c:pt>
                <c:pt idx="22">
                  <c:v>2</c:v>
                </c:pt>
                <c:pt idx="23">
                  <c:v>1.9565217391304348</c:v>
                </c:pt>
                <c:pt idx="24">
                  <c:v>2</c:v>
                </c:pt>
                <c:pt idx="25">
                  <c:v>2</c:v>
                </c:pt>
                <c:pt idx="26">
                  <c:v>2.0384615384615383</c:v>
                </c:pt>
                <c:pt idx="27">
                  <c:v>2</c:v>
                </c:pt>
                <c:pt idx="28">
                  <c:v>1.9642857142857142</c:v>
                </c:pt>
                <c:pt idx="29">
                  <c:v>1.9655172413793103</c:v>
                </c:pt>
                <c:pt idx="30">
                  <c:v>1.9333333333333333</c:v>
                </c:pt>
                <c:pt idx="31">
                  <c:v>1.903225806451613</c:v>
                </c:pt>
                <c:pt idx="32">
                  <c:v>1.875</c:v>
                </c:pt>
                <c:pt idx="33">
                  <c:v>1.8484848484848484</c:v>
                </c:pt>
                <c:pt idx="34">
                  <c:v>1.8529411764705883</c:v>
                </c:pt>
                <c:pt idx="35">
                  <c:v>1.8285714285714285</c:v>
                </c:pt>
                <c:pt idx="36">
                  <c:v>1.8611111111111112</c:v>
                </c:pt>
                <c:pt idx="37">
                  <c:v>1.8378378378378379</c:v>
                </c:pt>
                <c:pt idx="38">
                  <c:v>1.868421052631579</c:v>
                </c:pt>
                <c:pt idx="39">
                  <c:v>1.8974358974358974</c:v>
                </c:pt>
                <c:pt idx="40">
                  <c:v>1.925</c:v>
                </c:pt>
                <c:pt idx="41">
                  <c:v>1.9268292682926829</c:v>
                </c:pt>
                <c:pt idx="42">
                  <c:v>1.9047619047619047</c:v>
                </c:pt>
                <c:pt idx="43">
                  <c:v>1.930232558139535</c:v>
                </c:pt>
                <c:pt idx="44">
                  <c:v>1.9090909090909092</c:v>
                </c:pt>
                <c:pt idx="45">
                  <c:v>1.9333333333333333</c:v>
                </c:pt>
                <c:pt idx="46">
                  <c:v>1.9130434782608696</c:v>
                </c:pt>
                <c:pt idx="47">
                  <c:v>1.8936170212765957</c:v>
                </c:pt>
                <c:pt idx="48">
                  <c:v>1.875</c:v>
                </c:pt>
                <c:pt idx="49">
                  <c:v>1.8775510204081634</c:v>
                </c:pt>
                <c:pt idx="50">
                  <c:v>1.86</c:v>
                </c:pt>
                <c:pt idx="51">
                  <c:v>1.8823529411764706</c:v>
                </c:pt>
                <c:pt idx="52">
                  <c:v>1.8653846153846154</c:v>
                </c:pt>
                <c:pt idx="53">
                  <c:v>1.8867924528301887</c:v>
                </c:pt>
                <c:pt idx="54">
                  <c:v>1.8888888888888888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1.8793103448275863</c:v>
                </c:pt>
                <c:pt idx="59">
                  <c:v>1.8644067796610169</c:v>
                </c:pt>
                <c:pt idx="60">
                  <c:v>1.8666666666666667</c:v>
                </c:pt>
                <c:pt idx="61">
                  <c:v>1.8688524590163935</c:v>
                </c:pt>
                <c:pt idx="62">
                  <c:v>1.8709677419354838</c:v>
                </c:pt>
                <c:pt idx="63">
                  <c:v>1.8888888888888888</c:v>
                </c:pt>
                <c:pt idx="64">
                  <c:v>1.90625</c:v>
                </c:pt>
                <c:pt idx="65">
                  <c:v>1.8923076923076922</c:v>
                </c:pt>
                <c:pt idx="66">
                  <c:v>1.8787878787878789</c:v>
                </c:pt>
                <c:pt idx="67">
                  <c:v>1.8805970149253732</c:v>
                </c:pt>
                <c:pt idx="68">
                  <c:v>1.8676470588235294</c:v>
                </c:pt>
                <c:pt idx="69">
                  <c:v>1.8695652173913044</c:v>
                </c:pt>
                <c:pt idx="70">
                  <c:v>1.8857142857142857</c:v>
                </c:pt>
                <c:pt idx="71">
                  <c:v>1.8873239436619718</c:v>
                </c:pt>
                <c:pt idx="72">
                  <c:v>1.875</c:v>
                </c:pt>
                <c:pt idx="73">
                  <c:v>1.8904109589041096</c:v>
                </c:pt>
                <c:pt idx="74">
                  <c:v>1.9054054054054055</c:v>
                </c:pt>
                <c:pt idx="75">
                  <c:v>1.92</c:v>
                </c:pt>
                <c:pt idx="76">
                  <c:v>1.9210526315789473</c:v>
                </c:pt>
                <c:pt idx="77">
                  <c:v>1.9090909090909092</c:v>
                </c:pt>
                <c:pt idx="78">
                  <c:v>1.9230769230769231</c:v>
                </c:pt>
                <c:pt idx="79">
                  <c:v>1.9367088607594938</c:v>
                </c:pt>
                <c:pt idx="80">
                  <c:v>1.95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53271028037383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れんたろう2!$E$1:$E$2</c:f>
              <c:strCache>
                <c:ptCount val="2"/>
                <c:pt idx="0">
                  <c:v>れんたろう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れんたろう2!$A$3:$A$83</c:f>
              <c:numCache>
                <c:formatCode>0\ "回"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れんたろう2!$E$3:$E$83</c:f>
              <c:numCache>
                <c:formatCode>0.0%</c:formatCode>
                <c:ptCount val="8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0.40625</c:v>
                </c:pt>
                <c:pt idx="33">
                  <c:v>0.42424242424242425</c:v>
                </c:pt>
                <c:pt idx="34">
                  <c:v>0.41176470588235292</c:v>
                </c:pt>
                <c:pt idx="35">
                  <c:v>0.42857142857142855</c:v>
                </c:pt>
                <c:pt idx="36">
                  <c:v>0.41666666666666669</c:v>
                </c:pt>
                <c:pt idx="37">
                  <c:v>0.43243243243243246</c:v>
                </c:pt>
                <c:pt idx="38">
                  <c:v>0.42105263157894735</c:v>
                </c:pt>
                <c:pt idx="39">
                  <c:v>0.41025641025641024</c:v>
                </c:pt>
                <c:pt idx="40">
                  <c:v>0.4</c:v>
                </c:pt>
                <c:pt idx="41">
                  <c:v>0.3902439024390244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0.40909090909090912</c:v>
                </c:pt>
                <c:pt idx="45">
                  <c:v>0.4</c:v>
                </c:pt>
                <c:pt idx="46">
                  <c:v>0.41304347826086957</c:v>
                </c:pt>
                <c:pt idx="47">
                  <c:v>0.42553191489361702</c:v>
                </c:pt>
                <c:pt idx="48">
                  <c:v>0.4375</c:v>
                </c:pt>
                <c:pt idx="49">
                  <c:v>0.42857142857142855</c:v>
                </c:pt>
                <c:pt idx="50">
                  <c:v>0.44</c:v>
                </c:pt>
                <c:pt idx="51">
                  <c:v>0.43137254901960786</c:v>
                </c:pt>
                <c:pt idx="52">
                  <c:v>0.44230769230769229</c:v>
                </c:pt>
                <c:pt idx="53">
                  <c:v>0.43396226415094341</c:v>
                </c:pt>
                <c:pt idx="54">
                  <c:v>0.42592592592592593</c:v>
                </c:pt>
                <c:pt idx="55">
                  <c:v>0.41818181818181815</c:v>
                </c:pt>
                <c:pt idx="56">
                  <c:v>0.4107142857142857</c:v>
                </c:pt>
                <c:pt idx="57">
                  <c:v>0.42105263157894735</c:v>
                </c:pt>
                <c:pt idx="58">
                  <c:v>0.43103448275862066</c:v>
                </c:pt>
                <c:pt idx="59">
                  <c:v>0.44067796610169491</c:v>
                </c:pt>
                <c:pt idx="60">
                  <c:v>0.43333333333333335</c:v>
                </c:pt>
                <c:pt idx="61">
                  <c:v>0.42622950819672129</c:v>
                </c:pt>
                <c:pt idx="62">
                  <c:v>0.41935483870967744</c:v>
                </c:pt>
                <c:pt idx="63">
                  <c:v>0.41269841269841268</c:v>
                </c:pt>
                <c:pt idx="64">
                  <c:v>0.40625</c:v>
                </c:pt>
                <c:pt idx="65">
                  <c:v>0.41538461538461541</c:v>
                </c:pt>
                <c:pt idx="66">
                  <c:v>0.42424242424242425</c:v>
                </c:pt>
                <c:pt idx="67">
                  <c:v>0.41791044776119401</c:v>
                </c:pt>
                <c:pt idx="68">
                  <c:v>0.4264705882352941</c:v>
                </c:pt>
                <c:pt idx="69">
                  <c:v>0.42028985507246375</c:v>
                </c:pt>
                <c:pt idx="70">
                  <c:v>0.41428571428571431</c:v>
                </c:pt>
                <c:pt idx="71">
                  <c:v>0.40845070422535212</c:v>
                </c:pt>
                <c:pt idx="72">
                  <c:v>0.41666666666666669</c:v>
                </c:pt>
                <c:pt idx="73">
                  <c:v>0.41095890410958902</c:v>
                </c:pt>
                <c:pt idx="74">
                  <c:v>0.40540540540540543</c:v>
                </c:pt>
                <c:pt idx="75">
                  <c:v>0.4</c:v>
                </c:pt>
                <c:pt idx="76">
                  <c:v>0.39473684210526316</c:v>
                </c:pt>
                <c:pt idx="77">
                  <c:v>0.40259740259740262</c:v>
                </c:pt>
                <c:pt idx="78">
                  <c:v>0.39743589743589741</c:v>
                </c:pt>
                <c:pt idx="79">
                  <c:v>0.39240506329113922</c:v>
                </c:pt>
                <c:pt idx="80">
                  <c:v>0.38750000000000001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644859813084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れんたろう2!$F$1:$F$2</c:f>
              <c:strCache>
                <c:ptCount val="2"/>
                <c:pt idx="0">
                  <c:v>れんたろう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れんたろう2!$A$3:$A$83</c:f>
              <c:numCache>
                <c:formatCode>0\ "回"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れんたろう2!$F$3:$F$83</c:f>
              <c:numCache>
                <c:formatCode>0.0%</c:formatCode>
                <c:ptCount val="81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0.29032258064516131</c:v>
                </c:pt>
                <c:pt idx="32">
                  <c:v>0.28125</c:v>
                </c:pt>
                <c:pt idx="33">
                  <c:v>0.27272727272727271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0.27777777777777779</c:v>
                </c:pt>
                <c:pt idx="37">
                  <c:v>0.27027027027027029</c:v>
                </c:pt>
                <c:pt idx="38">
                  <c:v>0.28947368421052633</c:v>
                </c:pt>
                <c:pt idx="39">
                  <c:v>0.30769230769230771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0.3125</c:v>
                </c:pt>
                <c:pt idx="49">
                  <c:v>0.30612244897959184</c:v>
                </c:pt>
                <c:pt idx="50">
                  <c:v>0.3</c:v>
                </c:pt>
                <c:pt idx="51">
                  <c:v>0.31372549019607843</c:v>
                </c:pt>
                <c:pt idx="52">
                  <c:v>0.30769230769230771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0.32727272727272727</c:v>
                </c:pt>
                <c:pt idx="56">
                  <c:v>0.32142857142857145</c:v>
                </c:pt>
                <c:pt idx="57">
                  <c:v>0.31578947368421051</c:v>
                </c:pt>
                <c:pt idx="58">
                  <c:v>0.31034482758620691</c:v>
                </c:pt>
                <c:pt idx="59">
                  <c:v>0.30508474576271188</c:v>
                </c:pt>
                <c:pt idx="60">
                  <c:v>0.3</c:v>
                </c:pt>
                <c:pt idx="61">
                  <c:v>0.29508196721311475</c:v>
                </c:pt>
                <c:pt idx="62">
                  <c:v>0.29032258064516131</c:v>
                </c:pt>
                <c:pt idx="63">
                  <c:v>0.30158730158730157</c:v>
                </c:pt>
                <c:pt idx="64">
                  <c:v>0.3125</c:v>
                </c:pt>
                <c:pt idx="65">
                  <c:v>0.30769230769230771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0.28985507246376813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0.30136986301369861</c:v>
                </c:pt>
                <c:pt idx="74">
                  <c:v>0.3108108108108108</c:v>
                </c:pt>
                <c:pt idx="75">
                  <c:v>0.32</c:v>
                </c:pt>
                <c:pt idx="76">
                  <c:v>0.31578947368421051</c:v>
                </c:pt>
                <c:pt idx="77">
                  <c:v>0.31168831168831168</c:v>
                </c:pt>
                <c:pt idx="78">
                  <c:v>0.32051282051282054</c:v>
                </c:pt>
                <c:pt idx="79">
                  <c:v>0.32911392405063289</c:v>
                </c:pt>
                <c:pt idx="80">
                  <c:v>0.33750000000000002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1775700934579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れんたろう2!$G$1:$G$2</c:f>
              <c:strCache>
                <c:ptCount val="2"/>
                <c:pt idx="0">
                  <c:v>れんたろう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れんたろう2!$A$3:$A$83</c:f>
              <c:numCache>
                <c:formatCode>0\ "回"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れんたろう2!$G$3:$G$83</c:f>
              <c:numCache>
                <c:formatCode>0.0%</c:formatCode>
                <c:ptCount val="81"/>
                <c:pt idx="1">
                  <c:v>0.36363636363636365</c:v>
                </c:pt>
                <c:pt idx="2">
                  <c:v>0.25</c:v>
                </c:pt>
                <c:pt idx="3">
                  <c:v>0.2</c:v>
                </c:pt>
                <c:pt idx="4">
                  <c:v>0.25</c:v>
                </c:pt>
                <c:pt idx="5">
                  <c:v>0.22222222222222221</c:v>
                </c:pt>
                <c:pt idx="6">
                  <c:v>0.2391304347826087</c:v>
                </c:pt>
                <c:pt idx="7">
                  <c:v>0.26415094339622641</c:v>
                </c:pt>
                <c:pt idx="8">
                  <c:v>0.22950819672131148</c:v>
                </c:pt>
                <c:pt idx="9">
                  <c:v>0.22388059701492538</c:v>
                </c:pt>
                <c:pt idx="10">
                  <c:v>0.23684210526315788</c:v>
                </c:pt>
                <c:pt idx="11">
                  <c:v>0.22619047619047619</c:v>
                </c:pt>
                <c:pt idx="12">
                  <c:v>0.23333333333333334</c:v>
                </c:pt>
                <c:pt idx="13">
                  <c:v>0.22222222222222221</c:v>
                </c:pt>
                <c:pt idx="14">
                  <c:v>0.22641509433962265</c:v>
                </c:pt>
                <c:pt idx="15">
                  <c:v>0.22131147540983606</c:v>
                </c:pt>
                <c:pt idx="16">
                  <c:v>0.23255813953488372</c:v>
                </c:pt>
                <c:pt idx="17">
                  <c:v>0.24087591240875914</c:v>
                </c:pt>
                <c:pt idx="18">
                  <c:v>0.24827586206896551</c:v>
                </c:pt>
                <c:pt idx="19">
                  <c:v>0.25</c:v>
                </c:pt>
                <c:pt idx="20">
                  <c:v>0.24691358024691357</c:v>
                </c:pt>
                <c:pt idx="21">
                  <c:v>0.24260355029585798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0.2513089005235602</c:v>
                </c:pt>
                <c:pt idx="25">
                  <c:v>0.25380710659898476</c:v>
                </c:pt>
                <c:pt idx="26">
                  <c:v>0.24752475247524752</c:v>
                </c:pt>
                <c:pt idx="27">
                  <c:v>0.25714285714285712</c:v>
                </c:pt>
                <c:pt idx="28">
                  <c:v>0.25925925925925924</c:v>
                </c:pt>
                <c:pt idx="29">
                  <c:v>0.25221238938053098</c:v>
                </c:pt>
                <c:pt idx="30">
                  <c:v>0.25974025974025972</c:v>
                </c:pt>
                <c:pt idx="31">
                  <c:v>0.26890756302521007</c:v>
                </c:pt>
                <c:pt idx="32">
                  <c:v>0.26938775510204083</c:v>
                </c:pt>
                <c:pt idx="33">
                  <c:v>0.26984126984126983</c:v>
                </c:pt>
                <c:pt idx="34">
                  <c:v>0.27099236641221375</c:v>
                </c:pt>
                <c:pt idx="35">
                  <c:v>0.27472527472527475</c:v>
                </c:pt>
                <c:pt idx="36">
                  <c:v>0.27083333333333331</c:v>
                </c:pt>
                <c:pt idx="37">
                  <c:v>0.27796610169491526</c:v>
                </c:pt>
                <c:pt idx="38">
                  <c:v>0.27868852459016391</c:v>
                </c:pt>
                <c:pt idx="39">
                  <c:v>0.27476038338658149</c:v>
                </c:pt>
                <c:pt idx="40">
                  <c:v>0.27725856697819312</c:v>
                </c:pt>
                <c:pt idx="41">
                  <c:v>0.27878787878787881</c:v>
                </c:pt>
                <c:pt idx="42">
                  <c:v>0.28358208955223879</c:v>
                </c:pt>
                <c:pt idx="43">
                  <c:v>0.27826086956521739</c:v>
                </c:pt>
                <c:pt idx="44">
                  <c:v>0.28045325779036828</c:v>
                </c:pt>
                <c:pt idx="45">
                  <c:v>0.27747252747252749</c:v>
                </c:pt>
                <c:pt idx="46">
                  <c:v>0.28609625668449196</c:v>
                </c:pt>
                <c:pt idx="47">
                  <c:v>0.2879581151832461</c:v>
                </c:pt>
                <c:pt idx="48">
                  <c:v>0.29562982005141386</c:v>
                </c:pt>
                <c:pt idx="49">
                  <c:v>0.29545454545454547</c:v>
                </c:pt>
                <c:pt idx="50">
                  <c:v>0.29426433915211969</c:v>
                </c:pt>
                <c:pt idx="51">
                  <c:v>0.29411764705882354</c:v>
                </c:pt>
                <c:pt idx="52">
                  <c:v>0.30048076923076922</c:v>
                </c:pt>
                <c:pt idx="53">
                  <c:v>0.29857819905213268</c:v>
                </c:pt>
                <c:pt idx="54">
                  <c:v>0.3</c:v>
                </c:pt>
                <c:pt idx="55">
                  <c:v>0.29384965831435078</c:v>
                </c:pt>
                <c:pt idx="56">
                  <c:v>0.2911111111111111</c:v>
                </c:pt>
                <c:pt idx="57">
                  <c:v>0.2975929978118162</c:v>
                </c:pt>
                <c:pt idx="58">
                  <c:v>0.29677419354838708</c:v>
                </c:pt>
                <c:pt idx="59">
                  <c:v>0.29916317991631797</c:v>
                </c:pt>
                <c:pt idx="60">
                  <c:v>0.2967479674796748</c:v>
                </c:pt>
                <c:pt idx="61">
                  <c:v>0.29365079365079366</c:v>
                </c:pt>
                <c:pt idx="62">
                  <c:v>0.29215686274509806</c:v>
                </c:pt>
                <c:pt idx="63">
                  <c:v>0.28875968992248063</c:v>
                </c:pt>
                <c:pt idx="64">
                  <c:v>0.28680688336520077</c:v>
                </c:pt>
                <c:pt idx="65">
                  <c:v>0.29190207156308851</c:v>
                </c:pt>
                <c:pt idx="66">
                  <c:v>0.29281767955801102</c:v>
                </c:pt>
                <c:pt idx="67">
                  <c:v>0.29038112522686027</c:v>
                </c:pt>
                <c:pt idx="68">
                  <c:v>0.29390681003584229</c:v>
                </c:pt>
                <c:pt idx="69">
                  <c:v>0.29151943462897528</c:v>
                </c:pt>
                <c:pt idx="70">
                  <c:v>0.28919860627177701</c:v>
                </c:pt>
                <c:pt idx="71">
                  <c:v>0.28942807625649913</c:v>
                </c:pt>
                <c:pt idx="72">
                  <c:v>0.2910958904109589</c:v>
                </c:pt>
                <c:pt idx="73">
                  <c:v>0.29010238907849828</c:v>
                </c:pt>
                <c:pt idx="74">
                  <c:v>0.28667790893760542</c:v>
                </c:pt>
                <c:pt idx="75">
                  <c:v>0.28476821192052981</c:v>
                </c:pt>
                <c:pt idx="76">
                  <c:v>0.28431372549019607</c:v>
                </c:pt>
                <c:pt idx="77">
                  <c:v>0.28640776699029125</c:v>
                </c:pt>
                <c:pt idx="78">
                  <c:v>0.28389154704944181</c:v>
                </c:pt>
                <c:pt idx="79">
                  <c:v>0.28031496062992128</c:v>
                </c:pt>
                <c:pt idx="80">
                  <c:v>0.27906976744186046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608108108108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れんたろう2!$H$1:$H$2</c:f>
              <c:strCache>
                <c:ptCount val="2"/>
                <c:pt idx="0">
                  <c:v>れんたろう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れんたろう2!$A$3:$A$83</c:f>
              <c:numCache>
                <c:formatCode>0\ "回"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れんたろう2!$H$3:$H$83</c:f>
              <c:numCache>
                <c:formatCode>0.0%</c:formatCode>
                <c:ptCount val="81"/>
                <c:pt idx="1">
                  <c:v>0.27272727272727271</c:v>
                </c:pt>
                <c:pt idx="2">
                  <c:v>0.3</c:v>
                </c:pt>
                <c:pt idx="3">
                  <c:v>0.33333333333333331</c:v>
                </c:pt>
                <c:pt idx="4">
                  <c:v>0.27777777777777779</c:v>
                </c:pt>
                <c:pt idx="5">
                  <c:v>0.31111111111111112</c:v>
                </c:pt>
                <c:pt idx="6">
                  <c:v>0.30434782608695654</c:v>
                </c:pt>
                <c:pt idx="7">
                  <c:v>0.26415094339622641</c:v>
                </c:pt>
                <c:pt idx="8">
                  <c:v>0.26229508196721313</c:v>
                </c:pt>
                <c:pt idx="9">
                  <c:v>0.23880597014925373</c:v>
                </c:pt>
                <c:pt idx="10">
                  <c:v>0.22368421052631579</c:v>
                </c:pt>
                <c:pt idx="11">
                  <c:v>0.22619047619047619</c:v>
                </c:pt>
                <c:pt idx="12">
                  <c:v>0.21111111111111111</c:v>
                </c:pt>
                <c:pt idx="13">
                  <c:v>0.21212121212121213</c:v>
                </c:pt>
                <c:pt idx="14">
                  <c:v>0.20754716981132076</c:v>
                </c:pt>
                <c:pt idx="15">
                  <c:v>0.19672131147540983</c:v>
                </c:pt>
                <c:pt idx="16">
                  <c:v>0.19379844961240311</c:v>
                </c:pt>
                <c:pt idx="17">
                  <c:v>0.18248175182481752</c:v>
                </c:pt>
                <c:pt idx="18">
                  <c:v>0.17241379310344829</c:v>
                </c:pt>
                <c:pt idx="19">
                  <c:v>0.17307692307692307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0.15909090909090909</c:v>
                </c:pt>
                <c:pt idx="23">
                  <c:v>0.15300546448087432</c:v>
                </c:pt>
                <c:pt idx="24">
                  <c:v>0.17277486910994763</c:v>
                </c:pt>
                <c:pt idx="25">
                  <c:v>0.16751269035532995</c:v>
                </c:pt>
                <c:pt idx="26">
                  <c:v>0.17326732673267325</c:v>
                </c:pt>
                <c:pt idx="27">
                  <c:v>0.16666666666666666</c:v>
                </c:pt>
                <c:pt idx="28">
                  <c:v>0.16666666666666666</c:v>
                </c:pt>
                <c:pt idx="29">
                  <c:v>0.16371681415929204</c:v>
                </c:pt>
                <c:pt idx="30">
                  <c:v>0.16017316017316016</c:v>
                </c:pt>
                <c:pt idx="31">
                  <c:v>0.15966386554621848</c:v>
                </c:pt>
                <c:pt idx="32">
                  <c:v>0.15510204081632653</c:v>
                </c:pt>
                <c:pt idx="33">
                  <c:v>0.15873015873015872</c:v>
                </c:pt>
                <c:pt idx="34">
                  <c:v>0.16412213740458015</c:v>
                </c:pt>
                <c:pt idx="35">
                  <c:v>0.16117216117216118</c:v>
                </c:pt>
                <c:pt idx="36">
                  <c:v>0.16319444444444445</c:v>
                </c:pt>
                <c:pt idx="37">
                  <c:v>0.15932203389830507</c:v>
                </c:pt>
                <c:pt idx="38">
                  <c:v>0.16393442622950818</c:v>
                </c:pt>
                <c:pt idx="39">
                  <c:v>0.16613418530351437</c:v>
                </c:pt>
                <c:pt idx="40">
                  <c:v>0.16510903426791276</c:v>
                </c:pt>
                <c:pt idx="41">
                  <c:v>0.16666666666666666</c:v>
                </c:pt>
                <c:pt idx="42">
                  <c:v>0.16716417910447762</c:v>
                </c:pt>
                <c:pt idx="43">
                  <c:v>0.1681159420289855</c:v>
                </c:pt>
                <c:pt idx="44">
                  <c:v>0.16713881019830029</c:v>
                </c:pt>
                <c:pt idx="45">
                  <c:v>0.16483516483516483</c:v>
                </c:pt>
                <c:pt idx="46">
                  <c:v>0.16042780748663102</c:v>
                </c:pt>
                <c:pt idx="47">
                  <c:v>0.15968586387434555</c:v>
                </c:pt>
                <c:pt idx="48">
                  <c:v>0.15681233933161953</c:v>
                </c:pt>
                <c:pt idx="49">
                  <c:v>0.15909090909090909</c:v>
                </c:pt>
                <c:pt idx="50">
                  <c:v>0.15710723192019951</c:v>
                </c:pt>
                <c:pt idx="51">
                  <c:v>0.15931372549019607</c:v>
                </c:pt>
                <c:pt idx="52">
                  <c:v>0.15625</c:v>
                </c:pt>
                <c:pt idx="53">
                  <c:v>0.15402843601895735</c:v>
                </c:pt>
                <c:pt idx="54">
                  <c:v>0.16046511627906976</c:v>
                </c:pt>
                <c:pt idx="55">
                  <c:v>0.16173120728929385</c:v>
                </c:pt>
                <c:pt idx="56">
                  <c:v>0.16222222222222221</c:v>
                </c:pt>
                <c:pt idx="57">
                  <c:v>0.16192560175054704</c:v>
                </c:pt>
                <c:pt idx="58">
                  <c:v>0.16559139784946236</c:v>
                </c:pt>
                <c:pt idx="59">
                  <c:v>0.16527196652719664</c:v>
                </c:pt>
                <c:pt idx="60">
                  <c:v>0.16666666666666666</c:v>
                </c:pt>
                <c:pt idx="61">
                  <c:v>0.16666666666666666</c:v>
                </c:pt>
                <c:pt idx="62">
                  <c:v>0.16470588235294117</c:v>
                </c:pt>
                <c:pt idx="63">
                  <c:v>0.16279069767441862</c:v>
                </c:pt>
                <c:pt idx="64">
                  <c:v>0.16252390057361377</c:v>
                </c:pt>
                <c:pt idx="65">
                  <c:v>0.160075329566855</c:v>
                </c:pt>
                <c:pt idx="66">
                  <c:v>0.16022099447513813</c:v>
                </c:pt>
                <c:pt idx="67">
                  <c:v>0.16152450090744103</c:v>
                </c:pt>
                <c:pt idx="68">
                  <c:v>0.15949820788530467</c:v>
                </c:pt>
                <c:pt idx="69">
                  <c:v>0.16077738515901061</c:v>
                </c:pt>
                <c:pt idx="70">
                  <c:v>0.16376306620209058</c:v>
                </c:pt>
                <c:pt idx="71">
                  <c:v>0.16464471403812825</c:v>
                </c:pt>
                <c:pt idx="72">
                  <c:v>0.16438356164383561</c:v>
                </c:pt>
                <c:pt idx="73">
                  <c:v>0.16723549488054607</c:v>
                </c:pt>
                <c:pt idx="74">
                  <c:v>0.16863406408094436</c:v>
                </c:pt>
                <c:pt idx="75">
                  <c:v>0.16721854304635761</c:v>
                </c:pt>
                <c:pt idx="76">
                  <c:v>0.16993464052287582</c:v>
                </c:pt>
                <c:pt idx="77">
                  <c:v>0.16828478964401294</c:v>
                </c:pt>
                <c:pt idx="78">
                  <c:v>0.17224880382775121</c:v>
                </c:pt>
                <c:pt idx="79">
                  <c:v>0.17322834645669291</c:v>
                </c:pt>
                <c:pt idx="80">
                  <c:v>0.17674418604651163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475975975975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れんたろう2!$I$1:$I$2</c:f>
              <c:strCache>
                <c:ptCount val="2"/>
                <c:pt idx="0">
                  <c:v>れんたろう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れんたろう2!$A$3:$A$83</c:f>
              <c:numCache>
                <c:formatCode>0\ "回"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れんたろう2!$I$3:$I$83</c:f>
              <c:numCache>
                <c:formatCode>0</c:formatCode>
                <c:ptCount val="81"/>
                <c:pt idx="1">
                  <c:v>8125</c:v>
                </c:pt>
                <c:pt idx="2">
                  <c:v>8100</c:v>
                </c:pt>
                <c:pt idx="3">
                  <c:v>8750</c:v>
                </c:pt>
                <c:pt idx="4">
                  <c:v>11355.555555555555</c:v>
                </c:pt>
                <c:pt idx="5">
                  <c:v>10420</c:v>
                </c:pt>
                <c:pt idx="6">
                  <c:v>13836.363636363636</c:v>
                </c:pt>
                <c:pt idx="7">
                  <c:v>12942.857142857143</c:v>
                </c:pt>
                <c:pt idx="8">
                  <c:v>12942.857142857143</c:v>
                </c:pt>
                <c:pt idx="9">
                  <c:v>12480</c:v>
                </c:pt>
                <c:pt idx="10">
                  <c:v>12288.888888888889</c:v>
                </c:pt>
                <c:pt idx="11">
                  <c:v>11852.631578947368</c:v>
                </c:pt>
                <c:pt idx="12">
                  <c:v>12614.285714285714</c:v>
                </c:pt>
                <c:pt idx="13">
                  <c:v>12586.363636363636</c:v>
                </c:pt>
                <c:pt idx="14">
                  <c:v>13370.833333333334</c:v>
                </c:pt>
                <c:pt idx="15">
                  <c:v>12474.074074074075</c:v>
                </c:pt>
                <c:pt idx="16">
                  <c:v>12426.666666666666</c:v>
                </c:pt>
                <c:pt idx="17">
                  <c:v>12124.242424242424</c:v>
                </c:pt>
                <c:pt idx="18">
                  <c:v>11561.111111111111</c:v>
                </c:pt>
                <c:pt idx="19">
                  <c:v>11823.076923076924</c:v>
                </c:pt>
                <c:pt idx="20">
                  <c:v>11657.5</c:v>
                </c:pt>
                <c:pt idx="21">
                  <c:v>11421.951219512195</c:v>
                </c:pt>
                <c:pt idx="22">
                  <c:v>10960</c:v>
                </c:pt>
                <c:pt idx="23">
                  <c:v>10834.04255319149</c:v>
                </c:pt>
                <c:pt idx="24">
                  <c:v>10858.333333333334</c:v>
                </c:pt>
                <c:pt idx="25">
                  <c:v>10744</c:v>
                </c:pt>
                <c:pt idx="26">
                  <c:v>10744</c:v>
                </c:pt>
                <c:pt idx="27">
                  <c:v>10811.111111111111</c:v>
                </c:pt>
                <c:pt idx="28">
                  <c:v>10853.571428571429</c:v>
                </c:pt>
                <c:pt idx="29">
                  <c:v>10714.035087719298</c:v>
                </c:pt>
                <c:pt idx="30">
                  <c:v>10706.666666666666</c:v>
                </c:pt>
                <c:pt idx="31">
                  <c:v>10553.125</c:v>
                </c:pt>
                <c:pt idx="32">
                  <c:v>10430.30303030303</c:v>
                </c:pt>
                <c:pt idx="33">
                  <c:v>10354.411764705883</c:v>
                </c:pt>
                <c:pt idx="34">
                  <c:v>10311.267605633802</c:v>
                </c:pt>
                <c:pt idx="35">
                  <c:v>10238.666666666666</c:v>
                </c:pt>
                <c:pt idx="36">
                  <c:v>10251.282051282051</c:v>
                </c:pt>
                <c:pt idx="37">
                  <c:v>10174.390243902439</c:v>
                </c:pt>
                <c:pt idx="38">
                  <c:v>10071.764705882353</c:v>
                </c:pt>
                <c:pt idx="39">
                  <c:v>10044.186046511628</c:v>
                </c:pt>
                <c:pt idx="40">
                  <c:v>9975.2808988764045</c:v>
                </c:pt>
                <c:pt idx="41">
                  <c:v>10041.304347826086</c:v>
                </c:pt>
                <c:pt idx="42">
                  <c:v>10081.052631578947</c:v>
                </c:pt>
                <c:pt idx="43">
                  <c:v>10142.708333333334</c:v>
                </c:pt>
                <c:pt idx="44">
                  <c:v>10155.555555555555</c:v>
                </c:pt>
                <c:pt idx="45">
                  <c:v>10211.881188118812</c:v>
                </c:pt>
                <c:pt idx="46">
                  <c:v>10172.897196261682</c:v>
                </c:pt>
                <c:pt idx="47">
                  <c:v>10292.727272727272</c:v>
                </c:pt>
                <c:pt idx="48">
                  <c:v>10467.826086956522</c:v>
                </c:pt>
                <c:pt idx="49">
                  <c:v>10457.264957264957</c:v>
                </c:pt>
                <c:pt idx="50">
                  <c:v>10775.423728813559</c:v>
                </c:pt>
                <c:pt idx="51">
                  <c:v>10675.833333333334</c:v>
                </c:pt>
                <c:pt idx="52">
                  <c:v>10544.8</c:v>
                </c:pt>
                <c:pt idx="53">
                  <c:v>10524.603174603175</c:v>
                </c:pt>
                <c:pt idx="54">
                  <c:v>10435.658914728681</c:v>
                </c:pt>
                <c:pt idx="55">
                  <c:v>10435.658914728681</c:v>
                </c:pt>
                <c:pt idx="56">
                  <c:v>10390.839694656488</c:v>
                </c:pt>
                <c:pt idx="57">
                  <c:v>10292.64705882353</c:v>
                </c:pt>
                <c:pt idx="58">
                  <c:v>10410.144927536232</c:v>
                </c:pt>
                <c:pt idx="59">
                  <c:v>10469.23076923077</c:v>
                </c:pt>
                <c:pt idx="60">
                  <c:v>10443.150684931506</c:v>
                </c:pt>
                <c:pt idx="61">
                  <c:v>10410.135135135135</c:v>
                </c:pt>
                <c:pt idx="62">
                  <c:v>10393.959731543624</c:v>
                </c:pt>
                <c:pt idx="63">
                  <c:v>10393.959731543624</c:v>
                </c:pt>
                <c:pt idx="64">
                  <c:v>10343.333333333334</c:v>
                </c:pt>
                <c:pt idx="65">
                  <c:v>10343.225806451614</c:v>
                </c:pt>
                <c:pt idx="66">
                  <c:v>10433.333333333334</c:v>
                </c:pt>
                <c:pt idx="67">
                  <c:v>10393.125</c:v>
                </c:pt>
                <c:pt idx="68">
                  <c:v>10662.195121951219</c:v>
                </c:pt>
                <c:pt idx="69">
                  <c:v>10694.545454545454</c:v>
                </c:pt>
                <c:pt idx="70">
                  <c:v>10702.409638554216</c:v>
                </c:pt>
                <c:pt idx="71">
                  <c:v>10746.107784431138</c:v>
                </c:pt>
                <c:pt idx="72">
                  <c:v>10813.529411764706</c:v>
                </c:pt>
                <c:pt idx="73">
                  <c:v>10813.529411764706</c:v>
                </c:pt>
                <c:pt idx="74">
                  <c:v>10813.529411764706</c:v>
                </c:pt>
                <c:pt idx="75">
                  <c:v>10850.581395348838</c:v>
                </c:pt>
                <c:pt idx="76">
                  <c:v>10798.275862068966</c:v>
                </c:pt>
                <c:pt idx="77">
                  <c:v>10852.542372881357</c:v>
                </c:pt>
                <c:pt idx="78">
                  <c:v>10858.988764044943</c:v>
                </c:pt>
                <c:pt idx="79">
                  <c:v>10858.988764044943</c:v>
                </c:pt>
                <c:pt idx="80">
                  <c:v>10849.444444444445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47.68253968253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れんたろう2!$J$1:$J$2</c:f>
              <c:strCache>
                <c:ptCount val="2"/>
                <c:pt idx="0">
                  <c:v>れんたろう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れんたろう2!$A$3:$A$83</c:f>
              <c:numCache>
                <c:formatCode>0\ "回"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れんたろう2!$J$3:$J$83</c:f>
              <c:numCache>
                <c:formatCode>0</c:formatCode>
                <c:ptCount val="81"/>
                <c:pt idx="1">
                  <c:v>-10600</c:v>
                </c:pt>
                <c:pt idx="2">
                  <c:v>-14300</c:v>
                </c:pt>
                <c:pt idx="3">
                  <c:v>-11980</c:v>
                </c:pt>
                <c:pt idx="4">
                  <c:v>-11980</c:v>
                </c:pt>
                <c:pt idx="5">
                  <c:v>-10764.285714285714</c:v>
                </c:pt>
                <c:pt idx="6">
                  <c:v>-10764.285714285714</c:v>
                </c:pt>
                <c:pt idx="7">
                  <c:v>-10764.285714285714</c:v>
                </c:pt>
                <c:pt idx="8">
                  <c:v>-11025</c:v>
                </c:pt>
                <c:pt idx="9">
                  <c:v>-11025</c:v>
                </c:pt>
                <c:pt idx="10">
                  <c:v>-11082.35294117647</c:v>
                </c:pt>
                <c:pt idx="11">
                  <c:v>-11015.78947368421</c:v>
                </c:pt>
                <c:pt idx="12">
                  <c:v>-11015.78947368421</c:v>
                </c:pt>
                <c:pt idx="13">
                  <c:v>-10723.809523809523</c:v>
                </c:pt>
                <c:pt idx="14">
                  <c:v>-10600</c:v>
                </c:pt>
                <c:pt idx="15">
                  <c:v>-10254.166666666666</c:v>
                </c:pt>
                <c:pt idx="16">
                  <c:v>-9896</c:v>
                </c:pt>
                <c:pt idx="17">
                  <c:v>-9896</c:v>
                </c:pt>
                <c:pt idx="18">
                  <c:v>-9896</c:v>
                </c:pt>
                <c:pt idx="19">
                  <c:v>-9903.7037037037044</c:v>
                </c:pt>
                <c:pt idx="20">
                  <c:v>-9903.7037037037044</c:v>
                </c:pt>
                <c:pt idx="21">
                  <c:v>-9903.7037037037044</c:v>
                </c:pt>
                <c:pt idx="22">
                  <c:v>-9596.4285714285706</c:v>
                </c:pt>
                <c:pt idx="23">
                  <c:v>-9596.4285714285706</c:v>
                </c:pt>
                <c:pt idx="24">
                  <c:v>-9403.0303030303039</c:v>
                </c:pt>
                <c:pt idx="25">
                  <c:v>-9403.0303030303039</c:v>
                </c:pt>
                <c:pt idx="26">
                  <c:v>-9551.4285714285706</c:v>
                </c:pt>
                <c:pt idx="27">
                  <c:v>-9551.4285714285706</c:v>
                </c:pt>
                <c:pt idx="28">
                  <c:v>-9508.3333333333339</c:v>
                </c:pt>
                <c:pt idx="29">
                  <c:v>-9467.5675675675684</c:v>
                </c:pt>
                <c:pt idx="30">
                  <c:v>-9467.5675675675684</c:v>
                </c:pt>
                <c:pt idx="31">
                  <c:v>-9271.0526315789466</c:v>
                </c:pt>
                <c:pt idx="32">
                  <c:v>-9271.0526315789466</c:v>
                </c:pt>
                <c:pt idx="33">
                  <c:v>-8970</c:v>
                </c:pt>
                <c:pt idx="34">
                  <c:v>-8790.6976744186049</c:v>
                </c:pt>
                <c:pt idx="35">
                  <c:v>-8772.7272727272721</c:v>
                </c:pt>
                <c:pt idx="36">
                  <c:v>-8565.9574468085102</c:v>
                </c:pt>
                <c:pt idx="37">
                  <c:v>-8565.9574468085102</c:v>
                </c:pt>
                <c:pt idx="38">
                  <c:v>-8228</c:v>
                </c:pt>
                <c:pt idx="39">
                  <c:v>-8084.6153846153848</c:v>
                </c:pt>
                <c:pt idx="40">
                  <c:v>-8535.8490566037744</c:v>
                </c:pt>
                <c:pt idx="41">
                  <c:v>-8589.0909090909099</c:v>
                </c:pt>
                <c:pt idx="42">
                  <c:v>-8505.3571428571431</c:v>
                </c:pt>
                <c:pt idx="43">
                  <c:v>-8518.9655172413786</c:v>
                </c:pt>
                <c:pt idx="44">
                  <c:v>-8408.4745762711864</c:v>
                </c:pt>
                <c:pt idx="45">
                  <c:v>-8468.3333333333339</c:v>
                </c:pt>
                <c:pt idx="46">
                  <c:v>-8468.3333333333339</c:v>
                </c:pt>
                <c:pt idx="47">
                  <c:v>-8526.2295081967204</c:v>
                </c:pt>
                <c:pt idx="48">
                  <c:v>-8526.2295081967204</c:v>
                </c:pt>
                <c:pt idx="49">
                  <c:v>-8507.936507936507</c:v>
                </c:pt>
                <c:pt idx="50">
                  <c:v>-8507.936507936507</c:v>
                </c:pt>
                <c:pt idx="51">
                  <c:v>-8429.2307692307695</c:v>
                </c:pt>
                <c:pt idx="52">
                  <c:v>-8429.2307692307695</c:v>
                </c:pt>
                <c:pt idx="53">
                  <c:v>-8429.2307692307695</c:v>
                </c:pt>
                <c:pt idx="54">
                  <c:v>-8333.3333333333339</c:v>
                </c:pt>
                <c:pt idx="55">
                  <c:v>-8325.352112676057</c:v>
                </c:pt>
                <c:pt idx="56">
                  <c:v>-8239.7260273972606</c:v>
                </c:pt>
                <c:pt idx="57">
                  <c:v>-8236.4864864864867</c:v>
                </c:pt>
                <c:pt idx="58">
                  <c:v>-8136.363636363636</c:v>
                </c:pt>
                <c:pt idx="59">
                  <c:v>-8064.5569620253164</c:v>
                </c:pt>
                <c:pt idx="60">
                  <c:v>-7893.9024390243903</c:v>
                </c:pt>
                <c:pt idx="61">
                  <c:v>-7910.7142857142853</c:v>
                </c:pt>
                <c:pt idx="62">
                  <c:v>-7910.7142857142853</c:v>
                </c:pt>
                <c:pt idx="63">
                  <c:v>-7910.7142857142853</c:v>
                </c:pt>
                <c:pt idx="64">
                  <c:v>-8100</c:v>
                </c:pt>
                <c:pt idx="65">
                  <c:v>-8100</c:v>
                </c:pt>
                <c:pt idx="66">
                  <c:v>-8096.5517241379312</c:v>
                </c:pt>
                <c:pt idx="67">
                  <c:v>-7965.1685393258431</c:v>
                </c:pt>
                <c:pt idx="68">
                  <c:v>-7965.1685393258431</c:v>
                </c:pt>
                <c:pt idx="69">
                  <c:v>-7861.5384615384619</c:v>
                </c:pt>
                <c:pt idx="70">
                  <c:v>-7844.6808510638302</c:v>
                </c:pt>
                <c:pt idx="71">
                  <c:v>-7816.8421052631575</c:v>
                </c:pt>
                <c:pt idx="72">
                  <c:v>-7860.416666666667</c:v>
                </c:pt>
                <c:pt idx="73">
                  <c:v>-8203.0612244897966</c:v>
                </c:pt>
                <c:pt idx="74">
                  <c:v>-8175</c:v>
                </c:pt>
                <c:pt idx="75">
                  <c:v>-8212.8712871287134</c:v>
                </c:pt>
                <c:pt idx="76">
                  <c:v>-8158.6538461538457</c:v>
                </c:pt>
                <c:pt idx="77">
                  <c:v>-8158.6538461538457</c:v>
                </c:pt>
                <c:pt idx="78">
                  <c:v>-8263.8888888888887</c:v>
                </c:pt>
                <c:pt idx="79">
                  <c:v>-8233.636363636364</c:v>
                </c:pt>
                <c:pt idx="80">
                  <c:v>-8083.333333333333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32.83582089552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れんたろう2!$K$1:$K$2</c:f>
              <c:strCache>
                <c:ptCount val="2"/>
                <c:pt idx="0">
                  <c:v>れんたろう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れんたろう2!$A$3:$A$83</c:f>
              <c:numCache>
                <c:formatCode>0\ "回"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れんたろう2!$K$3:$K$83</c:f>
              <c:numCache>
                <c:formatCode>0.0%</c:formatCode>
                <c:ptCount val="81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0.17241379310344829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0.15625</c:v>
                </c:pt>
                <c:pt idx="33">
                  <c:v>0.15151515151515152</c:v>
                </c:pt>
                <c:pt idx="34">
                  <c:v>0.14705882352941177</c:v>
                </c:pt>
                <c:pt idx="35">
                  <c:v>0.14285714285714285</c:v>
                </c:pt>
                <c:pt idx="36">
                  <c:v>0.1388888888888889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0.12820512820512819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9.2592592592592587E-2</c:v>
                </c:pt>
                <c:pt idx="55">
                  <c:v>9.0909090909090912E-2</c:v>
                </c:pt>
                <c:pt idx="56">
                  <c:v>8.9285714285714288E-2</c:v>
                </c:pt>
                <c:pt idx="57">
                  <c:v>8.771929824561403E-2</c:v>
                </c:pt>
                <c:pt idx="58">
                  <c:v>8.6206896551724144E-2</c:v>
                </c:pt>
                <c:pt idx="59">
                  <c:v>8.4745762711864403E-2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  <c:pt idx="69">
                  <c:v>8.6956521739130432E-2</c:v>
                </c:pt>
                <c:pt idx="70">
                  <c:v>8.5714285714285715E-2</c:v>
                </c:pt>
                <c:pt idx="71">
                  <c:v>8.4507042253521125E-2</c:v>
                </c:pt>
                <c:pt idx="72">
                  <c:v>8.3333333333333329E-2</c:v>
                </c:pt>
                <c:pt idx="73">
                  <c:v>9.5890410958904104E-2</c:v>
                </c:pt>
                <c:pt idx="74">
                  <c:v>0.10810810810810811</c:v>
                </c:pt>
                <c:pt idx="75">
                  <c:v>0.10666666666666667</c:v>
                </c:pt>
                <c:pt idx="76">
                  <c:v>0.10526315789473684</c:v>
                </c:pt>
                <c:pt idx="77">
                  <c:v>0.1038961038961039</c:v>
                </c:pt>
                <c:pt idx="78">
                  <c:v>0.11538461538461539</c:v>
                </c:pt>
                <c:pt idx="79">
                  <c:v>0.12658227848101267</c:v>
                </c:pt>
                <c:pt idx="80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8130841121495324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れんたろう2!$L$1:$L$2</c:f>
              <c:strCache>
                <c:ptCount val="2"/>
                <c:pt idx="0">
                  <c:v>れんたろう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れんたろう2!$A$3:$A$83</c:f>
              <c:numCache>
                <c:formatCode>0\ "回"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れんたろう2!$L$3:$L$83</c:f>
              <c:numCache>
                <c:formatCode>0.0%</c:formatCode>
                <c:ptCount val="81"/>
                <c:pt idx="1">
                  <c:v>0.18181818181818182</c:v>
                </c:pt>
                <c:pt idx="2">
                  <c:v>0.15</c:v>
                </c:pt>
                <c:pt idx="3">
                  <c:v>0.2</c:v>
                </c:pt>
                <c:pt idx="4">
                  <c:v>0.22222222222222221</c:v>
                </c:pt>
                <c:pt idx="5">
                  <c:v>0.17777777777777778</c:v>
                </c:pt>
                <c:pt idx="6">
                  <c:v>0.17391304347826086</c:v>
                </c:pt>
                <c:pt idx="7">
                  <c:v>0.15094339622641509</c:v>
                </c:pt>
                <c:pt idx="8">
                  <c:v>0.18032786885245902</c:v>
                </c:pt>
                <c:pt idx="9">
                  <c:v>0.22388059701492538</c:v>
                </c:pt>
                <c:pt idx="10">
                  <c:v>0.19736842105263158</c:v>
                </c:pt>
                <c:pt idx="11">
                  <c:v>0.20238095238095238</c:v>
                </c:pt>
                <c:pt idx="12">
                  <c:v>0.18888888888888888</c:v>
                </c:pt>
                <c:pt idx="13">
                  <c:v>0.21212121212121213</c:v>
                </c:pt>
                <c:pt idx="14">
                  <c:v>0.22641509433962265</c:v>
                </c:pt>
                <c:pt idx="15">
                  <c:v>0.22950819672131148</c:v>
                </c:pt>
                <c:pt idx="16">
                  <c:v>0.24031007751937986</c:v>
                </c:pt>
                <c:pt idx="17">
                  <c:v>0.24817518248175183</c:v>
                </c:pt>
                <c:pt idx="18">
                  <c:v>0.25517241379310346</c:v>
                </c:pt>
                <c:pt idx="19">
                  <c:v>0.25641025641025639</c:v>
                </c:pt>
                <c:pt idx="20">
                  <c:v>0.26543209876543211</c:v>
                </c:pt>
                <c:pt idx="21">
                  <c:v>0.26035502958579881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0.26178010471204188</c:v>
                </c:pt>
                <c:pt idx="25">
                  <c:v>0.26903553299492383</c:v>
                </c:pt>
                <c:pt idx="26">
                  <c:v>0.2722772277227723</c:v>
                </c:pt>
                <c:pt idx="27">
                  <c:v>0.27619047619047621</c:v>
                </c:pt>
                <c:pt idx="28">
                  <c:v>0.27777777777777779</c:v>
                </c:pt>
                <c:pt idx="29">
                  <c:v>0.27876106194690264</c:v>
                </c:pt>
                <c:pt idx="30">
                  <c:v>0.2813852813852814</c:v>
                </c:pt>
                <c:pt idx="31">
                  <c:v>0.2857142857142857</c:v>
                </c:pt>
                <c:pt idx="32">
                  <c:v>0.28163265306122448</c:v>
                </c:pt>
                <c:pt idx="33">
                  <c:v>0.28174603174603174</c:v>
                </c:pt>
                <c:pt idx="34">
                  <c:v>0.28244274809160308</c:v>
                </c:pt>
                <c:pt idx="35">
                  <c:v>0.2857142857142857</c:v>
                </c:pt>
                <c:pt idx="36">
                  <c:v>0.28472222222222221</c:v>
                </c:pt>
                <c:pt idx="37">
                  <c:v>0.28813559322033899</c:v>
                </c:pt>
                <c:pt idx="38">
                  <c:v>0.29180327868852457</c:v>
                </c:pt>
                <c:pt idx="39">
                  <c:v>0.29392971246006389</c:v>
                </c:pt>
                <c:pt idx="40">
                  <c:v>0.29595015576323985</c:v>
                </c:pt>
                <c:pt idx="41">
                  <c:v>0.30303030303030304</c:v>
                </c:pt>
                <c:pt idx="42">
                  <c:v>0.30746268656716419</c:v>
                </c:pt>
                <c:pt idx="43">
                  <c:v>0.30144927536231886</c:v>
                </c:pt>
                <c:pt idx="44">
                  <c:v>0.30311614730878189</c:v>
                </c:pt>
                <c:pt idx="45">
                  <c:v>0.29945054945054944</c:v>
                </c:pt>
                <c:pt idx="46">
                  <c:v>0.31016042780748665</c:v>
                </c:pt>
                <c:pt idx="47">
                  <c:v>0.31675392670157065</c:v>
                </c:pt>
                <c:pt idx="48">
                  <c:v>0.32133676092544988</c:v>
                </c:pt>
                <c:pt idx="49">
                  <c:v>0.32070707070707072</c:v>
                </c:pt>
                <c:pt idx="50">
                  <c:v>0.31920199501246882</c:v>
                </c:pt>
                <c:pt idx="51">
                  <c:v>0.32107843137254904</c:v>
                </c:pt>
                <c:pt idx="52">
                  <c:v>0.32692307692307693</c:v>
                </c:pt>
                <c:pt idx="53">
                  <c:v>0.32938388625592419</c:v>
                </c:pt>
                <c:pt idx="54">
                  <c:v>0.32558139534883723</c:v>
                </c:pt>
                <c:pt idx="55">
                  <c:v>0.32118451025056949</c:v>
                </c:pt>
                <c:pt idx="56">
                  <c:v>0.32</c:v>
                </c:pt>
                <c:pt idx="57">
                  <c:v>0.32385120350109409</c:v>
                </c:pt>
                <c:pt idx="58">
                  <c:v>0.32258064516129031</c:v>
                </c:pt>
                <c:pt idx="59">
                  <c:v>0.32845188284518828</c:v>
                </c:pt>
                <c:pt idx="60">
                  <c:v>0.32723577235772355</c:v>
                </c:pt>
                <c:pt idx="61">
                  <c:v>0.32341269841269843</c:v>
                </c:pt>
                <c:pt idx="62">
                  <c:v>0.32156862745098042</c:v>
                </c:pt>
                <c:pt idx="63">
                  <c:v>0.31782945736434109</c:v>
                </c:pt>
                <c:pt idx="64">
                  <c:v>0.31739961759082219</c:v>
                </c:pt>
                <c:pt idx="65">
                  <c:v>0.31826741996233521</c:v>
                </c:pt>
                <c:pt idx="66">
                  <c:v>0.31860036832412525</c:v>
                </c:pt>
                <c:pt idx="67">
                  <c:v>0.31760435571687839</c:v>
                </c:pt>
                <c:pt idx="68">
                  <c:v>0.31899641577060933</c:v>
                </c:pt>
                <c:pt idx="69">
                  <c:v>0.31802120141342755</c:v>
                </c:pt>
                <c:pt idx="70">
                  <c:v>0.31533101045296169</c:v>
                </c:pt>
                <c:pt idx="71">
                  <c:v>0.31715771230502598</c:v>
                </c:pt>
                <c:pt idx="72">
                  <c:v>0.3202054794520548</c:v>
                </c:pt>
                <c:pt idx="73">
                  <c:v>0.32081911262798635</c:v>
                </c:pt>
                <c:pt idx="74">
                  <c:v>0.31871838111298484</c:v>
                </c:pt>
                <c:pt idx="75">
                  <c:v>0.31788079470198677</c:v>
                </c:pt>
                <c:pt idx="76">
                  <c:v>0.315359477124183</c:v>
                </c:pt>
                <c:pt idx="77">
                  <c:v>0.31877022653721682</c:v>
                </c:pt>
                <c:pt idx="78">
                  <c:v>0.31897926634768742</c:v>
                </c:pt>
                <c:pt idx="79">
                  <c:v>0.31653543307086612</c:v>
                </c:pt>
                <c:pt idx="80">
                  <c:v>0.31627906976744186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4504504504504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れんたろう2!$M$1:$M$2</c:f>
              <c:strCache>
                <c:ptCount val="2"/>
                <c:pt idx="0">
                  <c:v>れんたろう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れんたろう2!$A$3:$A$83</c:f>
              <c:numCache>
                <c:formatCode>0\ "回"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れんたろう2!$M$3:$M$83</c:f>
              <c:numCache>
                <c:formatCode>0.0%</c:formatCode>
                <c:ptCount val="81"/>
                <c:pt idx="1">
                  <c:v>0.18181818181818182</c:v>
                </c:pt>
                <c:pt idx="2">
                  <c:v>0.1</c:v>
                </c:pt>
                <c:pt idx="3">
                  <c:v>0.23333333333333334</c:v>
                </c:pt>
                <c:pt idx="4">
                  <c:v>0.25</c:v>
                </c:pt>
                <c:pt idx="5">
                  <c:v>0.24444444444444444</c:v>
                </c:pt>
                <c:pt idx="6">
                  <c:v>0.2391304347826087</c:v>
                </c:pt>
                <c:pt idx="7">
                  <c:v>0.30188679245283018</c:v>
                </c:pt>
                <c:pt idx="8">
                  <c:v>0.26229508196721313</c:v>
                </c:pt>
                <c:pt idx="9">
                  <c:v>0.2537313432835821</c:v>
                </c:pt>
                <c:pt idx="10">
                  <c:v>0.28947368421052633</c:v>
                </c:pt>
                <c:pt idx="11">
                  <c:v>0.26190476190476192</c:v>
                </c:pt>
                <c:pt idx="12">
                  <c:v>0.25555555555555554</c:v>
                </c:pt>
                <c:pt idx="13">
                  <c:v>0.25252525252525254</c:v>
                </c:pt>
                <c:pt idx="14">
                  <c:v>0.23584905660377359</c:v>
                </c:pt>
                <c:pt idx="15">
                  <c:v>0.23770491803278687</c:v>
                </c:pt>
                <c:pt idx="16">
                  <c:v>0.23255813953488372</c:v>
                </c:pt>
                <c:pt idx="17">
                  <c:v>0.22627737226277372</c:v>
                </c:pt>
                <c:pt idx="18">
                  <c:v>0.23448275862068965</c:v>
                </c:pt>
                <c:pt idx="19">
                  <c:v>0.22435897435897437</c:v>
                </c:pt>
                <c:pt idx="20">
                  <c:v>0.22222222222222221</c:v>
                </c:pt>
                <c:pt idx="21">
                  <c:v>0.21893491124260356</c:v>
                </c:pt>
                <c:pt idx="22">
                  <c:v>0.23295454545454544</c:v>
                </c:pt>
                <c:pt idx="23">
                  <c:v>0.22950819672131148</c:v>
                </c:pt>
                <c:pt idx="24">
                  <c:v>0.2356020942408377</c:v>
                </c:pt>
                <c:pt idx="25">
                  <c:v>0.22842639593908629</c:v>
                </c:pt>
                <c:pt idx="26">
                  <c:v>0.22277227722772278</c:v>
                </c:pt>
                <c:pt idx="27">
                  <c:v>0.21904761904761905</c:v>
                </c:pt>
                <c:pt idx="28">
                  <c:v>0.21759259259259259</c:v>
                </c:pt>
                <c:pt idx="29">
                  <c:v>0.21238938053097345</c:v>
                </c:pt>
                <c:pt idx="30">
                  <c:v>0.21212121212121213</c:v>
                </c:pt>
                <c:pt idx="31">
                  <c:v>0.21428571428571427</c:v>
                </c:pt>
                <c:pt idx="32">
                  <c:v>0.20816326530612245</c:v>
                </c:pt>
                <c:pt idx="33">
                  <c:v>0.20634920634920634</c:v>
                </c:pt>
                <c:pt idx="34">
                  <c:v>0.21374045801526717</c:v>
                </c:pt>
                <c:pt idx="35">
                  <c:v>0.20512820512820512</c:v>
                </c:pt>
                <c:pt idx="36">
                  <c:v>0.19791666666666666</c:v>
                </c:pt>
                <c:pt idx="37">
                  <c:v>0.2</c:v>
                </c:pt>
                <c:pt idx="38">
                  <c:v>0.20327868852459016</c:v>
                </c:pt>
                <c:pt idx="39">
                  <c:v>0.20447284345047922</c:v>
                </c:pt>
                <c:pt idx="40">
                  <c:v>0.20249221183800623</c:v>
                </c:pt>
                <c:pt idx="41">
                  <c:v>0.2</c:v>
                </c:pt>
                <c:pt idx="42">
                  <c:v>0.19701492537313434</c:v>
                </c:pt>
                <c:pt idx="43">
                  <c:v>0.2</c:v>
                </c:pt>
                <c:pt idx="44">
                  <c:v>0.20113314447592068</c:v>
                </c:pt>
                <c:pt idx="45">
                  <c:v>0.20054945054945056</c:v>
                </c:pt>
                <c:pt idx="46">
                  <c:v>0.20053475935828877</c:v>
                </c:pt>
                <c:pt idx="47">
                  <c:v>0.19633507853403143</c:v>
                </c:pt>
                <c:pt idx="48">
                  <c:v>0.19537275064267351</c:v>
                </c:pt>
                <c:pt idx="49">
                  <c:v>0.19696969696969696</c:v>
                </c:pt>
                <c:pt idx="50">
                  <c:v>0.19451371571072318</c:v>
                </c:pt>
                <c:pt idx="51">
                  <c:v>0.19117647058823528</c:v>
                </c:pt>
                <c:pt idx="52">
                  <c:v>0.18990384615384615</c:v>
                </c:pt>
                <c:pt idx="53">
                  <c:v>0.1872037914691943</c:v>
                </c:pt>
                <c:pt idx="54">
                  <c:v>0.18604651162790697</c:v>
                </c:pt>
                <c:pt idx="55">
                  <c:v>0.18223234624145787</c:v>
                </c:pt>
                <c:pt idx="56">
                  <c:v>0.18222222222222223</c:v>
                </c:pt>
                <c:pt idx="57">
                  <c:v>0.17943107221006566</c:v>
                </c:pt>
                <c:pt idx="58">
                  <c:v>0.17634408602150536</c:v>
                </c:pt>
                <c:pt idx="59">
                  <c:v>0.17782426778242677</c:v>
                </c:pt>
                <c:pt idx="60">
                  <c:v>0.17886178861788618</c:v>
                </c:pt>
                <c:pt idx="61">
                  <c:v>0.18055555555555555</c:v>
                </c:pt>
                <c:pt idx="62">
                  <c:v>0.17843137254901961</c:v>
                </c:pt>
                <c:pt idx="63">
                  <c:v>0.17635658914728683</c:v>
                </c:pt>
                <c:pt idx="64">
                  <c:v>0.17782026768642448</c:v>
                </c:pt>
                <c:pt idx="65">
                  <c:v>0.17890772128060264</c:v>
                </c:pt>
                <c:pt idx="66">
                  <c:v>0.17863720073664824</c:v>
                </c:pt>
                <c:pt idx="67">
                  <c:v>0.17785843920145192</c:v>
                </c:pt>
                <c:pt idx="68">
                  <c:v>0.17921146953405018</c:v>
                </c:pt>
                <c:pt idx="69">
                  <c:v>0.17667844522968199</c:v>
                </c:pt>
                <c:pt idx="70">
                  <c:v>0.17944250871080139</c:v>
                </c:pt>
                <c:pt idx="71">
                  <c:v>0.17850953206239167</c:v>
                </c:pt>
                <c:pt idx="72">
                  <c:v>0.17636986301369864</c:v>
                </c:pt>
                <c:pt idx="73">
                  <c:v>0.17576791808873721</c:v>
                </c:pt>
                <c:pt idx="74">
                  <c:v>0.17537942664418213</c:v>
                </c:pt>
                <c:pt idx="75">
                  <c:v>0.17549668874172186</c:v>
                </c:pt>
                <c:pt idx="76">
                  <c:v>0.1781045751633987</c:v>
                </c:pt>
                <c:pt idx="77">
                  <c:v>0.17637540453074432</c:v>
                </c:pt>
                <c:pt idx="78">
                  <c:v>0.17543859649122806</c:v>
                </c:pt>
                <c:pt idx="79">
                  <c:v>0.17480314960629922</c:v>
                </c:pt>
                <c:pt idx="80">
                  <c:v>0.17674418604651163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043543543543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れんたろう2!$N$1:$N$2</c:f>
              <c:strCache>
                <c:ptCount val="2"/>
                <c:pt idx="0">
                  <c:v>れんたろう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れんたろう2!$A$3:$A$83</c:f>
              <c:numCache>
                <c:formatCode>0\ "回"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れんたろう2!$N$3:$N$83</c:f>
              <c:numCache>
                <c:formatCode>0.0%</c:formatCode>
                <c:ptCount val="81"/>
                <c:pt idx="1">
                  <c:v>0.5</c:v>
                </c:pt>
                <c:pt idx="2">
                  <c:v>0.66666666666666663</c:v>
                </c:pt>
                <c:pt idx="3">
                  <c:v>0.33333333333333331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0.36363636363636365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0.29411764705882354</c:v>
                </c:pt>
                <c:pt idx="12">
                  <c:v>0.29411764705882354</c:v>
                </c:pt>
                <c:pt idx="13">
                  <c:v>0.23809523809523808</c:v>
                </c:pt>
                <c:pt idx="14">
                  <c:v>0.25</c:v>
                </c:pt>
                <c:pt idx="15">
                  <c:v>0.25</c:v>
                </c:pt>
                <c:pt idx="16">
                  <c:v>0.29032258064516131</c:v>
                </c:pt>
                <c:pt idx="17">
                  <c:v>0.3235294117647059</c:v>
                </c:pt>
                <c:pt idx="18">
                  <c:v>0.32432432432432434</c:v>
                </c:pt>
                <c:pt idx="19">
                  <c:v>0.35</c:v>
                </c:pt>
                <c:pt idx="20">
                  <c:v>0.34883720930232559</c:v>
                </c:pt>
                <c:pt idx="21">
                  <c:v>0.34090909090909088</c:v>
                </c:pt>
                <c:pt idx="22">
                  <c:v>0.35555555555555557</c:v>
                </c:pt>
                <c:pt idx="23">
                  <c:v>0.36170212765957449</c:v>
                </c:pt>
                <c:pt idx="24">
                  <c:v>0.36</c:v>
                </c:pt>
                <c:pt idx="25">
                  <c:v>0.37735849056603776</c:v>
                </c:pt>
                <c:pt idx="26">
                  <c:v>0.36363636363636365</c:v>
                </c:pt>
                <c:pt idx="27">
                  <c:v>0.39655172413793105</c:v>
                </c:pt>
                <c:pt idx="28">
                  <c:v>0.41666666666666669</c:v>
                </c:pt>
                <c:pt idx="29">
                  <c:v>0.3968253968253968</c:v>
                </c:pt>
                <c:pt idx="30">
                  <c:v>0.4</c:v>
                </c:pt>
                <c:pt idx="31">
                  <c:v>0.41176470588235292</c:v>
                </c:pt>
                <c:pt idx="32">
                  <c:v>0.42028985507246375</c:v>
                </c:pt>
                <c:pt idx="33">
                  <c:v>0.43661971830985913</c:v>
                </c:pt>
                <c:pt idx="34">
                  <c:v>0.44594594594594594</c:v>
                </c:pt>
                <c:pt idx="35">
                  <c:v>0.44871794871794873</c:v>
                </c:pt>
                <c:pt idx="36">
                  <c:v>0.45121951219512196</c:v>
                </c:pt>
                <c:pt idx="37">
                  <c:v>0.45882352941176469</c:v>
                </c:pt>
                <c:pt idx="38">
                  <c:v>0.4606741573033708</c:v>
                </c:pt>
                <c:pt idx="39">
                  <c:v>0.45652173913043476</c:v>
                </c:pt>
                <c:pt idx="40">
                  <c:v>0.4631578947368421</c:v>
                </c:pt>
                <c:pt idx="41">
                  <c:v>0.47</c:v>
                </c:pt>
                <c:pt idx="42">
                  <c:v>0.4854368932038835</c:v>
                </c:pt>
                <c:pt idx="43">
                  <c:v>0.48076923076923078</c:v>
                </c:pt>
                <c:pt idx="44">
                  <c:v>0.49532710280373832</c:v>
                </c:pt>
                <c:pt idx="45">
                  <c:v>0.49541284403669728</c:v>
                </c:pt>
                <c:pt idx="46">
                  <c:v>0.50862068965517238</c:v>
                </c:pt>
                <c:pt idx="47">
                  <c:v>0.51239669421487599</c:v>
                </c:pt>
                <c:pt idx="48">
                  <c:v>0.52800000000000002</c:v>
                </c:pt>
                <c:pt idx="49">
                  <c:v>0.52755905511811019</c:v>
                </c:pt>
                <c:pt idx="50">
                  <c:v>0.53125</c:v>
                </c:pt>
                <c:pt idx="51">
                  <c:v>0.52671755725190839</c:v>
                </c:pt>
                <c:pt idx="52">
                  <c:v>0.53676470588235292</c:v>
                </c:pt>
                <c:pt idx="53">
                  <c:v>0.53237410071942448</c:v>
                </c:pt>
                <c:pt idx="54">
                  <c:v>0.5357142857142857</c:v>
                </c:pt>
                <c:pt idx="55">
                  <c:v>0.53191489361702127</c:v>
                </c:pt>
                <c:pt idx="56">
                  <c:v>0.53472222222222221</c:v>
                </c:pt>
                <c:pt idx="57">
                  <c:v>0.54729729729729726</c:v>
                </c:pt>
                <c:pt idx="58">
                  <c:v>0.54666666666666663</c:v>
                </c:pt>
                <c:pt idx="59">
                  <c:v>0.55414012738853502</c:v>
                </c:pt>
                <c:pt idx="60">
                  <c:v>0.54658385093167705</c:v>
                </c:pt>
                <c:pt idx="61">
                  <c:v>0.54601226993865026</c:v>
                </c:pt>
                <c:pt idx="62">
                  <c:v>0.54878048780487809</c:v>
                </c:pt>
                <c:pt idx="63">
                  <c:v>0.54878048780487809</c:v>
                </c:pt>
                <c:pt idx="64">
                  <c:v>0.54819277108433739</c:v>
                </c:pt>
                <c:pt idx="65">
                  <c:v>0.55621301775147924</c:v>
                </c:pt>
                <c:pt idx="66">
                  <c:v>0.56069364161849711</c:v>
                </c:pt>
                <c:pt idx="67">
                  <c:v>0.55428571428571427</c:v>
                </c:pt>
                <c:pt idx="68">
                  <c:v>0.5561797752808989</c:v>
                </c:pt>
                <c:pt idx="69">
                  <c:v>0.55555555555555558</c:v>
                </c:pt>
                <c:pt idx="70">
                  <c:v>0.55801104972375692</c:v>
                </c:pt>
                <c:pt idx="71">
                  <c:v>0.55737704918032782</c:v>
                </c:pt>
                <c:pt idx="72">
                  <c:v>0.56149732620320858</c:v>
                </c:pt>
                <c:pt idx="73">
                  <c:v>0.55851063829787229</c:v>
                </c:pt>
                <c:pt idx="74">
                  <c:v>0.55555555555555558</c:v>
                </c:pt>
                <c:pt idx="75">
                  <c:v>0.55208333333333337</c:v>
                </c:pt>
                <c:pt idx="76">
                  <c:v>0.54922279792746109</c:v>
                </c:pt>
                <c:pt idx="77">
                  <c:v>0.5532994923857868</c:v>
                </c:pt>
                <c:pt idx="78">
                  <c:v>0.55000000000000004</c:v>
                </c:pt>
                <c:pt idx="79">
                  <c:v>0.54726368159203975</c:v>
                </c:pt>
                <c:pt idx="80">
                  <c:v>0.54411764705882348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5309734513274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れんたろう2!$O$1:$O$2</c:f>
              <c:strCache>
                <c:ptCount val="2"/>
                <c:pt idx="0">
                  <c:v>れんたろう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れんたろう2!$A$3:$A$83</c:f>
              <c:numCache>
                <c:formatCode>0\ "回"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れんたろう2!$O$3:$O$83</c:f>
              <c:numCache>
                <c:formatCode>0.0%</c:formatCode>
                <c:ptCount val="81"/>
                <c:pt idx="1">
                  <c:v>0.5</c:v>
                </c:pt>
                <c:pt idx="2">
                  <c:v>0.5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0.36363636363636365</c:v>
                </c:pt>
                <c:pt idx="6">
                  <c:v>0.36363636363636365</c:v>
                </c:pt>
                <c:pt idx="7">
                  <c:v>0.4375</c:v>
                </c:pt>
                <c:pt idx="8">
                  <c:v>0.4375</c:v>
                </c:pt>
                <c:pt idx="9">
                  <c:v>0.41176470588235292</c:v>
                </c:pt>
                <c:pt idx="10">
                  <c:v>0.45454545454545453</c:v>
                </c:pt>
                <c:pt idx="11">
                  <c:v>0.45454545454545453</c:v>
                </c:pt>
                <c:pt idx="12">
                  <c:v>0.47826086956521741</c:v>
                </c:pt>
                <c:pt idx="13">
                  <c:v>0.48</c:v>
                </c:pt>
                <c:pt idx="14">
                  <c:v>0.48</c:v>
                </c:pt>
                <c:pt idx="15">
                  <c:v>0.44827586206896552</c:v>
                </c:pt>
                <c:pt idx="16">
                  <c:v>0.46666666666666667</c:v>
                </c:pt>
                <c:pt idx="17">
                  <c:v>0.4838709677419355</c:v>
                </c:pt>
                <c:pt idx="18">
                  <c:v>0.47058823529411764</c:v>
                </c:pt>
                <c:pt idx="19">
                  <c:v>0.48571428571428571</c:v>
                </c:pt>
                <c:pt idx="20">
                  <c:v>0.47222222222222221</c:v>
                </c:pt>
                <c:pt idx="21">
                  <c:v>0.48648648648648651</c:v>
                </c:pt>
                <c:pt idx="22">
                  <c:v>0.51219512195121952</c:v>
                </c:pt>
                <c:pt idx="23">
                  <c:v>0.52380952380952384</c:v>
                </c:pt>
                <c:pt idx="24">
                  <c:v>0.48888888888888887</c:v>
                </c:pt>
                <c:pt idx="25">
                  <c:v>0.48888888888888887</c:v>
                </c:pt>
                <c:pt idx="26">
                  <c:v>0.48888888888888887</c:v>
                </c:pt>
                <c:pt idx="27">
                  <c:v>0.5</c:v>
                </c:pt>
                <c:pt idx="28">
                  <c:v>0.48936170212765956</c:v>
                </c:pt>
                <c:pt idx="29">
                  <c:v>0.5</c:v>
                </c:pt>
                <c:pt idx="30">
                  <c:v>0.51020408163265307</c:v>
                </c:pt>
                <c:pt idx="31">
                  <c:v>0.52941176470588236</c:v>
                </c:pt>
                <c:pt idx="32">
                  <c:v>0.52941176470588236</c:v>
                </c:pt>
                <c:pt idx="33">
                  <c:v>0.51923076923076927</c:v>
                </c:pt>
                <c:pt idx="34">
                  <c:v>0.5</c:v>
                </c:pt>
                <c:pt idx="35">
                  <c:v>0.5</c:v>
                </c:pt>
                <c:pt idx="36">
                  <c:v>0.49122807017543857</c:v>
                </c:pt>
                <c:pt idx="37">
                  <c:v>0.49152542372881358</c:v>
                </c:pt>
                <c:pt idx="38">
                  <c:v>0.4838709677419355</c:v>
                </c:pt>
                <c:pt idx="39">
                  <c:v>0.46875</c:v>
                </c:pt>
                <c:pt idx="40">
                  <c:v>0.47692307692307695</c:v>
                </c:pt>
                <c:pt idx="41">
                  <c:v>0.46969696969696972</c:v>
                </c:pt>
                <c:pt idx="42">
                  <c:v>0.46969696969696972</c:v>
                </c:pt>
                <c:pt idx="43">
                  <c:v>0.46376811594202899</c:v>
                </c:pt>
                <c:pt idx="44">
                  <c:v>0.45070422535211269</c:v>
                </c:pt>
                <c:pt idx="45">
                  <c:v>0.45205479452054792</c:v>
                </c:pt>
                <c:pt idx="46">
                  <c:v>0.45333333333333331</c:v>
                </c:pt>
                <c:pt idx="47">
                  <c:v>0.45333333333333331</c:v>
                </c:pt>
                <c:pt idx="48">
                  <c:v>0.46052631578947367</c:v>
                </c:pt>
                <c:pt idx="49">
                  <c:v>0.46153846153846156</c:v>
                </c:pt>
                <c:pt idx="50">
                  <c:v>0.46153846153846156</c:v>
                </c:pt>
                <c:pt idx="51">
                  <c:v>0.46153846153846156</c:v>
                </c:pt>
                <c:pt idx="52">
                  <c:v>0.46835443037974683</c:v>
                </c:pt>
                <c:pt idx="53">
                  <c:v>0.46835443037974683</c:v>
                </c:pt>
                <c:pt idx="54">
                  <c:v>0.46250000000000002</c:v>
                </c:pt>
                <c:pt idx="55">
                  <c:v>0.46250000000000002</c:v>
                </c:pt>
                <c:pt idx="56">
                  <c:v>0.45121951219512196</c:v>
                </c:pt>
                <c:pt idx="57">
                  <c:v>0.45121951219512196</c:v>
                </c:pt>
                <c:pt idx="58">
                  <c:v>0.45121951219512196</c:v>
                </c:pt>
                <c:pt idx="59">
                  <c:v>0.43529411764705883</c:v>
                </c:pt>
                <c:pt idx="60">
                  <c:v>0.44318181818181818</c:v>
                </c:pt>
                <c:pt idx="61">
                  <c:v>0.43956043956043955</c:v>
                </c:pt>
                <c:pt idx="62">
                  <c:v>0.43956043956043955</c:v>
                </c:pt>
                <c:pt idx="63">
                  <c:v>0.43956043956043955</c:v>
                </c:pt>
                <c:pt idx="64">
                  <c:v>0.43010752688172044</c:v>
                </c:pt>
                <c:pt idx="65">
                  <c:v>0.44210526315789472</c:v>
                </c:pt>
                <c:pt idx="66">
                  <c:v>0.44329896907216493</c:v>
                </c:pt>
                <c:pt idx="67">
                  <c:v>0.44897959183673469</c:v>
                </c:pt>
                <c:pt idx="68">
                  <c:v>0.45</c:v>
                </c:pt>
                <c:pt idx="69">
                  <c:v>0.45</c:v>
                </c:pt>
                <c:pt idx="70">
                  <c:v>0.43689320388349512</c:v>
                </c:pt>
                <c:pt idx="71">
                  <c:v>0.43689320388349512</c:v>
                </c:pt>
                <c:pt idx="72">
                  <c:v>0.43689320388349512</c:v>
                </c:pt>
                <c:pt idx="73">
                  <c:v>0.43689320388349512</c:v>
                </c:pt>
                <c:pt idx="74">
                  <c:v>0.43269230769230771</c:v>
                </c:pt>
                <c:pt idx="75">
                  <c:v>0.42452830188679247</c:v>
                </c:pt>
                <c:pt idx="76">
                  <c:v>0.42201834862385323</c:v>
                </c:pt>
                <c:pt idx="77">
                  <c:v>0.42201834862385323</c:v>
                </c:pt>
                <c:pt idx="78">
                  <c:v>0.41818181818181815</c:v>
                </c:pt>
                <c:pt idx="79">
                  <c:v>0.4144144144144144</c:v>
                </c:pt>
                <c:pt idx="80">
                  <c:v>0.40350877192982454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3484971567831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れんたろう2!$P$1:$P$2</c:f>
              <c:strCache>
                <c:ptCount val="2"/>
                <c:pt idx="0">
                  <c:v>れんたろう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れんたろう2!$A$3:$A$83</c:f>
              <c:numCache>
                <c:formatCode>0\ "回"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れんたろう2!$P$3:$P$83</c:f>
              <c:numCache>
                <c:formatCode>0.0%</c:formatCode>
                <c:ptCount val="81"/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</c:v>
                </c:pt>
                <c:pt idx="6">
                  <c:v>0.27272727272727271</c:v>
                </c:pt>
                <c:pt idx="7">
                  <c:v>0.35714285714285715</c:v>
                </c:pt>
                <c:pt idx="8">
                  <c:v>0.35714285714285715</c:v>
                </c:pt>
                <c:pt idx="9">
                  <c:v>0.4</c:v>
                </c:pt>
                <c:pt idx="10">
                  <c:v>0.33333333333333331</c:v>
                </c:pt>
                <c:pt idx="11">
                  <c:v>0.36842105263157893</c:v>
                </c:pt>
                <c:pt idx="12">
                  <c:v>0.33333333333333331</c:v>
                </c:pt>
                <c:pt idx="13">
                  <c:v>0.31818181818181818</c:v>
                </c:pt>
                <c:pt idx="14">
                  <c:v>0.33333333333333331</c:v>
                </c:pt>
                <c:pt idx="15">
                  <c:v>0.29629629629629628</c:v>
                </c:pt>
                <c:pt idx="16">
                  <c:v>0.36666666666666664</c:v>
                </c:pt>
                <c:pt idx="17">
                  <c:v>0.39393939393939392</c:v>
                </c:pt>
                <c:pt idx="18">
                  <c:v>0.41666666666666669</c:v>
                </c:pt>
                <c:pt idx="19">
                  <c:v>0.41025641025641024</c:v>
                </c:pt>
                <c:pt idx="20">
                  <c:v>0.4</c:v>
                </c:pt>
                <c:pt idx="21">
                  <c:v>0.3902439024390244</c:v>
                </c:pt>
                <c:pt idx="22">
                  <c:v>0.4</c:v>
                </c:pt>
                <c:pt idx="23">
                  <c:v>0.42553191489361702</c:v>
                </c:pt>
                <c:pt idx="24">
                  <c:v>0.4375</c:v>
                </c:pt>
                <c:pt idx="25">
                  <c:v>0.46</c:v>
                </c:pt>
                <c:pt idx="26">
                  <c:v>0.46</c:v>
                </c:pt>
                <c:pt idx="27">
                  <c:v>0.46296296296296297</c:v>
                </c:pt>
                <c:pt idx="28">
                  <c:v>0.4642857142857143</c:v>
                </c:pt>
                <c:pt idx="29">
                  <c:v>0.45614035087719296</c:v>
                </c:pt>
                <c:pt idx="30">
                  <c:v>0.45</c:v>
                </c:pt>
                <c:pt idx="31">
                  <c:v>0.453125</c:v>
                </c:pt>
                <c:pt idx="32">
                  <c:v>0.45454545454545453</c:v>
                </c:pt>
                <c:pt idx="33">
                  <c:v>0.44117647058823528</c:v>
                </c:pt>
                <c:pt idx="34">
                  <c:v>0.45070422535211269</c:v>
                </c:pt>
                <c:pt idx="35">
                  <c:v>0.46666666666666667</c:v>
                </c:pt>
                <c:pt idx="36">
                  <c:v>0.47435897435897434</c:v>
                </c:pt>
                <c:pt idx="37">
                  <c:v>0.48780487804878048</c:v>
                </c:pt>
                <c:pt idx="38">
                  <c:v>0.47058823529411764</c:v>
                </c:pt>
                <c:pt idx="39">
                  <c:v>0.47674418604651164</c:v>
                </c:pt>
                <c:pt idx="40">
                  <c:v>0.47191011235955055</c:v>
                </c:pt>
                <c:pt idx="41">
                  <c:v>0.47826086956521741</c:v>
                </c:pt>
                <c:pt idx="42">
                  <c:v>0.47368421052631576</c:v>
                </c:pt>
                <c:pt idx="43">
                  <c:v>0.46875</c:v>
                </c:pt>
                <c:pt idx="44">
                  <c:v>0.46464646464646464</c:v>
                </c:pt>
                <c:pt idx="45">
                  <c:v>0.46534653465346537</c:v>
                </c:pt>
                <c:pt idx="46">
                  <c:v>0.46728971962616822</c:v>
                </c:pt>
                <c:pt idx="47">
                  <c:v>0.47272727272727272</c:v>
                </c:pt>
                <c:pt idx="48">
                  <c:v>0.46956521739130436</c:v>
                </c:pt>
                <c:pt idx="49">
                  <c:v>0.46153846153846156</c:v>
                </c:pt>
                <c:pt idx="50">
                  <c:v>0.46610169491525422</c:v>
                </c:pt>
                <c:pt idx="51">
                  <c:v>0.47499999999999998</c:v>
                </c:pt>
                <c:pt idx="52">
                  <c:v>0.48799999999999999</c:v>
                </c:pt>
                <c:pt idx="53">
                  <c:v>0.49206349206349204</c:v>
                </c:pt>
                <c:pt idx="54">
                  <c:v>0.49612403100775193</c:v>
                </c:pt>
                <c:pt idx="55">
                  <c:v>0.49612403100775193</c:v>
                </c:pt>
                <c:pt idx="56">
                  <c:v>0.49618320610687022</c:v>
                </c:pt>
                <c:pt idx="57">
                  <c:v>0.48529411764705882</c:v>
                </c:pt>
                <c:pt idx="58">
                  <c:v>0.48550724637681159</c:v>
                </c:pt>
                <c:pt idx="59">
                  <c:v>0.4825174825174825</c:v>
                </c:pt>
                <c:pt idx="60">
                  <c:v>0.47945205479452052</c:v>
                </c:pt>
                <c:pt idx="61">
                  <c:v>0.47297297297297297</c:v>
                </c:pt>
                <c:pt idx="62">
                  <c:v>0.46979865771812079</c:v>
                </c:pt>
                <c:pt idx="63">
                  <c:v>0.46979865771812079</c:v>
                </c:pt>
                <c:pt idx="64">
                  <c:v>0.47333333333333333</c:v>
                </c:pt>
                <c:pt idx="65">
                  <c:v>0.47741935483870968</c:v>
                </c:pt>
                <c:pt idx="66">
                  <c:v>0.47169811320754718</c:v>
                </c:pt>
                <c:pt idx="67">
                  <c:v>0.47499999999999998</c:v>
                </c:pt>
                <c:pt idx="68">
                  <c:v>0.48170731707317072</c:v>
                </c:pt>
                <c:pt idx="69">
                  <c:v>0.48484848484848486</c:v>
                </c:pt>
                <c:pt idx="70">
                  <c:v>0.48192771084337349</c:v>
                </c:pt>
                <c:pt idx="71">
                  <c:v>0.47904191616766467</c:v>
                </c:pt>
                <c:pt idx="72">
                  <c:v>0.47647058823529409</c:v>
                </c:pt>
                <c:pt idx="73">
                  <c:v>0.47647058823529409</c:v>
                </c:pt>
                <c:pt idx="74">
                  <c:v>0.47647058823529409</c:v>
                </c:pt>
                <c:pt idx="75">
                  <c:v>0.47674418604651164</c:v>
                </c:pt>
                <c:pt idx="76">
                  <c:v>0.48275862068965519</c:v>
                </c:pt>
                <c:pt idx="77">
                  <c:v>0.48587570621468928</c:v>
                </c:pt>
                <c:pt idx="78">
                  <c:v>0.4887640449438202</c:v>
                </c:pt>
                <c:pt idx="79">
                  <c:v>0.4887640449438202</c:v>
                </c:pt>
                <c:pt idx="80">
                  <c:v>0.49444444444444446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1904761904761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">
      <c r="A19" s="51" t="s">
        <v>197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">
      <c r="A20" s="51" t="s">
        <v>195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">
      <c r="A21" s="20" t="s">
        <v>196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">
      <c r="A29" s="54" t="s">
        <v>194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">
      <c r="A32" s="86" t="s">
        <v>185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">
      <c r="A33" s="51" t="s">
        <v>181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">
      <c r="A34" s="51" t="s">
        <v>182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">
      <c r="A35" s="51" t="s">
        <v>183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">
      <c r="A36" s="51" t="s">
        <v>184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">
      <c r="A37" s="51" t="s">
        <v>186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">
      <c r="A38" s="51" t="s">
        <v>187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">
      <c r="A39" s="51" t="s">
        <v>188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">
      <c r="A40" s="51" t="s">
        <v>189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">
      <c r="A41" s="51" t="s">
        <v>190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">
      <c r="A42" s="51" t="s">
        <v>191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">
      <c r="A43" s="51" t="s">
        <v>192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">
      <c r="A44" s="53" t="s">
        <v>193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65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198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199</v>
      </c>
      <c r="B3" s="29">
        <v>43737.532500000001</v>
      </c>
      <c r="C3" s="28" t="s">
        <v>128</v>
      </c>
    </row>
    <row r="4" spans="1:12" x14ac:dyDescent="0.4">
      <c r="A4" s="28" t="s">
        <v>200</v>
      </c>
      <c r="B4" s="29">
        <v>43737.532500000001</v>
      </c>
      <c r="C4" s="28" t="s">
        <v>128</v>
      </c>
    </row>
    <row r="5" spans="1:12" x14ac:dyDescent="0.4">
      <c r="A5" s="28" t="s">
        <v>203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204</v>
      </c>
    </row>
    <row r="6" spans="1:12" x14ac:dyDescent="0.4">
      <c r="A6" s="28" t="s">
        <v>205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">
      <c r="A7" s="28" t="s">
        <v>206</v>
      </c>
      <c r="B7" s="29">
        <v>43738.564340277779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204</v>
      </c>
      <c r="I7" s="28" t="s">
        <v>207</v>
      </c>
      <c r="J7" s="28" t="s">
        <v>208</v>
      </c>
      <c r="K7" s="28" t="s">
        <v>209</v>
      </c>
      <c r="L7" s="28" t="s">
        <v>210</v>
      </c>
    </row>
    <row r="8" spans="1:12" x14ac:dyDescent="0.4">
      <c r="A8" s="28" t="s">
        <v>211</v>
      </c>
      <c r="B8" s="29">
        <v>43740.96733796296</v>
      </c>
      <c r="C8" s="28" t="s">
        <v>128</v>
      </c>
    </row>
    <row r="9" spans="1:12" x14ac:dyDescent="0.4">
      <c r="A9" s="28" t="s">
        <v>213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">
      <c r="A10" s="28" t="s">
        <v>214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204</v>
      </c>
    </row>
    <row r="11" spans="1:12" x14ac:dyDescent="0.4">
      <c r="A11" s="28" t="s">
        <v>215</v>
      </c>
      <c r="B11" s="29">
        <v>43741.028969907406</v>
      </c>
      <c r="C11" s="28" t="s">
        <v>128</v>
      </c>
    </row>
    <row r="12" spans="1:12" x14ac:dyDescent="0.4">
      <c r="A12" s="28" t="s">
        <v>216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">
      <c r="A13" s="28" t="s">
        <v>217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218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">
      <c r="A15" s="28" t="s">
        <v>219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220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">
      <c r="A17" s="28" t="s">
        <v>221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222</v>
      </c>
      <c r="B18" s="29">
        <v>43745.374525462961</v>
      </c>
      <c r="C18" s="28" t="s">
        <v>128</v>
      </c>
    </row>
    <row r="19" spans="1:12" x14ac:dyDescent="0.4">
      <c r="A19" s="28" t="s">
        <v>223</v>
      </c>
      <c r="B19" s="29">
        <v>43750.963090277779</v>
      </c>
      <c r="C19" s="28" t="s">
        <v>128</v>
      </c>
    </row>
    <row r="20" spans="1:12" x14ac:dyDescent="0.4">
      <c r="A20" s="28" t="s">
        <v>224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225</v>
      </c>
      <c r="B21" s="29">
        <v>43750.963090277779</v>
      </c>
      <c r="C21" s="28" t="s">
        <v>128</v>
      </c>
    </row>
    <row r="22" spans="1:12" x14ac:dyDescent="0.4">
      <c r="A22" s="28" t="s">
        <v>226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">
      <c r="A23" s="28" t="s">
        <v>227</v>
      </c>
      <c r="B23" s="29">
        <v>43750.963090277779</v>
      </c>
      <c r="C23" s="28" t="s">
        <v>128</v>
      </c>
    </row>
    <row r="24" spans="1:12" x14ac:dyDescent="0.4">
      <c r="A24" s="28" t="s">
        <v>228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">
      <c r="A25" s="28" t="s">
        <v>229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204</v>
      </c>
      <c r="I25" s="28" t="s">
        <v>207</v>
      </c>
      <c r="J25" s="28" t="s">
        <v>208</v>
      </c>
      <c r="K25" s="28" t="s">
        <v>209</v>
      </c>
      <c r="L25" s="28" t="s">
        <v>210</v>
      </c>
    </row>
    <row r="26" spans="1:12" x14ac:dyDescent="0.4">
      <c r="A26" s="28" t="s">
        <v>230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204</v>
      </c>
    </row>
    <row r="27" spans="1:12" x14ac:dyDescent="0.4">
      <c r="A27" s="28" t="s">
        <v>231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204</v>
      </c>
      <c r="I27" s="28" t="s">
        <v>207</v>
      </c>
      <c r="J27" s="28" t="s">
        <v>208</v>
      </c>
      <c r="K27" s="28" t="s">
        <v>209</v>
      </c>
    </row>
    <row r="28" spans="1:12" x14ac:dyDescent="0.4">
      <c r="A28" s="28" t="s">
        <v>232</v>
      </c>
      <c r="B28" s="29">
        <v>43754.690115740741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204</v>
      </c>
      <c r="I28" s="28" t="s">
        <v>207</v>
      </c>
      <c r="J28" s="28" t="s">
        <v>208</v>
      </c>
      <c r="K28" s="28" t="s">
        <v>209</v>
      </c>
      <c r="L28" s="28" t="s">
        <v>210</v>
      </c>
    </row>
    <row r="29" spans="1:12" x14ac:dyDescent="0.4">
      <c r="A29" s="28" t="s">
        <v>233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204</v>
      </c>
    </row>
    <row r="30" spans="1:12" x14ac:dyDescent="0.4">
      <c r="A30" s="28" t="s">
        <v>234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204</v>
      </c>
      <c r="I30" s="28" t="s">
        <v>207</v>
      </c>
    </row>
    <row r="31" spans="1:12" x14ac:dyDescent="0.4">
      <c r="A31" s="28" t="s">
        <v>235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">
      <c r="A32" s="28" t="s">
        <v>237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">
      <c r="A33" s="28" t="s">
        <v>238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">
      <c r="A34" s="28" t="s">
        <v>239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">
      <c r="A35" s="28" t="s">
        <v>240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">
      <c r="A36" s="28" t="s">
        <v>241</v>
      </c>
      <c r="B36" s="29">
        <v>43763.022106481483</v>
      </c>
      <c r="C36" s="28" t="s">
        <v>128</v>
      </c>
      <c r="D36" s="28" t="s">
        <v>129</v>
      </c>
    </row>
    <row r="37" spans="1:9" x14ac:dyDescent="0.4">
      <c r="A37" s="28" t="s">
        <v>242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">
      <c r="A38" s="28" t="s">
        <v>243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">
      <c r="A39" s="28" t="s">
        <v>244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">
      <c r="A40" s="28" t="s">
        <v>245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">
      <c r="A41" s="28" t="s">
        <v>246</v>
      </c>
      <c r="B41" s="29">
        <v>43766.037835648145</v>
      </c>
      <c r="C41" s="28" t="s">
        <v>128</v>
      </c>
    </row>
    <row r="42" spans="1:9" x14ac:dyDescent="0.4">
      <c r="A42" s="28" t="s">
        <v>247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">
      <c r="A43" s="28" t="s">
        <v>248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204</v>
      </c>
    </row>
    <row r="44" spans="1:9" x14ac:dyDescent="0.4">
      <c r="A44" s="28" t="s">
        <v>249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">
      <c r="A45" s="28" t="s">
        <v>250</v>
      </c>
      <c r="B45" s="29">
        <v>43770.558391203704</v>
      </c>
      <c r="C45" s="28" t="s">
        <v>128</v>
      </c>
      <c r="D45" s="28" t="s">
        <v>129</v>
      </c>
    </row>
    <row r="46" spans="1:9" x14ac:dyDescent="0.4">
      <c r="A46" s="28" t="s">
        <v>251</v>
      </c>
      <c r="B46" s="29">
        <v>43771.018865740742</v>
      </c>
      <c r="C46" s="28" t="s">
        <v>128</v>
      </c>
      <c r="D46" s="28" t="s">
        <v>129</v>
      </c>
    </row>
    <row r="47" spans="1:9" x14ac:dyDescent="0.4">
      <c r="A47" s="28" t="s">
        <v>252</v>
      </c>
      <c r="B47" s="29">
        <v>43770.815983796296</v>
      </c>
      <c r="C47" s="28" t="s">
        <v>128</v>
      </c>
    </row>
    <row r="48" spans="1:9" x14ac:dyDescent="0.4">
      <c r="A48" s="28" t="s">
        <v>253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204</v>
      </c>
      <c r="I48" s="28" t="s">
        <v>207</v>
      </c>
    </row>
    <row r="49" spans="1:9" x14ac:dyDescent="0.4">
      <c r="A49" s="28" t="s">
        <v>254</v>
      </c>
      <c r="B49" s="29">
        <v>43772.854699074072</v>
      </c>
      <c r="C49" s="28" t="s">
        <v>128</v>
      </c>
      <c r="D49" s="28" t="s">
        <v>129</v>
      </c>
    </row>
    <row r="50" spans="1:9" x14ac:dyDescent="0.4">
      <c r="A50" s="28" t="s">
        <v>255</v>
      </c>
      <c r="B50" s="29">
        <v>43773.722453703704</v>
      </c>
      <c r="C50" s="28" t="s">
        <v>128</v>
      </c>
    </row>
    <row r="51" spans="1:9" x14ac:dyDescent="0.4">
      <c r="A51" s="28" t="s">
        <v>256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">
      <c r="A52" s="28" t="s">
        <v>257</v>
      </c>
      <c r="B52" s="29">
        <v>43781.02715277778</v>
      </c>
      <c r="C52" s="28" t="s">
        <v>128</v>
      </c>
      <c r="D52" s="28" t="s">
        <v>129</v>
      </c>
    </row>
    <row r="53" spans="1:9" x14ac:dyDescent="0.4">
      <c r="A53" s="28" t="s">
        <v>258</v>
      </c>
      <c r="B53" s="29">
        <v>43781.637499999997</v>
      </c>
      <c r="C53" s="28" t="s">
        <v>128</v>
      </c>
    </row>
    <row r="54" spans="1:9" x14ac:dyDescent="0.4">
      <c r="A54" s="28" t="s">
        <v>259</v>
      </c>
      <c r="B54" s="29">
        <v>43782.018078703702</v>
      </c>
      <c r="C54" s="28" t="s">
        <v>128</v>
      </c>
      <c r="D54" s="28" t="s">
        <v>129</v>
      </c>
    </row>
    <row r="55" spans="1:9" x14ac:dyDescent="0.4">
      <c r="A55" s="28" t="s">
        <v>260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">
      <c r="A56" s="28" t="s">
        <v>261</v>
      </c>
      <c r="B56" s="29">
        <v>43783.744745370372</v>
      </c>
      <c r="C56" s="28" t="s">
        <v>128</v>
      </c>
    </row>
    <row r="57" spans="1:9" x14ac:dyDescent="0.4">
      <c r="A57" s="28" t="s">
        <v>262</v>
      </c>
      <c r="B57" s="29">
        <v>43784.974247685182</v>
      </c>
      <c r="C57" s="28" t="s">
        <v>128</v>
      </c>
    </row>
    <row r="58" spans="1:9" x14ac:dyDescent="0.4">
      <c r="A58" s="28" t="s">
        <v>263</v>
      </c>
      <c r="B58" s="29">
        <v>43786.052789351852</v>
      </c>
      <c r="C58" s="28" t="s">
        <v>128</v>
      </c>
      <c r="D58" s="28" t="s">
        <v>129</v>
      </c>
    </row>
    <row r="59" spans="1:9" x14ac:dyDescent="0.4">
      <c r="A59" s="28" t="s">
        <v>264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204</v>
      </c>
      <c r="I59" s="28" t="s">
        <v>207</v>
      </c>
    </row>
    <row r="60" spans="1:9" x14ac:dyDescent="0.4">
      <c r="A60" s="28" t="s">
        <v>179</v>
      </c>
      <c r="B60" s="29">
        <v>43787.745706018519</v>
      </c>
      <c r="C60" s="28" t="s">
        <v>128</v>
      </c>
    </row>
    <row r="61" spans="1:9" x14ac:dyDescent="0.4">
      <c r="A61" s="28" t="s">
        <v>180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">
      <c r="A62" s="28" t="s">
        <v>265</v>
      </c>
      <c r="B62" s="29">
        <v>43789.730671296296</v>
      </c>
      <c r="C62" s="28" t="s">
        <v>128</v>
      </c>
    </row>
    <row r="63" spans="1:9" x14ac:dyDescent="0.4">
      <c r="A63" s="28" t="s">
        <v>266</v>
      </c>
      <c r="B63" s="29">
        <v>43790.974027777775</v>
      </c>
      <c r="C63" s="28" t="s">
        <v>128</v>
      </c>
    </row>
    <row r="64" spans="1:9" x14ac:dyDescent="0.4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5" x14ac:dyDescent="0.4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6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141</v>
      </c>
      <c r="B1">
        <v>642</v>
      </c>
    </row>
    <row r="2" spans="1:2" x14ac:dyDescent="0.4">
      <c r="A2" t="s">
        <v>161</v>
      </c>
      <c r="B2">
        <v>56</v>
      </c>
    </row>
    <row r="3" spans="1:2" x14ac:dyDescent="0.4">
      <c r="A3" t="s">
        <v>126</v>
      </c>
      <c r="B3">
        <v>134</v>
      </c>
    </row>
    <row r="4" spans="1:2" x14ac:dyDescent="0.4">
      <c r="A4" t="s">
        <v>127</v>
      </c>
      <c r="B4">
        <v>122</v>
      </c>
    </row>
    <row r="5" spans="1:2" x14ac:dyDescent="0.4">
      <c r="A5" t="s">
        <v>172</v>
      </c>
      <c r="B5">
        <v>74</v>
      </c>
    </row>
    <row r="6" spans="1:2" x14ac:dyDescent="0.4">
      <c r="A6" t="s">
        <v>170</v>
      </c>
      <c r="B6">
        <v>80</v>
      </c>
    </row>
    <row r="7" spans="1:2" x14ac:dyDescent="0.4">
      <c r="A7" t="s">
        <v>171</v>
      </c>
      <c r="B7">
        <v>101</v>
      </c>
    </row>
    <row r="8" spans="1:2" x14ac:dyDescent="0.4">
      <c r="A8" t="s">
        <v>202</v>
      </c>
      <c r="B8">
        <v>42</v>
      </c>
    </row>
    <row r="9" spans="1:2" x14ac:dyDescent="0.4">
      <c r="A9" t="s">
        <v>201</v>
      </c>
      <c r="B9">
        <v>24</v>
      </c>
    </row>
    <row r="10" spans="1:2" x14ac:dyDescent="0.4">
      <c r="A10" t="s">
        <v>212</v>
      </c>
      <c r="B10">
        <v>7</v>
      </c>
    </row>
    <row r="11" spans="1:2" x14ac:dyDescent="0.4">
      <c r="A11" t="s">
        <v>236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4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8" customWidth="1"/>
    <col min="34" max="16384" width="9" style="69"/>
  </cols>
  <sheetData>
    <row r="1" spans="1:33" x14ac:dyDescent="0.4">
      <c r="A1" s="68"/>
      <c r="B1" s="164" t="s">
        <v>6</v>
      </c>
      <c r="C1" s="165"/>
      <c r="D1" s="164" t="s">
        <v>7</v>
      </c>
      <c r="E1" s="165"/>
      <c r="F1" s="164" t="s">
        <v>15</v>
      </c>
      <c r="G1" s="165"/>
      <c r="H1" s="164" t="s">
        <v>14</v>
      </c>
      <c r="I1" s="165"/>
      <c r="J1" s="164" t="s">
        <v>155</v>
      </c>
      <c r="K1" s="165"/>
      <c r="L1" s="164" t="s">
        <v>145</v>
      </c>
      <c r="M1" s="165"/>
      <c r="N1" s="164" t="s">
        <v>146</v>
      </c>
      <c r="O1" s="165"/>
      <c r="P1" s="164" t="s">
        <v>5</v>
      </c>
      <c r="Q1" s="165"/>
      <c r="R1" s="164" t="s">
        <v>16</v>
      </c>
      <c r="S1" s="165"/>
      <c r="T1" s="164" t="s">
        <v>17</v>
      </c>
      <c r="U1" s="165"/>
      <c r="V1" s="164" t="s">
        <v>122</v>
      </c>
      <c r="W1" s="165"/>
      <c r="X1" s="164" t="s">
        <v>119</v>
      </c>
      <c r="Y1" s="165"/>
      <c r="Z1" s="164" t="s">
        <v>125</v>
      </c>
      <c r="AA1" s="165"/>
      <c r="AB1" s="164" t="s">
        <v>147</v>
      </c>
      <c r="AC1" s="165"/>
      <c r="AD1" s="164" t="s">
        <v>140</v>
      </c>
      <c r="AE1" s="165"/>
      <c r="AF1" s="164" t="s">
        <v>194</v>
      </c>
      <c r="AG1" s="165"/>
    </row>
    <row r="2" spans="1:33" x14ac:dyDescent="0.4">
      <c r="A2" s="68" t="s">
        <v>154</v>
      </c>
      <c r="B2" s="166"/>
      <c r="C2" s="167"/>
      <c r="D2" s="166"/>
      <c r="E2" s="167"/>
      <c r="F2" s="162">
        <v>0.99305084864450888</v>
      </c>
      <c r="G2" s="163"/>
      <c r="H2" s="162">
        <v>0.88809650658420125</v>
      </c>
      <c r="I2" s="163"/>
      <c r="J2" s="162">
        <v>0.91492250308613121</v>
      </c>
      <c r="K2" s="163"/>
      <c r="L2" s="162">
        <v>0.83843008828074583</v>
      </c>
      <c r="M2" s="163"/>
      <c r="N2" s="162">
        <v>0.52847149994415754</v>
      </c>
      <c r="O2" s="163"/>
      <c r="P2" s="162">
        <v>0.47737420968022432</v>
      </c>
      <c r="Q2" s="163"/>
      <c r="R2" s="162">
        <v>0.15144734684192288</v>
      </c>
      <c r="S2" s="163"/>
      <c r="T2" s="162">
        <v>0.51668523567050328</v>
      </c>
      <c r="U2" s="163"/>
      <c r="V2" s="162">
        <v>0.51619862796076887</v>
      </c>
      <c r="W2" s="163"/>
      <c r="X2" s="162">
        <v>8.0149991826265424E-3</v>
      </c>
      <c r="Y2" s="163"/>
      <c r="Z2" s="162">
        <v>0.4344377459457241</v>
      </c>
      <c r="AA2" s="163"/>
      <c r="AB2" s="162">
        <v>0.32348600316417941</v>
      </c>
      <c r="AC2" s="163"/>
      <c r="AD2" s="162">
        <v>-3.0306734851225373E-2</v>
      </c>
      <c r="AE2" s="163"/>
      <c r="AF2" s="162">
        <v>0.7788343269718041</v>
      </c>
      <c r="AG2" s="163"/>
    </row>
    <row r="3" spans="1:33" x14ac:dyDescent="0.4">
      <c r="A3" s="70">
        <v>1</v>
      </c>
      <c r="B3" s="71" t="s">
        <v>126</v>
      </c>
      <c r="C3" s="72">
        <v>1208.4000000000003</v>
      </c>
      <c r="D3" s="73" t="s">
        <v>236</v>
      </c>
      <c r="E3" s="92">
        <v>13.1</v>
      </c>
      <c r="F3" s="73" t="s">
        <v>236</v>
      </c>
      <c r="G3" s="74">
        <v>1.5</v>
      </c>
      <c r="H3" s="73" t="s">
        <v>236</v>
      </c>
      <c r="I3" s="75">
        <v>0.5</v>
      </c>
      <c r="J3" s="73" t="s">
        <v>236</v>
      </c>
      <c r="K3" s="75">
        <v>0</v>
      </c>
      <c r="L3" s="73" t="s">
        <v>236</v>
      </c>
      <c r="M3" s="76">
        <v>0.46666666666666667</v>
      </c>
      <c r="N3" s="73" t="s">
        <v>236</v>
      </c>
      <c r="O3" s="76">
        <v>6.6666666666666666E-2</v>
      </c>
      <c r="P3" s="73" t="s">
        <v>170</v>
      </c>
      <c r="Q3" s="77">
        <v>10849.444444444445</v>
      </c>
      <c r="R3" s="73" t="s">
        <v>201</v>
      </c>
      <c r="S3" s="77">
        <v>-6836.8421052631575</v>
      </c>
      <c r="T3" s="73" t="s">
        <v>236</v>
      </c>
      <c r="U3" s="75">
        <v>0</v>
      </c>
      <c r="V3" s="73" t="s">
        <v>170</v>
      </c>
      <c r="W3" s="76">
        <v>0.31627906976744186</v>
      </c>
      <c r="X3" s="73" t="s">
        <v>212</v>
      </c>
      <c r="Y3" s="76">
        <v>0.35483870967741937</v>
      </c>
      <c r="Z3" s="73" t="s">
        <v>126</v>
      </c>
      <c r="AA3" s="76">
        <v>0.60135135135135132</v>
      </c>
      <c r="AB3" s="73" t="s">
        <v>236</v>
      </c>
      <c r="AC3" s="76">
        <v>1</v>
      </c>
      <c r="AD3" s="73" t="s">
        <v>201</v>
      </c>
      <c r="AE3" s="76">
        <v>0.56451612903225812</v>
      </c>
      <c r="AF3" s="73" t="s">
        <v>126</v>
      </c>
      <c r="AG3" s="87">
        <v>149100</v>
      </c>
    </row>
    <row r="4" spans="1:33" x14ac:dyDescent="0.4">
      <c r="A4" s="78">
        <v>2</v>
      </c>
      <c r="B4" s="79" t="s">
        <v>170</v>
      </c>
      <c r="C4" s="80">
        <v>245.50000000000011</v>
      </c>
      <c r="D4" s="81" t="s">
        <v>126</v>
      </c>
      <c r="E4" s="93">
        <v>9.0179104477611958</v>
      </c>
      <c r="F4" s="81" t="s">
        <v>126</v>
      </c>
      <c r="G4" s="82">
        <v>1.7686567164179106</v>
      </c>
      <c r="H4" s="81" t="s">
        <v>126</v>
      </c>
      <c r="I4" s="83">
        <v>0.47014925373134331</v>
      </c>
      <c r="J4" s="81" t="s">
        <v>126</v>
      </c>
      <c r="K4" s="83">
        <v>0.23880597014925373</v>
      </c>
      <c r="L4" s="81" t="s">
        <v>126</v>
      </c>
      <c r="M4" s="84">
        <v>0.34466911764705882</v>
      </c>
      <c r="N4" s="81" t="s">
        <v>126</v>
      </c>
      <c r="O4" s="84">
        <v>0.12959558823529413</v>
      </c>
      <c r="P4" s="81" t="s">
        <v>201</v>
      </c>
      <c r="Q4" s="85">
        <v>8456.4516129032254</v>
      </c>
      <c r="R4" s="81" t="s">
        <v>172</v>
      </c>
      <c r="S4" s="85">
        <v>-7544</v>
      </c>
      <c r="T4" s="81" t="s">
        <v>161</v>
      </c>
      <c r="U4" s="83">
        <v>3.5714285714285712E-2</v>
      </c>
      <c r="V4" s="81" t="s">
        <v>172</v>
      </c>
      <c r="W4" s="84">
        <v>0.2870967741935484</v>
      </c>
      <c r="X4" s="81" t="s">
        <v>236</v>
      </c>
      <c r="Y4" s="84">
        <v>0.33333333333333331</v>
      </c>
      <c r="Z4" s="81" t="s">
        <v>201</v>
      </c>
      <c r="AA4" s="84">
        <v>0.5901639344262295</v>
      </c>
      <c r="AB4" s="81" t="s">
        <v>126</v>
      </c>
      <c r="AC4" s="84">
        <v>0.47933884297520662</v>
      </c>
      <c r="AD4" s="81" t="s">
        <v>170</v>
      </c>
      <c r="AE4" s="84">
        <v>0.49444444444444446</v>
      </c>
      <c r="AF4" s="81" t="s">
        <v>141</v>
      </c>
      <c r="AG4" s="88">
        <v>149100</v>
      </c>
    </row>
    <row r="5" spans="1:33" x14ac:dyDescent="0.4">
      <c r="A5" s="78">
        <v>3</v>
      </c>
      <c r="B5" s="79" t="s">
        <v>127</v>
      </c>
      <c r="C5" s="80">
        <v>127.69999999999979</v>
      </c>
      <c r="D5" s="81" t="s">
        <v>170</v>
      </c>
      <c r="E5" s="93">
        <v>3.0687500000000014</v>
      </c>
      <c r="F5" s="81" t="s">
        <v>127</v>
      </c>
      <c r="G5" s="82">
        <v>1.9426229508196722</v>
      </c>
      <c r="H5" s="81" t="s">
        <v>212</v>
      </c>
      <c r="I5" s="83">
        <v>0.42857142857142855</v>
      </c>
      <c r="J5" s="81" t="s">
        <v>171</v>
      </c>
      <c r="K5" s="83">
        <v>0.27722772277227725</v>
      </c>
      <c r="L5" s="81" t="s">
        <v>127</v>
      </c>
      <c r="M5" s="84">
        <v>0.30829268292682926</v>
      </c>
      <c r="N5" s="81" t="s">
        <v>171</v>
      </c>
      <c r="O5" s="84">
        <v>0.13732833957553059</v>
      </c>
      <c r="P5" s="81" t="s">
        <v>127</v>
      </c>
      <c r="Q5" s="85">
        <v>8449.683544303798</v>
      </c>
      <c r="R5" s="81" t="s">
        <v>161</v>
      </c>
      <c r="S5" s="85">
        <v>-7600</v>
      </c>
      <c r="T5" s="81" t="s">
        <v>126</v>
      </c>
      <c r="U5" s="83">
        <v>4.4776119402985072E-2</v>
      </c>
      <c r="V5" s="81" t="s">
        <v>126</v>
      </c>
      <c r="W5" s="84">
        <v>0.27205882352941174</v>
      </c>
      <c r="X5" s="81" t="s">
        <v>127</v>
      </c>
      <c r="Y5" s="84">
        <v>0.31317073170731707</v>
      </c>
      <c r="Z5" s="81" t="s">
        <v>172</v>
      </c>
      <c r="AA5" s="84">
        <v>0.5730337078651685</v>
      </c>
      <c r="AB5" s="81" t="s">
        <v>171</v>
      </c>
      <c r="AC5" s="84">
        <v>0.42372881355932202</v>
      </c>
      <c r="AD5" s="81" t="s">
        <v>202</v>
      </c>
      <c r="AE5" s="84">
        <v>0.47674418604651164</v>
      </c>
      <c r="AF5" s="81" t="s">
        <v>170</v>
      </c>
      <c r="AG5" s="88">
        <v>122100</v>
      </c>
    </row>
    <row r="6" spans="1:33" x14ac:dyDescent="0.4">
      <c r="A6" s="78">
        <v>4</v>
      </c>
      <c r="B6" s="79" t="s">
        <v>236</v>
      </c>
      <c r="C6" s="80">
        <v>26.2</v>
      </c>
      <c r="D6" s="81" t="s">
        <v>127</v>
      </c>
      <c r="E6" s="93">
        <v>1.0467213114754081</v>
      </c>
      <c r="F6" s="81" t="s">
        <v>170</v>
      </c>
      <c r="G6" s="82">
        <v>1.95</v>
      </c>
      <c r="H6" s="81" t="s">
        <v>170</v>
      </c>
      <c r="I6" s="83">
        <v>0.38750000000000001</v>
      </c>
      <c r="J6" s="81" t="s">
        <v>127</v>
      </c>
      <c r="K6" s="83">
        <v>0.28688524590163933</v>
      </c>
      <c r="L6" s="81" t="s">
        <v>141</v>
      </c>
      <c r="M6" s="84">
        <v>0.29560810810810811</v>
      </c>
      <c r="N6" s="81" t="s">
        <v>161</v>
      </c>
      <c r="O6" s="84">
        <v>0.15060240963855423</v>
      </c>
      <c r="P6" s="81" t="s">
        <v>141</v>
      </c>
      <c r="Q6" s="85">
        <v>8447.6825396825388</v>
      </c>
      <c r="R6" s="81" t="s">
        <v>171</v>
      </c>
      <c r="S6" s="85">
        <v>-7714.545454545455</v>
      </c>
      <c r="T6" s="81" t="s">
        <v>171</v>
      </c>
      <c r="U6" s="83">
        <v>7.9207920792079209E-2</v>
      </c>
      <c r="V6" s="81" t="s">
        <v>171</v>
      </c>
      <c r="W6" s="84">
        <v>0.26716604244694131</v>
      </c>
      <c r="X6" s="81" t="s">
        <v>161</v>
      </c>
      <c r="Y6" s="84">
        <v>0.24096385542168675</v>
      </c>
      <c r="Z6" s="81" t="s">
        <v>171</v>
      </c>
      <c r="AA6" s="84">
        <v>0.57009345794392519</v>
      </c>
      <c r="AB6" s="81" t="s">
        <v>141</v>
      </c>
      <c r="AC6" s="84">
        <v>0.41348497156783104</v>
      </c>
      <c r="AD6" s="81" t="s">
        <v>172</v>
      </c>
      <c r="AE6" s="84">
        <v>0.46511627906976744</v>
      </c>
      <c r="AF6" s="81" t="s">
        <v>201</v>
      </c>
      <c r="AG6" s="88">
        <v>95200</v>
      </c>
    </row>
    <row r="7" spans="1:33" x14ac:dyDescent="0.4">
      <c r="A7" s="78">
        <v>5</v>
      </c>
      <c r="B7" s="79" t="s">
        <v>201</v>
      </c>
      <c r="C7" s="80">
        <v>2.1999999999999957</v>
      </c>
      <c r="D7" s="81" t="s">
        <v>201</v>
      </c>
      <c r="E7" s="93">
        <v>9.1666666666666494E-2</v>
      </c>
      <c r="F7" s="81" t="s">
        <v>141</v>
      </c>
      <c r="G7" s="82">
        <v>1.9953271028037383</v>
      </c>
      <c r="H7" s="81" t="s">
        <v>201</v>
      </c>
      <c r="I7" s="83">
        <v>0.375</v>
      </c>
      <c r="J7" s="81" t="s">
        <v>141</v>
      </c>
      <c r="K7" s="83">
        <v>0.33177570093457942</v>
      </c>
      <c r="L7" s="81" t="s">
        <v>171</v>
      </c>
      <c r="M7" s="84">
        <v>0.28714107365792757</v>
      </c>
      <c r="N7" s="81" t="s">
        <v>141</v>
      </c>
      <c r="O7" s="84">
        <v>0.16347597597597596</v>
      </c>
      <c r="P7" s="81" t="s">
        <v>171</v>
      </c>
      <c r="Q7" s="85">
        <v>8340.8695652173919</v>
      </c>
      <c r="R7" s="81" t="s">
        <v>126</v>
      </c>
      <c r="S7" s="85">
        <v>-7792.9078014184397</v>
      </c>
      <c r="T7" s="81" t="s">
        <v>172</v>
      </c>
      <c r="U7" s="83">
        <v>8.1081081081081086E-2</v>
      </c>
      <c r="V7" s="81" t="s">
        <v>236</v>
      </c>
      <c r="W7" s="84">
        <v>0.26666666666666666</v>
      </c>
      <c r="X7" s="81" t="s">
        <v>141</v>
      </c>
      <c r="Y7" s="84">
        <v>0.23104354354354353</v>
      </c>
      <c r="Z7" s="81" t="s">
        <v>141</v>
      </c>
      <c r="AA7" s="84">
        <v>0.55530973451327437</v>
      </c>
      <c r="AB7" s="81" t="s">
        <v>202</v>
      </c>
      <c r="AC7" s="84">
        <v>0.41333333333333333</v>
      </c>
      <c r="AD7" s="81" t="s">
        <v>171</v>
      </c>
      <c r="AE7" s="84">
        <v>0.45217391304347826</v>
      </c>
      <c r="AF7" s="81" t="s">
        <v>127</v>
      </c>
      <c r="AG7" s="88">
        <v>91800</v>
      </c>
    </row>
    <row r="8" spans="1:33" x14ac:dyDescent="0.4">
      <c r="A8" s="78">
        <v>6</v>
      </c>
      <c r="B8" s="79" t="s">
        <v>141</v>
      </c>
      <c r="C8" s="80">
        <v>-4.2632564145606011E-14</v>
      </c>
      <c r="D8" s="81" t="s">
        <v>141</v>
      </c>
      <c r="E8" s="93">
        <v>-6.6405863155149545E-17</v>
      </c>
      <c r="F8" s="81" t="s">
        <v>201</v>
      </c>
      <c r="G8" s="82">
        <v>2</v>
      </c>
      <c r="H8" s="81" t="s">
        <v>127</v>
      </c>
      <c r="I8" s="83">
        <v>0.34426229508196721</v>
      </c>
      <c r="J8" s="81" t="s">
        <v>170</v>
      </c>
      <c r="K8" s="83">
        <v>0.33750000000000002</v>
      </c>
      <c r="L8" s="81" t="s">
        <v>170</v>
      </c>
      <c r="M8" s="84">
        <v>0.27906976744186046</v>
      </c>
      <c r="N8" s="81" t="s">
        <v>201</v>
      </c>
      <c r="O8" s="84">
        <v>0.16593886462882096</v>
      </c>
      <c r="P8" s="81" t="s">
        <v>126</v>
      </c>
      <c r="Q8" s="85">
        <v>8265.8666666666668</v>
      </c>
      <c r="R8" s="81" t="s">
        <v>141</v>
      </c>
      <c r="S8" s="85">
        <v>-7832.8358208955224</v>
      </c>
      <c r="T8" s="81" t="s">
        <v>201</v>
      </c>
      <c r="U8" s="83">
        <v>8.3333333333333329E-2</v>
      </c>
      <c r="V8" s="81" t="s">
        <v>201</v>
      </c>
      <c r="W8" s="84">
        <v>0.26637554585152839</v>
      </c>
      <c r="X8" s="81" t="s">
        <v>126</v>
      </c>
      <c r="Y8" s="84">
        <v>0.22242647058823528</v>
      </c>
      <c r="Z8" s="81" t="s">
        <v>170</v>
      </c>
      <c r="AA8" s="84">
        <v>0.54411764705882348</v>
      </c>
      <c r="AB8" s="81" t="s">
        <v>170</v>
      </c>
      <c r="AC8" s="84">
        <v>0.40350877192982454</v>
      </c>
      <c r="AD8" s="81" t="s">
        <v>141</v>
      </c>
      <c r="AE8" s="84">
        <v>0.44190476190476191</v>
      </c>
      <c r="AF8" s="81" t="s">
        <v>171</v>
      </c>
      <c r="AG8" s="88">
        <v>87000</v>
      </c>
    </row>
    <row r="9" spans="1:33" x14ac:dyDescent="0.4">
      <c r="A9" s="78">
        <v>7</v>
      </c>
      <c r="B9" s="79" t="s">
        <v>171</v>
      </c>
      <c r="C9" s="80">
        <v>-25.600000000000009</v>
      </c>
      <c r="D9" s="81" t="s">
        <v>171</v>
      </c>
      <c r="E9" s="93">
        <v>-0.25346534653465352</v>
      </c>
      <c r="F9" s="81" t="s">
        <v>171</v>
      </c>
      <c r="G9" s="82">
        <v>2.0297029702970297</v>
      </c>
      <c r="H9" s="81" t="s">
        <v>141</v>
      </c>
      <c r="I9" s="83">
        <v>0.3364485981308411</v>
      </c>
      <c r="J9" s="81" t="s">
        <v>201</v>
      </c>
      <c r="K9" s="83">
        <v>0.375</v>
      </c>
      <c r="L9" s="81" t="s">
        <v>172</v>
      </c>
      <c r="M9" s="84">
        <v>0.27741935483870966</v>
      </c>
      <c r="N9" s="81" t="s">
        <v>170</v>
      </c>
      <c r="O9" s="84">
        <v>0.17674418604651163</v>
      </c>
      <c r="P9" s="81" t="s">
        <v>172</v>
      </c>
      <c r="Q9" s="85">
        <v>8034.3023255813951</v>
      </c>
      <c r="R9" s="81" t="s">
        <v>236</v>
      </c>
      <c r="S9" s="85">
        <v>-8000</v>
      </c>
      <c r="T9" s="81" t="s">
        <v>141</v>
      </c>
      <c r="U9" s="83">
        <v>9.8130841121495324E-2</v>
      </c>
      <c r="V9" s="81" t="s">
        <v>141</v>
      </c>
      <c r="W9" s="84">
        <v>0.25450450450450451</v>
      </c>
      <c r="X9" s="81" t="s">
        <v>171</v>
      </c>
      <c r="Y9" s="84">
        <v>0.22097378277153559</v>
      </c>
      <c r="Z9" s="81" t="s">
        <v>202</v>
      </c>
      <c r="AA9" s="84">
        <v>0.53424657534246578</v>
      </c>
      <c r="AB9" s="81" t="s">
        <v>172</v>
      </c>
      <c r="AC9" s="84">
        <v>0.4</v>
      </c>
      <c r="AD9" s="81" t="s">
        <v>126</v>
      </c>
      <c r="AE9" s="84">
        <v>0.42666666666666669</v>
      </c>
      <c r="AF9" s="81" t="s">
        <v>161</v>
      </c>
      <c r="AG9" s="88">
        <v>86900</v>
      </c>
    </row>
    <row r="10" spans="1:33" x14ac:dyDescent="0.4">
      <c r="A10" s="78">
        <v>8</v>
      </c>
      <c r="B10" s="79" t="s">
        <v>212</v>
      </c>
      <c r="C10" s="80">
        <v>-104.80000000000001</v>
      </c>
      <c r="D10" s="81" t="s">
        <v>161</v>
      </c>
      <c r="E10" s="93">
        <v>-6.5982142857142874</v>
      </c>
      <c r="F10" s="81" t="s">
        <v>161</v>
      </c>
      <c r="G10" s="82">
        <v>2.1428571428571428</v>
      </c>
      <c r="H10" s="81" t="s">
        <v>161</v>
      </c>
      <c r="I10" s="83">
        <v>0.32142857142857145</v>
      </c>
      <c r="J10" s="81" t="s">
        <v>172</v>
      </c>
      <c r="K10" s="83">
        <v>0.39189189189189189</v>
      </c>
      <c r="L10" s="81" t="s">
        <v>201</v>
      </c>
      <c r="M10" s="84">
        <v>0.27074235807860264</v>
      </c>
      <c r="N10" s="81" t="s">
        <v>202</v>
      </c>
      <c r="O10" s="84">
        <v>0.1855072463768116</v>
      </c>
      <c r="P10" s="81" t="s">
        <v>202</v>
      </c>
      <c r="Q10" s="85">
        <v>7829.0697674418607</v>
      </c>
      <c r="R10" s="81" t="s">
        <v>127</v>
      </c>
      <c r="S10" s="85">
        <v>-8042.9319371727752</v>
      </c>
      <c r="T10" s="81" t="s">
        <v>170</v>
      </c>
      <c r="U10" s="83">
        <v>0.125</v>
      </c>
      <c r="V10" s="81" t="s">
        <v>212</v>
      </c>
      <c r="W10" s="84">
        <v>0.24193548387096775</v>
      </c>
      <c r="X10" s="81" t="s">
        <v>202</v>
      </c>
      <c r="Y10" s="84">
        <v>0.21739130434782608</v>
      </c>
      <c r="Z10" s="81" t="s">
        <v>212</v>
      </c>
      <c r="AA10" s="84">
        <v>0.53333333333333333</v>
      </c>
      <c r="AB10" s="81" t="s">
        <v>161</v>
      </c>
      <c r="AC10" s="84">
        <v>0.39166666666666666</v>
      </c>
      <c r="AD10" s="81" t="s">
        <v>127</v>
      </c>
      <c r="AE10" s="84">
        <v>0.4050632911392405</v>
      </c>
      <c r="AF10" s="81" t="s">
        <v>202</v>
      </c>
      <c r="AG10" s="88">
        <v>85100</v>
      </c>
    </row>
    <row r="11" spans="1:33" x14ac:dyDescent="0.4">
      <c r="A11" s="78">
        <v>9</v>
      </c>
      <c r="B11" s="79" t="s">
        <v>161</v>
      </c>
      <c r="C11" s="80">
        <v>-369.50000000000011</v>
      </c>
      <c r="D11" s="81" t="s">
        <v>172</v>
      </c>
      <c r="E11" s="93">
        <v>-6.8283783783783782</v>
      </c>
      <c r="F11" s="81" t="s">
        <v>212</v>
      </c>
      <c r="G11" s="82">
        <v>2.1428571428571428</v>
      </c>
      <c r="H11" s="81" t="s">
        <v>171</v>
      </c>
      <c r="I11" s="83">
        <v>0.24752475247524752</v>
      </c>
      <c r="J11" s="81" t="s">
        <v>161</v>
      </c>
      <c r="K11" s="83">
        <v>0.4642857142857143</v>
      </c>
      <c r="L11" s="81" t="s">
        <v>161</v>
      </c>
      <c r="M11" s="84">
        <v>0.26506024096385544</v>
      </c>
      <c r="N11" s="81" t="s">
        <v>127</v>
      </c>
      <c r="O11" s="84">
        <v>0.18634146341463415</v>
      </c>
      <c r="P11" s="81" t="s">
        <v>212</v>
      </c>
      <c r="Q11" s="85">
        <v>7473.333333333333</v>
      </c>
      <c r="R11" s="81" t="s">
        <v>170</v>
      </c>
      <c r="S11" s="85">
        <v>-8083.333333333333</v>
      </c>
      <c r="T11" s="81" t="s">
        <v>127</v>
      </c>
      <c r="U11" s="83">
        <v>0.13114754098360656</v>
      </c>
      <c r="V11" s="81" t="s">
        <v>127</v>
      </c>
      <c r="W11" s="84">
        <v>0.22829268292682928</v>
      </c>
      <c r="X11" s="81" t="s">
        <v>172</v>
      </c>
      <c r="Y11" s="84">
        <v>0.19354838709677419</v>
      </c>
      <c r="Z11" s="81" t="s">
        <v>127</v>
      </c>
      <c r="AA11" s="84">
        <v>0.50427350427350426</v>
      </c>
      <c r="AB11" s="81" t="s">
        <v>127</v>
      </c>
      <c r="AC11" s="84">
        <v>0.38317757009345793</v>
      </c>
      <c r="AD11" s="81" t="s">
        <v>161</v>
      </c>
      <c r="AE11" s="84">
        <v>0.39393939393939392</v>
      </c>
      <c r="AF11" s="81" t="s">
        <v>172</v>
      </c>
      <c r="AG11" s="88">
        <v>69500</v>
      </c>
    </row>
    <row r="12" spans="1:33" x14ac:dyDescent="0.4">
      <c r="A12" s="78">
        <v>10</v>
      </c>
      <c r="B12" s="79" t="s">
        <v>172</v>
      </c>
      <c r="C12" s="80">
        <v>-505.3</v>
      </c>
      <c r="D12" s="81" t="s">
        <v>202</v>
      </c>
      <c r="E12" s="93">
        <v>-14.400000000000002</v>
      </c>
      <c r="F12" s="81" t="s">
        <v>172</v>
      </c>
      <c r="G12" s="82">
        <v>2.1621621621621623</v>
      </c>
      <c r="H12" s="81" t="s">
        <v>172</v>
      </c>
      <c r="I12" s="83">
        <v>0.22972972972972974</v>
      </c>
      <c r="J12" s="81" t="s">
        <v>202</v>
      </c>
      <c r="K12" s="83">
        <v>0.54761904761904767</v>
      </c>
      <c r="L12" s="81" t="s">
        <v>202</v>
      </c>
      <c r="M12" s="84">
        <v>0.24927536231884059</v>
      </c>
      <c r="N12" s="81" t="s">
        <v>212</v>
      </c>
      <c r="O12" s="84">
        <v>0.19354838709677419</v>
      </c>
      <c r="P12" s="81" t="s">
        <v>236</v>
      </c>
      <c r="Q12" s="85">
        <v>7385.7142857142853</v>
      </c>
      <c r="R12" s="81" t="s">
        <v>202</v>
      </c>
      <c r="S12" s="85">
        <v>-8243.75</v>
      </c>
      <c r="T12" s="81" t="s">
        <v>202</v>
      </c>
      <c r="U12" s="83">
        <v>0.21428571428571427</v>
      </c>
      <c r="V12" s="81" t="s">
        <v>202</v>
      </c>
      <c r="W12" s="84">
        <v>0.21159420289855072</v>
      </c>
      <c r="X12" s="81" t="s">
        <v>170</v>
      </c>
      <c r="Y12" s="84">
        <v>0.17674418604651163</v>
      </c>
      <c r="Z12" s="81" t="s">
        <v>236</v>
      </c>
      <c r="AA12" s="84">
        <v>0.5</v>
      </c>
      <c r="AB12" s="81" t="s">
        <v>201</v>
      </c>
      <c r="AC12" s="84">
        <v>0.34285714285714286</v>
      </c>
      <c r="AD12" s="81" t="s">
        <v>212</v>
      </c>
      <c r="AE12" s="84">
        <v>0.33333333333333331</v>
      </c>
      <c r="AF12" s="81" t="s">
        <v>212</v>
      </c>
      <c r="AG12" s="88">
        <v>59500</v>
      </c>
    </row>
    <row r="13" spans="1:33" x14ac:dyDescent="0.4">
      <c r="A13" s="78">
        <v>11</v>
      </c>
      <c r="B13" s="79" t="s">
        <v>202</v>
      </c>
      <c r="C13" s="80">
        <v>-604.80000000000007</v>
      </c>
      <c r="D13" s="81" t="s">
        <v>212</v>
      </c>
      <c r="E13" s="93">
        <v>-14.971428571428573</v>
      </c>
      <c r="F13" s="81" t="s">
        <v>202</v>
      </c>
      <c r="G13" s="82">
        <v>2.3809523809523809</v>
      </c>
      <c r="H13" s="81" t="s">
        <v>202</v>
      </c>
      <c r="I13" s="83">
        <v>0.16666666666666666</v>
      </c>
      <c r="J13" s="81" t="s">
        <v>212</v>
      </c>
      <c r="K13" s="83">
        <v>0.5714285714285714</v>
      </c>
      <c r="L13" s="81" t="s">
        <v>212</v>
      </c>
      <c r="M13" s="84">
        <v>0.24193548387096775</v>
      </c>
      <c r="N13" s="81" t="s">
        <v>172</v>
      </c>
      <c r="O13" s="84">
        <v>0.20161290322580644</v>
      </c>
      <c r="P13" s="81" t="s">
        <v>161</v>
      </c>
      <c r="Q13" s="85">
        <v>6975</v>
      </c>
      <c r="R13" s="81" t="s">
        <v>212</v>
      </c>
      <c r="S13" s="85">
        <v>-9075</v>
      </c>
      <c r="T13" s="81" t="s">
        <v>212</v>
      </c>
      <c r="U13" s="83">
        <v>0.5714285714285714</v>
      </c>
      <c r="V13" s="81" t="s">
        <v>161</v>
      </c>
      <c r="W13" s="84">
        <v>0.15461847389558234</v>
      </c>
      <c r="X13" s="81" t="s">
        <v>201</v>
      </c>
      <c r="Y13" s="84">
        <v>0.15283842794759825</v>
      </c>
      <c r="Z13" s="81" t="s">
        <v>161</v>
      </c>
      <c r="AA13" s="84">
        <v>0.48051948051948051</v>
      </c>
      <c r="AB13" s="81" t="s">
        <v>212</v>
      </c>
      <c r="AC13" s="84">
        <v>0.27272727272727271</v>
      </c>
      <c r="AD13" s="81" t="s">
        <v>236</v>
      </c>
      <c r="AE13" s="84">
        <v>0.2857142857142857</v>
      </c>
      <c r="AF13" s="81" t="s">
        <v>236</v>
      </c>
      <c r="AG13" s="88">
        <v>52800</v>
      </c>
    </row>
  </sheetData>
  <sortState xmlns:xlrd2="http://schemas.microsoft.com/office/spreadsheetml/2017/richdata2" ref="AF3:AG40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B5D0F-91A7-40F1-A100-AE782949AFBE}">
  <sheetPr codeName="Sheet4"/>
  <dimension ref="A1:Q64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642</v>
      </c>
      <c r="C2" s="155"/>
      <c r="E2" s="58" t="s">
        <v>66</v>
      </c>
      <c r="F2" s="55" t="s">
        <v>22</v>
      </c>
      <c r="G2" s="43">
        <v>1201</v>
      </c>
      <c r="H2" s="128">
        <f>IF(B$15=0,0,G2/B$15)</f>
        <v>0.76253968253968252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-23.584905660377359</v>
      </c>
      <c r="P2" s="114">
        <v>636</v>
      </c>
      <c r="Q2" s="98">
        <v>-15000</v>
      </c>
    </row>
    <row r="3" spans="1:17" x14ac:dyDescent="0.4">
      <c r="A3" s="51" t="s">
        <v>8</v>
      </c>
      <c r="B3" s="156">
        <v>5328</v>
      </c>
      <c r="C3" s="157"/>
      <c r="E3" s="59" t="s">
        <v>72</v>
      </c>
      <c r="F3" s="56" t="s">
        <v>27</v>
      </c>
      <c r="G3" s="44">
        <v>843</v>
      </c>
      <c r="H3" s="129">
        <f>IF(B$15=0,0,G3/B$15)</f>
        <v>0.53523809523809529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11.217948717948717</v>
      </c>
      <c r="P3" s="115">
        <v>624</v>
      </c>
      <c r="Q3" s="99">
        <v>7000</v>
      </c>
    </row>
    <row r="4" spans="1:17" x14ac:dyDescent="0.4">
      <c r="A4" s="51" t="s">
        <v>6</v>
      </c>
      <c r="B4" s="158">
        <v>-4.2632564145606011E-14</v>
      </c>
      <c r="C4" s="159"/>
      <c r="E4" s="59" t="s">
        <v>64</v>
      </c>
      <c r="F4" s="56" t="s">
        <v>20</v>
      </c>
      <c r="G4" s="44">
        <v>722</v>
      </c>
      <c r="H4" s="129">
        <f>IF(B$15=0,0,G4/B$15)</f>
        <v>0.45841269841269844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-15.384615384615385</v>
      </c>
      <c r="P4" s="115">
        <v>585</v>
      </c>
      <c r="Q4" s="99">
        <v>-9000</v>
      </c>
    </row>
    <row r="5" spans="1:17" x14ac:dyDescent="0.4">
      <c r="A5" s="51" t="s">
        <v>7</v>
      </c>
      <c r="B5" s="160">
        <f>IF(B$2=0,0,B$4/B$2)</f>
        <v>-6.6405863155149545E-17</v>
      </c>
      <c r="C5" s="161"/>
      <c r="E5" s="59" t="s">
        <v>166</v>
      </c>
      <c r="F5" s="56" t="s">
        <v>167</v>
      </c>
      <c r="G5" s="44">
        <v>631</v>
      </c>
      <c r="H5" s="129">
        <f>IF(B$15=0,0,G5/B$15)</f>
        <v>0.40063492063492062</v>
      </c>
      <c r="I5" s="90">
        <v>3</v>
      </c>
      <c r="K5" s="36">
        <v>3</v>
      </c>
      <c r="L5" s="95">
        <v>0</v>
      </c>
      <c r="N5" s="111" t="s">
        <v>133</v>
      </c>
      <c r="O5" s="118">
        <f t="shared" si="0"/>
        <v>10.810810810810811</v>
      </c>
      <c r="P5" s="115">
        <v>555</v>
      </c>
      <c r="Q5" s="99">
        <v>6000</v>
      </c>
    </row>
    <row r="6" spans="1:17" x14ac:dyDescent="0.4">
      <c r="A6" s="51" t="s">
        <v>1</v>
      </c>
      <c r="B6" s="150">
        <f>IF(B$2=0,0,(B$7*1+B$8*2+B$9*3)/B$2)</f>
        <v>1.9953271028037383</v>
      </c>
      <c r="C6" s="151"/>
      <c r="E6" s="59" t="s">
        <v>68</v>
      </c>
      <c r="F6" s="56" t="s">
        <v>12</v>
      </c>
      <c r="G6" s="44">
        <v>494</v>
      </c>
      <c r="H6" s="129">
        <f>IF(B$15=0,0,G6/B$15)</f>
        <v>0.31365079365079362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9.8039215686274517</v>
      </c>
      <c r="P6" s="115">
        <v>510</v>
      </c>
      <c r="Q6" s="99">
        <v>5000</v>
      </c>
    </row>
    <row r="7" spans="1:17" x14ac:dyDescent="0.4">
      <c r="A7" s="51" t="s">
        <v>2</v>
      </c>
      <c r="B7" s="44">
        <v>216</v>
      </c>
      <c r="C7" s="37">
        <f t="shared" ref="C7:C10" si="1">IF(B$2=0,0,B7/B$2)</f>
        <v>0.3364485981308411</v>
      </c>
      <c r="E7" s="59" t="s">
        <v>67</v>
      </c>
      <c r="F7" s="56" t="s">
        <v>23</v>
      </c>
      <c r="G7" s="44">
        <v>453</v>
      </c>
      <c r="H7" s="129">
        <f>IF(B$15=0,0,G7/B$15)</f>
        <v>0.28761904761904761</v>
      </c>
      <c r="I7" s="90">
        <v>6</v>
      </c>
      <c r="K7" s="36">
        <v>5</v>
      </c>
      <c r="L7" s="95">
        <v>-11.299999999999997</v>
      </c>
      <c r="N7" s="112" t="s">
        <v>135</v>
      </c>
      <c r="O7" s="119">
        <f t="shared" si="0"/>
        <v>14.084507042253522</v>
      </c>
      <c r="P7" s="116">
        <v>426</v>
      </c>
      <c r="Q7" s="100">
        <v>6000</v>
      </c>
    </row>
    <row r="8" spans="1:17" x14ac:dyDescent="0.4">
      <c r="A8" s="51" t="s">
        <v>3</v>
      </c>
      <c r="B8" s="44">
        <v>213</v>
      </c>
      <c r="C8" s="37">
        <f t="shared" si="1"/>
        <v>0.33177570093457942</v>
      </c>
      <c r="E8" s="59" t="s">
        <v>69</v>
      </c>
      <c r="F8" s="56" t="s">
        <v>24</v>
      </c>
      <c r="G8" s="44">
        <v>231</v>
      </c>
      <c r="H8" s="129">
        <f>IF(B$15=0,0,G8/B$15)</f>
        <v>0.14666666666666667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213</v>
      </c>
      <c r="C9" s="38">
        <f t="shared" si="1"/>
        <v>0.33177570093457942</v>
      </c>
      <c r="E9" s="59" t="s">
        <v>89</v>
      </c>
      <c r="F9" s="56" t="s">
        <v>44</v>
      </c>
      <c r="G9" s="44">
        <v>211</v>
      </c>
      <c r="H9" s="129">
        <f>IF(B$15=0,0,G9/B$15)</f>
        <v>0.13396825396825396</v>
      </c>
      <c r="I9" s="90">
        <v>5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63</v>
      </c>
      <c r="C10" s="40">
        <f t="shared" si="1"/>
        <v>9.8130841121495324E-2</v>
      </c>
      <c r="E10" s="59" t="s">
        <v>65</v>
      </c>
      <c r="F10" s="56" t="s">
        <v>21</v>
      </c>
      <c r="G10" s="44">
        <v>167</v>
      </c>
      <c r="H10" s="129">
        <f>IF(B$15=0,0,G10/B$15)</f>
        <v>0.10603174603174603</v>
      </c>
      <c r="I10" s="90">
        <v>7</v>
      </c>
      <c r="K10" s="36">
        <v>8</v>
      </c>
      <c r="L10" s="95">
        <v>-46.9</v>
      </c>
      <c r="N10" s="110" t="s">
        <v>157</v>
      </c>
      <c r="O10" s="120">
        <f>IF(P10=0,0,Q10/P10)</f>
        <v>-1.4892018779342731</v>
      </c>
      <c r="P10" s="114">
        <v>213</v>
      </c>
      <c r="Q10" s="102">
        <v>-317.20000000000016</v>
      </c>
    </row>
    <row r="11" spans="1:17" x14ac:dyDescent="0.4">
      <c r="A11" s="54" t="s">
        <v>121</v>
      </c>
      <c r="B11" s="47">
        <v>1356</v>
      </c>
      <c r="C11" s="42">
        <f>IF(B$3=0,0,B11/B$3)</f>
        <v>0.25450450450450451</v>
      </c>
      <c r="E11" s="59" t="s">
        <v>70</v>
      </c>
      <c r="F11" s="56" t="s">
        <v>25</v>
      </c>
      <c r="G11" s="44">
        <v>148</v>
      </c>
      <c r="H11" s="129">
        <f>IF(B$15=0,0,G11/B$15)</f>
        <v>9.3968253968253965E-2</v>
      </c>
      <c r="I11" s="90">
        <v>7</v>
      </c>
      <c r="K11" s="36">
        <v>9</v>
      </c>
      <c r="L11" s="95">
        <v>0</v>
      </c>
      <c r="N11" s="111" t="s">
        <v>158</v>
      </c>
      <c r="O11" s="121">
        <f>IF(P11=0,0,Q11/P11)</f>
        <v>2.0384976525821594</v>
      </c>
      <c r="P11" s="115">
        <v>213</v>
      </c>
      <c r="Q11" s="103">
        <v>434.19999999999993</v>
      </c>
    </row>
    <row r="12" spans="1:17" x14ac:dyDescent="0.4">
      <c r="A12" s="51" t="s">
        <v>118</v>
      </c>
      <c r="B12" s="44">
        <v>1231</v>
      </c>
      <c r="C12" s="37">
        <f>IF(B$3=0,0,B12/B$3)</f>
        <v>0.23104354354354353</v>
      </c>
      <c r="E12" s="59" t="s">
        <v>71</v>
      </c>
      <c r="F12" s="56" t="s">
        <v>26</v>
      </c>
      <c r="G12" s="44">
        <v>121</v>
      </c>
      <c r="H12" s="129">
        <f>IF(B$15=0,0,G12/B$15)</f>
        <v>7.6825396825396824E-2</v>
      </c>
      <c r="I12" s="90">
        <v>7</v>
      </c>
      <c r="K12" s="36">
        <v>10</v>
      </c>
      <c r="L12" s="95">
        <v>-12</v>
      </c>
      <c r="N12" s="112" t="s">
        <v>159</v>
      </c>
      <c r="O12" s="122">
        <f>IF(P12=0,0,Q12/P12)</f>
        <v>-0.54929577464788804</v>
      </c>
      <c r="P12" s="116">
        <v>213</v>
      </c>
      <c r="Q12" s="104">
        <v>-117.00000000000014</v>
      </c>
    </row>
    <row r="13" spans="1:17" x14ac:dyDescent="0.4">
      <c r="A13" s="50" t="s">
        <v>123</v>
      </c>
      <c r="B13" s="43">
        <f>B19</f>
        <v>753</v>
      </c>
      <c r="C13" s="35">
        <f>IF(B$11=0,0,B13/B$11)</f>
        <v>0.55530973451327437</v>
      </c>
      <c r="E13" s="59" t="s">
        <v>86</v>
      </c>
      <c r="F13" s="56" t="s">
        <v>41</v>
      </c>
      <c r="G13" s="44">
        <v>84</v>
      </c>
      <c r="H13" s="129">
        <f>IF(B$15=0,0,G13/B$15)</f>
        <v>5.3333333333333337E-2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509</v>
      </c>
      <c r="C14" s="35">
        <f>IF(B$12=0,0,B14/B$12)</f>
        <v>0.41348497156783104</v>
      </c>
      <c r="E14" s="59" t="s">
        <v>83</v>
      </c>
      <c r="F14" s="56" t="s">
        <v>38</v>
      </c>
      <c r="G14" s="44">
        <v>83</v>
      </c>
      <c r="H14" s="129">
        <f>IF(B$15=0,0,G14/B$15)</f>
        <v>5.2698412698412696E-2</v>
      </c>
      <c r="I14" s="90">
        <v>7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1575</v>
      </c>
      <c r="C15" s="35">
        <f>IF(B$3=0,0,B15/B$3)</f>
        <v>0.29560810810810811</v>
      </c>
      <c r="E15" s="59" t="s">
        <v>162</v>
      </c>
      <c r="F15" s="56" t="s">
        <v>163</v>
      </c>
      <c r="G15" s="44">
        <v>40</v>
      </c>
      <c r="H15" s="129">
        <f>IF(B$15=0,0,G15/B$15)</f>
        <v>2.5396825396825397E-2</v>
      </c>
      <c r="I15" s="90">
        <v>4</v>
      </c>
      <c r="K15" s="36">
        <v>13</v>
      </c>
      <c r="L15" s="95">
        <v>-1.7</v>
      </c>
      <c r="N15" s="110" t="s">
        <v>212</v>
      </c>
      <c r="O15" s="120">
        <f>IF(P15=0,0,Q15/P15)</f>
        <v>22.457142857142856</v>
      </c>
      <c r="P15" s="114">
        <v>14</v>
      </c>
      <c r="Q15" s="102">
        <v>314.39999999999998</v>
      </c>
    </row>
    <row r="16" spans="1:17" x14ac:dyDescent="0.4">
      <c r="A16" s="51" t="s">
        <v>13</v>
      </c>
      <c r="B16" s="44">
        <v>871</v>
      </c>
      <c r="C16" s="37">
        <f>IF(B$3=0,0,B16/B$3)</f>
        <v>0.16347597597597596</v>
      </c>
      <c r="E16" s="59" t="s">
        <v>78</v>
      </c>
      <c r="F16" s="56" t="s">
        <v>33</v>
      </c>
      <c r="G16" s="44">
        <v>37</v>
      </c>
      <c r="H16" s="129">
        <f>IF(B$15=0,0,G16/B$15)</f>
        <v>2.3492063492063491E-2</v>
      </c>
      <c r="I16" s="90">
        <v>5</v>
      </c>
      <c r="K16" s="36">
        <v>14</v>
      </c>
      <c r="L16" s="95">
        <v>24.3</v>
      </c>
      <c r="N16" s="111" t="s">
        <v>202</v>
      </c>
      <c r="O16" s="121">
        <f>IF(P16=0,0,Q16/P16)</f>
        <v>21.599999999999984</v>
      </c>
      <c r="P16" s="115">
        <v>84</v>
      </c>
      <c r="Q16" s="103">
        <v>1814.3999999999985</v>
      </c>
    </row>
    <row r="17" spans="1:17" x14ac:dyDescent="0.4">
      <c r="A17" s="51" t="s">
        <v>12</v>
      </c>
      <c r="B17" s="44">
        <v>696</v>
      </c>
      <c r="C17" s="37">
        <f>IF(B$15=0,0,B17/B$15)</f>
        <v>0.44190476190476191</v>
      </c>
      <c r="E17" s="59" t="s">
        <v>81</v>
      </c>
      <c r="F17" s="56" t="s">
        <v>36</v>
      </c>
      <c r="G17" s="44">
        <v>28</v>
      </c>
      <c r="H17" s="129">
        <f>IF(B$15=0,0,G17/B$15)</f>
        <v>1.7777777777777778E-2</v>
      </c>
      <c r="I17" s="90">
        <v>5</v>
      </c>
      <c r="K17" s="36">
        <v>15</v>
      </c>
      <c r="L17" s="95">
        <v>0</v>
      </c>
      <c r="N17" s="111" t="s">
        <v>172</v>
      </c>
      <c r="O17" s="121">
        <f>IF(P17=0,0,Q17/P17)</f>
        <v>10.242567567567567</v>
      </c>
      <c r="P17" s="115">
        <v>148</v>
      </c>
      <c r="Q17" s="103">
        <v>1515.9</v>
      </c>
    </row>
    <row r="18" spans="1:17" x14ac:dyDescent="0.4">
      <c r="A18" s="51" t="s">
        <v>11</v>
      </c>
      <c r="B18" s="44">
        <v>879</v>
      </c>
      <c r="C18" s="37">
        <f>IF(B$15=0,0,B18/B$15)</f>
        <v>0.55809523809523809</v>
      </c>
      <c r="E18" s="59" t="s">
        <v>91</v>
      </c>
      <c r="F18" s="56" t="s">
        <v>46</v>
      </c>
      <c r="G18" s="44">
        <v>22</v>
      </c>
      <c r="H18" s="129">
        <f>IF(B$15=0,0,G18/B$15)</f>
        <v>1.3968253968253968E-2</v>
      </c>
      <c r="I18" s="90">
        <v>4</v>
      </c>
      <c r="K18" s="36">
        <v>16</v>
      </c>
      <c r="L18" s="95">
        <v>-28.2</v>
      </c>
      <c r="N18" s="111" t="s">
        <v>161</v>
      </c>
      <c r="O18" s="121">
        <f>IF(P18=0,0,Q18/P18)</f>
        <v>9.897321428571427</v>
      </c>
      <c r="P18" s="115">
        <v>112</v>
      </c>
      <c r="Q18" s="103">
        <v>1108.4999999999998</v>
      </c>
    </row>
    <row r="19" spans="1:17" x14ac:dyDescent="0.4">
      <c r="A19" s="51" t="s">
        <v>197</v>
      </c>
      <c r="B19" s="44">
        <v>753</v>
      </c>
      <c r="C19" s="37">
        <f>IF(B$15=0,0,B19/B$15)</f>
        <v>0.47809523809523807</v>
      </c>
      <c r="E19" s="59" t="s">
        <v>79</v>
      </c>
      <c r="F19" s="56" t="s">
        <v>34</v>
      </c>
      <c r="G19" s="44">
        <v>19</v>
      </c>
      <c r="H19" s="129">
        <f>IF(B$15=0,0,G19/B$15)</f>
        <v>1.2063492063492064E-2</v>
      </c>
      <c r="I19" s="90">
        <v>4</v>
      </c>
      <c r="K19" s="36">
        <v>17</v>
      </c>
      <c r="L19" s="95">
        <v>-20.5</v>
      </c>
      <c r="N19" s="111" t="s">
        <v>171</v>
      </c>
      <c r="O19" s="121">
        <f>IF(P19=0,0,Q19/P19)</f>
        <v>0.38019801980197915</v>
      </c>
      <c r="P19" s="115">
        <v>202</v>
      </c>
      <c r="Q19" s="103">
        <v>76.799999999999784</v>
      </c>
    </row>
    <row r="20" spans="1:17" x14ac:dyDescent="0.4">
      <c r="A20" s="51" t="s">
        <v>195</v>
      </c>
      <c r="B20" s="44">
        <v>509</v>
      </c>
      <c r="C20" s="37">
        <f>IF(B$15=0,0,B20/B$15)</f>
        <v>0.32317460317460317</v>
      </c>
      <c r="E20" s="59" t="s">
        <v>75</v>
      </c>
      <c r="F20" s="56" t="s">
        <v>30</v>
      </c>
      <c r="G20" s="44">
        <v>12</v>
      </c>
      <c r="H20" s="129">
        <f>IF(B$15=0,0,G20/B$15)</f>
        <v>7.619047619047619E-3</v>
      </c>
      <c r="I20" s="90">
        <v>4</v>
      </c>
      <c r="K20" s="36">
        <v>18</v>
      </c>
      <c r="L20" s="95">
        <v>0</v>
      </c>
      <c r="N20" s="111" t="s">
        <v>201</v>
      </c>
      <c r="O20" s="121">
        <f>IF(P20=0,0,Q20/P20)</f>
        <v>-0.13750000000000018</v>
      </c>
      <c r="P20" s="115">
        <v>48</v>
      </c>
      <c r="Q20" s="103">
        <v>-6.6000000000000085</v>
      </c>
    </row>
    <row r="21" spans="1:17" x14ac:dyDescent="0.4">
      <c r="A21" s="51" t="s">
        <v>196</v>
      </c>
      <c r="B21" s="44">
        <v>313</v>
      </c>
      <c r="C21" s="37">
        <f>IF(B$15=0,0,B21/B$15)</f>
        <v>0.19873015873015873</v>
      </c>
      <c r="E21" s="59" t="s">
        <v>92</v>
      </c>
      <c r="F21" s="56" t="s">
        <v>47</v>
      </c>
      <c r="G21" s="44">
        <v>10</v>
      </c>
      <c r="H21" s="129">
        <f>IF(B$15=0,0,G21/B$15)</f>
        <v>6.3492063492063492E-3</v>
      </c>
      <c r="I21" s="90">
        <v>4</v>
      </c>
      <c r="K21" s="36">
        <v>19</v>
      </c>
      <c r="L21" s="95">
        <v>-22.4</v>
      </c>
      <c r="N21" s="111" t="s">
        <v>127</v>
      </c>
      <c r="O21" s="121">
        <f>IF(P21=0,0,Q21/P21)</f>
        <v>-1.5700819672131201</v>
      </c>
      <c r="P21" s="115">
        <v>244</v>
      </c>
      <c r="Q21" s="103">
        <v>-383.10000000000133</v>
      </c>
    </row>
    <row r="22" spans="1:17" x14ac:dyDescent="0.4">
      <c r="A22" s="51" t="s">
        <v>5</v>
      </c>
      <c r="B22" s="48">
        <f>IF(B$15=0,0,C22/B$15)</f>
        <v>8447.6825396825388</v>
      </c>
      <c r="C22" s="39">
        <v>13305100</v>
      </c>
      <c r="E22" s="59" t="s">
        <v>73</v>
      </c>
      <c r="F22" s="56" t="s">
        <v>28</v>
      </c>
      <c r="G22" s="44">
        <v>6</v>
      </c>
      <c r="H22" s="129">
        <f>IF(B$15=0,0,G22/B$15)</f>
        <v>3.8095238095238095E-3</v>
      </c>
      <c r="I22" s="90">
        <v>3</v>
      </c>
      <c r="K22" s="36">
        <v>20</v>
      </c>
      <c r="L22" s="95">
        <v>-61.199999999999996</v>
      </c>
      <c r="N22" s="111" t="s">
        <v>170</v>
      </c>
      <c r="O22" s="121">
        <f>IF(P22=0,0,Q22/P22)</f>
        <v>-4.603124999999995</v>
      </c>
      <c r="P22" s="115">
        <v>160</v>
      </c>
      <c r="Q22" s="103">
        <v>-736.4999999999992</v>
      </c>
    </row>
    <row r="23" spans="1:17" x14ac:dyDescent="0.4">
      <c r="A23" s="52" t="s">
        <v>177</v>
      </c>
      <c r="B23" s="136">
        <f>IF($B$15-B$14=0,0,C23/($B$15-B$14))</f>
        <v>9057.5046904315204</v>
      </c>
      <c r="C23" s="137">
        <v>9655300</v>
      </c>
      <c r="E23" s="59" t="s">
        <v>74</v>
      </c>
      <c r="F23" s="56" t="s">
        <v>29</v>
      </c>
      <c r="G23" s="44">
        <v>6</v>
      </c>
      <c r="H23" s="129">
        <f>IF(B$15=0,0,G23/B$15)</f>
        <v>3.8095238095238095E-3</v>
      </c>
      <c r="I23" s="90">
        <v>5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-13.526865671641783</v>
      </c>
      <c r="P23" s="115">
        <v>268</v>
      </c>
      <c r="Q23" s="103">
        <v>-3625.199999999998</v>
      </c>
    </row>
    <row r="24" spans="1:17" x14ac:dyDescent="0.4">
      <c r="A24" s="52" t="s">
        <v>178</v>
      </c>
      <c r="B24" s="136">
        <f>IF(B$14=0,0,C24/B$14)</f>
        <v>7170.5304518664043</v>
      </c>
      <c r="C24" s="137">
        <v>3649800</v>
      </c>
      <c r="E24" s="59" t="s">
        <v>77</v>
      </c>
      <c r="F24" s="56" t="s">
        <v>32</v>
      </c>
      <c r="G24" s="44">
        <v>5</v>
      </c>
      <c r="H24" s="129">
        <f>IF(B$15=0,0,G24/B$15)</f>
        <v>3.1746031746031746E-3</v>
      </c>
      <c r="I24" s="90">
        <v>3</v>
      </c>
      <c r="K24" s="36">
        <v>22</v>
      </c>
      <c r="L24" s="95">
        <v>-25.099999999999994</v>
      </c>
      <c r="N24" s="111" t="s">
        <v>236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176</v>
      </c>
      <c r="B25" s="136">
        <f>IF(B$16=0,0,C25/B$16)</f>
        <v>-7832.8358208955224</v>
      </c>
      <c r="C25" s="137">
        <v>-6822400</v>
      </c>
      <c r="E25" s="59" t="s">
        <v>85</v>
      </c>
      <c r="F25" s="56" t="s">
        <v>40</v>
      </c>
      <c r="G25" s="44">
        <v>5</v>
      </c>
      <c r="H25" s="129">
        <f>IF(B$15=0,0,G25/B$15)</f>
        <v>3.1746031746031746E-3</v>
      </c>
      <c r="I25" s="90">
        <v>5</v>
      </c>
      <c r="K25" s="36">
        <v>23</v>
      </c>
      <c r="L25" s="95">
        <v>-26.799999999999994</v>
      </c>
    </row>
    <row r="26" spans="1:17" x14ac:dyDescent="0.4">
      <c r="A26" s="51" t="s">
        <v>164</v>
      </c>
      <c r="B26" s="44">
        <v>7</v>
      </c>
      <c r="C26" s="131">
        <v>0</v>
      </c>
      <c r="E26" s="59" t="s">
        <v>88</v>
      </c>
      <c r="F26" s="56" t="s">
        <v>43</v>
      </c>
      <c r="G26" s="44">
        <v>5</v>
      </c>
      <c r="H26" s="129">
        <f>IF(B$15=0,0,G26/B$15)</f>
        <v>3.1746031746031746E-3</v>
      </c>
      <c r="I26" s="90">
        <v>4</v>
      </c>
      <c r="K26" s="36">
        <v>24</v>
      </c>
      <c r="L26" s="95">
        <v>7.1054273576010019E-15</v>
      </c>
    </row>
    <row r="27" spans="1:17" x14ac:dyDescent="0.4">
      <c r="A27" s="51" t="s">
        <v>165</v>
      </c>
      <c r="B27" s="44">
        <v>31</v>
      </c>
      <c r="C27" s="131">
        <v>1</v>
      </c>
      <c r="E27" s="59" t="s">
        <v>84</v>
      </c>
      <c r="F27" s="56" t="s">
        <v>39</v>
      </c>
      <c r="G27" s="44">
        <v>4</v>
      </c>
      <c r="H27" s="129">
        <f>IF(B$15=0,0,G27/B$15)</f>
        <v>2.5396825396825397E-3</v>
      </c>
      <c r="I27" s="90">
        <v>3</v>
      </c>
      <c r="K27" s="36">
        <v>25</v>
      </c>
      <c r="L27" s="95">
        <v>15.000000000000007</v>
      </c>
    </row>
    <row r="28" spans="1:17" x14ac:dyDescent="0.4">
      <c r="A28" s="86" t="s">
        <v>138</v>
      </c>
      <c r="B28" s="148">
        <v>8</v>
      </c>
      <c r="C28" s="149"/>
      <c r="E28" s="59" t="s">
        <v>93</v>
      </c>
      <c r="F28" s="56" t="s">
        <v>48</v>
      </c>
      <c r="G28" s="44">
        <v>3</v>
      </c>
      <c r="H28" s="129">
        <f>IF(B$15=0,0,G28/B$15)</f>
        <v>1.9047619047619048E-3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4" t="s">
        <v>194</v>
      </c>
      <c r="B29" s="146">
        <v>149100</v>
      </c>
      <c r="C29" s="147"/>
      <c r="E29" s="59" t="s">
        <v>95</v>
      </c>
      <c r="F29" s="56" t="s">
        <v>50</v>
      </c>
      <c r="G29" s="44">
        <v>3</v>
      </c>
      <c r="H29" s="129">
        <f>IF(B$15=0,0,G29/B$15)</f>
        <v>1.9047619047619048E-3</v>
      </c>
      <c r="I29" s="90">
        <v>4</v>
      </c>
      <c r="K29" s="36">
        <v>27</v>
      </c>
      <c r="L29" s="95">
        <v>6.7723604502134549E-15</v>
      </c>
    </row>
    <row r="30" spans="1:17" x14ac:dyDescent="0.4">
      <c r="A30" s="53" t="s">
        <v>139</v>
      </c>
      <c r="B30" s="61">
        <v>15</v>
      </c>
      <c r="C30" s="40">
        <f>IF(B$3=0,0,B30/B$3)</f>
        <v>2.8153153153153152E-3</v>
      </c>
      <c r="E30" s="59" t="s">
        <v>87</v>
      </c>
      <c r="F30" s="56" t="s">
        <v>42</v>
      </c>
      <c r="G30" s="44">
        <v>2</v>
      </c>
      <c r="H30" s="129">
        <f>IF(B$15=0,0,G30/B$15)</f>
        <v>1.2698412698412698E-3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90</v>
      </c>
      <c r="F31" s="56" t="s">
        <v>45</v>
      </c>
      <c r="G31" s="44">
        <v>2</v>
      </c>
      <c r="H31" s="129">
        <f>IF(B$15=0,0,G31/B$15)</f>
        <v>1.2698412698412698E-3</v>
      </c>
      <c r="I31" s="90">
        <v>3</v>
      </c>
      <c r="K31" s="36">
        <v>29</v>
      </c>
      <c r="L31" s="95">
        <v>-2.3999999999999915</v>
      </c>
    </row>
    <row r="32" spans="1:17" x14ac:dyDescent="0.4">
      <c r="A32" s="86" t="s">
        <v>185</v>
      </c>
      <c r="B32" s="144">
        <v>115</v>
      </c>
      <c r="C32" s="141">
        <f>IF(B$15=0,0,B32/B$15)</f>
        <v>7.301587301587302E-2</v>
      </c>
      <c r="E32" s="59" t="s">
        <v>97</v>
      </c>
      <c r="F32" s="56" t="s">
        <v>52</v>
      </c>
      <c r="G32" s="44">
        <v>1</v>
      </c>
      <c r="H32" s="129">
        <f>IF(B$15=0,0,G32/B$15)</f>
        <v>6.3492063492063492E-4</v>
      </c>
      <c r="I32" s="90">
        <v>2</v>
      </c>
      <c r="K32" s="36">
        <v>30</v>
      </c>
      <c r="L32" s="95">
        <v>8.4376949871511897E-15</v>
      </c>
    </row>
    <row r="33" spans="1:12" x14ac:dyDescent="0.4">
      <c r="A33" s="51" t="s">
        <v>181</v>
      </c>
      <c r="B33" s="44">
        <v>257</v>
      </c>
      <c r="C33" s="37">
        <f t="shared" ref="C33:C44" si="2">IF(B$15=0,0,B33/B$15)</f>
        <v>0.16317460317460317</v>
      </c>
      <c r="E33" s="59" t="s">
        <v>101</v>
      </c>
      <c r="F33" s="56" t="s">
        <v>56</v>
      </c>
      <c r="G33" s="44">
        <v>1</v>
      </c>
      <c r="H33" s="129">
        <f>IF(B$15=0,0,G33/B$15)</f>
        <v>6.3492063492063492E-4</v>
      </c>
      <c r="I33" s="90">
        <v>2</v>
      </c>
      <c r="K33" s="36">
        <v>31</v>
      </c>
      <c r="L33" s="95">
        <v>12.500000000000009</v>
      </c>
    </row>
    <row r="34" spans="1:12" x14ac:dyDescent="0.4">
      <c r="A34" s="51" t="s">
        <v>182</v>
      </c>
      <c r="B34" s="145">
        <v>325</v>
      </c>
      <c r="C34" s="37">
        <f>IF(B$15=0,0,B34/B$15)</f>
        <v>0.20634920634920634</v>
      </c>
      <c r="E34" s="59" t="s">
        <v>106</v>
      </c>
      <c r="F34" s="56" t="s">
        <v>113</v>
      </c>
      <c r="G34" s="44">
        <v>1</v>
      </c>
      <c r="H34" s="129">
        <f>IF(B$15=0,0,G34/B$15)</f>
        <v>6.3492063492063492E-4</v>
      </c>
      <c r="I34" s="90">
        <v>2</v>
      </c>
      <c r="K34" s="36">
        <v>32</v>
      </c>
      <c r="L34" s="95">
        <v>47.300000000000004</v>
      </c>
    </row>
    <row r="35" spans="1:12" x14ac:dyDescent="0.4">
      <c r="A35" s="51" t="s">
        <v>183</v>
      </c>
      <c r="B35" s="145">
        <v>279</v>
      </c>
      <c r="C35" s="37">
        <f t="shared" si="2"/>
        <v>0.17714285714285713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">
      <c r="A36" s="51" t="s">
        <v>184</v>
      </c>
      <c r="B36" s="145">
        <v>253</v>
      </c>
      <c r="C36" s="37">
        <f t="shared" si="2"/>
        <v>0.16063492063492063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">
      <c r="A37" s="51" t="s">
        <v>186</v>
      </c>
      <c r="B37" s="145">
        <v>162</v>
      </c>
      <c r="C37" s="37">
        <f t="shared" si="2"/>
        <v>0.10285714285714286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">
      <c r="A38" s="51" t="s">
        <v>187</v>
      </c>
      <c r="B38" s="145">
        <v>85</v>
      </c>
      <c r="C38" s="37">
        <f t="shared" si="2"/>
        <v>5.3968253968253971E-2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">
      <c r="A39" s="51" t="s">
        <v>188</v>
      </c>
      <c r="B39" s="145">
        <v>45</v>
      </c>
      <c r="C39" s="37">
        <f t="shared" si="2"/>
        <v>2.8571428571428571E-2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">
      <c r="A40" s="51" t="s">
        <v>189</v>
      </c>
      <c r="B40" s="145">
        <v>18</v>
      </c>
      <c r="C40" s="37">
        <f t="shared" si="2"/>
        <v>1.1428571428571429E-2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">
      <c r="A41" s="51" t="s">
        <v>190</v>
      </c>
      <c r="B41" s="145">
        <v>7</v>
      </c>
      <c r="C41" s="37">
        <f t="shared" si="2"/>
        <v>4.4444444444444444E-3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">
      <c r="A42" s="51" t="s">
        <v>191</v>
      </c>
      <c r="B42" s="145">
        <v>5</v>
      </c>
      <c r="C42" s="37">
        <f t="shared" si="2"/>
        <v>3.1746031746031746E-3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">
      <c r="A43" s="51" t="s">
        <v>192</v>
      </c>
      <c r="B43" s="145">
        <v>5</v>
      </c>
      <c r="C43" s="37">
        <f t="shared" si="2"/>
        <v>3.1746031746031746E-3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">
      <c r="A44" s="53" t="s">
        <v>193</v>
      </c>
      <c r="B44" s="140">
        <v>19</v>
      </c>
      <c r="C44" s="40">
        <f t="shared" si="2"/>
        <v>1.2063492063492064E-2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-1.4210854715202004E-14</v>
      </c>
    </row>
    <row r="289" spans="11:12" x14ac:dyDescent="0.4">
      <c r="K289" s="36">
        <v>287</v>
      </c>
      <c r="L289" s="95">
        <v>-1.4210854715202004E-14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6.7999999999999856</v>
      </c>
    </row>
    <row r="292" spans="11:12" x14ac:dyDescent="0.4">
      <c r="K292" s="36">
        <v>290</v>
      </c>
      <c r="L292" s="95">
        <v>31.599999999999987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-16.100000000000016</v>
      </c>
    </row>
    <row r="295" spans="11:12" x14ac:dyDescent="0.4">
      <c r="K295" s="36">
        <v>293</v>
      </c>
      <c r="L295" s="95">
        <v>26.899999999999984</v>
      </c>
    </row>
    <row r="296" spans="11:12" x14ac:dyDescent="0.4">
      <c r="K296" s="36">
        <v>294</v>
      </c>
      <c r="L296" s="95">
        <v>-1.4210854715202004E-14</v>
      </c>
    </row>
    <row r="297" spans="11:12" x14ac:dyDescent="0.4">
      <c r="K297" s="36">
        <v>295</v>
      </c>
      <c r="L297" s="95">
        <v>6.5999999999999854</v>
      </c>
    </row>
    <row r="298" spans="11:12" x14ac:dyDescent="0.4">
      <c r="K298" s="36">
        <v>296</v>
      </c>
      <c r="L298" s="95">
        <v>28.799999999999983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4.3999999999999826</v>
      </c>
    </row>
    <row r="301" spans="11:12" x14ac:dyDescent="0.4">
      <c r="K301" s="36">
        <v>299</v>
      </c>
      <c r="L301" s="95">
        <v>20.299999999999983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18.299999999999983</v>
      </c>
    </row>
    <row r="304" spans="11:12" x14ac:dyDescent="0.4">
      <c r="K304" s="36">
        <v>302</v>
      </c>
      <c r="L304" s="95">
        <v>16.699999999999982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19.199999999999982</v>
      </c>
    </row>
    <row r="307" spans="11:12" x14ac:dyDescent="0.4">
      <c r="K307" s="36">
        <v>305</v>
      </c>
      <c r="L307" s="95">
        <v>27.799999999999983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12.399999999999983</v>
      </c>
    </row>
    <row r="310" spans="11:12" x14ac:dyDescent="0.4">
      <c r="K310" s="36">
        <v>308</v>
      </c>
      <c r="L310" s="95">
        <v>12.999999999999982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61.499999999999986</v>
      </c>
    </row>
    <row r="313" spans="11:12" x14ac:dyDescent="0.4">
      <c r="K313" s="36">
        <v>311</v>
      </c>
      <c r="L313" s="95">
        <v>8.7999999999999829</v>
      </c>
    </row>
    <row r="314" spans="11:12" x14ac:dyDescent="0.4">
      <c r="K314" s="36">
        <v>312</v>
      </c>
      <c r="L314" s="95">
        <v>-1.7763568394002505E-14</v>
      </c>
    </row>
    <row r="315" spans="11:12" x14ac:dyDescent="0.4">
      <c r="K315" s="36">
        <v>313</v>
      </c>
      <c r="L315" s="95">
        <v>-2.0000000000000178</v>
      </c>
    </row>
    <row r="316" spans="11:12" x14ac:dyDescent="0.4">
      <c r="K316" s="36">
        <v>314</v>
      </c>
      <c r="L316" s="95">
        <v>35.199999999999989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30.499999999999986</v>
      </c>
    </row>
    <row r="319" spans="11:12" x14ac:dyDescent="0.4">
      <c r="K319" s="36">
        <v>317</v>
      </c>
      <c r="L319" s="95">
        <v>34.899999999999984</v>
      </c>
    </row>
    <row r="320" spans="11:12" x14ac:dyDescent="0.4">
      <c r="K320" s="36">
        <v>318</v>
      </c>
      <c r="L320" s="95">
        <v>-1.4210854715202004E-14</v>
      </c>
    </row>
    <row r="321" spans="11:12" x14ac:dyDescent="0.4">
      <c r="K321" s="36">
        <v>319</v>
      </c>
      <c r="L321" s="95">
        <v>12.199999999999985</v>
      </c>
    </row>
    <row r="322" spans="11:12" x14ac:dyDescent="0.4">
      <c r="K322" s="36">
        <v>320</v>
      </c>
      <c r="L322" s="95">
        <v>-40.600000000000009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32.399999999999991</v>
      </c>
    </row>
    <row r="325" spans="11:12" x14ac:dyDescent="0.4">
      <c r="K325" s="36">
        <v>323</v>
      </c>
      <c r="L325" s="95">
        <v>47.999999999999993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55.099999999999994</v>
      </c>
    </row>
    <row r="328" spans="11:12" x14ac:dyDescent="0.4">
      <c r="K328" s="36">
        <v>326</v>
      </c>
      <c r="L328" s="95">
        <v>35.099999999999994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40.899999999999991</v>
      </c>
    </row>
    <row r="331" spans="11:12" x14ac:dyDescent="0.4">
      <c r="K331" s="36">
        <v>329</v>
      </c>
      <c r="L331" s="95">
        <v>31.699999999999992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-1.400000000000007</v>
      </c>
    </row>
    <row r="334" spans="11:12" x14ac:dyDescent="0.4">
      <c r="K334" s="36">
        <v>332</v>
      </c>
      <c r="L334" s="95">
        <v>-18.400000000000006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-8.7000000000000064</v>
      </c>
    </row>
    <row r="337" spans="11:12" x14ac:dyDescent="0.4">
      <c r="K337" s="36">
        <v>335</v>
      </c>
      <c r="L337" s="95">
        <v>-35.500000000000007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28.799999999999994</v>
      </c>
    </row>
    <row r="340" spans="11:12" x14ac:dyDescent="0.4">
      <c r="K340" s="36">
        <v>338</v>
      </c>
      <c r="L340" s="95">
        <v>41.399999999999991</v>
      </c>
    </row>
    <row r="341" spans="11:12" x14ac:dyDescent="0.4">
      <c r="K341" s="36">
        <v>339</v>
      </c>
      <c r="L341" s="95">
        <v>-7.1054273576010019E-15</v>
      </c>
    </row>
    <row r="342" spans="11:12" x14ac:dyDescent="0.4">
      <c r="K342" s="36">
        <v>340</v>
      </c>
      <c r="L342" s="95">
        <v>12.599999999999993</v>
      </c>
    </row>
    <row r="343" spans="11:12" x14ac:dyDescent="0.4">
      <c r="K343" s="36">
        <v>341</v>
      </c>
      <c r="L343" s="95">
        <v>-28.700000000000003</v>
      </c>
    </row>
    <row r="344" spans="11:12" x14ac:dyDescent="0.4">
      <c r="K344" s="36">
        <v>342</v>
      </c>
      <c r="L344" s="95">
        <v>-3.5527136788005009E-15</v>
      </c>
    </row>
    <row r="345" spans="11:12" x14ac:dyDescent="0.4">
      <c r="K345" s="36">
        <v>343</v>
      </c>
      <c r="L345" s="95">
        <v>14.899999999999997</v>
      </c>
    </row>
    <row r="346" spans="11:12" x14ac:dyDescent="0.4">
      <c r="K346" s="36">
        <v>344</v>
      </c>
      <c r="L346" s="95">
        <v>42.699999999999996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-24.000000000000007</v>
      </c>
    </row>
    <row r="349" spans="11:12" x14ac:dyDescent="0.4">
      <c r="K349" s="36">
        <v>347</v>
      </c>
      <c r="L349" s="95">
        <v>-25.600000000000009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3.9999999999999929</v>
      </c>
    </row>
    <row r="352" spans="11:12" x14ac:dyDescent="0.4">
      <c r="K352" s="36">
        <v>350</v>
      </c>
      <c r="L352" s="95">
        <v>-24.100000000000009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-4.5000000000000071</v>
      </c>
    </row>
    <row r="355" spans="11:12" x14ac:dyDescent="0.4">
      <c r="K355" s="36">
        <v>353</v>
      </c>
      <c r="L355" s="95">
        <v>-34.500000000000007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-30.500000000000007</v>
      </c>
    </row>
    <row r="358" spans="11:12" x14ac:dyDescent="0.4">
      <c r="K358" s="36">
        <v>356</v>
      </c>
      <c r="L358" s="95">
        <v>-33.800000000000004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-31.300000000000008</v>
      </c>
    </row>
    <row r="361" spans="11:12" x14ac:dyDescent="0.4">
      <c r="K361" s="36">
        <v>359</v>
      </c>
      <c r="L361" s="95">
        <v>-6.5000000000000071</v>
      </c>
    </row>
    <row r="362" spans="11:12" x14ac:dyDescent="0.4">
      <c r="K362" s="36">
        <v>360</v>
      </c>
      <c r="L362" s="95">
        <v>-7.1054273576010019E-15</v>
      </c>
    </row>
    <row r="363" spans="11:12" x14ac:dyDescent="0.4">
      <c r="K363" s="36">
        <v>361</v>
      </c>
      <c r="L363" s="95">
        <v>-22.400000000000006</v>
      </c>
    </row>
    <row r="364" spans="11:12" x14ac:dyDescent="0.4">
      <c r="K364" s="36">
        <v>362</v>
      </c>
      <c r="L364" s="95">
        <v>3.0999999999999943</v>
      </c>
    </row>
    <row r="365" spans="11:12" x14ac:dyDescent="0.4">
      <c r="K365" s="36">
        <v>363</v>
      </c>
      <c r="L365" s="95">
        <v>-5.773159728050814E-15</v>
      </c>
    </row>
    <row r="366" spans="11:12" x14ac:dyDescent="0.4">
      <c r="K366" s="36">
        <v>364</v>
      </c>
      <c r="L366" s="95">
        <v>1.2999999999999943</v>
      </c>
    </row>
    <row r="367" spans="11:12" x14ac:dyDescent="0.4">
      <c r="K367" s="36">
        <v>365</v>
      </c>
      <c r="L367" s="95">
        <v>26.099999999999994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5.5999999999999925</v>
      </c>
    </row>
    <row r="370" spans="11:12" x14ac:dyDescent="0.4">
      <c r="K370" s="36">
        <v>368</v>
      </c>
      <c r="L370" s="95">
        <v>-19.400000000000006</v>
      </c>
    </row>
    <row r="371" spans="11:12" x14ac:dyDescent="0.4">
      <c r="K371" s="36">
        <v>369</v>
      </c>
      <c r="L371" s="95">
        <v>-7.1054273576010019E-15</v>
      </c>
    </row>
    <row r="372" spans="11:12" x14ac:dyDescent="0.4">
      <c r="K372" s="36">
        <v>370</v>
      </c>
      <c r="L372" s="95">
        <v>14.799999999999994</v>
      </c>
    </row>
    <row r="373" spans="11:12" x14ac:dyDescent="0.4">
      <c r="K373" s="36">
        <v>371</v>
      </c>
      <c r="L373" s="95">
        <v>14.199999999999994</v>
      </c>
    </row>
    <row r="374" spans="11:12" x14ac:dyDescent="0.4">
      <c r="K374" s="36">
        <v>372</v>
      </c>
      <c r="L374" s="95">
        <v>-5.3290705182007514E-15</v>
      </c>
    </row>
    <row r="375" spans="11:12" x14ac:dyDescent="0.4">
      <c r="K375" s="36">
        <v>373</v>
      </c>
      <c r="L375" s="95">
        <v>-42.300000000000004</v>
      </c>
    </row>
    <row r="376" spans="11:12" x14ac:dyDescent="0.4">
      <c r="K376" s="36">
        <v>374</v>
      </c>
      <c r="L376" s="95">
        <v>-49.1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11.4</v>
      </c>
    </row>
    <row r="379" spans="11:12" x14ac:dyDescent="0.4">
      <c r="K379" s="36">
        <v>377</v>
      </c>
      <c r="L379" s="95">
        <v>53.4</v>
      </c>
    </row>
    <row r="380" spans="11:12" x14ac:dyDescent="0.4">
      <c r="K380" s="36">
        <v>378</v>
      </c>
      <c r="L380" s="95">
        <v>0</v>
      </c>
    </row>
    <row r="381" spans="11:12" x14ac:dyDescent="0.4">
      <c r="K381" s="36">
        <v>379</v>
      </c>
      <c r="L381" s="95">
        <v>22.2</v>
      </c>
    </row>
    <row r="382" spans="11:12" x14ac:dyDescent="0.4">
      <c r="K382" s="36">
        <v>380</v>
      </c>
      <c r="L382" s="95">
        <v>-9.4000000000000021</v>
      </c>
    </row>
    <row r="383" spans="11:12" x14ac:dyDescent="0.4">
      <c r="K383" s="36">
        <v>381</v>
      </c>
      <c r="L383" s="95">
        <v>-1.7763568394002505E-15</v>
      </c>
    </row>
    <row r="384" spans="11:12" x14ac:dyDescent="0.4">
      <c r="K384" s="36">
        <v>382</v>
      </c>
      <c r="L384" s="95">
        <v>9.0999999999999979</v>
      </c>
    </row>
    <row r="385" spans="11:12" x14ac:dyDescent="0.4">
      <c r="K385" s="36">
        <v>383</v>
      </c>
      <c r="L385" s="95">
        <v>-20.400000000000002</v>
      </c>
    </row>
    <row r="386" spans="11:12" x14ac:dyDescent="0.4">
      <c r="K386" s="36">
        <v>384</v>
      </c>
      <c r="L386" s="95">
        <v>-3.5527136788005009E-15</v>
      </c>
    </row>
    <row r="387" spans="11:12" x14ac:dyDescent="0.4">
      <c r="K387" s="36">
        <v>385</v>
      </c>
      <c r="L387" s="95">
        <v>-36.100000000000009</v>
      </c>
    </row>
    <row r="388" spans="11:12" x14ac:dyDescent="0.4">
      <c r="K388" s="36">
        <v>386</v>
      </c>
      <c r="L388" s="95">
        <v>-7.3000000000000078</v>
      </c>
    </row>
    <row r="389" spans="11:12" x14ac:dyDescent="0.4">
      <c r="K389" s="36">
        <v>387</v>
      </c>
      <c r="L389" s="95">
        <v>-7.9936057773011271E-15</v>
      </c>
    </row>
    <row r="390" spans="11:12" x14ac:dyDescent="0.4">
      <c r="K390" s="36">
        <v>388</v>
      </c>
      <c r="L390" s="95">
        <v>-3.000000000000008</v>
      </c>
    </row>
    <row r="391" spans="11:12" x14ac:dyDescent="0.4">
      <c r="K391" s="36">
        <v>389</v>
      </c>
      <c r="L391" s="95">
        <v>-31.500000000000007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32.499999999999993</v>
      </c>
    </row>
    <row r="394" spans="11:12" x14ac:dyDescent="0.4">
      <c r="K394" s="36">
        <v>392</v>
      </c>
      <c r="L394" s="95">
        <v>21.299999999999994</v>
      </c>
    </row>
    <row r="395" spans="11:12" x14ac:dyDescent="0.4">
      <c r="K395" s="36">
        <v>393</v>
      </c>
      <c r="L395" s="95">
        <v>-7.1054273576010019E-15</v>
      </c>
    </row>
    <row r="396" spans="11:12" x14ac:dyDescent="0.4">
      <c r="K396" s="36">
        <v>394</v>
      </c>
      <c r="L396" s="95">
        <v>-22.400000000000006</v>
      </c>
    </row>
    <row r="397" spans="11:12" x14ac:dyDescent="0.4">
      <c r="K397" s="36">
        <v>395</v>
      </c>
      <c r="L397" s="95">
        <v>-69.100000000000009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15.199999999999985</v>
      </c>
    </row>
    <row r="400" spans="11:12" x14ac:dyDescent="0.4">
      <c r="K400" s="36">
        <v>398</v>
      </c>
      <c r="L400" s="95">
        <v>18.299999999999986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1.5999999999999859</v>
      </c>
    </row>
    <row r="403" spans="11:12" x14ac:dyDescent="0.4">
      <c r="K403" s="36">
        <v>401</v>
      </c>
      <c r="L403" s="95">
        <v>-48.900000000000013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26.799999999999986</v>
      </c>
    </row>
    <row r="406" spans="11:12" x14ac:dyDescent="0.4">
      <c r="K406" s="36">
        <v>404</v>
      </c>
      <c r="L406" s="95">
        <v>40.099999999999987</v>
      </c>
    </row>
    <row r="407" spans="11:12" x14ac:dyDescent="0.4">
      <c r="K407" s="36">
        <v>405</v>
      </c>
      <c r="L407" s="95">
        <v>-1.4210854715202004E-14</v>
      </c>
    </row>
    <row r="408" spans="11:12" x14ac:dyDescent="0.4">
      <c r="K408" s="36">
        <v>406</v>
      </c>
      <c r="L408" s="95">
        <v>-21.300000000000015</v>
      </c>
    </row>
    <row r="409" spans="11:12" x14ac:dyDescent="0.4">
      <c r="K409" s="36">
        <v>407</v>
      </c>
      <c r="L409" s="95">
        <v>-4.7000000000000135</v>
      </c>
    </row>
    <row r="410" spans="11:12" x14ac:dyDescent="0.4">
      <c r="K410" s="36">
        <v>408</v>
      </c>
      <c r="L410" s="95">
        <v>-1.3322676295501878E-14</v>
      </c>
    </row>
    <row r="411" spans="11:12" x14ac:dyDescent="0.4">
      <c r="K411" s="36">
        <v>409</v>
      </c>
      <c r="L411" s="95">
        <v>-29.900000000000013</v>
      </c>
    </row>
    <row r="412" spans="11:12" x14ac:dyDescent="0.4">
      <c r="K412" s="36">
        <v>410</v>
      </c>
      <c r="L412" s="95">
        <v>-5.1000000000000121</v>
      </c>
    </row>
    <row r="413" spans="11:12" x14ac:dyDescent="0.4">
      <c r="K413" s="36">
        <v>411</v>
      </c>
      <c r="L413" s="95">
        <v>-1.2434497875801753E-14</v>
      </c>
    </row>
    <row r="414" spans="11:12" x14ac:dyDescent="0.4">
      <c r="K414" s="36">
        <v>412</v>
      </c>
      <c r="L414" s="95">
        <v>-13.800000000000013</v>
      </c>
    </row>
    <row r="415" spans="11:12" x14ac:dyDescent="0.4">
      <c r="K415" s="36">
        <v>413</v>
      </c>
      <c r="L415" s="95">
        <v>-39.300000000000011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10.899999999999986</v>
      </c>
    </row>
    <row r="418" spans="11:12" x14ac:dyDescent="0.4">
      <c r="K418" s="36">
        <v>416</v>
      </c>
      <c r="L418" s="95">
        <v>55.899999999999984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5.9999999999999858</v>
      </c>
    </row>
    <row r="421" spans="11:12" x14ac:dyDescent="0.4">
      <c r="K421" s="36">
        <v>419</v>
      </c>
      <c r="L421" s="95">
        <v>-23.600000000000016</v>
      </c>
    </row>
    <row r="422" spans="11:12" x14ac:dyDescent="0.4">
      <c r="K422" s="36">
        <v>420</v>
      </c>
      <c r="L422" s="95">
        <v>-1.4210854715202004E-14</v>
      </c>
    </row>
    <row r="423" spans="11:12" x14ac:dyDescent="0.4">
      <c r="K423" s="36">
        <v>421</v>
      </c>
      <c r="L423" s="95">
        <v>-15.300000000000015</v>
      </c>
    </row>
    <row r="424" spans="11:12" x14ac:dyDescent="0.4">
      <c r="K424" s="36">
        <v>422</v>
      </c>
      <c r="L424" s="95">
        <v>1.7999999999999865</v>
      </c>
    </row>
    <row r="425" spans="11:12" x14ac:dyDescent="0.4">
      <c r="K425" s="36">
        <v>423</v>
      </c>
      <c r="L425" s="95">
        <v>-1.354472090042691E-14</v>
      </c>
    </row>
    <row r="426" spans="11:12" x14ac:dyDescent="0.4">
      <c r="K426" s="36">
        <v>424</v>
      </c>
      <c r="L426" s="95">
        <v>34.599999999999987</v>
      </c>
    </row>
    <row r="427" spans="11:12" x14ac:dyDescent="0.4">
      <c r="K427" s="36">
        <v>425</v>
      </c>
      <c r="L427" s="95">
        <v>-19.900000000000013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-6.5000000000000142</v>
      </c>
    </row>
    <row r="430" spans="11:12" x14ac:dyDescent="0.4">
      <c r="K430" s="36">
        <v>428</v>
      </c>
      <c r="L430" s="95">
        <v>36.699999999999989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-25.300000000000015</v>
      </c>
    </row>
    <row r="433" spans="11:12" x14ac:dyDescent="0.4">
      <c r="K433" s="36">
        <v>431</v>
      </c>
      <c r="L433" s="95">
        <v>-20.600000000000016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-20.900000000000013</v>
      </c>
    </row>
    <row r="436" spans="11:12" x14ac:dyDescent="0.4">
      <c r="K436" s="36">
        <v>434</v>
      </c>
      <c r="L436" s="95">
        <v>-4.0000000000000142</v>
      </c>
    </row>
    <row r="437" spans="11:12" x14ac:dyDescent="0.4">
      <c r="K437" s="36">
        <v>435</v>
      </c>
      <c r="L437" s="95">
        <v>-1.4210854715202004E-14</v>
      </c>
    </row>
    <row r="438" spans="11:12" x14ac:dyDescent="0.4">
      <c r="K438" s="36">
        <v>436</v>
      </c>
      <c r="L438" s="95">
        <v>16.499999999999986</v>
      </c>
    </row>
    <row r="439" spans="11:12" x14ac:dyDescent="0.4">
      <c r="K439" s="36">
        <v>437</v>
      </c>
      <c r="L439" s="95">
        <v>0.59999999999998543</v>
      </c>
    </row>
    <row r="440" spans="11:12" x14ac:dyDescent="0.4">
      <c r="K440" s="36">
        <v>438</v>
      </c>
      <c r="L440" s="95">
        <v>-1.4543921622589551E-14</v>
      </c>
    </row>
    <row r="441" spans="11:12" x14ac:dyDescent="0.4">
      <c r="K441" s="36">
        <v>439</v>
      </c>
      <c r="L441" s="95">
        <v>3.4999999999999853</v>
      </c>
    </row>
    <row r="442" spans="11:12" x14ac:dyDescent="0.4">
      <c r="K442" s="36">
        <v>440</v>
      </c>
      <c r="L442" s="95">
        <v>38.999999999999986</v>
      </c>
    </row>
    <row r="443" spans="11:12" x14ac:dyDescent="0.4">
      <c r="K443" s="36">
        <v>441</v>
      </c>
      <c r="L443" s="95">
        <v>-1.4210854715202004E-14</v>
      </c>
    </row>
    <row r="444" spans="11:12" x14ac:dyDescent="0.4">
      <c r="K444" s="36">
        <v>442</v>
      </c>
      <c r="L444" s="95">
        <v>-33.000000000000014</v>
      </c>
    </row>
    <row r="445" spans="11:12" x14ac:dyDescent="0.4">
      <c r="K445" s="36">
        <v>443</v>
      </c>
      <c r="L445" s="95">
        <v>45.59999999999998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-24.100000000000023</v>
      </c>
    </row>
    <row r="448" spans="11:12" x14ac:dyDescent="0.4">
      <c r="K448" s="36">
        <v>446</v>
      </c>
      <c r="L448" s="95">
        <v>-23.800000000000022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10.299999999999979</v>
      </c>
    </row>
    <row r="451" spans="11:12" x14ac:dyDescent="0.4">
      <c r="K451" s="36">
        <v>449</v>
      </c>
      <c r="L451" s="95">
        <v>45.399999999999977</v>
      </c>
    </row>
    <row r="452" spans="11:12" x14ac:dyDescent="0.4">
      <c r="K452" s="36">
        <v>450</v>
      </c>
      <c r="L452" s="95">
        <v>-2.1316282072803006E-14</v>
      </c>
    </row>
    <row r="453" spans="11:12" x14ac:dyDescent="0.4">
      <c r="K453" s="36">
        <v>451</v>
      </c>
      <c r="L453" s="95">
        <v>26.699999999999978</v>
      </c>
    </row>
    <row r="454" spans="11:12" x14ac:dyDescent="0.4">
      <c r="K454" s="36">
        <v>452</v>
      </c>
      <c r="L454" s="95">
        <v>22.299999999999976</v>
      </c>
    </row>
    <row r="455" spans="11:12" x14ac:dyDescent="0.4">
      <c r="K455" s="36">
        <v>453</v>
      </c>
      <c r="L455" s="95">
        <v>-2.4868995751603507E-14</v>
      </c>
    </row>
    <row r="456" spans="11:12" x14ac:dyDescent="0.4">
      <c r="K456" s="36">
        <v>454</v>
      </c>
      <c r="L456" s="95">
        <v>-28.900000000000023</v>
      </c>
    </row>
    <row r="457" spans="11:12" x14ac:dyDescent="0.4">
      <c r="K457" s="36">
        <v>455</v>
      </c>
      <c r="L457" s="95">
        <v>-43.100000000000023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21.499999999999979</v>
      </c>
    </row>
    <row r="460" spans="11:12" x14ac:dyDescent="0.4">
      <c r="K460" s="36">
        <v>458</v>
      </c>
      <c r="L460" s="95">
        <v>23.999999999999979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-25.100000000000023</v>
      </c>
    </row>
    <row r="463" spans="11:12" x14ac:dyDescent="0.4">
      <c r="K463" s="36">
        <v>461</v>
      </c>
      <c r="L463" s="95">
        <v>4.9999999999999787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2.9999999999999787</v>
      </c>
    </row>
    <row r="466" spans="11:12" x14ac:dyDescent="0.4">
      <c r="K466" s="36">
        <v>464</v>
      </c>
      <c r="L466" s="95">
        <v>37.09999999999998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-1.9000000000000212</v>
      </c>
    </row>
    <row r="469" spans="11:12" x14ac:dyDescent="0.4">
      <c r="K469" s="36">
        <v>467</v>
      </c>
      <c r="L469" s="95">
        <v>-27.700000000000021</v>
      </c>
    </row>
    <row r="470" spans="11:12" x14ac:dyDescent="0.4">
      <c r="K470" s="36">
        <v>468</v>
      </c>
      <c r="L470" s="95">
        <v>-2.1316282072803006E-14</v>
      </c>
    </row>
    <row r="471" spans="11:12" x14ac:dyDescent="0.4">
      <c r="K471" s="36">
        <v>469</v>
      </c>
      <c r="L471" s="95">
        <v>35.899999999999977</v>
      </c>
    </row>
    <row r="472" spans="11:12" x14ac:dyDescent="0.4">
      <c r="K472" s="36">
        <v>470</v>
      </c>
      <c r="L472" s="95">
        <v>45.199999999999974</v>
      </c>
    </row>
    <row r="473" spans="11:12" x14ac:dyDescent="0.4">
      <c r="K473" s="36">
        <v>471</v>
      </c>
      <c r="L473" s="95">
        <v>-2.8421709430404007E-14</v>
      </c>
    </row>
    <row r="474" spans="11:12" x14ac:dyDescent="0.4">
      <c r="K474" s="36">
        <v>472</v>
      </c>
      <c r="L474" s="95">
        <v>37.39999999999997</v>
      </c>
    </row>
    <row r="475" spans="11:12" x14ac:dyDescent="0.4">
      <c r="K475" s="36">
        <v>473</v>
      </c>
      <c r="L475" s="95">
        <v>59.099999999999966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-3.5000000000000355</v>
      </c>
    </row>
    <row r="478" spans="11:12" x14ac:dyDescent="0.4">
      <c r="K478" s="36">
        <v>476</v>
      </c>
      <c r="L478" s="95">
        <v>15.999999999999964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28.099999999999966</v>
      </c>
    </row>
    <row r="481" spans="11:12" x14ac:dyDescent="0.4">
      <c r="K481" s="36">
        <v>479</v>
      </c>
      <c r="L481" s="95">
        <v>41.699999999999967</v>
      </c>
    </row>
    <row r="482" spans="11:12" x14ac:dyDescent="0.4">
      <c r="K482" s="36">
        <v>480</v>
      </c>
      <c r="L482" s="95">
        <v>-3.5527136788005009E-14</v>
      </c>
    </row>
    <row r="483" spans="11:12" x14ac:dyDescent="0.4">
      <c r="K483" s="36">
        <v>481</v>
      </c>
      <c r="L483" s="95">
        <v>51.899999999999963</v>
      </c>
    </row>
    <row r="484" spans="11:12" x14ac:dyDescent="0.4">
      <c r="K484" s="36">
        <v>482</v>
      </c>
      <c r="L484" s="95">
        <v>2.3999999999999631</v>
      </c>
    </row>
    <row r="485" spans="11:12" x14ac:dyDescent="0.4">
      <c r="K485" s="36">
        <v>483</v>
      </c>
      <c r="L485" s="95">
        <v>-3.6859404417555197E-14</v>
      </c>
    </row>
    <row r="486" spans="11:12" x14ac:dyDescent="0.4">
      <c r="K486" s="36">
        <v>484</v>
      </c>
      <c r="L486" s="95">
        <v>-17.100000000000037</v>
      </c>
    </row>
    <row r="487" spans="11:12" x14ac:dyDescent="0.4">
      <c r="K487" s="36">
        <v>485</v>
      </c>
      <c r="L487" s="95">
        <v>-21.900000000000038</v>
      </c>
    </row>
    <row r="488" spans="11:12" x14ac:dyDescent="0.4">
      <c r="K488" s="36">
        <v>486</v>
      </c>
      <c r="L488" s="95">
        <v>-3.907985046680551E-14</v>
      </c>
    </row>
    <row r="489" spans="11:12" x14ac:dyDescent="0.4">
      <c r="K489" s="36">
        <v>487</v>
      </c>
      <c r="L489" s="95">
        <v>-46.100000000000037</v>
      </c>
    </row>
    <row r="490" spans="11:12" x14ac:dyDescent="0.4">
      <c r="K490" s="36">
        <v>488</v>
      </c>
      <c r="L490" s="95">
        <v>-41.900000000000034</v>
      </c>
    </row>
    <row r="491" spans="11:12" x14ac:dyDescent="0.4">
      <c r="K491" s="36">
        <v>489</v>
      </c>
      <c r="L491" s="95">
        <v>-3.5527136788005009E-14</v>
      </c>
    </row>
    <row r="492" spans="11:12" x14ac:dyDescent="0.4">
      <c r="K492" s="36">
        <v>490</v>
      </c>
      <c r="L492" s="95">
        <v>-30.300000000000036</v>
      </c>
    </row>
    <row r="493" spans="11:12" x14ac:dyDescent="0.4">
      <c r="K493" s="36">
        <v>491</v>
      </c>
      <c r="L493" s="95">
        <v>16.499999999999961</v>
      </c>
    </row>
    <row r="494" spans="11:12" x14ac:dyDescent="0.4">
      <c r="K494" s="36">
        <v>492</v>
      </c>
      <c r="L494" s="95">
        <v>-3.907985046680551E-14</v>
      </c>
    </row>
    <row r="495" spans="11:12" x14ac:dyDescent="0.4">
      <c r="K495" s="36">
        <v>493</v>
      </c>
      <c r="L495" s="95">
        <v>-36.600000000000037</v>
      </c>
    </row>
    <row r="496" spans="11:12" x14ac:dyDescent="0.4">
      <c r="K496" s="36">
        <v>494</v>
      </c>
      <c r="L496" s="95">
        <v>-49.000000000000036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-48.600000000000037</v>
      </c>
    </row>
    <row r="499" spans="11:12" x14ac:dyDescent="0.4">
      <c r="K499" s="36">
        <v>497</v>
      </c>
      <c r="L499" s="95">
        <v>-44.400000000000034</v>
      </c>
    </row>
    <row r="500" spans="11:12" x14ac:dyDescent="0.4">
      <c r="K500" s="36">
        <v>498</v>
      </c>
      <c r="L500" s="95">
        <v>-3.5527136788005009E-14</v>
      </c>
    </row>
    <row r="501" spans="11:12" x14ac:dyDescent="0.4">
      <c r="K501" s="36">
        <v>499</v>
      </c>
      <c r="L501" s="95">
        <v>-9.6000000000000352</v>
      </c>
    </row>
    <row r="502" spans="11:12" x14ac:dyDescent="0.4">
      <c r="K502" s="36">
        <v>500</v>
      </c>
      <c r="L502" s="95">
        <v>40.19999999999996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-48.80000000000004</v>
      </c>
    </row>
    <row r="505" spans="11:12" x14ac:dyDescent="0.4">
      <c r="K505" s="36">
        <v>503</v>
      </c>
      <c r="L505" s="95">
        <v>-50.000000000000043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-11.400000000000043</v>
      </c>
    </row>
    <row r="508" spans="11:12" x14ac:dyDescent="0.4">
      <c r="K508" s="36">
        <v>506</v>
      </c>
      <c r="L508" s="95">
        <v>33.69999999999996</v>
      </c>
    </row>
    <row r="509" spans="11:12" x14ac:dyDescent="0.4">
      <c r="K509" s="36">
        <v>507</v>
      </c>
      <c r="L509" s="95">
        <v>-4.2632564145606011E-14</v>
      </c>
    </row>
    <row r="510" spans="11:12" x14ac:dyDescent="0.4">
      <c r="K510" s="36">
        <v>508</v>
      </c>
      <c r="L510" s="95">
        <v>124.09999999999995</v>
      </c>
    </row>
    <row r="511" spans="11:12" x14ac:dyDescent="0.4">
      <c r="K511" s="36">
        <v>509</v>
      </c>
      <c r="L511" s="95">
        <v>132.89999999999995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22.399999999999942</v>
      </c>
    </row>
    <row r="514" spans="11:12" x14ac:dyDescent="0.4">
      <c r="K514" s="36">
        <v>512</v>
      </c>
      <c r="L514" s="95">
        <v>29.399999999999942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13.599999999999943</v>
      </c>
    </row>
    <row r="517" spans="11:12" x14ac:dyDescent="0.4">
      <c r="K517" s="36">
        <v>515</v>
      </c>
      <c r="L517" s="95">
        <v>-0.50000000000005684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-48.20000000000006</v>
      </c>
    </row>
    <row r="520" spans="11:12" x14ac:dyDescent="0.4">
      <c r="K520" s="36">
        <v>518</v>
      </c>
      <c r="L520" s="95">
        <v>-70.600000000000051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44.499999999999943</v>
      </c>
    </row>
    <row r="523" spans="11:12" x14ac:dyDescent="0.4">
      <c r="K523" s="36">
        <v>521</v>
      </c>
      <c r="L523" s="95">
        <v>30.999999999999943</v>
      </c>
    </row>
    <row r="524" spans="11:12" x14ac:dyDescent="0.4">
      <c r="K524" s="36">
        <v>522</v>
      </c>
      <c r="L524" s="95">
        <v>-5.6843418860808015E-14</v>
      </c>
    </row>
    <row r="525" spans="11:12" x14ac:dyDescent="0.4">
      <c r="K525" s="36">
        <v>523</v>
      </c>
      <c r="L525" s="95">
        <v>16.999999999999943</v>
      </c>
    </row>
    <row r="526" spans="11:12" x14ac:dyDescent="0.4">
      <c r="K526" s="36">
        <v>524</v>
      </c>
      <c r="L526" s="95">
        <v>-6.6000000000000583</v>
      </c>
    </row>
    <row r="527" spans="11:12" x14ac:dyDescent="0.4">
      <c r="K527" s="36">
        <v>525</v>
      </c>
      <c r="L527" s="95">
        <v>-5.8619775700208265E-14</v>
      </c>
    </row>
    <row r="528" spans="11:12" x14ac:dyDescent="0.4">
      <c r="K528" s="36">
        <v>526</v>
      </c>
      <c r="L528" s="95">
        <v>3.1999999999999416</v>
      </c>
    </row>
    <row r="529" spans="11:12" x14ac:dyDescent="0.4">
      <c r="K529" s="36">
        <v>527</v>
      </c>
      <c r="L529" s="95">
        <v>-26.400000000000059</v>
      </c>
    </row>
    <row r="530" spans="11:12" x14ac:dyDescent="0.4">
      <c r="K530" s="36">
        <v>528</v>
      </c>
      <c r="L530" s="95">
        <v>-6.0396132539608516E-14</v>
      </c>
    </row>
    <row r="531" spans="11:12" x14ac:dyDescent="0.4">
      <c r="K531" s="36">
        <v>529</v>
      </c>
      <c r="L531" s="95">
        <v>-52.300000000000054</v>
      </c>
    </row>
    <row r="532" spans="11:12" x14ac:dyDescent="0.4">
      <c r="K532" s="36">
        <v>530</v>
      </c>
      <c r="L532" s="95">
        <v>-11.500000000000057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-22.800000000000058</v>
      </c>
    </row>
    <row r="535" spans="11:12" x14ac:dyDescent="0.4">
      <c r="K535" s="36">
        <v>533</v>
      </c>
      <c r="L535" s="95">
        <v>-70.600000000000051</v>
      </c>
    </row>
    <row r="536" spans="11:12" x14ac:dyDescent="0.4">
      <c r="K536" s="36">
        <v>534</v>
      </c>
      <c r="L536" s="95">
        <v>-5.6843418860808015E-14</v>
      </c>
    </row>
    <row r="537" spans="11:12" x14ac:dyDescent="0.4">
      <c r="K537" s="36">
        <v>535</v>
      </c>
      <c r="L537" s="95">
        <v>5.799999999999943</v>
      </c>
    </row>
    <row r="538" spans="11:12" x14ac:dyDescent="0.4">
      <c r="K538" s="36">
        <v>536</v>
      </c>
      <c r="L538" s="95">
        <v>-16.300000000000058</v>
      </c>
    </row>
    <row r="539" spans="11:12" x14ac:dyDescent="0.4">
      <c r="K539" s="36">
        <v>537</v>
      </c>
      <c r="L539" s="95">
        <v>-5.6843418860808015E-14</v>
      </c>
    </row>
    <row r="540" spans="11:12" x14ac:dyDescent="0.4">
      <c r="K540" s="36">
        <v>538</v>
      </c>
      <c r="L540" s="95">
        <v>-41.100000000000058</v>
      </c>
    </row>
    <row r="541" spans="11:12" x14ac:dyDescent="0.4">
      <c r="K541" s="36">
        <v>539</v>
      </c>
      <c r="L541" s="95">
        <v>5.7999999999999403</v>
      </c>
    </row>
    <row r="542" spans="11:12" x14ac:dyDescent="0.4">
      <c r="K542" s="36">
        <v>540</v>
      </c>
      <c r="L542" s="95">
        <v>-5.9507954119908391E-14</v>
      </c>
    </row>
    <row r="543" spans="11:12" x14ac:dyDescent="0.4">
      <c r="K543" s="36">
        <v>541</v>
      </c>
      <c r="L543" s="95">
        <v>-56.400000000000055</v>
      </c>
    </row>
    <row r="544" spans="11:12" x14ac:dyDescent="0.4">
      <c r="K544" s="36">
        <v>542</v>
      </c>
      <c r="L544" s="95">
        <v>-7.4000000000000554</v>
      </c>
    </row>
    <row r="545" spans="11:12" x14ac:dyDescent="0.4">
      <c r="K545" s="36">
        <v>543</v>
      </c>
      <c r="L545" s="95">
        <v>-5.5067062021407764E-14</v>
      </c>
    </row>
    <row r="546" spans="11:12" x14ac:dyDescent="0.4">
      <c r="K546" s="36">
        <v>544</v>
      </c>
      <c r="L546" s="95">
        <v>36.199999999999946</v>
      </c>
    </row>
    <row r="547" spans="11:12" x14ac:dyDescent="0.4">
      <c r="K547" s="36">
        <v>545</v>
      </c>
      <c r="L547" s="95">
        <v>43.299999999999947</v>
      </c>
    </row>
    <row r="548" spans="11:12" x14ac:dyDescent="0.4">
      <c r="K548" s="36">
        <v>546</v>
      </c>
      <c r="L548" s="95">
        <v>-4.9737991503207013E-14</v>
      </c>
    </row>
    <row r="549" spans="11:12" x14ac:dyDescent="0.4">
      <c r="K549" s="36">
        <v>547</v>
      </c>
      <c r="L549" s="95">
        <v>-26.400000000000048</v>
      </c>
    </row>
    <row r="550" spans="11:12" x14ac:dyDescent="0.4">
      <c r="K550" s="36">
        <v>548</v>
      </c>
      <c r="L550" s="95">
        <v>-25.00000000000005</v>
      </c>
    </row>
    <row r="551" spans="11:12" x14ac:dyDescent="0.4">
      <c r="K551" s="36">
        <v>549</v>
      </c>
      <c r="L551" s="95">
        <v>-4.9737991503207013E-14</v>
      </c>
    </row>
    <row r="552" spans="11:12" x14ac:dyDescent="0.4">
      <c r="K552" s="36">
        <v>550</v>
      </c>
      <c r="L552" s="95">
        <v>-13.100000000000049</v>
      </c>
    </row>
    <row r="553" spans="11:12" x14ac:dyDescent="0.4">
      <c r="K553" s="36">
        <v>551</v>
      </c>
      <c r="L553" s="95">
        <v>36.099999999999952</v>
      </c>
    </row>
    <row r="554" spans="11:12" x14ac:dyDescent="0.4">
      <c r="K554" s="36">
        <v>552</v>
      </c>
      <c r="L554" s="95">
        <v>-4.9737991503207013E-14</v>
      </c>
    </row>
    <row r="555" spans="11:12" x14ac:dyDescent="0.4">
      <c r="K555" s="36">
        <v>553</v>
      </c>
      <c r="L555" s="95">
        <v>-3.9000000000000496</v>
      </c>
    </row>
    <row r="556" spans="11:12" x14ac:dyDescent="0.4">
      <c r="K556" s="36">
        <v>554</v>
      </c>
      <c r="L556" s="95">
        <v>-19.200000000000049</v>
      </c>
    </row>
    <row r="557" spans="11:12" x14ac:dyDescent="0.4">
      <c r="K557" s="36">
        <v>555</v>
      </c>
      <c r="L557" s="95">
        <v>-4.9737991503207013E-14</v>
      </c>
    </row>
    <row r="558" spans="11:12" x14ac:dyDescent="0.4">
      <c r="K558" s="36">
        <v>556</v>
      </c>
      <c r="L558" s="95">
        <v>-49.00000000000005</v>
      </c>
    </row>
    <row r="559" spans="11:12" x14ac:dyDescent="0.4">
      <c r="K559" s="36">
        <v>557</v>
      </c>
      <c r="L559" s="95">
        <v>12.99999999999995</v>
      </c>
    </row>
    <row r="560" spans="11:12" x14ac:dyDescent="0.4">
      <c r="K560" s="36">
        <v>558</v>
      </c>
      <c r="L560" s="95">
        <v>-4.9737991503207013E-14</v>
      </c>
    </row>
    <row r="561" spans="11:12" x14ac:dyDescent="0.4">
      <c r="K561" s="36">
        <v>559</v>
      </c>
      <c r="L561" s="95">
        <v>-19.50000000000005</v>
      </c>
    </row>
    <row r="562" spans="11:12" x14ac:dyDescent="0.4">
      <c r="K562" s="36">
        <v>560</v>
      </c>
      <c r="L562" s="95">
        <v>-16.80000000000005</v>
      </c>
    </row>
    <row r="563" spans="11:12" x14ac:dyDescent="0.4">
      <c r="K563" s="36">
        <v>561</v>
      </c>
      <c r="L563" s="95">
        <v>-4.9737991503207013E-14</v>
      </c>
    </row>
    <row r="564" spans="11:12" x14ac:dyDescent="0.4">
      <c r="K564" s="36">
        <v>562</v>
      </c>
      <c r="L564" s="95">
        <v>37.799999999999947</v>
      </c>
    </row>
    <row r="565" spans="11:12" x14ac:dyDescent="0.4">
      <c r="K565" s="36">
        <v>563</v>
      </c>
      <c r="L565" s="95">
        <v>-7.7000000000000526</v>
      </c>
    </row>
    <row r="566" spans="11:12" x14ac:dyDescent="0.4">
      <c r="K566" s="36">
        <v>564</v>
      </c>
      <c r="L566" s="95">
        <v>-5.2402526762307389E-14</v>
      </c>
    </row>
    <row r="567" spans="11:12" x14ac:dyDescent="0.4">
      <c r="K567" s="36">
        <v>565</v>
      </c>
      <c r="L567" s="95">
        <v>-18.400000000000052</v>
      </c>
    </row>
    <row r="568" spans="11:12" x14ac:dyDescent="0.4">
      <c r="K568" s="36">
        <v>566</v>
      </c>
      <c r="L568" s="95">
        <v>-59.200000000000045</v>
      </c>
    </row>
    <row r="569" spans="11:12" x14ac:dyDescent="0.4">
      <c r="K569" s="36">
        <v>567</v>
      </c>
      <c r="L569" s="95">
        <v>-4.2632564145606011E-14</v>
      </c>
    </row>
    <row r="570" spans="11:12" x14ac:dyDescent="0.4">
      <c r="K570" s="36">
        <v>568</v>
      </c>
      <c r="L570" s="95">
        <v>1.0999999999999575</v>
      </c>
    </row>
    <row r="571" spans="11:12" x14ac:dyDescent="0.4">
      <c r="K571" s="36">
        <v>569</v>
      </c>
      <c r="L571" s="95">
        <v>44.799999999999962</v>
      </c>
    </row>
    <row r="572" spans="11:12" x14ac:dyDescent="0.4">
      <c r="K572" s="36">
        <v>570</v>
      </c>
      <c r="L572" s="95">
        <v>-3.5527136788005009E-14</v>
      </c>
    </row>
    <row r="573" spans="11:12" x14ac:dyDescent="0.4">
      <c r="K573" s="36">
        <v>571</v>
      </c>
      <c r="L573" s="95">
        <v>1.0999999999999646</v>
      </c>
    </row>
    <row r="574" spans="11:12" x14ac:dyDescent="0.4">
      <c r="K574" s="36">
        <v>572</v>
      </c>
      <c r="L574" s="95">
        <v>25.099999999999966</v>
      </c>
    </row>
    <row r="575" spans="11:12" x14ac:dyDescent="0.4">
      <c r="K575" s="36">
        <v>573</v>
      </c>
      <c r="L575" s="95">
        <v>-3.5527136788005009E-14</v>
      </c>
    </row>
    <row r="576" spans="11:12" x14ac:dyDescent="0.4">
      <c r="K576" s="36">
        <v>574</v>
      </c>
      <c r="L576" s="95">
        <v>-0.10000000000003553</v>
      </c>
    </row>
    <row r="577" spans="11:12" x14ac:dyDescent="0.4">
      <c r="K577" s="36">
        <v>575</v>
      </c>
      <c r="L577" s="95">
        <v>-35.80000000000004</v>
      </c>
    </row>
    <row r="578" spans="11:12" x14ac:dyDescent="0.4">
      <c r="K578" s="36">
        <v>576</v>
      </c>
      <c r="L578" s="95">
        <v>-4.2632564145606011E-14</v>
      </c>
    </row>
    <row r="579" spans="11:12" x14ac:dyDescent="0.4">
      <c r="K579" s="36">
        <v>577</v>
      </c>
      <c r="L579" s="95">
        <v>-22.500000000000043</v>
      </c>
    </row>
    <row r="580" spans="11:12" x14ac:dyDescent="0.4">
      <c r="K580" s="36">
        <v>578</v>
      </c>
      <c r="L580" s="95">
        <v>-30.400000000000041</v>
      </c>
    </row>
    <row r="581" spans="11:12" x14ac:dyDescent="0.4">
      <c r="K581" s="36">
        <v>579</v>
      </c>
      <c r="L581" s="95">
        <v>-4.2632564145606011E-14</v>
      </c>
    </row>
    <row r="582" spans="11:12" x14ac:dyDescent="0.4">
      <c r="K582" s="36">
        <v>580</v>
      </c>
      <c r="L582" s="95">
        <v>-87.400000000000048</v>
      </c>
    </row>
    <row r="583" spans="11:12" x14ac:dyDescent="0.4">
      <c r="K583" s="36">
        <v>581</v>
      </c>
      <c r="L583" s="95">
        <v>9.699999999999946</v>
      </c>
    </row>
    <row r="584" spans="11:12" x14ac:dyDescent="0.4">
      <c r="K584" s="36">
        <v>582</v>
      </c>
      <c r="L584" s="95">
        <v>-5.3290705182007514E-14</v>
      </c>
    </row>
    <row r="585" spans="11:12" x14ac:dyDescent="0.4">
      <c r="K585" s="36">
        <v>583</v>
      </c>
      <c r="L585" s="95">
        <v>25.899999999999945</v>
      </c>
    </row>
    <row r="586" spans="11:12" x14ac:dyDescent="0.4">
      <c r="K586" s="36">
        <v>584</v>
      </c>
      <c r="L586" s="95">
        <v>2.7999999999999439</v>
      </c>
    </row>
    <row r="587" spans="11:12" x14ac:dyDescent="0.4">
      <c r="K587" s="36">
        <v>585</v>
      </c>
      <c r="L587" s="95">
        <v>-5.595524044110789E-14</v>
      </c>
    </row>
    <row r="588" spans="11:12" x14ac:dyDescent="0.4">
      <c r="K588" s="36">
        <v>586</v>
      </c>
      <c r="L588" s="95">
        <v>-12.900000000000055</v>
      </c>
    </row>
    <row r="589" spans="11:12" x14ac:dyDescent="0.4">
      <c r="K589" s="36">
        <v>587</v>
      </c>
      <c r="L589" s="95">
        <v>32.299999999999947</v>
      </c>
    </row>
    <row r="590" spans="11:12" x14ac:dyDescent="0.4">
      <c r="K590" s="36">
        <v>588</v>
      </c>
      <c r="L590" s="95">
        <v>-4.9737991503207013E-14</v>
      </c>
    </row>
    <row r="591" spans="11:12" x14ac:dyDescent="0.4">
      <c r="K591" s="36">
        <v>589</v>
      </c>
      <c r="L591" s="95">
        <v>35.99999999999995</v>
      </c>
    </row>
    <row r="592" spans="11:12" x14ac:dyDescent="0.4">
      <c r="K592" s="36">
        <v>590</v>
      </c>
      <c r="L592" s="95">
        <v>-12.800000000000047</v>
      </c>
    </row>
    <row r="593" spans="11:12" x14ac:dyDescent="0.4">
      <c r="K593" s="36">
        <v>591</v>
      </c>
      <c r="L593" s="95">
        <v>-4.6185277824406512E-14</v>
      </c>
    </row>
    <row r="594" spans="11:12" x14ac:dyDescent="0.4">
      <c r="K594" s="36">
        <v>592</v>
      </c>
      <c r="L594" s="95">
        <v>20.399999999999952</v>
      </c>
    </row>
    <row r="595" spans="11:12" x14ac:dyDescent="0.4">
      <c r="K595" s="36">
        <v>593</v>
      </c>
      <c r="L595" s="95">
        <v>-30.700000000000049</v>
      </c>
    </row>
    <row r="596" spans="11:12" x14ac:dyDescent="0.4">
      <c r="K596" s="36">
        <v>594</v>
      </c>
      <c r="L596" s="95">
        <v>-4.9737991503207013E-14</v>
      </c>
    </row>
    <row r="597" spans="11:12" x14ac:dyDescent="0.4">
      <c r="K597" s="36">
        <v>595</v>
      </c>
      <c r="L597" s="95">
        <v>-60.300000000000047</v>
      </c>
    </row>
    <row r="598" spans="11:12" x14ac:dyDescent="0.4">
      <c r="K598" s="36">
        <v>596</v>
      </c>
      <c r="L598" s="95">
        <v>-0.3000000000000469</v>
      </c>
    </row>
    <row r="599" spans="11:12" x14ac:dyDescent="0.4">
      <c r="K599" s="36">
        <v>597</v>
      </c>
      <c r="L599" s="95">
        <v>-4.6906922790412864E-14</v>
      </c>
    </row>
    <row r="600" spans="11:12" x14ac:dyDescent="0.4">
      <c r="K600" s="36">
        <v>598</v>
      </c>
      <c r="L600" s="95">
        <v>-45.600000000000051</v>
      </c>
    </row>
    <row r="601" spans="11:12" x14ac:dyDescent="0.4">
      <c r="K601" s="36">
        <v>599</v>
      </c>
      <c r="L601" s="95">
        <v>9.5999999999999517</v>
      </c>
    </row>
    <row r="602" spans="11:12" x14ac:dyDescent="0.4">
      <c r="K602" s="36">
        <v>600</v>
      </c>
      <c r="L602" s="95">
        <v>-4.7961634663806763E-14</v>
      </c>
    </row>
    <row r="603" spans="11:12" x14ac:dyDescent="0.4">
      <c r="K603" s="36">
        <v>601</v>
      </c>
      <c r="L603" s="95">
        <v>28.899999999999949</v>
      </c>
    </row>
    <row r="604" spans="11:12" x14ac:dyDescent="0.4">
      <c r="K604" s="36">
        <v>602</v>
      </c>
      <c r="L604" s="95">
        <v>27.899999999999949</v>
      </c>
    </row>
    <row r="605" spans="11:12" x14ac:dyDescent="0.4">
      <c r="K605" s="36">
        <v>603</v>
      </c>
      <c r="L605" s="95">
        <v>-4.9737991503207013E-14</v>
      </c>
    </row>
    <row r="606" spans="11:12" x14ac:dyDescent="0.4">
      <c r="K606" s="36">
        <v>604</v>
      </c>
      <c r="L606" s="95">
        <v>-31.50000000000005</v>
      </c>
    </row>
    <row r="607" spans="11:12" x14ac:dyDescent="0.4">
      <c r="K607" s="36">
        <v>605</v>
      </c>
      <c r="L607" s="95">
        <v>-38.400000000000048</v>
      </c>
    </row>
    <row r="608" spans="11:12" x14ac:dyDescent="0.4">
      <c r="K608" s="36">
        <v>606</v>
      </c>
      <c r="L608" s="95">
        <v>-4.9737991503207013E-14</v>
      </c>
    </row>
    <row r="609" spans="11:12" x14ac:dyDescent="0.4">
      <c r="K609" s="36">
        <v>607</v>
      </c>
      <c r="L609" s="95">
        <v>33.49999999999995</v>
      </c>
    </row>
    <row r="610" spans="11:12" x14ac:dyDescent="0.4">
      <c r="K610" s="36">
        <v>608</v>
      </c>
      <c r="L610" s="95">
        <v>0.6999999999999531</v>
      </c>
    </row>
    <row r="611" spans="11:12" x14ac:dyDescent="0.4">
      <c r="K611" s="36">
        <v>609</v>
      </c>
      <c r="L611" s="95">
        <v>-4.6851411639181606E-14</v>
      </c>
    </row>
    <row r="612" spans="11:12" x14ac:dyDescent="0.4">
      <c r="K612" s="36">
        <v>610</v>
      </c>
      <c r="L612" s="95">
        <v>11.999999999999954</v>
      </c>
    </row>
    <row r="613" spans="11:12" x14ac:dyDescent="0.4">
      <c r="K613" s="36">
        <v>611</v>
      </c>
      <c r="L613" s="95">
        <v>38.299999999999955</v>
      </c>
    </row>
    <row r="614" spans="11:12" x14ac:dyDescent="0.4">
      <c r="K614" s="36">
        <v>612</v>
      </c>
      <c r="L614" s="95">
        <v>-4.2632564145606011E-14</v>
      </c>
    </row>
    <row r="615" spans="11:12" x14ac:dyDescent="0.4">
      <c r="K615" s="36">
        <v>613</v>
      </c>
      <c r="L615" s="95">
        <v>7.3999999999999577</v>
      </c>
    </row>
    <row r="616" spans="11:12" x14ac:dyDescent="0.4">
      <c r="K616" s="36">
        <v>614</v>
      </c>
      <c r="L616" s="95">
        <v>26.799999999999955</v>
      </c>
    </row>
    <row r="617" spans="11:12" x14ac:dyDescent="0.4">
      <c r="K617" s="36">
        <v>615</v>
      </c>
      <c r="L617" s="95">
        <v>-4.6185277824406512E-14</v>
      </c>
    </row>
    <row r="618" spans="11:12" x14ac:dyDescent="0.4">
      <c r="K618" s="36">
        <v>616</v>
      </c>
      <c r="L618" s="95">
        <v>-26.800000000000047</v>
      </c>
    </row>
    <row r="619" spans="11:12" x14ac:dyDescent="0.4">
      <c r="K619" s="36">
        <v>617</v>
      </c>
      <c r="L619" s="95">
        <v>-5.3000000000000469</v>
      </c>
    </row>
    <row r="620" spans="11:12" x14ac:dyDescent="0.4">
      <c r="K620" s="36">
        <v>618</v>
      </c>
      <c r="L620" s="95">
        <v>-4.7073456244106637E-14</v>
      </c>
    </row>
    <row r="621" spans="11:12" x14ac:dyDescent="0.4">
      <c r="K621" s="36">
        <v>619</v>
      </c>
      <c r="L621" s="95">
        <v>-20.200000000000045</v>
      </c>
    </row>
    <row r="622" spans="11:12" x14ac:dyDescent="0.4">
      <c r="K622" s="36">
        <v>620</v>
      </c>
      <c r="L622" s="95">
        <v>-28.900000000000045</v>
      </c>
    </row>
    <row r="623" spans="11:12" x14ac:dyDescent="0.4">
      <c r="K623" s="36">
        <v>621</v>
      </c>
      <c r="L623" s="95">
        <v>-4.6185277824406512E-14</v>
      </c>
    </row>
    <row r="624" spans="11:12" x14ac:dyDescent="0.4">
      <c r="K624" s="36">
        <v>622</v>
      </c>
      <c r="L624" s="95">
        <v>-22.600000000000048</v>
      </c>
    </row>
    <row r="625" spans="11:12" x14ac:dyDescent="0.4">
      <c r="K625" s="36">
        <v>623</v>
      </c>
      <c r="L625" s="95">
        <v>-20.000000000000046</v>
      </c>
    </row>
    <row r="626" spans="11:12" x14ac:dyDescent="0.4">
      <c r="K626" s="36">
        <v>624</v>
      </c>
      <c r="L626" s="95">
        <v>-4.6185277824406512E-14</v>
      </c>
    </row>
    <row r="627" spans="11:12" x14ac:dyDescent="0.4">
      <c r="K627" s="36">
        <v>625</v>
      </c>
      <c r="L627" s="95">
        <v>42.299999999999955</v>
      </c>
    </row>
    <row r="628" spans="11:12" x14ac:dyDescent="0.4">
      <c r="K628" s="36">
        <v>626</v>
      </c>
      <c r="L628" s="95">
        <v>46.999999999999957</v>
      </c>
    </row>
    <row r="629" spans="11:12" x14ac:dyDescent="0.4">
      <c r="K629" s="36">
        <v>627</v>
      </c>
      <c r="L629" s="95">
        <v>-4.2632564145606011E-14</v>
      </c>
    </row>
    <row r="630" spans="11:12" x14ac:dyDescent="0.4">
      <c r="K630" s="36">
        <v>628</v>
      </c>
      <c r="L630" s="95">
        <v>-21.600000000000044</v>
      </c>
    </row>
    <row r="631" spans="11:12" x14ac:dyDescent="0.4">
      <c r="K631" s="36">
        <v>629</v>
      </c>
      <c r="L631" s="95">
        <v>0.59999999999995524</v>
      </c>
    </row>
    <row r="632" spans="11:12" x14ac:dyDescent="0.4">
      <c r="K632" s="36">
        <v>630</v>
      </c>
      <c r="L632" s="95">
        <v>-4.4741987892393809E-14</v>
      </c>
    </row>
    <row r="633" spans="11:12" x14ac:dyDescent="0.4">
      <c r="K633" s="36">
        <v>631</v>
      </c>
      <c r="L633" s="95">
        <v>1.0999999999999552</v>
      </c>
    </row>
    <row r="634" spans="11:12" x14ac:dyDescent="0.4">
      <c r="K634" s="36">
        <v>632</v>
      </c>
      <c r="L634" s="95">
        <v>-47.400000000000048</v>
      </c>
    </row>
    <row r="635" spans="11:12" x14ac:dyDescent="0.4">
      <c r="K635" s="36">
        <v>633</v>
      </c>
      <c r="L635" s="95">
        <v>-4.9737991503207013E-14</v>
      </c>
    </row>
    <row r="636" spans="11:12" x14ac:dyDescent="0.4">
      <c r="K636" s="36">
        <v>634</v>
      </c>
      <c r="L636" s="95">
        <v>-55.50000000000005</v>
      </c>
    </row>
    <row r="637" spans="11:12" x14ac:dyDescent="0.4">
      <c r="K637" s="36">
        <v>635</v>
      </c>
      <c r="L637" s="95">
        <v>-66.200000000000045</v>
      </c>
    </row>
    <row r="638" spans="11:12" x14ac:dyDescent="0.4">
      <c r="K638" s="36">
        <v>636</v>
      </c>
      <c r="L638" s="95">
        <v>-4.2632564145606011E-14</v>
      </c>
    </row>
    <row r="639" spans="11:12" x14ac:dyDescent="0.4">
      <c r="K639" s="36">
        <v>637</v>
      </c>
      <c r="L639" s="95">
        <v>54.19999999999996</v>
      </c>
    </row>
    <row r="640" spans="11:12" x14ac:dyDescent="0.4">
      <c r="K640" s="36">
        <v>638</v>
      </c>
      <c r="L640" s="95">
        <v>48.69999999999996</v>
      </c>
    </row>
    <row r="641" spans="11:12" x14ac:dyDescent="0.4">
      <c r="K641" s="36">
        <v>639</v>
      </c>
      <c r="L641" s="95">
        <v>-4.2632564145606011E-14</v>
      </c>
    </row>
    <row r="642" spans="11:12" x14ac:dyDescent="0.4">
      <c r="K642" s="36">
        <v>640</v>
      </c>
      <c r="L642" s="95">
        <v>15.699999999999957</v>
      </c>
    </row>
    <row r="643" spans="11:12" x14ac:dyDescent="0.4">
      <c r="K643" s="36">
        <v>641</v>
      </c>
      <c r="L643" s="95">
        <v>18.299999999999958</v>
      </c>
    </row>
    <row r="644" spans="11:12" x14ac:dyDescent="0.4">
      <c r="K644" s="36">
        <v>642</v>
      </c>
      <c r="L644" s="95">
        <v>-4.2632564145606011E-14</v>
      </c>
    </row>
  </sheetData>
  <sortState xmlns:xlrd2="http://schemas.microsoft.com/office/spreadsheetml/2017/richdata2" ref="N15:Q24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12244-A280-4E3A-97DB-184DBC4F12FE}">
  <sheetPr codeName="Sheet7"/>
  <dimension ref="A1:Q5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56</v>
      </c>
      <c r="C2" s="155"/>
      <c r="E2" s="58" t="s">
        <v>66</v>
      </c>
      <c r="F2" s="55" t="s">
        <v>22</v>
      </c>
      <c r="G2" s="43">
        <v>95</v>
      </c>
      <c r="H2" s="128">
        <f>IF(B$15=0,0,G2/B$15)</f>
        <v>0.71969696969696972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1325</v>
      </c>
      <c r="P2" s="114">
        <v>56</v>
      </c>
      <c r="Q2" s="98">
        <v>74200</v>
      </c>
    </row>
    <row r="3" spans="1:17" x14ac:dyDescent="0.4">
      <c r="A3" s="51" t="s">
        <v>8</v>
      </c>
      <c r="B3" s="156">
        <v>498</v>
      </c>
      <c r="C3" s="157"/>
      <c r="E3" s="59" t="s">
        <v>72</v>
      </c>
      <c r="F3" s="56" t="s">
        <v>27</v>
      </c>
      <c r="G3" s="44">
        <v>72</v>
      </c>
      <c r="H3" s="129">
        <f>IF(B$15=0,0,G3/B$15)</f>
        <v>0.54545454545454541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-881.81818181818187</v>
      </c>
      <c r="P3" s="115">
        <v>55</v>
      </c>
      <c r="Q3" s="99">
        <v>-48500</v>
      </c>
    </row>
    <row r="4" spans="1:17" x14ac:dyDescent="0.4">
      <c r="A4" s="51" t="s">
        <v>6</v>
      </c>
      <c r="B4" s="158">
        <v>-369.50000000000011</v>
      </c>
      <c r="C4" s="159"/>
      <c r="E4" s="59" t="s">
        <v>166</v>
      </c>
      <c r="F4" s="56" t="s">
        <v>167</v>
      </c>
      <c r="G4" s="44">
        <v>51</v>
      </c>
      <c r="H4" s="129">
        <f>IF(B$15=0,0,G4/B$15)</f>
        <v>0.38636363636363635</v>
      </c>
      <c r="I4" s="90">
        <v>7</v>
      </c>
      <c r="K4" s="36">
        <v>2</v>
      </c>
      <c r="L4" s="95">
        <v>19.899999999999999</v>
      </c>
      <c r="N4" s="111" t="s">
        <v>132</v>
      </c>
      <c r="O4" s="118">
        <f t="shared" si="0"/>
        <v>-1754.7169811320755</v>
      </c>
      <c r="P4" s="115">
        <v>53</v>
      </c>
      <c r="Q4" s="99">
        <v>-93000</v>
      </c>
    </row>
    <row r="5" spans="1:17" x14ac:dyDescent="0.4">
      <c r="A5" s="51" t="s">
        <v>7</v>
      </c>
      <c r="B5" s="160">
        <f>IF(B$2=0,0,B$4/B$2)</f>
        <v>-6.5982142857142874</v>
      </c>
      <c r="C5" s="161"/>
      <c r="E5" s="59" t="s">
        <v>64</v>
      </c>
      <c r="F5" s="56" t="s">
        <v>20</v>
      </c>
      <c r="G5" s="44">
        <v>36</v>
      </c>
      <c r="H5" s="129">
        <f>IF(B$15=0,0,G5/B$15)</f>
        <v>0.27272727272727271</v>
      </c>
      <c r="I5" s="90">
        <v>11</v>
      </c>
      <c r="K5" s="36">
        <v>3</v>
      </c>
      <c r="L5" s="95">
        <v>-8.3000000000000007</v>
      </c>
      <c r="N5" s="111" t="s">
        <v>133</v>
      </c>
      <c r="O5" s="118">
        <f t="shared" si="0"/>
        <v>-1473.0769230769231</v>
      </c>
      <c r="P5" s="115">
        <v>52</v>
      </c>
      <c r="Q5" s="99">
        <v>-76600</v>
      </c>
    </row>
    <row r="6" spans="1:17" x14ac:dyDescent="0.4">
      <c r="A6" s="51" t="s">
        <v>1</v>
      </c>
      <c r="B6" s="150">
        <f>IF(B$2=0,0,(B$7*1+B$8*2+B$9*3)/B$2)</f>
        <v>2.1428571428571428</v>
      </c>
      <c r="C6" s="151"/>
      <c r="E6" s="59" t="s">
        <v>68</v>
      </c>
      <c r="F6" s="56" t="s">
        <v>12</v>
      </c>
      <c r="G6" s="44">
        <v>34</v>
      </c>
      <c r="H6" s="129">
        <f>IF(B$15=0,0,G6/B$15)</f>
        <v>0.25757575757575757</v>
      </c>
      <c r="I6" s="90">
        <v>10</v>
      </c>
      <c r="K6" s="36">
        <v>4</v>
      </c>
      <c r="L6" s="95">
        <v>-30.7</v>
      </c>
      <c r="N6" s="111" t="s">
        <v>134</v>
      </c>
      <c r="O6" s="118">
        <f t="shared" si="0"/>
        <v>25.490196078431371</v>
      </c>
      <c r="P6" s="115">
        <v>51</v>
      </c>
      <c r="Q6" s="99">
        <v>1300</v>
      </c>
    </row>
    <row r="7" spans="1:17" x14ac:dyDescent="0.4">
      <c r="A7" s="51" t="s">
        <v>2</v>
      </c>
      <c r="B7" s="44">
        <v>18</v>
      </c>
      <c r="C7" s="37">
        <f t="shared" ref="C7:C10" si="1">IF(B$2=0,0,B7/B$2)</f>
        <v>0.32142857142857145</v>
      </c>
      <c r="E7" s="59" t="s">
        <v>69</v>
      </c>
      <c r="F7" s="56" t="s">
        <v>24</v>
      </c>
      <c r="G7" s="44">
        <v>26</v>
      </c>
      <c r="H7" s="129">
        <f>IF(B$15=0,0,G7/B$15)</f>
        <v>0.19696969696969696</v>
      </c>
      <c r="I7" s="90">
        <v>3</v>
      </c>
      <c r="K7" s="36">
        <v>5</v>
      </c>
      <c r="L7" s="95">
        <v>-55.8</v>
      </c>
      <c r="N7" s="112" t="s">
        <v>135</v>
      </c>
      <c r="O7" s="119">
        <f t="shared" si="0"/>
        <v>-1881.8181818181818</v>
      </c>
      <c r="P7" s="116">
        <v>44</v>
      </c>
      <c r="Q7" s="100">
        <v>-82800</v>
      </c>
    </row>
    <row r="8" spans="1:17" x14ac:dyDescent="0.4">
      <c r="A8" s="51" t="s">
        <v>3</v>
      </c>
      <c r="B8" s="44">
        <v>12</v>
      </c>
      <c r="C8" s="37">
        <f t="shared" si="1"/>
        <v>0.21428571428571427</v>
      </c>
      <c r="E8" s="59" t="s">
        <v>67</v>
      </c>
      <c r="F8" s="56" t="s">
        <v>23</v>
      </c>
      <c r="G8" s="44">
        <v>19</v>
      </c>
      <c r="H8" s="129">
        <f>IF(B$15=0,0,G8/B$15)</f>
        <v>0.14393939393939395</v>
      </c>
      <c r="I8" s="90">
        <v>11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26</v>
      </c>
      <c r="C9" s="38">
        <f t="shared" si="1"/>
        <v>0.4642857142857143</v>
      </c>
      <c r="E9" s="59" t="s">
        <v>70</v>
      </c>
      <c r="F9" s="56" t="s">
        <v>25</v>
      </c>
      <c r="G9" s="44">
        <v>18</v>
      </c>
      <c r="H9" s="129">
        <f>IF(B$15=0,0,G9/B$15)</f>
        <v>0.13636363636363635</v>
      </c>
      <c r="I9" s="90">
        <v>3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2</v>
      </c>
      <c r="C10" s="40">
        <f t="shared" si="1"/>
        <v>3.5714285714285712E-2</v>
      </c>
      <c r="E10" s="59" t="s">
        <v>71</v>
      </c>
      <c r="F10" s="56" t="s">
        <v>26</v>
      </c>
      <c r="G10" s="44">
        <v>13</v>
      </c>
      <c r="H10" s="129">
        <f>IF(B$15=0,0,G10/B$15)</f>
        <v>9.8484848484848481E-2</v>
      </c>
      <c r="I10" s="90">
        <v>2</v>
      </c>
      <c r="K10" s="36">
        <v>8</v>
      </c>
      <c r="L10" s="95">
        <v>-76.900000000000006</v>
      </c>
      <c r="N10" s="110" t="s">
        <v>157</v>
      </c>
      <c r="O10" s="120">
        <f>IF(P10=0,0,Q10/P10)</f>
        <v>-12.329999999999998</v>
      </c>
      <c r="P10" s="114">
        <v>20</v>
      </c>
      <c r="Q10" s="102">
        <v>-246.59999999999997</v>
      </c>
    </row>
    <row r="11" spans="1:17" x14ac:dyDescent="0.4">
      <c r="A11" s="54" t="s">
        <v>121</v>
      </c>
      <c r="B11" s="47">
        <v>77</v>
      </c>
      <c r="C11" s="42">
        <f>IF(B$3=0,0,B11/B$3)</f>
        <v>0.15461847389558234</v>
      </c>
      <c r="E11" s="59" t="s">
        <v>83</v>
      </c>
      <c r="F11" s="56" t="s">
        <v>38</v>
      </c>
      <c r="G11" s="44">
        <v>12</v>
      </c>
      <c r="H11" s="129">
        <f>IF(B$15=0,0,G11/B$15)</f>
        <v>9.0909090909090912E-2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-2.399999999999999</v>
      </c>
      <c r="P11" s="115">
        <v>16</v>
      </c>
      <c r="Q11" s="103">
        <v>-38.399999999999984</v>
      </c>
    </row>
    <row r="12" spans="1:17" x14ac:dyDescent="0.4">
      <c r="A12" s="51" t="s">
        <v>118</v>
      </c>
      <c r="B12" s="44">
        <v>120</v>
      </c>
      <c r="C12" s="37">
        <f>IF(B$3=0,0,B12/B$3)</f>
        <v>0.24096385542168675</v>
      </c>
      <c r="E12" s="59" t="s">
        <v>65</v>
      </c>
      <c r="F12" s="56" t="s">
        <v>21</v>
      </c>
      <c r="G12" s="44">
        <v>9</v>
      </c>
      <c r="H12" s="129">
        <f>IF(B$15=0,0,G12/B$15)</f>
        <v>6.8181818181818177E-2</v>
      </c>
      <c r="I12" s="90">
        <v>10</v>
      </c>
      <c r="K12" s="36">
        <v>10</v>
      </c>
      <c r="L12" s="95">
        <v>-32.700000000000003</v>
      </c>
      <c r="N12" s="112" t="s">
        <v>159</v>
      </c>
      <c r="O12" s="122">
        <f>IF(P12=0,0,Q12/P12)</f>
        <v>-4.2249999999999996</v>
      </c>
      <c r="P12" s="116">
        <v>20</v>
      </c>
      <c r="Q12" s="104">
        <v>-84.499999999999986</v>
      </c>
    </row>
    <row r="13" spans="1:17" x14ac:dyDescent="0.4">
      <c r="A13" s="50" t="s">
        <v>123</v>
      </c>
      <c r="B13" s="43">
        <f>B19</f>
        <v>37</v>
      </c>
      <c r="C13" s="35">
        <f>IF(B$11=0,0,B13/B$11)</f>
        <v>0.48051948051948051</v>
      </c>
      <c r="E13" s="59" t="s">
        <v>89</v>
      </c>
      <c r="F13" s="56" t="s">
        <v>44</v>
      </c>
      <c r="G13" s="44">
        <v>9</v>
      </c>
      <c r="H13" s="129">
        <f>IF(B$15=0,0,G13/B$15)</f>
        <v>6.8181818181818177E-2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47</v>
      </c>
      <c r="C14" s="35">
        <f>IF(B$12=0,0,B14/B$12)</f>
        <v>0.39166666666666666</v>
      </c>
      <c r="E14" s="59" t="s">
        <v>81</v>
      </c>
      <c r="F14" s="56" t="s">
        <v>36</v>
      </c>
      <c r="G14" s="44">
        <v>4</v>
      </c>
      <c r="H14" s="129">
        <f>IF(B$15=0,0,G14/B$15)</f>
        <v>3.0303030303030304E-2</v>
      </c>
      <c r="I14" s="90">
        <v>1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132</v>
      </c>
      <c r="C15" s="35">
        <f>IF(B$3=0,0,B15/B$3)</f>
        <v>0.26506024096385544</v>
      </c>
      <c r="E15" s="59" t="s">
        <v>86</v>
      </c>
      <c r="F15" s="56" t="s">
        <v>41</v>
      </c>
      <c r="G15" s="44">
        <v>4</v>
      </c>
      <c r="H15" s="129">
        <f>IF(B$15=0,0,G15/B$15)</f>
        <v>3.0303030303030304E-2</v>
      </c>
      <c r="I15" s="90">
        <v>8</v>
      </c>
      <c r="K15" s="36">
        <v>13</v>
      </c>
      <c r="L15" s="95">
        <v>-66.2</v>
      </c>
      <c r="N15" s="110" t="s">
        <v>201</v>
      </c>
      <c r="O15" s="120">
        <f t="shared" ref="O15:O21" si="2">IF(P15=0,0,Q15/P15)</f>
        <v>7.4333333333333345</v>
      </c>
      <c r="P15" s="114">
        <v>6</v>
      </c>
      <c r="Q15" s="102">
        <v>44.600000000000009</v>
      </c>
    </row>
    <row r="16" spans="1:17" x14ac:dyDescent="0.4">
      <c r="A16" s="51" t="s">
        <v>13</v>
      </c>
      <c r="B16" s="44">
        <v>75</v>
      </c>
      <c r="C16" s="37">
        <f>IF(B$3=0,0,B16/B$3)</f>
        <v>0.15060240963855423</v>
      </c>
      <c r="E16" s="59" t="s">
        <v>91</v>
      </c>
      <c r="F16" s="56" t="s">
        <v>46</v>
      </c>
      <c r="G16" s="44">
        <v>3</v>
      </c>
      <c r="H16" s="129">
        <f>IF(B$15=0,0,G16/B$15)</f>
        <v>2.2727272727272728E-2</v>
      </c>
      <c r="I16" s="90">
        <v>2</v>
      </c>
      <c r="K16" s="36">
        <v>14</v>
      </c>
      <c r="L16" s="95">
        <v>-51.1</v>
      </c>
      <c r="N16" s="111" t="s">
        <v>171</v>
      </c>
      <c r="O16" s="121">
        <f t="shared" si="2"/>
        <v>-1.683333333333334</v>
      </c>
      <c r="P16" s="115">
        <v>18</v>
      </c>
      <c r="Q16" s="103">
        <v>-30.300000000000011</v>
      </c>
    </row>
    <row r="17" spans="1:17" x14ac:dyDescent="0.4">
      <c r="A17" s="51" t="s">
        <v>12</v>
      </c>
      <c r="B17" s="44">
        <v>52</v>
      </c>
      <c r="C17" s="37">
        <f>IF(B$15=0,0,B17/B$15)</f>
        <v>0.39393939393939392</v>
      </c>
      <c r="E17" s="59" t="s">
        <v>88</v>
      </c>
      <c r="F17" s="56" t="s">
        <v>43</v>
      </c>
      <c r="G17" s="44">
        <v>2</v>
      </c>
      <c r="H17" s="129">
        <f>IF(B$15=0,0,G17/B$15)</f>
        <v>1.5151515151515152E-2</v>
      </c>
      <c r="I17" s="90">
        <v>1</v>
      </c>
      <c r="K17" s="36">
        <v>15</v>
      </c>
      <c r="L17" s="95">
        <v>-65.2</v>
      </c>
      <c r="N17" s="111" t="s">
        <v>126</v>
      </c>
      <c r="O17" s="121">
        <f t="shared" si="2"/>
        <v>-5.3548387096774208</v>
      </c>
      <c r="P17" s="115">
        <v>31</v>
      </c>
      <c r="Q17" s="103">
        <v>-166.00000000000006</v>
      </c>
    </row>
    <row r="18" spans="1:17" x14ac:dyDescent="0.4">
      <c r="A18" s="51" t="s">
        <v>11</v>
      </c>
      <c r="B18" s="44">
        <v>80</v>
      </c>
      <c r="C18" s="37">
        <f>IF(B$15=0,0,B18/B$15)</f>
        <v>0.60606060606060608</v>
      </c>
      <c r="E18" s="59" t="s">
        <v>74</v>
      </c>
      <c r="F18" s="56" t="s">
        <v>29</v>
      </c>
      <c r="G18" s="44">
        <v>1</v>
      </c>
      <c r="H18" s="129">
        <f>IF(B$15=0,0,G18/B$15)</f>
        <v>7.575757575757576E-3</v>
      </c>
      <c r="I18" s="90">
        <v>2</v>
      </c>
      <c r="K18" s="36">
        <v>16</v>
      </c>
      <c r="L18" s="95">
        <v>-70.600000000000009</v>
      </c>
      <c r="N18" s="111" t="s">
        <v>127</v>
      </c>
      <c r="O18" s="121">
        <f t="shared" si="2"/>
        <v>-6.1160000000000014</v>
      </c>
      <c r="P18" s="115">
        <v>25</v>
      </c>
      <c r="Q18" s="103">
        <v>-152.90000000000003</v>
      </c>
    </row>
    <row r="19" spans="1:17" x14ac:dyDescent="0.4">
      <c r="A19" s="51" t="s">
        <v>197</v>
      </c>
      <c r="B19" s="44">
        <v>37</v>
      </c>
      <c r="C19" s="37">
        <f>IF(B$15=0,0,B19/B$15)</f>
        <v>0.28030303030303028</v>
      </c>
      <c r="E19" s="59" t="s">
        <v>75</v>
      </c>
      <c r="F19" s="56" t="s">
        <v>30</v>
      </c>
      <c r="G19" s="44">
        <v>1</v>
      </c>
      <c r="H19" s="129">
        <f>IF(B$15=0,0,G19/B$15)</f>
        <v>7.575757575757576E-3</v>
      </c>
      <c r="I19" s="90">
        <v>5</v>
      </c>
      <c r="K19" s="36">
        <v>17</v>
      </c>
      <c r="L19" s="95">
        <v>-65.2</v>
      </c>
      <c r="N19" s="111" t="s">
        <v>172</v>
      </c>
      <c r="O19" s="121">
        <f t="shared" si="2"/>
        <v>-12.242857142857146</v>
      </c>
      <c r="P19" s="115">
        <v>14</v>
      </c>
      <c r="Q19" s="103">
        <v>-171.40000000000003</v>
      </c>
    </row>
    <row r="20" spans="1:17" x14ac:dyDescent="0.4">
      <c r="A20" s="51" t="s">
        <v>195</v>
      </c>
      <c r="B20" s="44">
        <v>47</v>
      </c>
      <c r="C20" s="37">
        <f>IF(B$15=0,0,B20/B$15)</f>
        <v>0.35606060606060608</v>
      </c>
      <c r="E20" s="59" t="s">
        <v>77</v>
      </c>
      <c r="F20" s="56" t="s">
        <v>32</v>
      </c>
      <c r="G20" s="44">
        <v>1</v>
      </c>
      <c r="H20" s="129">
        <f>IF(B$15=0,0,G20/B$15)</f>
        <v>7.575757575757576E-3</v>
      </c>
      <c r="I20" s="90">
        <v>2</v>
      </c>
      <c r="K20" s="36">
        <v>18</v>
      </c>
      <c r="L20" s="95">
        <v>-80.2</v>
      </c>
      <c r="N20" s="111" t="s">
        <v>202</v>
      </c>
      <c r="O20" s="121">
        <f t="shared" si="2"/>
        <v>-27.433333333333326</v>
      </c>
      <c r="P20" s="115">
        <v>6</v>
      </c>
      <c r="Q20" s="103">
        <v>-164.59999999999997</v>
      </c>
    </row>
    <row r="21" spans="1:17" x14ac:dyDescent="0.4">
      <c r="A21" s="51" t="s">
        <v>196</v>
      </c>
      <c r="B21" s="44">
        <v>48</v>
      </c>
      <c r="C21" s="37">
        <f>IF(B$15=0,0,B21/B$15)</f>
        <v>0.36363636363636365</v>
      </c>
      <c r="E21" s="59" t="s">
        <v>79</v>
      </c>
      <c r="F21" s="56" t="s">
        <v>34</v>
      </c>
      <c r="G21" s="44">
        <v>1</v>
      </c>
      <c r="H21" s="129">
        <f>IF(B$15=0,0,G21/B$15)</f>
        <v>7.575757575757576E-3</v>
      </c>
      <c r="I21" s="90">
        <v>6</v>
      </c>
      <c r="K21" s="36">
        <v>19</v>
      </c>
      <c r="L21" s="95">
        <v>-115.1</v>
      </c>
      <c r="N21" s="111" t="s">
        <v>170</v>
      </c>
      <c r="O21" s="121">
        <f t="shared" si="2"/>
        <v>-38.991666666666667</v>
      </c>
      <c r="P21" s="115">
        <v>12</v>
      </c>
      <c r="Q21" s="103">
        <v>-467.9</v>
      </c>
    </row>
    <row r="22" spans="1:17" x14ac:dyDescent="0.4">
      <c r="A22" s="51" t="s">
        <v>5</v>
      </c>
      <c r="B22" s="48">
        <f>IF(B$15=0,0,C22/B$15)</f>
        <v>6975</v>
      </c>
      <c r="C22" s="39">
        <v>920700</v>
      </c>
      <c r="E22" s="59" t="s">
        <v>93</v>
      </c>
      <c r="F22" s="56" t="s">
        <v>48</v>
      </c>
      <c r="G22" s="44">
        <v>1</v>
      </c>
      <c r="H22" s="129">
        <f>IF(B$15=0,0,G22/B$15)</f>
        <v>7.575757575757576E-3</v>
      </c>
      <c r="I22" s="90">
        <v>1</v>
      </c>
      <c r="K22" s="36">
        <v>20</v>
      </c>
      <c r="L22" s="95">
        <v>-88.8</v>
      </c>
    </row>
    <row r="23" spans="1:17" x14ac:dyDescent="0.4">
      <c r="A23" s="52" t="s">
        <v>177</v>
      </c>
      <c r="B23" s="136">
        <f>IF($B$15-B$14=0,0,C23/($B$15-B$14))</f>
        <v>7207.0588235294117</v>
      </c>
      <c r="C23" s="137">
        <v>612600</v>
      </c>
      <c r="E23" s="59" t="s">
        <v>73</v>
      </c>
      <c r="F23" s="56" t="s">
        <v>28</v>
      </c>
      <c r="G23" s="44">
        <v>0</v>
      </c>
      <c r="H23" s="129">
        <f>IF(B$15=0,0,G23/B$15)</f>
        <v>0</v>
      </c>
      <c r="I23" s="90">
        <v>5</v>
      </c>
      <c r="K23" s="36">
        <v>21</v>
      </c>
      <c r="L23" s="95">
        <v>-111.4</v>
      </c>
    </row>
    <row r="24" spans="1:17" x14ac:dyDescent="0.4">
      <c r="A24" s="52" t="s">
        <v>178</v>
      </c>
      <c r="B24" s="136">
        <f>IF(B$14=0,0,C24/B$14)</f>
        <v>6555.3191489361698</v>
      </c>
      <c r="C24" s="137">
        <v>308100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-142.80000000000001</v>
      </c>
    </row>
    <row r="25" spans="1:17" x14ac:dyDescent="0.4">
      <c r="A25" s="52" t="s">
        <v>176</v>
      </c>
      <c r="B25" s="136">
        <f>IF(B$16=0,0,C25/B$16)</f>
        <v>-7600</v>
      </c>
      <c r="C25" s="137">
        <v>-570000</v>
      </c>
      <c r="E25" s="59" t="s">
        <v>78</v>
      </c>
      <c r="F25" s="56" t="s">
        <v>33</v>
      </c>
      <c r="G25" s="44">
        <v>0</v>
      </c>
      <c r="H25" s="129">
        <f>IF(B$15=0,0,G25/B$15)</f>
        <v>0</v>
      </c>
      <c r="I25" s="90">
        <v>9</v>
      </c>
      <c r="K25" s="36">
        <v>23</v>
      </c>
      <c r="L25" s="95">
        <v>-80.900000000000006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51" t="s">
        <v>165</v>
      </c>
      <c r="B27" s="44">
        <v>32</v>
      </c>
      <c r="C27" s="131">
        <v>2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86" t="s">
        <v>138</v>
      </c>
      <c r="B28" s="148">
        <v>6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4" t="s">
        <v>194</v>
      </c>
      <c r="B29" s="146">
        <v>86900</v>
      </c>
      <c r="C29" s="147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A30" s="53" t="s">
        <v>139</v>
      </c>
      <c r="B30" s="61">
        <v>2</v>
      </c>
      <c r="C30" s="40">
        <f>IF(B$3=0,0,B30/B$3)</f>
        <v>4.0160642570281121E-3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A32" s="86" t="s">
        <v>185</v>
      </c>
      <c r="B32" s="144">
        <v>18</v>
      </c>
      <c r="C32" s="141">
        <f>IF(B$15=0,0,B32/B$15)</f>
        <v>0.13636363636363635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-182.90000000000003</v>
      </c>
    </row>
    <row r="33" spans="1:12" x14ac:dyDescent="0.4">
      <c r="A33" s="51" t="s">
        <v>181</v>
      </c>
      <c r="B33" s="44">
        <v>26</v>
      </c>
      <c r="C33" s="37">
        <f t="shared" ref="C33:C44" si="3">IF(B$15=0,0,B33/B$15)</f>
        <v>0.19696969696969696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">
      <c r="A34" s="51" t="s">
        <v>182</v>
      </c>
      <c r="B34" s="145">
        <v>31</v>
      </c>
      <c r="C34" s="37">
        <f>IF(B$15=0,0,B34/B$15)</f>
        <v>0.23484848484848486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">
      <c r="A35" s="51" t="s">
        <v>183</v>
      </c>
      <c r="B35" s="145">
        <v>19</v>
      </c>
      <c r="C35" s="37">
        <f t="shared" si="3"/>
        <v>0.14393939393939395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">
      <c r="A36" s="51" t="s">
        <v>184</v>
      </c>
      <c r="B36" s="145">
        <v>15</v>
      </c>
      <c r="C36" s="37">
        <f t="shared" si="3"/>
        <v>0.11363636363636363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">
      <c r="A37" s="51" t="s">
        <v>186</v>
      </c>
      <c r="B37" s="145">
        <v>10</v>
      </c>
      <c r="C37" s="37">
        <f t="shared" si="3"/>
        <v>7.575757575757576E-2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">
      <c r="A38" s="51" t="s">
        <v>187</v>
      </c>
      <c r="B38" s="145">
        <v>8</v>
      </c>
      <c r="C38" s="37">
        <f t="shared" si="3"/>
        <v>6.0606060606060608E-2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">
      <c r="A39" s="51" t="s">
        <v>188</v>
      </c>
      <c r="B39" s="145">
        <v>4</v>
      </c>
      <c r="C39" s="37">
        <f t="shared" si="3"/>
        <v>3.0303030303030304E-2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">
      <c r="A40" s="51" t="s">
        <v>189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">
      <c r="A41" s="51" t="s">
        <v>190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">
      <c r="A42" s="51" t="s">
        <v>191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">
      <c r="A43" s="51" t="s">
        <v>192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">
      <c r="A44" s="53" t="s">
        <v>193</v>
      </c>
      <c r="B44" s="140">
        <v>1</v>
      </c>
      <c r="C44" s="40">
        <f t="shared" si="3"/>
        <v>7.575757575757576E-3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  <c r="K51" s="36">
        <v>49</v>
      </c>
      <c r="L51" s="95">
        <v>-256.70000000000005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">
      <c r="K53" s="36">
        <v>51</v>
      </c>
      <c r="L53" s="95">
        <v>-273.60000000000008</v>
      </c>
    </row>
    <row r="54" spans="5:12" x14ac:dyDescent="0.4">
      <c r="K54" s="36">
        <v>52</v>
      </c>
      <c r="L54" s="95">
        <v>-296.10000000000008</v>
      </c>
    </row>
    <row r="55" spans="5:12" x14ac:dyDescent="0.4">
      <c r="K55" s="36">
        <v>53</v>
      </c>
      <c r="L55" s="95">
        <v>-383.50000000000011</v>
      </c>
    </row>
    <row r="56" spans="5:12" x14ac:dyDescent="0.4">
      <c r="K56" s="36">
        <v>54</v>
      </c>
      <c r="L56" s="95">
        <v>-415.00000000000011</v>
      </c>
    </row>
    <row r="57" spans="5:12" x14ac:dyDescent="0.4">
      <c r="K57" s="36">
        <v>55</v>
      </c>
      <c r="L57" s="95">
        <v>-381.50000000000011</v>
      </c>
    </row>
    <row r="58" spans="5:12" x14ac:dyDescent="0.4">
      <c r="K58" s="36">
        <v>56</v>
      </c>
      <c r="L58" s="95">
        <v>-369.50000000000011</v>
      </c>
    </row>
  </sheetData>
  <sortState xmlns:xlrd2="http://schemas.microsoft.com/office/spreadsheetml/2017/richdata2" ref="E2:I59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2D48E-4E45-4A3C-8857-4DF53D9480E1}">
  <sheetPr codeName="Sheet9"/>
  <dimension ref="A1:Q136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134</v>
      </c>
      <c r="C2" s="155"/>
      <c r="E2" s="58" t="s">
        <v>66</v>
      </c>
      <c r="F2" s="55" t="s">
        <v>22</v>
      </c>
      <c r="G2" s="43">
        <v>253</v>
      </c>
      <c r="H2" s="128">
        <f>IF(B$15=0,0,G2/B$15)</f>
        <v>0.67466666666666664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1100.7575757575758</v>
      </c>
      <c r="P2" s="114">
        <v>132</v>
      </c>
      <c r="Q2" s="98">
        <v>145300</v>
      </c>
    </row>
    <row r="3" spans="1:17" x14ac:dyDescent="0.4">
      <c r="A3" s="51" t="s">
        <v>8</v>
      </c>
      <c r="B3" s="156">
        <v>1088</v>
      </c>
      <c r="C3" s="157"/>
      <c r="E3" s="59" t="s">
        <v>72</v>
      </c>
      <c r="F3" s="56" t="s">
        <v>27</v>
      </c>
      <c r="G3" s="44">
        <v>186</v>
      </c>
      <c r="H3" s="129">
        <f>IF(B$15=0,0,G3/B$15)</f>
        <v>0.496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744.18604651162786</v>
      </c>
      <c r="P3" s="115">
        <v>129</v>
      </c>
      <c r="Q3" s="99">
        <v>96000</v>
      </c>
    </row>
    <row r="4" spans="1:17" x14ac:dyDescent="0.4">
      <c r="A4" s="51" t="s">
        <v>6</v>
      </c>
      <c r="B4" s="158">
        <v>1208.4000000000003</v>
      </c>
      <c r="C4" s="159"/>
      <c r="E4" s="59" t="s">
        <v>64</v>
      </c>
      <c r="F4" s="56" t="s">
        <v>20</v>
      </c>
      <c r="G4" s="44">
        <v>168</v>
      </c>
      <c r="H4" s="129">
        <f>IF(B$15=0,0,G4/B$15)</f>
        <v>0.44800000000000001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1017.0731707317074</v>
      </c>
      <c r="P4" s="115">
        <v>123</v>
      </c>
      <c r="Q4" s="99">
        <v>125100</v>
      </c>
    </row>
    <row r="5" spans="1:17" x14ac:dyDescent="0.4">
      <c r="A5" s="51" t="s">
        <v>7</v>
      </c>
      <c r="B5" s="160">
        <f>IF(B$2=0,0,B$4/B$2)</f>
        <v>9.0179104477611958</v>
      </c>
      <c r="C5" s="161"/>
      <c r="E5" s="59" t="s">
        <v>166</v>
      </c>
      <c r="F5" s="56" t="s">
        <v>167</v>
      </c>
      <c r="G5" s="44">
        <v>142</v>
      </c>
      <c r="H5" s="129">
        <f>IF(B$15=0,0,G5/B$15)</f>
        <v>0.37866666666666665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573.04347826086962</v>
      </c>
      <c r="P5" s="115">
        <v>115</v>
      </c>
      <c r="Q5" s="99">
        <v>65900</v>
      </c>
    </row>
    <row r="6" spans="1:17" x14ac:dyDescent="0.4">
      <c r="A6" s="51" t="s">
        <v>1</v>
      </c>
      <c r="B6" s="150">
        <f>IF(B$2=0,0,(B$7*1+B$8*2+B$9*3)/B$2)</f>
        <v>1.7686567164179106</v>
      </c>
      <c r="C6" s="151"/>
      <c r="E6" s="59" t="s">
        <v>68</v>
      </c>
      <c r="F6" s="56" t="s">
        <v>12</v>
      </c>
      <c r="G6" s="44">
        <v>111</v>
      </c>
      <c r="H6" s="129">
        <f>IF(B$15=0,0,G6/B$15)</f>
        <v>0.29599999999999999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0"/>
        <v>2164.4859813084113</v>
      </c>
      <c r="P6" s="115">
        <v>107</v>
      </c>
      <c r="Q6" s="99">
        <v>231600</v>
      </c>
    </row>
    <row r="7" spans="1:17" x14ac:dyDescent="0.4">
      <c r="A7" s="51" t="s">
        <v>2</v>
      </c>
      <c r="B7" s="44">
        <v>63</v>
      </c>
      <c r="C7" s="37">
        <f t="shared" ref="C7:C10" si="1">IF(B$2=0,0,B7/B$2)</f>
        <v>0.47014925373134331</v>
      </c>
      <c r="E7" s="59" t="s">
        <v>67</v>
      </c>
      <c r="F7" s="56" t="s">
        <v>23</v>
      </c>
      <c r="G7" s="44">
        <v>99</v>
      </c>
      <c r="H7" s="129">
        <f>IF(B$15=0,0,G7/B$15)</f>
        <v>0.26400000000000001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2337.9310344827586</v>
      </c>
      <c r="P7" s="116">
        <v>87</v>
      </c>
      <c r="Q7" s="100">
        <v>203400</v>
      </c>
    </row>
    <row r="8" spans="1:17" x14ac:dyDescent="0.4">
      <c r="A8" s="51" t="s">
        <v>3</v>
      </c>
      <c r="B8" s="44">
        <v>39</v>
      </c>
      <c r="C8" s="37">
        <f t="shared" si="1"/>
        <v>0.29104477611940299</v>
      </c>
      <c r="E8" s="59" t="s">
        <v>89</v>
      </c>
      <c r="F8" s="56" t="s">
        <v>44</v>
      </c>
      <c r="G8" s="44">
        <v>57</v>
      </c>
      <c r="H8" s="129">
        <f>IF(B$15=0,0,G8/B$15)</f>
        <v>0.152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32</v>
      </c>
      <c r="C9" s="38">
        <f t="shared" si="1"/>
        <v>0.23880597014925373</v>
      </c>
      <c r="E9" s="59" t="s">
        <v>69</v>
      </c>
      <c r="F9" s="56" t="s">
        <v>24</v>
      </c>
      <c r="G9" s="44">
        <v>54</v>
      </c>
      <c r="H9" s="129">
        <f>IF(B$15=0,0,G9/B$15)</f>
        <v>0.14399999999999999</v>
      </c>
      <c r="I9" s="90">
        <v>6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6</v>
      </c>
      <c r="C10" s="40">
        <f t="shared" si="1"/>
        <v>4.4776119402985072E-2</v>
      </c>
      <c r="E10" s="59" t="s">
        <v>65</v>
      </c>
      <c r="F10" s="56" t="s">
        <v>21</v>
      </c>
      <c r="G10" s="44">
        <v>43</v>
      </c>
      <c r="H10" s="129">
        <f>IF(B$15=0,0,G10/B$15)</f>
        <v>0.11466666666666667</v>
      </c>
      <c r="I10" s="90">
        <v>6</v>
      </c>
      <c r="K10" s="36">
        <v>8</v>
      </c>
      <c r="L10" s="95">
        <v>148.1</v>
      </c>
      <c r="N10" s="110" t="s">
        <v>157</v>
      </c>
      <c r="O10" s="120">
        <f>IF(P10=0,0,Q10/P10)</f>
        <v>12.492307692307689</v>
      </c>
      <c r="P10" s="114">
        <v>39</v>
      </c>
      <c r="Q10" s="102">
        <v>487.19999999999987</v>
      </c>
    </row>
    <row r="11" spans="1:17" x14ac:dyDescent="0.4">
      <c r="A11" s="54" t="s">
        <v>121</v>
      </c>
      <c r="B11" s="47">
        <v>296</v>
      </c>
      <c r="C11" s="42">
        <f>IF(B$3=0,0,B11/B$3)</f>
        <v>0.27205882352941174</v>
      </c>
      <c r="E11" s="59" t="s">
        <v>86</v>
      </c>
      <c r="F11" s="56" t="s">
        <v>41</v>
      </c>
      <c r="G11" s="44">
        <v>26</v>
      </c>
      <c r="H11" s="129">
        <f>IF(B$15=0,0,G11/B$15)</f>
        <v>6.933333333333333E-2</v>
      </c>
      <c r="I11" s="90">
        <v>2</v>
      </c>
      <c r="K11" s="36">
        <v>9</v>
      </c>
      <c r="L11" s="95">
        <v>180.89999999999998</v>
      </c>
      <c r="N11" s="111" t="s">
        <v>158</v>
      </c>
      <c r="O11" s="121">
        <f>IF(P11=0,0,Q11/P11)</f>
        <v>4.4733333333333327</v>
      </c>
      <c r="P11" s="115">
        <v>45</v>
      </c>
      <c r="Q11" s="103">
        <v>201.29999999999998</v>
      </c>
    </row>
    <row r="12" spans="1:17" x14ac:dyDescent="0.4">
      <c r="A12" s="51" t="s">
        <v>118</v>
      </c>
      <c r="B12" s="44">
        <v>242</v>
      </c>
      <c r="C12" s="37">
        <f>IF(B$3=0,0,B12/B$3)</f>
        <v>0.22242647058823528</v>
      </c>
      <c r="E12" s="59" t="s">
        <v>71</v>
      </c>
      <c r="F12" s="56" t="s">
        <v>26</v>
      </c>
      <c r="G12" s="44">
        <v>25</v>
      </c>
      <c r="H12" s="129">
        <f>IF(B$15=0,0,G12/B$15)</f>
        <v>6.6666666666666666E-2</v>
      </c>
      <c r="I12" s="90">
        <v>8</v>
      </c>
      <c r="K12" s="36">
        <v>10</v>
      </c>
      <c r="L12" s="95">
        <v>158.19999999999999</v>
      </c>
      <c r="N12" s="112" t="s">
        <v>159</v>
      </c>
      <c r="O12" s="122">
        <f>IF(P12=0,0,Q12/P12)</f>
        <v>10.61020408163265</v>
      </c>
      <c r="P12" s="116">
        <v>49</v>
      </c>
      <c r="Q12" s="104">
        <v>519.89999999999986</v>
      </c>
    </row>
    <row r="13" spans="1:17" x14ac:dyDescent="0.4">
      <c r="A13" s="50" t="s">
        <v>123</v>
      </c>
      <c r="B13" s="43">
        <f>B19</f>
        <v>178</v>
      </c>
      <c r="C13" s="35">
        <f>IF(B$11=0,0,B13/B$11)</f>
        <v>0.60135135135135132</v>
      </c>
      <c r="E13" s="59" t="s">
        <v>70</v>
      </c>
      <c r="F13" s="56" t="s">
        <v>25</v>
      </c>
      <c r="G13" s="44">
        <v>20</v>
      </c>
      <c r="H13" s="129">
        <f>IF(B$15=0,0,G13/B$15)</f>
        <v>5.3333333333333337E-2</v>
      </c>
      <c r="I13" s="90">
        <v>11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116</v>
      </c>
      <c r="C14" s="35">
        <f>IF(B$12=0,0,B14/B$12)</f>
        <v>0.47933884297520662</v>
      </c>
      <c r="E14" s="59" t="s">
        <v>83</v>
      </c>
      <c r="F14" s="56" t="s">
        <v>38</v>
      </c>
      <c r="G14" s="44">
        <v>16</v>
      </c>
      <c r="H14" s="129">
        <f>IF(B$15=0,0,G14/B$15)</f>
        <v>4.2666666666666665E-2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375</v>
      </c>
      <c r="C15" s="35">
        <f>IF(B$3=0,0,B15/B$3)</f>
        <v>0.34466911764705882</v>
      </c>
      <c r="E15" s="59" t="s">
        <v>78</v>
      </c>
      <c r="F15" s="56" t="s">
        <v>33</v>
      </c>
      <c r="G15" s="44">
        <v>14</v>
      </c>
      <c r="H15" s="129">
        <f>IF(B$15=0,0,G15/B$15)</f>
        <v>3.7333333333333336E-2</v>
      </c>
      <c r="I15" s="90">
        <v>2</v>
      </c>
      <c r="K15" s="36">
        <v>13</v>
      </c>
      <c r="L15" s="95">
        <v>206.39999999999998</v>
      </c>
      <c r="N15" s="110" t="s">
        <v>201</v>
      </c>
      <c r="O15" s="120">
        <f>IF(P15=0,0,Q15/P15)</f>
        <v>39.662500000000009</v>
      </c>
      <c r="P15" s="114">
        <v>8</v>
      </c>
      <c r="Q15" s="102">
        <v>317.30000000000007</v>
      </c>
    </row>
    <row r="16" spans="1:17" x14ac:dyDescent="0.4">
      <c r="A16" s="51" t="s">
        <v>13</v>
      </c>
      <c r="B16" s="44">
        <v>141</v>
      </c>
      <c r="C16" s="37">
        <f>IF(B$3=0,0,B16/B$3)</f>
        <v>0.12959558823529413</v>
      </c>
      <c r="E16" s="59" t="s">
        <v>162</v>
      </c>
      <c r="F16" s="56" t="s">
        <v>163</v>
      </c>
      <c r="G16" s="44">
        <v>13</v>
      </c>
      <c r="H16" s="129">
        <f>IF(B$15=0,0,G16/B$15)</f>
        <v>3.4666666666666665E-2</v>
      </c>
      <c r="I16" s="90">
        <v>2</v>
      </c>
      <c r="K16" s="36">
        <v>14</v>
      </c>
      <c r="L16" s="95">
        <v>240.09999999999997</v>
      </c>
      <c r="N16" s="111" t="s">
        <v>202</v>
      </c>
      <c r="O16" s="121">
        <f>IF(P16=0,0,Q16/P16)</f>
        <v>22.021428571428569</v>
      </c>
      <c r="P16" s="115">
        <v>14</v>
      </c>
      <c r="Q16" s="103">
        <v>308.29999999999995</v>
      </c>
    </row>
    <row r="17" spans="1:17" x14ac:dyDescent="0.4">
      <c r="A17" s="51" t="s">
        <v>12</v>
      </c>
      <c r="B17" s="44">
        <v>160</v>
      </c>
      <c r="C17" s="37">
        <f>IF(B$15=0,0,B17/B$15)</f>
        <v>0.42666666666666669</v>
      </c>
      <c r="E17" s="59" t="s">
        <v>75</v>
      </c>
      <c r="F17" s="56" t="s">
        <v>30</v>
      </c>
      <c r="G17" s="44">
        <v>4</v>
      </c>
      <c r="H17" s="129">
        <f>IF(B$15=0,0,G17/B$15)</f>
        <v>1.0666666666666666E-2</v>
      </c>
      <c r="I17" s="90">
        <v>3</v>
      </c>
      <c r="K17" s="36">
        <v>15</v>
      </c>
      <c r="L17" s="95">
        <v>269.49999999999994</v>
      </c>
      <c r="N17" s="111" t="s">
        <v>171</v>
      </c>
      <c r="O17" s="121">
        <f>IF(P17=0,0,Q17/P17)</f>
        <v>17.706</v>
      </c>
      <c r="P17" s="115">
        <v>50</v>
      </c>
      <c r="Q17" s="103">
        <v>885.3</v>
      </c>
    </row>
    <row r="18" spans="1:17" x14ac:dyDescent="0.4">
      <c r="A18" s="51" t="s">
        <v>11</v>
      </c>
      <c r="B18" s="44">
        <v>215</v>
      </c>
      <c r="C18" s="37">
        <f>IF(B$15=0,0,B18/B$15)</f>
        <v>0.57333333333333336</v>
      </c>
      <c r="E18" s="59" t="s">
        <v>77</v>
      </c>
      <c r="F18" s="56" t="s">
        <v>32</v>
      </c>
      <c r="G18" s="44">
        <v>3</v>
      </c>
      <c r="H18" s="129">
        <f>IF(B$15=0,0,G18/B$15)</f>
        <v>8.0000000000000002E-3</v>
      </c>
      <c r="I18" s="90">
        <v>1</v>
      </c>
      <c r="K18" s="36">
        <v>16</v>
      </c>
      <c r="L18" s="95">
        <v>323.69999999999993</v>
      </c>
      <c r="N18" s="111" t="s">
        <v>172</v>
      </c>
      <c r="O18" s="121">
        <f>IF(P18=0,0,Q18/P18)</f>
        <v>16.414583333333336</v>
      </c>
      <c r="P18" s="115">
        <v>48</v>
      </c>
      <c r="Q18" s="103">
        <v>787.9000000000002</v>
      </c>
    </row>
    <row r="19" spans="1:17" x14ac:dyDescent="0.4">
      <c r="A19" s="51" t="s">
        <v>197</v>
      </c>
      <c r="B19" s="44">
        <v>178</v>
      </c>
      <c r="C19" s="37">
        <f>IF(B$15=0,0,B19/B$15)</f>
        <v>0.47466666666666668</v>
      </c>
      <c r="E19" s="59" t="s">
        <v>81</v>
      </c>
      <c r="F19" s="56" t="s">
        <v>36</v>
      </c>
      <c r="G19" s="44">
        <v>3</v>
      </c>
      <c r="H19" s="129">
        <f>IF(B$15=0,0,G19/B$15)</f>
        <v>8.0000000000000002E-3</v>
      </c>
      <c r="I19" s="90">
        <v>9</v>
      </c>
      <c r="K19" s="36">
        <v>17</v>
      </c>
      <c r="L19" s="95">
        <v>359.09999999999991</v>
      </c>
      <c r="N19" s="111" t="s">
        <v>127</v>
      </c>
      <c r="O19" s="121">
        <f>IF(P19=0,0,Q19/P19)</f>
        <v>14.080952380952386</v>
      </c>
      <c r="P19" s="115">
        <v>84</v>
      </c>
      <c r="Q19" s="103">
        <v>1182.8000000000004</v>
      </c>
    </row>
    <row r="20" spans="1:17" x14ac:dyDescent="0.4">
      <c r="A20" s="51" t="s">
        <v>195</v>
      </c>
      <c r="B20" s="44">
        <v>116</v>
      </c>
      <c r="C20" s="37">
        <f>IF(B$15=0,0,B20/B$15)</f>
        <v>0.30933333333333335</v>
      </c>
      <c r="E20" s="59" t="s">
        <v>84</v>
      </c>
      <c r="F20" s="56" t="s">
        <v>39</v>
      </c>
      <c r="G20" s="44">
        <v>3</v>
      </c>
      <c r="H20" s="129">
        <f>IF(B$15=0,0,G20/B$15)</f>
        <v>8.0000000000000002E-3</v>
      </c>
      <c r="I20" s="90">
        <v>1</v>
      </c>
      <c r="K20" s="36">
        <v>18</v>
      </c>
      <c r="L20" s="95">
        <v>352.39999999999992</v>
      </c>
      <c r="N20" s="111" t="s">
        <v>161</v>
      </c>
      <c r="O20" s="121">
        <f>IF(P20=0,0,Q20/P20)</f>
        <v>5.354838709677419</v>
      </c>
      <c r="P20" s="115">
        <v>31</v>
      </c>
      <c r="Q20" s="103">
        <v>166</v>
      </c>
    </row>
    <row r="21" spans="1:17" x14ac:dyDescent="0.4">
      <c r="A21" s="51" t="s">
        <v>196</v>
      </c>
      <c r="B21" s="44">
        <v>81</v>
      </c>
      <c r="C21" s="37">
        <f>IF(B$15=0,0,B21/B$15)</f>
        <v>0.216</v>
      </c>
      <c r="E21" s="59" t="s">
        <v>91</v>
      </c>
      <c r="F21" s="56" t="s">
        <v>46</v>
      </c>
      <c r="G21" s="44">
        <v>3</v>
      </c>
      <c r="H21" s="129">
        <f>IF(B$15=0,0,G21/B$15)</f>
        <v>8.0000000000000002E-3</v>
      </c>
      <c r="I21" s="90">
        <v>7</v>
      </c>
      <c r="K21" s="36">
        <v>19</v>
      </c>
      <c r="L21" s="95">
        <v>383.19999999999993</v>
      </c>
      <c r="N21" s="111" t="s">
        <v>170</v>
      </c>
      <c r="O21" s="121">
        <f>IF(P21=0,0,Q21/P21)</f>
        <v>1.5031249999999998</v>
      </c>
      <c r="P21" s="115">
        <v>32</v>
      </c>
      <c r="Q21" s="103">
        <v>48.099999999999994</v>
      </c>
    </row>
    <row r="22" spans="1:17" x14ac:dyDescent="0.4">
      <c r="A22" s="51" t="s">
        <v>5</v>
      </c>
      <c r="B22" s="48">
        <f>IF(B$15=0,0,C22/B$15)</f>
        <v>8265.8666666666668</v>
      </c>
      <c r="C22" s="39">
        <v>3099700</v>
      </c>
      <c r="E22" s="59" t="s">
        <v>92</v>
      </c>
      <c r="F22" s="56" t="s">
        <v>47</v>
      </c>
      <c r="G22" s="44">
        <v>3</v>
      </c>
      <c r="H22" s="129">
        <f>IF(B$15=0,0,G22/B$15)</f>
        <v>8.0000000000000002E-3</v>
      </c>
      <c r="I22" s="90">
        <v>3</v>
      </c>
      <c r="K22" s="36">
        <v>20</v>
      </c>
      <c r="L22" s="95">
        <v>365.49999999999994</v>
      </c>
      <c r="N22" s="111" t="s">
        <v>236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2" t="s">
        <v>177</v>
      </c>
      <c r="B23" s="136">
        <f>IF($B$15-B$14=0,0,C23/($B$15-B$14))</f>
        <v>8574.131274131274</v>
      </c>
      <c r="C23" s="137">
        <v>2220700</v>
      </c>
      <c r="E23" s="59" t="s">
        <v>79</v>
      </c>
      <c r="F23" s="56" t="s">
        <v>34</v>
      </c>
      <c r="G23" s="44">
        <v>2</v>
      </c>
      <c r="H23" s="129">
        <f>IF(B$15=0,0,G23/B$15)</f>
        <v>5.3333333333333332E-3</v>
      </c>
      <c r="I23" s="90">
        <v>8</v>
      </c>
      <c r="K23" s="36">
        <v>21</v>
      </c>
      <c r="L23" s="95">
        <v>371.39999999999992</v>
      </c>
    </row>
    <row r="24" spans="1:17" x14ac:dyDescent="0.4">
      <c r="A24" s="52" t="s">
        <v>178</v>
      </c>
      <c r="B24" s="136">
        <f>IF(B$14=0,0,C24/B$14)</f>
        <v>7577.5862068965516</v>
      </c>
      <c r="C24" s="137">
        <v>879000</v>
      </c>
      <c r="E24" s="59" t="s">
        <v>85</v>
      </c>
      <c r="F24" s="56" t="s">
        <v>40</v>
      </c>
      <c r="G24" s="44">
        <v>2</v>
      </c>
      <c r="H24" s="129">
        <f>IF(B$15=0,0,G24/B$15)</f>
        <v>5.3333333333333332E-3</v>
      </c>
      <c r="I24" s="90">
        <v>3</v>
      </c>
      <c r="K24" s="36">
        <v>22</v>
      </c>
      <c r="L24" s="95">
        <v>414.2999999999999</v>
      </c>
    </row>
    <row r="25" spans="1:17" x14ac:dyDescent="0.4">
      <c r="A25" s="52" t="s">
        <v>176</v>
      </c>
      <c r="B25" s="136">
        <f>IF(B$16=0,0,C25/B$16)</f>
        <v>-7792.9078014184397</v>
      </c>
      <c r="C25" s="137">
        <v>-1098800</v>
      </c>
      <c r="E25" s="59" t="s">
        <v>88</v>
      </c>
      <c r="F25" s="56" t="s">
        <v>43</v>
      </c>
      <c r="G25" s="44">
        <v>2</v>
      </c>
      <c r="H25" s="129">
        <f>IF(B$15=0,0,G25/B$15)</f>
        <v>5.3333333333333332E-3</v>
      </c>
      <c r="I25" s="90">
        <v>2</v>
      </c>
      <c r="K25" s="36">
        <v>23</v>
      </c>
      <c r="L25" s="95">
        <v>356.2999999999999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74</v>
      </c>
      <c r="F26" s="56" t="s">
        <v>29</v>
      </c>
      <c r="G26" s="44">
        <v>1</v>
      </c>
      <c r="H26" s="129">
        <f>IF(B$15=0,0,G26/B$15)</f>
        <v>2.6666666666666666E-3</v>
      </c>
      <c r="I26" s="90">
        <v>6</v>
      </c>
      <c r="K26" s="36">
        <v>24</v>
      </c>
      <c r="L26" s="95">
        <v>329.89999999999992</v>
      </c>
    </row>
    <row r="27" spans="1:17" x14ac:dyDescent="0.4">
      <c r="A27" s="51" t="s">
        <v>165</v>
      </c>
      <c r="B27" s="44">
        <v>43</v>
      </c>
      <c r="C27" s="131">
        <v>21</v>
      </c>
      <c r="E27" s="59" t="s">
        <v>90</v>
      </c>
      <c r="F27" s="56" t="s">
        <v>45</v>
      </c>
      <c r="G27" s="44">
        <v>1</v>
      </c>
      <c r="H27" s="129">
        <f>IF(B$15=0,0,G27/B$15)</f>
        <v>2.6666666666666666E-3</v>
      </c>
      <c r="I27" s="90">
        <v>2</v>
      </c>
      <c r="K27" s="36">
        <v>25</v>
      </c>
      <c r="L27" s="95">
        <v>294.99999999999994</v>
      </c>
    </row>
    <row r="28" spans="1:17" x14ac:dyDescent="0.4">
      <c r="A28" s="86" t="s">
        <v>138</v>
      </c>
      <c r="B28" s="148">
        <v>7</v>
      </c>
      <c r="C28" s="149"/>
      <c r="E28" s="59" t="s">
        <v>95</v>
      </c>
      <c r="F28" s="56" t="s">
        <v>50</v>
      </c>
      <c r="G28" s="44">
        <v>1</v>
      </c>
      <c r="H28" s="129">
        <f>IF(B$15=0,0,G28/B$15)</f>
        <v>2.6666666666666666E-3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4" t="s">
        <v>194</v>
      </c>
      <c r="B29" s="146">
        <v>149100</v>
      </c>
      <c r="C29" s="147"/>
      <c r="E29" s="59" t="s">
        <v>106</v>
      </c>
      <c r="F29" s="56" t="s">
        <v>113</v>
      </c>
      <c r="G29" s="44">
        <v>1</v>
      </c>
      <c r="H29" s="129">
        <f>IF(B$15=0,0,G29/B$15)</f>
        <v>2.6666666666666666E-3</v>
      </c>
      <c r="I29" s="90">
        <v>1</v>
      </c>
      <c r="K29" s="36">
        <v>27</v>
      </c>
      <c r="L29" s="95">
        <v>362.4</v>
      </c>
    </row>
    <row r="30" spans="1:17" x14ac:dyDescent="0.4">
      <c r="A30" s="53" t="s">
        <v>139</v>
      </c>
      <c r="B30" s="61">
        <v>1</v>
      </c>
      <c r="C30" s="40">
        <f>IF(B$3=0,0,B30/B$3)</f>
        <v>9.1911764705882352E-4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A32" s="86" t="s">
        <v>185</v>
      </c>
      <c r="B32" s="144">
        <v>30</v>
      </c>
      <c r="C32" s="141">
        <f>IF(B$15=0,0,B32/B$15)</f>
        <v>0.08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">
      <c r="A33" s="51" t="s">
        <v>181</v>
      </c>
      <c r="B33" s="44">
        <v>64</v>
      </c>
      <c r="C33" s="37">
        <f t="shared" ref="C33:C44" si="2">IF(B$15=0,0,B33/B$15)</f>
        <v>0.17066666666666666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">
      <c r="A34" s="51" t="s">
        <v>182</v>
      </c>
      <c r="B34" s="145">
        <v>83</v>
      </c>
      <c r="C34" s="37">
        <f>IF(B$15=0,0,B34/B$15)</f>
        <v>0.22133333333333333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4</v>
      </c>
      <c r="K34" s="36">
        <v>32</v>
      </c>
      <c r="L34" s="95">
        <v>349.39999999999992</v>
      </c>
    </row>
    <row r="35" spans="1:12" x14ac:dyDescent="0.4">
      <c r="A35" s="51" t="s">
        <v>183</v>
      </c>
      <c r="B35" s="145">
        <v>72</v>
      </c>
      <c r="C35" s="37">
        <f t="shared" si="2"/>
        <v>0.192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">
      <c r="A36" s="51" t="s">
        <v>184</v>
      </c>
      <c r="B36" s="145">
        <v>54</v>
      </c>
      <c r="C36" s="37">
        <f t="shared" si="2"/>
        <v>0.14399999999999999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">
      <c r="A37" s="51" t="s">
        <v>186</v>
      </c>
      <c r="B37" s="145">
        <v>37</v>
      </c>
      <c r="C37" s="37">
        <f t="shared" si="2"/>
        <v>9.8666666666666666E-2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">
      <c r="A38" s="51" t="s">
        <v>187</v>
      </c>
      <c r="B38" s="145">
        <v>17</v>
      </c>
      <c r="C38" s="37">
        <f t="shared" si="2"/>
        <v>4.5333333333333337E-2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">
      <c r="A39" s="51" t="s">
        <v>188</v>
      </c>
      <c r="B39" s="145">
        <v>5</v>
      </c>
      <c r="C39" s="37">
        <f t="shared" si="2"/>
        <v>1.3333333333333334E-2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">
      <c r="A40" s="51" t="s">
        <v>189</v>
      </c>
      <c r="B40" s="145">
        <v>7</v>
      </c>
      <c r="C40" s="37">
        <f t="shared" si="2"/>
        <v>1.8666666666666668E-2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">
      <c r="A41" s="51" t="s">
        <v>190</v>
      </c>
      <c r="B41" s="145">
        <v>0</v>
      </c>
      <c r="C41" s="37">
        <f t="shared" si="2"/>
        <v>0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">
      <c r="A42" s="51" t="s">
        <v>191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">
      <c r="A43" s="51" t="s">
        <v>192</v>
      </c>
      <c r="B43" s="145">
        <v>1</v>
      </c>
      <c r="C43" s="37">
        <f t="shared" si="2"/>
        <v>2.6666666666666666E-3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">
      <c r="A44" s="53" t="s">
        <v>193</v>
      </c>
      <c r="B44" s="140">
        <v>5</v>
      </c>
      <c r="C44" s="40">
        <f t="shared" si="2"/>
        <v>1.3333333333333334E-2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500.59999999999997</v>
      </c>
    </row>
    <row r="67" spans="11:12" x14ac:dyDescent="0.4">
      <c r="K67" s="36">
        <v>65</v>
      </c>
      <c r="L67" s="95">
        <v>518.9</v>
      </c>
    </row>
    <row r="68" spans="11:12" x14ac:dyDescent="0.4">
      <c r="K68" s="36">
        <v>66</v>
      </c>
      <c r="L68" s="95">
        <v>538.1</v>
      </c>
    </row>
    <row r="69" spans="11:12" x14ac:dyDescent="0.4">
      <c r="K69" s="36">
        <v>67</v>
      </c>
      <c r="L69" s="95">
        <v>538.70000000000005</v>
      </c>
    </row>
    <row r="70" spans="11:12" x14ac:dyDescent="0.4">
      <c r="K70" s="36">
        <v>68</v>
      </c>
      <c r="L70" s="95">
        <v>503.50000000000006</v>
      </c>
    </row>
    <row r="71" spans="11:12" x14ac:dyDescent="0.4">
      <c r="K71" s="36">
        <v>69</v>
      </c>
      <c r="L71" s="95">
        <v>544.1</v>
      </c>
    </row>
    <row r="72" spans="11:12" x14ac:dyDescent="0.4">
      <c r="K72" s="36">
        <v>70</v>
      </c>
      <c r="L72" s="95">
        <v>576.5</v>
      </c>
    </row>
    <row r="73" spans="11:12" x14ac:dyDescent="0.4">
      <c r="K73" s="36">
        <v>71</v>
      </c>
      <c r="L73" s="95">
        <v>544.79999999999995</v>
      </c>
    </row>
    <row r="74" spans="11:12" x14ac:dyDescent="0.4">
      <c r="K74" s="36">
        <v>72</v>
      </c>
      <c r="L74" s="95">
        <v>502.09999999999997</v>
      </c>
    </row>
    <row r="75" spans="11:12" x14ac:dyDescent="0.4">
      <c r="K75" s="36">
        <v>73</v>
      </c>
      <c r="L75" s="95">
        <v>526.19999999999993</v>
      </c>
    </row>
    <row r="76" spans="11:12" x14ac:dyDescent="0.4">
      <c r="K76" s="36">
        <v>74</v>
      </c>
      <c r="L76" s="95">
        <v>550.99999999999989</v>
      </c>
    </row>
    <row r="77" spans="11:12" x14ac:dyDescent="0.4">
      <c r="K77" s="36">
        <v>75</v>
      </c>
      <c r="L77" s="95">
        <v>576.49999999999989</v>
      </c>
    </row>
    <row r="78" spans="11:12" x14ac:dyDescent="0.4">
      <c r="K78" s="36">
        <v>76</v>
      </c>
      <c r="L78" s="95">
        <v>601.29999999999984</v>
      </c>
    </row>
    <row r="79" spans="11:12" x14ac:dyDescent="0.4">
      <c r="K79" s="36">
        <v>77</v>
      </c>
      <c r="L79" s="95">
        <v>576.29999999999984</v>
      </c>
    </row>
    <row r="80" spans="11:12" x14ac:dyDescent="0.4">
      <c r="K80" s="36">
        <v>78</v>
      </c>
      <c r="L80" s="95">
        <v>546.79999999999984</v>
      </c>
    </row>
    <row r="81" spans="11:12" x14ac:dyDescent="0.4">
      <c r="K81" s="36">
        <v>79</v>
      </c>
      <c r="L81" s="95">
        <v>579.29999999999984</v>
      </c>
    </row>
    <row r="82" spans="11:12" x14ac:dyDescent="0.4">
      <c r="K82" s="36">
        <v>80</v>
      </c>
      <c r="L82" s="95">
        <v>556.89999999999986</v>
      </c>
    </row>
    <row r="83" spans="11:12" x14ac:dyDescent="0.4">
      <c r="K83" s="36">
        <v>81</v>
      </c>
      <c r="L83" s="95">
        <v>572.09999999999991</v>
      </c>
    </row>
    <row r="84" spans="11:12" x14ac:dyDescent="0.4">
      <c r="K84" s="36">
        <v>82</v>
      </c>
      <c r="L84" s="95">
        <v>521.59999999999991</v>
      </c>
    </row>
    <row r="85" spans="11:12" x14ac:dyDescent="0.4">
      <c r="K85" s="36">
        <v>83</v>
      </c>
      <c r="L85" s="95">
        <v>548.39999999999986</v>
      </c>
    </row>
    <row r="86" spans="11:12" x14ac:dyDescent="0.4">
      <c r="K86" s="36">
        <v>84</v>
      </c>
      <c r="L86" s="95">
        <v>546.59999999999991</v>
      </c>
    </row>
    <row r="87" spans="11:12" x14ac:dyDescent="0.4">
      <c r="K87" s="36">
        <v>85</v>
      </c>
      <c r="L87" s="95">
        <v>566.49999999999989</v>
      </c>
    </row>
    <row r="88" spans="11:12" x14ac:dyDescent="0.4">
      <c r="K88" s="36">
        <v>86</v>
      </c>
      <c r="L88" s="95">
        <v>529.79999999999984</v>
      </c>
    </row>
    <row r="89" spans="11:12" x14ac:dyDescent="0.4">
      <c r="K89" s="36">
        <v>87</v>
      </c>
      <c r="L89" s="95">
        <v>550.39999999999986</v>
      </c>
    </row>
    <row r="90" spans="11:12" x14ac:dyDescent="0.4">
      <c r="K90" s="36">
        <v>88</v>
      </c>
      <c r="L90" s="95">
        <v>554.39999999999986</v>
      </c>
    </row>
    <row r="91" spans="11:12" x14ac:dyDescent="0.4">
      <c r="K91" s="36">
        <v>89</v>
      </c>
      <c r="L91" s="95">
        <v>570.89999999999986</v>
      </c>
    </row>
    <row r="92" spans="11:12" x14ac:dyDescent="0.4">
      <c r="K92" s="36">
        <v>90</v>
      </c>
      <c r="L92" s="95">
        <v>531.89999999999986</v>
      </c>
    </row>
    <row r="93" spans="11:12" x14ac:dyDescent="0.4">
      <c r="K93" s="36">
        <v>91</v>
      </c>
      <c r="L93" s="95">
        <v>486.29999999999984</v>
      </c>
    </row>
    <row r="94" spans="11:12" x14ac:dyDescent="0.4">
      <c r="K94" s="36">
        <v>92</v>
      </c>
      <c r="L94" s="95">
        <v>520.39999999999986</v>
      </c>
    </row>
    <row r="95" spans="11:12" x14ac:dyDescent="0.4">
      <c r="K95" s="36">
        <v>93</v>
      </c>
      <c r="L95" s="95">
        <v>548.09999999999991</v>
      </c>
    </row>
    <row r="96" spans="11:12" x14ac:dyDescent="0.4">
      <c r="K96" s="36">
        <v>94</v>
      </c>
      <c r="L96" s="95">
        <v>583.99999999999989</v>
      </c>
    </row>
    <row r="97" spans="11:12" x14ac:dyDescent="0.4">
      <c r="K97" s="36">
        <v>95</v>
      </c>
      <c r="L97" s="95">
        <v>605.69999999999993</v>
      </c>
    </row>
    <row r="98" spans="11:12" x14ac:dyDescent="0.4">
      <c r="K98" s="36">
        <v>96</v>
      </c>
      <c r="L98" s="95">
        <v>625.19999999999993</v>
      </c>
    </row>
    <row r="99" spans="11:12" x14ac:dyDescent="0.4">
      <c r="K99" s="36">
        <v>97</v>
      </c>
      <c r="L99" s="95">
        <v>638.79999999999995</v>
      </c>
    </row>
    <row r="100" spans="11:12" x14ac:dyDescent="0.4">
      <c r="K100" s="36">
        <v>98</v>
      </c>
      <c r="L100" s="95">
        <v>680.69999999999993</v>
      </c>
    </row>
    <row r="101" spans="11:12" x14ac:dyDescent="0.4">
      <c r="K101" s="36">
        <v>99</v>
      </c>
      <c r="L101" s="95">
        <v>664.19999999999993</v>
      </c>
    </row>
    <row r="102" spans="11:12" x14ac:dyDescent="0.4">
      <c r="K102" s="36">
        <v>100</v>
      </c>
      <c r="L102" s="95">
        <v>713.19999999999993</v>
      </c>
    </row>
    <row r="103" spans="11:12" x14ac:dyDescent="0.4">
      <c r="K103" s="36">
        <v>101</v>
      </c>
      <c r="L103" s="95">
        <v>757.59999999999991</v>
      </c>
    </row>
    <row r="104" spans="11:12" x14ac:dyDescent="0.4">
      <c r="K104" s="36">
        <v>102</v>
      </c>
      <c r="L104" s="95">
        <v>717.39999999999986</v>
      </c>
    </row>
    <row r="105" spans="11:12" x14ac:dyDescent="0.4">
      <c r="K105" s="36">
        <v>103</v>
      </c>
      <c r="L105" s="95">
        <v>767.39999999999986</v>
      </c>
    </row>
    <row r="106" spans="11:12" x14ac:dyDescent="0.4">
      <c r="K106" s="36">
        <v>104</v>
      </c>
      <c r="L106" s="95">
        <v>891.49999999999989</v>
      </c>
    </row>
    <row r="107" spans="11:12" x14ac:dyDescent="0.4">
      <c r="K107" s="36">
        <v>105</v>
      </c>
      <c r="L107" s="95">
        <v>898.49999999999989</v>
      </c>
    </row>
    <row r="108" spans="11:12" x14ac:dyDescent="0.4">
      <c r="K108" s="36">
        <v>106</v>
      </c>
      <c r="L108" s="95">
        <v>884.39999999999986</v>
      </c>
    </row>
    <row r="109" spans="11:12" x14ac:dyDescent="0.4">
      <c r="K109" s="36">
        <v>107</v>
      </c>
      <c r="L109" s="95">
        <v>954.99999999999989</v>
      </c>
    </row>
    <row r="110" spans="11:12" x14ac:dyDescent="0.4">
      <c r="K110" s="36">
        <v>108</v>
      </c>
      <c r="L110" s="95">
        <v>923.99999999999989</v>
      </c>
    </row>
    <row r="111" spans="11:12" x14ac:dyDescent="0.4">
      <c r="K111" s="36">
        <v>109</v>
      </c>
      <c r="L111" s="95">
        <v>900.39999999999986</v>
      </c>
    </row>
    <row r="112" spans="11:12" x14ac:dyDescent="0.4">
      <c r="K112" s="36">
        <v>110</v>
      </c>
      <c r="L112" s="95">
        <v>903.59999999999991</v>
      </c>
    </row>
    <row r="113" spans="11:12" x14ac:dyDescent="0.4">
      <c r="K113" s="36">
        <v>111</v>
      </c>
      <c r="L113" s="95">
        <v>915.09999999999991</v>
      </c>
    </row>
    <row r="114" spans="11:12" x14ac:dyDescent="0.4">
      <c r="K114" s="36">
        <v>112</v>
      </c>
      <c r="L114" s="95">
        <v>985.69999999999993</v>
      </c>
    </row>
    <row r="115" spans="11:12" x14ac:dyDescent="0.4">
      <c r="K115" s="36">
        <v>113</v>
      </c>
      <c r="L115" s="95">
        <v>991.49999999999989</v>
      </c>
    </row>
    <row r="116" spans="11:12" x14ac:dyDescent="0.4">
      <c r="K116" s="36">
        <v>114</v>
      </c>
      <c r="L116" s="95">
        <v>1038.3999999999999</v>
      </c>
    </row>
    <row r="117" spans="11:12" x14ac:dyDescent="0.4">
      <c r="K117" s="36">
        <v>115</v>
      </c>
      <c r="L117" s="95">
        <v>1045.8</v>
      </c>
    </row>
    <row r="118" spans="11:12" x14ac:dyDescent="0.4">
      <c r="K118" s="36">
        <v>116</v>
      </c>
      <c r="L118" s="95">
        <v>1047.2</v>
      </c>
    </row>
    <row r="119" spans="11:12" x14ac:dyDescent="0.4">
      <c r="K119" s="36">
        <v>117</v>
      </c>
      <c r="L119" s="95">
        <v>1043.3</v>
      </c>
    </row>
    <row r="120" spans="11:12" x14ac:dyDescent="0.4">
      <c r="K120" s="36">
        <v>118</v>
      </c>
      <c r="L120" s="95">
        <v>1060.0999999999999</v>
      </c>
    </row>
    <row r="121" spans="11:12" x14ac:dyDescent="0.4">
      <c r="K121" s="36">
        <v>119</v>
      </c>
      <c r="L121" s="95">
        <v>1067.8</v>
      </c>
    </row>
    <row r="122" spans="11:12" x14ac:dyDescent="0.4">
      <c r="K122" s="36">
        <v>120</v>
      </c>
      <c r="L122" s="95">
        <v>1027</v>
      </c>
    </row>
    <row r="123" spans="11:12" x14ac:dyDescent="0.4">
      <c r="K123" s="36">
        <v>121</v>
      </c>
      <c r="L123" s="95">
        <v>1070.7</v>
      </c>
    </row>
    <row r="124" spans="11:12" x14ac:dyDescent="0.4">
      <c r="K124" s="36">
        <v>122</v>
      </c>
      <c r="L124" s="95">
        <v>1071.8</v>
      </c>
    </row>
    <row r="125" spans="11:12" x14ac:dyDescent="0.4">
      <c r="K125" s="36">
        <v>123</v>
      </c>
      <c r="L125" s="95">
        <v>1110.2</v>
      </c>
    </row>
    <row r="126" spans="11:12" x14ac:dyDescent="0.4">
      <c r="K126" s="36">
        <v>124</v>
      </c>
      <c r="L126" s="95">
        <v>1077.4000000000001</v>
      </c>
    </row>
    <row r="127" spans="11:12" x14ac:dyDescent="0.4">
      <c r="K127" s="36">
        <v>125</v>
      </c>
      <c r="L127" s="95">
        <v>1103.7</v>
      </c>
    </row>
    <row r="128" spans="11:12" x14ac:dyDescent="0.4">
      <c r="K128" s="36">
        <v>126</v>
      </c>
      <c r="L128" s="95">
        <v>1125.2</v>
      </c>
    </row>
    <row r="129" spans="11:12" x14ac:dyDescent="0.4">
      <c r="K129" s="36">
        <v>127</v>
      </c>
      <c r="L129" s="95">
        <v>1116.5</v>
      </c>
    </row>
    <row r="130" spans="11:12" x14ac:dyDescent="0.4">
      <c r="K130" s="36">
        <v>128</v>
      </c>
      <c r="L130" s="95">
        <v>1093.9000000000001</v>
      </c>
    </row>
    <row r="131" spans="11:12" x14ac:dyDescent="0.4">
      <c r="K131" s="36">
        <v>129</v>
      </c>
      <c r="L131" s="95">
        <v>1098.6000000000001</v>
      </c>
    </row>
    <row r="132" spans="11:12" x14ac:dyDescent="0.4">
      <c r="K132" s="36">
        <v>130</v>
      </c>
      <c r="L132" s="95">
        <v>1120.8000000000002</v>
      </c>
    </row>
    <row r="133" spans="11:12" x14ac:dyDescent="0.4">
      <c r="K133" s="36">
        <v>131</v>
      </c>
      <c r="L133" s="95">
        <v>1072.3000000000002</v>
      </c>
    </row>
    <row r="134" spans="11:12" x14ac:dyDescent="0.4">
      <c r="K134" s="36">
        <v>132</v>
      </c>
      <c r="L134" s="95">
        <v>1138.5000000000002</v>
      </c>
    </row>
    <row r="135" spans="11:12" x14ac:dyDescent="0.4">
      <c r="K135" s="36">
        <v>133</v>
      </c>
      <c r="L135" s="95">
        <v>1192.7000000000003</v>
      </c>
    </row>
    <row r="136" spans="11:12" x14ac:dyDescent="0.4">
      <c r="K136" s="36">
        <v>134</v>
      </c>
      <c r="L136" s="95">
        <v>1208.4000000000003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3C534-FC5C-4F1B-B78B-B15EDF6FED34}">
  <sheetPr codeName="Sheet11"/>
  <dimension ref="A1:Q12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122</v>
      </c>
      <c r="C2" s="155"/>
      <c r="E2" s="58" t="s">
        <v>66</v>
      </c>
      <c r="F2" s="55" t="s">
        <v>22</v>
      </c>
      <c r="G2" s="43">
        <v>264</v>
      </c>
      <c r="H2" s="128">
        <f>IF(B$15=0,0,G2/B$15)</f>
        <v>0.83544303797468356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-1330.5785123966941</v>
      </c>
      <c r="P2" s="114">
        <v>121</v>
      </c>
      <c r="Q2" s="98">
        <v>-161000</v>
      </c>
    </row>
    <row r="3" spans="1:17" x14ac:dyDescent="0.4">
      <c r="A3" s="51" t="s">
        <v>8</v>
      </c>
      <c r="B3" s="156">
        <v>1025</v>
      </c>
      <c r="C3" s="157"/>
      <c r="E3" s="59" t="s">
        <v>72</v>
      </c>
      <c r="F3" s="56" t="s">
        <v>27</v>
      </c>
      <c r="G3" s="44">
        <v>183</v>
      </c>
      <c r="H3" s="129">
        <f>IF(B$15=0,0,G3/B$15)</f>
        <v>0.57911392405063289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1721.0084033613446</v>
      </c>
      <c r="P3" s="115">
        <v>119</v>
      </c>
      <c r="Q3" s="99">
        <v>204800</v>
      </c>
    </row>
    <row r="4" spans="1:17" x14ac:dyDescent="0.4">
      <c r="A4" s="51" t="s">
        <v>6</v>
      </c>
      <c r="B4" s="158">
        <v>127.69999999999979</v>
      </c>
      <c r="C4" s="159"/>
      <c r="E4" s="59" t="s">
        <v>166</v>
      </c>
      <c r="F4" s="56" t="s">
        <v>167</v>
      </c>
      <c r="G4" s="44">
        <v>125</v>
      </c>
      <c r="H4" s="129">
        <f>IF(B$15=0,0,G4/B$15)</f>
        <v>0.39556962025316456</v>
      </c>
      <c r="I4" s="90">
        <v>4</v>
      </c>
      <c r="K4" s="36">
        <v>2</v>
      </c>
      <c r="L4" s="95">
        <v>-34.299999999999997</v>
      </c>
      <c r="N4" s="111" t="s">
        <v>132</v>
      </c>
      <c r="O4" s="118">
        <f t="shared" si="0"/>
        <v>-99.082568807339456</v>
      </c>
      <c r="P4" s="115">
        <v>109</v>
      </c>
      <c r="Q4" s="99">
        <v>-10800</v>
      </c>
    </row>
    <row r="5" spans="1:17" x14ac:dyDescent="0.4">
      <c r="A5" s="51" t="s">
        <v>7</v>
      </c>
      <c r="B5" s="160">
        <f>IF(B$2=0,0,B$4/B$2)</f>
        <v>1.0467213114754081</v>
      </c>
      <c r="C5" s="161"/>
      <c r="E5" s="59" t="s">
        <v>64</v>
      </c>
      <c r="F5" s="56" t="s">
        <v>20</v>
      </c>
      <c r="G5" s="44">
        <v>120</v>
      </c>
      <c r="H5" s="129">
        <f>IF(B$15=0,0,G5/B$15)</f>
        <v>0.379746835443038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669.23076923076928</v>
      </c>
      <c r="P5" s="115">
        <v>104</v>
      </c>
      <c r="Q5" s="99">
        <v>69600</v>
      </c>
    </row>
    <row r="6" spans="1:17" x14ac:dyDescent="0.4">
      <c r="A6" s="51" t="s">
        <v>1</v>
      </c>
      <c r="B6" s="150">
        <f>IF(B$2=0,0,(B$7*1+B$8*2+B$9*3)/B$2)</f>
        <v>1.9426229508196722</v>
      </c>
      <c r="C6" s="151"/>
      <c r="E6" s="59" t="s">
        <v>68</v>
      </c>
      <c r="F6" s="56" t="s">
        <v>12</v>
      </c>
      <c r="G6" s="44">
        <v>85</v>
      </c>
      <c r="H6" s="129">
        <f>IF(B$15=0,0,G6/B$15)</f>
        <v>0.26898734177215189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-1082.1052631578948</v>
      </c>
      <c r="P6" s="115">
        <v>95</v>
      </c>
      <c r="Q6" s="99">
        <v>-102800</v>
      </c>
    </row>
    <row r="7" spans="1:17" x14ac:dyDescent="0.4">
      <c r="A7" s="51" t="s">
        <v>2</v>
      </c>
      <c r="B7" s="44">
        <v>42</v>
      </c>
      <c r="C7" s="37">
        <f t="shared" ref="C7:C10" si="1">IF(B$2=0,0,B7/B$2)</f>
        <v>0.34426229508196721</v>
      </c>
      <c r="E7" s="59" t="s">
        <v>67</v>
      </c>
      <c r="F7" s="56" t="s">
        <v>23</v>
      </c>
      <c r="G7" s="44">
        <v>69</v>
      </c>
      <c r="H7" s="129">
        <f>IF(B$15=0,0,G7/B$15)</f>
        <v>0.21835443037974683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1446.9135802469136</v>
      </c>
      <c r="P7" s="116">
        <v>81</v>
      </c>
      <c r="Q7" s="100">
        <v>117200</v>
      </c>
    </row>
    <row r="8" spans="1:17" x14ac:dyDescent="0.4">
      <c r="A8" s="51" t="s">
        <v>3</v>
      </c>
      <c r="B8" s="44">
        <v>45</v>
      </c>
      <c r="C8" s="37">
        <f t="shared" si="1"/>
        <v>0.36885245901639346</v>
      </c>
      <c r="E8" s="59" t="s">
        <v>89</v>
      </c>
      <c r="F8" s="56" t="s">
        <v>44</v>
      </c>
      <c r="G8" s="44">
        <v>40</v>
      </c>
      <c r="H8" s="129">
        <f>IF(B$15=0,0,G8/B$15)</f>
        <v>0.12658227848101267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35</v>
      </c>
      <c r="C9" s="38">
        <f t="shared" si="1"/>
        <v>0.28688524590163933</v>
      </c>
      <c r="E9" s="59" t="s">
        <v>69</v>
      </c>
      <c r="F9" s="56" t="s">
        <v>24</v>
      </c>
      <c r="G9" s="44">
        <v>37</v>
      </c>
      <c r="H9" s="129">
        <f>IF(B$15=0,0,G9/B$15)</f>
        <v>0.11708860759493671</v>
      </c>
      <c r="I9" s="90">
        <v>8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16</v>
      </c>
      <c r="C10" s="40">
        <f t="shared" si="1"/>
        <v>0.13114754098360656</v>
      </c>
      <c r="E10" s="59" t="s">
        <v>71</v>
      </c>
      <c r="F10" s="56" t="s">
        <v>26</v>
      </c>
      <c r="G10" s="44">
        <v>29</v>
      </c>
      <c r="H10" s="129">
        <f>IF(B$15=0,0,G10/B$15)</f>
        <v>9.1772151898734181E-2</v>
      </c>
      <c r="I10" s="90">
        <v>6</v>
      </c>
      <c r="K10" s="36">
        <v>8</v>
      </c>
      <c r="L10" s="95">
        <v>-56.79999999999999</v>
      </c>
      <c r="N10" s="110" t="s">
        <v>157</v>
      </c>
      <c r="O10" s="120">
        <f>IF(P10=0,0,Q10/P10)</f>
        <v>1.3593750000000007</v>
      </c>
      <c r="P10" s="114">
        <v>32</v>
      </c>
      <c r="Q10" s="102">
        <v>43.500000000000021</v>
      </c>
    </row>
    <row r="11" spans="1:17" x14ac:dyDescent="0.4">
      <c r="A11" s="54" t="s">
        <v>121</v>
      </c>
      <c r="B11" s="47">
        <v>234</v>
      </c>
      <c r="C11" s="42">
        <f>IF(B$3=0,0,B11/B$3)</f>
        <v>0.22829268292682928</v>
      </c>
      <c r="E11" s="59" t="s">
        <v>65</v>
      </c>
      <c r="F11" s="56" t="s">
        <v>21</v>
      </c>
      <c r="G11" s="44">
        <v>27</v>
      </c>
      <c r="H11" s="129">
        <f>IF(B$15=0,0,G11/B$15)</f>
        <v>8.5443037974683542E-2</v>
      </c>
      <c r="I11" s="90">
        <v>8</v>
      </c>
      <c r="K11" s="36">
        <v>9</v>
      </c>
      <c r="L11" s="95">
        <v>-83.699999999999989</v>
      </c>
      <c r="N11" s="111" t="s">
        <v>158</v>
      </c>
      <c r="O11" s="121">
        <f>IF(P11=0,0,Q11/P11)</f>
        <v>7.4820512820512839</v>
      </c>
      <c r="P11" s="115">
        <v>39</v>
      </c>
      <c r="Q11" s="103">
        <v>291.80000000000007</v>
      </c>
    </row>
    <row r="12" spans="1:17" x14ac:dyDescent="0.4">
      <c r="A12" s="51" t="s">
        <v>118</v>
      </c>
      <c r="B12" s="44">
        <v>321</v>
      </c>
      <c r="C12" s="37">
        <f>IF(B$3=0,0,B12/B$3)</f>
        <v>0.31317073170731707</v>
      </c>
      <c r="E12" s="59" t="s">
        <v>70</v>
      </c>
      <c r="F12" s="56" t="s">
        <v>25</v>
      </c>
      <c r="G12" s="44">
        <v>27</v>
      </c>
      <c r="H12" s="129">
        <f>IF(B$15=0,0,G12/B$15)</f>
        <v>8.5443037974683542E-2</v>
      </c>
      <c r="I12" s="90">
        <v>8</v>
      </c>
      <c r="K12" s="36">
        <v>10</v>
      </c>
      <c r="L12" s="95">
        <v>-78.399999999999991</v>
      </c>
      <c r="N12" s="112" t="s">
        <v>159</v>
      </c>
      <c r="O12" s="122">
        <f>IF(P12=0,0,Q12/P12)</f>
        <v>-4.0705882352941183</v>
      </c>
      <c r="P12" s="116">
        <v>51</v>
      </c>
      <c r="Q12" s="104">
        <v>-207.60000000000002</v>
      </c>
    </row>
    <row r="13" spans="1:17" x14ac:dyDescent="0.4">
      <c r="A13" s="50" t="s">
        <v>123</v>
      </c>
      <c r="B13" s="43">
        <f>B19</f>
        <v>118</v>
      </c>
      <c r="C13" s="35">
        <f>IF(B$11=0,0,B13/B$11)</f>
        <v>0.50427350427350426</v>
      </c>
      <c r="E13" s="59" t="s">
        <v>86</v>
      </c>
      <c r="F13" s="56" t="s">
        <v>41</v>
      </c>
      <c r="G13" s="44">
        <v>21</v>
      </c>
      <c r="H13" s="129">
        <f>IF(B$15=0,0,G13/B$15)</f>
        <v>6.6455696202531639E-2</v>
      </c>
      <c r="I13" s="90">
        <v>4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123</v>
      </c>
      <c r="C14" s="35">
        <f>IF(B$12=0,0,B14/B$12)</f>
        <v>0.38317757009345793</v>
      </c>
      <c r="E14" s="59" t="s">
        <v>83</v>
      </c>
      <c r="F14" s="56" t="s">
        <v>38</v>
      </c>
      <c r="G14" s="44">
        <v>19</v>
      </c>
      <c r="H14" s="129">
        <f>IF(B$15=0,0,G14/B$15)</f>
        <v>6.0126582278481014E-2</v>
      </c>
      <c r="I14" s="90">
        <v>5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316</v>
      </c>
      <c r="C15" s="35">
        <f>IF(B$3=0,0,B15/B$3)</f>
        <v>0.30829268292682926</v>
      </c>
      <c r="E15" s="59" t="s">
        <v>78</v>
      </c>
      <c r="F15" s="56" t="s">
        <v>33</v>
      </c>
      <c r="G15" s="44">
        <v>9</v>
      </c>
      <c r="H15" s="129">
        <f>IF(B$15=0,0,G15/B$15)</f>
        <v>2.8481012658227847E-2</v>
      </c>
      <c r="I15" s="90">
        <v>4</v>
      </c>
      <c r="K15" s="36">
        <v>13</v>
      </c>
      <c r="L15" s="95">
        <v>-86.8</v>
      </c>
      <c r="N15" s="110" t="s">
        <v>212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1" t="s">
        <v>13</v>
      </c>
      <c r="B16" s="44">
        <v>191</v>
      </c>
      <c r="C16" s="37">
        <f>IF(B$3=0,0,B16/B$3)</f>
        <v>0.18634146341463415</v>
      </c>
      <c r="E16" s="59" t="s">
        <v>91</v>
      </c>
      <c r="F16" s="56" t="s">
        <v>46</v>
      </c>
      <c r="G16" s="44">
        <v>9</v>
      </c>
      <c r="H16" s="129">
        <f>IF(B$15=0,0,G16/B$15)</f>
        <v>2.8481012658227847E-2</v>
      </c>
      <c r="I16" s="90">
        <v>1</v>
      </c>
      <c r="K16" s="36">
        <v>14</v>
      </c>
      <c r="L16" s="95">
        <v>-138.4</v>
      </c>
      <c r="N16" s="111" t="s">
        <v>202</v>
      </c>
      <c r="O16" s="121">
        <f>IF(P16=0,0,Q16/P16)</f>
        <v>22.276923076923079</v>
      </c>
      <c r="P16" s="115">
        <v>13</v>
      </c>
      <c r="Q16" s="103">
        <v>289.60000000000002</v>
      </c>
    </row>
    <row r="17" spans="1:17" x14ac:dyDescent="0.4">
      <c r="A17" s="51" t="s">
        <v>12</v>
      </c>
      <c r="B17" s="44">
        <v>128</v>
      </c>
      <c r="C17" s="37">
        <f>IF(B$15=0,0,B17/B$15)</f>
        <v>0.4050632911392405</v>
      </c>
      <c r="E17" s="59" t="s">
        <v>81</v>
      </c>
      <c r="F17" s="56" t="s">
        <v>36</v>
      </c>
      <c r="G17" s="44">
        <v>8</v>
      </c>
      <c r="H17" s="129">
        <f>IF(B$15=0,0,G17/B$15)</f>
        <v>2.5316455696202531E-2</v>
      </c>
      <c r="I17" s="90">
        <v>2</v>
      </c>
      <c r="K17" s="36">
        <v>15</v>
      </c>
      <c r="L17" s="95">
        <v>-144.30000000000001</v>
      </c>
      <c r="N17" s="111" t="s">
        <v>172</v>
      </c>
      <c r="O17" s="121">
        <f>IF(P17=0,0,Q17/P17)</f>
        <v>16.464102564102557</v>
      </c>
      <c r="P17" s="115">
        <v>39</v>
      </c>
      <c r="Q17" s="103">
        <v>642.0999999999998</v>
      </c>
    </row>
    <row r="18" spans="1:17" x14ac:dyDescent="0.4">
      <c r="A18" s="51" t="s">
        <v>11</v>
      </c>
      <c r="B18" s="44">
        <v>188</v>
      </c>
      <c r="C18" s="37">
        <f>IF(B$15=0,0,B18/B$15)</f>
        <v>0.59493670886075944</v>
      </c>
      <c r="E18" s="59" t="s">
        <v>79</v>
      </c>
      <c r="F18" s="56" t="s">
        <v>34</v>
      </c>
      <c r="G18" s="44">
        <v>6</v>
      </c>
      <c r="H18" s="129">
        <f>IF(B$15=0,0,G18/B$15)</f>
        <v>1.8987341772151899E-2</v>
      </c>
      <c r="I18" s="90">
        <v>3</v>
      </c>
      <c r="K18" s="36">
        <v>16</v>
      </c>
      <c r="L18" s="95">
        <v>-187.3</v>
      </c>
      <c r="N18" s="111" t="s">
        <v>201</v>
      </c>
      <c r="O18" s="121">
        <f>IF(P18=0,0,Q18/P18)</f>
        <v>13.5</v>
      </c>
      <c r="P18" s="115">
        <v>5</v>
      </c>
      <c r="Q18" s="103">
        <v>67.5</v>
      </c>
    </row>
    <row r="19" spans="1:17" x14ac:dyDescent="0.4">
      <c r="A19" s="51" t="s">
        <v>197</v>
      </c>
      <c r="B19" s="44">
        <v>118</v>
      </c>
      <c r="C19" s="37">
        <f>IF(B$15=0,0,B19/B$15)</f>
        <v>0.37341772151898733</v>
      </c>
      <c r="E19" s="59" t="s">
        <v>92</v>
      </c>
      <c r="F19" s="56" t="s">
        <v>47</v>
      </c>
      <c r="G19" s="44">
        <v>3</v>
      </c>
      <c r="H19" s="129">
        <f>IF(B$15=0,0,G19/B$15)</f>
        <v>9.4936708860759497E-3</v>
      </c>
      <c r="I19" s="90">
        <v>2</v>
      </c>
      <c r="K19" s="36">
        <v>17</v>
      </c>
      <c r="L19" s="95">
        <v>-179.70000000000002</v>
      </c>
      <c r="N19" s="111" t="s">
        <v>170</v>
      </c>
      <c r="O19" s="121">
        <f>IF(P19=0,0,Q19/P19)</f>
        <v>7.6833333333333389</v>
      </c>
      <c r="P19" s="115">
        <v>36</v>
      </c>
      <c r="Q19" s="103">
        <v>276.60000000000019</v>
      </c>
    </row>
    <row r="20" spans="1:17" x14ac:dyDescent="0.4">
      <c r="A20" s="51" t="s">
        <v>195</v>
      </c>
      <c r="B20" s="44">
        <v>123</v>
      </c>
      <c r="C20" s="37">
        <f>IF(B$15=0,0,B20/B$15)</f>
        <v>0.38924050632911394</v>
      </c>
      <c r="E20" s="59" t="s">
        <v>162</v>
      </c>
      <c r="F20" s="56" t="s">
        <v>163</v>
      </c>
      <c r="G20" s="44">
        <v>3</v>
      </c>
      <c r="H20" s="129">
        <f>IF(B$15=0,0,G20/B$15)</f>
        <v>9.4936708860759497E-3</v>
      </c>
      <c r="I20" s="90">
        <v>7</v>
      </c>
      <c r="K20" s="36">
        <v>18</v>
      </c>
      <c r="L20" s="95">
        <v>-112.90000000000002</v>
      </c>
      <c r="N20" s="111" t="s">
        <v>161</v>
      </c>
      <c r="O20" s="121">
        <f>IF(P20=0,0,Q20/P20)</f>
        <v>6.1159999999999988</v>
      </c>
      <c r="P20" s="115">
        <v>25</v>
      </c>
      <c r="Q20" s="103">
        <v>152.89999999999998</v>
      </c>
    </row>
    <row r="21" spans="1:17" x14ac:dyDescent="0.4">
      <c r="A21" s="51" t="s">
        <v>196</v>
      </c>
      <c r="B21" s="44">
        <v>75</v>
      </c>
      <c r="C21" s="37">
        <f>IF(B$15=0,0,B21/B$15)</f>
        <v>0.23734177215189872</v>
      </c>
      <c r="E21" s="59" t="s">
        <v>74</v>
      </c>
      <c r="F21" s="56" t="s">
        <v>29</v>
      </c>
      <c r="G21" s="44">
        <v>2</v>
      </c>
      <c r="H21" s="129">
        <f>IF(B$15=0,0,G21/B$15)</f>
        <v>6.3291139240506328E-3</v>
      </c>
      <c r="I21" s="90">
        <v>3</v>
      </c>
      <c r="K21" s="36">
        <v>19</v>
      </c>
      <c r="L21" s="95">
        <v>-162.40000000000003</v>
      </c>
      <c r="N21" s="111" t="s">
        <v>171</v>
      </c>
      <c r="O21" s="121">
        <f>IF(P21=0,0,Q21/P21)</f>
        <v>-0.33499999999999791</v>
      </c>
      <c r="P21" s="115">
        <v>40</v>
      </c>
      <c r="Q21" s="103">
        <v>-13.399999999999917</v>
      </c>
    </row>
    <row r="22" spans="1:17" x14ac:dyDescent="0.4">
      <c r="A22" s="51" t="s">
        <v>5</v>
      </c>
      <c r="B22" s="48">
        <f>IF(B$15=0,0,C22/B$15)</f>
        <v>8449.683544303798</v>
      </c>
      <c r="C22" s="39">
        <v>2670100</v>
      </c>
      <c r="E22" s="59" t="s">
        <v>75</v>
      </c>
      <c r="F22" s="56" t="s">
        <v>30</v>
      </c>
      <c r="G22" s="44">
        <v>2</v>
      </c>
      <c r="H22" s="129">
        <f>IF(B$15=0,0,G22/B$15)</f>
        <v>6.3291139240506328E-3</v>
      </c>
      <c r="I22" s="90">
        <v>6</v>
      </c>
      <c r="K22" s="36">
        <v>20</v>
      </c>
      <c r="L22" s="95">
        <v>-96.000000000000028</v>
      </c>
      <c r="N22" s="111" t="s">
        <v>126</v>
      </c>
      <c r="O22" s="121">
        <f>IF(P22=0,0,Q22/P22)</f>
        <v>-14.080952380952386</v>
      </c>
      <c r="P22" s="115">
        <v>84</v>
      </c>
      <c r="Q22" s="103">
        <v>-1182.8000000000004</v>
      </c>
    </row>
    <row r="23" spans="1:17" x14ac:dyDescent="0.4">
      <c r="A23" s="52" t="s">
        <v>177</v>
      </c>
      <c r="B23" s="136">
        <f>IF($B$15-B$14=0,0,C23/($B$15-B$14))</f>
        <v>9122.2797927461143</v>
      </c>
      <c r="C23" s="137">
        <v>1760600</v>
      </c>
      <c r="E23" s="59" t="s">
        <v>73</v>
      </c>
      <c r="F23" s="56" t="s">
        <v>28</v>
      </c>
      <c r="G23" s="44">
        <v>1</v>
      </c>
      <c r="H23" s="129">
        <f>IF(B$15=0,0,G23/B$15)</f>
        <v>3.1645569620253164E-3</v>
      </c>
      <c r="I23" s="90">
        <v>4</v>
      </c>
      <c r="K23" s="36">
        <v>21</v>
      </c>
      <c r="L23" s="95">
        <v>-67.200000000000031</v>
      </c>
    </row>
    <row r="24" spans="1:17" x14ac:dyDescent="0.4">
      <c r="A24" s="52" t="s">
        <v>178</v>
      </c>
      <c r="B24" s="136">
        <f>IF(B$14=0,0,C24/B$14)</f>
        <v>7394.3089430894306</v>
      </c>
      <c r="C24" s="137">
        <v>909500</v>
      </c>
      <c r="E24" s="59" t="s">
        <v>77</v>
      </c>
      <c r="F24" s="56" t="s">
        <v>32</v>
      </c>
      <c r="G24" s="44">
        <v>1</v>
      </c>
      <c r="H24" s="129">
        <f>IF(B$15=0,0,G24/B$15)</f>
        <v>3.1645569620253164E-3</v>
      </c>
      <c r="I24" s="90">
        <v>4</v>
      </c>
      <c r="K24" s="36">
        <v>22</v>
      </c>
      <c r="L24" s="95">
        <v>-38.400000000000034</v>
      </c>
    </row>
    <row r="25" spans="1:17" x14ac:dyDescent="0.4">
      <c r="A25" s="52" t="s">
        <v>176</v>
      </c>
      <c r="B25" s="136">
        <f>IF(B$16=0,0,C25/B$16)</f>
        <v>-8042.9319371727752</v>
      </c>
      <c r="C25" s="137">
        <v>-1536200</v>
      </c>
      <c r="E25" s="59" t="s">
        <v>84</v>
      </c>
      <c r="F25" s="56" t="s">
        <v>39</v>
      </c>
      <c r="G25" s="44">
        <v>1</v>
      </c>
      <c r="H25" s="129">
        <f>IF(B$15=0,0,G25/B$15)</f>
        <v>3.1645569620253164E-3</v>
      </c>
      <c r="I25" s="90">
        <v>2</v>
      </c>
      <c r="K25" s="36">
        <v>23</v>
      </c>
      <c r="L25" s="95">
        <v>-37.600000000000037</v>
      </c>
    </row>
    <row r="26" spans="1:17" x14ac:dyDescent="0.4">
      <c r="A26" s="51" t="s">
        <v>164</v>
      </c>
      <c r="B26" s="44">
        <v>7</v>
      </c>
      <c r="C26" s="131">
        <v>1</v>
      </c>
      <c r="E26" s="59" t="s">
        <v>95</v>
      </c>
      <c r="F26" s="56" t="s">
        <v>50</v>
      </c>
      <c r="G26" s="44">
        <v>1</v>
      </c>
      <c r="H26" s="129">
        <f>IF(B$15=0,0,G26/B$15)</f>
        <v>3.1645569620253164E-3</v>
      </c>
      <c r="I26" s="90">
        <v>2</v>
      </c>
      <c r="K26" s="36">
        <v>24</v>
      </c>
      <c r="L26" s="95">
        <v>-37.600000000000037</v>
      </c>
    </row>
    <row r="27" spans="1:17" x14ac:dyDescent="0.4">
      <c r="A27" s="51" t="s">
        <v>165</v>
      </c>
      <c r="B27" s="44">
        <v>30</v>
      </c>
      <c r="C27" s="131">
        <v>11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-10.700000000000038</v>
      </c>
    </row>
    <row r="28" spans="1:17" x14ac:dyDescent="0.4">
      <c r="A28" s="86" t="s">
        <v>138</v>
      </c>
      <c r="B28" s="148">
        <v>8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4" t="s">
        <v>194</v>
      </c>
      <c r="B29" s="146">
        <v>91800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A30" s="53" t="s">
        <v>139</v>
      </c>
      <c r="B30" s="61">
        <v>4</v>
      </c>
      <c r="C30" s="40">
        <f>IF(B$3=0,0,B30/B$3)</f>
        <v>3.9024390243902439E-3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A32" s="86" t="s">
        <v>185</v>
      </c>
      <c r="B32" s="144">
        <v>22</v>
      </c>
      <c r="C32" s="141">
        <f>IF(B$15=0,0,B32/B$15)</f>
        <v>6.9620253164556958E-2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63.499999999999957</v>
      </c>
    </row>
    <row r="33" spans="1:12" x14ac:dyDescent="0.4">
      <c r="A33" s="51" t="s">
        <v>181</v>
      </c>
      <c r="B33" s="44">
        <v>48</v>
      </c>
      <c r="C33" s="37">
        <f t="shared" ref="C33:C44" si="2">IF(B$15=0,0,B33/B$15)</f>
        <v>0.15189873417721519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4</v>
      </c>
      <c r="K33" s="36">
        <v>31</v>
      </c>
      <c r="L33" s="95">
        <v>94.299999999999955</v>
      </c>
    </row>
    <row r="34" spans="1:12" x14ac:dyDescent="0.4">
      <c r="A34" s="51" t="s">
        <v>182</v>
      </c>
      <c r="B34" s="145">
        <v>69</v>
      </c>
      <c r="C34" s="37">
        <f>IF(B$15=0,0,B34/B$15)</f>
        <v>0.21835443037974683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">
      <c r="A35" s="51" t="s">
        <v>183</v>
      </c>
      <c r="B35" s="145">
        <v>64</v>
      </c>
      <c r="C35" s="37">
        <f t="shared" si="2"/>
        <v>0.20253164556962025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">
      <c r="A36" s="51" t="s">
        <v>184</v>
      </c>
      <c r="B36" s="145">
        <v>48</v>
      </c>
      <c r="C36" s="37">
        <f t="shared" si="2"/>
        <v>0.15189873417721519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">
      <c r="A37" s="51" t="s">
        <v>186</v>
      </c>
      <c r="B37" s="145">
        <v>35</v>
      </c>
      <c r="C37" s="37">
        <f t="shared" si="2"/>
        <v>0.11075949367088607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">
      <c r="A38" s="51" t="s">
        <v>187</v>
      </c>
      <c r="B38" s="145">
        <v>10</v>
      </c>
      <c r="C38" s="37">
        <f t="shared" si="2"/>
        <v>3.1645569620253167E-2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">
      <c r="A39" s="51" t="s">
        <v>188</v>
      </c>
      <c r="B39" s="145">
        <v>8</v>
      </c>
      <c r="C39" s="37">
        <f t="shared" si="2"/>
        <v>2.5316455696202531E-2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">
      <c r="A40" s="51" t="s">
        <v>189</v>
      </c>
      <c r="B40" s="145">
        <v>5</v>
      </c>
      <c r="C40" s="37">
        <f t="shared" si="2"/>
        <v>1.5822784810126583E-2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">
      <c r="A41" s="51" t="s">
        <v>190</v>
      </c>
      <c r="B41" s="145">
        <v>1</v>
      </c>
      <c r="C41" s="37">
        <f t="shared" si="2"/>
        <v>3.1645569620253164E-3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">
      <c r="A42" s="51" t="s">
        <v>191</v>
      </c>
      <c r="B42" s="145">
        <v>2</v>
      </c>
      <c r="C42" s="37">
        <f t="shared" si="2"/>
        <v>6.3291139240506328E-3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">
      <c r="A43" s="51" t="s">
        <v>192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">
      <c r="A44" s="53" t="s">
        <v>193</v>
      </c>
      <c r="B44" s="140">
        <v>4</v>
      </c>
      <c r="C44" s="40">
        <f t="shared" si="2"/>
        <v>1.2658227848101266E-2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  <row r="105" spans="11:12" x14ac:dyDescent="0.4">
      <c r="K105" s="36">
        <v>103</v>
      </c>
      <c r="L105" s="95">
        <v>-31.500000000000213</v>
      </c>
    </row>
    <row r="106" spans="11:12" x14ac:dyDescent="0.4">
      <c r="K106" s="36">
        <v>104</v>
      </c>
      <c r="L106" s="95">
        <v>-49.900000000000212</v>
      </c>
    </row>
    <row r="107" spans="11:12" x14ac:dyDescent="0.4">
      <c r="K107" s="36">
        <v>105</v>
      </c>
      <c r="L107" s="95">
        <v>-48.80000000000021</v>
      </c>
    </row>
    <row r="108" spans="11:12" x14ac:dyDescent="0.4">
      <c r="K108" s="36">
        <v>106</v>
      </c>
      <c r="L108" s="95">
        <v>-48.900000000000212</v>
      </c>
    </row>
    <row r="109" spans="11:12" x14ac:dyDescent="0.4">
      <c r="K109" s="36">
        <v>107</v>
      </c>
      <c r="L109" s="95">
        <v>-18.500000000000213</v>
      </c>
    </row>
    <row r="110" spans="11:12" x14ac:dyDescent="0.4">
      <c r="K110" s="36">
        <v>108</v>
      </c>
      <c r="L110" s="95">
        <v>-28.200000000000212</v>
      </c>
    </row>
    <row r="111" spans="11:12" x14ac:dyDescent="0.4">
      <c r="K111" s="36">
        <v>109</v>
      </c>
      <c r="L111" s="95">
        <v>31.799999999999788</v>
      </c>
    </row>
    <row r="112" spans="11:12" x14ac:dyDescent="0.4">
      <c r="K112" s="36">
        <v>110</v>
      </c>
      <c r="L112" s="95">
        <v>86.999999999999787</v>
      </c>
    </row>
    <row r="113" spans="11:12" x14ac:dyDescent="0.4">
      <c r="K113" s="36">
        <v>111</v>
      </c>
      <c r="L113" s="95">
        <v>85.999999999999787</v>
      </c>
    </row>
    <row r="114" spans="11:12" x14ac:dyDescent="0.4">
      <c r="K114" s="36">
        <v>112</v>
      </c>
      <c r="L114" s="95">
        <v>85.299999999999784</v>
      </c>
    </row>
    <row r="115" spans="11:12" x14ac:dyDescent="0.4">
      <c r="K115" s="36">
        <v>113</v>
      </c>
      <c r="L115" s="95">
        <v>104.69999999999979</v>
      </c>
    </row>
    <row r="116" spans="11:12" x14ac:dyDescent="0.4">
      <c r="K116" s="36">
        <v>114</v>
      </c>
      <c r="L116" s="95">
        <v>109.99999999999979</v>
      </c>
    </row>
    <row r="117" spans="11:12" x14ac:dyDescent="0.4">
      <c r="K117" s="36">
        <v>115</v>
      </c>
      <c r="L117" s="95">
        <v>138.89999999999978</v>
      </c>
    </row>
    <row r="118" spans="11:12" x14ac:dyDescent="0.4">
      <c r="K118" s="36">
        <v>116</v>
      </c>
      <c r="L118" s="95">
        <v>141.49999999999977</v>
      </c>
    </row>
    <row r="119" spans="11:12" x14ac:dyDescent="0.4">
      <c r="K119" s="36">
        <v>117</v>
      </c>
      <c r="L119" s="95">
        <v>94.499999999999773</v>
      </c>
    </row>
    <row r="120" spans="11:12" x14ac:dyDescent="0.4">
      <c r="K120" s="36">
        <v>118</v>
      </c>
      <c r="L120" s="95">
        <v>93.899999999999778</v>
      </c>
    </row>
    <row r="121" spans="11:12" x14ac:dyDescent="0.4">
      <c r="K121" s="36">
        <v>119</v>
      </c>
      <c r="L121" s="95">
        <v>141.29999999999978</v>
      </c>
    </row>
    <row r="122" spans="11:12" x14ac:dyDescent="0.4">
      <c r="K122" s="36">
        <v>120</v>
      </c>
      <c r="L122" s="95">
        <v>130.5999999999998</v>
      </c>
    </row>
    <row r="123" spans="11:12" x14ac:dyDescent="0.4">
      <c r="K123" s="36">
        <v>121</v>
      </c>
      <c r="L123" s="95">
        <v>125.0999999999998</v>
      </c>
    </row>
    <row r="124" spans="11:12" x14ac:dyDescent="0.4">
      <c r="K124" s="36">
        <v>122</v>
      </c>
      <c r="L124" s="95">
        <v>127.69999999999979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2597A-E17A-4526-A48F-E8E749DDF1EC}">
  <sheetPr codeName="Sheet13"/>
  <dimension ref="A1:Q76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74</v>
      </c>
      <c r="C2" s="155"/>
      <c r="E2" s="58" t="s">
        <v>66</v>
      </c>
      <c r="F2" s="55" t="s">
        <v>22</v>
      </c>
      <c r="G2" s="43">
        <v>133</v>
      </c>
      <c r="H2" s="128">
        <f>IF(B$15=0,0,G2/B$15)</f>
        <v>0.77325581395348841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-284.72222222222223</v>
      </c>
      <c r="P2" s="114">
        <v>72</v>
      </c>
      <c r="Q2" s="98">
        <v>-20500</v>
      </c>
    </row>
    <row r="3" spans="1:17" x14ac:dyDescent="0.4">
      <c r="A3" s="51" t="s">
        <v>8</v>
      </c>
      <c r="B3" s="156">
        <v>620</v>
      </c>
      <c r="C3" s="157"/>
      <c r="E3" s="59" t="s">
        <v>64</v>
      </c>
      <c r="F3" s="56" t="s">
        <v>20</v>
      </c>
      <c r="G3" s="44">
        <v>101</v>
      </c>
      <c r="H3" s="129">
        <f>IF(B$15=0,0,G3/B$15)</f>
        <v>0.58720930232558144</v>
      </c>
      <c r="I3" s="90">
        <v>1</v>
      </c>
      <c r="K3" s="36">
        <v>1</v>
      </c>
      <c r="L3" s="95">
        <v>-37.799999999999997</v>
      </c>
      <c r="N3" s="111" t="s">
        <v>131</v>
      </c>
      <c r="O3" s="118">
        <f t="shared" si="0"/>
        <v>-1340.2777777777778</v>
      </c>
      <c r="P3" s="115">
        <v>72</v>
      </c>
      <c r="Q3" s="99">
        <v>-96500</v>
      </c>
    </row>
    <row r="4" spans="1:17" x14ac:dyDescent="0.4">
      <c r="A4" s="51" t="s">
        <v>6</v>
      </c>
      <c r="B4" s="158">
        <v>-505.3</v>
      </c>
      <c r="C4" s="159"/>
      <c r="E4" s="59" t="s">
        <v>72</v>
      </c>
      <c r="F4" s="56" t="s">
        <v>27</v>
      </c>
      <c r="G4" s="44">
        <v>87</v>
      </c>
      <c r="H4" s="129">
        <f>IF(B$15=0,0,G4/B$15)</f>
        <v>0.5058139534883721</v>
      </c>
      <c r="I4" s="90">
        <v>8</v>
      </c>
      <c r="K4" s="36">
        <v>2</v>
      </c>
      <c r="L4" s="95">
        <v>-30.099999999999998</v>
      </c>
      <c r="N4" s="111" t="s">
        <v>132</v>
      </c>
      <c r="O4" s="118">
        <f t="shared" si="0"/>
        <v>1081.8181818181818</v>
      </c>
      <c r="P4" s="115">
        <v>66</v>
      </c>
      <c r="Q4" s="99">
        <v>71400</v>
      </c>
    </row>
    <row r="5" spans="1:17" x14ac:dyDescent="0.4">
      <c r="A5" s="51" t="s">
        <v>7</v>
      </c>
      <c r="B5" s="160">
        <f>IF(B$2=0,0,B$4/B$2)</f>
        <v>-6.8283783783783782</v>
      </c>
      <c r="C5" s="161"/>
      <c r="E5" s="59" t="s">
        <v>166</v>
      </c>
      <c r="F5" s="56" t="s">
        <v>167</v>
      </c>
      <c r="G5" s="44">
        <v>74</v>
      </c>
      <c r="H5" s="129">
        <f>IF(B$15=0,0,G5/B$15)</f>
        <v>0.43023255813953487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0"/>
        <v>-1144.6153846153845</v>
      </c>
      <c r="P5" s="115">
        <v>65</v>
      </c>
      <c r="Q5" s="99">
        <v>-74400</v>
      </c>
    </row>
    <row r="6" spans="1:17" x14ac:dyDescent="0.4">
      <c r="A6" s="51" t="s">
        <v>1</v>
      </c>
      <c r="B6" s="150">
        <f>IF(B$2=0,0,(B$7*1+B$8*2+B$9*3)/B$2)</f>
        <v>2.1621621621621623</v>
      </c>
      <c r="C6" s="151"/>
      <c r="E6" s="59" t="s">
        <v>68</v>
      </c>
      <c r="F6" s="56" t="s">
        <v>12</v>
      </c>
      <c r="G6" s="44">
        <v>62</v>
      </c>
      <c r="H6" s="129">
        <f>IF(B$15=0,0,G6/B$15)</f>
        <v>0.36046511627906974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-3072.1311475409834</v>
      </c>
      <c r="P6" s="115">
        <v>61</v>
      </c>
      <c r="Q6" s="99">
        <v>-187400</v>
      </c>
    </row>
    <row r="7" spans="1:17" x14ac:dyDescent="0.4">
      <c r="A7" s="51" t="s">
        <v>2</v>
      </c>
      <c r="B7" s="44">
        <v>17</v>
      </c>
      <c r="C7" s="37">
        <f t="shared" ref="C7:C10" si="1">IF(B$2=0,0,B7/B$2)</f>
        <v>0.22972972972972974</v>
      </c>
      <c r="E7" s="59" t="s">
        <v>67</v>
      </c>
      <c r="F7" s="56" t="s">
        <v>23</v>
      </c>
      <c r="G7" s="44">
        <v>51</v>
      </c>
      <c r="H7" s="129">
        <f>IF(B$15=0,0,G7/B$15)</f>
        <v>0.29651162790697677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-1566.0377358490566</v>
      </c>
      <c r="P7" s="116">
        <v>53</v>
      </c>
      <c r="Q7" s="100">
        <v>-83000</v>
      </c>
    </row>
    <row r="8" spans="1:17" x14ac:dyDescent="0.4">
      <c r="A8" s="51" t="s">
        <v>3</v>
      </c>
      <c r="B8" s="44">
        <v>28</v>
      </c>
      <c r="C8" s="37">
        <f t="shared" si="1"/>
        <v>0.3783783783783784</v>
      </c>
      <c r="E8" s="59" t="s">
        <v>69</v>
      </c>
      <c r="F8" s="56" t="s">
        <v>24</v>
      </c>
      <c r="G8" s="44">
        <v>26</v>
      </c>
      <c r="H8" s="129">
        <f>IF(B$15=0,0,G8/B$15)</f>
        <v>0.15116279069767441</v>
      </c>
      <c r="I8" s="90">
        <v>4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29</v>
      </c>
      <c r="C9" s="38">
        <f t="shared" si="1"/>
        <v>0.39189189189189189</v>
      </c>
      <c r="E9" s="59" t="s">
        <v>70</v>
      </c>
      <c r="F9" s="56" t="s">
        <v>25</v>
      </c>
      <c r="G9" s="44">
        <v>25</v>
      </c>
      <c r="H9" s="129">
        <f>IF(B$15=0,0,G9/B$15)</f>
        <v>0.14534883720930233</v>
      </c>
      <c r="I9" s="90">
        <v>1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6</v>
      </c>
      <c r="C10" s="40">
        <f t="shared" si="1"/>
        <v>8.1081081081081086E-2</v>
      </c>
      <c r="E10" s="59" t="s">
        <v>65</v>
      </c>
      <c r="F10" s="56" t="s">
        <v>21</v>
      </c>
      <c r="G10" s="44">
        <v>21</v>
      </c>
      <c r="H10" s="129">
        <f>IF(B$15=0,0,G10/B$15)</f>
        <v>0.12209302325581395</v>
      </c>
      <c r="I10" s="90">
        <v>4</v>
      </c>
      <c r="K10" s="36">
        <v>8</v>
      </c>
      <c r="L10" s="95">
        <v>-62.999999999999993</v>
      </c>
      <c r="N10" s="110" t="s">
        <v>157</v>
      </c>
      <c r="O10" s="120">
        <f>IF(P10=0,0,Q10/P10)</f>
        <v>-4.4285714285714297</v>
      </c>
      <c r="P10" s="114">
        <v>28</v>
      </c>
      <c r="Q10" s="102">
        <v>-124.00000000000003</v>
      </c>
    </row>
    <row r="11" spans="1:17" x14ac:dyDescent="0.4">
      <c r="A11" s="54" t="s">
        <v>121</v>
      </c>
      <c r="B11" s="47">
        <v>178</v>
      </c>
      <c r="C11" s="42">
        <f>IF(B$3=0,0,B11/B$3)</f>
        <v>0.2870967741935484</v>
      </c>
      <c r="E11" s="59" t="s">
        <v>89</v>
      </c>
      <c r="F11" s="56" t="s">
        <v>44</v>
      </c>
      <c r="G11" s="44">
        <v>20</v>
      </c>
      <c r="H11" s="129">
        <f>IF(B$15=0,0,G11/B$15)</f>
        <v>0.11627906976744186</v>
      </c>
      <c r="I11" s="90">
        <v>8</v>
      </c>
      <c r="K11" s="36">
        <v>9</v>
      </c>
      <c r="L11" s="95">
        <v>-74.199999999999989</v>
      </c>
      <c r="N11" s="111" t="s">
        <v>158</v>
      </c>
      <c r="O11" s="121">
        <f>IF(P11=0,0,Q11/P11)</f>
        <v>-8.204545454545455</v>
      </c>
      <c r="P11" s="115">
        <v>22</v>
      </c>
      <c r="Q11" s="103">
        <v>-180.50000000000003</v>
      </c>
    </row>
    <row r="12" spans="1:17" x14ac:dyDescent="0.4">
      <c r="A12" s="51" t="s">
        <v>118</v>
      </c>
      <c r="B12" s="44">
        <v>120</v>
      </c>
      <c r="C12" s="37">
        <f>IF(B$3=0,0,B12/B$3)</f>
        <v>0.19354838709677419</v>
      </c>
      <c r="E12" s="59" t="s">
        <v>83</v>
      </c>
      <c r="F12" s="56" t="s">
        <v>38</v>
      </c>
      <c r="G12" s="44">
        <v>10</v>
      </c>
      <c r="H12" s="129">
        <f>IF(B$15=0,0,G12/B$15)</f>
        <v>5.8139534883720929E-2</v>
      </c>
      <c r="I12" s="90">
        <v>6</v>
      </c>
      <c r="K12" s="36">
        <v>10</v>
      </c>
      <c r="L12" s="95">
        <v>-117.19999999999999</v>
      </c>
      <c r="N12" s="112" t="s">
        <v>159</v>
      </c>
      <c r="O12" s="122">
        <f>IF(P12=0,0,Q12/P12)</f>
        <v>-8.7304347826086932</v>
      </c>
      <c r="P12" s="116">
        <v>23</v>
      </c>
      <c r="Q12" s="104">
        <v>-200.79999999999995</v>
      </c>
    </row>
    <row r="13" spans="1:17" x14ac:dyDescent="0.4">
      <c r="A13" s="50" t="s">
        <v>123</v>
      </c>
      <c r="B13" s="43">
        <f>B19</f>
        <v>102</v>
      </c>
      <c r="C13" s="35">
        <f>IF(B$11=0,0,B13/B$11)</f>
        <v>0.5730337078651685</v>
      </c>
      <c r="E13" s="59" t="s">
        <v>71</v>
      </c>
      <c r="F13" s="56" t="s">
        <v>26</v>
      </c>
      <c r="G13" s="44">
        <v>7</v>
      </c>
      <c r="H13" s="129">
        <f>IF(B$15=0,0,G13/B$15)</f>
        <v>4.0697674418604654E-2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48</v>
      </c>
      <c r="C14" s="35">
        <f>IF(B$12=0,0,B14/B$12)</f>
        <v>0.4</v>
      </c>
      <c r="E14" s="59" t="s">
        <v>78</v>
      </c>
      <c r="F14" s="56" t="s">
        <v>33</v>
      </c>
      <c r="G14" s="44">
        <v>6</v>
      </c>
      <c r="H14" s="129">
        <f>IF(B$15=0,0,G14/B$15)</f>
        <v>3.4883720930232558E-2</v>
      </c>
      <c r="I14" s="90">
        <v>3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172</v>
      </c>
      <c r="C15" s="35">
        <f>IF(B$3=0,0,B15/B$3)</f>
        <v>0.27741935483870966</v>
      </c>
      <c r="E15" s="59" t="s">
        <v>86</v>
      </c>
      <c r="F15" s="56" t="s">
        <v>41</v>
      </c>
      <c r="G15" s="44">
        <v>4</v>
      </c>
      <c r="H15" s="129">
        <f>IF(B$15=0,0,G15/B$15)</f>
        <v>2.3255813953488372E-2</v>
      </c>
      <c r="I15" s="90">
        <v>10</v>
      </c>
      <c r="K15" s="36">
        <v>13</v>
      </c>
      <c r="L15" s="95">
        <v>-207.3</v>
      </c>
      <c r="N15" s="110" t="s">
        <v>202</v>
      </c>
      <c r="O15" s="120">
        <f t="shared" ref="O15:O22" si="2">IF(P15=0,0,Q15/P15)</f>
        <v>25.799999999999997</v>
      </c>
      <c r="P15" s="114">
        <v>1</v>
      </c>
      <c r="Q15" s="102">
        <v>25.799999999999997</v>
      </c>
    </row>
    <row r="16" spans="1:17" x14ac:dyDescent="0.4">
      <c r="A16" s="51" t="s">
        <v>13</v>
      </c>
      <c r="B16" s="44">
        <v>125</v>
      </c>
      <c r="C16" s="37">
        <f>IF(B$3=0,0,B16/B$3)</f>
        <v>0.20161290322580644</v>
      </c>
      <c r="E16" s="59" t="s">
        <v>81</v>
      </c>
      <c r="F16" s="56" t="s">
        <v>36</v>
      </c>
      <c r="G16" s="44">
        <v>3</v>
      </c>
      <c r="H16" s="129">
        <f>IF(B$15=0,0,G16/B$15)</f>
        <v>1.7441860465116279E-2</v>
      </c>
      <c r="I16" s="90">
        <v>6</v>
      </c>
      <c r="K16" s="36">
        <v>14</v>
      </c>
      <c r="L16" s="95">
        <v>-204.8</v>
      </c>
      <c r="N16" s="111" t="s">
        <v>161</v>
      </c>
      <c r="O16" s="121">
        <f t="shared" si="2"/>
        <v>12.242857142857146</v>
      </c>
      <c r="P16" s="115">
        <v>14</v>
      </c>
      <c r="Q16" s="103">
        <v>171.40000000000003</v>
      </c>
    </row>
    <row r="17" spans="1:17" x14ac:dyDescent="0.4">
      <c r="A17" s="51" t="s">
        <v>12</v>
      </c>
      <c r="B17" s="44">
        <v>80</v>
      </c>
      <c r="C17" s="37">
        <f>IF(B$15=0,0,B17/B$15)</f>
        <v>0.46511627906976744</v>
      </c>
      <c r="E17" s="59" t="s">
        <v>162</v>
      </c>
      <c r="F17" s="56" t="s">
        <v>163</v>
      </c>
      <c r="G17" s="44">
        <v>3</v>
      </c>
      <c r="H17" s="129">
        <f>IF(B$15=0,0,G17/B$15)</f>
        <v>1.7441860465116279E-2</v>
      </c>
      <c r="I17" s="90">
        <v>5</v>
      </c>
      <c r="K17" s="36">
        <v>15</v>
      </c>
      <c r="L17" s="95">
        <v>-221.5</v>
      </c>
      <c r="N17" s="111" t="s">
        <v>170</v>
      </c>
      <c r="O17" s="121">
        <f t="shared" si="2"/>
        <v>3.6714285714285717</v>
      </c>
      <c r="P17" s="115">
        <v>14</v>
      </c>
      <c r="Q17" s="103">
        <v>51.400000000000006</v>
      </c>
    </row>
    <row r="18" spans="1:17" x14ac:dyDescent="0.4">
      <c r="A18" s="51" t="s">
        <v>11</v>
      </c>
      <c r="B18" s="44">
        <v>92</v>
      </c>
      <c r="C18" s="37">
        <f>IF(B$15=0,0,B18/B$15)</f>
        <v>0.53488372093023251</v>
      </c>
      <c r="E18" s="59" t="s">
        <v>75</v>
      </c>
      <c r="F18" s="56" t="s">
        <v>30</v>
      </c>
      <c r="G18" s="44">
        <v>2</v>
      </c>
      <c r="H18" s="129">
        <f>IF(B$15=0,0,G18/B$15)</f>
        <v>1.1627906976744186E-2</v>
      </c>
      <c r="I18" s="90">
        <v>2</v>
      </c>
      <c r="K18" s="36">
        <v>16</v>
      </c>
      <c r="L18" s="95">
        <v>-224.3</v>
      </c>
      <c r="N18" s="111" t="s">
        <v>201</v>
      </c>
      <c r="O18" s="121">
        <f t="shared" si="2"/>
        <v>0.14000000000000129</v>
      </c>
      <c r="P18" s="115">
        <v>10</v>
      </c>
      <c r="Q18" s="103">
        <v>1.4000000000000128</v>
      </c>
    </row>
    <row r="19" spans="1:17" x14ac:dyDescent="0.4">
      <c r="A19" s="51" t="s">
        <v>197</v>
      </c>
      <c r="B19" s="44">
        <v>102</v>
      </c>
      <c r="C19" s="37">
        <f>IF(B$15=0,0,B19/B$15)</f>
        <v>0.59302325581395354</v>
      </c>
      <c r="E19" s="59" t="s">
        <v>79</v>
      </c>
      <c r="F19" s="56" t="s">
        <v>34</v>
      </c>
      <c r="G19" s="44">
        <v>2</v>
      </c>
      <c r="H19" s="129">
        <f>IF(B$15=0,0,G19/B$15)</f>
        <v>1.1627906976744186E-2</v>
      </c>
      <c r="I19" s="90">
        <v>5</v>
      </c>
      <c r="K19" s="36">
        <v>17</v>
      </c>
      <c r="L19" s="95">
        <v>-251.4</v>
      </c>
      <c r="N19" s="111" t="s">
        <v>171</v>
      </c>
      <c r="O19" s="121">
        <f t="shared" si="2"/>
        <v>-13.3</v>
      </c>
      <c r="P19" s="115">
        <v>21</v>
      </c>
      <c r="Q19" s="103">
        <v>-279.3</v>
      </c>
    </row>
    <row r="20" spans="1:17" x14ac:dyDescent="0.4">
      <c r="A20" s="51" t="s">
        <v>195</v>
      </c>
      <c r="B20" s="44">
        <v>48</v>
      </c>
      <c r="C20" s="37">
        <f>IF(B$15=0,0,B20/B$15)</f>
        <v>0.27906976744186046</v>
      </c>
      <c r="E20" s="59" t="s">
        <v>91</v>
      </c>
      <c r="F20" s="56" t="s">
        <v>46</v>
      </c>
      <c r="G20" s="44">
        <v>1</v>
      </c>
      <c r="H20" s="129">
        <f>IF(B$15=0,0,G20/B$15)</f>
        <v>5.8139534883720929E-3</v>
      </c>
      <c r="I20" s="90">
        <v>8</v>
      </c>
      <c r="K20" s="36">
        <v>18</v>
      </c>
      <c r="L20" s="95">
        <v>-240</v>
      </c>
      <c r="N20" s="111" t="s">
        <v>126</v>
      </c>
      <c r="O20" s="121">
        <f t="shared" si="2"/>
        <v>-16.41458333333334</v>
      </c>
      <c r="P20" s="115">
        <v>48</v>
      </c>
      <c r="Q20" s="103">
        <v>-787.90000000000032</v>
      </c>
    </row>
    <row r="21" spans="1:17" x14ac:dyDescent="0.4">
      <c r="A21" s="51" t="s">
        <v>196</v>
      </c>
      <c r="B21" s="44">
        <v>22</v>
      </c>
      <c r="C21" s="37">
        <f>IF(B$15=0,0,B21/B$15)</f>
        <v>0.12790697674418605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 t="shared" si="2"/>
        <v>-16.464102564102557</v>
      </c>
      <c r="P21" s="115">
        <v>39</v>
      </c>
      <c r="Q21" s="103">
        <v>-642.0999999999998</v>
      </c>
    </row>
    <row r="22" spans="1:17" x14ac:dyDescent="0.4">
      <c r="A22" s="51" t="s">
        <v>5</v>
      </c>
      <c r="B22" s="48">
        <f>IF(B$15=0,0,C22/B$15)</f>
        <v>8034.3023255813951</v>
      </c>
      <c r="C22" s="39">
        <v>1381900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212</v>
      </c>
      <c r="O22" s="121">
        <f t="shared" si="2"/>
        <v>-56.6</v>
      </c>
      <c r="P22" s="115">
        <v>1</v>
      </c>
      <c r="Q22" s="103">
        <v>-56.6</v>
      </c>
    </row>
    <row r="23" spans="1:17" x14ac:dyDescent="0.4">
      <c r="A23" s="52" t="s">
        <v>177</v>
      </c>
      <c r="B23" s="136">
        <f>IF($B$15-B$14=0,0,C23/($B$15-B$14))</f>
        <v>8589.5161290322576</v>
      </c>
      <c r="C23" s="137">
        <v>1065100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178</v>
      </c>
      <c r="B24" s="136">
        <f>IF(B$14=0,0,C24/B$14)</f>
        <v>6600</v>
      </c>
      <c r="C24" s="137">
        <v>316800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-164.60000000000002</v>
      </c>
    </row>
    <row r="25" spans="1:17" x14ac:dyDescent="0.4">
      <c r="A25" s="52" t="s">
        <v>176</v>
      </c>
      <c r="B25" s="136">
        <f>IF(B$16=0,0,C25/B$16)</f>
        <v>-7544</v>
      </c>
      <c r="C25" s="137">
        <v>-943000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1" t="s">
        <v>164</v>
      </c>
      <c r="B26" s="44">
        <v>4</v>
      </c>
      <c r="C26" s="131">
        <v>1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51" t="s">
        <v>165</v>
      </c>
      <c r="B27" s="44">
        <v>21</v>
      </c>
      <c r="C27" s="131">
        <v>1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86" t="s">
        <v>138</v>
      </c>
      <c r="B28" s="148">
        <v>8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4" t="s">
        <v>194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A30" s="53" t="s">
        <v>139</v>
      </c>
      <c r="B30" s="61">
        <v>3</v>
      </c>
      <c r="C30" s="40">
        <f>IF(B$3=0,0,B30/B$3)</f>
        <v>4.8387096774193551E-3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4</v>
      </c>
      <c r="K31" s="36">
        <v>29</v>
      </c>
      <c r="L31" s="95">
        <v>-159.9</v>
      </c>
    </row>
    <row r="32" spans="1:17" x14ac:dyDescent="0.4">
      <c r="A32" s="86" t="s">
        <v>185</v>
      </c>
      <c r="B32" s="144">
        <v>12</v>
      </c>
      <c r="C32" s="141">
        <f>IF(B$15=0,0,B32/B$15)</f>
        <v>6.9767441860465115E-2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-175.6</v>
      </c>
    </row>
    <row r="33" spans="1:12" x14ac:dyDescent="0.4">
      <c r="A33" s="51" t="s">
        <v>181</v>
      </c>
      <c r="B33" s="44">
        <v>28</v>
      </c>
      <c r="C33" s="37">
        <f t="shared" ref="C33:C44" si="3">IF(B$15=0,0,B33/B$15)</f>
        <v>0.16279069767441862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">
      <c r="A34" s="51" t="s">
        <v>182</v>
      </c>
      <c r="B34" s="145">
        <v>39</v>
      </c>
      <c r="C34" s="37">
        <f>IF(B$15=0,0,B34/B$15)</f>
        <v>0.22674418604651161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">
      <c r="A35" s="51" t="s">
        <v>183</v>
      </c>
      <c r="B35" s="145">
        <v>28</v>
      </c>
      <c r="C35" s="37">
        <f t="shared" si="3"/>
        <v>0.16279069767441862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">
      <c r="A36" s="51" t="s">
        <v>184</v>
      </c>
      <c r="B36" s="145">
        <v>29</v>
      </c>
      <c r="C36" s="37">
        <f t="shared" si="3"/>
        <v>0.16860465116279069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">
      <c r="A37" s="51" t="s">
        <v>186</v>
      </c>
      <c r="B37" s="145">
        <v>18</v>
      </c>
      <c r="C37" s="37">
        <f t="shared" si="3"/>
        <v>0.10465116279069768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-236.8</v>
      </c>
    </row>
    <row r="38" spans="1:12" x14ac:dyDescent="0.4">
      <c r="A38" s="51" t="s">
        <v>187</v>
      </c>
      <c r="B38" s="145">
        <v>11</v>
      </c>
      <c r="C38" s="37">
        <f t="shared" si="3"/>
        <v>6.3953488372093026E-2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-264.60000000000002</v>
      </c>
    </row>
    <row r="39" spans="1:12" x14ac:dyDescent="0.4">
      <c r="A39" s="51" t="s">
        <v>188</v>
      </c>
      <c r="B39" s="145">
        <v>4</v>
      </c>
      <c r="C39" s="37">
        <f t="shared" si="3"/>
        <v>2.3255813953488372E-2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-252.20000000000002</v>
      </c>
    </row>
    <row r="40" spans="1:12" x14ac:dyDescent="0.4">
      <c r="A40" s="51" t="s">
        <v>189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-261</v>
      </c>
    </row>
    <row r="41" spans="1:12" x14ac:dyDescent="0.4">
      <c r="A41" s="51" t="s">
        <v>190</v>
      </c>
      <c r="B41" s="145">
        <v>0</v>
      </c>
      <c r="C41" s="37">
        <f t="shared" si="3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-245.4</v>
      </c>
    </row>
    <row r="42" spans="1:12" x14ac:dyDescent="0.4">
      <c r="A42" s="51" t="s">
        <v>191</v>
      </c>
      <c r="B42" s="145">
        <v>1</v>
      </c>
      <c r="C42" s="37">
        <f t="shared" si="3"/>
        <v>5.8139534883720929E-3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-227</v>
      </c>
    </row>
    <row r="43" spans="1:12" x14ac:dyDescent="0.4">
      <c r="A43" s="51" t="s">
        <v>192</v>
      </c>
      <c r="B43" s="145">
        <v>2</v>
      </c>
      <c r="C43" s="37">
        <f t="shared" si="3"/>
        <v>1.1627906976744186E-2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-268.39999999999998</v>
      </c>
    </row>
    <row r="44" spans="1:12" x14ac:dyDescent="0.4">
      <c r="A44" s="53" t="s">
        <v>193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-264.39999999999998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-268.89999999999998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-299.39999999999998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-330.7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-353.09999999999997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-351.79999999999995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-346.19999999999993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-357.39999999999992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-404.09999999999991</v>
      </c>
    </row>
    <row r="53" spans="5:12" x14ac:dyDescent="0.4">
      <c r="K53" s="36">
        <v>51</v>
      </c>
      <c r="L53" s="95">
        <v>-400.99999999999989</v>
      </c>
    </row>
    <row r="54" spans="5:12" x14ac:dyDescent="0.4">
      <c r="K54" s="36">
        <v>52</v>
      </c>
      <c r="L54" s="95">
        <v>-414.7999999999999</v>
      </c>
    </row>
    <row r="55" spans="5:12" x14ac:dyDescent="0.4">
      <c r="K55" s="36">
        <v>53</v>
      </c>
      <c r="L55" s="95">
        <v>-403.89999999999992</v>
      </c>
    </row>
    <row r="56" spans="5:12" x14ac:dyDescent="0.4">
      <c r="K56" s="36">
        <v>54</v>
      </c>
      <c r="L56" s="95">
        <v>-386.7999999999999</v>
      </c>
    </row>
    <row r="57" spans="5:12" x14ac:dyDescent="0.4">
      <c r="K57" s="36">
        <v>55</v>
      </c>
      <c r="L57" s="95">
        <v>-441.2999999999999</v>
      </c>
    </row>
    <row r="58" spans="5:12" x14ac:dyDescent="0.4">
      <c r="K58" s="36">
        <v>56</v>
      </c>
      <c r="L58" s="95">
        <v>-398.09999999999991</v>
      </c>
    </row>
    <row r="59" spans="5:12" x14ac:dyDescent="0.4">
      <c r="K59" s="36">
        <v>57</v>
      </c>
      <c r="L59" s="95">
        <v>-393.39999999999992</v>
      </c>
    </row>
    <row r="60" spans="5:12" x14ac:dyDescent="0.4">
      <c r="K60" s="36">
        <v>58</v>
      </c>
      <c r="L60" s="95">
        <v>-376.49999999999994</v>
      </c>
    </row>
    <row r="61" spans="5:12" x14ac:dyDescent="0.4">
      <c r="K61" s="36">
        <v>59</v>
      </c>
      <c r="L61" s="95">
        <v>-373.49999999999994</v>
      </c>
    </row>
    <row r="62" spans="5:12" x14ac:dyDescent="0.4">
      <c r="K62" s="36">
        <v>60</v>
      </c>
      <c r="L62" s="95">
        <v>-399.29999999999995</v>
      </c>
    </row>
    <row r="63" spans="5:12" x14ac:dyDescent="0.4">
      <c r="K63" s="36">
        <v>61</v>
      </c>
      <c r="L63" s="95">
        <v>-448.79999999999995</v>
      </c>
    </row>
    <row r="64" spans="5:12" x14ac:dyDescent="0.4">
      <c r="K64" s="36">
        <v>62</v>
      </c>
      <c r="L64" s="95">
        <v>-453.59999999999997</v>
      </c>
    </row>
    <row r="65" spans="11:12" x14ac:dyDescent="0.4">
      <c r="K65" s="36">
        <v>63</v>
      </c>
      <c r="L65" s="95">
        <v>-501.79999999999995</v>
      </c>
    </row>
    <row r="66" spans="11:12" x14ac:dyDescent="0.4">
      <c r="K66" s="36">
        <v>64</v>
      </c>
      <c r="L66" s="95">
        <v>-457.29999999999995</v>
      </c>
    </row>
    <row r="67" spans="11:12" x14ac:dyDescent="0.4">
      <c r="K67" s="36">
        <v>65</v>
      </c>
      <c r="L67" s="95">
        <v>-421.09999999999997</v>
      </c>
    </row>
    <row r="68" spans="11:12" x14ac:dyDescent="0.4">
      <c r="K68" s="36">
        <v>66</v>
      </c>
      <c r="L68" s="95">
        <v>-465.9</v>
      </c>
    </row>
    <row r="69" spans="11:12" x14ac:dyDescent="0.4">
      <c r="K69" s="36">
        <v>67</v>
      </c>
      <c r="L69" s="95">
        <v>-441.9</v>
      </c>
    </row>
    <row r="70" spans="11:12" x14ac:dyDescent="0.4">
      <c r="K70" s="36">
        <v>68</v>
      </c>
      <c r="L70" s="95">
        <v>-477.59999999999997</v>
      </c>
    </row>
    <row r="71" spans="11:12" x14ac:dyDescent="0.4">
      <c r="K71" s="36">
        <v>69</v>
      </c>
      <c r="L71" s="95">
        <v>-477.29999999999995</v>
      </c>
    </row>
    <row r="72" spans="11:12" x14ac:dyDescent="0.4">
      <c r="K72" s="36">
        <v>70</v>
      </c>
      <c r="L72" s="95">
        <v>-486.9</v>
      </c>
    </row>
    <row r="73" spans="11:12" x14ac:dyDescent="0.4">
      <c r="K73" s="36">
        <v>71</v>
      </c>
      <c r="L73" s="95">
        <v>-458</v>
      </c>
    </row>
    <row r="74" spans="11:12" x14ac:dyDescent="0.4">
      <c r="K74" s="36">
        <v>72</v>
      </c>
      <c r="L74" s="95">
        <v>-484.8</v>
      </c>
    </row>
    <row r="75" spans="11:12" x14ac:dyDescent="0.4">
      <c r="K75" s="36">
        <v>73</v>
      </c>
      <c r="L75" s="95">
        <v>-506.40000000000003</v>
      </c>
    </row>
    <row r="76" spans="11:12" x14ac:dyDescent="0.4">
      <c r="K76" s="36">
        <v>74</v>
      </c>
      <c r="L76" s="95">
        <v>-505.3</v>
      </c>
    </row>
  </sheetData>
  <sortState xmlns:xlrd2="http://schemas.microsoft.com/office/spreadsheetml/2017/richdata2" ref="E2:I77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FBB14-A27A-47D6-B178-8586CF4A5370}">
  <sheetPr codeName="Sheet15"/>
  <dimension ref="A1:Q8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80</v>
      </c>
      <c r="C2" s="155"/>
      <c r="E2" s="58" t="s">
        <v>66</v>
      </c>
      <c r="F2" s="55" t="s">
        <v>22</v>
      </c>
      <c r="G2" s="43">
        <v>151</v>
      </c>
      <c r="H2" s="128">
        <f>IF(B$15=0,0,G2/B$15)</f>
        <v>0.83888888888888891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1041.25</v>
      </c>
      <c r="P2" s="114">
        <v>80</v>
      </c>
      <c r="Q2" s="98">
        <v>83300</v>
      </c>
    </row>
    <row r="3" spans="1:17" x14ac:dyDescent="0.4">
      <c r="A3" s="51" t="s">
        <v>8</v>
      </c>
      <c r="B3" s="156">
        <v>645</v>
      </c>
      <c r="C3" s="157"/>
      <c r="E3" s="59" t="s">
        <v>72</v>
      </c>
      <c r="F3" s="56" t="s">
        <v>27</v>
      </c>
      <c r="G3" s="44">
        <v>100</v>
      </c>
      <c r="H3" s="129">
        <f>IF(B$15=0,0,G3/B$15)</f>
        <v>0.55555555555555558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-2439.7435897435898</v>
      </c>
      <c r="P3" s="115">
        <v>78</v>
      </c>
      <c r="Q3" s="99">
        <v>-190300</v>
      </c>
    </row>
    <row r="4" spans="1:17" x14ac:dyDescent="0.4">
      <c r="A4" s="51" t="s">
        <v>6</v>
      </c>
      <c r="B4" s="158">
        <v>245.50000000000011</v>
      </c>
      <c r="C4" s="159"/>
      <c r="E4" s="59" t="s">
        <v>64</v>
      </c>
      <c r="F4" s="56" t="s">
        <v>20</v>
      </c>
      <c r="G4" s="44">
        <v>98</v>
      </c>
      <c r="H4" s="129">
        <f>IF(B$15=0,0,G4/B$15)</f>
        <v>0.5444444444444444</v>
      </c>
      <c r="I4" s="90">
        <v>3</v>
      </c>
      <c r="K4" s="36">
        <v>2</v>
      </c>
      <c r="L4" s="95">
        <v>-67.3</v>
      </c>
      <c r="N4" s="111" t="s">
        <v>132</v>
      </c>
      <c r="O4" s="118">
        <f t="shared" si="0"/>
        <v>422.85714285714283</v>
      </c>
      <c r="P4" s="115">
        <v>70</v>
      </c>
      <c r="Q4" s="99">
        <v>29600</v>
      </c>
    </row>
    <row r="5" spans="1:17" x14ac:dyDescent="0.4">
      <c r="A5" s="51" t="s">
        <v>7</v>
      </c>
      <c r="B5" s="160">
        <f>IF(B$2=0,0,B$4/B$2)</f>
        <v>3.0687500000000014</v>
      </c>
      <c r="C5" s="161"/>
      <c r="E5" s="59" t="s">
        <v>67</v>
      </c>
      <c r="F5" s="56" t="s">
        <v>23</v>
      </c>
      <c r="G5" s="44">
        <v>76</v>
      </c>
      <c r="H5" s="129">
        <f>IF(B$15=0,0,G5/B$15)</f>
        <v>0.42222222222222222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2894.0298507462685</v>
      </c>
      <c r="P5" s="115">
        <v>67</v>
      </c>
      <c r="Q5" s="99">
        <v>193900</v>
      </c>
    </row>
    <row r="6" spans="1:17" x14ac:dyDescent="0.4">
      <c r="A6" s="51" t="s">
        <v>1</v>
      </c>
      <c r="B6" s="150">
        <f>IF(B$2=0,0,(B$7*1+B$8*2+B$9*3)/B$2)</f>
        <v>1.95</v>
      </c>
      <c r="C6" s="151"/>
      <c r="E6" s="59" t="s">
        <v>166</v>
      </c>
      <c r="F6" s="56" t="s">
        <v>167</v>
      </c>
      <c r="G6" s="44">
        <v>71</v>
      </c>
      <c r="H6" s="129">
        <f>IF(B$15=0,0,G6/B$15)</f>
        <v>0.39444444444444443</v>
      </c>
      <c r="I6" s="90">
        <v>5</v>
      </c>
      <c r="K6" s="36">
        <v>4</v>
      </c>
      <c r="L6" s="95">
        <v>-74.599999999999994</v>
      </c>
      <c r="N6" s="111" t="s">
        <v>134</v>
      </c>
      <c r="O6" s="118">
        <f t="shared" si="0"/>
        <v>601.66666666666663</v>
      </c>
      <c r="P6" s="115">
        <v>60</v>
      </c>
      <c r="Q6" s="99">
        <v>36100</v>
      </c>
    </row>
    <row r="7" spans="1:17" x14ac:dyDescent="0.4">
      <c r="A7" s="51" t="s">
        <v>2</v>
      </c>
      <c r="B7" s="44">
        <v>31</v>
      </c>
      <c r="C7" s="37">
        <f t="shared" ref="C7:C10" si="1">IF(B$2=0,0,B7/B$2)</f>
        <v>0.38750000000000001</v>
      </c>
      <c r="E7" s="59" t="s">
        <v>68</v>
      </c>
      <c r="F7" s="56" t="s">
        <v>12</v>
      </c>
      <c r="G7" s="44">
        <v>69</v>
      </c>
      <c r="H7" s="129">
        <f>IF(B$15=0,0,G7/B$15)</f>
        <v>0.38333333333333336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-193.61702127659575</v>
      </c>
      <c r="P7" s="116">
        <v>47</v>
      </c>
      <c r="Q7" s="100">
        <v>-9100</v>
      </c>
    </row>
    <row r="8" spans="1:17" x14ac:dyDescent="0.4">
      <c r="A8" s="51" t="s">
        <v>3</v>
      </c>
      <c r="B8" s="44">
        <v>22</v>
      </c>
      <c r="C8" s="37">
        <f t="shared" si="1"/>
        <v>0.27500000000000002</v>
      </c>
      <c r="E8" s="59" t="s">
        <v>89</v>
      </c>
      <c r="F8" s="56" t="s">
        <v>44</v>
      </c>
      <c r="G8" s="44">
        <v>40</v>
      </c>
      <c r="H8" s="129">
        <f>IF(B$15=0,0,G8/B$15)</f>
        <v>0.22222222222222221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27</v>
      </c>
      <c r="C9" s="38">
        <f t="shared" si="1"/>
        <v>0.33750000000000002</v>
      </c>
      <c r="E9" s="59" t="s">
        <v>69</v>
      </c>
      <c r="F9" s="56" t="s">
        <v>24</v>
      </c>
      <c r="G9" s="44">
        <v>36</v>
      </c>
      <c r="H9" s="129">
        <f>IF(B$15=0,0,G9/B$15)</f>
        <v>0.2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10</v>
      </c>
      <c r="C10" s="40">
        <f t="shared" si="1"/>
        <v>0.125</v>
      </c>
      <c r="E10" s="59" t="s">
        <v>65</v>
      </c>
      <c r="F10" s="56" t="s">
        <v>21</v>
      </c>
      <c r="G10" s="44">
        <v>28</v>
      </c>
      <c r="H10" s="129">
        <f>IF(B$15=0,0,G10/B$15)</f>
        <v>0.15555555555555556</v>
      </c>
      <c r="I10" s="90">
        <v>2</v>
      </c>
      <c r="K10" s="36">
        <v>8</v>
      </c>
      <c r="L10" s="95">
        <v>-110.19999999999999</v>
      </c>
      <c r="N10" s="110" t="s">
        <v>157</v>
      </c>
      <c r="O10" s="120">
        <f>IF(P10=0,0,Q10/P10)</f>
        <v>2.3304347826086955</v>
      </c>
      <c r="P10" s="114">
        <v>23</v>
      </c>
      <c r="Q10" s="102">
        <v>53.6</v>
      </c>
    </row>
    <row r="11" spans="1:17" x14ac:dyDescent="0.4">
      <c r="A11" s="54" t="s">
        <v>121</v>
      </c>
      <c r="B11" s="47">
        <v>204</v>
      </c>
      <c r="C11" s="42">
        <f>IF(B$3=0,0,B11/B$3)</f>
        <v>0.31627906976744186</v>
      </c>
      <c r="E11" s="59" t="s">
        <v>70</v>
      </c>
      <c r="F11" s="56" t="s">
        <v>25</v>
      </c>
      <c r="G11" s="44">
        <v>22</v>
      </c>
      <c r="H11" s="129">
        <f>IF(B$15=0,0,G11/B$15)</f>
        <v>0.12222222222222222</v>
      </c>
      <c r="I11" s="90">
        <v>4</v>
      </c>
      <c r="K11" s="36">
        <v>9</v>
      </c>
      <c r="L11" s="95">
        <v>-120.99999999999999</v>
      </c>
      <c r="N11" s="111" t="s">
        <v>158</v>
      </c>
      <c r="O11" s="121">
        <f>IF(P11=0,0,Q11/P11)</f>
        <v>5.6416666666666657</v>
      </c>
      <c r="P11" s="115">
        <v>36</v>
      </c>
      <c r="Q11" s="103">
        <v>203.09999999999997</v>
      </c>
    </row>
    <row r="12" spans="1:17" x14ac:dyDescent="0.4">
      <c r="A12" s="51" t="s">
        <v>118</v>
      </c>
      <c r="B12" s="44">
        <v>114</v>
      </c>
      <c r="C12" s="37">
        <f>IF(B$3=0,0,B12/B$3)</f>
        <v>0.17674418604651163</v>
      </c>
      <c r="E12" s="59" t="s">
        <v>162</v>
      </c>
      <c r="F12" s="56" t="s">
        <v>163</v>
      </c>
      <c r="G12" s="44">
        <v>14</v>
      </c>
      <c r="H12" s="129">
        <f>IF(B$15=0,0,G12/B$15)</f>
        <v>7.7777777777777779E-2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-0.53333333333333299</v>
      </c>
      <c r="P12" s="116">
        <v>21</v>
      </c>
      <c r="Q12" s="104">
        <v>-11.199999999999992</v>
      </c>
    </row>
    <row r="13" spans="1:17" x14ac:dyDescent="0.4">
      <c r="A13" s="50" t="s">
        <v>123</v>
      </c>
      <c r="B13" s="43">
        <f>B19</f>
        <v>111</v>
      </c>
      <c r="C13" s="35">
        <f>IF(B$11=0,0,B13/B$11)</f>
        <v>0.54411764705882348</v>
      </c>
      <c r="E13" s="59" t="s">
        <v>71</v>
      </c>
      <c r="F13" s="56" t="s">
        <v>26</v>
      </c>
      <c r="G13" s="44">
        <v>9</v>
      </c>
      <c r="H13" s="129">
        <f>IF(B$15=0,0,G13/B$15)</f>
        <v>0.05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46</v>
      </c>
      <c r="C14" s="35">
        <f>IF(B$12=0,0,B14/B$12)</f>
        <v>0.40350877192982454</v>
      </c>
      <c r="E14" s="59" t="s">
        <v>83</v>
      </c>
      <c r="F14" s="56" t="s">
        <v>38</v>
      </c>
      <c r="G14" s="44">
        <v>7</v>
      </c>
      <c r="H14" s="129">
        <f>IF(B$15=0,0,G14/B$15)</f>
        <v>3.888888888888889E-2</v>
      </c>
      <c r="I14" s="90">
        <v>9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180</v>
      </c>
      <c r="C15" s="35">
        <f>IF(B$3=0,0,B15/B$3)</f>
        <v>0.27906976744186046</v>
      </c>
      <c r="E15" s="59" t="s">
        <v>86</v>
      </c>
      <c r="F15" s="56" t="s">
        <v>41</v>
      </c>
      <c r="G15" s="44">
        <v>5</v>
      </c>
      <c r="H15" s="129">
        <f>IF(B$15=0,0,G15/B$15)</f>
        <v>2.7777777777777776E-2</v>
      </c>
      <c r="I15" s="90">
        <v>9</v>
      </c>
      <c r="K15" s="36">
        <v>13</v>
      </c>
      <c r="L15" s="95">
        <v>-132.39999999999998</v>
      </c>
      <c r="N15" s="110" t="s">
        <v>212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1" t="s">
        <v>13</v>
      </c>
      <c r="B16" s="44">
        <v>114</v>
      </c>
      <c r="C16" s="37">
        <f>IF(B$3=0,0,B16/B$3)</f>
        <v>0.17674418604651163</v>
      </c>
      <c r="E16" s="59" t="s">
        <v>81</v>
      </c>
      <c r="F16" s="56" t="s">
        <v>36</v>
      </c>
      <c r="G16" s="44">
        <v>4</v>
      </c>
      <c r="H16" s="129">
        <f>IF(B$15=0,0,G16/B$15)</f>
        <v>2.2222222222222223E-2</v>
      </c>
      <c r="I16" s="90">
        <v>4</v>
      </c>
      <c r="K16" s="36">
        <v>14</v>
      </c>
      <c r="L16" s="95">
        <v>-86.499999999999972</v>
      </c>
      <c r="N16" s="111" t="s">
        <v>161</v>
      </c>
      <c r="O16" s="121">
        <f>IF(P16=0,0,Q16/P16)</f>
        <v>38.991666666666667</v>
      </c>
      <c r="P16" s="115">
        <v>12</v>
      </c>
      <c r="Q16" s="103">
        <v>467.9</v>
      </c>
    </row>
    <row r="17" spans="1:17" x14ac:dyDescent="0.4">
      <c r="A17" s="51" t="s">
        <v>12</v>
      </c>
      <c r="B17" s="44">
        <v>89</v>
      </c>
      <c r="C17" s="37">
        <f>IF(B$15=0,0,B17/B$15)</f>
        <v>0.49444444444444446</v>
      </c>
      <c r="E17" s="59" t="s">
        <v>92</v>
      </c>
      <c r="F17" s="56" t="s">
        <v>47</v>
      </c>
      <c r="G17" s="44">
        <v>4</v>
      </c>
      <c r="H17" s="129">
        <f>IF(B$15=0,0,G17/B$15)</f>
        <v>2.2222222222222223E-2</v>
      </c>
      <c r="I17" s="90">
        <v>1</v>
      </c>
      <c r="K17" s="36">
        <v>15</v>
      </c>
      <c r="L17" s="95">
        <v>-101.79999999999997</v>
      </c>
      <c r="N17" s="111" t="s">
        <v>202</v>
      </c>
      <c r="O17" s="121">
        <f>IF(P17=0,0,Q17/P17)</f>
        <v>17.12777777777778</v>
      </c>
      <c r="P17" s="115">
        <v>18</v>
      </c>
      <c r="Q17" s="103">
        <v>308.3</v>
      </c>
    </row>
    <row r="18" spans="1:17" x14ac:dyDescent="0.4">
      <c r="A18" s="51" t="s">
        <v>11</v>
      </c>
      <c r="B18" s="44">
        <v>91</v>
      </c>
      <c r="C18" s="37">
        <f>IF(B$15=0,0,B18/B$15)</f>
        <v>0.50555555555555554</v>
      </c>
      <c r="E18" s="59" t="s">
        <v>91</v>
      </c>
      <c r="F18" s="56" t="s">
        <v>46</v>
      </c>
      <c r="G18" s="44">
        <v>3</v>
      </c>
      <c r="H18" s="129">
        <f>IF(B$15=0,0,G18/B$15)</f>
        <v>1.6666666666666666E-2</v>
      </c>
      <c r="I18" s="90">
        <v>3</v>
      </c>
      <c r="K18" s="36">
        <v>16</v>
      </c>
      <c r="L18" s="95">
        <v>-63.099999999999966</v>
      </c>
      <c r="N18" s="111" t="s">
        <v>171</v>
      </c>
      <c r="O18" s="121">
        <f>IF(P18=0,0,Q18/P18)</f>
        <v>10.6025641025641</v>
      </c>
      <c r="P18" s="115">
        <v>39</v>
      </c>
      <c r="Q18" s="103">
        <v>413.49999999999994</v>
      </c>
    </row>
    <row r="19" spans="1:17" x14ac:dyDescent="0.4">
      <c r="A19" s="51" t="s">
        <v>197</v>
      </c>
      <c r="B19" s="44">
        <v>111</v>
      </c>
      <c r="C19" s="37">
        <f>IF(B$15=0,0,B19/B$15)</f>
        <v>0.6166666666666667</v>
      </c>
      <c r="E19" s="59" t="s">
        <v>73</v>
      </c>
      <c r="F19" s="56" t="s">
        <v>28</v>
      </c>
      <c r="G19" s="44">
        <v>1</v>
      </c>
      <c r="H19" s="129">
        <f>IF(B$15=0,0,G19/B$15)</f>
        <v>5.5555555555555558E-3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>IF(P19=0,0,Q19/P19)</f>
        <v>-1.503125000000002</v>
      </c>
      <c r="P19" s="115">
        <v>32</v>
      </c>
      <c r="Q19" s="103">
        <v>-48.100000000000065</v>
      </c>
    </row>
    <row r="20" spans="1:17" x14ac:dyDescent="0.4">
      <c r="A20" s="51" t="s">
        <v>195</v>
      </c>
      <c r="B20" s="44">
        <v>46</v>
      </c>
      <c r="C20" s="37">
        <f>IF(B$15=0,0,B20/B$15)</f>
        <v>0.25555555555555554</v>
      </c>
      <c r="E20" s="59" t="s">
        <v>75</v>
      </c>
      <c r="F20" s="56" t="s">
        <v>30</v>
      </c>
      <c r="G20" s="44">
        <v>1</v>
      </c>
      <c r="H20" s="129">
        <f>IF(B$15=0,0,G20/B$15)</f>
        <v>5.5555555555555558E-3</v>
      </c>
      <c r="I20" s="90">
        <v>7</v>
      </c>
      <c r="K20" s="36">
        <v>18</v>
      </c>
      <c r="L20" s="95">
        <v>-24.999999999999968</v>
      </c>
      <c r="N20" s="111" t="s">
        <v>172</v>
      </c>
      <c r="O20" s="121">
        <f>IF(P20=0,0,Q20/P20)</f>
        <v>-3.6714285714285717</v>
      </c>
      <c r="P20" s="115">
        <v>14</v>
      </c>
      <c r="Q20" s="103">
        <v>-51.400000000000006</v>
      </c>
    </row>
    <row r="21" spans="1:17" x14ac:dyDescent="0.4">
      <c r="A21" s="51" t="s">
        <v>196</v>
      </c>
      <c r="B21" s="44">
        <v>23</v>
      </c>
      <c r="C21" s="37">
        <f>IF(B$15=0,0,B21/B$15)</f>
        <v>0.12777777777777777</v>
      </c>
      <c r="E21" s="59" t="s">
        <v>78</v>
      </c>
      <c r="F21" s="56" t="s">
        <v>33</v>
      </c>
      <c r="G21" s="44">
        <v>1</v>
      </c>
      <c r="H21" s="129">
        <f>IF(B$15=0,0,G21/B$15)</f>
        <v>5.5555555555555558E-3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>IF(P21=0,0,Q21/P21)</f>
        <v>-7.6833333333333353</v>
      </c>
      <c r="P21" s="115">
        <v>36</v>
      </c>
      <c r="Q21" s="103">
        <v>-276.60000000000008</v>
      </c>
    </row>
    <row r="22" spans="1:17" x14ac:dyDescent="0.4">
      <c r="A22" s="51" t="s">
        <v>5</v>
      </c>
      <c r="B22" s="48">
        <f>IF(B$15=0,0,C22/B$15)</f>
        <v>10849.444444444445</v>
      </c>
      <c r="C22" s="39">
        <v>1952900</v>
      </c>
      <c r="E22" s="59" t="s">
        <v>79</v>
      </c>
      <c r="F22" s="56" t="s">
        <v>34</v>
      </c>
      <c r="G22" s="44">
        <v>1</v>
      </c>
      <c r="H22" s="129">
        <f>IF(B$15=0,0,G22/B$15)</f>
        <v>5.5555555555555558E-3</v>
      </c>
      <c r="I22" s="90">
        <v>7</v>
      </c>
      <c r="K22" s="36">
        <v>20</v>
      </c>
      <c r="L22" s="95">
        <v>-50.39999999999997</v>
      </c>
      <c r="N22" s="111" t="s">
        <v>201</v>
      </c>
      <c r="O22" s="121">
        <f>IF(P22=0,0,Q22/P22)</f>
        <v>-28.342857142857145</v>
      </c>
      <c r="P22" s="115">
        <v>7</v>
      </c>
      <c r="Q22" s="103">
        <v>-198.4</v>
      </c>
    </row>
    <row r="23" spans="1:17" x14ac:dyDescent="0.4">
      <c r="A23" s="52" t="s">
        <v>177</v>
      </c>
      <c r="B23" s="136">
        <f>IF($B$15-B$14=0,0,C23/($B$15-B$14))</f>
        <v>11735.820895522387</v>
      </c>
      <c r="C23" s="137">
        <v>1572600</v>
      </c>
      <c r="E23" s="59" t="s">
        <v>85</v>
      </c>
      <c r="F23" s="56" t="s">
        <v>40</v>
      </c>
      <c r="G23" s="44">
        <v>1</v>
      </c>
      <c r="H23" s="129">
        <f>IF(B$15=0,0,G23/B$15)</f>
        <v>5.5555555555555558E-3</v>
      </c>
      <c r="I23" s="90">
        <v>2</v>
      </c>
      <c r="K23" s="36">
        <v>21</v>
      </c>
      <c r="L23" s="95">
        <v>-59.89999999999997</v>
      </c>
    </row>
    <row r="24" spans="1:17" x14ac:dyDescent="0.4">
      <c r="A24" s="52" t="s">
        <v>178</v>
      </c>
      <c r="B24" s="136">
        <f>IF(B$14=0,0,C24/B$14)</f>
        <v>8267.391304347826</v>
      </c>
      <c r="C24" s="137">
        <v>380300</v>
      </c>
      <c r="E24" s="59" t="s">
        <v>90</v>
      </c>
      <c r="F24" s="56" t="s">
        <v>45</v>
      </c>
      <c r="G24" s="44">
        <v>1</v>
      </c>
      <c r="H24" s="129">
        <f>IF(B$15=0,0,G24/B$15)</f>
        <v>5.5555555555555558E-3</v>
      </c>
      <c r="I24" s="90">
        <v>1</v>
      </c>
      <c r="K24" s="36">
        <v>22</v>
      </c>
      <c r="L24" s="95">
        <v>-21.799999999999969</v>
      </c>
    </row>
    <row r="25" spans="1:17" x14ac:dyDescent="0.4">
      <c r="A25" s="52" t="s">
        <v>176</v>
      </c>
      <c r="B25" s="136">
        <f>IF(B$16=0,0,C25/B$16)</f>
        <v>-8083.333333333333</v>
      </c>
      <c r="C25" s="137">
        <v>-921500</v>
      </c>
      <c r="E25" s="59" t="s">
        <v>93</v>
      </c>
      <c r="F25" s="56" t="s">
        <v>48</v>
      </c>
      <c r="G25" s="44">
        <v>1</v>
      </c>
      <c r="H25" s="129">
        <f>IF(B$15=0,0,G25/B$15)</f>
        <v>5.5555555555555558E-3</v>
      </c>
      <c r="I25" s="90">
        <v>2</v>
      </c>
      <c r="K25" s="36">
        <v>23</v>
      </c>
      <c r="L25" s="95">
        <v>-10.299999999999969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97</v>
      </c>
      <c r="F26" s="56" t="s">
        <v>52</v>
      </c>
      <c r="G26" s="44">
        <v>1</v>
      </c>
      <c r="H26" s="129">
        <f>IF(B$15=0,0,G26/B$15)</f>
        <v>5.5555555555555558E-3</v>
      </c>
      <c r="I26" s="90">
        <v>1</v>
      </c>
      <c r="K26" s="36">
        <v>24</v>
      </c>
      <c r="L26" s="95">
        <v>-51.39999999999997</v>
      </c>
    </row>
    <row r="27" spans="1:17" x14ac:dyDescent="0.4">
      <c r="A27" s="51" t="s">
        <v>165</v>
      </c>
      <c r="B27" s="44">
        <v>25</v>
      </c>
      <c r="C27" s="131">
        <v>1</v>
      </c>
      <c r="E27" s="59" t="s">
        <v>74</v>
      </c>
      <c r="F27" s="56" t="s">
        <v>29</v>
      </c>
      <c r="G27" s="44">
        <v>0</v>
      </c>
      <c r="H27" s="129">
        <f>IF(B$15=0,0,G27/B$15)</f>
        <v>0</v>
      </c>
      <c r="I27" s="90">
        <v>7</v>
      </c>
      <c r="K27" s="36">
        <v>25</v>
      </c>
      <c r="L27" s="95">
        <v>-37.699999999999974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-84.999999999999972</v>
      </c>
    </row>
    <row r="29" spans="1:17" x14ac:dyDescent="0.4">
      <c r="A29" s="54" t="s">
        <v>194</v>
      </c>
      <c r="B29" s="146">
        <v>122100</v>
      </c>
      <c r="C29" s="147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-31.499999999999972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A32" s="86" t="s">
        <v>185</v>
      </c>
      <c r="B32" s="144">
        <v>4</v>
      </c>
      <c r="C32" s="141">
        <f>IF(B$15=0,0,B32/B$15)</f>
        <v>2.2222222222222223E-2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4</v>
      </c>
      <c r="K32" s="36">
        <v>30</v>
      </c>
      <c r="L32" s="95">
        <v>30.900000000000027</v>
      </c>
    </row>
    <row r="33" spans="1:12" x14ac:dyDescent="0.4">
      <c r="A33" s="51" t="s">
        <v>181</v>
      </c>
      <c r="B33" s="44">
        <v>16</v>
      </c>
      <c r="C33" s="37">
        <f t="shared" ref="C33:C44" si="2">IF(B$15=0,0,B33/B$15)</f>
        <v>8.8888888888888892E-2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4</v>
      </c>
      <c r="K33" s="36">
        <v>31</v>
      </c>
      <c r="L33" s="95">
        <v>73.900000000000034</v>
      </c>
    </row>
    <row r="34" spans="1:12" x14ac:dyDescent="0.4">
      <c r="A34" s="51" t="s">
        <v>182</v>
      </c>
      <c r="B34" s="145">
        <v>23</v>
      </c>
      <c r="C34" s="37">
        <f>IF(B$15=0,0,B34/B$15)</f>
        <v>0.12777777777777777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">
      <c r="A35" s="51" t="s">
        <v>183</v>
      </c>
      <c r="B35" s="145">
        <v>34</v>
      </c>
      <c r="C35" s="37">
        <f t="shared" si="2"/>
        <v>0.18888888888888888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">
      <c r="A36" s="51" t="s">
        <v>184</v>
      </c>
      <c r="B36" s="145">
        <v>46</v>
      </c>
      <c r="C36" s="37">
        <f t="shared" si="2"/>
        <v>0.25555555555555554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">
      <c r="A37" s="51" t="s">
        <v>186</v>
      </c>
      <c r="B37" s="145">
        <v>17</v>
      </c>
      <c r="C37" s="37">
        <f t="shared" si="2"/>
        <v>9.4444444444444442E-2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">
      <c r="A38" s="51" t="s">
        <v>187</v>
      </c>
      <c r="B38" s="145">
        <v>17</v>
      </c>
      <c r="C38" s="37">
        <f t="shared" si="2"/>
        <v>9.4444444444444442E-2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">
      <c r="A39" s="51" t="s">
        <v>188</v>
      </c>
      <c r="B39" s="145">
        <v>10</v>
      </c>
      <c r="C39" s="37">
        <f t="shared" si="2"/>
        <v>5.5555555555555552E-2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">
      <c r="A40" s="51" t="s">
        <v>189</v>
      </c>
      <c r="B40" s="145">
        <v>3</v>
      </c>
      <c r="C40" s="37">
        <f t="shared" si="2"/>
        <v>1.6666666666666666E-2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">
      <c r="A41" s="51" t="s">
        <v>190</v>
      </c>
      <c r="B41" s="145">
        <v>2</v>
      </c>
      <c r="C41" s="37">
        <f t="shared" si="2"/>
        <v>1.1111111111111112E-2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">
      <c r="A42" s="51" t="s">
        <v>191</v>
      </c>
      <c r="B42" s="145">
        <v>1</v>
      </c>
      <c r="C42" s="37">
        <f t="shared" si="2"/>
        <v>5.5555555555555558E-3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">
      <c r="A43" s="51" t="s">
        <v>192</v>
      </c>
      <c r="B43" s="145">
        <v>1</v>
      </c>
      <c r="C43" s="37">
        <f t="shared" si="2"/>
        <v>5.5555555555555558E-3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">
      <c r="A44" s="53" t="s">
        <v>193</v>
      </c>
      <c r="B44" s="140">
        <v>6</v>
      </c>
      <c r="C44" s="40">
        <f t="shared" si="2"/>
        <v>3.3333333333333333E-2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  <row r="61" spans="5:12" x14ac:dyDescent="0.4">
      <c r="K61" s="36">
        <v>59</v>
      </c>
      <c r="L61" s="95">
        <v>357.80000000000007</v>
      </c>
    </row>
    <row r="62" spans="5:12" x14ac:dyDescent="0.4">
      <c r="K62" s="36">
        <v>60</v>
      </c>
      <c r="L62" s="95">
        <v>364.90000000000009</v>
      </c>
    </row>
    <row r="63" spans="5:12" x14ac:dyDescent="0.4">
      <c r="K63" s="36">
        <v>61</v>
      </c>
      <c r="L63" s="95">
        <v>351.80000000000007</v>
      </c>
    </row>
    <row r="64" spans="5:12" x14ac:dyDescent="0.4">
      <c r="K64" s="36">
        <v>62</v>
      </c>
      <c r="L64" s="95">
        <v>338.80000000000007</v>
      </c>
    </row>
    <row r="65" spans="11:12" x14ac:dyDescent="0.4">
      <c r="K65" s="36">
        <v>63</v>
      </c>
      <c r="L65" s="95">
        <v>319.30000000000007</v>
      </c>
    </row>
    <row r="66" spans="11:12" x14ac:dyDescent="0.4">
      <c r="K66" s="36">
        <v>64</v>
      </c>
      <c r="L66" s="95">
        <v>273.80000000000007</v>
      </c>
    </row>
    <row r="67" spans="11:12" x14ac:dyDescent="0.4">
      <c r="K67" s="36">
        <v>65</v>
      </c>
      <c r="L67" s="95">
        <v>333.00000000000006</v>
      </c>
    </row>
    <row r="68" spans="11:12" x14ac:dyDescent="0.4">
      <c r="K68" s="36">
        <v>66</v>
      </c>
      <c r="L68" s="95">
        <v>368.80000000000007</v>
      </c>
    </row>
    <row r="69" spans="11:12" x14ac:dyDescent="0.4">
      <c r="K69" s="36">
        <v>67</v>
      </c>
      <c r="L69" s="95">
        <v>360.90000000000009</v>
      </c>
    </row>
    <row r="70" spans="11:12" x14ac:dyDescent="0.4">
      <c r="K70" s="36">
        <v>68</v>
      </c>
      <c r="L70" s="95">
        <v>458.00000000000011</v>
      </c>
    </row>
    <row r="71" spans="11:12" x14ac:dyDescent="0.4">
      <c r="K71" s="36">
        <v>69</v>
      </c>
      <c r="L71" s="95">
        <v>455.2000000000001</v>
      </c>
    </row>
    <row r="72" spans="11:12" x14ac:dyDescent="0.4">
      <c r="K72" s="36">
        <v>70</v>
      </c>
      <c r="L72" s="95">
        <v>422.90000000000009</v>
      </c>
    </row>
    <row r="73" spans="11:12" x14ac:dyDescent="0.4">
      <c r="K73" s="36">
        <v>71</v>
      </c>
      <c r="L73" s="95">
        <v>435.7000000000001</v>
      </c>
    </row>
    <row r="74" spans="11:12" x14ac:dyDescent="0.4">
      <c r="K74" s="36">
        <v>72</v>
      </c>
      <c r="L74" s="95">
        <v>466.40000000000009</v>
      </c>
    </row>
    <row r="75" spans="11:12" x14ac:dyDescent="0.4">
      <c r="K75" s="36">
        <v>73</v>
      </c>
      <c r="L75" s="95">
        <v>406.10000000000008</v>
      </c>
    </row>
    <row r="76" spans="11:12" x14ac:dyDescent="0.4">
      <c r="K76" s="36">
        <v>74</v>
      </c>
      <c r="L76" s="95">
        <v>360.50000000000006</v>
      </c>
    </row>
    <row r="77" spans="11:12" x14ac:dyDescent="0.4">
      <c r="K77" s="36">
        <v>75</v>
      </c>
      <c r="L77" s="95">
        <v>332.60000000000008</v>
      </c>
    </row>
    <row r="78" spans="11:12" x14ac:dyDescent="0.4">
      <c r="K78" s="36">
        <v>76</v>
      </c>
      <c r="L78" s="95">
        <v>325.7000000000001</v>
      </c>
    </row>
    <row r="79" spans="11:12" x14ac:dyDescent="0.4">
      <c r="K79" s="36">
        <v>77</v>
      </c>
      <c r="L79" s="95">
        <v>368.00000000000011</v>
      </c>
    </row>
    <row r="80" spans="11:12" x14ac:dyDescent="0.4">
      <c r="K80" s="36">
        <v>78</v>
      </c>
      <c r="L80" s="95">
        <v>312.50000000000011</v>
      </c>
    </row>
    <row r="81" spans="11:12" x14ac:dyDescent="0.4">
      <c r="K81" s="36">
        <v>79</v>
      </c>
      <c r="L81" s="95">
        <v>263.80000000000013</v>
      </c>
    </row>
    <row r="82" spans="11:12" x14ac:dyDescent="0.4">
      <c r="K82" s="36">
        <v>80</v>
      </c>
      <c r="L82" s="95">
        <v>245.50000000000011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DE08B-2481-4B7D-94D3-3B6278DF7B18}">
  <sheetPr codeName="Sheet17"/>
  <dimension ref="A1:Q10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101</v>
      </c>
      <c r="C2" s="155"/>
      <c r="E2" s="58" t="s">
        <v>66</v>
      </c>
      <c r="F2" s="55" t="s">
        <v>22</v>
      </c>
      <c r="G2" s="43">
        <v>172</v>
      </c>
      <c r="H2" s="128">
        <f>IF(B$15=0,0,G2/B$15)</f>
        <v>0.74782608695652175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746</v>
      </c>
      <c r="P2" s="114">
        <v>100</v>
      </c>
      <c r="Q2" s="98">
        <v>74600</v>
      </c>
    </row>
    <row r="3" spans="1:17" x14ac:dyDescent="0.4">
      <c r="A3" s="51" t="s">
        <v>8</v>
      </c>
      <c r="B3" s="156">
        <v>801</v>
      </c>
      <c r="C3" s="157"/>
      <c r="E3" s="59" t="s">
        <v>72</v>
      </c>
      <c r="F3" s="56" t="s">
        <v>27</v>
      </c>
      <c r="G3" s="44">
        <v>129</v>
      </c>
      <c r="H3" s="129">
        <f>IF(B$15=0,0,G3/B$15)</f>
        <v>0.56086956521739129</v>
      </c>
      <c r="I3" s="90">
        <v>4</v>
      </c>
      <c r="K3" s="36">
        <v>1</v>
      </c>
      <c r="L3" s="95">
        <v>46.9</v>
      </c>
      <c r="N3" s="111" t="s">
        <v>131</v>
      </c>
      <c r="O3" s="118">
        <f t="shared" si="0"/>
        <v>863.91752577319585</v>
      </c>
      <c r="P3" s="115">
        <v>97</v>
      </c>
      <c r="Q3" s="99">
        <v>83800</v>
      </c>
    </row>
    <row r="4" spans="1:17" x14ac:dyDescent="0.4">
      <c r="A4" s="51" t="s">
        <v>6</v>
      </c>
      <c r="B4" s="158">
        <v>-25.600000000000009</v>
      </c>
      <c r="C4" s="159"/>
      <c r="E4" s="59" t="s">
        <v>64</v>
      </c>
      <c r="F4" s="56" t="s">
        <v>20</v>
      </c>
      <c r="G4" s="44">
        <v>115</v>
      </c>
      <c r="H4" s="129">
        <f>IF(B$15=0,0,G4/B$15)</f>
        <v>0.5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-596.7032967032967</v>
      </c>
      <c r="P4" s="115">
        <v>91</v>
      </c>
      <c r="Q4" s="99">
        <v>-54300</v>
      </c>
    </row>
    <row r="5" spans="1:17" x14ac:dyDescent="0.4">
      <c r="A5" s="51" t="s">
        <v>7</v>
      </c>
      <c r="B5" s="160">
        <f>IF(B$2=0,0,B$4/B$2)</f>
        <v>-0.25346534653465352</v>
      </c>
      <c r="C5" s="161"/>
      <c r="E5" s="59" t="s">
        <v>166</v>
      </c>
      <c r="F5" s="56" t="s">
        <v>167</v>
      </c>
      <c r="G5" s="44">
        <v>107</v>
      </c>
      <c r="H5" s="129">
        <f>IF(B$15=0,0,G5/B$15)</f>
        <v>0.4652173913043478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13.253012048192771</v>
      </c>
      <c r="P5" s="115">
        <v>83</v>
      </c>
      <c r="Q5" s="99">
        <v>1100</v>
      </c>
    </row>
    <row r="6" spans="1:17" x14ac:dyDescent="0.4">
      <c r="A6" s="51" t="s">
        <v>1</v>
      </c>
      <c r="B6" s="150">
        <f>IF(B$2=0,0,(B$7*1+B$8*2+B$9*3)/B$2)</f>
        <v>2.0297029702970297</v>
      </c>
      <c r="C6" s="151"/>
      <c r="E6" s="59" t="s">
        <v>67</v>
      </c>
      <c r="F6" s="56" t="s">
        <v>23</v>
      </c>
      <c r="G6" s="44">
        <v>90</v>
      </c>
      <c r="H6" s="129">
        <f>IF(B$15=0,0,G6/B$15)</f>
        <v>0.39130434782608697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-977.02702702702697</v>
      </c>
      <c r="P6" s="115">
        <v>74</v>
      </c>
      <c r="Q6" s="99">
        <v>-72300</v>
      </c>
    </row>
    <row r="7" spans="1:17" x14ac:dyDescent="0.4">
      <c r="A7" s="51" t="s">
        <v>2</v>
      </c>
      <c r="B7" s="44">
        <v>25</v>
      </c>
      <c r="C7" s="37">
        <f t="shared" ref="C7:C10" si="1">IF(B$2=0,0,B7/B$2)</f>
        <v>0.24752475247524752</v>
      </c>
      <c r="E7" s="59" t="s">
        <v>68</v>
      </c>
      <c r="F7" s="56" t="s">
        <v>12</v>
      </c>
      <c r="G7" s="44">
        <v>76</v>
      </c>
      <c r="H7" s="129">
        <f>IF(B$15=0,0,G7/B$15)</f>
        <v>0.33043478260869563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-763.49206349206349</v>
      </c>
      <c r="P7" s="116">
        <v>63</v>
      </c>
      <c r="Q7" s="100">
        <v>-48100</v>
      </c>
    </row>
    <row r="8" spans="1:17" x14ac:dyDescent="0.4">
      <c r="A8" s="51" t="s">
        <v>3</v>
      </c>
      <c r="B8" s="44">
        <v>48</v>
      </c>
      <c r="C8" s="37">
        <f t="shared" si="1"/>
        <v>0.47524752475247523</v>
      </c>
      <c r="E8" s="59" t="s">
        <v>69</v>
      </c>
      <c r="F8" s="56" t="s">
        <v>24</v>
      </c>
      <c r="G8" s="44">
        <v>32</v>
      </c>
      <c r="H8" s="129">
        <f>IF(B$15=0,0,G8/B$15)</f>
        <v>0.1391304347826087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28</v>
      </c>
      <c r="C9" s="38">
        <f t="shared" si="1"/>
        <v>0.27722772277227725</v>
      </c>
      <c r="E9" s="59" t="s">
        <v>89</v>
      </c>
      <c r="F9" s="56" t="s">
        <v>44</v>
      </c>
      <c r="G9" s="44">
        <v>23</v>
      </c>
      <c r="H9" s="129">
        <f>IF(B$15=0,0,G9/B$15)</f>
        <v>0.1</v>
      </c>
      <c r="I9" s="90">
        <v>9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8</v>
      </c>
      <c r="C10" s="40">
        <f t="shared" si="1"/>
        <v>7.9207920792079209E-2</v>
      </c>
      <c r="E10" s="59" t="s">
        <v>71</v>
      </c>
      <c r="F10" s="56" t="s">
        <v>26</v>
      </c>
      <c r="G10" s="44">
        <v>22</v>
      </c>
      <c r="H10" s="129">
        <f>IF(B$15=0,0,G10/B$15)</f>
        <v>9.5652173913043481E-2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-0.1857142857142858</v>
      </c>
      <c r="P10" s="114">
        <v>42</v>
      </c>
      <c r="Q10" s="102">
        <v>-7.8000000000000043</v>
      </c>
    </row>
    <row r="11" spans="1:17" x14ac:dyDescent="0.4">
      <c r="A11" s="54" t="s">
        <v>121</v>
      </c>
      <c r="B11" s="47">
        <v>214</v>
      </c>
      <c r="C11" s="42">
        <f>IF(B$3=0,0,B11/B$3)</f>
        <v>0.26716604244694131</v>
      </c>
      <c r="E11" s="59" t="s">
        <v>70</v>
      </c>
      <c r="F11" s="56" t="s">
        <v>25</v>
      </c>
      <c r="G11" s="44">
        <v>18</v>
      </c>
      <c r="H11" s="129">
        <f>IF(B$15=0,0,G11/B$15)</f>
        <v>7.8260869565217397E-2</v>
      </c>
      <c r="I11" s="90">
        <v>9</v>
      </c>
      <c r="K11" s="36">
        <v>9</v>
      </c>
      <c r="L11" s="95">
        <v>-90.9</v>
      </c>
      <c r="N11" s="111" t="s">
        <v>158</v>
      </c>
      <c r="O11" s="121">
        <f>IF(P11=0,0,Q11/P11)</f>
        <v>2.2903225806451619</v>
      </c>
      <c r="P11" s="115">
        <v>31</v>
      </c>
      <c r="Q11" s="103">
        <v>71.000000000000014</v>
      </c>
    </row>
    <row r="12" spans="1:17" x14ac:dyDescent="0.4">
      <c r="A12" s="51" t="s">
        <v>118</v>
      </c>
      <c r="B12" s="44">
        <v>177</v>
      </c>
      <c r="C12" s="37">
        <f>IF(B$3=0,0,B12/B$3)</f>
        <v>0.22097378277153559</v>
      </c>
      <c r="E12" s="59" t="s">
        <v>65</v>
      </c>
      <c r="F12" s="56" t="s">
        <v>21</v>
      </c>
      <c r="G12" s="44">
        <v>17</v>
      </c>
      <c r="H12" s="129">
        <f>IF(B$15=0,0,G12/B$15)</f>
        <v>7.3913043478260873E-2</v>
      </c>
      <c r="I12" s="90">
        <v>9</v>
      </c>
      <c r="K12" s="36">
        <v>10</v>
      </c>
      <c r="L12" s="95">
        <v>-146.69999999999999</v>
      </c>
      <c r="N12" s="112" t="s">
        <v>159</v>
      </c>
      <c r="O12" s="122">
        <f>IF(P12=0,0,Q12/P12)</f>
        <v>-3.2888888888888892</v>
      </c>
      <c r="P12" s="116">
        <v>27</v>
      </c>
      <c r="Q12" s="104">
        <v>-88.800000000000011</v>
      </c>
    </row>
    <row r="13" spans="1:17" x14ac:dyDescent="0.4">
      <c r="A13" s="50" t="s">
        <v>123</v>
      </c>
      <c r="B13" s="43">
        <f>B19</f>
        <v>122</v>
      </c>
      <c r="C13" s="35">
        <f>IF(B$11=0,0,B13/B$11)</f>
        <v>0.57009345794392519</v>
      </c>
      <c r="E13" s="59" t="s">
        <v>86</v>
      </c>
      <c r="F13" s="56" t="s">
        <v>41</v>
      </c>
      <c r="G13" s="44">
        <v>13</v>
      </c>
      <c r="H13" s="129">
        <f>IF(B$15=0,0,G13/B$15)</f>
        <v>5.6521739130434782E-2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75</v>
      </c>
      <c r="C14" s="35">
        <f>IF(B$12=0,0,B14/B$12)</f>
        <v>0.42372881355932202</v>
      </c>
      <c r="E14" s="59" t="s">
        <v>83</v>
      </c>
      <c r="F14" s="56" t="s">
        <v>38</v>
      </c>
      <c r="G14" s="44">
        <v>8</v>
      </c>
      <c r="H14" s="129">
        <f>IF(B$15=0,0,G14/B$15)</f>
        <v>3.4782608695652174E-2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230</v>
      </c>
      <c r="C15" s="35">
        <f>IF(B$3=0,0,B15/B$3)</f>
        <v>0.28714107365792757</v>
      </c>
      <c r="E15" s="59" t="s">
        <v>79</v>
      </c>
      <c r="F15" s="56" t="s">
        <v>34</v>
      </c>
      <c r="G15" s="44">
        <v>6</v>
      </c>
      <c r="H15" s="129">
        <f>IF(B$15=0,0,G15/B$15)</f>
        <v>2.6086956521739129E-2</v>
      </c>
      <c r="I15" s="90">
        <v>2</v>
      </c>
      <c r="K15" s="36">
        <v>13</v>
      </c>
      <c r="L15" s="95">
        <v>-68.399999999999991</v>
      </c>
      <c r="N15" s="110" t="s">
        <v>212</v>
      </c>
      <c r="O15" s="120">
        <f t="shared" ref="O15:O23" si="2">IF(P15=0,0,Q15/P15)</f>
        <v>53.179999999999993</v>
      </c>
      <c r="P15" s="114">
        <v>5</v>
      </c>
      <c r="Q15" s="102">
        <v>265.89999999999998</v>
      </c>
    </row>
    <row r="16" spans="1:17" x14ac:dyDescent="0.4">
      <c r="A16" s="51" t="s">
        <v>13</v>
      </c>
      <c r="B16" s="44">
        <v>110</v>
      </c>
      <c r="C16" s="37">
        <f>IF(B$3=0,0,B16/B$3)</f>
        <v>0.13732833957553059</v>
      </c>
      <c r="E16" s="59" t="s">
        <v>162</v>
      </c>
      <c r="F16" s="56" t="s">
        <v>163</v>
      </c>
      <c r="G16" s="44">
        <v>6</v>
      </c>
      <c r="H16" s="129">
        <f>IF(B$15=0,0,G16/B$15)</f>
        <v>2.6086956521739129E-2</v>
      </c>
      <c r="I16" s="90">
        <v>3</v>
      </c>
      <c r="K16" s="36">
        <v>14</v>
      </c>
      <c r="L16" s="95">
        <v>-25.79999999999999</v>
      </c>
      <c r="N16" s="111" t="s">
        <v>236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">
      <c r="A17" s="51" t="s">
        <v>12</v>
      </c>
      <c r="B17" s="44">
        <v>104</v>
      </c>
      <c r="C17" s="37">
        <f>IF(B$15=0,0,B17/B$15)</f>
        <v>0.45217391304347826</v>
      </c>
      <c r="E17" s="59" t="s">
        <v>73</v>
      </c>
      <c r="F17" s="56" t="s">
        <v>28</v>
      </c>
      <c r="G17" s="44">
        <v>4</v>
      </c>
      <c r="H17" s="129">
        <f>IF(B$15=0,0,G17/B$15)</f>
        <v>1.7391304347826087E-2</v>
      </c>
      <c r="I17" s="90">
        <v>1</v>
      </c>
      <c r="K17" s="36">
        <v>15</v>
      </c>
      <c r="L17" s="95">
        <v>-35.499999999999986</v>
      </c>
      <c r="N17" s="111" t="s">
        <v>202</v>
      </c>
      <c r="O17" s="121">
        <f t="shared" si="2"/>
        <v>25.104347826086954</v>
      </c>
      <c r="P17" s="115">
        <v>23</v>
      </c>
      <c r="Q17" s="103">
        <v>577.4</v>
      </c>
    </row>
    <row r="18" spans="1:17" x14ac:dyDescent="0.4">
      <c r="A18" s="51" t="s">
        <v>11</v>
      </c>
      <c r="B18" s="44">
        <v>126</v>
      </c>
      <c r="C18" s="37">
        <f>IF(B$15=0,0,B18/B$15)</f>
        <v>0.54782608695652169</v>
      </c>
      <c r="E18" s="59" t="s">
        <v>78</v>
      </c>
      <c r="F18" s="56" t="s">
        <v>33</v>
      </c>
      <c r="G18" s="44">
        <v>3</v>
      </c>
      <c r="H18" s="129">
        <f>IF(B$15=0,0,G18/B$15)</f>
        <v>1.3043478260869565E-2</v>
      </c>
      <c r="I18" s="90">
        <v>6</v>
      </c>
      <c r="K18" s="36">
        <v>16</v>
      </c>
      <c r="L18" s="95">
        <v>-35.599999999999987</v>
      </c>
      <c r="N18" s="111" t="s">
        <v>172</v>
      </c>
      <c r="O18" s="121">
        <f t="shared" si="2"/>
        <v>13.300000000000002</v>
      </c>
      <c r="P18" s="115">
        <v>21</v>
      </c>
      <c r="Q18" s="103">
        <v>279.30000000000007</v>
      </c>
    </row>
    <row r="19" spans="1:17" x14ac:dyDescent="0.4">
      <c r="A19" s="51" t="s">
        <v>197</v>
      </c>
      <c r="B19" s="44">
        <v>122</v>
      </c>
      <c r="C19" s="37">
        <f>IF(B$15=0,0,B19/B$15)</f>
        <v>0.5304347826086957</v>
      </c>
      <c r="E19" s="59" t="s">
        <v>81</v>
      </c>
      <c r="F19" s="56" t="s">
        <v>36</v>
      </c>
      <c r="G19" s="44">
        <v>3</v>
      </c>
      <c r="H19" s="129">
        <f>IF(B$15=0,0,G19/B$15)</f>
        <v>1.3043478260869565E-2</v>
      </c>
      <c r="I19" s="90">
        <v>8</v>
      </c>
      <c r="K19" s="36">
        <v>17</v>
      </c>
      <c r="L19" s="95">
        <v>-29.799999999999986</v>
      </c>
      <c r="N19" s="111" t="s">
        <v>201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">
      <c r="A20" s="51" t="s">
        <v>195</v>
      </c>
      <c r="B20" s="44">
        <v>75</v>
      </c>
      <c r="C20" s="37">
        <f>IF(B$15=0,0,B20/B$15)</f>
        <v>0.32608695652173914</v>
      </c>
      <c r="E20" s="59" t="s">
        <v>91</v>
      </c>
      <c r="F20" s="56" t="s">
        <v>46</v>
      </c>
      <c r="G20" s="44">
        <v>2</v>
      </c>
      <c r="H20" s="129">
        <f>IF(B$15=0,0,G20/B$15)</f>
        <v>8.6956521739130436E-3</v>
      </c>
      <c r="I20" s="90">
        <v>6</v>
      </c>
      <c r="K20" s="36">
        <v>18</v>
      </c>
      <c r="L20" s="95">
        <v>-62.399999999999991</v>
      </c>
      <c r="N20" s="111" t="s">
        <v>161</v>
      </c>
      <c r="O20" s="121">
        <f t="shared" si="2"/>
        <v>1.6833333333333331</v>
      </c>
      <c r="P20" s="115">
        <v>18</v>
      </c>
      <c r="Q20" s="103">
        <v>30.299999999999997</v>
      </c>
    </row>
    <row r="21" spans="1:17" x14ac:dyDescent="0.4">
      <c r="A21" s="51" t="s">
        <v>196</v>
      </c>
      <c r="B21" s="44">
        <v>33</v>
      </c>
      <c r="C21" s="37">
        <f>IF(B$15=0,0,B21/B$15)</f>
        <v>0.14347826086956522</v>
      </c>
      <c r="E21" s="59" t="s">
        <v>74</v>
      </c>
      <c r="F21" s="56" t="s">
        <v>29</v>
      </c>
      <c r="G21" s="44">
        <v>1</v>
      </c>
      <c r="H21" s="129">
        <f>IF(B$15=0,0,G21/B$15)</f>
        <v>4.3478260869565218E-3</v>
      </c>
      <c r="I21" s="90">
        <v>4</v>
      </c>
      <c r="K21" s="36">
        <v>19</v>
      </c>
      <c r="L21" s="95">
        <v>-56.399999999999991</v>
      </c>
      <c r="N21" s="111" t="s">
        <v>127</v>
      </c>
      <c r="O21" s="121">
        <f t="shared" si="2"/>
        <v>0.33500000000000069</v>
      </c>
      <c r="P21" s="115">
        <v>40</v>
      </c>
      <c r="Q21" s="103">
        <v>13.400000000000027</v>
      </c>
    </row>
    <row r="22" spans="1:17" x14ac:dyDescent="0.4">
      <c r="A22" s="51" t="s">
        <v>5</v>
      </c>
      <c r="B22" s="48">
        <f>IF(B$15=0,0,C22/B$15)</f>
        <v>8340.8695652173919</v>
      </c>
      <c r="C22" s="39">
        <v>1918400</v>
      </c>
      <c r="E22" s="59" t="s">
        <v>75</v>
      </c>
      <c r="F22" s="56" t="s">
        <v>30</v>
      </c>
      <c r="G22" s="44">
        <v>1</v>
      </c>
      <c r="H22" s="129">
        <f>IF(B$15=0,0,G22/B$15)</f>
        <v>4.3478260869565218E-3</v>
      </c>
      <c r="I22" s="90">
        <v>8</v>
      </c>
      <c r="K22" s="36">
        <v>20</v>
      </c>
      <c r="L22" s="95">
        <v>-93.199999999999989</v>
      </c>
      <c r="N22" s="111" t="s">
        <v>170</v>
      </c>
      <c r="O22" s="121">
        <f t="shared" si="2"/>
        <v>-10.602564102564102</v>
      </c>
      <c r="P22" s="115">
        <v>39</v>
      </c>
      <c r="Q22" s="103">
        <v>-413.5</v>
      </c>
    </row>
    <row r="23" spans="1:17" x14ac:dyDescent="0.4">
      <c r="A23" s="52" t="s">
        <v>177</v>
      </c>
      <c r="B23" s="136">
        <f>IF($B$15-B$14=0,0,C23/($B$15-B$14))</f>
        <v>9310.322580645161</v>
      </c>
      <c r="C23" s="137">
        <v>1443100</v>
      </c>
      <c r="E23" s="59" t="s">
        <v>85</v>
      </c>
      <c r="F23" s="56" t="s">
        <v>40</v>
      </c>
      <c r="G23" s="44">
        <v>1</v>
      </c>
      <c r="H23" s="129">
        <f>IF(B$15=0,0,G23/B$15)</f>
        <v>4.3478260869565218E-3</v>
      </c>
      <c r="I23" s="90">
        <v>4</v>
      </c>
      <c r="K23" s="36">
        <v>21</v>
      </c>
      <c r="L23" s="95">
        <v>-123.69999999999999</v>
      </c>
      <c r="N23" s="111" t="s">
        <v>126</v>
      </c>
      <c r="O23" s="121">
        <f t="shared" si="2"/>
        <v>-17.706</v>
      </c>
      <c r="P23" s="115">
        <v>50</v>
      </c>
      <c r="Q23" s="103">
        <v>-885.3</v>
      </c>
    </row>
    <row r="24" spans="1:17" x14ac:dyDescent="0.4">
      <c r="A24" s="52" t="s">
        <v>178</v>
      </c>
      <c r="B24" s="136">
        <f>IF(B$14=0,0,C24/B$14)</f>
        <v>6337.333333333333</v>
      </c>
      <c r="C24" s="137">
        <v>475300</v>
      </c>
      <c r="E24" s="59" t="s">
        <v>87</v>
      </c>
      <c r="F24" s="56" t="s">
        <v>42</v>
      </c>
      <c r="G24" s="44">
        <v>1</v>
      </c>
      <c r="H24" s="129">
        <f>IF(B$15=0,0,G24/B$15)</f>
        <v>4.3478260869565218E-3</v>
      </c>
      <c r="I24" s="90">
        <v>2</v>
      </c>
      <c r="K24" s="36">
        <v>22</v>
      </c>
      <c r="L24" s="95">
        <v>-66.999999999999986</v>
      </c>
    </row>
    <row r="25" spans="1:17" x14ac:dyDescent="0.4">
      <c r="A25" s="52" t="s">
        <v>176</v>
      </c>
      <c r="B25" s="136">
        <f>IF(B$16=0,0,C25/B$16)</f>
        <v>-7714.545454545455</v>
      </c>
      <c r="C25" s="137">
        <v>-848600</v>
      </c>
      <c r="E25" s="59" t="s">
        <v>88</v>
      </c>
      <c r="F25" s="56" t="s">
        <v>43</v>
      </c>
      <c r="G25" s="44">
        <v>1</v>
      </c>
      <c r="H25" s="129">
        <f>IF(B$15=0,0,G25/B$15)</f>
        <v>4.3478260869565218E-3</v>
      </c>
      <c r="I25" s="90">
        <v>3</v>
      </c>
      <c r="K25" s="36">
        <v>23</v>
      </c>
      <c r="L25" s="95">
        <v>-59.599999999999987</v>
      </c>
    </row>
    <row r="26" spans="1:17" x14ac:dyDescent="0.4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4.3478260869565218E-3</v>
      </c>
      <c r="I26" s="90">
        <v>3</v>
      </c>
      <c r="K26" s="36">
        <v>24</v>
      </c>
      <c r="L26" s="95">
        <v>-91.399999999999991</v>
      </c>
    </row>
    <row r="27" spans="1:17" x14ac:dyDescent="0.4">
      <c r="A27" s="51" t="s">
        <v>165</v>
      </c>
      <c r="B27" s="44">
        <v>44</v>
      </c>
      <c r="C27" s="131">
        <v>3</v>
      </c>
      <c r="E27" s="59" t="s">
        <v>101</v>
      </c>
      <c r="F27" s="56" t="s">
        <v>56</v>
      </c>
      <c r="G27" s="44">
        <v>1</v>
      </c>
      <c r="H27" s="129">
        <f>IF(B$15=0,0,G27/B$15)</f>
        <v>4.3478260869565218E-3</v>
      </c>
      <c r="I27" s="90">
        <v>1</v>
      </c>
      <c r="K27" s="36">
        <v>25</v>
      </c>
      <c r="L27" s="95">
        <v>-41.29999999999999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4" t="s">
        <v>194</v>
      </c>
      <c r="B29" s="146">
        <v>87000</v>
      </c>
      <c r="C29" s="147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-70.199999999999989</v>
      </c>
    </row>
    <row r="30" spans="1:17" x14ac:dyDescent="0.4">
      <c r="A30" s="53" t="s">
        <v>139</v>
      </c>
      <c r="B30" s="61">
        <v>2</v>
      </c>
      <c r="C30" s="40">
        <f>IF(B$3=0,0,B30/B$3)</f>
        <v>2.4968789013732834E-3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A32" s="86" t="s">
        <v>185</v>
      </c>
      <c r="B32" s="144">
        <v>13</v>
      </c>
      <c r="C32" s="141">
        <f>IF(B$15=0,0,B32/B$15)</f>
        <v>5.6521739130434782E-2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4</v>
      </c>
      <c r="K32" s="36">
        <v>30</v>
      </c>
      <c r="L32" s="95">
        <v>-107.29999999999998</v>
      </c>
    </row>
    <row r="33" spans="1:12" x14ac:dyDescent="0.4">
      <c r="A33" s="51" t="s">
        <v>181</v>
      </c>
      <c r="B33" s="44">
        <v>43</v>
      </c>
      <c r="C33" s="37">
        <f t="shared" ref="C33:C44" si="3">IF(B$15=0,0,B33/B$15)</f>
        <v>0.18695652173913044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4</v>
      </c>
      <c r="K33" s="36">
        <v>31</v>
      </c>
      <c r="L33" s="95">
        <v>-96.799999999999983</v>
      </c>
    </row>
    <row r="34" spans="1:12" x14ac:dyDescent="0.4">
      <c r="A34" s="51" t="s">
        <v>182</v>
      </c>
      <c r="B34" s="145">
        <v>48</v>
      </c>
      <c r="C34" s="37">
        <f>IF(B$15=0,0,B34/B$15)</f>
        <v>0.20869565217391303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-54.09999999999998</v>
      </c>
    </row>
    <row r="35" spans="1:12" x14ac:dyDescent="0.4">
      <c r="A35" s="51" t="s">
        <v>183</v>
      </c>
      <c r="B35" s="145">
        <v>38</v>
      </c>
      <c r="C35" s="37">
        <f t="shared" si="3"/>
        <v>0.16521739130434782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">
      <c r="A36" s="51" t="s">
        <v>184</v>
      </c>
      <c r="B36" s="145">
        <v>36</v>
      </c>
      <c r="C36" s="37">
        <f t="shared" si="3"/>
        <v>0.15652173913043479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">
      <c r="A37" s="51" t="s">
        <v>186</v>
      </c>
      <c r="B37" s="145">
        <v>25</v>
      </c>
      <c r="C37" s="37">
        <f t="shared" si="3"/>
        <v>0.10869565217391304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">
      <c r="A38" s="51" t="s">
        <v>187</v>
      </c>
      <c r="B38" s="145">
        <v>11</v>
      </c>
      <c r="C38" s="37">
        <f t="shared" si="3"/>
        <v>4.7826086956521741E-2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">
      <c r="A39" s="51" t="s">
        <v>188</v>
      </c>
      <c r="B39" s="145">
        <v>7</v>
      </c>
      <c r="C39" s="37">
        <f t="shared" si="3"/>
        <v>3.0434782608695653E-2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">
      <c r="A40" s="51" t="s">
        <v>189</v>
      </c>
      <c r="B40" s="145">
        <v>3</v>
      </c>
      <c r="C40" s="37">
        <f t="shared" si="3"/>
        <v>1.3043478260869565E-2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-58.59999999999998</v>
      </c>
    </row>
    <row r="41" spans="1:12" x14ac:dyDescent="0.4">
      <c r="A41" s="51" t="s">
        <v>190</v>
      </c>
      <c r="B41" s="145">
        <v>2</v>
      </c>
      <c r="C41" s="37">
        <f t="shared" si="3"/>
        <v>8.6956521739130436E-3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-51.799999999999983</v>
      </c>
    </row>
    <row r="42" spans="1:12" x14ac:dyDescent="0.4">
      <c r="A42" s="51" t="s">
        <v>191</v>
      </c>
      <c r="B42" s="145">
        <v>1</v>
      </c>
      <c r="C42" s="37">
        <f t="shared" si="3"/>
        <v>4.3478260869565218E-3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-67.899999999999977</v>
      </c>
    </row>
    <row r="43" spans="1:12" x14ac:dyDescent="0.4">
      <c r="A43" s="51" t="s">
        <v>192</v>
      </c>
      <c r="B43" s="145">
        <v>1</v>
      </c>
      <c r="C43" s="37">
        <f t="shared" si="3"/>
        <v>4.3478260869565218E-3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-61.299999999999976</v>
      </c>
    </row>
    <row r="44" spans="1:12" x14ac:dyDescent="0.4">
      <c r="A44" s="53" t="s">
        <v>193</v>
      </c>
      <c r="B44" s="140">
        <v>2</v>
      </c>
      <c r="C44" s="40">
        <f t="shared" si="3"/>
        <v>8.6956521739130436E-3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-56.899999999999977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-58.499999999999979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-49.899999999999977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11.600000000000023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-23.299999999999976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-31.099999999999977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-18.499999999999979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7.1000000000000227</v>
      </c>
    </row>
    <row r="53" spans="5:12" x14ac:dyDescent="0.4">
      <c r="K53" s="36">
        <v>51</v>
      </c>
      <c r="L53" s="95">
        <v>6.5000000000000231</v>
      </c>
    </row>
    <row r="54" spans="5:12" x14ac:dyDescent="0.4">
      <c r="K54" s="36">
        <v>52</v>
      </c>
      <c r="L54" s="95">
        <v>-0.29999999999997673</v>
      </c>
    </row>
    <row r="55" spans="5:12" x14ac:dyDescent="0.4">
      <c r="K55" s="36">
        <v>53</v>
      </c>
      <c r="L55" s="95">
        <v>8.800000000000022</v>
      </c>
    </row>
    <row r="56" spans="5:12" x14ac:dyDescent="0.4">
      <c r="K56" s="36">
        <v>54</v>
      </c>
      <c r="L56" s="95">
        <v>5.800000000000022</v>
      </c>
    </row>
    <row r="57" spans="5:12" x14ac:dyDescent="0.4">
      <c r="K57" s="36">
        <v>55</v>
      </c>
      <c r="L57" s="95">
        <v>-12.499999999999979</v>
      </c>
    </row>
    <row r="58" spans="5:12" x14ac:dyDescent="0.4">
      <c r="K58" s="36">
        <v>56</v>
      </c>
      <c r="L58" s="95">
        <v>36.40000000000002</v>
      </c>
    </row>
    <row r="59" spans="5:12" x14ac:dyDescent="0.4">
      <c r="K59" s="36">
        <v>57</v>
      </c>
      <c r="L59" s="95">
        <v>-3.6999999999999815</v>
      </c>
    </row>
    <row r="60" spans="5:12" x14ac:dyDescent="0.4">
      <c r="K60" s="36">
        <v>58</v>
      </c>
      <c r="L60" s="95">
        <v>12.90000000000002</v>
      </c>
    </row>
    <row r="61" spans="5:12" x14ac:dyDescent="0.4">
      <c r="K61" s="36">
        <v>59</v>
      </c>
      <c r="L61" s="95">
        <v>37.700000000000017</v>
      </c>
    </row>
    <row r="62" spans="5:12" x14ac:dyDescent="0.4">
      <c r="K62" s="36">
        <v>60</v>
      </c>
      <c r="L62" s="95">
        <v>77.000000000000014</v>
      </c>
    </row>
    <row r="63" spans="5:12" x14ac:dyDescent="0.4">
      <c r="K63" s="36">
        <v>61</v>
      </c>
      <c r="L63" s="95">
        <v>21.100000000000016</v>
      </c>
    </row>
    <row r="64" spans="5:12" x14ac:dyDescent="0.4">
      <c r="K64" s="36">
        <v>62</v>
      </c>
      <c r="L64" s="95">
        <v>27.100000000000016</v>
      </c>
    </row>
    <row r="65" spans="11:12" x14ac:dyDescent="0.4">
      <c r="K65" s="36">
        <v>63</v>
      </c>
      <c r="L65" s="95">
        <v>11.800000000000015</v>
      </c>
    </row>
    <row r="66" spans="11:12" x14ac:dyDescent="0.4">
      <c r="K66" s="36">
        <v>64</v>
      </c>
      <c r="L66" s="95">
        <v>46.40000000000002</v>
      </c>
    </row>
    <row r="67" spans="11:12" x14ac:dyDescent="0.4">
      <c r="K67" s="36">
        <v>65</v>
      </c>
      <c r="L67" s="95">
        <v>39.90000000000002</v>
      </c>
    </row>
    <row r="68" spans="11:12" x14ac:dyDescent="0.4">
      <c r="K68" s="36">
        <v>66</v>
      </c>
      <c r="L68" s="95">
        <v>14.600000000000019</v>
      </c>
    </row>
    <row r="69" spans="11:12" x14ac:dyDescent="0.4">
      <c r="K69" s="36">
        <v>67</v>
      </c>
      <c r="L69" s="95">
        <v>-6.2999999999999794</v>
      </c>
    </row>
    <row r="70" spans="11:12" x14ac:dyDescent="0.4">
      <c r="K70" s="36">
        <v>68</v>
      </c>
      <c r="L70" s="95">
        <v>-2.7999999999999794</v>
      </c>
    </row>
    <row r="71" spans="11:12" x14ac:dyDescent="0.4">
      <c r="K71" s="36">
        <v>69</v>
      </c>
      <c r="L71" s="95">
        <v>-35.799999999999983</v>
      </c>
    </row>
    <row r="72" spans="11:12" x14ac:dyDescent="0.4">
      <c r="K72" s="36">
        <v>70</v>
      </c>
      <c r="L72" s="95">
        <v>-59.899999999999984</v>
      </c>
    </row>
    <row r="73" spans="11:12" x14ac:dyDescent="0.4">
      <c r="K73" s="36">
        <v>71</v>
      </c>
      <c r="L73" s="95">
        <v>-49.59999999999998</v>
      </c>
    </row>
    <row r="74" spans="11:12" x14ac:dyDescent="0.4">
      <c r="K74" s="36">
        <v>72</v>
      </c>
      <c r="L74" s="95">
        <v>-53.999999999999979</v>
      </c>
    </row>
    <row r="75" spans="11:12" x14ac:dyDescent="0.4">
      <c r="K75" s="36">
        <v>73</v>
      </c>
      <c r="L75" s="95">
        <v>-68.199999999999974</v>
      </c>
    </row>
    <row r="76" spans="11:12" x14ac:dyDescent="0.4">
      <c r="K76" s="36">
        <v>74</v>
      </c>
      <c r="L76" s="95">
        <v>-65.699999999999974</v>
      </c>
    </row>
    <row r="77" spans="11:12" x14ac:dyDescent="0.4">
      <c r="K77" s="36">
        <v>75</v>
      </c>
      <c r="L77" s="95">
        <v>-35.599999999999973</v>
      </c>
    </row>
    <row r="78" spans="11:12" x14ac:dyDescent="0.4">
      <c r="K78" s="36">
        <v>76</v>
      </c>
      <c r="L78" s="95">
        <v>-37.499999999999972</v>
      </c>
    </row>
    <row r="79" spans="11:12" x14ac:dyDescent="0.4">
      <c r="K79" s="36">
        <v>77</v>
      </c>
      <c r="L79" s="95">
        <v>-28.199999999999971</v>
      </c>
    </row>
    <row r="80" spans="11:12" x14ac:dyDescent="0.4">
      <c r="K80" s="36">
        <v>78</v>
      </c>
      <c r="L80" s="95">
        <v>-87.299999999999969</v>
      </c>
    </row>
    <row r="81" spans="11:12" x14ac:dyDescent="0.4">
      <c r="K81" s="36">
        <v>79</v>
      </c>
      <c r="L81" s="95">
        <v>-133.39999999999998</v>
      </c>
    </row>
    <row r="82" spans="11:12" x14ac:dyDescent="0.4">
      <c r="K82" s="36">
        <v>80</v>
      </c>
      <c r="L82" s="95">
        <v>-169.99999999999997</v>
      </c>
    </row>
    <row r="83" spans="11:12" x14ac:dyDescent="0.4">
      <c r="K83" s="36">
        <v>81</v>
      </c>
      <c r="L83" s="95">
        <v>-165.79999999999998</v>
      </c>
    </row>
    <row r="84" spans="11:12" x14ac:dyDescent="0.4">
      <c r="K84" s="36">
        <v>82</v>
      </c>
      <c r="L84" s="95">
        <v>-115.99999999999999</v>
      </c>
    </row>
    <row r="85" spans="11:12" x14ac:dyDescent="0.4">
      <c r="K85" s="36">
        <v>83</v>
      </c>
      <c r="L85" s="95">
        <v>-117.19999999999999</v>
      </c>
    </row>
    <row r="86" spans="11:12" x14ac:dyDescent="0.4">
      <c r="K86" s="36">
        <v>84</v>
      </c>
      <c r="L86" s="95">
        <v>-128.6</v>
      </c>
    </row>
    <row r="87" spans="11:12" x14ac:dyDescent="0.4">
      <c r="K87" s="36">
        <v>85</v>
      </c>
      <c r="L87" s="95">
        <v>-119.8</v>
      </c>
    </row>
    <row r="88" spans="11:12" x14ac:dyDescent="0.4">
      <c r="K88" s="36">
        <v>86</v>
      </c>
      <c r="L88" s="95">
        <v>-97.4</v>
      </c>
    </row>
    <row r="89" spans="11:12" x14ac:dyDescent="0.4">
      <c r="K89" s="36">
        <v>87</v>
      </c>
      <c r="L89" s="95">
        <v>-83.800000000000011</v>
      </c>
    </row>
    <row r="90" spans="11:12" x14ac:dyDescent="0.4">
      <c r="K90" s="36">
        <v>88</v>
      </c>
      <c r="L90" s="95">
        <v>-57.400000000000013</v>
      </c>
    </row>
    <row r="91" spans="11:12" x14ac:dyDescent="0.4">
      <c r="K91" s="36">
        <v>89</v>
      </c>
      <c r="L91" s="95">
        <v>-63.20000000000001</v>
      </c>
    </row>
    <row r="92" spans="11:12" x14ac:dyDescent="0.4">
      <c r="K92" s="36">
        <v>90</v>
      </c>
      <c r="L92" s="95">
        <v>-119.60000000000001</v>
      </c>
    </row>
    <row r="93" spans="11:12" x14ac:dyDescent="0.4">
      <c r="K93" s="36">
        <v>91</v>
      </c>
      <c r="L93" s="95">
        <v>-57.600000000000009</v>
      </c>
    </row>
    <row r="94" spans="11:12" x14ac:dyDescent="0.4">
      <c r="K94" s="36">
        <v>92</v>
      </c>
      <c r="L94" s="95">
        <v>-54.900000000000006</v>
      </c>
    </row>
    <row r="95" spans="11:12" x14ac:dyDescent="0.4">
      <c r="K95" s="36">
        <v>93</v>
      </c>
      <c r="L95" s="95">
        <v>-17.100000000000009</v>
      </c>
    </row>
    <row r="96" spans="11:12" x14ac:dyDescent="0.4">
      <c r="K96" s="36">
        <v>94</v>
      </c>
      <c r="L96" s="95">
        <v>8.7999999999999901</v>
      </c>
    </row>
    <row r="97" spans="11:12" x14ac:dyDescent="0.4">
      <c r="K97" s="36">
        <v>95</v>
      </c>
      <c r="L97" s="95">
        <v>-4.1000000000000103</v>
      </c>
    </row>
    <row r="98" spans="11:12" x14ac:dyDescent="0.4">
      <c r="K98" s="36">
        <v>96</v>
      </c>
      <c r="L98" s="95">
        <v>31.899999999999991</v>
      </c>
    </row>
    <row r="99" spans="11:12" x14ac:dyDescent="0.4">
      <c r="K99" s="36">
        <v>97</v>
      </c>
      <c r="L99" s="95">
        <v>52.29999999999999</v>
      </c>
    </row>
    <row r="100" spans="11:12" x14ac:dyDescent="0.4">
      <c r="K100" s="36">
        <v>98</v>
      </c>
      <c r="L100" s="95">
        <v>13.999999999999993</v>
      </c>
    </row>
    <row r="101" spans="11:12" x14ac:dyDescent="0.4">
      <c r="K101" s="36">
        <v>99</v>
      </c>
      <c r="L101" s="95">
        <v>21.399999999999991</v>
      </c>
    </row>
    <row r="102" spans="11:12" x14ac:dyDescent="0.4">
      <c r="K102" s="36">
        <v>100</v>
      </c>
      <c r="L102" s="95">
        <v>-5.4000000000000092</v>
      </c>
    </row>
    <row r="103" spans="11:12" x14ac:dyDescent="0.4">
      <c r="K103" s="36">
        <v>101</v>
      </c>
      <c r="L103" s="95">
        <v>-25.600000000000009</v>
      </c>
    </row>
  </sheetData>
  <sortState xmlns:xlrd2="http://schemas.microsoft.com/office/spreadsheetml/2017/richdata2" ref="E2:I104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DEBFE-391D-489B-A321-9AD3B5D0E179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202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42</v>
      </c>
      <c r="C2" s="155"/>
      <c r="E2" s="58" t="s">
        <v>66</v>
      </c>
      <c r="F2" s="55" t="s">
        <v>22</v>
      </c>
      <c r="G2" s="43">
        <v>56</v>
      </c>
      <c r="H2" s="128">
        <f>IF(B$15=0,0,G2/B$15)</f>
        <v>0.65116279069767447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-2380.9523809523807</v>
      </c>
      <c r="P2" s="114">
        <v>42</v>
      </c>
      <c r="Q2" s="98">
        <v>-100000</v>
      </c>
    </row>
    <row r="3" spans="1:17" x14ac:dyDescent="0.4">
      <c r="A3" s="51" t="s">
        <v>8</v>
      </c>
      <c r="B3" s="156">
        <v>345</v>
      </c>
      <c r="C3" s="157"/>
      <c r="E3" s="59" t="s">
        <v>72</v>
      </c>
      <c r="F3" s="56" t="s">
        <v>27</v>
      </c>
      <c r="G3" s="44">
        <v>51</v>
      </c>
      <c r="H3" s="129">
        <f>IF(B$15=0,0,G3/B$15)</f>
        <v>0.59302325581395354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-226.1904761904762</v>
      </c>
      <c r="P3" s="115">
        <v>42</v>
      </c>
      <c r="Q3" s="99">
        <v>-9500</v>
      </c>
    </row>
    <row r="4" spans="1:17" x14ac:dyDescent="0.4">
      <c r="A4" s="51" t="s">
        <v>6</v>
      </c>
      <c r="B4" s="158">
        <v>-604.80000000000007</v>
      </c>
      <c r="C4" s="159"/>
      <c r="E4" s="59" t="s">
        <v>64</v>
      </c>
      <c r="F4" s="56" t="s">
        <v>20</v>
      </c>
      <c r="G4" s="44">
        <v>38</v>
      </c>
      <c r="H4" s="129">
        <f>IF(B$15=0,0,G4/B$15)</f>
        <v>0.44186046511627908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-1654.7619047619048</v>
      </c>
      <c r="P4" s="115">
        <v>42</v>
      </c>
      <c r="Q4" s="99">
        <v>-69500</v>
      </c>
    </row>
    <row r="5" spans="1:17" x14ac:dyDescent="0.4">
      <c r="A5" s="51" t="s">
        <v>7</v>
      </c>
      <c r="B5" s="160">
        <f>IF(B$2=0,0,B$4/B$2)</f>
        <v>-14.400000000000002</v>
      </c>
      <c r="C5" s="161"/>
      <c r="E5" s="59" t="s">
        <v>166</v>
      </c>
      <c r="F5" s="56" t="s">
        <v>167</v>
      </c>
      <c r="G5" s="44">
        <v>31</v>
      </c>
      <c r="H5" s="129">
        <f>IF(B$15=0,0,G5/B$15)</f>
        <v>0.36046511627906974</v>
      </c>
      <c r="I5" s="90">
        <v>9</v>
      </c>
      <c r="K5" s="36">
        <v>3</v>
      </c>
      <c r="L5" s="95">
        <v>-33.6</v>
      </c>
      <c r="N5" s="111" t="s">
        <v>133</v>
      </c>
      <c r="O5" s="118">
        <f t="shared" si="0"/>
        <v>-3107.8947368421054</v>
      </c>
      <c r="P5" s="115">
        <v>38</v>
      </c>
      <c r="Q5" s="99">
        <v>-118100</v>
      </c>
    </row>
    <row r="6" spans="1:17" x14ac:dyDescent="0.4">
      <c r="A6" s="51" t="s">
        <v>1</v>
      </c>
      <c r="B6" s="150">
        <f>IF(B$2=0,0,(B$7*1+B$8*2+B$9*3)/B$2)</f>
        <v>2.3809523809523809</v>
      </c>
      <c r="C6" s="151"/>
      <c r="E6" s="59" t="s">
        <v>68</v>
      </c>
      <c r="F6" s="56" t="s">
        <v>12</v>
      </c>
      <c r="G6" s="44">
        <v>25</v>
      </c>
      <c r="H6" s="129">
        <f>IF(B$15=0,0,G6/B$15)</f>
        <v>0.29069767441860467</v>
      </c>
      <c r="I6" s="90">
        <v>7</v>
      </c>
      <c r="K6" s="36">
        <v>4</v>
      </c>
      <c r="L6" s="95">
        <v>-80.5</v>
      </c>
      <c r="N6" s="111" t="s">
        <v>134</v>
      </c>
      <c r="O6" s="118">
        <f t="shared" si="0"/>
        <v>-1133.3333333333333</v>
      </c>
      <c r="P6" s="115">
        <v>36</v>
      </c>
      <c r="Q6" s="99">
        <v>-40800</v>
      </c>
    </row>
    <row r="7" spans="1:17" x14ac:dyDescent="0.4">
      <c r="A7" s="51" t="s">
        <v>2</v>
      </c>
      <c r="B7" s="44">
        <v>7</v>
      </c>
      <c r="C7" s="37">
        <f t="shared" ref="C7:C10" si="1">IF(B$2=0,0,B7/B$2)</f>
        <v>0.16666666666666666</v>
      </c>
      <c r="E7" s="59" t="s">
        <v>67</v>
      </c>
      <c r="F7" s="56" t="s">
        <v>23</v>
      </c>
      <c r="G7" s="44">
        <v>23</v>
      </c>
      <c r="H7" s="129">
        <f>IF(B$15=0,0,G7/B$15)</f>
        <v>0.26744186046511625</v>
      </c>
      <c r="I7" s="90">
        <v>7</v>
      </c>
      <c r="K7" s="36">
        <v>5</v>
      </c>
      <c r="L7" s="95">
        <v>-124.3</v>
      </c>
      <c r="N7" s="112" t="s">
        <v>135</v>
      </c>
      <c r="O7" s="119">
        <f t="shared" si="0"/>
        <v>-3287.0967741935483</v>
      </c>
      <c r="P7" s="116">
        <v>31</v>
      </c>
      <c r="Q7" s="100">
        <v>-101900</v>
      </c>
    </row>
    <row r="8" spans="1:17" x14ac:dyDescent="0.4">
      <c r="A8" s="51" t="s">
        <v>3</v>
      </c>
      <c r="B8" s="44">
        <v>12</v>
      </c>
      <c r="C8" s="37">
        <f t="shared" si="1"/>
        <v>0.2857142857142857</v>
      </c>
      <c r="E8" s="59" t="s">
        <v>89</v>
      </c>
      <c r="F8" s="56" t="s">
        <v>44</v>
      </c>
      <c r="G8" s="44">
        <v>12</v>
      </c>
      <c r="H8" s="129">
        <f>IF(B$15=0,0,G8/B$15)</f>
        <v>0.13953488372093023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23</v>
      </c>
      <c r="C9" s="38">
        <f t="shared" si="1"/>
        <v>0.54761904761904767</v>
      </c>
      <c r="E9" s="59" t="s">
        <v>65</v>
      </c>
      <c r="F9" s="56" t="s">
        <v>21</v>
      </c>
      <c r="G9" s="44">
        <v>10</v>
      </c>
      <c r="H9" s="129">
        <f>IF(B$15=0,0,G9/B$15)</f>
        <v>0.11627906976744186</v>
      </c>
      <c r="I9" s="90">
        <v>5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9</v>
      </c>
      <c r="C10" s="40">
        <f t="shared" si="1"/>
        <v>0.21428571428571427</v>
      </c>
      <c r="E10" s="59" t="s">
        <v>70</v>
      </c>
      <c r="F10" s="56" t="s">
        <v>25</v>
      </c>
      <c r="G10" s="44">
        <v>10</v>
      </c>
      <c r="H10" s="129">
        <f>IF(B$15=0,0,G10/B$15)</f>
        <v>0.11627906976744186</v>
      </c>
      <c r="I10" s="90">
        <v>5</v>
      </c>
      <c r="K10" s="36">
        <v>8</v>
      </c>
      <c r="L10" s="95">
        <v>-152.6</v>
      </c>
      <c r="N10" s="110" t="s">
        <v>157</v>
      </c>
      <c r="O10" s="120">
        <f>IF(P10=0,0,Q10/P10)</f>
        <v>-23.488888888888891</v>
      </c>
      <c r="P10" s="114">
        <v>18</v>
      </c>
      <c r="Q10" s="102">
        <v>-422.8</v>
      </c>
    </row>
    <row r="11" spans="1:17" x14ac:dyDescent="0.4">
      <c r="A11" s="54" t="s">
        <v>121</v>
      </c>
      <c r="B11" s="47">
        <v>73</v>
      </c>
      <c r="C11" s="42">
        <f>IF(B$3=0,0,B11/B$3)</f>
        <v>0.21159420289855072</v>
      </c>
      <c r="E11" s="59" t="s">
        <v>71</v>
      </c>
      <c r="F11" s="56" t="s">
        <v>26</v>
      </c>
      <c r="G11" s="44">
        <v>8</v>
      </c>
      <c r="H11" s="129">
        <f>IF(B$15=0,0,G11/B$15)</f>
        <v>9.3023255813953487E-2</v>
      </c>
      <c r="I11" s="90">
        <v>5</v>
      </c>
      <c r="K11" s="36">
        <v>9</v>
      </c>
      <c r="L11" s="95">
        <v>-150.6</v>
      </c>
      <c r="N11" s="111" t="s">
        <v>158</v>
      </c>
      <c r="O11" s="121">
        <f>IF(P11=0,0,Q11/P11)</f>
        <v>-7.8499999999999988</v>
      </c>
      <c r="P11" s="115">
        <v>12</v>
      </c>
      <c r="Q11" s="103">
        <v>-94.199999999999989</v>
      </c>
    </row>
    <row r="12" spans="1:17" x14ac:dyDescent="0.4">
      <c r="A12" s="51" t="s">
        <v>118</v>
      </c>
      <c r="B12" s="44">
        <v>75</v>
      </c>
      <c r="C12" s="37">
        <f>IF(B$3=0,0,B12/B$3)</f>
        <v>0.21739130434782608</v>
      </c>
      <c r="E12" s="59" t="s">
        <v>86</v>
      </c>
      <c r="F12" s="56" t="s">
        <v>41</v>
      </c>
      <c r="G12" s="44">
        <v>7</v>
      </c>
      <c r="H12" s="129">
        <f>IF(B$15=0,0,G12/B$15)</f>
        <v>8.1395348837209308E-2</v>
      </c>
      <c r="I12" s="90">
        <v>1</v>
      </c>
      <c r="K12" s="36">
        <v>10</v>
      </c>
      <c r="L12" s="95">
        <v>-151.1</v>
      </c>
      <c r="N12" s="112" t="s">
        <v>159</v>
      </c>
      <c r="O12" s="122">
        <f>IF(P12=0,0,Q12/P12)</f>
        <v>-7.3166666666666664</v>
      </c>
      <c r="P12" s="116">
        <v>12</v>
      </c>
      <c r="Q12" s="104">
        <v>-87.8</v>
      </c>
    </row>
    <row r="13" spans="1:17" x14ac:dyDescent="0.4">
      <c r="A13" s="50" t="s">
        <v>123</v>
      </c>
      <c r="B13" s="43">
        <f>B19</f>
        <v>39</v>
      </c>
      <c r="C13" s="35">
        <f>IF(B$11=0,0,B13/B$11)</f>
        <v>0.53424657534246578</v>
      </c>
      <c r="E13" s="59" t="s">
        <v>69</v>
      </c>
      <c r="F13" s="56" t="s">
        <v>24</v>
      </c>
      <c r="G13" s="44">
        <v>6</v>
      </c>
      <c r="H13" s="129">
        <f>IF(B$15=0,0,G13/B$15)</f>
        <v>6.9767441860465115E-2</v>
      </c>
      <c r="I13" s="90">
        <v>9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31</v>
      </c>
      <c r="C14" s="35">
        <f>IF(B$12=0,0,B14/B$12)</f>
        <v>0.41333333333333333</v>
      </c>
      <c r="E14" s="59" t="s">
        <v>83</v>
      </c>
      <c r="F14" s="56" t="s">
        <v>38</v>
      </c>
      <c r="G14" s="44">
        <v>6</v>
      </c>
      <c r="H14" s="129">
        <f>IF(B$15=0,0,G14/B$15)</f>
        <v>6.9767441860465115E-2</v>
      </c>
      <c r="I14" s="90">
        <v>3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86</v>
      </c>
      <c r="C15" s="35">
        <f>IF(B$3=0,0,B15/B$3)</f>
        <v>0.24927536231884059</v>
      </c>
      <c r="E15" s="59" t="s">
        <v>81</v>
      </c>
      <c r="F15" s="56" t="s">
        <v>36</v>
      </c>
      <c r="G15" s="44">
        <v>2</v>
      </c>
      <c r="H15" s="129">
        <f>IF(B$15=0,0,G15/B$15)</f>
        <v>2.3255813953488372E-2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 t="shared" ref="O15:O23" si="2">IF(P15=0,0,Q15/P15)</f>
        <v>27.433333333333334</v>
      </c>
      <c r="P15" s="114">
        <v>6</v>
      </c>
      <c r="Q15" s="102">
        <v>164.6</v>
      </c>
    </row>
    <row r="16" spans="1:17" x14ac:dyDescent="0.4">
      <c r="A16" s="51" t="s">
        <v>13</v>
      </c>
      <c r="B16" s="44">
        <v>64</v>
      </c>
      <c r="C16" s="37">
        <f>IF(B$3=0,0,B16/B$3)</f>
        <v>0.1855072463768116</v>
      </c>
      <c r="E16" s="59" t="s">
        <v>74</v>
      </c>
      <c r="F16" s="56" t="s">
        <v>29</v>
      </c>
      <c r="G16" s="44">
        <v>1</v>
      </c>
      <c r="H16" s="129">
        <f>IF(B$15=0,0,G16/B$15)</f>
        <v>1.1627906976744186E-2</v>
      </c>
      <c r="I16" s="90">
        <v>1</v>
      </c>
      <c r="K16" s="36">
        <v>14</v>
      </c>
      <c r="L16" s="95">
        <v>-266.90000000000003</v>
      </c>
      <c r="N16" s="111" t="s">
        <v>170</v>
      </c>
      <c r="O16" s="121">
        <f t="shared" si="2"/>
        <v>-17.12777777777778</v>
      </c>
      <c r="P16" s="115">
        <v>18</v>
      </c>
      <c r="Q16" s="103">
        <v>-308.3</v>
      </c>
    </row>
    <row r="17" spans="1:17" x14ac:dyDescent="0.4">
      <c r="A17" s="51" t="s">
        <v>12</v>
      </c>
      <c r="B17" s="44">
        <v>41</v>
      </c>
      <c r="C17" s="37">
        <f>IF(B$15=0,0,B17/B$15)</f>
        <v>0.47674418604651164</v>
      </c>
      <c r="E17" s="59" t="s">
        <v>78</v>
      </c>
      <c r="F17" s="56" t="s">
        <v>33</v>
      </c>
      <c r="G17" s="44">
        <v>1</v>
      </c>
      <c r="H17" s="129">
        <f>IF(B$15=0,0,G17/B$15)</f>
        <v>1.1627906976744186E-2</v>
      </c>
      <c r="I17" s="90">
        <v>7</v>
      </c>
      <c r="K17" s="36">
        <v>15</v>
      </c>
      <c r="L17" s="95">
        <v>-272.50000000000006</v>
      </c>
      <c r="N17" s="111" t="s">
        <v>236</v>
      </c>
      <c r="O17" s="121">
        <f t="shared" si="2"/>
        <v>-17.649999999999999</v>
      </c>
      <c r="P17" s="115">
        <v>2</v>
      </c>
      <c r="Q17" s="103">
        <v>-35.299999999999997</v>
      </c>
    </row>
    <row r="18" spans="1:17" x14ac:dyDescent="0.4">
      <c r="A18" s="51" t="s">
        <v>11</v>
      </c>
      <c r="B18" s="44">
        <v>45</v>
      </c>
      <c r="C18" s="37">
        <f>IF(B$15=0,0,B18/B$15)</f>
        <v>0.52325581395348841</v>
      </c>
      <c r="E18" s="59" t="s">
        <v>91</v>
      </c>
      <c r="F18" s="56" t="s">
        <v>46</v>
      </c>
      <c r="G18" s="44">
        <v>1</v>
      </c>
      <c r="H18" s="129">
        <f>IF(B$15=0,0,G18/B$15)</f>
        <v>1.1627906976744186E-2</v>
      </c>
      <c r="I18" s="90">
        <v>5</v>
      </c>
      <c r="K18" s="36">
        <v>16</v>
      </c>
      <c r="L18" s="95">
        <v>-320.30000000000007</v>
      </c>
      <c r="N18" s="111" t="s">
        <v>126</v>
      </c>
      <c r="O18" s="121">
        <f t="shared" si="2"/>
        <v>-22.021428571428572</v>
      </c>
      <c r="P18" s="115">
        <v>14</v>
      </c>
      <c r="Q18" s="103">
        <v>-308.3</v>
      </c>
    </row>
    <row r="19" spans="1:17" x14ac:dyDescent="0.4">
      <c r="A19" s="51" t="s">
        <v>197</v>
      </c>
      <c r="B19" s="44">
        <v>39</v>
      </c>
      <c r="C19" s="37">
        <f>IF(B$15=0,0,B19/B$15)</f>
        <v>0.45348837209302323</v>
      </c>
      <c r="E19" s="59" t="s">
        <v>95</v>
      </c>
      <c r="F19" s="56" t="s">
        <v>50</v>
      </c>
      <c r="G19" s="44">
        <v>1</v>
      </c>
      <c r="H19" s="129">
        <f>IF(B$15=0,0,G19/B$15)</f>
        <v>1.1627906976744186E-2</v>
      </c>
      <c r="I19" s="90">
        <v>1</v>
      </c>
      <c r="K19" s="36">
        <v>17</v>
      </c>
      <c r="L19" s="95">
        <v>-352.60000000000008</v>
      </c>
      <c r="N19" s="111" t="s">
        <v>127</v>
      </c>
      <c r="O19" s="121">
        <f t="shared" si="2"/>
        <v>-22.276923076923079</v>
      </c>
      <c r="P19" s="115">
        <v>13</v>
      </c>
      <c r="Q19" s="103">
        <v>-289.60000000000002</v>
      </c>
    </row>
    <row r="20" spans="1:17" x14ac:dyDescent="0.4">
      <c r="A20" s="51" t="s">
        <v>195</v>
      </c>
      <c r="B20" s="44">
        <v>31</v>
      </c>
      <c r="C20" s="37">
        <f>IF(B$15=0,0,B20/B$15)</f>
        <v>0.36046511627906974</v>
      </c>
      <c r="E20" s="59" t="s">
        <v>73</v>
      </c>
      <c r="F20" s="56" t="s">
        <v>28</v>
      </c>
      <c r="G20" s="44">
        <v>0</v>
      </c>
      <c r="H20" s="129">
        <f>IF(B$15=0,0,G20/B$15)</f>
        <v>0</v>
      </c>
      <c r="I20" s="90">
        <v>5</v>
      </c>
      <c r="K20" s="36">
        <v>18</v>
      </c>
      <c r="L20" s="95">
        <v>-355.50000000000006</v>
      </c>
      <c r="N20" s="111" t="s">
        <v>171</v>
      </c>
      <c r="O20" s="121">
        <f t="shared" si="2"/>
        <v>-25.104347826086954</v>
      </c>
      <c r="P20" s="115">
        <v>23</v>
      </c>
      <c r="Q20" s="103">
        <v>-577.4</v>
      </c>
    </row>
    <row r="21" spans="1:17" x14ac:dyDescent="0.4">
      <c r="A21" s="51" t="s">
        <v>196</v>
      </c>
      <c r="B21" s="44">
        <v>16</v>
      </c>
      <c r="C21" s="37">
        <f>IF(B$15=0,0,B21/B$15)</f>
        <v>0.18604651162790697</v>
      </c>
      <c r="E21" s="59" t="s">
        <v>75</v>
      </c>
      <c r="F21" s="56" t="s">
        <v>30</v>
      </c>
      <c r="G21" s="44">
        <v>0</v>
      </c>
      <c r="H21" s="129">
        <f>IF(B$15=0,0,G21/B$15)</f>
        <v>0</v>
      </c>
      <c r="I21" s="90">
        <v>9</v>
      </c>
      <c r="K21" s="36">
        <v>19</v>
      </c>
      <c r="L21" s="95">
        <v>-400.60000000000008</v>
      </c>
      <c r="N21" s="111" t="s">
        <v>172</v>
      </c>
      <c r="O21" s="121">
        <f t="shared" si="2"/>
        <v>-25.799999999999997</v>
      </c>
      <c r="P21" s="115">
        <v>1</v>
      </c>
      <c r="Q21" s="103">
        <v>-25.799999999999997</v>
      </c>
    </row>
    <row r="22" spans="1:17" x14ac:dyDescent="0.4">
      <c r="A22" s="51" t="s">
        <v>5</v>
      </c>
      <c r="B22" s="48">
        <f>IF(B$15=0,0,C22/B$15)</f>
        <v>7829.0697674418607</v>
      </c>
      <c r="C22" s="39">
        <v>673300</v>
      </c>
      <c r="E22" s="59" t="s">
        <v>76</v>
      </c>
      <c r="F22" s="56" t="s">
        <v>31</v>
      </c>
      <c r="G22" s="44">
        <v>0</v>
      </c>
      <c r="H22" s="129">
        <f>IF(B$15=0,0,G22/B$15)</f>
        <v>0</v>
      </c>
      <c r="I22" s="90">
        <v>1</v>
      </c>
      <c r="K22" s="36">
        <v>20</v>
      </c>
      <c r="L22" s="95">
        <v>-428.10000000000008</v>
      </c>
      <c r="N22" s="111" t="s">
        <v>201</v>
      </c>
      <c r="O22" s="121">
        <f t="shared" si="2"/>
        <v>-60.640000000000008</v>
      </c>
      <c r="P22" s="115">
        <v>5</v>
      </c>
      <c r="Q22" s="103">
        <v>-303.20000000000005</v>
      </c>
    </row>
    <row r="23" spans="1:17" x14ac:dyDescent="0.4">
      <c r="A23" s="52" t="s">
        <v>177</v>
      </c>
      <c r="B23" s="136">
        <f>IF($B$15-B$14=0,0,C23/($B$15-B$14))</f>
        <v>8270.9090909090901</v>
      </c>
      <c r="C23" s="137">
        <v>454900</v>
      </c>
      <c r="E23" s="59" t="s">
        <v>77</v>
      </c>
      <c r="F23" s="56" t="s">
        <v>32</v>
      </c>
      <c r="G23" s="44">
        <v>0</v>
      </c>
      <c r="H23" s="129">
        <f>IF(B$15=0,0,G23/B$15)</f>
        <v>0</v>
      </c>
      <c r="I23" s="90">
        <v>5</v>
      </c>
      <c r="K23" s="36">
        <v>21</v>
      </c>
      <c r="L23" s="95">
        <v>-423.7000000000001</v>
      </c>
      <c r="N23" s="111" t="s">
        <v>212</v>
      </c>
      <c r="O23" s="121">
        <f t="shared" si="2"/>
        <v>-65.55</v>
      </c>
      <c r="P23" s="115">
        <v>2</v>
      </c>
      <c r="Q23" s="103">
        <v>-131.1</v>
      </c>
    </row>
    <row r="24" spans="1:17" x14ac:dyDescent="0.4">
      <c r="A24" s="52" t="s">
        <v>178</v>
      </c>
      <c r="B24" s="136">
        <f>IF(B$14=0,0,C24/B$14)</f>
        <v>7045.1612903225805</v>
      </c>
      <c r="C24" s="137">
        <v>218400</v>
      </c>
      <c r="E24" s="59" t="s">
        <v>79</v>
      </c>
      <c r="F24" s="56" t="s">
        <v>34</v>
      </c>
      <c r="G24" s="44">
        <v>0</v>
      </c>
      <c r="H24" s="129">
        <f>IF(B$15=0,0,G24/B$15)</f>
        <v>0</v>
      </c>
      <c r="I24" s="90">
        <v>9</v>
      </c>
      <c r="K24" s="36">
        <v>22</v>
      </c>
      <c r="L24" s="95">
        <v>-465.00000000000011</v>
      </c>
    </row>
    <row r="25" spans="1:17" x14ac:dyDescent="0.4">
      <c r="A25" s="52" t="s">
        <v>176</v>
      </c>
      <c r="B25" s="136">
        <f>IF(B$16=0,0,C25/B$16)</f>
        <v>-8243.75</v>
      </c>
      <c r="C25" s="137">
        <v>-527600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1" t="s">
        <v>164</v>
      </c>
      <c r="B26" s="44">
        <v>5</v>
      </c>
      <c r="C26" s="131">
        <v>1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-474.10000000000014</v>
      </c>
    </row>
    <row r="27" spans="1:17" x14ac:dyDescent="0.4">
      <c r="A27" s="51" t="s">
        <v>165</v>
      </c>
      <c r="B27" s="44">
        <v>19</v>
      </c>
      <c r="C27" s="131">
        <v>1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4</v>
      </c>
      <c r="K27" s="36">
        <v>25</v>
      </c>
      <c r="L27" s="95">
        <v>-488.30000000000013</v>
      </c>
    </row>
    <row r="28" spans="1:17" x14ac:dyDescent="0.4">
      <c r="A28" s="86" t="s">
        <v>138</v>
      </c>
      <c r="B28" s="148">
        <v>6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-439.2000000000001</v>
      </c>
    </row>
    <row r="29" spans="1:17" x14ac:dyDescent="0.4">
      <c r="A29" s="54" t="s">
        <v>194</v>
      </c>
      <c r="B29" s="146">
        <v>85100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4</v>
      </c>
      <c r="K29" s="36">
        <v>27</v>
      </c>
      <c r="L29" s="95">
        <v>-418.80000000000013</v>
      </c>
    </row>
    <row r="30" spans="1:17" x14ac:dyDescent="0.4">
      <c r="A30" s="53" t="s">
        <v>139</v>
      </c>
      <c r="B30" s="61">
        <v>1</v>
      </c>
      <c r="C30" s="40">
        <f>IF(B$3=0,0,B30/B$3)</f>
        <v>2.8985507246376812E-3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-447.30000000000013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4</v>
      </c>
      <c r="K31" s="36">
        <v>29</v>
      </c>
      <c r="L31" s="95">
        <v>-442.60000000000014</v>
      </c>
    </row>
    <row r="32" spans="1:17" x14ac:dyDescent="0.4">
      <c r="A32" s="86" t="s">
        <v>185</v>
      </c>
      <c r="B32" s="144">
        <v>7</v>
      </c>
      <c r="C32" s="141">
        <f>IF(B$15=0,0,B32/B$15)</f>
        <v>8.1395348837209308E-2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">
      <c r="A33" s="51" t="s">
        <v>181</v>
      </c>
      <c r="B33" s="44">
        <v>19</v>
      </c>
      <c r="C33" s="37">
        <f t="shared" ref="C33:C44" si="3">IF(B$15=0,0,B33/B$15)</f>
        <v>0.22093023255813954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">
      <c r="A34" s="51" t="s">
        <v>182</v>
      </c>
      <c r="B34" s="145">
        <v>19</v>
      </c>
      <c r="C34" s="37">
        <f>IF(B$15=0,0,B34/B$15)</f>
        <v>0.22093023255813954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-525.40000000000009</v>
      </c>
    </row>
    <row r="35" spans="1:12" x14ac:dyDescent="0.4">
      <c r="A35" s="51" t="s">
        <v>183</v>
      </c>
      <c r="B35" s="145">
        <v>12</v>
      </c>
      <c r="C35" s="37">
        <f t="shared" si="3"/>
        <v>0.13953488372093023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">
      <c r="A36" s="51" t="s">
        <v>184</v>
      </c>
      <c r="B36" s="145">
        <v>11</v>
      </c>
      <c r="C36" s="37">
        <f t="shared" si="3"/>
        <v>0.12790697674418605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-531.90000000000009</v>
      </c>
    </row>
    <row r="37" spans="1:12" x14ac:dyDescent="0.4">
      <c r="A37" s="51" t="s">
        <v>186</v>
      </c>
      <c r="B37" s="145">
        <v>5</v>
      </c>
      <c r="C37" s="37">
        <f t="shared" si="3"/>
        <v>5.8139534883720929E-2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-482.7000000000001</v>
      </c>
    </row>
    <row r="38" spans="1:12" x14ac:dyDescent="0.4">
      <c r="A38" s="51" t="s">
        <v>187</v>
      </c>
      <c r="B38" s="145">
        <v>6</v>
      </c>
      <c r="C38" s="37">
        <f t="shared" si="3"/>
        <v>6.9767441860465115E-2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">
      <c r="A39" s="51" t="s">
        <v>188</v>
      </c>
      <c r="B39" s="145">
        <v>5</v>
      </c>
      <c r="C39" s="37">
        <f t="shared" si="3"/>
        <v>5.8139534883720929E-2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">
      <c r="A40" s="51" t="s">
        <v>189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-570.10000000000014</v>
      </c>
    </row>
    <row r="41" spans="1:12" x14ac:dyDescent="0.4">
      <c r="A41" s="51" t="s">
        <v>190</v>
      </c>
      <c r="B41" s="145">
        <v>1</v>
      </c>
      <c r="C41" s="37">
        <f t="shared" si="3"/>
        <v>1.1627906976744186E-2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-524.90000000000009</v>
      </c>
    </row>
    <row r="42" spans="1:12" x14ac:dyDescent="0.4">
      <c r="A42" s="51" t="s">
        <v>191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">
      <c r="A43" s="51" t="s">
        <v>192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">
      <c r="A44" s="53" t="s">
        <v>193</v>
      </c>
      <c r="B44" s="140">
        <v>1</v>
      </c>
      <c r="C44" s="40">
        <f t="shared" si="3"/>
        <v>1.1627906976744186E-2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BBC70-F58D-4895-AE74-2E99CB48714B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201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24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1.0161290322580645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-3145.8333333333335</v>
      </c>
      <c r="P2" s="114">
        <v>24</v>
      </c>
      <c r="Q2" s="98">
        <v>-75500</v>
      </c>
    </row>
    <row r="3" spans="1:17" x14ac:dyDescent="0.4">
      <c r="A3" s="51" t="s">
        <v>8</v>
      </c>
      <c r="B3" s="156">
        <v>229</v>
      </c>
      <c r="C3" s="157"/>
      <c r="E3" s="59" t="s">
        <v>64</v>
      </c>
      <c r="F3" s="56" t="s">
        <v>20</v>
      </c>
      <c r="G3" s="44">
        <v>36</v>
      </c>
      <c r="H3" s="129">
        <f>IF(B$15=0,0,G3/B$15)</f>
        <v>0.58064516129032262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0"/>
        <v>-1225</v>
      </c>
      <c r="P3" s="115">
        <v>24</v>
      </c>
      <c r="Q3" s="99">
        <v>-29400</v>
      </c>
    </row>
    <row r="4" spans="1:17" x14ac:dyDescent="0.4">
      <c r="A4" s="51" t="s">
        <v>6</v>
      </c>
      <c r="B4" s="158">
        <v>2.1999999999999957</v>
      </c>
      <c r="C4" s="159"/>
      <c r="E4" s="59" t="s">
        <v>68</v>
      </c>
      <c r="F4" s="56" t="s">
        <v>12</v>
      </c>
      <c r="G4" s="44">
        <v>27</v>
      </c>
      <c r="H4" s="129">
        <f>IF(B$15=0,0,G4/B$15)</f>
        <v>0.43548387096774194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1560.8695652173913</v>
      </c>
      <c r="P4" s="115">
        <v>23</v>
      </c>
      <c r="Q4" s="99">
        <v>35900</v>
      </c>
    </row>
    <row r="5" spans="1:17" x14ac:dyDescent="0.4">
      <c r="A5" s="51" t="s">
        <v>7</v>
      </c>
      <c r="B5" s="160">
        <f>IF(B$2=0,0,B$4/B$2)</f>
        <v>9.1666666666666494E-2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0.38709677419354838</v>
      </c>
      <c r="I5" s="90">
        <v>6</v>
      </c>
      <c r="K5" s="36">
        <v>3</v>
      </c>
      <c r="L5" s="95">
        <v>76</v>
      </c>
      <c r="N5" s="111" t="s">
        <v>133</v>
      </c>
      <c r="O5" s="118">
        <f t="shared" si="0"/>
        <v>-2230.4347826086955</v>
      </c>
      <c r="P5" s="115">
        <v>23</v>
      </c>
      <c r="Q5" s="99">
        <v>-51300</v>
      </c>
    </row>
    <row r="6" spans="1:17" x14ac:dyDescent="0.4">
      <c r="A6" s="51" t="s">
        <v>1</v>
      </c>
      <c r="B6" s="150">
        <f>IF(B$2=0,0,(B$7*1+B$8*2+B$9*3)/B$2)</f>
        <v>2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0.33870967741935482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5409.5238095238092</v>
      </c>
      <c r="P6" s="115">
        <v>21</v>
      </c>
      <c r="Q6" s="99">
        <v>113600</v>
      </c>
    </row>
    <row r="7" spans="1:17" x14ac:dyDescent="0.4">
      <c r="A7" s="51" t="s">
        <v>2</v>
      </c>
      <c r="B7" s="44">
        <v>9</v>
      </c>
      <c r="C7" s="37">
        <f t="shared" ref="C7:C10" si="1">IF(B$2=0,0,B7/B$2)</f>
        <v>0.375</v>
      </c>
      <c r="E7" s="59" t="s">
        <v>67</v>
      </c>
      <c r="F7" s="56" t="s">
        <v>23</v>
      </c>
      <c r="G7" s="44">
        <v>16</v>
      </c>
      <c r="H7" s="129">
        <f>IF(B$15=0,0,G7/B$15)</f>
        <v>0.25806451612903225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1223.5294117647059</v>
      </c>
      <c r="P7" s="116">
        <v>17</v>
      </c>
      <c r="Q7" s="100">
        <v>20800</v>
      </c>
    </row>
    <row r="8" spans="1:17" x14ac:dyDescent="0.4">
      <c r="A8" s="51" t="s">
        <v>3</v>
      </c>
      <c r="B8" s="44">
        <v>6</v>
      </c>
      <c r="C8" s="37">
        <f t="shared" si="1"/>
        <v>0.25</v>
      </c>
      <c r="E8" s="59" t="s">
        <v>69</v>
      </c>
      <c r="F8" s="56" t="s">
        <v>24</v>
      </c>
      <c r="G8" s="44">
        <v>13</v>
      </c>
      <c r="H8" s="129">
        <f>IF(B$15=0,0,G8/B$15)</f>
        <v>0.20967741935483872</v>
      </c>
      <c r="I8" s="90">
        <v>1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9</v>
      </c>
      <c r="C9" s="38">
        <f t="shared" si="1"/>
        <v>0.375</v>
      </c>
      <c r="E9" s="59" t="s">
        <v>65</v>
      </c>
      <c r="F9" s="56" t="s">
        <v>21</v>
      </c>
      <c r="G9" s="44">
        <v>9</v>
      </c>
      <c r="H9" s="129">
        <f>IF(B$15=0,0,G9/B$15)</f>
        <v>0.14516129032258066</v>
      </c>
      <c r="I9" s="90">
        <v>3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2</v>
      </c>
      <c r="C10" s="40">
        <f t="shared" si="1"/>
        <v>8.3333333333333329E-2</v>
      </c>
      <c r="E10" s="59" t="s">
        <v>70</v>
      </c>
      <c r="F10" s="56" t="s">
        <v>25</v>
      </c>
      <c r="G10" s="44">
        <v>6</v>
      </c>
      <c r="H10" s="129">
        <f>IF(B$15=0,0,G10/B$15)</f>
        <v>9.6774193548387094E-2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">
      <c r="A11" s="54" t="s">
        <v>121</v>
      </c>
      <c r="B11" s="47">
        <v>61</v>
      </c>
      <c r="C11" s="42">
        <f>IF(B$3=0,0,B11/B$3)</f>
        <v>0.26637554585152839</v>
      </c>
      <c r="E11" s="59" t="s">
        <v>71</v>
      </c>
      <c r="F11" s="56" t="s">
        <v>26</v>
      </c>
      <c r="G11" s="44">
        <v>6</v>
      </c>
      <c r="H11" s="129">
        <f>IF(B$15=0,0,G11/B$15)</f>
        <v>9.6774193548387094E-2</v>
      </c>
      <c r="I11" s="90">
        <v>3</v>
      </c>
      <c r="K11" s="36">
        <v>9</v>
      </c>
      <c r="L11" s="95">
        <v>141.5</v>
      </c>
      <c r="N11" s="111" t="s">
        <v>158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">
      <c r="A12" s="51" t="s">
        <v>118</v>
      </c>
      <c r="B12" s="44">
        <v>35</v>
      </c>
      <c r="C12" s="37">
        <f>IF(B$3=0,0,B12/B$3)</f>
        <v>0.15283842794759825</v>
      </c>
      <c r="E12" s="59" t="s">
        <v>89</v>
      </c>
      <c r="F12" s="56" t="s">
        <v>44</v>
      </c>
      <c r="G12" s="44">
        <v>5</v>
      </c>
      <c r="H12" s="129">
        <f>IF(B$15=0,0,G12/B$15)</f>
        <v>8.0645161290322578E-2</v>
      </c>
      <c r="I12" s="90">
        <v>10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">
      <c r="A13" s="50" t="s">
        <v>123</v>
      </c>
      <c r="B13" s="43">
        <f>B19</f>
        <v>36</v>
      </c>
      <c r="C13" s="35">
        <f>IF(B$11=0,0,B13/B$11)</f>
        <v>0.5901639344262295</v>
      </c>
      <c r="E13" s="59" t="s">
        <v>78</v>
      </c>
      <c r="F13" s="56" t="s">
        <v>33</v>
      </c>
      <c r="G13" s="44">
        <v>3</v>
      </c>
      <c r="H13" s="129">
        <f>IF(B$15=0,0,G13/B$15)</f>
        <v>4.8387096774193547E-2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12</v>
      </c>
      <c r="C14" s="35">
        <f>IF(B$12=0,0,B14/B$12)</f>
        <v>0.34285714285714286</v>
      </c>
      <c r="E14" s="59" t="s">
        <v>86</v>
      </c>
      <c r="F14" s="56" t="s">
        <v>41</v>
      </c>
      <c r="G14" s="44">
        <v>3</v>
      </c>
      <c r="H14" s="129">
        <f>IF(B$15=0,0,G14/B$15)</f>
        <v>4.8387096774193547E-2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62</v>
      </c>
      <c r="C15" s="35">
        <f>IF(B$3=0,0,B15/B$3)</f>
        <v>0.27074235807860264</v>
      </c>
      <c r="E15" s="59" t="s">
        <v>83</v>
      </c>
      <c r="F15" s="56" t="s">
        <v>38</v>
      </c>
      <c r="G15" s="44">
        <v>2</v>
      </c>
      <c r="H15" s="129">
        <f>IF(B$15=0,0,G15/B$15)</f>
        <v>3.2258064516129031E-2</v>
      </c>
      <c r="I15" s="90">
        <v>11</v>
      </c>
      <c r="K15" s="36">
        <v>13</v>
      </c>
      <c r="L15" s="95">
        <v>76.7</v>
      </c>
      <c r="N15" s="110" t="s">
        <v>202</v>
      </c>
      <c r="O15" s="120">
        <f t="shared" ref="O15:O22" si="2">IF(P15=0,0,Q15/P15)</f>
        <v>60.640000000000008</v>
      </c>
      <c r="P15" s="114">
        <v>5</v>
      </c>
      <c r="Q15" s="102">
        <v>303.20000000000005</v>
      </c>
    </row>
    <row r="16" spans="1:17" x14ac:dyDescent="0.4">
      <c r="A16" s="51" t="s">
        <v>13</v>
      </c>
      <c r="B16" s="44">
        <v>38</v>
      </c>
      <c r="C16" s="37">
        <f>IF(B$3=0,0,B16/B$3)</f>
        <v>0.16593886462882096</v>
      </c>
      <c r="E16" s="59" t="s">
        <v>75</v>
      </c>
      <c r="F16" s="56" t="s">
        <v>30</v>
      </c>
      <c r="G16" s="44">
        <v>1</v>
      </c>
      <c r="H16" s="129">
        <f>IF(B$15=0,0,G16/B$15)</f>
        <v>1.6129032258064516E-2</v>
      </c>
      <c r="I16" s="90">
        <v>1</v>
      </c>
      <c r="K16" s="36">
        <v>14</v>
      </c>
      <c r="L16" s="95">
        <v>49.900000000000006</v>
      </c>
      <c r="N16" s="111" t="s">
        <v>170</v>
      </c>
      <c r="O16" s="121">
        <f t="shared" si="2"/>
        <v>28.342857142857145</v>
      </c>
      <c r="P16" s="115">
        <v>7</v>
      </c>
      <c r="Q16" s="103">
        <v>198.4</v>
      </c>
    </row>
    <row r="17" spans="1:17" x14ac:dyDescent="0.4">
      <c r="A17" s="51" t="s">
        <v>12</v>
      </c>
      <c r="B17" s="44">
        <v>35</v>
      </c>
      <c r="C17" s="37">
        <f>IF(B$15=0,0,B17/B$15)</f>
        <v>0.56451612903225812</v>
      </c>
      <c r="E17" s="59" t="s">
        <v>81</v>
      </c>
      <c r="F17" s="56" t="s">
        <v>36</v>
      </c>
      <c r="G17" s="44">
        <v>1</v>
      </c>
      <c r="H17" s="129">
        <f>IF(B$15=0,0,G17/B$15)</f>
        <v>1.6129032258064516E-2</v>
      </c>
      <c r="I17" s="90">
        <v>7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">
      <c r="A18" s="51" t="s">
        <v>11</v>
      </c>
      <c r="B18" s="44">
        <v>27</v>
      </c>
      <c r="C18" s="37">
        <f>IF(B$15=0,0,B18/B$15)</f>
        <v>0.43548387096774194</v>
      </c>
      <c r="E18" s="59" t="s">
        <v>85</v>
      </c>
      <c r="F18" s="56" t="s">
        <v>40</v>
      </c>
      <c r="G18" s="44">
        <v>1</v>
      </c>
      <c r="H18" s="129">
        <f>IF(B$15=0,0,G18/B$15)</f>
        <v>1.6129032258064516E-2</v>
      </c>
      <c r="I18" s="90">
        <v>1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197</v>
      </c>
      <c r="B19" s="44">
        <v>36</v>
      </c>
      <c r="C19" s="37">
        <f>IF(B$15=0,0,B19/B$15)</f>
        <v>0.58064516129032262</v>
      </c>
      <c r="E19" s="59" t="s">
        <v>87</v>
      </c>
      <c r="F19" s="56" t="s">
        <v>42</v>
      </c>
      <c r="G19" s="44">
        <v>1</v>
      </c>
      <c r="H19" s="129">
        <f>IF(B$15=0,0,G19/B$15)</f>
        <v>1.6129032258064516E-2</v>
      </c>
      <c r="I19" s="90">
        <v>1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">
      <c r="A20" s="51" t="s">
        <v>195</v>
      </c>
      <c r="B20" s="44">
        <v>12</v>
      </c>
      <c r="C20" s="37">
        <f>IF(B$15=0,0,B20/B$15)</f>
        <v>0.19354838709677419</v>
      </c>
      <c r="E20" s="59" t="s">
        <v>162</v>
      </c>
      <c r="F20" s="56" t="s">
        <v>163</v>
      </c>
      <c r="G20" s="44">
        <v>1</v>
      </c>
      <c r="H20" s="129">
        <f>IF(B$15=0,0,G20/B$15)</f>
        <v>1.6129032258064516E-2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">
      <c r="A21" s="51" t="s">
        <v>196</v>
      </c>
      <c r="B21" s="44">
        <v>14</v>
      </c>
      <c r="C21" s="37">
        <f>IF(B$15=0,0,B21/B$15)</f>
        <v>0.22580645161290322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212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5</v>
      </c>
      <c r="B22" s="48">
        <f>IF(B$15=0,0,C22/B$15)</f>
        <v>8456.4516129032254</v>
      </c>
      <c r="C22" s="39">
        <v>524300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">
      <c r="A23" s="52" t="s">
        <v>177</v>
      </c>
      <c r="B23" s="136">
        <f>IF($B$15-B$14=0,0,C23/($B$15-B$14))</f>
        <v>8780</v>
      </c>
      <c r="C23" s="137">
        <v>439000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</row>
    <row r="24" spans="1:17" x14ac:dyDescent="0.4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-13.5</v>
      </c>
    </row>
    <row r="25" spans="1:17" x14ac:dyDescent="0.4">
      <c r="A25" s="52" t="s">
        <v>176</v>
      </c>
      <c r="B25" s="136">
        <f>IF(B$16=0,0,C25/B$16)</f>
        <v>-6836.8421052631575</v>
      </c>
      <c r="C25" s="137">
        <v>-259800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9</v>
      </c>
      <c r="K25" s="36">
        <v>23</v>
      </c>
      <c r="L25" s="95">
        <v>27.299999999999997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</row>
    <row r="28" spans="1:17" x14ac:dyDescent="0.4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4</v>
      </c>
    </row>
    <row r="29" spans="1:17" x14ac:dyDescent="0.4">
      <c r="A29" s="54" t="s">
        <v>194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1</v>
      </c>
      <c r="C30" s="40">
        <f>IF(B$3=0,0,B30/B$3)</f>
        <v>4.3668122270742356E-3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9</v>
      </c>
    </row>
    <row r="32" spans="1:17" x14ac:dyDescent="0.4">
      <c r="A32" s="86" t="s">
        <v>185</v>
      </c>
      <c r="B32" s="144">
        <v>7</v>
      </c>
      <c r="C32" s="141">
        <f>IF(B$15=0,0,B32/B$15)</f>
        <v>0.11290322580645161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181</v>
      </c>
      <c r="B33" s="44">
        <v>9</v>
      </c>
      <c r="C33" s="37">
        <f t="shared" ref="C33:C44" si="3">IF(B$15=0,0,B33/B$15)</f>
        <v>0.14516129032258066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">
      <c r="A34" s="51" t="s">
        <v>182</v>
      </c>
      <c r="B34" s="145">
        <v>9</v>
      </c>
      <c r="C34" s="37">
        <f>IF(B$15=0,0,B34/B$15)</f>
        <v>0.14516129032258066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">
      <c r="A35" s="51" t="s">
        <v>183</v>
      </c>
      <c r="B35" s="145">
        <v>9</v>
      </c>
      <c r="C35" s="37">
        <f t="shared" si="3"/>
        <v>0.14516129032258066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">
      <c r="A36" s="51" t="s">
        <v>184</v>
      </c>
      <c r="B36" s="145">
        <v>10</v>
      </c>
      <c r="C36" s="37">
        <f t="shared" si="3"/>
        <v>0.16129032258064516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">
      <c r="A37" s="51" t="s">
        <v>186</v>
      </c>
      <c r="B37" s="145">
        <v>12</v>
      </c>
      <c r="C37" s="37">
        <f t="shared" si="3"/>
        <v>0.19354838709677419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">
      <c r="A38" s="51" t="s">
        <v>187</v>
      </c>
      <c r="B38" s="145">
        <v>3</v>
      </c>
      <c r="C38" s="37">
        <f t="shared" si="3"/>
        <v>4.8387096774193547E-2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188</v>
      </c>
      <c r="B39" s="145">
        <v>2</v>
      </c>
      <c r="C39" s="37">
        <f t="shared" si="3"/>
        <v>3.2258064516129031E-2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189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">
      <c r="A41" s="51" t="s">
        <v>190</v>
      </c>
      <c r="B41" s="145">
        <v>1</v>
      </c>
      <c r="C41" s="37">
        <f t="shared" si="3"/>
        <v>1.6129032258064516E-2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">
      <c r="A42" s="51" t="s">
        <v>191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192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193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E6ACC-CFFC-4AAB-83BF-21ABEC504BF1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212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4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10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6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10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10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8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3</v>
      </c>
      <c r="N15" s="110" t="s">
        <v>202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201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9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197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195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196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9</v>
      </c>
    </row>
    <row r="22" spans="1:17" x14ac:dyDescent="0.4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10</v>
      </c>
    </row>
    <row r="24" spans="1:17" x14ac:dyDescent="0.4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4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6</v>
      </c>
    </row>
    <row r="27" spans="1:17" x14ac:dyDescent="0.4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194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4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5</v>
      </c>
    </row>
    <row r="32" spans="1:17" x14ac:dyDescent="0.4">
      <c r="A32" s="86" t="s">
        <v>185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181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182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183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184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186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187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188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189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190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191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192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193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8FB87-6F58-42EF-B7B0-36CDA38C7687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236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11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11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9</v>
      </c>
      <c r="N16" s="111" t="s">
        <v>202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5</v>
      </c>
    </row>
    <row r="19" spans="1:17" x14ac:dyDescent="0.4">
      <c r="A19" s="51" t="s">
        <v>197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9</v>
      </c>
    </row>
    <row r="20" spans="1:17" x14ac:dyDescent="0.4">
      <c r="A20" s="51" t="s">
        <v>195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9</v>
      </c>
    </row>
    <row r="21" spans="1:17" x14ac:dyDescent="0.4">
      <c r="A21" s="51" t="s">
        <v>196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10</v>
      </c>
    </row>
    <row r="23" spans="1:17" x14ac:dyDescent="0.4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4</v>
      </c>
    </row>
    <row r="25" spans="1:17" x14ac:dyDescent="0.4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6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11</v>
      </c>
    </row>
    <row r="27" spans="1:17" x14ac:dyDescent="0.4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194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4</v>
      </c>
    </row>
    <row r="30" spans="1:17" x14ac:dyDescent="0.4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5</v>
      </c>
    </row>
    <row r="32" spans="1:17" x14ac:dyDescent="0.4">
      <c r="A32" s="86" t="s">
        <v>185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181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182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183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184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186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187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188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189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190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191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192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193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775F9-75BD-4CC5-A468-C1D91A42C256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236</v>
      </c>
      <c r="B1" s="66" t="s">
        <v>236</v>
      </c>
      <c r="C1" s="66" t="s">
        <v>236</v>
      </c>
      <c r="D1" s="67" t="s">
        <v>236</v>
      </c>
      <c r="E1" s="66" t="s">
        <v>236</v>
      </c>
      <c r="F1" s="66" t="s">
        <v>236</v>
      </c>
      <c r="G1" s="66" t="s">
        <v>236</v>
      </c>
      <c r="H1" s="66" t="s">
        <v>236</v>
      </c>
      <c r="I1" s="66" t="s">
        <v>236</v>
      </c>
      <c r="J1" s="66" t="s">
        <v>236</v>
      </c>
      <c r="K1" s="66" t="s">
        <v>236</v>
      </c>
      <c r="L1" s="66" t="s">
        <v>236</v>
      </c>
      <c r="M1" s="66" t="s">
        <v>236</v>
      </c>
      <c r="N1" s="66" t="s">
        <v>236</v>
      </c>
      <c r="O1" s="66" t="s">
        <v>236</v>
      </c>
      <c r="P1" s="66" t="s">
        <v>236</v>
      </c>
      <c r="Q1" s="66" t="s">
        <v>236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352B9-C54C-41A6-A9C1-71883032248A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212</v>
      </c>
      <c r="B1" s="66" t="s">
        <v>212</v>
      </c>
      <c r="C1" s="66" t="s">
        <v>212</v>
      </c>
      <c r="D1" s="67" t="s">
        <v>212</v>
      </c>
      <c r="E1" s="66" t="s">
        <v>212</v>
      </c>
      <c r="F1" s="66" t="s">
        <v>212</v>
      </c>
      <c r="G1" s="66" t="s">
        <v>212</v>
      </c>
      <c r="H1" s="66" t="s">
        <v>212</v>
      </c>
      <c r="I1" s="66" t="s">
        <v>212</v>
      </c>
      <c r="J1" s="66" t="s">
        <v>212</v>
      </c>
      <c r="K1" s="66" t="s">
        <v>212</v>
      </c>
      <c r="L1" s="66" t="s">
        <v>212</v>
      </c>
      <c r="M1" s="66" t="s">
        <v>212</v>
      </c>
      <c r="N1" s="66" t="s">
        <v>212</v>
      </c>
      <c r="O1" s="66" t="s">
        <v>212</v>
      </c>
      <c r="P1" s="66" t="s">
        <v>212</v>
      </c>
      <c r="Q1" s="66" t="s">
        <v>212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C4EBD-86B7-4FFB-A872-AD7CB53E5CC1}">
  <sheetPr codeName="Sheet22"/>
  <dimension ref="A1:Q2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201</v>
      </c>
      <c r="B1" s="66" t="s">
        <v>201</v>
      </c>
      <c r="C1" s="66" t="s">
        <v>201</v>
      </c>
      <c r="D1" s="67" t="s">
        <v>201</v>
      </c>
      <c r="E1" s="66" t="s">
        <v>201</v>
      </c>
      <c r="F1" s="66" t="s">
        <v>201</v>
      </c>
      <c r="G1" s="66" t="s">
        <v>201</v>
      </c>
      <c r="H1" s="66" t="s">
        <v>201</v>
      </c>
      <c r="I1" s="66" t="s">
        <v>201</v>
      </c>
      <c r="J1" s="66" t="s">
        <v>201</v>
      </c>
      <c r="K1" s="66" t="s">
        <v>201</v>
      </c>
      <c r="L1" s="66" t="s">
        <v>201</v>
      </c>
      <c r="M1" s="66" t="s">
        <v>201</v>
      </c>
      <c r="N1" s="66" t="s">
        <v>201</v>
      </c>
      <c r="O1" s="66" t="s">
        <v>201</v>
      </c>
      <c r="P1" s="66" t="s">
        <v>201</v>
      </c>
      <c r="Q1" s="66" t="s">
        <v>201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E5551-1C9B-4131-A2C5-04C05C80C422}">
  <sheetPr codeName="Sheet20"/>
  <dimension ref="A1:Q4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202</v>
      </c>
      <c r="B1" s="66" t="s">
        <v>202</v>
      </c>
      <c r="C1" s="66" t="s">
        <v>202</v>
      </c>
      <c r="D1" s="67" t="s">
        <v>202</v>
      </c>
      <c r="E1" s="66" t="s">
        <v>202</v>
      </c>
      <c r="F1" s="66" t="s">
        <v>202</v>
      </c>
      <c r="G1" s="66" t="s">
        <v>202</v>
      </c>
      <c r="H1" s="66" t="s">
        <v>202</v>
      </c>
      <c r="I1" s="66" t="s">
        <v>202</v>
      </c>
      <c r="J1" s="66" t="s">
        <v>202</v>
      </c>
      <c r="K1" s="66" t="s">
        <v>202</v>
      </c>
      <c r="L1" s="66" t="s">
        <v>202</v>
      </c>
      <c r="M1" s="66" t="s">
        <v>202</v>
      </c>
      <c r="N1" s="66" t="s">
        <v>202</v>
      </c>
      <c r="O1" s="66" t="s">
        <v>202</v>
      </c>
      <c r="P1" s="66" t="s">
        <v>202</v>
      </c>
      <c r="Q1" s="66" t="s">
        <v>202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28F50-6F12-4ED8-A17A-AFC627CC6974}">
  <sheetPr codeName="Sheet18"/>
  <dimension ref="A1:Q10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">
      <c r="A41" s="65">
        <v>38</v>
      </c>
      <c r="B41" s="62">
        <v>-58.59999999999998</v>
      </c>
      <c r="C41" s="62">
        <v>-1.5421052631578942</v>
      </c>
      <c r="D41" s="67">
        <v>2.1052631578947367</v>
      </c>
      <c r="E41" s="63">
        <v>0.23684210526315788</v>
      </c>
      <c r="F41" s="63">
        <v>0.34210526315789475</v>
      </c>
      <c r="G41" s="63">
        <v>0.28052805280528054</v>
      </c>
      <c r="H41" s="63">
        <v>0.14191419141914191</v>
      </c>
      <c r="I41" s="64">
        <v>8100</v>
      </c>
      <c r="J41" s="64">
        <v>-7476.7441860465115</v>
      </c>
      <c r="K41" s="63">
        <v>0.10526315789473684</v>
      </c>
      <c r="L41" s="63">
        <v>0.24092409240924093</v>
      </c>
      <c r="M41" s="63">
        <v>0.28382838283828382</v>
      </c>
      <c r="N41" s="63">
        <v>0.54794520547945202</v>
      </c>
      <c r="O41" s="63">
        <v>0.39534883720930231</v>
      </c>
      <c r="P41" s="63">
        <v>0.4</v>
      </c>
    </row>
    <row r="42" spans="1:16" x14ac:dyDescent="0.4">
      <c r="A42" s="65">
        <v>39</v>
      </c>
      <c r="B42" s="62">
        <v>-51.799999999999983</v>
      </c>
      <c r="C42" s="62">
        <v>-1.3282051282051277</v>
      </c>
      <c r="D42" s="67">
        <v>2.1025641025641026</v>
      </c>
      <c r="E42" s="63">
        <v>0.23076923076923078</v>
      </c>
      <c r="F42" s="63">
        <v>0.33333333333333331</v>
      </c>
      <c r="G42" s="63">
        <v>0.27795527156549521</v>
      </c>
      <c r="H42" s="63">
        <v>0.14376996805111822</v>
      </c>
      <c r="I42" s="64">
        <v>8111.4942528735628</v>
      </c>
      <c r="J42" s="64">
        <v>-7408.8888888888887</v>
      </c>
      <c r="K42" s="63">
        <v>0.10256410256410256</v>
      </c>
      <c r="L42" s="63">
        <v>0.24600638977635783</v>
      </c>
      <c r="M42" s="63">
        <v>0.27795527156549521</v>
      </c>
      <c r="N42" s="63">
        <v>0.53246753246753242</v>
      </c>
      <c r="O42" s="63">
        <v>0.39080459770114945</v>
      </c>
      <c r="P42" s="63">
        <v>0.40229885057471265</v>
      </c>
    </row>
    <row r="43" spans="1:16" x14ac:dyDescent="0.4">
      <c r="A43" s="65">
        <v>40</v>
      </c>
      <c r="B43" s="62">
        <v>-67.899999999999977</v>
      </c>
      <c r="C43" s="62">
        <v>-1.6974999999999993</v>
      </c>
      <c r="D43" s="67">
        <v>2.1</v>
      </c>
      <c r="E43" s="63">
        <v>0.22500000000000001</v>
      </c>
      <c r="F43" s="63">
        <v>0.32500000000000001</v>
      </c>
      <c r="G43" s="63">
        <v>0.27500000000000002</v>
      </c>
      <c r="H43" s="63">
        <v>0.14374999999999999</v>
      </c>
      <c r="I43" s="64">
        <v>8063.636363636364</v>
      </c>
      <c r="J43" s="64">
        <v>-7415.217391304348</v>
      </c>
      <c r="K43" s="63">
        <v>0.1</v>
      </c>
      <c r="L43" s="63">
        <v>0.24374999999999999</v>
      </c>
      <c r="M43" s="63">
        <v>0.27500000000000002</v>
      </c>
      <c r="N43" s="63">
        <v>0.52564102564102566</v>
      </c>
      <c r="O43" s="63">
        <v>0.38636363636363635</v>
      </c>
      <c r="P43" s="63">
        <v>0.39772727272727271</v>
      </c>
    </row>
    <row r="44" spans="1:16" x14ac:dyDescent="0.4">
      <c r="A44" s="65">
        <v>41</v>
      </c>
      <c r="B44" s="62">
        <v>-61.299999999999976</v>
      </c>
      <c r="C44" s="62">
        <v>-1.4951219512195115</v>
      </c>
      <c r="D44" s="67">
        <v>2.0975609756097562</v>
      </c>
      <c r="E44" s="63">
        <v>0.21951219512195122</v>
      </c>
      <c r="F44" s="63">
        <v>0.31707317073170732</v>
      </c>
      <c r="G44" s="63">
        <v>0.27522935779816515</v>
      </c>
      <c r="H44" s="63">
        <v>0.14678899082568808</v>
      </c>
      <c r="I44" s="64">
        <v>8151.1111111111113</v>
      </c>
      <c r="J44" s="64">
        <v>-7381.25</v>
      </c>
      <c r="K44" s="63">
        <v>9.7560975609756101E-2</v>
      </c>
      <c r="L44" s="63">
        <v>0.24464831804281345</v>
      </c>
      <c r="M44" s="63">
        <v>0.27217125382262997</v>
      </c>
      <c r="N44" s="63">
        <v>0.53749999999999998</v>
      </c>
      <c r="O44" s="63">
        <v>0.38202247191011235</v>
      </c>
      <c r="P44" s="63">
        <v>0.3888888888888889</v>
      </c>
    </row>
    <row r="45" spans="1:16" x14ac:dyDescent="0.4">
      <c r="A45" s="65">
        <v>42</v>
      </c>
      <c r="B45" s="62">
        <v>-56.899999999999977</v>
      </c>
      <c r="C45" s="62">
        <v>-1.3547619047619042</v>
      </c>
      <c r="D45" s="67">
        <v>2.0952380952380953</v>
      </c>
      <c r="E45" s="63">
        <v>0.21428571428571427</v>
      </c>
      <c r="F45" s="63">
        <v>0.30952380952380953</v>
      </c>
      <c r="G45" s="63">
        <v>0.27844311377245506</v>
      </c>
      <c r="H45" s="63">
        <v>0.1497005988023952</v>
      </c>
      <c r="I45" s="64">
        <v>8081.7204301075271</v>
      </c>
      <c r="J45" s="64">
        <v>-7318</v>
      </c>
      <c r="K45" s="63">
        <v>9.5238095238095233E-2</v>
      </c>
      <c r="L45" s="63">
        <v>0.24850299401197604</v>
      </c>
      <c r="M45" s="63">
        <v>0.26946107784431139</v>
      </c>
      <c r="N45" s="63">
        <v>0.54216867469879515</v>
      </c>
      <c r="O45" s="63">
        <v>0.3888888888888889</v>
      </c>
      <c r="P45" s="63">
        <v>0.39784946236559138</v>
      </c>
    </row>
    <row r="46" spans="1:16" x14ac:dyDescent="0.4">
      <c r="A46" s="65">
        <v>43</v>
      </c>
      <c r="B46" s="62">
        <v>-58.499999999999979</v>
      </c>
      <c r="C46" s="62">
        <v>-1.3604651162790693</v>
      </c>
      <c r="D46" s="67">
        <v>2.0930232558139537</v>
      </c>
      <c r="E46" s="63">
        <v>0.20930232558139536</v>
      </c>
      <c r="F46" s="63">
        <v>0.30232558139534882</v>
      </c>
      <c r="G46" s="63">
        <v>0.28279883381924198</v>
      </c>
      <c r="H46" s="63">
        <v>0.14868804664723032</v>
      </c>
      <c r="I46" s="64">
        <v>8176.2886597938141</v>
      </c>
      <c r="J46" s="64">
        <v>-7801.9607843137255</v>
      </c>
      <c r="K46" s="63">
        <v>9.3023255813953487E-2</v>
      </c>
      <c r="L46" s="63">
        <v>0.25072886297376096</v>
      </c>
      <c r="M46" s="63">
        <v>0.26822157434402333</v>
      </c>
      <c r="N46" s="63">
        <v>0.55813953488372092</v>
      </c>
      <c r="O46" s="63">
        <v>0.39130434782608697</v>
      </c>
      <c r="P46" s="63">
        <v>0.40206185567010311</v>
      </c>
    </row>
    <row r="47" spans="1:16" x14ac:dyDescent="0.4">
      <c r="A47" s="65">
        <v>44</v>
      </c>
      <c r="B47" s="62">
        <v>-49.899999999999977</v>
      </c>
      <c r="C47" s="62">
        <v>-1.1340909090909086</v>
      </c>
      <c r="D47" s="67">
        <v>2.0909090909090908</v>
      </c>
      <c r="E47" s="63">
        <v>0.20454545454545456</v>
      </c>
      <c r="F47" s="63">
        <v>0.29545454545454547</v>
      </c>
      <c r="G47" s="63">
        <v>0.28285714285714286</v>
      </c>
      <c r="H47" s="63">
        <v>0.14857142857142858</v>
      </c>
      <c r="I47" s="64">
        <v>8213.1313131313127</v>
      </c>
      <c r="J47" s="64">
        <v>-7682.6923076923076</v>
      </c>
      <c r="K47" s="63">
        <v>9.0909090909090912E-2</v>
      </c>
      <c r="L47" s="63">
        <v>0.25714285714285712</v>
      </c>
      <c r="M47" s="63">
        <v>0.26285714285714284</v>
      </c>
      <c r="N47" s="63">
        <v>0.55555555555555558</v>
      </c>
      <c r="O47" s="63">
        <v>0.39130434782608697</v>
      </c>
      <c r="P47" s="63">
        <v>0.41414141414141414</v>
      </c>
    </row>
    <row r="48" spans="1:16" x14ac:dyDescent="0.4">
      <c r="A48" s="65">
        <v>45</v>
      </c>
      <c r="B48" s="62">
        <v>11.600000000000023</v>
      </c>
      <c r="C48" s="62">
        <v>0.25777777777777827</v>
      </c>
      <c r="D48" s="67">
        <v>2.0666666666666669</v>
      </c>
      <c r="E48" s="63">
        <v>0.22222222222222221</v>
      </c>
      <c r="F48" s="63">
        <v>0.28888888888888886</v>
      </c>
      <c r="G48" s="63">
        <v>0.28732394366197184</v>
      </c>
      <c r="H48" s="63">
        <v>0.14647887323943662</v>
      </c>
      <c r="I48" s="64">
        <v>8383.3333333333339</v>
      </c>
      <c r="J48" s="64">
        <v>-7682.6923076923076</v>
      </c>
      <c r="K48" s="63">
        <v>8.8888888888888892E-2</v>
      </c>
      <c r="L48" s="63">
        <v>0.26197183098591548</v>
      </c>
      <c r="M48" s="63">
        <v>0.25915492957746478</v>
      </c>
      <c r="N48" s="63">
        <v>0.56989247311827962</v>
      </c>
      <c r="O48" s="63">
        <v>0.39130434782608697</v>
      </c>
      <c r="P48" s="63">
        <v>0.42156862745098039</v>
      </c>
    </row>
    <row r="49" spans="1:16" x14ac:dyDescent="0.4">
      <c r="A49" s="65">
        <v>46</v>
      </c>
      <c r="B49" s="62">
        <v>-23.299999999999976</v>
      </c>
      <c r="C49" s="62">
        <v>-0.5065217391304343</v>
      </c>
      <c r="D49" s="67">
        <v>2.0869565217391304</v>
      </c>
      <c r="E49" s="63">
        <v>0.21739130434782608</v>
      </c>
      <c r="F49" s="63">
        <v>0.30434782608695654</v>
      </c>
      <c r="G49" s="63">
        <v>0.28415300546448086</v>
      </c>
      <c r="H49" s="63">
        <v>0.1448087431693989</v>
      </c>
      <c r="I49" s="64">
        <v>8318.2692307692305</v>
      </c>
      <c r="J49" s="64">
        <v>-7688.6792452830186</v>
      </c>
      <c r="K49" s="63">
        <v>8.6956521739130432E-2</v>
      </c>
      <c r="L49" s="63">
        <v>0.25683060109289618</v>
      </c>
      <c r="M49" s="63">
        <v>0.25683060109289618</v>
      </c>
      <c r="N49" s="63">
        <v>0.57446808510638303</v>
      </c>
      <c r="O49" s="63">
        <v>0.39361702127659576</v>
      </c>
      <c r="P49" s="63">
        <v>0.41346153846153844</v>
      </c>
    </row>
    <row r="50" spans="1:16" x14ac:dyDescent="0.4">
      <c r="A50" s="65">
        <v>47</v>
      </c>
      <c r="B50" s="62">
        <v>-11.099999999999977</v>
      </c>
      <c r="C50" s="62">
        <v>-0.23617021276595696</v>
      </c>
      <c r="D50" s="67">
        <v>2.0851063829787235</v>
      </c>
      <c r="E50" s="63">
        <v>0.21276595744680851</v>
      </c>
      <c r="F50" s="63">
        <v>0.2978723404255319</v>
      </c>
      <c r="G50" s="63">
        <v>0.28301886792452829</v>
      </c>
      <c r="H50" s="63">
        <v>0.14285714285714285</v>
      </c>
      <c r="I50" s="64">
        <v>8353.3333333333339</v>
      </c>
      <c r="J50" s="64">
        <v>-7688.6792452830186</v>
      </c>
      <c r="K50" s="63">
        <v>8.5106382978723402E-2</v>
      </c>
      <c r="L50" s="63">
        <v>0.25336927223719674</v>
      </c>
      <c r="M50" s="63">
        <v>0.2587601078167116</v>
      </c>
      <c r="N50" s="63">
        <v>0.57446808510638303</v>
      </c>
      <c r="O50" s="63">
        <v>0.38541666666666669</v>
      </c>
      <c r="P50" s="63">
        <v>0.41904761904761906</v>
      </c>
    </row>
    <row r="51" spans="1:16" x14ac:dyDescent="0.4">
      <c r="A51" s="65">
        <v>48</v>
      </c>
      <c r="B51" s="62">
        <v>-31.099999999999977</v>
      </c>
      <c r="C51" s="62">
        <v>-0.64791666666666614</v>
      </c>
      <c r="D51" s="67">
        <v>2.0833333333333335</v>
      </c>
      <c r="E51" s="63">
        <v>0.20833333333333334</v>
      </c>
      <c r="F51" s="63">
        <v>0.29166666666666669</v>
      </c>
      <c r="G51" s="63">
        <v>0.28238341968911918</v>
      </c>
      <c r="H51" s="63">
        <v>0.14248704663212436</v>
      </c>
      <c r="I51" s="64">
        <v>8305.5045871559632</v>
      </c>
      <c r="J51" s="64">
        <v>-7827.272727272727</v>
      </c>
      <c r="K51" s="63">
        <v>8.3333333333333329E-2</v>
      </c>
      <c r="L51" s="63">
        <v>0.25129533678756477</v>
      </c>
      <c r="M51" s="63">
        <v>0.25647668393782386</v>
      </c>
      <c r="N51" s="63">
        <v>0.57731958762886593</v>
      </c>
      <c r="O51" s="63">
        <v>0.39393939393939392</v>
      </c>
      <c r="P51" s="63">
        <v>0.42201834862385323</v>
      </c>
    </row>
    <row r="52" spans="1:16" x14ac:dyDescent="0.4">
      <c r="A52" s="65">
        <v>49</v>
      </c>
      <c r="B52" s="62">
        <v>-18.499999999999979</v>
      </c>
      <c r="C52" s="62">
        <v>-0.37755102040816285</v>
      </c>
      <c r="D52" s="67">
        <v>2.0816326530612246</v>
      </c>
      <c r="E52" s="63">
        <v>0.20408163265306123</v>
      </c>
      <c r="F52" s="63">
        <v>0.2857142857142857</v>
      </c>
      <c r="G52" s="63">
        <v>0.28498727735368956</v>
      </c>
      <c r="H52" s="63">
        <v>0.13994910941475827</v>
      </c>
      <c r="I52" s="64">
        <v>8366.0714285714294</v>
      </c>
      <c r="J52" s="64">
        <v>-7827.272727272727</v>
      </c>
      <c r="K52" s="63">
        <v>8.1632653061224483E-2</v>
      </c>
      <c r="L52" s="63">
        <v>0.25190839694656486</v>
      </c>
      <c r="M52" s="63">
        <v>0.2544529262086514</v>
      </c>
      <c r="N52" s="63">
        <v>0.58585858585858586</v>
      </c>
      <c r="O52" s="63">
        <v>0.4</v>
      </c>
      <c r="P52" s="63">
        <v>0.41964285714285715</v>
      </c>
    </row>
    <row r="53" spans="1:16" x14ac:dyDescent="0.4">
      <c r="A53" s="65">
        <v>50</v>
      </c>
      <c r="B53" s="62">
        <v>7.1000000000000227</v>
      </c>
      <c r="C53" s="62">
        <v>0.14200000000000046</v>
      </c>
      <c r="D53" s="67">
        <v>2.06</v>
      </c>
      <c r="E53" s="63">
        <v>0.22</v>
      </c>
      <c r="F53" s="63">
        <v>0.28000000000000003</v>
      </c>
      <c r="G53" s="63">
        <v>0.28499999999999998</v>
      </c>
      <c r="H53" s="63">
        <v>0.14000000000000001</v>
      </c>
      <c r="I53" s="64">
        <v>8429.8245614035095</v>
      </c>
      <c r="J53" s="64">
        <v>-7757.1428571428569</v>
      </c>
      <c r="K53" s="63">
        <v>0.08</v>
      </c>
      <c r="L53" s="63">
        <v>0.2525</v>
      </c>
      <c r="M53" s="63">
        <v>0.255</v>
      </c>
      <c r="N53" s="63">
        <v>0.59405940594059403</v>
      </c>
      <c r="O53" s="63">
        <v>0.39215686274509803</v>
      </c>
      <c r="P53" s="63">
        <v>0.42982456140350878</v>
      </c>
    </row>
    <row r="54" spans="1:16" x14ac:dyDescent="0.4">
      <c r="A54" s="65">
        <v>51</v>
      </c>
      <c r="B54" s="62">
        <v>6.5000000000000231</v>
      </c>
      <c r="C54" s="62">
        <v>0.12745098039215733</v>
      </c>
      <c r="D54" s="67">
        <v>2.0588235294117645</v>
      </c>
      <c r="E54" s="63">
        <v>0.21568627450980393</v>
      </c>
      <c r="F54" s="63">
        <v>0.27450980392156865</v>
      </c>
      <c r="G54" s="63">
        <v>0.28186274509803921</v>
      </c>
      <c r="H54" s="63">
        <v>0.13970588235294118</v>
      </c>
      <c r="I54" s="64">
        <v>8460.8695652173919</v>
      </c>
      <c r="J54" s="64">
        <v>-7705.2631578947367</v>
      </c>
      <c r="K54" s="63">
        <v>7.8431372549019607E-2</v>
      </c>
      <c r="L54" s="63">
        <v>0.25245098039215685</v>
      </c>
      <c r="M54" s="63">
        <v>0.25</v>
      </c>
      <c r="N54" s="63">
        <v>0.59223300970873782</v>
      </c>
      <c r="O54" s="63">
        <v>0.39215686274509803</v>
      </c>
      <c r="P54" s="63">
        <v>0.43478260869565216</v>
      </c>
    </row>
    <row r="55" spans="1:16" x14ac:dyDescent="0.4">
      <c r="A55" s="65">
        <v>52</v>
      </c>
      <c r="B55" s="62">
        <v>-0.29999999999997673</v>
      </c>
      <c r="C55" s="62">
        <v>-5.769230769230322E-3</v>
      </c>
      <c r="D55" s="67">
        <v>2.0576923076923075</v>
      </c>
      <c r="E55" s="63">
        <v>0.21153846153846154</v>
      </c>
      <c r="F55" s="63">
        <v>0.26923076923076922</v>
      </c>
      <c r="G55" s="63">
        <v>0.27751196172248804</v>
      </c>
      <c r="H55" s="63">
        <v>0.13636363636363635</v>
      </c>
      <c r="I55" s="64">
        <v>8543.1034482758623</v>
      </c>
      <c r="J55" s="64">
        <v>-7705.2631578947367</v>
      </c>
      <c r="K55" s="63">
        <v>7.6923076923076927E-2</v>
      </c>
      <c r="L55" s="63">
        <v>0.25358851674641147</v>
      </c>
      <c r="M55" s="63">
        <v>0.25119617224880381</v>
      </c>
      <c r="N55" s="63">
        <v>0.58490566037735847</v>
      </c>
      <c r="O55" s="63">
        <v>0.38095238095238093</v>
      </c>
      <c r="P55" s="63">
        <v>0.43965517241379309</v>
      </c>
    </row>
    <row r="56" spans="1:16" x14ac:dyDescent="0.4">
      <c r="A56" s="65">
        <v>53</v>
      </c>
      <c r="B56" s="62">
        <v>8.800000000000022</v>
      </c>
      <c r="C56" s="62">
        <v>0.16603773584905701</v>
      </c>
      <c r="D56" s="67">
        <v>2.0566037735849059</v>
      </c>
      <c r="E56" s="63">
        <v>0.20754716981132076</v>
      </c>
      <c r="F56" s="63">
        <v>0.26415094339622641</v>
      </c>
      <c r="G56" s="63">
        <v>0.28000000000000003</v>
      </c>
      <c r="H56" s="63">
        <v>0.13411764705882354</v>
      </c>
      <c r="I56" s="64">
        <v>8626.8907563025205</v>
      </c>
      <c r="J56" s="64">
        <v>-7705.2631578947367</v>
      </c>
      <c r="K56" s="63">
        <v>7.5471698113207544E-2</v>
      </c>
      <c r="L56" s="63">
        <v>0.2541176470588235</v>
      </c>
      <c r="M56" s="63">
        <v>0.25176470588235295</v>
      </c>
      <c r="N56" s="63">
        <v>0.59259259259259256</v>
      </c>
      <c r="O56" s="63">
        <v>0.38317757009345793</v>
      </c>
      <c r="P56" s="63">
        <v>0.43697478991596639</v>
      </c>
    </row>
    <row r="57" spans="1:16" x14ac:dyDescent="0.4">
      <c r="A57" s="65">
        <v>54</v>
      </c>
      <c r="B57" s="62">
        <v>5.800000000000022</v>
      </c>
      <c r="C57" s="62">
        <v>0.10740740740740781</v>
      </c>
      <c r="D57" s="67">
        <v>2.0555555555555554</v>
      </c>
      <c r="E57" s="63">
        <v>0.20370370370370369</v>
      </c>
      <c r="F57" s="63">
        <v>0.25925925925925924</v>
      </c>
      <c r="G57" s="63">
        <v>0.28175519630484991</v>
      </c>
      <c r="H57" s="63">
        <v>0.13163972286374134</v>
      </c>
      <c r="I57" s="64">
        <v>8558.1967213114749</v>
      </c>
      <c r="J57" s="64">
        <v>-7705.2631578947367</v>
      </c>
      <c r="K57" s="63">
        <v>7.407407407407407E-2</v>
      </c>
      <c r="L57" s="63">
        <v>0.25635103926096997</v>
      </c>
      <c r="M57" s="63">
        <v>0.24942263279445728</v>
      </c>
      <c r="N57" s="63">
        <v>0.5855855855855856</v>
      </c>
      <c r="O57" s="63">
        <v>0.3888888888888889</v>
      </c>
      <c r="P57" s="63">
        <v>0.4344262295081967</v>
      </c>
    </row>
    <row r="58" spans="1:16" x14ac:dyDescent="0.4">
      <c r="A58" s="65">
        <v>55</v>
      </c>
      <c r="B58" s="62">
        <v>-12.499999999999979</v>
      </c>
      <c r="C58" s="62">
        <v>-0.22727272727272688</v>
      </c>
      <c r="D58" s="67">
        <v>2.0727272727272728</v>
      </c>
      <c r="E58" s="63">
        <v>0.2</v>
      </c>
      <c r="F58" s="63">
        <v>0.27272727272727271</v>
      </c>
      <c r="G58" s="63">
        <v>0.28018223234624146</v>
      </c>
      <c r="H58" s="63">
        <v>0.12984054669703873</v>
      </c>
      <c r="I58" s="64">
        <v>8553.6585365853662</v>
      </c>
      <c r="J58" s="64">
        <v>-7705.2631578947367</v>
      </c>
      <c r="K58" s="63">
        <v>7.2727272727272724E-2</v>
      </c>
      <c r="L58" s="63">
        <v>0.25740318906605925</v>
      </c>
      <c r="M58" s="63">
        <v>0.24601366742596811</v>
      </c>
      <c r="N58" s="63">
        <v>0.58407079646017701</v>
      </c>
      <c r="O58" s="63">
        <v>0.3888888888888889</v>
      </c>
      <c r="P58" s="63">
        <v>0.43089430894308944</v>
      </c>
    </row>
    <row r="59" spans="1:16" x14ac:dyDescent="0.4">
      <c r="A59" s="65">
        <v>56</v>
      </c>
      <c r="B59" s="62">
        <v>36.40000000000002</v>
      </c>
      <c r="C59" s="62">
        <v>0.65000000000000036</v>
      </c>
      <c r="D59" s="67">
        <v>2.0535714285714284</v>
      </c>
      <c r="E59" s="63">
        <v>0.21428571428571427</v>
      </c>
      <c r="F59" s="63">
        <v>0.26785714285714285</v>
      </c>
      <c r="G59" s="63">
        <v>0.28442437923250563</v>
      </c>
      <c r="H59" s="63">
        <v>0.12866817155756208</v>
      </c>
      <c r="I59" s="64">
        <v>8650.7936507936502</v>
      </c>
      <c r="J59" s="64">
        <v>-7705.2631578947367</v>
      </c>
      <c r="K59" s="63">
        <v>7.1428571428571425E-2</v>
      </c>
      <c r="L59" s="63">
        <v>0.25733634311512416</v>
      </c>
      <c r="M59" s="63">
        <v>0.24830699774266365</v>
      </c>
      <c r="N59" s="63">
        <v>0.58771929824561409</v>
      </c>
      <c r="O59" s="63">
        <v>0.4</v>
      </c>
      <c r="P59" s="63">
        <v>0.42063492063492064</v>
      </c>
    </row>
    <row r="60" spans="1:16" x14ac:dyDescent="0.4">
      <c r="A60" s="65">
        <v>57</v>
      </c>
      <c r="B60" s="62">
        <v>-3.6999999999999815</v>
      </c>
      <c r="C60" s="62">
        <v>-6.491228070175406E-2</v>
      </c>
      <c r="D60" s="67">
        <v>2.0701754385964914</v>
      </c>
      <c r="E60" s="63">
        <v>0.21052631578947367</v>
      </c>
      <c r="F60" s="63">
        <v>0.2807017543859649</v>
      </c>
      <c r="G60" s="63">
        <v>0.2807017543859649</v>
      </c>
      <c r="H60" s="63">
        <v>0.1337719298245614</v>
      </c>
      <c r="I60" s="64">
        <v>8638.28125</v>
      </c>
      <c r="J60" s="64">
        <v>-7642.622950819672</v>
      </c>
      <c r="K60" s="63">
        <v>7.0175438596491224E-2</v>
      </c>
      <c r="L60" s="63">
        <v>0.26096491228070173</v>
      </c>
      <c r="M60" s="63">
        <v>0.24561403508771928</v>
      </c>
      <c r="N60" s="63">
        <v>0.5714285714285714</v>
      </c>
      <c r="O60" s="63">
        <v>0.39285714285714285</v>
      </c>
      <c r="P60" s="63">
        <v>0.421875</v>
      </c>
    </row>
    <row r="61" spans="1:16" x14ac:dyDescent="0.4">
      <c r="A61" s="65">
        <v>58</v>
      </c>
      <c r="B61" s="62">
        <v>12.90000000000002</v>
      </c>
      <c r="C61" s="62">
        <v>0.22241379310344861</v>
      </c>
      <c r="D61" s="67">
        <v>2.0517241379310347</v>
      </c>
      <c r="E61" s="63">
        <v>0.22413793103448276</v>
      </c>
      <c r="F61" s="63">
        <v>0.27586206896551724</v>
      </c>
      <c r="G61" s="63">
        <v>0.2832618025751073</v>
      </c>
      <c r="H61" s="63">
        <v>0.13304721030042918</v>
      </c>
      <c r="I61" s="64">
        <v>8578.0303030303039</v>
      </c>
      <c r="J61" s="64">
        <v>-7777.4193548387093</v>
      </c>
      <c r="K61" s="63">
        <v>6.8965517241379309E-2</v>
      </c>
      <c r="L61" s="63">
        <v>0.25751072961373389</v>
      </c>
      <c r="M61" s="63">
        <v>0.24678111587982832</v>
      </c>
      <c r="N61" s="63">
        <v>0.57499999999999996</v>
      </c>
      <c r="O61" s="63">
        <v>0.40869565217391307</v>
      </c>
      <c r="P61" s="63">
        <v>0.41666666666666669</v>
      </c>
    </row>
    <row r="62" spans="1:16" x14ac:dyDescent="0.4">
      <c r="A62" s="65">
        <v>59</v>
      </c>
      <c r="B62" s="62">
        <v>37.700000000000017</v>
      </c>
      <c r="C62" s="62">
        <v>0.63898305084745788</v>
      </c>
      <c r="D62" s="67">
        <v>2.0338983050847457</v>
      </c>
      <c r="E62" s="63">
        <v>0.23728813559322035</v>
      </c>
      <c r="F62" s="63">
        <v>0.2711864406779661</v>
      </c>
      <c r="G62" s="63">
        <v>0.28361344537815125</v>
      </c>
      <c r="H62" s="63">
        <v>0.13025210084033614</v>
      </c>
      <c r="I62" s="64">
        <v>8562.2222222222226</v>
      </c>
      <c r="J62" s="64">
        <v>-7777.4193548387093</v>
      </c>
      <c r="K62" s="63">
        <v>6.7796610169491525E-2</v>
      </c>
      <c r="L62" s="63">
        <v>0.25420168067226889</v>
      </c>
      <c r="M62" s="63">
        <v>0.24789915966386555</v>
      </c>
      <c r="N62" s="63">
        <v>0.57851239669421484</v>
      </c>
      <c r="O62" s="63">
        <v>0.4152542372881356</v>
      </c>
      <c r="P62" s="63">
        <v>0.42222222222222222</v>
      </c>
    </row>
    <row r="63" spans="1:16" x14ac:dyDescent="0.4">
      <c r="A63" s="65">
        <v>60</v>
      </c>
      <c r="B63" s="62">
        <v>77.000000000000014</v>
      </c>
      <c r="C63" s="62">
        <v>1.2833333333333337</v>
      </c>
      <c r="D63" s="67">
        <v>2.0166666666666666</v>
      </c>
      <c r="E63" s="63">
        <v>0.25</v>
      </c>
      <c r="F63" s="63">
        <v>0.26666666666666666</v>
      </c>
      <c r="G63" s="63">
        <v>0.28985507246376813</v>
      </c>
      <c r="H63" s="63">
        <v>0.13043478260869565</v>
      </c>
      <c r="I63" s="64">
        <v>8480.7142857142862</v>
      </c>
      <c r="J63" s="64">
        <v>-7695.2380952380954</v>
      </c>
      <c r="K63" s="63">
        <v>6.6666666666666666E-2</v>
      </c>
      <c r="L63" s="63">
        <v>0.25465838509316768</v>
      </c>
      <c r="M63" s="63">
        <v>0.2484472049689441</v>
      </c>
      <c r="N63" s="63">
        <v>0.58536585365853655</v>
      </c>
      <c r="O63" s="63">
        <v>0.42499999999999999</v>
      </c>
      <c r="P63" s="63">
        <v>0.44285714285714284</v>
      </c>
    </row>
    <row r="64" spans="1:16" x14ac:dyDescent="0.4">
      <c r="A64" s="65">
        <v>61</v>
      </c>
      <c r="B64" s="62">
        <v>21.100000000000016</v>
      </c>
      <c r="C64" s="62">
        <v>0.34590163934426255</v>
      </c>
      <c r="D64" s="67">
        <v>2.0327868852459017</v>
      </c>
      <c r="E64" s="63">
        <v>0.24590163934426229</v>
      </c>
      <c r="F64" s="63">
        <v>0.27868852459016391</v>
      </c>
      <c r="G64" s="63">
        <v>0.28888888888888886</v>
      </c>
      <c r="H64" s="63">
        <v>0.13333333333333333</v>
      </c>
      <c r="I64" s="64">
        <v>8379.720279720279</v>
      </c>
      <c r="J64" s="64">
        <v>-7790.909090909091</v>
      </c>
      <c r="K64" s="63">
        <v>8.1967213114754092E-2</v>
      </c>
      <c r="L64" s="63">
        <v>0.25454545454545452</v>
      </c>
      <c r="M64" s="63">
        <v>0.25050505050505051</v>
      </c>
      <c r="N64" s="63">
        <v>0.57936507936507942</v>
      </c>
      <c r="O64" s="63">
        <v>0.41935483870967744</v>
      </c>
      <c r="P64" s="63">
        <v>0.44055944055944057</v>
      </c>
    </row>
    <row r="65" spans="1:16" x14ac:dyDescent="0.4">
      <c r="A65" s="65">
        <v>62</v>
      </c>
      <c r="B65" s="62">
        <v>27.100000000000016</v>
      </c>
      <c r="C65" s="62">
        <v>0.43709677419354864</v>
      </c>
      <c r="D65" s="67">
        <v>2.032258064516129</v>
      </c>
      <c r="E65" s="63">
        <v>0.24193548387096775</v>
      </c>
      <c r="F65" s="63">
        <v>0.27419354838709675</v>
      </c>
      <c r="G65" s="63">
        <v>0.28769841269841268</v>
      </c>
      <c r="H65" s="63">
        <v>0.13095238095238096</v>
      </c>
      <c r="I65" s="64">
        <v>8366.8965517241377</v>
      </c>
      <c r="J65" s="64">
        <v>-7790.909090909091</v>
      </c>
      <c r="K65" s="63">
        <v>8.0645161290322578E-2</v>
      </c>
      <c r="L65" s="63">
        <v>0.25595238095238093</v>
      </c>
      <c r="M65" s="63">
        <v>0.25198412698412698</v>
      </c>
      <c r="N65" s="63">
        <v>0.5736434108527132</v>
      </c>
      <c r="O65" s="63">
        <v>0.41732283464566927</v>
      </c>
      <c r="P65" s="63">
        <v>0.43448275862068964</v>
      </c>
    </row>
    <row r="66" spans="1:16" x14ac:dyDescent="0.4">
      <c r="A66" s="65">
        <v>63</v>
      </c>
      <c r="B66" s="62">
        <v>11.800000000000015</v>
      </c>
      <c r="C66" s="62">
        <v>0.18730158730158755</v>
      </c>
      <c r="D66" s="67">
        <v>2.0476190476190474</v>
      </c>
      <c r="E66" s="63">
        <v>0.23809523809523808</v>
      </c>
      <c r="F66" s="63">
        <v>0.2857142857142857</v>
      </c>
      <c r="G66" s="63">
        <v>0.287109375</v>
      </c>
      <c r="H66" s="63">
        <v>0.130859375</v>
      </c>
      <c r="I66" s="64">
        <v>8375.5102040816328</v>
      </c>
      <c r="J66" s="64">
        <v>-7943.2835820895525</v>
      </c>
      <c r="K66" s="63">
        <v>7.9365079365079361E-2</v>
      </c>
      <c r="L66" s="63">
        <v>0.255859375</v>
      </c>
      <c r="M66" s="63">
        <v>0.251953125</v>
      </c>
      <c r="N66" s="63">
        <v>0.58015267175572516</v>
      </c>
      <c r="O66" s="63">
        <v>0.41085271317829458</v>
      </c>
      <c r="P66" s="63">
        <v>0.44217687074829931</v>
      </c>
    </row>
    <row r="67" spans="1:16" x14ac:dyDescent="0.4">
      <c r="A67" s="65">
        <v>64</v>
      </c>
      <c r="B67" s="62">
        <v>46.40000000000002</v>
      </c>
      <c r="C67" s="62">
        <v>0.72500000000000031</v>
      </c>
      <c r="D67" s="67">
        <v>2.03125</v>
      </c>
      <c r="E67" s="63">
        <v>0.25</v>
      </c>
      <c r="F67" s="63">
        <v>0.28125</v>
      </c>
      <c r="G67" s="63">
        <v>0.28875968992248063</v>
      </c>
      <c r="H67" s="63">
        <v>0.12984496124031009</v>
      </c>
      <c r="I67" s="64">
        <v>8461.7449664429532</v>
      </c>
      <c r="J67" s="64">
        <v>-7943.2835820895525</v>
      </c>
      <c r="K67" s="63">
        <v>7.8125E-2</v>
      </c>
      <c r="L67" s="63">
        <v>0.2558139534883721</v>
      </c>
      <c r="M67" s="63">
        <v>0.25193798449612403</v>
      </c>
      <c r="N67" s="63">
        <v>0.58333333333333337</v>
      </c>
      <c r="O67" s="63">
        <v>0.41538461538461541</v>
      </c>
      <c r="P67" s="63">
        <v>0.44295302013422821</v>
      </c>
    </row>
    <row r="68" spans="1:16" x14ac:dyDescent="0.4">
      <c r="A68" s="65">
        <v>65</v>
      </c>
      <c r="B68" s="62">
        <v>39.90000000000002</v>
      </c>
      <c r="C68" s="62">
        <v>0.61384615384615415</v>
      </c>
      <c r="D68" s="67">
        <v>2.0307692307692307</v>
      </c>
      <c r="E68" s="63">
        <v>0.24615384615384617</v>
      </c>
      <c r="F68" s="63">
        <v>0.27692307692307694</v>
      </c>
      <c r="G68" s="63">
        <v>0.28927203065134099</v>
      </c>
      <c r="H68" s="63">
        <v>0.13026819923371646</v>
      </c>
      <c r="I68" s="64">
        <v>8508.6092715231789</v>
      </c>
      <c r="J68" s="64">
        <v>-8179.411764705882</v>
      </c>
      <c r="K68" s="63">
        <v>7.6923076923076927E-2</v>
      </c>
      <c r="L68" s="63">
        <v>0.25478927203065133</v>
      </c>
      <c r="M68" s="63">
        <v>0.25287356321839083</v>
      </c>
      <c r="N68" s="63">
        <v>0.5864661654135338</v>
      </c>
      <c r="O68" s="63">
        <v>0.40909090909090912</v>
      </c>
      <c r="P68" s="63">
        <v>0.44370860927152317</v>
      </c>
    </row>
    <row r="69" spans="1:16" x14ac:dyDescent="0.4">
      <c r="A69" s="65">
        <v>66</v>
      </c>
      <c r="B69" s="62">
        <v>14.600000000000019</v>
      </c>
      <c r="C69" s="62">
        <v>0.2212121212121215</v>
      </c>
      <c r="D69" s="67">
        <v>2.0454545454545454</v>
      </c>
      <c r="E69" s="63">
        <v>0.24242424242424243</v>
      </c>
      <c r="F69" s="63">
        <v>0.2878787878787879</v>
      </c>
      <c r="G69" s="63">
        <v>0.28625235404896421</v>
      </c>
      <c r="H69" s="63">
        <v>0.128060263653484</v>
      </c>
      <c r="I69" s="64">
        <v>8490.78947368421</v>
      </c>
      <c r="J69" s="64">
        <v>-8179.411764705882</v>
      </c>
      <c r="K69" s="63">
        <v>7.575757575757576E-2</v>
      </c>
      <c r="L69" s="63">
        <v>0.25235404896421848</v>
      </c>
      <c r="M69" s="63">
        <v>0.25235404896421848</v>
      </c>
      <c r="N69" s="63">
        <v>0.58208955223880599</v>
      </c>
      <c r="O69" s="63">
        <v>0.41044776119402987</v>
      </c>
      <c r="P69" s="63">
        <v>0.44078947368421051</v>
      </c>
    </row>
    <row r="70" spans="1:16" x14ac:dyDescent="0.4">
      <c r="A70" s="65">
        <v>67</v>
      </c>
      <c r="B70" s="62">
        <v>-6.2999999999999794</v>
      </c>
      <c r="C70" s="62">
        <v>-9.4029850746268351E-2</v>
      </c>
      <c r="D70" s="67">
        <v>2.0597014925373136</v>
      </c>
      <c r="E70" s="63">
        <v>0.23880597014925373</v>
      </c>
      <c r="F70" s="63">
        <v>0.29850746268656714</v>
      </c>
      <c r="G70" s="63">
        <v>0.28491620111731841</v>
      </c>
      <c r="H70" s="63">
        <v>0.1266294227188082</v>
      </c>
      <c r="I70" s="64">
        <v>8461.4379084967313</v>
      </c>
      <c r="J70" s="64">
        <v>-8179.411764705882</v>
      </c>
      <c r="K70" s="63">
        <v>7.4626865671641784E-2</v>
      </c>
      <c r="L70" s="63">
        <v>0.25139664804469275</v>
      </c>
      <c r="M70" s="63">
        <v>0.25139664804469275</v>
      </c>
      <c r="N70" s="63">
        <v>0.58518518518518514</v>
      </c>
      <c r="O70" s="63">
        <v>0.40740740740740738</v>
      </c>
      <c r="P70" s="63">
        <v>0.44444444444444442</v>
      </c>
    </row>
    <row r="71" spans="1:16" x14ac:dyDescent="0.4">
      <c r="A71" s="65">
        <v>68</v>
      </c>
      <c r="B71" s="62">
        <v>-2.7999999999999794</v>
      </c>
      <c r="C71" s="62">
        <v>-4.1176470588234988E-2</v>
      </c>
      <c r="D71" s="67">
        <v>2.0588235294117645</v>
      </c>
      <c r="E71" s="63">
        <v>0.23529411764705882</v>
      </c>
      <c r="F71" s="63">
        <v>0.29411764705882354</v>
      </c>
      <c r="G71" s="63">
        <v>0.28623853211009176</v>
      </c>
      <c r="H71" s="63">
        <v>0.12477064220183487</v>
      </c>
      <c r="I71" s="64">
        <v>8463.461538461539</v>
      </c>
      <c r="J71" s="64">
        <v>-8179.411764705882</v>
      </c>
      <c r="K71" s="63">
        <v>7.3529411764705885E-2</v>
      </c>
      <c r="L71" s="63">
        <v>0.25504587155963304</v>
      </c>
      <c r="M71" s="63">
        <v>0.25321100917431194</v>
      </c>
      <c r="N71" s="63">
        <v>0.58273381294964033</v>
      </c>
      <c r="O71" s="63">
        <v>0.40579710144927539</v>
      </c>
      <c r="P71" s="63">
        <v>0.44871794871794873</v>
      </c>
    </row>
    <row r="72" spans="1:16" x14ac:dyDescent="0.4">
      <c r="A72" s="65">
        <v>69</v>
      </c>
      <c r="B72" s="62">
        <v>-35.799999999999983</v>
      </c>
      <c r="C72" s="62">
        <v>-0.51884057971014463</v>
      </c>
      <c r="D72" s="67">
        <v>2.0579710144927534</v>
      </c>
      <c r="E72" s="63">
        <v>0.2318840579710145</v>
      </c>
      <c r="F72" s="63">
        <v>0.28985507246376813</v>
      </c>
      <c r="G72" s="63">
        <v>0.28442028985507245</v>
      </c>
      <c r="H72" s="63">
        <v>0.125</v>
      </c>
      <c r="I72" s="64">
        <v>8428.6624203821648</v>
      </c>
      <c r="J72" s="64">
        <v>-8321.7391304347821</v>
      </c>
      <c r="K72" s="63">
        <v>7.2463768115942032E-2</v>
      </c>
      <c r="L72" s="63">
        <v>0.25362318840579712</v>
      </c>
      <c r="M72" s="63">
        <v>0.25362318840579712</v>
      </c>
      <c r="N72" s="63">
        <v>0.57857142857142863</v>
      </c>
      <c r="O72" s="63">
        <v>0.4</v>
      </c>
      <c r="P72" s="63">
        <v>0.45222929936305734</v>
      </c>
    </row>
    <row r="73" spans="1:16" x14ac:dyDescent="0.4">
      <c r="A73" s="65">
        <v>70</v>
      </c>
      <c r="B73" s="62">
        <v>-59.899999999999984</v>
      </c>
      <c r="C73" s="62">
        <v>-0.85571428571428554</v>
      </c>
      <c r="D73" s="67">
        <v>2.0714285714285716</v>
      </c>
      <c r="E73" s="63">
        <v>0.22857142857142856</v>
      </c>
      <c r="F73" s="63">
        <v>0.3</v>
      </c>
      <c r="G73" s="63">
        <v>0.28264758497316639</v>
      </c>
      <c r="H73" s="63">
        <v>0.12701252236135957</v>
      </c>
      <c r="I73" s="64">
        <v>8400</v>
      </c>
      <c r="J73" s="64">
        <v>-8270.422535211268</v>
      </c>
      <c r="K73" s="63">
        <v>7.1428571428571425E-2</v>
      </c>
      <c r="L73" s="63">
        <v>0.25223613595706618</v>
      </c>
      <c r="M73" s="63">
        <v>0.25223613595706618</v>
      </c>
      <c r="N73" s="63">
        <v>0.57446808510638303</v>
      </c>
      <c r="O73" s="63">
        <v>0.40425531914893614</v>
      </c>
      <c r="P73" s="63">
        <v>0.44936708860759494</v>
      </c>
    </row>
    <row r="74" spans="1:16" x14ac:dyDescent="0.4">
      <c r="A74" s="65">
        <v>71</v>
      </c>
      <c r="B74" s="62">
        <v>-49.59999999999998</v>
      </c>
      <c r="C74" s="62">
        <v>-0.69859154929577438</v>
      </c>
      <c r="D74" s="67">
        <v>2.0704225352112675</v>
      </c>
      <c r="E74" s="63">
        <v>0.22535211267605634</v>
      </c>
      <c r="F74" s="63">
        <v>0.29577464788732394</v>
      </c>
      <c r="G74" s="63">
        <v>0.28368794326241137</v>
      </c>
      <c r="H74" s="63">
        <v>0.12588652482269502</v>
      </c>
      <c r="I74" s="64">
        <v>8493.75</v>
      </c>
      <c r="J74" s="64">
        <v>-8270.422535211268</v>
      </c>
      <c r="K74" s="63">
        <v>7.0422535211267609E-2</v>
      </c>
      <c r="L74" s="63">
        <v>0.25354609929078015</v>
      </c>
      <c r="M74" s="63">
        <v>0.25177304964539005</v>
      </c>
      <c r="N74" s="63">
        <v>0.57342657342657344</v>
      </c>
      <c r="O74" s="63">
        <v>0.40845070422535212</v>
      </c>
      <c r="P74" s="63">
        <v>0.45624999999999999</v>
      </c>
    </row>
    <row r="75" spans="1:16" x14ac:dyDescent="0.4">
      <c r="A75" s="65">
        <v>72</v>
      </c>
      <c r="B75" s="62">
        <v>-53.999999999999979</v>
      </c>
      <c r="C75" s="62">
        <v>-0.74999999999999967</v>
      </c>
      <c r="D75" s="67">
        <v>2.0694444444444446</v>
      </c>
      <c r="E75" s="63">
        <v>0.22222222222222221</v>
      </c>
      <c r="F75" s="63">
        <v>0.29166666666666669</v>
      </c>
      <c r="G75" s="63">
        <v>0.28196147110332748</v>
      </c>
      <c r="H75" s="63">
        <v>0.12784588441330999</v>
      </c>
      <c r="I75" s="64">
        <v>8490.6832298136651</v>
      </c>
      <c r="J75" s="64">
        <v>-8079.4520547945203</v>
      </c>
      <c r="K75" s="63">
        <v>6.9444444444444448E-2</v>
      </c>
      <c r="L75" s="63">
        <v>0.25043782837127848</v>
      </c>
      <c r="M75" s="63">
        <v>0.24868651488616461</v>
      </c>
      <c r="N75" s="63">
        <v>0.57342657342657344</v>
      </c>
      <c r="O75" s="63">
        <v>0.40845070422535212</v>
      </c>
      <c r="P75" s="63">
        <v>0.453416149068323</v>
      </c>
    </row>
    <row r="76" spans="1:16" x14ac:dyDescent="0.4">
      <c r="A76" s="65">
        <v>73</v>
      </c>
      <c r="B76" s="62">
        <v>-68.199999999999974</v>
      </c>
      <c r="C76" s="62">
        <v>-0.93424657534246536</v>
      </c>
      <c r="D76" s="67">
        <v>2.0684931506849313</v>
      </c>
      <c r="E76" s="63">
        <v>0.21917808219178081</v>
      </c>
      <c r="F76" s="63">
        <v>0.28767123287671231</v>
      </c>
      <c r="G76" s="63">
        <v>0.28151986183074268</v>
      </c>
      <c r="H76" s="63">
        <v>0.12780656303972365</v>
      </c>
      <c r="I76" s="64">
        <v>8430.6748466257668</v>
      </c>
      <c r="J76" s="64">
        <v>-8078.3783783783783</v>
      </c>
      <c r="K76" s="63">
        <v>6.8493150684931503E-2</v>
      </c>
      <c r="L76" s="63">
        <v>0.25043177892918828</v>
      </c>
      <c r="M76" s="63">
        <v>0.24525043177892919</v>
      </c>
      <c r="N76" s="63">
        <v>0.57241379310344831</v>
      </c>
      <c r="O76" s="63">
        <v>0.40845070422535212</v>
      </c>
      <c r="P76" s="63">
        <v>0.46012269938650308</v>
      </c>
    </row>
    <row r="77" spans="1:16" x14ac:dyDescent="0.4">
      <c r="A77" s="65">
        <v>74</v>
      </c>
      <c r="B77" s="62">
        <v>-65.699999999999974</v>
      </c>
      <c r="C77" s="62">
        <v>-0.88783783783783754</v>
      </c>
      <c r="D77" s="67">
        <v>2.0675675675675675</v>
      </c>
      <c r="E77" s="63">
        <v>0.21621621621621623</v>
      </c>
      <c r="F77" s="63">
        <v>0.28378378378378377</v>
      </c>
      <c r="G77" s="63">
        <v>0.28034188034188035</v>
      </c>
      <c r="H77" s="63">
        <v>0.12820512820512819</v>
      </c>
      <c r="I77" s="64">
        <v>8476.8292682926822</v>
      </c>
      <c r="J77" s="64">
        <v>-7997.333333333333</v>
      </c>
      <c r="K77" s="63">
        <v>6.7567567567567571E-2</v>
      </c>
      <c r="L77" s="63">
        <v>0.24957264957264957</v>
      </c>
      <c r="M77" s="63">
        <v>0.24615384615384617</v>
      </c>
      <c r="N77" s="63">
        <v>0.57534246575342463</v>
      </c>
      <c r="O77" s="63">
        <v>0.40277777777777779</v>
      </c>
      <c r="P77" s="63">
        <v>0.46341463414634149</v>
      </c>
    </row>
    <row r="78" spans="1:16" x14ac:dyDescent="0.4">
      <c r="A78" s="65">
        <v>75</v>
      </c>
      <c r="B78" s="62">
        <v>-35.599999999999973</v>
      </c>
      <c r="C78" s="62">
        <v>-0.47466666666666629</v>
      </c>
      <c r="D78" s="67">
        <v>2.0533333333333332</v>
      </c>
      <c r="E78" s="63">
        <v>0.22666666666666666</v>
      </c>
      <c r="F78" s="63">
        <v>0.28000000000000003</v>
      </c>
      <c r="G78" s="63">
        <v>0.28499156829679595</v>
      </c>
      <c r="H78" s="63">
        <v>0.12816188870151771</v>
      </c>
      <c r="I78" s="64">
        <v>8431.9526627218929</v>
      </c>
      <c r="J78" s="64">
        <v>-7993.4210526315792</v>
      </c>
      <c r="K78" s="63">
        <v>6.6666666666666666E-2</v>
      </c>
      <c r="L78" s="63">
        <v>0.25126475548060706</v>
      </c>
      <c r="M78" s="63">
        <v>0.24283305227655985</v>
      </c>
      <c r="N78" s="63">
        <v>0.57718120805369133</v>
      </c>
      <c r="O78" s="63">
        <v>0.40277777777777779</v>
      </c>
      <c r="P78" s="63">
        <v>0.44970414201183434</v>
      </c>
    </row>
    <row r="79" spans="1:16" x14ac:dyDescent="0.4">
      <c r="A79" s="65">
        <v>76</v>
      </c>
      <c r="B79" s="62">
        <v>-37.499999999999972</v>
      </c>
      <c r="C79" s="62">
        <v>-0.49342105263157859</v>
      </c>
      <c r="D79" s="67">
        <v>2.0526315789473686</v>
      </c>
      <c r="E79" s="63">
        <v>0.22368421052631579</v>
      </c>
      <c r="F79" s="63">
        <v>0.27631578947368424</v>
      </c>
      <c r="G79" s="63">
        <v>0.28499999999999998</v>
      </c>
      <c r="H79" s="63">
        <v>0.13</v>
      </c>
      <c r="I79" s="64">
        <v>8415.78947368421</v>
      </c>
      <c r="J79" s="64">
        <v>-7903.8461538461543</v>
      </c>
      <c r="K79" s="63">
        <v>6.5789473684210523E-2</v>
      </c>
      <c r="L79" s="63">
        <v>0.25666666666666665</v>
      </c>
      <c r="M79" s="63">
        <v>0.24166666666666667</v>
      </c>
      <c r="N79" s="63">
        <v>0.5714285714285714</v>
      </c>
      <c r="O79" s="63">
        <v>0.4</v>
      </c>
      <c r="P79" s="63">
        <v>0.45029239766081869</v>
      </c>
    </row>
    <row r="80" spans="1:16" x14ac:dyDescent="0.4">
      <c r="A80" s="65">
        <v>77</v>
      </c>
      <c r="B80" s="62">
        <v>-28.199999999999971</v>
      </c>
      <c r="C80" s="62">
        <v>-0.36623376623376586</v>
      </c>
      <c r="D80" s="67">
        <v>2.051948051948052</v>
      </c>
      <c r="E80" s="63">
        <v>0.22077922077922077</v>
      </c>
      <c r="F80" s="63">
        <v>0.27272727272727271</v>
      </c>
      <c r="G80" s="63">
        <v>0.28547854785478549</v>
      </c>
      <c r="H80" s="63">
        <v>0.132013201320132</v>
      </c>
      <c r="I80" s="64">
        <v>8409.2485549132944</v>
      </c>
      <c r="J80" s="64">
        <v>-7811.25</v>
      </c>
      <c r="K80" s="63">
        <v>6.4935064935064929E-2</v>
      </c>
      <c r="L80" s="63">
        <v>0.25577557755775576</v>
      </c>
      <c r="M80" s="63">
        <v>0.24092409240924093</v>
      </c>
      <c r="N80" s="63">
        <v>0.5741935483870968</v>
      </c>
      <c r="O80" s="63">
        <v>0.4041095890410959</v>
      </c>
      <c r="P80" s="63">
        <v>0.45086705202312138</v>
      </c>
    </row>
    <row r="81" spans="1:16" x14ac:dyDescent="0.4">
      <c r="A81" s="65">
        <v>78</v>
      </c>
      <c r="B81" s="62">
        <v>-87.299999999999969</v>
      </c>
      <c r="C81" s="62">
        <v>-1.1192307692307688</v>
      </c>
      <c r="D81" s="67">
        <v>2.0641025641025643</v>
      </c>
      <c r="E81" s="63">
        <v>0.21794871794871795</v>
      </c>
      <c r="F81" s="63">
        <v>0.28205128205128205</v>
      </c>
      <c r="G81" s="63">
        <v>0.28038897893030795</v>
      </c>
      <c r="H81" s="63">
        <v>0.13452188006482982</v>
      </c>
      <c r="I81" s="64">
        <v>8409.2485549132944</v>
      </c>
      <c r="J81" s="64">
        <v>-8059.0361445783128</v>
      </c>
      <c r="K81" s="63">
        <v>7.6923076923076927E-2</v>
      </c>
      <c r="L81" s="63">
        <v>0.25283630470016205</v>
      </c>
      <c r="M81" s="63">
        <v>0.23824959481361427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">
      <c r="A82" s="65">
        <v>79</v>
      </c>
      <c r="B82" s="62">
        <v>-133.39999999999998</v>
      </c>
      <c r="C82" s="62">
        <v>-1.6886075949367085</v>
      </c>
      <c r="D82" s="67">
        <v>2.0759493670886076</v>
      </c>
      <c r="E82" s="63">
        <v>0.21518987341772153</v>
      </c>
      <c r="F82" s="63">
        <v>0.29113924050632911</v>
      </c>
      <c r="G82" s="63">
        <v>0.27768860353130015</v>
      </c>
      <c r="H82" s="63">
        <v>0.13643659711075443</v>
      </c>
      <c r="I82" s="64">
        <v>8409.2485549132944</v>
      </c>
      <c r="J82" s="64">
        <v>-7997.6470588235297</v>
      </c>
      <c r="K82" s="63">
        <v>8.8607594936708861E-2</v>
      </c>
      <c r="L82" s="63">
        <v>0.2504012841091493</v>
      </c>
      <c r="M82" s="63">
        <v>0.23595505617977527</v>
      </c>
      <c r="N82" s="63">
        <v>0.57051282051282048</v>
      </c>
      <c r="O82" s="63">
        <v>0.40136054421768708</v>
      </c>
      <c r="P82" s="63">
        <v>0.45086705202312138</v>
      </c>
    </row>
    <row r="83" spans="1:16" x14ac:dyDescent="0.4">
      <c r="A83" s="65">
        <v>80</v>
      </c>
      <c r="B83" s="62">
        <v>-169.99999999999997</v>
      </c>
      <c r="C83" s="62">
        <v>-2.1249999999999996</v>
      </c>
      <c r="D83" s="67">
        <v>2.0874999999999999</v>
      </c>
      <c r="E83" s="63">
        <v>0.21249999999999999</v>
      </c>
      <c r="F83" s="63">
        <v>0.3</v>
      </c>
      <c r="G83" s="63">
        <v>0.27760252365930599</v>
      </c>
      <c r="H83" s="63">
        <v>0.13880126182965299</v>
      </c>
      <c r="I83" s="64">
        <v>8336.931818181818</v>
      </c>
      <c r="J83" s="64">
        <v>-7967.045454545455</v>
      </c>
      <c r="K83" s="63">
        <v>8.7499999999999994E-2</v>
      </c>
      <c r="L83" s="63">
        <v>0.25078864353312302</v>
      </c>
      <c r="M83" s="63">
        <v>0.23501577287066247</v>
      </c>
      <c r="N83" s="63">
        <v>0.55974842767295596</v>
      </c>
      <c r="O83" s="63">
        <v>0.40268456375838924</v>
      </c>
      <c r="P83" s="63">
        <v>0.44886363636363635</v>
      </c>
    </row>
    <row r="84" spans="1:16" x14ac:dyDescent="0.4">
      <c r="A84" s="65">
        <v>81</v>
      </c>
      <c r="B84" s="62">
        <v>-165.79999999999998</v>
      </c>
      <c r="C84" s="62">
        <v>-2.0469135802469132</v>
      </c>
      <c r="D84" s="67">
        <v>2.0864197530864197</v>
      </c>
      <c r="E84" s="63">
        <v>0.20987654320987653</v>
      </c>
      <c r="F84" s="63">
        <v>0.29629629629629628</v>
      </c>
      <c r="G84" s="63">
        <v>0.27856025039123633</v>
      </c>
      <c r="H84" s="63">
        <v>0.13771517996870108</v>
      </c>
      <c r="I84" s="64">
        <v>8320.2247191011229</v>
      </c>
      <c r="J84" s="64">
        <v>-7967.045454545455</v>
      </c>
      <c r="K84" s="63">
        <v>8.6419753086419748E-2</v>
      </c>
      <c r="L84" s="63">
        <v>0.25039123630672927</v>
      </c>
      <c r="M84" s="63">
        <v>0.23630672926447574</v>
      </c>
      <c r="N84" s="63">
        <v>0.5625</v>
      </c>
      <c r="O84" s="63">
        <v>0.40397350993377484</v>
      </c>
      <c r="P84" s="63">
        <v>0.449438202247191</v>
      </c>
    </row>
    <row r="85" spans="1:16" x14ac:dyDescent="0.4">
      <c r="A85" s="65">
        <v>82</v>
      </c>
      <c r="B85" s="62">
        <v>-115.99999999999999</v>
      </c>
      <c r="C85" s="62">
        <v>-1.4146341463414633</v>
      </c>
      <c r="D85" s="67">
        <v>2.0731707317073171</v>
      </c>
      <c r="E85" s="63">
        <v>0.21951219512195122</v>
      </c>
      <c r="F85" s="63">
        <v>0.29268292682926828</v>
      </c>
      <c r="G85" s="63">
        <v>0.28328173374613003</v>
      </c>
      <c r="H85" s="63">
        <v>0.13777089783281735</v>
      </c>
      <c r="I85" s="64">
        <v>8359.5628415300544</v>
      </c>
      <c r="J85" s="64">
        <v>-7967.4157303370785</v>
      </c>
      <c r="K85" s="63">
        <v>8.5365853658536592E-2</v>
      </c>
      <c r="L85" s="63">
        <v>0.25386996904024767</v>
      </c>
      <c r="M85" s="63">
        <v>0.23529411764705882</v>
      </c>
      <c r="N85" s="63">
        <v>0.56707317073170727</v>
      </c>
      <c r="O85" s="63">
        <v>0.40789473684210525</v>
      </c>
      <c r="P85" s="63">
        <v>0.44808743169398907</v>
      </c>
    </row>
    <row r="86" spans="1:16" x14ac:dyDescent="0.4">
      <c r="A86" s="65">
        <v>83</v>
      </c>
      <c r="B86" s="62">
        <v>-117.19999999999999</v>
      </c>
      <c r="C86" s="62">
        <v>-1.4120481927710842</v>
      </c>
      <c r="D86" s="67">
        <v>2.072289156626506</v>
      </c>
      <c r="E86" s="63">
        <v>0.21686746987951808</v>
      </c>
      <c r="F86" s="63">
        <v>0.28915662650602408</v>
      </c>
      <c r="G86" s="63">
        <v>0.28287461773700306</v>
      </c>
      <c r="H86" s="63">
        <v>0.13608562691131498</v>
      </c>
      <c r="I86" s="64">
        <v>8345.405405405405</v>
      </c>
      <c r="J86" s="64">
        <v>-7967.4157303370785</v>
      </c>
      <c r="K86" s="63">
        <v>8.4337349397590355E-2</v>
      </c>
      <c r="L86" s="63">
        <v>0.25229357798165136</v>
      </c>
      <c r="M86" s="63">
        <v>0.23547400611620795</v>
      </c>
      <c r="N86" s="63">
        <v>0.5696969696969697</v>
      </c>
      <c r="O86" s="63">
        <v>0.40909090909090912</v>
      </c>
      <c r="P86" s="63">
        <v>0.44864864864864867</v>
      </c>
    </row>
    <row r="87" spans="1:16" x14ac:dyDescent="0.4">
      <c r="A87" s="65">
        <v>84</v>
      </c>
      <c r="B87" s="62">
        <v>-128.6</v>
      </c>
      <c r="C87" s="62">
        <v>-1.5309523809523808</v>
      </c>
      <c r="D87" s="67">
        <v>2.0714285714285716</v>
      </c>
      <c r="E87" s="63">
        <v>0.21428571428571427</v>
      </c>
      <c r="F87" s="63">
        <v>0.2857142857142857</v>
      </c>
      <c r="G87" s="63">
        <v>0.27987897125567324</v>
      </c>
      <c r="H87" s="63">
        <v>0.13615733736762481</v>
      </c>
      <c r="I87" s="64">
        <v>8345.405405405405</v>
      </c>
      <c r="J87" s="64">
        <v>-7911.1111111111113</v>
      </c>
      <c r="K87" s="63">
        <v>8.3333333333333329E-2</v>
      </c>
      <c r="L87" s="63">
        <v>0.25264750378214829</v>
      </c>
      <c r="M87" s="63">
        <v>0.2329803328290469</v>
      </c>
      <c r="N87" s="63">
        <v>0.56287425149700598</v>
      </c>
      <c r="O87" s="63">
        <v>0.40909090909090912</v>
      </c>
      <c r="P87" s="63">
        <v>0.44864864864864867</v>
      </c>
    </row>
    <row r="88" spans="1:16" x14ac:dyDescent="0.4">
      <c r="A88" s="65">
        <v>85</v>
      </c>
      <c r="B88" s="62">
        <v>-119.8</v>
      </c>
      <c r="C88" s="62">
        <v>-1.4094117647058824</v>
      </c>
      <c r="D88" s="67">
        <v>2.0705882352941178</v>
      </c>
      <c r="E88" s="63">
        <v>0.21176470588235294</v>
      </c>
      <c r="F88" s="63">
        <v>0.28235294117647058</v>
      </c>
      <c r="G88" s="63">
        <v>0.28035982008995503</v>
      </c>
      <c r="H88" s="63">
        <v>0.13493253373313344</v>
      </c>
      <c r="I88" s="64">
        <v>8304.8128342245982</v>
      </c>
      <c r="J88" s="64">
        <v>-7911.1111111111113</v>
      </c>
      <c r="K88" s="63">
        <v>8.2352941176470587E-2</v>
      </c>
      <c r="L88" s="63">
        <v>0.25337331334332835</v>
      </c>
      <c r="M88" s="63">
        <v>0.23088455772113944</v>
      </c>
      <c r="N88" s="63">
        <v>0.56804733727810652</v>
      </c>
      <c r="O88" s="63">
        <v>0.40909090909090912</v>
      </c>
      <c r="P88" s="63">
        <v>0.44385026737967914</v>
      </c>
    </row>
    <row r="89" spans="1:16" x14ac:dyDescent="0.4">
      <c r="A89" s="65">
        <v>86</v>
      </c>
      <c r="B89" s="62">
        <v>-97.4</v>
      </c>
      <c r="C89" s="62">
        <v>-1.1325581395348838</v>
      </c>
      <c r="D89" s="67">
        <v>2.058139534883721</v>
      </c>
      <c r="E89" s="63">
        <v>0.22093023255813954</v>
      </c>
      <c r="F89" s="63">
        <v>0.27906976744186046</v>
      </c>
      <c r="G89" s="63">
        <v>0.28041543026706234</v>
      </c>
      <c r="H89" s="63">
        <v>0.13649851632047477</v>
      </c>
      <c r="I89" s="64">
        <v>8407.4074074074069</v>
      </c>
      <c r="J89" s="64">
        <v>-7886.95652173913</v>
      </c>
      <c r="K89" s="63">
        <v>8.1395348837209308E-2</v>
      </c>
      <c r="L89" s="63">
        <v>0.25370919881305637</v>
      </c>
      <c r="M89" s="63">
        <v>0.2314540059347181</v>
      </c>
      <c r="N89" s="63">
        <v>0.56140350877192979</v>
      </c>
      <c r="O89" s="63">
        <v>0.41025641025641024</v>
      </c>
      <c r="P89" s="63">
        <v>0.44973544973544971</v>
      </c>
    </row>
    <row r="90" spans="1:16" x14ac:dyDescent="0.4">
      <c r="A90" s="65">
        <v>87</v>
      </c>
      <c r="B90" s="62">
        <v>-83.800000000000011</v>
      </c>
      <c r="C90" s="62">
        <v>-0.96321839080459781</v>
      </c>
      <c r="D90" s="67">
        <v>2.0459770114942528</v>
      </c>
      <c r="E90" s="63">
        <v>0.22988505747126436</v>
      </c>
      <c r="F90" s="63">
        <v>0.27586206896551724</v>
      </c>
      <c r="G90" s="63">
        <v>0.28111273792093705</v>
      </c>
      <c r="H90" s="63">
        <v>0.13469985358711567</v>
      </c>
      <c r="I90" s="64">
        <v>8382.2916666666661</v>
      </c>
      <c r="J90" s="64">
        <v>-7886.95652173913</v>
      </c>
      <c r="K90" s="63">
        <v>8.0459770114942528E-2</v>
      </c>
      <c r="L90" s="63">
        <v>0.25768667642752563</v>
      </c>
      <c r="M90" s="63">
        <v>0.22986822840409957</v>
      </c>
      <c r="N90" s="63">
        <v>0.55681818181818177</v>
      </c>
      <c r="O90" s="63">
        <v>0.4140127388535032</v>
      </c>
      <c r="P90" s="63">
        <v>0.44791666666666669</v>
      </c>
    </row>
    <row r="91" spans="1:16" x14ac:dyDescent="0.4">
      <c r="A91" s="65">
        <v>88</v>
      </c>
      <c r="B91" s="62">
        <v>-57.400000000000013</v>
      </c>
      <c r="C91" s="62">
        <v>-0.65227272727272745</v>
      </c>
      <c r="D91" s="67">
        <v>2.0340909090909092</v>
      </c>
      <c r="E91" s="63">
        <v>0.23863636363636365</v>
      </c>
      <c r="F91" s="63">
        <v>0.27272727272727271</v>
      </c>
      <c r="G91" s="63">
        <v>0.28260869565217389</v>
      </c>
      <c r="H91" s="63">
        <v>0.13333333333333333</v>
      </c>
      <c r="I91" s="64">
        <v>8352.8205128205136</v>
      </c>
      <c r="J91" s="64">
        <v>-7886.95652173913</v>
      </c>
      <c r="K91" s="63">
        <v>7.9545454545454544E-2</v>
      </c>
      <c r="L91" s="63">
        <v>0.2608695652173913</v>
      </c>
      <c r="M91" s="63">
        <v>0.22898550724637681</v>
      </c>
      <c r="N91" s="63">
        <v>0.56111111111111112</v>
      </c>
      <c r="O91" s="63">
        <v>0.41139240506329117</v>
      </c>
      <c r="P91" s="63">
        <v>0.44615384615384618</v>
      </c>
    </row>
    <row r="92" spans="1:16" x14ac:dyDescent="0.4">
      <c r="A92" s="65">
        <v>89</v>
      </c>
      <c r="B92" s="62">
        <v>-63.20000000000001</v>
      </c>
      <c r="C92" s="62">
        <v>-0.71011235955056196</v>
      </c>
      <c r="D92" s="67">
        <v>2.0337078651685392</v>
      </c>
      <c r="E92" s="63">
        <v>0.23595505617977527</v>
      </c>
      <c r="F92" s="63">
        <v>0.2696629213483146</v>
      </c>
      <c r="G92" s="63">
        <v>0.28307254623044098</v>
      </c>
      <c r="H92" s="63">
        <v>0.1337126600284495</v>
      </c>
      <c r="I92" s="64">
        <v>8317.5879396984928</v>
      </c>
      <c r="J92" s="64">
        <v>-7886.1702127659573</v>
      </c>
      <c r="K92" s="63">
        <v>7.8651685393258425E-2</v>
      </c>
      <c r="L92" s="63">
        <v>0.26315789473684209</v>
      </c>
      <c r="M92" s="63">
        <v>0.22759601706970128</v>
      </c>
      <c r="N92" s="63">
        <v>0.56216216216216219</v>
      </c>
      <c r="O92" s="63">
        <v>0.41249999999999998</v>
      </c>
      <c r="P92" s="63">
        <v>0.44221105527638194</v>
      </c>
    </row>
    <row r="93" spans="1:16" x14ac:dyDescent="0.4">
      <c r="A93" s="65">
        <v>90</v>
      </c>
      <c r="B93" s="62">
        <v>-119.60000000000001</v>
      </c>
      <c r="C93" s="62">
        <v>-1.328888888888889</v>
      </c>
      <c r="D93" s="67">
        <v>2.0444444444444443</v>
      </c>
      <c r="E93" s="63">
        <v>0.23333333333333334</v>
      </c>
      <c r="F93" s="63">
        <v>0.27777777777777779</v>
      </c>
      <c r="G93" s="63">
        <v>0.28212290502793297</v>
      </c>
      <c r="H93" s="63">
        <v>0.13547486033519554</v>
      </c>
      <c r="I93" s="64">
        <v>8315.8415841584156</v>
      </c>
      <c r="J93" s="64">
        <v>-8062.8865979381444</v>
      </c>
      <c r="K93" s="63">
        <v>8.8888888888888892E-2</v>
      </c>
      <c r="L93" s="63">
        <v>0.26396648044692739</v>
      </c>
      <c r="M93" s="63">
        <v>0.22346368715083798</v>
      </c>
      <c r="N93" s="63">
        <v>0.56084656084656082</v>
      </c>
      <c r="O93" s="63">
        <v>0.41249999999999998</v>
      </c>
      <c r="P93" s="63">
        <v>0.4405940594059406</v>
      </c>
    </row>
    <row r="94" spans="1:16" x14ac:dyDescent="0.4">
      <c r="A94" s="65">
        <v>91</v>
      </c>
      <c r="B94" s="62">
        <v>-57.600000000000009</v>
      </c>
      <c r="C94" s="62">
        <v>-0.63296703296703305</v>
      </c>
      <c r="D94" s="67">
        <v>2.0329670329670328</v>
      </c>
      <c r="E94" s="63">
        <v>0.24175824175824176</v>
      </c>
      <c r="F94" s="63">
        <v>0.27472527472527475</v>
      </c>
      <c r="G94" s="63">
        <v>0.28393351800554018</v>
      </c>
      <c r="H94" s="63">
        <v>0.13434903047091412</v>
      </c>
      <c r="I94" s="64">
        <v>8426.3414634146338</v>
      </c>
      <c r="J94" s="64">
        <v>-8062.8865979381444</v>
      </c>
      <c r="K94" s="63">
        <v>8.7912087912087919E-2</v>
      </c>
      <c r="L94" s="63">
        <v>0.26592797783933519</v>
      </c>
      <c r="M94" s="63">
        <v>0.22160664819944598</v>
      </c>
      <c r="N94" s="63">
        <v>0.56770833333333337</v>
      </c>
      <c r="O94" s="63">
        <v>0.41249999999999998</v>
      </c>
      <c r="P94" s="63">
        <v>0.44878048780487806</v>
      </c>
    </row>
    <row r="95" spans="1:16" x14ac:dyDescent="0.4">
      <c r="A95" s="65">
        <v>92</v>
      </c>
      <c r="B95" s="62">
        <v>-54.900000000000006</v>
      </c>
      <c r="C95" s="62">
        <v>-0.59673913043478266</v>
      </c>
      <c r="D95" s="67">
        <v>2.0326086956521738</v>
      </c>
      <c r="E95" s="63">
        <v>0.2391304347826087</v>
      </c>
      <c r="F95" s="63">
        <v>0.27173913043478259</v>
      </c>
      <c r="G95" s="63">
        <v>0.28434065934065933</v>
      </c>
      <c r="H95" s="63">
        <v>0.13461538461538461</v>
      </c>
      <c r="I95" s="64">
        <v>8408.6956521739139</v>
      </c>
      <c r="J95" s="64">
        <v>-7990.8163265306121</v>
      </c>
      <c r="K95" s="63">
        <v>8.6956521739130432E-2</v>
      </c>
      <c r="L95" s="63">
        <v>0.26648351648351648</v>
      </c>
      <c r="M95" s="63">
        <v>0.22115384615384615</v>
      </c>
      <c r="N95" s="63">
        <v>0.57216494845360821</v>
      </c>
      <c r="O95" s="63">
        <v>0.40993788819875776</v>
      </c>
      <c r="P95" s="63">
        <v>0.44927536231884058</v>
      </c>
    </row>
    <row r="96" spans="1:16" x14ac:dyDescent="0.4">
      <c r="A96" s="65">
        <v>93</v>
      </c>
      <c r="B96" s="62">
        <v>-17.100000000000009</v>
      </c>
      <c r="C96" s="62">
        <v>-0.18387096774193556</v>
      </c>
      <c r="D96" s="67">
        <v>2.021505376344086</v>
      </c>
      <c r="E96" s="63">
        <v>0.24731182795698925</v>
      </c>
      <c r="F96" s="63">
        <v>0.26881720430107525</v>
      </c>
      <c r="G96" s="63">
        <v>0.2857142857142857</v>
      </c>
      <c r="H96" s="63">
        <v>0.13469387755102041</v>
      </c>
      <c r="I96" s="64">
        <v>8431.9047619047615</v>
      </c>
      <c r="J96" s="64">
        <v>-7936.363636363636</v>
      </c>
      <c r="K96" s="63">
        <v>8.6021505376344093E-2</v>
      </c>
      <c r="L96" s="63">
        <v>0.26666666666666666</v>
      </c>
      <c r="M96" s="63">
        <v>0.22040816326530613</v>
      </c>
      <c r="N96" s="63">
        <v>0.57653061224489799</v>
      </c>
      <c r="O96" s="63">
        <v>0.41358024691358025</v>
      </c>
      <c r="P96" s="63">
        <v>0.45714285714285713</v>
      </c>
    </row>
    <row r="97" spans="1:16" x14ac:dyDescent="0.4">
      <c r="A97" s="65">
        <v>94</v>
      </c>
      <c r="B97" s="62">
        <v>8.7999999999999901</v>
      </c>
      <c r="C97" s="62">
        <v>9.3617021276595644E-2</v>
      </c>
      <c r="D97" s="67">
        <v>2.0106382978723403</v>
      </c>
      <c r="E97" s="63">
        <v>0.25531914893617019</v>
      </c>
      <c r="F97" s="63">
        <v>0.26595744680851063</v>
      </c>
      <c r="G97" s="63">
        <v>0.28936742934051146</v>
      </c>
      <c r="H97" s="63">
        <v>0.13458950201884254</v>
      </c>
      <c r="I97" s="64">
        <v>8365.1162790697672</v>
      </c>
      <c r="J97" s="64">
        <v>-7896</v>
      </c>
      <c r="K97" s="63">
        <v>8.5106382978723402E-2</v>
      </c>
      <c r="L97" s="63">
        <v>0.27052489905787347</v>
      </c>
      <c r="M97" s="63">
        <v>0.21938088829071331</v>
      </c>
      <c r="N97" s="63">
        <v>0.58208955223880599</v>
      </c>
      <c r="O97" s="63">
        <v>0.41717791411042943</v>
      </c>
      <c r="P97" s="63">
        <v>0.46046511627906977</v>
      </c>
    </row>
    <row r="98" spans="1:16" x14ac:dyDescent="0.4">
      <c r="A98" s="65">
        <v>95</v>
      </c>
      <c r="B98" s="62">
        <v>-4.1000000000000103</v>
      </c>
      <c r="C98" s="62">
        <v>-4.3157894736842214E-2</v>
      </c>
      <c r="D98" s="67">
        <v>2.0105263157894737</v>
      </c>
      <c r="E98" s="63">
        <v>0.25263157894736843</v>
      </c>
      <c r="F98" s="63">
        <v>0.26315789473684209</v>
      </c>
      <c r="G98" s="63">
        <v>0.28894806924101196</v>
      </c>
      <c r="H98" s="63">
        <v>0.13448735019973368</v>
      </c>
      <c r="I98" s="64">
        <v>8335.9447004608301</v>
      </c>
      <c r="J98" s="64">
        <v>-7936.6336633663368</v>
      </c>
      <c r="K98" s="63">
        <v>8.4210526315789472E-2</v>
      </c>
      <c r="L98" s="63">
        <v>0.27030625832223704</v>
      </c>
      <c r="M98" s="63">
        <v>0.21970705725699069</v>
      </c>
      <c r="N98" s="63">
        <v>0.58128078817733986</v>
      </c>
      <c r="O98" s="63">
        <v>0.41212121212121211</v>
      </c>
      <c r="P98" s="63">
        <v>0.45622119815668205</v>
      </c>
    </row>
    <row r="99" spans="1:16" x14ac:dyDescent="0.4">
      <c r="A99" s="65">
        <v>96</v>
      </c>
      <c r="B99" s="62">
        <v>31.899999999999991</v>
      </c>
      <c r="C99" s="62">
        <v>0.3322916666666666</v>
      </c>
      <c r="D99" s="67">
        <v>2</v>
      </c>
      <c r="E99" s="63">
        <v>0.26041666666666669</v>
      </c>
      <c r="F99" s="63">
        <v>0.26041666666666669</v>
      </c>
      <c r="G99" s="63">
        <v>0.28912466843501328</v>
      </c>
      <c r="H99" s="63">
        <v>0.13395225464190982</v>
      </c>
      <c r="I99" s="64">
        <v>8407.798165137614</v>
      </c>
      <c r="J99" s="64">
        <v>-7936.6336633663368</v>
      </c>
      <c r="K99" s="63">
        <v>8.3333333333333329E-2</v>
      </c>
      <c r="L99" s="63">
        <v>0.27055702917771884</v>
      </c>
      <c r="M99" s="63">
        <v>0.21883289124668434</v>
      </c>
      <c r="N99" s="63">
        <v>0.58333333333333337</v>
      </c>
      <c r="O99" s="63">
        <v>0.41212121212121211</v>
      </c>
      <c r="P99" s="63">
        <v>0.45412844036697247</v>
      </c>
    </row>
    <row r="100" spans="1:16" x14ac:dyDescent="0.4">
      <c r="A100" s="65">
        <v>97</v>
      </c>
      <c r="B100" s="62">
        <v>52.29999999999999</v>
      </c>
      <c r="C100" s="62">
        <v>0.53917525773195862</v>
      </c>
      <c r="D100" s="67">
        <v>2</v>
      </c>
      <c r="E100" s="63">
        <v>0.25773195876288657</v>
      </c>
      <c r="F100" s="63">
        <v>0.25773195876288657</v>
      </c>
      <c r="G100" s="63">
        <v>0.29040735873850199</v>
      </c>
      <c r="H100" s="63">
        <v>0.13403416557161629</v>
      </c>
      <c r="I100" s="64">
        <v>8432.1266968325799</v>
      </c>
      <c r="J100" s="64">
        <v>-7909.8039215686276</v>
      </c>
      <c r="K100" s="63">
        <v>8.247422680412371E-2</v>
      </c>
      <c r="L100" s="63">
        <v>0.26938239159001315</v>
      </c>
      <c r="M100" s="63">
        <v>0.21944809461235218</v>
      </c>
      <c r="N100" s="63">
        <v>0.58536585365853655</v>
      </c>
      <c r="O100" s="63">
        <v>0.41317365269461076</v>
      </c>
      <c r="P100" s="63">
        <v>0.45248868778280543</v>
      </c>
    </row>
    <row r="101" spans="1:16" x14ac:dyDescent="0.4">
      <c r="A101" s="65">
        <v>98</v>
      </c>
      <c r="B101" s="62">
        <v>13.999999999999993</v>
      </c>
      <c r="C101" s="62">
        <v>0.14285714285714279</v>
      </c>
      <c r="D101" s="67">
        <v>2.010204081632653</v>
      </c>
      <c r="E101" s="63">
        <v>0.25510204081632654</v>
      </c>
      <c r="F101" s="63">
        <v>0.26530612244897961</v>
      </c>
      <c r="G101" s="63">
        <v>0.28793774319066145</v>
      </c>
      <c r="H101" s="63">
        <v>0.13618677042801555</v>
      </c>
      <c r="I101" s="64">
        <v>8403.6036036036039</v>
      </c>
      <c r="J101" s="64">
        <v>-7902.8571428571431</v>
      </c>
      <c r="K101" s="63">
        <v>8.1632653061224483E-2</v>
      </c>
      <c r="L101" s="63">
        <v>0.26848249027237353</v>
      </c>
      <c r="M101" s="63">
        <v>0.21789883268482491</v>
      </c>
      <c r="N101" s="63">
        <v>0.57971014492753625</v>
      </c>
      <c r="O101" s="63">
        <v>0.4107142857142857</v>
      </c>
      <c r="P101" s="63">
        <v>0.45495495495495497</v>
      </c>
    </row>
    <row r="102" spans="1:16" x14ac:dyDescent="0.4">
      <c r="A102" s="65">
        <v>99</v>
      </c>
      <c r="B102" s="62">
        <v>21.399999999999991</v>
      </c>
      <c r="C102" s="62">
        <v>0.21616161616161608</v>
      </c>
      <c r="D102" s="67">
        <v>2.0101010101010099</v>
      </c>
      <c r="E102" s="63">
        <v>0.25252525252525254</v>
      </c>
      <c r="F102" s="63">
        <v>0.26262626262626265</v>
      </c>
      <c r="G102" s="63">
        <v>0.28937259923175418</v>
      </c>
      <c r="H102" s="63">
        <v>0.13444302176696543</v>
      </c>
      <c r="I102" s="64">
        <v>8381.858407079646</v>
      </c>
      <c r="J102" s="64">
        <v>-7902.8571428571431</v>
      </c>
      <c r="K102" s="63">
        <v>8.0808080808080815E-2</v>
      </c>
      <c r="L102" s="63">
        <v>0.26632522407170295</v>
      </c>
      <c r="M102" s="63">
        <v>0.22023047375160051</v>
      </c>
      <c r="N102" s="63">
        <v>0.58173076923076927</v>
      </c>
      <c r="O102" s="63">
        <v>0.41860465116279072</v>
      </c>
      <c r="P102" s="63">
        <v>0.44690265486725661</v>
      </c>
    </row>
    <row r="103" spans="1:16" x14ac:dyDescent="0.4">
      <c r="A103" s="65">
        <v>100</v>
      </c>
      <c r="B103" s="62">
        <v>-5.4000000000000092</v>
      </c>
      <c r="C103" s="62">
        <v>-5.400000000000009E-2</v>
      </c>
      <c r="D103" s="67">
        <v>2.02</v>
      </c>
      <c r="E103" s="63">
        <v>0.25</v>
      </c>
      <c r="F103" s="63">
        <v>0.27</v>
      </c>
      <c r="G103" s="63">
        <v>0.2878787878787879</v>
      </c>
      <c r="H103" s="63">
        <v>0.13636363636363635</v>
      </c>
      <c r="I103" s="64">
        <v>8326.3157894736851</v>
      </c>
      <c r="J103" s="64">
        <v>-7774.0740740740739</v>
      </c>
      <c r="K103" s="63">
        <v>0.08</v>
      </c>
      <c r="L103" s="63">
        <v>0.26767676767676768</v>
      </c>
      <c r="M103" s="63">
        <v>0.2196969696969697</v>
      </c>
      <c r="N103" s="63">
        <v>0.57075471698113212</v>
      </c>
      <c r="O103" s="63">
        <v>0.42528735632183906</v>
      </c>
      <c r="P103" s="63">
        <v>0.44736842105263158</v>
      </c>
    </row>
    <row r="104" spans="1:16" x14ac:dyDescent="0.4">
      <c r="A104" s="65">
        <v>101</v>
      </c>
      <c r="B104" s="62">
        <v>-25.600000000000009</v>
      </c>
      <c r="C104" s="62">
        <v>-0.25346534653465352</v>
      </c>
      <c r="D104" s="67">
        <v>2.0297029702970297</v>
      </c>
      <c r="E104" s="63">
        <v>0.24752475247524752</v>
      </c>
      <c r="F104" s="63">
        <v>0.27722772277227725</v>
      </c>
      <c r="G104" s="63">
        <v>0.28714107365792757</v>
      </c>
      <c r="H104" s="63">
        <v>0.13732833957553059</v>
      </c>
      <c r="I104" s="64">
        <v>8340.8695652173919</v>
      </c>
      <c r="J104" s="64">
        <v>-7714.545454545455</v>
      </c>
      <c r="K104" s="63">
        <v>7.9207920792079209E-2</v>
      </c>
      <c r="L104" s="63">
        <v>0.26716604244694131</v>
      </c>
      <c r="M104" s="63">
        <v>0.22097378277153559</v>
      </c>
      <c r="N104" s="63">
        <v>0.57009345794392519</v>
      </c>
      <c r="O104" s="63">
        <v>0.42372881355932202</v>
      </c>
      <c r="P104" s="63">
        <v>0.45217391304347826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B384E-F14D-45B9-9DF6-E7C926F29703}">
  <sheetPr codeName="Sheet16"/>
  <dimension ref="A1:Q8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B0867-023F-4F46-A580-5E0B6432E198}">
  <sheetPr codeName="Sheet14"/>
  <dimension ref="A1:Q7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">
      <c r="A38" s="65">
        <v>35</v>
      </c>
      <c r="B38" s="62">
        <v>-236.8</v>
      </c>
      <c r="C38" s="62">
        <v>-6.765714285714286</v>
      </c>
      <c r="D38" s="67">
        <v>2.2000000000000002</v>
      </c>
      <c r="E38" s="63">
        <v>0.22857142857142856</v>
      </c>
      <c r="F38" s="63">
        <v>0.42857142857142855</v>
      </c>
      <c r="G38" s="63">
        <v>0.28474576271186441</v>
      </c>
      <c r="H38" s="63">
        <v>0.19661016949152543</v>
      </c>
      <c r="I38" s="64">
        <v>7525</v>
      </c>
      <c r="J38" s="64">
        <v>-7244.8275862068967</v>
      </c>
      <c r="K38" s="63">
        <v>5.7142857142857141E-2</v>
      </c>
      <c r="L38" s="63">
        <v>0.28135593220338984</v>
      </c>
      <c r="M38" s="63">
        <v>0.17627118644067796</v>
      </c>
      <c r="N38" s="63">
        <v>0.59036144578313254</v>
      </c>
      <c r="O38" s="63">
        <v>0.42307692307692307</v>
      </c>
      <c r="P38" s="63">
        <v>0.39285714285714285</v>
      </c>
    </row>
    <row r="39" spans="1:16" x14ac:dyDescent="0.4">
      <c r="A39" s="65">
        <v>36</v>
      </c>
      <c r="B39" s="62">
        <v>-264.60000000000002</v>
      </c>
      <c r="C39" s="62">
        <v>-7.3500000000000005</v>
      </c>
      <c r="D39" s="67">
        <v>2.2222222222222223</v>
      </c>
      <c r="E39" s="63">
        <v>0.22222222222222221</v>
      </c>
      <c r="F39" s="63">
        <v>0.44444444444444442</v>
      </c>
      <c r="G39" s="63">
        <v>0.2814569536423841</v>
      </c>
      <c r="H39" s="63">
        <v>0.19536423841059603</v>
      </c>
      <c r="I39" s="64">
        <v>7483.5294117647063</v>
      </c>
      <c r="J39" s="64">
        <v>-7257.6271186440681</v>
      </c>
      <c r="K39" s="63">
        <v>5.5555555555555552E-2</v>
      </c>
      <c r="L39" s="63">
        <v>0.27814569536423839</v>
      </c>
      <c r="M39" s="63">
        <v>0.17218543046357615</v>
      </c>
      <c r="N39" s="63">
        <v>0.59523809523809523</v>
      </c>
      <c r="O39" s="63">
        <v>0.42307692307692307</v>
      </c>
      <c r="P39" s="63">
        <v>0.4</v>
      </c>
    </row>
    <row r="40" spans="1:16" x14ac:dyDescent="0.4">
      <c r="A40" s="65">
        <v>37</v>
      </c>
      <c r="B40" s="62">
        <v>-252.20000000000002</v>
      </c>
      <c r="C40" s="62">
        <v>-6.8162162162162163</v>
      </c>
      <c r="D40" s="67">
        <v>2.189189189189189</v>
      </c>
      <c r="E40" s="63">
        <v>0.24324324324324326</v>
      </c>
      <c r="F40" s="63">
        <v>0.43243243243243246</v>
      </c>
      <c r="G40" s="63">
        <v>0.28064516129032258</v>
      </c>
      <c r="H40" s="63">
        <v>0.20322580645161289</v>
      </c>
      <c r="I40" s="64">
        <v>7537.9310344827591</v>
      </c>
      <c r="J40" s="64">
        <v>-7063.4920634920636</v>
      </c>
      <c r="K40" s="63">
        <v>5.4054054054054057E-2</v>
      </c>
      <c r="L40" s="63">
        <v>0.28387096774193549</v>
      </c>
      <c r="M40" s="63">
        <v>0.17419354838709677</v>
      </c>
      <c r="N40" s="63">
        <v>0.59090909090909094</v>
      </c>
      <c r="O40" s="63">
        <v>0.40740740740740738</v>
      </c>
      <c r="P40" s="63">
        <v>0.41379310344827586</v>
      </c>
    </row>
    <row r="41" spans="1:16" x14ac:dyDescent="0.4">
      <c r="A41" s="65">
        <v>38</v>
      </c>
      <c r="B41" s="62">
        <v>-261</v>
      </c>
      <c r="C41" s="62">
        <v>-6.8684210526315788</v>
      </c>
      <c r="D41" s="67">
        <v>2.1842105263157894</v>
      </c>
      <c r="E41" s="63">
        <v>0.23684210526315788</v>
      </c>
      <c r="F41" s="63">
        <v>0.42105263157894735</v>
      </c>
      <c r="G41" s="63">
        <v>0.27936507936507937</v>
      </c>
      <c r="H41" s="63">
        <v>0.2</v>
      </c>
      <c r="I41" s="64">
        <v>7539.772727272727</v>
      </c>
      <c r="J41" s="64">
        <v>-7063.4920634920636</v>
      </c>
      <c r="K41" s="63">
        <v>5.2631578947368418E-2</v>
      </c>
      <c r="L41" s="63">
        <v>0.28253968253968254</v>
      </c>
      <c r="M41" s="63">
        <v>0.17142857142857143</v>
      </c>
      <c r="N41" s="63">
        <v>0.5955056179775281</v>
      </c>
      <c r="O41" s="63">
        <v>0.40740740740740738</v>
      </c>
      <c r="P41" s="63">
        <v>0.40909090909090912</v>
      </c>
    </row>
    <row r="42" spans="1:16" x14ac:dyDescent="0.4">
      <c r="A42" s="65">
        <v>39</v>
      </c>
      <c r="B42" s="62">
        <v>-245.4</v>
      </c>
      <c r="C42" s="62">
        <v>-6.2923076923076922</v>
      </c>
      <c r="D42" s="67">
        <v>2.1794871794871793</v>
      </c>
      <c r="E42" s="63">
        <v>0.23076923076923078</v>
      </c>
      <c r="F42" s="63">
        <v>0.41025641025641024</v>
      </c>
      <c r="G42" s="63">
        <v>0.28048780487804881</v>
      </c>
      <c r="H42" s="63">
        <v>0.19817073170731708</v>
      </c>
      <c r="I42" s="64">
        <v>7594.565217391304</v>
      </c>
      <c r="J42" s="64">
        <v>-7004.6153846153848</v>
      </c>
      <c r="K42" s="63">
        <v>5.128205128205128E-2</v>
      </c>
      <c r="L42" s="63">
        <v>0.28963414634146339</v>
      </c>
      <c r="M42" s="63">
        <v>0.1676829268292683</v>
      </c>
      <c r="N42" s="63">
        <v>0.58947368421052626</v>
      </c>
      <c r="O42" s="63">
        <v>0.4</v>
      </c>
      <c r="P42" s="63">
        <v>0.41304347826086957</v>
      </c>
    </row>
    <row r="43" spans="1:16" x14ac:dyDescent="0.4">
      <c r="A43" s="65">
        <v>40</v>
      </c>
      <c r="B43" s="62">
        <v>-227</v>
      </c>
      <c r="C43" s="62">
        <v>-5.6749999999999998</v>
      </c>
      <c r="D43" s="67">
        <v>2.15</v>
      </c>
      <c r="E43" s="63">
        <v>0.25</v>
      </c>
      <c r="F43" s="63">
        <v>0.4</v>
      </c>
      <c r="G43" s="63">
        <v>0.28106508875739644</v>
      </c>
      <c r="H43" s="63">
        <v>0.19526627218934911</v>
      </c>
      <c r="I43" s="64">
        <v>7648.4210526315792</v>
      </c>
      <c r="J43" s="64">
        <v>-7019.69696969697</v>
      </c>
      <c r="K43" s="63">
        <v>0.05</v>
      </c>
      <c r="L43" s="63">
        <v>0.29289940828402367</v>
      </c>
      <c r="M43" s="63">
        <v>0.16568047337278108</v>
      </c>
      <c r="N43" s="63">
        <v>0.58585858585858586</v>
      </c>
      <c r="O43" s="63">
        <v>0.4107142857142857</v>
      </c>
      <c r="P43" s="63">
        <v>0.42105263157894735</v>
      </c>
    </row>
    <row r="44" spans="1:16" x14ac:dyDescent="0.4">
      <c r="A44" s="65">
        <v>41</v>
      </c>
      <c r="B44" s="62">
        <v>-268.39999999999998</v>
      </c>
      <c r="C44" s="62">
        <v>-6.5463414634146337</v>
      </c>
      <c r="D44" s="67">
        <v>2.1707317073170733</v>
      </c>
      <c r="E44" s="63">
        <v>0.24390243902439024</v>
      </c>
      <c r="F44" s="63">
        <v>0.41463414634146339</v>
      </c>
      <c r="G44" s="63">
        <v>0.2857142857142857</v>
      </c>
      <c r="H44" s="63">
        <v>0.19714285714285715</v>
      </c>
      <c r="I44" s="64">
        <v>7463</v>
      </c>
      <c r="J44" s="64">
        <v>-7313.04347826087</v>
      </c>
      <c r="K44" s="63">
        <v>4.878048780487805E-2</v>
      </c>
      <c r="L44" s="63">
        <v>0.29142857142857143</v>
      </c>
      <c r="M44" s="63">
        <v>0.16857142857142857</v>
      </c>
      <c r="N44" s="63">
        <v>0.59803921568627449</v>
      </c>
      <c r="O44" s="63">
        <v>0.42372881355932202</v>
      </c>
      <c r="P44" s="63">
        <v>0.42</v>
      </c>
    </row>
    <row r="45" spans="1:16" x14ac:dyDescent="0.4">
      <c r="A45" s="65">
        <v>42</v>
      </c>
      <c r="B45" s="62">
        <v>-264.39999999999998</v>
      </c>
      <c r="C45" s="62">
        <v>-6.2952380952380951</v>
      </c>
      <c r="D45" s="67">
        <v>2.1666666666666665</v>
      </c>
      <c r="E45" s="63">
        <v>0.23809523809523808</v>
      </c>
      <c r="F45" s="63">
        <v>0.40476190476190477</v>
      </c>
      <c r="G45" s="63">
        <v>0.28491620111731841</v>
      </c>
      <c r="H45" s="63">
        <v>0.19553072625698323</v>
      </c>
      <c r="I45" s="64">
        <v>7524.5098039215691</v>
      </c>
      <c r="J45" s="64">
        <v>-7322.8571428571431</v>
      </c>
      <c r="K45" s="63">
        <v>4.7619047619047616E-2</v>
      </c>
      <c r="L45" s="63">
        <v>0.29329608938547486</v>
      </c>
      <c r="M45" s="63">
        <v>0.16480446927374301</v>
      </c>
      <c r="N45" s="63">
        <v>0.6</v>
      </c>
      <c r="O45" s="63">
        <v>0.42372881355932202</v>
      </c>
      <c r="P45" s="63">
        <v>0.42156862745098039</v>
      </c>
    </row>
    <row r="46" spans="1:16" x14ac:dyDescent="0.4">
      <c r="A46" s="65">
        <v>43</v>
      </c>
      <c r="B46" s="62">
        <v>-268.89999999999998</v>
      </c>
      <c r="C46" s="62">
        <v>-6.253488372093023</v>
      </c>
      <c r="D46" s="67">
        <v>2.1627906976744184</v>
      </c>
      <c r="E46" s="63">
        <v>0.23255813953488372</v>
      </c>
      <c r="F46" s="63">
        <v>0.39534883720930231</v>
      </c>
      <c r="G46" s="63">
        <v>0.28415300546448086</v>
      </c>
      <c r="H46" s="63">
        <v>0.19672131147540983</v>
      </c>
      <c r="I46" s="64">
        <v>7549.0384615384619</v>
      </c>
      <c r="J46" s="64">
        <v>-7341.666666666667</v>
      </c>
      <c r="K46" s="63">
        <v>4.6511627906976744E-2</v>
      </c>
      <c r="L46" s="63">
        <v>0.29234972677595628</v>
      </c>
      <c r="M46" s="63">
        <v>0.16939890710382513</v>
      </c>
      <c r="N46" s="63">
        <v>0.60747663551401865</v>
      </c>
      <c r="O46" s="63">
        <v>0.40322580645161288</v>
      </c>
      <c r="P46" s="63">
        <v>0.43269230769230771</v>
      </c>
    </row>
    <row r="47" spans="1:16" x14ac:dyDescent="0.4">
      <c r="A47" s="65">
        <v>44</v>
      </c>
      <c r="B47" s="62">
        <v>-299.39999999999998</v>
      </c>
      <c r="C47" s="62">
        <v>-6.8045454545454538</v>
      </c>
      <c r="D47" s="67">
        <v>2.1818181818181817</v>
      </c>
      <c r="E47" s="63">
        <v>0.22727272727272727</v>
      </c>
      <c r="F47" s="63">
        <v>0.40909090909090912</v>
      </c>
      <c r="G47" s="63">
        <v>0.28000000000000003</v>
      </c>
      <c r="H47" s="63">
        <v>0.19733333333333333</v>
      </c>
      <c r="I47" s="64">
        <v>7648.5714285714284</v>
      </c>
      <c r="J47" s="64">
        <v>-7340.5405405405409</v>
      </c>
      <c r="K47" s="63">
        <v>4.5454545454545456E-2</v>
      </c>
      <c r="L47" s="63">
        <v>0.28799999999999998</v>
      </c>
      <c r="M47" s="63">
        <v>0.17599999999999999</v>
      </c>
      <c r="N47" s="63">
        <v>0.60185185185185186</v>
      </c>
      <c r="O47" s="63">
        <v>0.39393939393939392</v>
      </c>
      <c r="P47" s="63">
        <v>0.43809523809523809</v>
      </c>
    </row>
    <row r="48" spans="1:16" x14ac:dyDescent="0.4">
      <c r="A48" s="65">
        <v>45</v>
      </c>
      <c r="B48" s="62">
        <v>-330.7</v>
      </c>
      <c r="C48" s="62">
        <v>-7.3488888888888884</v>
      </c>
      <c r="D48" s="67">
        <v>2.2000000000000002</v>
      </c>
      <c r="E48" s="63">
        <v>0.22222222222222221</v>
      </c>
      <c r="F48" s="63">
        <v>0.42222222222222222</v>
      </c>
      <c r="G48" s="63">
        <v>0.27676240208877284</v>
      </c>
      <c r="H48" s="63">
        <v>0.20104438642297651</v>
      </c>
      <c r="I48" s="64">
        <v>7689.6226415094343</v>
      </c>
      <c r="J48" s="64">
        <v>-7389.6103896103896</v>
      </c>
      <c r="K48" s="63">
        <v>4.4444444444444446E-2</v>
      </c>
      <c r="L48" s="63">
        <v>0.28720626631853785</v>
      </c>
      <c r="M48" s="63">
        <v>0.18015665796344649</v>
      </c>
      <c r="N48" s="63">
        <v>0.59090909090909094</v>
      </c>
      <c r="O48" s="63">
        <v>0.39130434782608697</v>
      </c>
      <c r="P48" s="63">
        <v>0.43396226415094341</v>
      </c>
    </row>
    <row r="49" spans="1:16" x14ac:dyDescent="0.4">
      <c r="A49" s="65">
        <v>46</v>
      </c>
      <c r="B49" s="62">
        <v>-353.09999999999997</v>
      </c>
      <c r="C49" s="62">
        <v>-7.676086956521738</v>
      </c>
      <c r="D49" s="67">
        <v>2.2173913043478262</v>
      </c>
      <c r="E49" s="63">
        <v>0.21739130434782608</v>
      </c>
      <c r="F49" s="63">
        <v>0.43478260869565216</v>
      </c>
      <c r="G49" s="63">
        <v>0.27763496143958871</v>
      </c>
      <c r="H49" s="63">
        <v>0.20308483290488433</v>
      </c>
      <c r="I49" s="64">
        <v>7639.8148148148148</v>
      </c>
      <c r="J49" s="64">
        <v>-7435.4430379746836</v>
      </c>
      <c r="K49" s="63">
        <v>4.3478260869565216E-2</v>
      </c>
      <c r="L49" s="63">
        <v>0.2879177377892031</v>
      </c>
      <c r="M49" s="63">
        <v>0.18508997429305912</v>
      </c>
      <c r="N49" s="63">
        <v>0.5892857142857143</v>
      </c>
      <c r="O49" s="63">
        <v>0.3888888888888889</v>
      </c>
      <c r="P49" s="63">
        <v>0.42592592592592593</v>
      </c>
    </row>
    <row r="50" spans="1:16" x14ac:dyDescent="0.4">
      <c r="A50" s="65">
        <v>47</v>
      </c>
      <c r="B50" s="62">
        <v>-351.79999999999995</v>
      </c>
      <c r="C50" s="62">
        <v>-7.4851063829787226</v>
      </c>
      <c r="D50" s="67">
        <v>2.2127659574468086</v>
      </c>
      <c r="E50" s="63">
        <v>0.21276595744680851</v>
      </c>
      <c r="F50" s="63">
        <v>0.42553191489361702</v>
      </c>
      <c r="G50" s="63">
        <v>0.27848101265822783</v>
      </c>
      <c r="H50" s="63">
        <v>0.20506329113924052</v>
      </c>
      <c r="I50" s="64">
        <v>7719.090909090909</v>
      </c>
      <c r="J50" s="64">
        <v>-7379.0123456790125</v>
      </c>
      <c r="K50" s="63">
        <v>4.2553191489361701E-2</v>
      </c>
      <c r="L50" s="63">
        <v>0.28607594936708863</v>
      </c>
      <c r="M50" s="63">
        <v>0.18734177215189873</v>
      </c>
      <c r="N50" s="63">
        <v>0.59292035398230092</v>
      </c>
      <c r="O50" s="63">
        <v>0.39189189189189189</v>
      </c>
      <c r="P50" s="63">
        <v>0.42727272727272725</v>
      </c>
    </row>
    <row r="51" spans="1:16" x14ac:dyDescent="0.4">
      <c r="A51" s="65">
        <v>48</v>
      </c>
      <c r="B51" s="62">
        <v>-346.19999999999993</v>
      </c>
      <c r="C51" s="62">
        <v>-7.2124999999999986</v>
      </c>
      <c r="D51" s="67">
        <v>2.2083333333333335</v>
      </c>
      <c r="E51" s="63">
        <v>0.20833333333333334</v>
      </c>
      <c r="F51" s="63">
        <v>0.41666666666666669</v>
      </c>
      <c r="G51" s="63">
        <v>0.28179551122194513</v>
      </c>
      <c r="H51" s="63">
        <v>0.20448877805486285</v>
      </c>
      <c r="I51" s="64">
        <v>7690.2654867256633</v>
      </c>
      <c r="J51" s="64">
        <v>-7435.3658536585363</v>
      </c>
      <c r="K51" s="63">
        <v>4.1666666666666664E-2</v>
      </c>
      <c r="L51" s="63">
        <v>0.28678304239401498</v>
      </c>
      <c r="M51" s="63">
        <v>0.18703241895261846</v>
      </c>
      <c r="N51" s="63">
        <v>0.6</v>
      </c>
      <c r="O51" s="63">
        <v>0.4</v>
      </c>
      <c r="P51" s="63">
        <v>0.4247787610619469</v>
      </c>
    </row>
    <row r="52" spans="1:16" x14ac:dyDescent="0.4">
      <c r="A52" s="65">
        <v>49</v>
      </c>
      <c r="B52" s="62">
        <v>-357.39999999999992</v>
      </c>
      <c r="C52" s="62">
        <v>-7.2938775510204064</v>
      </c>
      <c r="D52" s="67">
        <v>2.204081632653061</v>
      </c>
      <c r="E52" s="63">
        <v>0.20408163265306123</v>
      </c>
      <c r="F52" s="63">
        <v>0.40816326530612246</v>
      </c>
      <c r="G52" s="63">
        <v>0.28398058252427183</v>
      </c>
      <c r="H52" s="63">
        <v>0.20631067961165048</v>
      </c>
      <c r="I52" s="64">
        <v>7707.6923076923076</v>
      </c>
      <c r="J52" s="64">
        <v>-7502.3529411764703</v>
      </c>
      <c r="K52" s="63">
        <v>4.0816326530612242E-2</v>
      </c>
      <c r="L52" s="63">
        <v>0.29126213592233008</v>
      </c>
      <c r="M52" s="63">
        <v>0.18446601941747573</v>
      </c>
      <c r="N52" s="63">
        <v>0.6</v>
      </c>
      <c r="O52" s="63">
        <v>0.39473684210526316</v>
      </c>
      <c r="P52" s="63">
        <v>0.4358974358974359</v>
      </c>
    </row>
    <row r="53" spans="1:16" x14ac:dyDescent="0.4">
      <c r="A53" s="65">
        <v>50</v>
      </c>
      <c r="B53" s="62">
        <v>-404.09999999999991</v>
      </c>
      <c r="C53" s="62">
        <v>-8.081999999999999</v>
      </c>
      <c r="D53" s="67">
        <v>2.2200000000000002</v>
      </c>
      <c r="E53" s="63">
        <v>0.2</v>
      </c>
      <c r="F53" s="63">
        <v>0.42</v>
      </c>
      <c r="G53" s="63">
        <v>0.28199052132701424</v>
      </c>
      <c r="H53" s="63">
        <v>0.20853080568720378</v>
      </c>
      <c r="I53" s="64">
        <v>7687.3949579831933</v>
      </c>
      <c r="J53" s="64">
        <v>-7563.636363636364</v>
      </c>
      <c r="K53" s="63">
        <v>0.06</v>
      </c>
      <c r="L53" s="63">
        <v>0.28672985781990523</v>
      </c>
      <c r="M53" s="63">
        <v>0.1872037914691943</v>
      </c>
      <c r="N53" s="63">
        <v>0.60330578512396693</v>
      </c>
      <c r="O53" s="63">
        <v>0.39240506329113922</v>
      </c>
      <c r="P53" s="63">
        <v>0.43697478991596639</v>
      </c>
    </row>
    <row r="54" spans="1:16" x14ac:dyDescent="0.4">
      <c r="A54" s="65">
        <v>51</v>
      </c>
      <c r="B54" s="62">
        <v>-400.99999999999989</v>
      </c>
      <c r="C54" s="62">
        <v>-7.8627450980392135</v>
      </c>
      <c r="D54" s="67">
        <v>2.215686274509804</v>
      </c>
      <c r="E54" s="63">
        <v>0.19607843137254902</v>
      </c>
      <c r="F54" s="63">
        <v>0.41176470588235292</v>
      </c>
      <c r="G54" s="63">
        <v>0.28037383177570091</v>
      </c>
      <c r="H54" s="63">
        <v>0.20794392523364486</v>
      </c>
      <c r="I54" s="64">
        <v>7723.333333333333</v>
      </c>
      <c r="J54" s="64">
        <v>-7507.8651685393261</v>
      </c>
      <c r="K54" s="63">
        <v>5.8823529411764705E-2</v>
      </c>
      <c r="L54" s="63">
        <v>0.28504672897196259</v>
      </c>
      <c r="M54" s="63">
        <v>0.18457943925233644</v>
      </c>
      <c r="N54" s="63">
        <v>0.60655737704918034</v>
      </c>
      <c r="O54" s="63">
        <v>0.39240506329113922</v>
      </c>
      <c r="P54" s="63">
        <v>0.44166666666666665</v>
      </c>
    </row>
    <row r="55" spans="1:16" x14ac:dyDescent="0.4">
      <c r="A55" s="65">
        <v>52</v>
      </c>
      <c r="B55" s="62">
        <v>-414.7999999999999</v>
      </c>
      <c r="C55" s="62">
        <v>-7.9769230769230752</v>
      </c>
      <c r="D55" s="67">
        <v>2.2115384615384617</v>
      </c>
      <c r="E55" s="63">
        <v>0.19230769230769232</v>
      </c>
      <c r="F55" s="63">
        <v>0.40384615384615385</v>
      </c>
      <c r="G55" s="63">
        <v>0.27816091954022987</v>
      </c>
      <c r="H55" s="63">
        <v>0.2045977011494253</v>
      </c>
      <c r="I55" s="64">
        <v>7680.9917355371899</v>
      </c>
      <c r="J55" s="64">
        <v>-7507.8651685393261</v>
      </c>
      <c r="K55" s="63">
        <v>5.7692307692307696E-2</v>
      </c>
      <c r="L55" s="63">
        <v>0.28275862068965518</v>
      </c>
      <c r="M55" s="63">
        <v>0.18390804597701149</v>
      </c>
      <c r="N55" s="63">
        <v>0.60162601626016265</v>
      </c>
      <c r="O55" s="63">
        <v>0.38750000000000001</v>
      </c>
      <c r="P55" s="63">
        <v>0.43801652892561982</v>
      </c>
    </row>
    <row r="56" spans="1:16" x14ac:dyDescent="0.4">
      <c r="A56" s="65">
        <v>53</v>
      </c>
      <c r="B56" s="62">
        <v>-403.89999999999992</v>
      </c>
      <c r="C56" s="62">
        <v>-7.6207547169811303</v>
      </c>
      <c r="D56" s="67">
        <v>2.2075471698113209</v>
      </c>
      <c r="E56" s="63">
        <v>0.18867924528301888</v>
      </c>
      <c r="F56" s="63">
        <v>0.39622641509433965</v>
      </c>
      <c r="G56" s="63">
        <v>0.27740492170022374</v>
      </c>
      <c r="H56" s="63">
        <v>0.20805369127516779</v>
      </c>
      <c r="I56" s="64">
        <v>7850</v>
      </c>
      <c r="J56" s="64">
        <v>-7535.4838709677415</v>
      </c>
      <c r="K56" s="63">
        <v>5.6603773584905662E-2</v>
      </c>
      <c r="L56" s="63">
        <v>0.28411633109619688</v>
      </c>
      <c r="M56" s="63">
        <v>0.18568232662192394</v>
      </c>
      <c r="N56" s="63">
        <v>0.59055118110236215</v>
      </c>
      <c r="O56" s="63">
        <v>0.38554216867469882</v>
      </c>
      <c r="P56" s="63">
        <v>0.44354838709677419</v>
      </c>
    </row>
    <row r="57" spans="1:16" x14ac:dyDescent="0.4">
      <c r="A57" s="65">
        <v>54</v>
      </c>
      <c r="B57" s="62">
        <v>-386.7999999999999</v>
      </c>
      <c r="C57" s="62">
        <v>-7.1629629629629612</v>
      </c>
      <c r="D57" s="67">
        <v>2.1851851851851851</v>
      </c>
      <c r="E57" s="63">
        <v>0.20370370370370369</v>
      </c>
      <c r="F57" s="63">
        <v>0.3888888888888889</v>
      </c>
      <c r="G57" s="63">
        <v>0.27912087912087913</v>
      </c>
      <c r="H57" s="63">
        <v>0.20659340659340658</v>
      </c>
      <c r="I57" s="64">
        <v>7898.4251968503941</v>
      </c>
      <c r="J57" s="64">
        <v>-7540.4255319148933</v>
      </c>
      <c r="K57" s="63">
        <v>5.5555555555555552E-2</v>
      </c>
      <c r="L57" s="63">
        <v>0.28351648351648351</v>
      </c>
      <c r="M57" s="63">
        <v>0.18461538461538463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">
      <c r="A58" s="65">
        <v>55</v>
      </c>
      <c r="B58" s="62">
        <v>-441.2999999999999</v>
      </c>
      <c r="C58" s="62">
        <v>-8.0236363636363617</v>
      </c>
      <c r="D58" s="67">
        <v>2.2000000000000002</v>
      </c>
      <c r="E58" s="63">
        <v>0.2</v>
      </c>
      <c r="F58" s="63">
        <v>0.4</v>
      </c>
      <c r="G58" s="63">
        <v>0.27668845315904139</v>
      </c>
      <c r="H58" s="63">
        <v>0.20915032679738563</v>
      </c>
      <c r="I58" s="64">
        <v>7898.4251968503941</v>
      </c>
      <c r="J58" s="64">
        <v>-7651.041666666667</v>
      </c>
      <c r="K58" s="63">
        <v>7.2727272727272724E-2</v>
      </c>
      <c r="L58" s="63">
        <v>0.28104575163398693</v>
      </c>
      <c r="M58" s="63">
        <v>0.18300653594771241</v>
      </c>
      <c r="N58" s="63">
        <v>0.5968992248062015</v>
      </c>
      <c r="O58" s="63">
        <v>0.39285714285714285</v>
      </c>
      <c r="P58" s="63">
        <v>0.44881889763779526</v>
      </c>
    </row>
    <row r="59" spans="1:16" x14ac:dyDescent="0.4">
      <c r="A59" s="65">
        <v>56</v>
      </c>
      <c r="B59" s="62">
        <v>-398.09999999999991</v>
      </c>
      <c r="C59" s="62">
        <v>-7.1089285714285699</v>
      </c>
      <c r="D59" s="67">
        <v>2.1785714285714284</v>
      </c>
      <c r="E59" s="63">
        <v>0.21428571428571427</v>
      </c>
      <c r="F59" s="63">
        <v>0.39285714285714285</v>
      </c>
      <c r="G59" s="63">
        <v>0.2817204301075269</v>
      </c>
      <c r="H59" s="63">
        <v>0.20645161290322581</v>
      </c>
      <c r="I59" s="64">
        <v>7971.7557251908393</v>
      </c>
      <c r="J59" s="64">
        <v>-7651.041666666667</v>
      </c>
      <c r="K59" s="63">
        <v>7.1428571428571425E-2</v>
      </c>
      <c r="L59" s="63">
        <v>0.28387096774193549</v>
      </c>
      <c r="M59" s="63">
        <v>0.18494623655913978</v>
      </c>
      <c r="N59" s="63">
        <v>0.60606060606060608</v>
      </c>
      <c r="O59" s="63">
        <v>0.39534883720930231</v>
      </c>
      <c r="P59" s="63">
        <v>0.45038167938931295</v>
      </c>
    </row>
    <row r="60" spans="1:16" x14ac:dyDescent="0.4">
      <c r="A60" s="65">
        <v>57</v>
      </c>
      <c r="B60" s="62">
        <v>-393.39999999999992</v>
      </c>
      <c r="C60" s="62">
        <v>-6.9017543859649111</v>
      </c>
      <c r="D60" s="67">
        <v>2.1754385964912282</v>
      </c>
      <c r="E60" s="63">
        <v>0.21052631578947367</v>
      </c>
      <c r="F60" s="63">
        <v>0.38596491228070173</v>
      </c>
      <c r="G60" s="63">
        <v>0.28059071729957807</v>
      </c>
      <c r="H60" s="63">
        <v>0.20886075949367089</v>
      </c>
      <c r="I60" s="64">
        <v>8032.3308270676689</v>
      </c>
      <c r="J60" s="64">
        <v>-7584.848484848485</v>
      </c>
      <c r="K60" s="63">
        <v>7.0175438596491224E-2</v>
      </c>
      <c r="L60" s="63">
        <v>0.2848101265822785</v>
      </c>
      <c r="M60" s="63">
        <v>0.18354430379746836</v>
      </c>
      <c r="N60" s="63">
        <v>0.6074074074074074</v>
      </c>
      <c r="O60" s="63">
        <v>0.39080459770114945</v>
      </c>
      <c r="P60" s="63">
        <v>0.45864661654135336</v>
      </c>
    </row>
    <row r="61" spans="1:16" x14ac:dyDescent="0.4">
      <c r="A61" s="65">
        <v>58</v>
      </c>
      <c r="B61" s="62">
        <v>-376.49999999999994</v>
      </c>
      <c r="C61" s="62">
        <v>-6.4913793103448265</v>
      </c>
      <c r="D61" s="67">
        <v>2.1551724137931036</v>
      </c>
      <c r="E61" s="63">
        <v>0.22413793103448276</v>
      </c>
      <c r="F61" s="63">
        <v>0.37931034482758619</v>
      </c>
      <c r="G61" s="63">
        <v>0.28333333333333333</v>
      </c>
      <c r="H61" s="63">
        <v>0.20833333333333334</v>
      </c>
      <c r="I61" s="64">
        <v>8029.411764705882</v>
      </c>
      <c r="J61" s="64">
        <v>-7629</v>
      </c>
      <c r="K61" s="63">
        <v>6.8965517241379309E-2</v>
      </c>
      <c r="L61" s="63">
        <v>0.28541666666666665</v>
      </c>
      <c r="M61" s="63">
        <v>0.18333333333333332</v>
      </c>
      <c r="N61" s="63">
        <v>0.61313868613138689</v>
      </c>
      <c r="O61" s="63">
        <v>0.38636363636363635</v>
      </c>
      <c r="P61" s="63">
        <v>0.47058823529411764</v>
      </c>
    </row>
    <row r="62" spans="1:16" x14ac:dyDescent="0.4">
      <c r="A62" s="65">
        <v>59</v>
      </c>
      <c r="B62" s="62">
        <v>-373.49999999999994</v>
      </c>
      <c r="C62" s="62">
        <v>-6.3305084745762699</v>
      </c>
      <c r="D62" s="67">
        <v>2.152542372881356</v>
      </c>
      <c r="E62" s="63">
        <v>0.22033898305084745</v>
      </c>
      <c r="F62" s="63">
        <v>0.3728813559322034</v>
      </c>
      <c r="G62" s="63">
        <v>0.2822085889570552</v>
      </c>
      <c r="H62" s="63">
        <v>0.20654396728016361</v>
      </c>
      <c r="I62" s="64">
        <v>8039.130434782609</v>
      </c>
      <c r="J62" s="64">
        <v>-7592.0792079207922</v>
      </c>
      <c r="K62" s="63">
        <v>6.7796610169491525E-2</v>
      </c>
      <c r="L62" s="63">
        <v>0.28834355828220859</v>
      </c>
      <c r="M62" s="63">
        <v>0.18404907975460122</v>
      </c>
      <c r="N62" s="63">
        <v>0.6028368794326241</v>
      </c>
      <c r="O62" s="63">
        <v>0.3888888888888889</v>
      </c>
      <c r="P62" s="63">
        <v>0.46376811594202899</v>
      </c>
    </row>
    <row r="63" spans="1:16" x14ac:dyDescent="0.4">
      <c r="A63" s="65">
        <v>60</v>
      </c>
      <c r="B63" s="62">
        <v>-399.29999999999995</v>
      </c>
      <c r="C63" s="62">
        <v>-6.6549999999999994</v>
      </c>
      <c r="D63" s="67">
        <v>2.1666666666666665</v>
      </c>
      <c r="E63" s="63">
        <v>0.21666666666666667</v>
      </c>
      <c r="F63" s="63">
        <v>0.38333333333333336</v>
      </c>
      <c r="G63" s="63">
        <v>0.28225806451612906</v>
      </c>
      <c r="H63" s="63">
        <v>0.20766129032258066</v>
      </c>
      <c r="I63" s="64">
        <v>7988.5714285714284</v>
      </c>
      <c r="J63" s="64">
        <v>-7638.8349514563106</v>
      </c>
      <c r="K63" s="63">
        <v>6.6666666666666666E-2</v>
      </c>
      <c r="L63" s="63">
        <v>0.28629032258064518</v>
      </c>
      <c r="M63" s="63">
        <v>0.1875</v>
      </c>
      <c r="N63" s="63">
        <v>0.59859154929577463</v>
      </c>
      <c r="O63" s="63">
        <v>0.38709677419354838</v>
      </c>
      <c r="P63" s="63">
        <v>0.45714285714285713</v>
      </c>
    </row>
    <row r="64" spans="1:16" x14ac:dyDescent="0.4">
      <c r="A64" s="65">
        <v>61</v>
      </c>
      <c r="B64" s="62">
        <v>-448.79999999999995</v>
      </c>
      <c r="C64" s="62">
        <v>-7.357377049180327</v>
      </c>
      <c r="D64" s="67">
        <v>2.180327868852459</v>
      </c>
      <c r="E64" s="63">
        <v>0.21311475409836064</v>
      </c>
      <c r="F64" s="63">
        <v>0.39344262295081966</v>
      </c>
      <c r="G64" s="63">
        <v>0.2788844621513944</v>
      </c>
      <c r="H64" s="63">
        <v>0.21115537848605578</v>
      </c>
      <c r="I64" s="64">
        <v>7988.5714285714284</v>
      </c>
      <c r="J64" s="64">
        <v>-7686.7924528301883</v>
      </c>
      <c r="K64" s="63">
        <v>8.1967213114754092E-2</v>
      </c>
      <c r="L64" s="63">
        <v>0.28286852589641437</v>
      </c>
      <c r="M64" s="63">
        <v>0.18725099601593626</v>
      </c>
      <c r="N64" s="63">
        <v>0.59859154929577463</v>
      </c>
      <c r="O64" s="63">
        <v>0.38297872340425532</v>
      </c>
      <c r="P64" s="63">
        <v>0.45714285714285713</v>
      </c>
    </row>
    <row r="65" spans="1:16" x14ac:dyDescent="0.4">
      <c r="A65" s="65">
        <v>62</v>
      </c>
      <c r="B65" s="62">
        <v>-453.59999999999997</v>
      </c>
      <c r="C65" s="62">
        <v>-7.3161290322580639</v>
      </c>
      <c r="D65" s="67">
        <v>2.1774193548387095</v>
      </c>
      <c r="E65" s="63">
        <v>0.20967741935483872</v>
      </c>
      <c r="F65" s="63">
        <v>0.38709677419354838</v>
      </c>
      <c r="G65" s="63">
        <v>0.27906976744186046</v>
      </c>
      <c r="H65" s="63">
        <v>0.21124031007751937</v>
      </c>
      <c r="I65" s="64">
        <v>8055.5555555555557</v>
      </c>
      <c r="J65" s="64">
        <v>-7655.0458715596333</v>
      </c>
      <c r="K65" s="63">
        <v>8.0645161290322578E-2</v>
      </c>
      <c r="L65" s="63">
        <v>0.28488372093023256</v>
      </c>
      <c r="M65" s="63">
        <v>0.18992248062015504</v>
      </c>
      <c r="N65" s="63">
        <v>0.59183673469387754</v>
      </c>
      <c r="O65" s="63">
        <v>0.38775510204081631</v>
      </c>
      <c r="P65" s="63">
        <v>0.4513888888888889</v>
      </c>
    </row>
    <row r="66" spans="1:16" x14ac:dyDescent="0.4">
      <c r="A66" s="65">
        <v>63</v>
      </c>
      <c r="B66" s="62">
        <v>-501.79999999999995</v>
      </c>
      <c r="C66" s="62">
        <v>-7.9650793650793643</v>
      </c>
      <c r="D66" s="67">
        <v>2.1904761904761907</v>
      </c>
      <c r="E66" s="63">
        <v>0.20634920634920634</v>
      </c>
      <c r="F66" s="63">
        <v>0.3968253968253968</v>
      </c>
      <c r="G66" s="63">
        <v>0.2774566473988439</v>
      </c>
      <c r="H66" s="63">
        <v>0.2119460500963391</v>
      </c>
      <c r="I66" s="64">
        <v>8055.5555555555557</v>
      </c>
      <c r="J66" s="64">
        <v>-7611.818181818182</v>
      </c>
      <c r="K66" s="63">
        <v>9.5238095238095233E-2</v>
      </c>
      <c r="L66" s="63">
        <v>0.28516377649325625</v>
      </c>
      <c r="M66" s="63">
        <v>0.18882466281310212</v>
      </c>
      <c r="N66" s="63">
        <v>0.58783783783783783</v>
      </c>
      <c r="O66" s="63">
        <v>0.38775510204081631</v>
      </c>
      <c r="P66" s="63">
        <v>0.4513888888888889</v>
      </c>
    </row>
    <row r="67" spans="1:16" x14ac:dyDescent="0.4">
      <c r="A67" s="65">
        <v>64</v>
      </c>
      <c r="B67" s="62">
        <v>-457.29999999999995</v>
      </c>
      <c r="C67" s="62">
        <v>-7.1453124999999993</v>
      </c>
      <c r="D67" s="67">
        <v>2.171875</v>
      </c>
      <c r="E67" s="63">
        <v>0.21875</v>
      </c>
      <c r="F67" s="63">
        <v>0.390625</v>
      </c>
      <c r="G67" s="63">
        <v>0.28030303030303028</v>
      </c>
      <c r="H67" s="63">
        <v>0.20833333333333334</v>
      </c>
      <c r="I67" s="64">
        <v>8081.0810810810808</v>
      </c>
      <c r="J67" s="64">
        <v>-7611.818181818182</v>
      </c>
      <c r="K67" s="63">
        <v>9.375E-2</v>
      </c>
      <c r="L67" s="63">
        <v>0.29166666666666669</v>
      </c>
      <c r="M67" s="63">
        <v>0.1875</v>
      </c>
      <c r="N67" s="63">
        <v>0.58441558441558439</v>
      </c>
      <c r="O67" s="63">
        <v>0.38383838383838381</v>
      </c>
      <c r="P67" s="63">
        <v>0.45270270270270269</v>
      </c>
    </row>
    <row r="68" spans="1:16" x14ac:dyDescent="0.4">
      <c r="A68" s="65">
        <v>65</v>
      </c>
      <c r="B68" s="62">
        <v>-421.09999999999997</v>
      </c>
      <c r="C68" s="62">
        <v>-6.4784615384615378</v>
      </c>
      <c r="D68" s="67">
        <v>2.1538461538461537</v>
      </c>
      <c r="E68" s="63">
        <v>0.23076923076923078</v>
      </c>
      <c r="F68" s="63">
        <v>0.38461538461538464</v>
      </c>
      <c r="G68" s="63">
        <v>0.28044280442804426</v>
      </c>
      <c r="H68" s="63">
        <v>0.20664206642066421</v>
      </c>
      <c r="I68" s="64">
        <v>8158.5526315789475</v>
      </c>
      <c r="J68" s="64">
        <v>-7617.8571428571431</v>
      </c>
      <c r="K68" s="63">
        <v>9.2307692307692313E-2</v>
      </c>
      <c r="L68" s="63">
        <v>0.28782287822878228</v>
      </c>
      <c r="M68" s="63">
        <v>0.18819188191881919</v>
      </c>
      <c r="N68" s="63">
        <v>0.58333333333333337</v>
      </c>
      <c r="O68" s="63">
        <v>0.40196078431372551</v>
      </c>
      <c r="P68" s="63">
        <v>0.46052631578947367</v>
      </c>
    </row>
    <row r="69" spans="1:16" x14ac:dyDescent="0.4">
      <c r="A69" s="65">
        <v>66</v>
      </c>
      <c r="B69" s="62">
        <v>-465.9</v>
      </c>
      <c r="C69" s="62">
        <v>-7.0590909090909086</v>
      </c>
      <c r="D69" s="67">
        <v>2.1666666666666665</v>
      </c>
      <c r="E69" s="63">
        <v>0.22727272727272727</v>
      </c>
      <c r="F69" s="63">
        <v>0.39393939393939392</v>
      </c>
      <c r="G69" s="63">
        <v>0.27767695099818512</v>
      </c>
      <c r="H69" s="63">
        <v>0.20689655172413793</v>
      </c>
      <c r="I69" s="64">
        <v>8139.2156862745096</v>
      </c>
      <c r="J69" s="64">
        <v>-7657.0175438596489</v>
      </c>
      <c r="K69" s="63">
        <v>9.0909090909090912E-2</v>
      </c>
      <c r="L69" s="63">
        <v>0.2867513611615245</v>
      </c>
      <c r="M69" s="63">
        <v>0.19237749546279492</v>
      </c>
      <c r="N69" s="63">
        <v>0.58227848101265822</v>
      </c>
      <c r="O69" s="63">
        <v>0.3867924528301887</v>
      </c>
      <c r="P69" s="63">
        <v>0.45751633986928103</v>
      </c>
    </row>
    <row r="70" spans="1:16" x14ac:dyDescent="0.4">
      <c r="A70" s="65">
        <v>67</v>
      </c>
      <c r="B70" s="62">
        <v>-441.9</v>
      </c>
      <c r="C70" s="62">
        <v>-6.5955223880597016</v>
      </c>
      <c r="D70" s="67">
        <v>2.1492537313432836</v>
      </c>
      <c r="E70" s="63">
        <v>0.23880597014925373</v>
      </c>
      <c r="F70" s="63">
        <v>0.38805970149253732</v>
      </c>
      <c r="G70" s="63">
        <v>0.28163992869875221</v>
      </c>
      <c r="H70" s="63">
        <v>0.20320855614973263</v>
      </c>
      <c r="I70" s="64">
        <v>8005.0632911392404</v>
      </c>
      <c r="J70" s="64">
        <v>-7657.0175438596489</v>
      </c>
      <c r="K70" s="63">
        <v>8.9552238805970144E-2</v>
      </c>
      <c r="L70" s="63">
        <v>0.28520499108734404</v>
      </c>
      <c r="M70" s="63">
        <v>0.19073083778966132</v>
      </c>
      <c r="N70" s="63">
        <v>0.58750000000000002</v>
      </c>
      <c r="O70" s="63">
        <v>0.3925233644859813</v>
      </c>
      <c r="P70" s="63">
        <v>0.46202531645569622</v>
      </c>
    </row>
    <row r="71" spans="1:16" x14ac:dyDescent="0.4">
      <c r="A71" s="65">
        <v>68</v>
      </c>
      <c r="B71" s="62">
        <v>-477.59999999999997</v>
      </c>
      <c r="C71" s="62">
        <v>-7.0235294117647058</v>
      </c>
      <c r="D71" s="67">
        <v>2.1617647058823528</v>
      </c>
      <c r="E71" s="63">
        <v>0.23529411764705882</v>
      </c>
      <c r="F71" s="63">
        <v>0.39705882352941174</v>
      </c>
      <c r="G71" s="63">
        <v>0.28097731239092494</v>
      </c>
      <c r="H71" s="63">
        <v>0.20418848167539266</v>
      </c>
      <c r="I71" s="64">
        <v>8029.1925465838513</v>
      </c>
      <c r="J71" s="64">
        <v>-7662.3931623931621</v>
      </c>
      <c r="K71" s="63">
        <v>8.8235294117647065E-2</v>
      </c>
      <c r="L71" s="63">
        <v>0.2879581151832461</v>
      </c>
      <c r="M71" s="63">
        <v>0.19022687609075042</v>
      </c>
      <c r="N71" s="63">
        <v>0.5757575757575758</v>
      </c>
      <c r="O71" s="63">
        <v>0.40366972477064222</v>
      </c>
      <c r="P71" s="63">
        <v>0.45962732919254656</v>
      </c>
    </row>
    <row r="72" spans="1:16" x14ac:dyDescent="0.4">
      <c r="A72" s="65">
        <v>69</v>
      </c>
      <c r="B72" s="62">
        <v>-477.29999999999995</v>
      </c>
      <c r="C72" s="62">
        <v>-6.9173913043478255</v>
      </c>
      <c r="D72" s="67">
        <v>2.1594202898550723</v>
      </c>
      <c r="E72" s="63">
        <v>0.2318840579710145</v>
      </c>
      <c r="F72" s="63">
        <v>0.39130434782608697</v>
      </c>
      <c r="G72" s="63">
        <v>0.2817391304347826</v>
      </c>
      <c r="H72" s="63">
        <v>0.20347826086956522</v>
      </c>
      <c r="I72" s="64">
        <v>7987.6543209876545</v>
      </c>
      <c r="J72" s="64">
        <v>-7662.3931623931621</v>
      </c>
      <c r="K72" s="63">
        <v>8.6956521739130432E-2</v>
      </c>
      <c r="L72" s="63">
        <v>0.28869565217391302</v>
      </c>
      <c r="M72" s="63">
        <v>0.19130434782608696</v>
      </c>
      <c r="N72" s="63">
        <v>0.57228915662650603</v>
      </c>
      <c r="O72" s="63">
        <v>0.40909090909090912</v>
      </c>
      <c r="P72" s="63">
        <v>0.4567901234567901</v>
      </c>
    </row>
    <row r="73" spans="1:16" x14ac:dyDescent="0.4">
      <c r="A73" s="65">
        <v>70</v>
      </c>
      <c r="B73" s="62">
        <v>-486.9</v>
      </c>
      <c r="C73" s="62">
        <v>-6.9557142857142855</v>
      </c>
      <c r="D73" s="67">
        <v>2.157142857142857</v>
      </c>
      <c r="E73" s="63">
        <v>0.22857142857142856</v>
      </c>
      <c r="F73" s="63">
        <v>0.38571428571428573</v>
      </c>
      <c r="G73" s="63">
        <v>0.28006872852233677</v>
      </c>
      <c r="H73" s="63">
        <v>0.20103092783505155</v>
      </c>
      <c r="I73" s="64">
        <v>7962.5766871165642</v>
      </c>
      <c r="J73" s="64">
        <v>-7662.3931623931621</v>
      </c>
      <c r="K73" s="63">
        <v>8.5714285714285715E-2</v>
      </c>
      <c r="L73" s="63">
        <v>0.28694158075601373</v>
      </c>
      <c r="M73" s="63">
        <v>0.19243986254295534</v>
      </c>
      <c r="N73" s="63">
        <v>0.56886227544910184</v>
      </c>
      <c r="O73" s="63">
        <v>0.4107142857142857</v>
      </c>
      <c r="P73" s="63">
        <v>0.45398773006134968</v>
      </c>
    </row>
    <row r="74" spans="1:16" x14ac:dyDescent="0.4">
      <c r="A74" s="65">
        <v>71</v>
      </c>
      <c r="B74" s="62">
        <v>-458</v>
      </c>
      <c r="C74" s="62">
        <v>-6.450704225352113</v>
      </c>
      <c r="D74" s="67">
        <v>2.140845070422535</v>
      </c>
      <c r="E74" s="63">
        <v>0.23943661971830985</v>
      </c>
      <c r="F74" s="63">
        <v>0.38028169014084506</v>
      </c>
      <c r="G74" s="63">
        <v>0.2799325463743676</v>
      </c>
      <c r="H74" s="63">
        <v>0.20067453625632378</v>
      </c>
      <c r="I74" s="64">
        <v>8094.5783132530123</v>
      </c>
      <c r="J74" s="64">
        <v>-7667.226890756303</v>
      </c>
      <c r="K74" s="63">
        <v>8.4507042253521125E-2</v>
      </c>
      <c r="L74" s="63">
        <v>0.28499156829679595</v>
      </c>
      <c r="M74" s="63">
        <v>0.19224283305227655</v>
      </c>
      <c r="N74" s="63">
        <v>0.57396449704142016</v>
      </c>
      <c r="O74" s="63">
        <v>0.41228070175438597</v>
      </c>
      <c r="P74" s="63">
        <v>0.45783132530120479</v>
      </c>
    </row>
    <row r="75" spans="1:16" x14ac:dyDescent="0.4">
      <c r="A75" s="65">
        <v>72</v>
      </c>
      <c r="B75" s="62">
        <v>-484.8</v>
      </c>
      <c r="C75" s="62">
        <v>-6.7333333333333334</v>
      </c>
      <c r="D75" s="67">
        <v>2.1527777777777777</v>
      </c>
      <c r="E75" s="63">
        <v>0.2361111111111111</v>
      </c>
      <c r="F75" s="63">
        <v>0.3888888888888889</v>
      </c>
      <c r="G75" s="63">
        <v>0.27860696517412936</v>
      </c>
      <c r="H75" s="63">
        <v>0.20232172470978441</v>
      </c>
      <c r="I75" s="64">
        <v>8067.8571428571431</v>
      </c>
      <c r="J75" s="64">
        <v>-7622.1311475409839</v>
      </c>
      <c r="K75" s="63">
        <v>8.3333333333333329E-2</v>
      </c>
      <c r="L75" s="63">
        <v>0.28524046434494194</v>
      </c>
      <c r="M75" s="63">
        <v>0.19237147595356552</v>
      </c>
      <c r="N75" s="63">
        <v>0.57558139534883723</v>
      </c>
      <c r="O75" s="63">
        <v>0.40517241379310343</v>
      </c>
      <c r="P75" s="63">
        <v>0.4642857142857143</v>
      </c>
    </row>
    <row r="76" spans="1:16" x14ac:dyDescent="0.4">
      <c r="A76" s="65">
        <v>73</v>
      </c>
      <c r="B76" s="62">
        <v>-506.40000000000003</v>
      </c>
      <c r="C76" s="62">
        <v>-6.9369863013698634</v>
      </c>
      <c r="D76" s="67">
        <v>2.1643835616438358</v>
      </c>
      <c r="E76" s="63">
        <v>0.23287671232876711</v>
      </c>
      <c r="F76" s="63">
        <v>0.39726027397260272</v>
      </c>
      <c r="G76" s="63">
        <v>0.27659574468085107</v>
      </c>
      <c r="H76" s="63">
        <v>0.20294599018003273</v>
      </c>
      <c r="I76" s="64">
        <v>8067.455621301775</v>
      </c>
      <c r="J76" s="64">
        <v>-7592.7419354838712</v>
      </c>
      <c r="K76" s="63">
        <v>8.2191780821917804E-2</v>
      </c>
      <c r="L76" s="63">
        <v>0.28477905073649756</v>
      </c>
      <c r="M76" s="63">
        <v>0.19148936170212766</v>
      </c>
      <c r="N76" s="63">
        <v>0.57471264367816088</v>
      </c>
      <c r="O76" s="63">
        <v>0.40170940170940173</v>
      </c>
      <c r="P76" s="63">
        <v>0.46153846153846156</v>
      </c>
    </row>
    <row r="77" spans="1:16" x14ac:dyDescent="0.4">
      <c r="A77" s="65">
        <v>74</v>
      </c>
      <c r="B77" s="62">
        <v>-505.3</v>
      </c>
      <c r="C77" s="62">
        <v>-6.8283783783783782</v>
      </c>
      <c r="D77" s="67">
        <v>2.1621621621621623</v>
      </c>
      <c r="E77" s="63">
        <v>0.22972972972972974</v>
      </c>
      <c r="F77" s="63">
        <v>0.39189189189189189</v>
      </c>
      <c r="G77" s="63">
        <v>0.27741935483870966</v>
      </c>
      <c r="H77" s="63">
        <v>0.20161290322580644</v>
      </c>
      <c r="I77" s="64">
        <v>8034.3023255813951</v>
      </c>
      <c r="J77" s="64">
        <v>-7544</v>
      </c>
      <c r="K77" s="63">
        <v>8.1081081081081086E-2</v>
      </c>
      <c r="L77" s="63">
        <v>0.2870967741935484</v>
      </c>
      <c r="M77" s="63">
        <v>0.19354838709677419</v>
      </c>
      <c r="N77" s="63">
        <v>0.5730337078651685</v>
      </c>
      <c r="O77" s="63">
        <v>0.4</v>
      </c>
      <c r="P77" s="63">
        <v>0.46511627906976744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FDABC-0DCF-4C74-AFC7-97ADD86AAC02}">
  <sheetPr codeName="Sheet12"/>
  <dimension ref="A1:Q12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E32F1-7B45-424A-ADA3-FDD143F50AC3}">
  <sheetPr codeName="Sheet10"/>
  <dimension ref="A1:Q13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">
      <c r="A67" s="65">
        <v>64</v>
      </c>
      <c r="B67" s="62">
        <v>500.59999999999997</v>
      </c>
      <c r="C67" s="62">
        <v>7.8218749999999995</v>
      </c>
      <c r="D67" s="67">
        <v>1.78125</v>
      </c>
      <c r="E67" s="63">
        <v>0.453125</v>
      </c>
      <c r="F67" s="63">
        <v>0.234375</v>
      </c>
      <c r="G67" s="63">
        <v>0.32879377431906615</v>
      </c>
      <c r="H67" s="63">
        <v>0.14785992217898833</v>
      </c>
      <c r="I67" s="64">
        <v>7986.3905325443784</v>
      </c>
      <c r="J67" s="64">
        <v>-7032.894736842105</v>
      </c>
      <c r="K67" s="63">
        <v>4.6875E-2</v>
      </c>
      <c r="L67" s="63">
        <v>0.24902723735408561</v>
      </c>
      <c r="M67" s="63">
        <v>0.23929961089494164</v>
      </c>
      <c r="N67" s="63">
        <v>0.59375</v>
      </c>
      <c r="O67" s="63">
        <v>0.48780487804878048</v>
      </c>
      <c r="P67" s="63">
        <v>0.40828402366863903</v>
      </c>
    </row>
    <row r="68" spans="1:16" x14ac:dyDescent="0.4">
      <c r="A68" s="65">
        <v>65</v>
      </c>
      <c r="B68" s="62">
        <v>518.9</v>
      </c>
      <c r="C68" s="62">
        <v>7.983076923076923</v>
      </c>
      <c r="D68" s="67">
        <v>1.7692307692307692</v>
      </c>
      <c r="E68" s="63">
        <v>0.46153846153846156</v>
      </c>
      <c r="F68" s="63">
        <v>0.23076923076923078</v>
      </c>
      <c r="G68" s="63">
        <v>0.32887189292543023</v>
      </c>
      <c r="H68" s="63">
        <v>0.14531548757170173</v>
      </c>
      <c r="I68" s="64">
        <v>8002.9069767441861</v>
      </c>
      <c r="J68" s="64">
        <v>-7032.894736842105</v>
      </c>
      <c r="K68" s="63">
        <v>4.6153846153846156E-2</v>
      </c>
      <c r="L68" s="63">
        <v>0.25047801147227533</v>
      </c>
      <c r="M68" s="63">
        <v>0.23709369024856597</v>
      </c>
      <c r="N68" s="63">
        <v>0.59541984732824427</v>
      </c>
      <c r="O68" s="63">
        <v>0.4838709677419355</v>
      </c>
      <c r="P68" s="63">
        <v>0.41860465116279072</v>
      </c>
    </row>
    <row r="69" spans="1:16" x14ac:dyDescent="0.4">
      <c r="A69" s="65">
        <v>66</v>
      </c>
      <c r="B69" s="62">
        <v>538.1</v>
      </c>
      <c r="C69" s="62">
        <v>8.1530303030303042</v>
      </c>
      <c r="D69" s="67">
        <v>1.7575757575757576</v>
      </c>
      <c r="E69" s="63">
        <v>0.46969696969696972</v>
      </c>
      <c r="F69" s="63">
        <v>0.22727272727272727</v>
      </c>
      <c r="G69" s="63">
        <v>0.33207547169811319</v>
      </c>
      <c r="H69" s="63">
        <v>0.14339622641509434</v>
      </c>
      <c r="I69" s="64">
        <v>7955.681818181818</v>
      </c>
      <c r="J69" s="64">
        <v>-7032.894736842105</v>
      </c>
      <c r="K69" s="63">
        <v>4.5454545454545456E-2</v>
      </c>
      <c r="L69" s="63">
        <v>0.25283018867924528</v>
      </c>
      <c r="M69" s="63">
        <v>0.23962264150943396</v>
      </c>
      <c r="N69" s="63">
        <v>0.58955223880597019</v>
      </c>
      <c r="O69" s="63">
        <v>0.48818897637795278</v>
      </c>
      <c r="P69" s="63">
        <v>0.42045454545454547</v>
      </c>
    </row>
    <row r="70" spans="1:16" x14ac:dyDescent="0.4">
      <c r="A70" s="65">
        <v>67</v>
      </c>
      <c r="B70" s="62">
        <v>538.70000000000005</v>
      </c>
      <c r="C70" s="62">
        <v>8.0402985074626869</v>
      </c>
      <c r="D70" s="67">
        <v>1.7611940298507462</v>
      </c>
      <c r="E70" s="63">
        <v>0.46268656716417911</v>
      </c>
      <c r="F70" s="63">
        <v>0.22388059701492538</v>
      </c>
      <c r="G70" s="63">
        <v>0.33457249070631973</v>
      </c>
      <c r="H70" s="63">
        <v>0.14126394052044611</v>
      </c>
      <c r="I70" s="64">
        <v>7895</v>
      </c>
      <c r="J70" s="64">
        <v>-7032.894736842105</v>
      </c>
      <c r="K70" s="63">
        <v>4.4776119402985072E-2</v>
      </c>
      <c r="L70" s="63">
        <v>0.25092936802973975</v>
      </c>
      <c r="M70" s="63">
        <v>0.23977695167286245</v>
      </c>
      <c r="N70" s="63">
        <v>0.59259259259259256</v>
      </c>
      <c r="O70" s="63">
        <v>0.49612403100775193</v>
      </c>
      <c r="P70" s="63">
        <v>0.41666666666666669</v>
      </c>
    </row>
    <row r="71" spans="1:16" x14ac:dyDescent="0.4">
      <c r="A71" s="65">
        <v>68</v>
      </c>
      <c r="B71" s="62">
        <v>503.50000000000006</v>
      </c>
      <c r="C71" s="62">
        <v>7.4044117647058831</v>
      </c>
      <c r="D71" s="67">
        <v>1.7794117647058822</v>
      </c>
      <c r="E71" s="63">
        <v>0.45588235294117646</v>
      </c>
      <c r="F71" s="63">
        <v>0.23529411764705882</v>
      </c>
      <c r="G71" s="63">
        <v>0.33211678832116787</v>
      </c>
      <c r="H71" s="63">
        <v>0.14051094890510948</v>
      </c>
      <c r="I71" s="64">
        <v>7902.7472527472528</v>
      </c>
      <c r="J71" s="64">
        <v>-7175.3246753246749</v>
      </c>
      <c r="K71" s="63">
        <v>4.4117647058823532E-2</v>
      </c>
      <c r="L71" s="63">
        <v>0.25</v>
      </c>
      <c r="M71" s="63">
        <v>0.24270072992700731</v>
      </c>
      <c r="N71" s="63">
        <v>0.59124087591240881</v>
      </c>
      <c r="O71" s="63">
        <v>0.48872180451127817</v>
      </c>
      <c r="P71" s="63">
        <v>0.41208791208791207</v>
      </c>
    </row>
    <row r="72" spans="1:16" x14ac:dyDescent="0.4">
      <c r="A72" s="65">
        <v>69</v>
      </c>
      <c r="B72" s="62">
        <v>544.1</v>
      </c>
      <c r="C72" s="62">
        <v>7.8855072463768119</v>
      </c>
      <c r="D72" s="67">
        <v>1.7681159420289856</v>
      </c>
      <c r="E72" s="63">
        <v>0.46376811594202899</v>
      </c>
      <c r="F72" s="63">
        <v>0.2318840579710145</v>
      </c>
      <c r="G72" s="63">
        <v>0.33634719710669075</v>
      </c>
      <c r="H72" s="63">
        <v>0.13924050632911392</v>
      </c>
      <c r="I72" s="64">
        <v>7886.5591397849466</v>
      </c>
      <c r="J72" s="64">
        <v>-7175.3246753246749</v>
      </c>
      <c r="K72" s="63">
        <v>4.3478260869565216E-2</v>
      </c>
      <c r="L72" s="63">
        <v>0.24954792043399637</v>
      </c>
      <c r="M72" s="63">
        <v>0.24231464737793851</v>
      </c>
      <c r="N72" s="63">
        <v>0.59420289855072461</v>
      </c>
      <c r="O72" s="63">
        <v>0.4925373134328358</v>
      </c>
      <c r="P72" s="63">
        <v>0.40860215053763443</v>
      </c>
    </row>
    <row r="73" spans="1:16" x14ac:dyDescent="0.4">
      <c r="A73" s="65">
        <v>70</v>
      </c>
      <c r="B73" s="62">
        <v>576.5</v>
      </c>
      <c r="C73" s="62">
        <v>8.2357142857142858</v>
      </c>
      <c r="D73" s="67">
        <v>1.7571428571428571</v>
      </c>
      <c r="E73" s="63">
        <v>0.47142857142857142</v>
      </c>
      <c r="F73" s="63">
        <v>0.22857142857142856</v>
      </c>
      <c r="G73" s="63">
        <v>0.33745583038869259</v>
      </c>
      <c r="H73" s="63">
        <v>0.13780918727915195</v>
      </c>
      <c r="I73" s="64">
        <v>7899.4764397905756</v>
      </c>
      <c r="J73" s="64">
        <v>-7182.0512820512822</v>
      </c>
      <c r="K73" s="63">
        <v>4.2857142857142858E-2</v>
      </c>
      <c r="L73" s="63">
        <v>0.25265017667844525</v>
      </c>
      <c r="M73" s="63">
        <v>0.23851590106007067</v>
      </c>
      <c r="N73" s="63">
        <v>0.60139860139860135</v>
      </c>
      <c r="O73" s="63">
        <v>0.48888888888888887</v>
      </c>
      <c r="P73" s="63">
        <v>0.41361256544502617</v>
      </c>
    </row>
    <row r="74" spans="1:16" x14ac:dyDescent="0.4">
      <c r="A74" s="65">
        <v>71</v>
      </c>
      <c r="B74" s="62">
        <v>544.79999999999995</v>
      </c>
      <c r="C74" s="62">
        <v>7.6732394366197179</v>
      </c>
      <c r="D74" s="67">
        <v>1.7746478873239437</v>
      </c>
      <c r="E74" s="63">
        <v>0.46478873239436619</v>
      </c>
      <c r="F74" s="63">
        <v>0.23943661971830985</v>
      </c>
      <c r="G74" s="63">
        <v>0.33507853403141363</v>
      </c>
      <c r="H74" s="63">
        <v>0.13787085514834205</v>
      </c>
      <c r="I74" s="64">
        <v>7869.270833333333</v>
      </c>
      <c r="J74" s="64">
        <v>-7192.4050632911394</v>
      </c>
      <c r="K74" s="63">
        <v>4.2253521126760563E-2</v>
      </c>
      <c r="L74" s="63">
        <v>0.24956369982547993</v>
      </c>
      <c r="M74" s="63">
        <v>0.23734729493891799</v>
      </c>
      <c r="N74" s="63">
        <v>0.60139860139860135</v>
      </c>
      <c r="O74" s="63">
        <v>0.48529411764705882</v>
      </c>
      <c r="P74" s="63">
        <v>0.41666666666666669</v>
      </c>
    </row>
    <row r="75" spans="1:16" x14ac:dyDescent="0.4">
      <c r="A75" s="65">
        <v>72</v>
      </c>
      <c r="B75" s="62">
        <v>502.09999999999997</v>
      </c>
      <c r="C75" s="62">
        <v>6.9736111111111105</v>
      </c>
      <c r="D75" s="67">
        <v>1.7916666666666667</v>
      </c>
      <c r="E75" s="63">
        <v>0.45833333333333331</v>
      </c>
      <c r="F75" s="63">
        <v>0.25</v>
      </c>
      <c r="G75" s="63">
        <v>0.33390705679862304</v>
      </c>
      <c r="H75" s="63">
        <v>0.14285714285714285</v>
      </c>
      <c r="I75" s="64">
        <v>7860.3092783505153</v>
      </c>
      <c r="J75" s="64">
        <v>-7468.674698795181</v>
      </c>
      <c r="K75" s="63">
        <v>4.1666666666666664E-2</v>
      </c>
      <c r="L75" s="63">
        <v>0.2512908777969019</v>
      </c>
      <c r="M75" s="63">
        <v>0.23580034423407917</v>
      </c>
      <c r="N75" s="63">
        <v>0.60273972602739723</v>
      </c>
      <c r="O75" s="63">
        <v>0.48175182481751827</v>
      </c>
      <c r="P75" s="63">
        <v>0.42268041237113402</v>
      </c>
    </row>
    <row r="76" spans="1:16" x14ac:dyDescent="0.4">
      <c r="A76" s="65">
        <v>73</v>
      </c>
      <c r="B76" s="62">
        <v>526.19999999999993</v>
      </c>
      <c r="C76" s="62">
        <v>7.2082191780821905</v>
      </c>
      <c r="D76" s="67">
        <v>1.7808219178082192</v>
      </c>
      <c r="E76" s="63">
        <v>0.46575342465753422</v>
      </c>
      <c r="F76" s="63">
        <v>0.24657534246575341</v>
      </c>
      <c r="G76" s="63">
        <v>0.33616298811544992</v>
      </c>
      <c r="H76" s="63">
        <v>0.14091680814940577</v>
      </c>
      <c r="I76" s="64">
        <v>7842.424242424242</v>
      </c>
      <c r="J76" s="64">
        <v>-7468.674698795181</v>
      </c>
      <c r="K76" s="63">
        <v>4.1095890410958902E-2</v>
      </c>
      <c r="L76" s="63">
        <v>0.25127334465195245</v>
      </c>
      <c r="M76" s="63">
        <v>0.23769100169779286</v>
      </c>
      <c r="N76" s="63">
        <v>0.60810810810810811</v>
      </c>
      <c r="O76" s="63">
        <v>0.47857142857142859</v>
      </c>
      <c r="P76" s="63">
        <v>0.42424242424242425</v>
      </c>
    </row>
    <row r="77" spans="1:16" x14ac:dyDescent="0.4">
      <c r="A77" s="65">
        <v>74</v>
      </c>
      <c r="B77" s="62">
        <v>550.99999999999989</v>
      </c>
      <c r="C77" s="62">
        <v>7.4459459459459447</v>
      </c>
      <c r="D77" s="67">
        <v>1.7702702702702702</v>
      </c>
      <c r="E77" s="63">
        <v>0.47297297297297297</v>
      </c>
      <c r="F77" s="63">
        <v>0.24324324324324326</v>
      </c>
      <c r="G77" s="63">
        <v>0.33835845896147404</v>
      </c>
      <c r="H77" s="63">
        <v>0.14237855946398659</v>
      </c>
      <c r="I77" s="64">
        <v>7834.6534653465351</v>
      </c>
      <c r="J77" s="64">
        <v>-7528.2352941176468</v>
      </c>
      <c r="K77" s="63">
        <v>4.0540540540540543E-2</v>
      </c>
      <c r="L77" s="63">
        <v>0.25628140703517588</v>
      </c>
      <c r="M77" s="63">
        <v>0.23785594639865998</v>
      </c>
      <c r="N77" s="63">
        <v>0.60784313725490191</v>
      </c>
      <c r="O77" s="63">
        <v>0.47887323943661969</v>
      </c>
      <c r="P77" s="63">
        <v>0.42079207920792078</v>
      </c>
    </row>
    <row r="78" spans="1:16" x14ac:dyDescent="0.4">
      <c r="A78" s="65">
        <v>75</v>
      </c>
      <c r="B78" s="62">
        <v>576.49999999999989</v>
      </c>
      <c r="C78" s="62">
        <v>7.6866666666666648</v>
      </c>
      <c r="D78" s="67">
        <v>1.76</v>
      </c>
      <c r="E78" s="63">
        <v>0.48</v>
      </c>
      <c r="F78" s="63">
        <v>0.24</v>
      </c>
      <c r="G78" s="63">
        <v>0.3383084577114428</v>
      </c>
      <c r="H78" s="63">
        <v>0.14096185737976782</v>
      </c>
      <c r="I78" s="64">
        <v>7836.2745098039213</v>
      </c>
      <c r="J78" s="64">
        <v>-7528.2352941176468</v>
      </c>
      <c r="K78" s="63">
        <v>0.04</v>
      </c>
      <c r="L78" s="63">
        <v>0.25538971807628524</v>
      </c>
      <c r="M78" s="63">
        <v>0.23714759535655058</v>
      </c>
      <c r="N78" s="63">
        <v>0.61038961038961037</v>
      </c>
      <c r="O78" s="63">
        <v>0.47552447552447552</v>
      </c>
      <c r="P78" s="63">
        <v>0.42156862745098039</v>
      </c>
    </row>
    <row r="79" spans="1:16" x14ac:dyDescent="0.4">
      <c r="A79" s="65">
        <v>76</v>
      </c>
      <c r="B79" s="62">
        <v>601.29999999999984</v>
      </c>
      <c r="C79" s="62">
        <v>7.9118421052631556</v>
      </c>
      <c r="D79" s="67">
        <v>1.75</v>
      </c>
      <c r="E79" s="63">
        <v>0.48684210526315791</v>
      </c>
      <c r="F79" s="63">
        <v>0.23684210526315788</v>
      </c>
      <c r="G79" s="63">
        <v>0.33990147783251229</v>
      </c>
      <c r="H79" s="63">
        <v>0.13957307060755336</v>
      </c>
      <c r="I79" s="64">
        <v>7849.7584541062806</v>
      </c>
      <c r="J79" s="64">
        <v>-7528.2352941176468</v>
      </c>
      <c r="K79" s="63">
        <v>3.9473684210526314E-2</v>
      </c>
      <c r="L79" s="63">
        <v>0.25451559934318557</v>
      </c>
      <c r="M79" s="63">
        <v>0.2348111658456486</v>
      </c>
      <c r="N79" s="63">
        <v>0.61290322580645162</v>
      </c>
      <c r="O79" s="63">
        <v>0.47552447552447552</v>
      </c>
      <c r="P79" s="63">
        <v>0.42028985507246375</v>
      </c>
    </row>
    <row r="80" spans="1:16" x14ac:dyDescent="0.4">
      <c r="A80" s="65">
        <v>77</v>
      </c>
      <c r="B80" s="62">
        <v>576.29999999999984</v>
      </c>
      <c r="C80" s="62">
        <v>7.484415584415582</v>
      </c>
      <c r="D80" s="67">
        <v>1.7662337662337662</v>
      </c>
      <c r="E80" s="63">
        <v>0.48051948051948051</v>
      </c>
      <c r="F80" s="63">
        <v>0.24675324675324675</v>
      </c>
      <c r="G80" s="63">
        <v>0.33658536585365856</v>
      </c>
      <c r="H80" s="63">
        <v>0.13983739837398373</v>
      </c>
      <c r="I80" s="64">
        <v>7849.7584541062806</v>
      </c>
      <c r="J80" s="64">
        <v>-7533.7209302325582</v>
      </c>
      <c r="K80" s="63">
        <v>3.896103896103896E-2</v>
      </c>
      <c r="L80" s="63">
        <v>0.25365853658536586</v>
      </c>
      <c r="M80" s="63">
        <v>0.23577235772357724</v>
      </c>
      <c r="N80" s="63">
        <v>0.60897435897435892</v>
      </c>
      <c r="O80" s="63">
        <v>0.4689655172413793</v>
      </c>
      <c r="P80" s="63">
        <v>0.42028985507246375</v>
      </c>
    </row>
    <row r="81" spans="1:16" x14ac:dyDescent="0.4">
      <c r="A81" s="65">
        <v>78</v>
      </c>
      <c r="B81" s="62">
        <v>546.79999999999984</v>
      </c>
      <c r="C81" s="62">
        <v>7.0102564102564084</v>
      </c>
      <c r="D81" s="67">
        <v>1.7820512820512822</v>
      </c>
      <c r="E81" s="63">
        <v>0.47435897435897434</v>
      </c>
      <c r="F81" s="63">
        <v>0.25641025641025639</v>
      </c>
      <c r="G81" s="63">
        <v>0.33601286173633438</v>
      </c>
      <c r="H81" s="63">
        <v>0.13987138263665594</v>
      </c>
      <c r="I81" s="64">
        <v>7844.4976076555022</v>
      </c>
      <c r="J81" s="64">
        <v>-7580.4597701149423</v>
      </c>
      <c r="K81" s="63">
        <v>3.8461538461538464E-2</v>
      </c>
      <c r="L81" s="63">
        <v>0.25241157556270094</v>
      </c>
      <c r="M81" s="63">
        <v>0.23794212218649519</v>
      </c>
      <c r="N81" s="63">
        <v>0.61146496815286622</v>
      </c>
      <c r="O81" s="63">
        <v>0.46621621621621623</v>
      </c>
      <c r="P81" s="63">
        <v>0.42105263157894735</v>
      </c>
    </row>
    <row r="82" spans="1:16" x14ac:dyDescent="0.4">
      <c r="A82" s="65">
        <v>79</v>
      </c>
      <c r="B82" s="62">
        <v>579.29999999999984</v>
      </c>
      <c r="C82" s="62">
        <v>7.3329113924050615</v>
      </c>
      <c r="D82" s="67">
        <v>1.7721518987341771</v>
      </c>
      <c r="E82" s="63">
        <v>0.48101265822784811</v>
      </c>
      <c r="F82" s="63">
        <v>0.25316455696202533</v>
      </c>
      <c r="G82" s="63">
        <v>0.33649289099526064</v>
      </c>
      <c r="H82" s="63">
        <v>0.13744075829383887</v>
      </c>
      <c r="I82" s="64">
        <v>7884.9765258215966</v>
      </c>
      <c r="J82" s="64">
        <v>-7580.4597701149423</v>
      </c>
      <c r="K82" s="63">
        <v>3.7974683544303799E-2</v>
      </c>
      <c r="L82" s="63">
        <v>0.2527646129541864</v>
      </c>
      <c r="M82" s="63">
        <v>0.24328593996840442</v>
      </c>
      <c r="N82" s="63">
        <v>0.60624999999999996</v>
      </c>
      <c r="O82" s="63">
        <v>0.46753246753246752</v>
      </c>
      <c r="P82" s="63">
        <v>0.42253521126760563</v>
      </c>
    </row>
    <row r="83" spans="1:16" x14ac:dyDescent="0.4">
      <c r="A83" s="65">
        <v>80</v>
      </c>
      <c r="B83" s="62">
        <v>556.89999999999986</v>
      </c>
      <c r="C83" s="62">
        <v>6.9612499999999979</v>
      </c>
      <c r="D83" s="67">
        <v>1.7749999999999999</v>
      </c>
      <c r="E83" s="63">
        <v>0.47499999999999998</v>
      </c>
      <c r="F83" s="63">
        <v>0.25</v>
      </c>
      <c r="G83" s="63">
        <v>0.33281493001555212</v>
      </c>
      <c r="H83" s="63">
        <v>0.13841368584758942</v>
      </c>
      <c r="I83" s="64">
        <v>7904.2056074766351</v>
      </c>
      <c r="J83" s="64">
        <v>-7465.1685393258431</v>
      </c>
      <c r="K83" s="63">
        <v>3.7499999999999999E-2</v>
      </c>
      <c r="L83" s="63">
        <v>0.25038880248833595</v>
      </c>
      <c r="M83" s="63">
        <v>0.24105754276827371</v>
      </c>
      <c r="N83" s="63">
        <v>0.60248447204968947</v>
      </c>
      <c r="O83" s="63">
        <v>0.46451612903225808</v>
      </c>
      <c r="P83" s="63">
        <v>0.42056074766355139</v>
      </c>
    </row>
    <row r="84" spans="1:16" x14ac:dyDescent="0.4">
      <c r="A84" s="65">
        <v>81</v>
      </c>
      <c r="B84" s="62">
        <v>572.09999999999991</v>
      </c>
      <c r="C84" s="62">
        <v>7.0629629629629616</v>
      </c>
      <c r="D84" s="67">
        <v>1.7654320987654322</v>
      </c>
      <c r="E84" s="63">
        <v>0.48148148148148145</v>
      </c>
      <c r="F84" s="63">
        <v>0.24691358024691357</v>
      </c>
      <c r="G84" s="63">
        <v>0.33436055469953774</v>
      </c>
      <c r="H84" s="63">
        <v>0.13867488443759629</v>
      </c>
      <c r="I84" s="64">
        <v>7871.8894009216592</v>
      </c>
      <c r="J84" s="64">
        <v>-7471.1111111111113</v>
      </c>
      <c r="K84" s="63">
        <v>3.7037037037037035E-2</v>
      </c>
      <c r="L84" s="63">
        <v>0.2526964560862866</v>
      </c>
      <c r="M84" s="63">
        <v>0.24191063174114022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">
      <c r="A85" s="65">
        <v>82</v>
      </c>
      <c r="B85" s="62">
        <v>521.59999999999991</v>
      </c>
      <c r="C85" s="62">
        <v>6.3609756097560961</v>
      </c>
      <c r="D85" s="67">
        <v>1.7804878048780488</v>
      </c>
      <c r="E85" s="63">
        <v>0.47560975609756095</v>
      </c>
      <c r="F85" s="63">
        <v>0.25609756097560976</v>
      </c>
      <c r="G85" s="63">
        <v>0.33231240428790199</v>
      </c>
      <c r="H85" s="63">
        <v>0.14395099540581929</v>
      </c>
      <c r="I85" s="64">
        <v>7871.8894009216592</v>
      </c>
      <c r="J85" s="64">
        <v>-7584.0425531914898</v>
      </c>
      <c r="K85" s="63">
        <v>4.878048780487805E-2</v>
      </c>
      <c r="L85" s="63">
        <v>0.25114854517611024</v>
      </c>
      <c r="M85" s="63">
        <v>0.24042879019908117</v>
      </c>
      <c r="N85" s="63">
        <v>0.60365853658536583</v>
      </c>
      <c r="O85" s="63">
        <v>0.46496815286624205</v>
      </c>
      <c r="P85" s="63">
        <v>0.42396313364055299</v>
      </c>
    </row>
    <row r="86" spans="1:16" x14ac:dyDescent="0.4">
      <c r="A86" s="65">
        <v>83</v>
      </c>
      <c r="B86" s="62">
        <v>548.39999999999986</v>
      </c>
      <c r="C86" s="62">
        <v>6.6072289156626489</v>
      </c>
      <c r="D86" s="67">
        <v>1.7710843373493976</v>
      </c>
      <c r="E86" s="63">
        <v>0.48192771084337349</v>
      </c>
      <c r="F86" s="63">
        <v>0.25301204819277107</v>
      </c>
      <c r="G86" s="63">
        <v>0.33333333333333331</v>
      </c>
      <c r="H86" s="63">
        <v>0.14114114114114115</v>
      </c>
      <c r="I86" s="64">
        <v>7816.666666666667</v>
      </c>
      <c r="J86" s="64">
        <v>-7584.0425531914898</v>
      </c>
      <c r="K86" s="63">
        <v>4.8192771084337352E-2</v>
      </c>
      <c r="L86" s="63">
        <v>0.25375375375375375</v>
      </c>
      <c r="M86" s="63">
        <v>0.23723723723723725</v>
      </c>
      <c r="N86" s="63">
        <v>0.60946745562130178</v>
      </c>
      <c r="O86" s="63">
        <v>0.46835443037974683</v>
      </c>
      <c r="P86" s="63">
        <v>0.42342342342342343</v>
      </c>
    </row>
    <row r="87" spans="1:16" x14ac:dyDescent="0.4">
      <c r="A87" s="65">
        <v>84</v>
      </c>
      <c r="B87" s="62">
        <v>546.59999999999991</v>
      </c>
      <c r="C87" s="62">
        <v>6.5071428571428562</v>
      </c>
      <c r="D87" s="67">
        <v>1.7738095238095237</v>
      </c>
      <c r="E87" s="63">
        <v>0.47619047619047616</v>
      </c>
      <c r="F87" s="63">
        <v>0.25</v>
      </c>
      <c r="G87" s="63">
        <v>0.33234421364985162</v>
      </c>
      <c r="H87" s="63">
        <v>0.1394658753709199</v>
      </c>
      <c r="I87" s="64">
        <v>7789.2857142857147</v>
      </c>
      <c r="J87" s="64">
        <v>-7584.0425531914898</v>
      </c>
      <c r="K87" s="63">
        <v>4.7619047619047616E-2</v>
      </c>
      <c r="L87" s="63">
        <v>0.25519287833827892</v>
      </c>
      <c r="M87" s="63">
        <v>0.23738872403560832</v>
      </c>
      <c r="N87" s="63">
        <v>0.60465116279069764</v>
      </c>
      <c r="O87" s="63">
        <v>0.46875</v>
      </c>
      <c r="P87" s="63">
        <v>0.42410714285714285</v>
      </c>
    </row>
    <row r="88" spans="1:16" x14ac:dyDescent="0.4">
      <c r="A88" s="65">
        <v>85</v>
      </c>
      <c r="B88" s="62">
        <v>566.49999999999989</v>
      </c>
      <c r="C88" s="62">
        <v>6.6647058823529397</v>
      </c>
      <c r="D88" s="67">
        <v>1.776470588235294</v>
      </c>
      <c r="E88" s="63">
        <v>0.47058823529411764</v>
      </c>
      <c r="F88" s="63">
        <v>0.24705882352941178</v>
      </c>
      <c r="G88" s="63">
        <v>0.33333333333333331</v>
      </c>
      <c r="H88" s="63">
        <v>0.13864306784660768</v>
      </c>
      <c r="I88" s="64">
        <v>7825.2212389380529</v>
      </c>
      <c r="J88" s="64">
        <v>-7584.0425531914898</v>
      </c>
      <c r="K88" s="63">
        <v>4.7058823529411764E-2</v>
      </c>
      <c r="L88" s="63">
        <v>0.25663716814159293</v>
      </c>
      <c r="M88" s="63">
        <v>0.2359882005899705</v>
      </c>
      <c r="N88" s="63">
        <v>0.60919540229885061</v>
      </c>
      <c r="O88" s="63">
        <v>0.46875</v>
      </c>
      <c r="P88" s="63">
        <v>0.4247787610619469</v>
      </c>
    </row>
    <row r="89" spans="1:16" x14ac:dyDescent="0.4">
      <c r="A89" s="65">
        <v>86</v>
      </c>
      <c r="B89" s="62">
        <v>529.79999999999984</v>
      </c>
      <c r="C89" s="62">
        <v>6.1604651162790676</v>
      </c>
      <c r="D89" s="67">
        <v>1.7906976744186047</v>
      </c>
      <c r="E89" s="63">
        <v>0.46511627906976744</v>
      </c>
      <c r="F89" s="63">
        <v>0.2558139534883721</v>
      </c>
      <c r="G89" s="63">
        <v>0.33040935672514621</v>
      </c>
      <c r="H89" s="63">
        <v>0.14035087719298245</v>
      </c>
      <c r="I89" s="64">
        <v>7825.2212389380529</v>
      </c>
      <c r="J89" s="64">
        <v>-7563.541666666667</v>
      </c>
      <c r="K89" s="63">
        <v>4.6511627906976744E-2</v>
      </c>
      <c r="L89" s="63">
        <v>0.25877192982456143</v>
      </c>
      <c r="M89" s="63">
        <v>0.23391812865497075</v>
      </c>
      <c r="N89" s="63">
        <v>0.59887005649717517</v>
      </c>
      <c r="O89" s="63">
        <v>0.46875</v>
      </c>
      <c r="P89" s="63">
        <v>0.4247787610619469</v>
      </c>
    </row>
    <row r="90" spans="1:16" x14ac:dyDescent="0.4">
      <c r="A90" s="65">
        <v>87</v>
      </c>
      <c r="B90" s="62">
        <v>550.39999999999986</v>
      </c>
      <c r="C90" s="62">
        <v>6.3264367816091935</v>
      </c>
      <c r="D90" s="67">
        <v>1.7816091954022988</v>
      </c>
      <c r="E90" s="63">
        <v>0.47126436781609193</v>
      </c>
      <c r="F90" s="63">
        <v>0.25287356321839083</v>
      </c>
      <c r="G90" s="63">
        <v>0.3318903318903319</v>
      </c>
      <c r="H90" s="63">
        <v>0.13852813852813853</v>
      </c>
      <c r="I90" s="64">
        <v>7776.521739130435</v>
      </c>
      <c r="J90" s="64">
        <v>-7563.541666666667</v>
      </c>
      <c r="K90" s="63">
        <v>4.5977011494252873E-2</v>
      </c>
      <c r="L90" s="63">
        <v>0.26118326118326118</v>
      </c>
      <c r="M90" s="63">
        <v>0.23376623376623376</v>
      </c>
      <c r="N90" s="63">
        <v>0.59668508287292821</v>
      </c>
      <c r="O90" s="63">
        <v>0.47530864197530864</v>
      </c>
      <c r="P90" s="63">
        <v>0.42608695652173911</v>
      </c>
    </row>
    <row r="91" spans="1:16" x14ac:dyDescent="0.4">
      <c r="A91" s="65">
        <v>88</v>
      </c>
      <c r="B91" s="62">
        <v>554.39999999999986</v>
      </c>
      <c r="C91" s="62">
        <v>6.299999999999998</v>
      </c>
      <c r="D91" s="67">
        <v>1.7840909090909092</v>
      </c>
      <c r="E91" s="63">
        <v>0.46590909090909088</v>
      </c>
      <c r="F91" s="63">
        <v>0.25</v>
      </c>
      <c r="G91" s="63">
        <v>0.33190271816881262</v>
      </c>
      <c r="H91" s="63">
        <v>0.13733905579399142</v>
      </c>
      <c r="I91" s="64">
        <v>7784.0517241379312</v>
      </c>
      <c r="J91" s="64">
        <v>-7563.541666666667</v>
      </c>
      <c r="K91" s="63">
        <v>4.5454545454545456E-2</v>
      </c>
      <c r="L91" s="63">
        <v>0.2603719599427754</v>
      </c>
      <c r="M91" s="63">
        <v>0.23319027181688126</v>
      </c>
      <c r="N91" s="63">
        <v>0.59890109890109888</v>
      </c>
      <c r="O91" s="63">
        <v>0.4785276073619632</v>
      </c>
      <c r="P91" s="63">
        <v>0.42672413793103448</v>
      </c>
    </row>
    <row r="92" spans="1:16" x14ac:dyDescent="0.4">
      <c r="A92" s="65">
        <v>89</v>
      </c>
      <c r="B92" s="62">
        <v>570.89999999999986</v>
      </c>
      <c r="C92" s="62">
        <v>6.4146067415730323</v>
      </c>
      <c r="D92" s="67">
        <v>1.7752808988764044</v>
      </c>
      <c r="E92" s="63">
        <v>0.47191011235955055</v>
      </c>
      <c r="F92" s="63">
        <v>0.24719101123595505</v>
      </c>
      <c r="G92" s="63">
        <v>0.33144475920679889</v>
      </c>
      <c r="H92" s="63">
        <v>0.13739376770538245</v>
      </c>
      <c r="I92" s="64">
        <v>7774.3589743589746</v>
      </c>
      <c r="J92" s="64">
        <v>-7545.3608247422681</v>
      </c>
      <c r="K92" s="63">
        <v>4.49438202247191E-2</v>
      </c>
      <c r="L92" s="63">
        <v>0.26203966005665724</v>
      </c>
      <c r="M92" s="63">
        <v>0.23229461756373937</v>
      </c>
      <c r="N92" s="63">
        <v>0.6</v>
      </c>
      <c r="O92" s="63">
        <v>0.47560975609756095</v>
      </c>
      <c r="P92" s="63">
        <v>0.42735042735042733</v>
      </c>
    </row>
    <row r="93" spans="1:16" x14ac:dyDescent="0.4">
      <c r="A93" s="65">
        <v>90</v>
      </c>
      <c r="B93" s="62">
        <v>531.89999999999986</v>
      </c>
      <c r="C93" s="62">
        <v>5.9099999999999984</v>
      </c>
      <c r="D93" s="67">
        <v>1.788888888888889</v>
      </c>
      <c r="E93" s="63">
        <v>0.46666666666666667</v>
      </c>
      <c r="F93" s="63">
        <v>0.25555555555555554</v>
      </c>
      <c r="G93" s="63">
        <v>0.33053221288515405</v>
      </c>
      <c r="H93" s="63">
        <v>0.13725490196078433</v>
      </c>
      <c r="I93" s="64">
        <v>7734.3220338983047</v>
      </c>
      <c r="J93" s="64">
        <v>-7590.8163265306121</v>
      </c>
      <c r="K93" s="63">
        <v>4.4444444444444446E-2</v>
      </c>
      <c r="L93" s="63">
        <v>0.26470588235294118</v>
      </c>
      <c r="M93" s="63">
        <v>0.22969187675070027</v>
      </c>
      <c r="N93" s="63">
        <v>0.59259259259259256</v>
      </c>
      <c r="O93" s="63">
        <v>0.47560975609756095</v>
      </c>
      <c r="P93" s="63">
        <v>0.43220338983050849</v>
      </c>
    </row>
    <row r="94" spans="1:16" x14ac:dyDescent="0.4">
      <c r="A94" s="65">
        <v>91</v>
      </c>
      <c r="B94" s="62">
        <v>486.29999999999984</v>
      </c>
      <c r="C94" s="62">
        <v>5.3439560439560418</v>
      </c>
      <c r="D94" s="67">
        <v>1.8021978021978022</v>
      </c>
      <c r="E94" s="63">
        <v>0.46153846153846156</v>
      </c>
      <c r="F94" s="63">
        <v>0.26373626373626374</v>
      </c>
      <c r="G94" s="63">
        <v>0.3287101248266297</v>
      </c>
      <c r="H94" s="63">
        <v>0.13869625520110956</v>
      </c>
      <c r="I94" s="64">
        <v>7735.4430379746836</v>
      </c>
      <c r="J94" s="64">
        <v>-7715</v>
      </c>
      <c r="K94" s="63">
        <v>5.4945054945054944E-2</v>
      </c>
      <c r="L94" s="63">
        <v>0.26490984743411927</v>
      </c>
      <c r="M94" s="63">
        <v>0.2288488210818308</v>
      </c>
      <c r="N94" s="63">
        <v>0.58638743455497377</v>
      </c>
      <c r="O94" s="63">
        <v>0.47272727272727272</v>
      </c>
      <c r="P94" s="63">
        <v>0.43459915611814348</v>
      </c>
    </row>
    <row r="95" spans="1:16" x14ac:dyDescent="0.4">
      <c r="A95" s="65">
        <v>92</v>
      </c>
      <c r="B95" s="62">
        <v>520.39999999999986</v>
      </c>
      <c r="C95" s="62">
        <v>5.656521739130433</v>
      </c>
      <c r="D95" s="67">
        <v>1.7934782608695652</v>
      </c>
      <c r="E95" s="63">
        <v>0.46739130434782611</v>
      </c>
      <c r="F95" s="63">
        <v>0.2608695652173913</v>
      </c>
      <c r="G95" s="63">
        <v>0.33150684931506852</v>
      </c>
      <c r="H95" s="63">
        <v>0.13835616438356163</v>
      </c>
      <c r="I95" s="64">
        <v>7683.8842975206608</v>
      </c>
      <c r="J95" s="64">
        <v>-7753.4653465346537</v>
      </c>
      <c r="K95" s="63">
        <v>5.434782608695652E-2</v>
      </c>
      <c r="L95" s="63">
        <v>0.26438356164383564</v>
      </c>
      <c r="M95" s="63">
        <v>0.23013698630136986</v>
      </c>
      <c r="N95" s="63">
        <v>0.59067357512953367</v>
      </c>
      <c r="O95" s="63">
        <v>0.47023809523809523</v>
      </c>
      <c r="P95" s="63">
        <v>0.43388429752066116</v>
      </c>
    </row>
    <row r="96" spans="1:16" x14ac:dyDescent="0.4">
      <c r="A96" s="65">
        <v>93</v>
      </c>
      <c r="B96" s="62">
        <v>548.09999999999991</v>
      </c>
      <c r="C96" s="62">
        <v>5.8935483870967733</v>
      </c>
      <c r="D96" s="67">
        <v>1.7849462365591398</v>
      </c>
      <c r="E96" s="63">
        <v>0.4731182795698925</v>
      </c>
      <c r="F96" s="63">
        <v>0.25806451612903225</v>
      </c>
      <c r="G96" s="63">
        <v>0.33242876526458615</v>
      </c>
      <c r="H96" s="63">
        <v>0.13839891451831751</v>
      </c>
      <c r="I96" s="64">
        <v>7687.7551020408164</v>
      </c>
      <c r="J96" s="64">
        <v>-7755.8823529411766</v>
      </c>
      <c r="K96" s="63">
        <v>5.3763440860215055E-2</v>
      </c>
      <c r="L96" s="63">
        <v>0.26458616010854819</v>
      </c>
      <c r="M96" s="63">
        <v>0.22930800542740842</v>
      </c>
      <c r="N96" s="63">
        <v>0.59487179487179487</v>
      </c>
      <c r="O96" s="63">
        <v>0.46745562130177515</v>
      </c>
      <c r="P96" s="63">
        <v>0.43265306122448982</v>
      </c>
    </row>
    <row r="97" spans="1:16" x14ac:dyDescent="0.4">
      <c r="A97" s="65">
        <v>94</v>
      </c>
      <c r="B97" s="62">
        <v>583.99999999999989</v>
      </c>
      <c r="C97" s="62">
        <v>6.2127659574468073</v>
      </c>
      <c r="D97" s="67">
        <v>1.7765957446808511</v>
      </c>
      <c r="E97" s="63">
        <v>0.47872340425531917</v>
      </c>
      <c r="F97" s="63">
        <v>0.25531914893617019</v>
      </c>
      <c r="G97" s="63">
        <v>0.33378196500672946</v>
      </c>
      <c r="H97" s="63">
        <v>0.13728129205921938</v>
      </c>
      <c r="I97" s="64">
        <v>7701.2096774193551</v>
      </c>
      <c r="J97" s="64">
        <v>-7755.8823529411766</v>
      </c>
      <c r="K97" s="63">
        <v>5.3191489361702128E-2</v>
      </c>
      <c r="L97" s="63">
        <v>0.26648721399730824</v>
      </c>
      <c r="M97" s="63">
        <v>0.22880215343203231</v>
      </c>
      <c r="N97" s="63">
        <v>0.59595959595959591</v>
      </c>
      <c r="O97" s="63">
        <v>0.47058823529411764</v>
      </c>
      <c r="P97" s="63">
        <v>0.42741935483870969</v>
      </c>
    </row>
    <row r="98" spans="1:16" x14ac:dyDescent="0.4">
      <c r="A98" s="65">
        <v>95</v>
      </c>
      <c r="B98" s="62">
        <v>605.69999999999993</v>
      </c>
      <c r="C98" s="62">
        <v>6.3757894736842102</v>
      </c>
      <c r="D98" s="67">
        <v>1.7789473684210526</v>
      </c>
      <c r="E98" s="63">
        <v>0.47368421052631576</v>
      </c>
      <c r="F98" s="63">
        <v>0.25263157894736843</v>
      </c>
      <c r="G98" s="63">
        <v>0.33554376657824936</v>
      </c>
      <c r="H98" s="63">
        <v>0.13925729442970822</v>
      </c>
      <c r="I98" s="64">
        <v>7755.731225296443</v>
      </c>
      <c r="J98" s="64">
        <v>-7844.7619047619046</v>
      </c>
      <c r="K98" s="63">
        <v>5.2631578947368418E-2</v>
      </c>
      <c r="L98" s="63">
        <v>0.26790450928381965</v>
      </c>
      <c r="M98" s="63">
        <v>0.22944297082228116</v>
      </c>
      <c r="N98" s="63">
        <v>0.59405940594059403</v>
      </c>
      <c r="O98" s="63">
        <v>0.47976878612716761</v>
      </c>
      <c r="P98" s="63">
        <v>0.42292490118577075</v>
      </c>
    </row>
    <row r="99" spans="1:16" x14ac:dyDescent="0.4">
      <c r="A99" s="65">
        <v>96</v>
      </c>
      <c r="B99" s="62">
        <v>625.19999999999993</v>
      </c>
      <c r="C99" s="62">
        <v>6.5124999999999993</v>
      </c>
      <c r="D99" s="67">
        <v>1.7708333333333333</v>
      </c>
      <c r="E99" s="63">
        <v>0.47916666666666669</v>
      </c>
      <c r="F99" s="63">
        <v>0.25</v>
      </c>
      <c r="G99" s="63">
        <v>0.33595800524934383</v>
      </c>
      <c r="H99" s="63">
        <v>0.13910761154855644</v>
      </c>
      <c r="I99" s="64">
        <v>7750.78125</v>
      </c>
      <c r="J99" s="64">
        <v>-7780.1886792452833</v>
      </c>
      <c r="K99" s="63">
        <v>5.2083333333333336E-2</v>
      </c>
      <c r="L99" s="63">
        <v>0.26902887139107612</v>
      </c>
      <c r="M99" s="63">
        <v>0.22703412073490814</v>
      </c>
      <c r="N99" s="63">
        <v>0.59512195121951217</v>
      </c>
      <c r="O99" s="63">
        <v>0.47976878612716761</v>
      </c>
      <c r="P99" s="63">
        <v>0.42578125</v>
      </c>
    </row>
    <row r="100" spans="1:16" x14ac:dyDescent="0.4">
      <c r="A100" s="65">
        <v>97</v>
      </c>
      <c r="B100" s="62">
        <v>638.79999999999995</v>
      </c>
      <c r="C100" s="62">
        <v>6.585567010309278</v>
      </c>
      <c r="D100" s="67">
        <v>1.7731958762886597</v>
      </c>
      <c r="E100" s="63">
        <v>0.47422680412371132</v>
      </c>
      <c r="F100" s="63">
        <v>0.24742268041237114</v>
      </c>
      <c r="G100" s="63">
        <v>0.33506493506493507</v>
      </c>
      <c r="H100" s="63">
        <v>0.13896103896103895</v>
      </c>
      <c r="I100" s="64">
        <v>7760.4651162790697</v>
      </c>
      <c r="J100" s="64">
        <v>-7726.1682242990655</v>
      </c>
      <c r="K100" s="63">
        <v>5.1546391752577317E-2</v>
      </c>
      <c r="L100" s="63">
        <v>0.27142857142857141</v>
      </c>
      <c r="M100" s="63">
        <v>0.22467532467532467</v>
      </c>
      <c r="N100" s="63">
        <v>0.59330143540669855</v>
      </c>
      <c r="O100" s="63">
        <v>0.47976878612716761</v>
      </c>
      <c r="P100" s="63">
        <v>0.4263565891472868</v>
      </c>
    </row>
    <row r="101" spans="1:16" x14ac:dyDescent="0.4">
      <c r="A101" s="65">
        <v>98</v>
      </c>
      <c r="B101" s="62">
        <v>680.69999999999993</v>
      </c>
      <c r="C101" s="62">
        <v>6.9459183673469385</v>
      </c>
      <c r="D101" s="67">
        <v>1.7653061224489797</v>
      </c>
      <c r="E101" s="63">
        <v>0.47959183673469385</v>
      </c>
      <c r="F101" s="63">
        <v>0.24489795918367346</v>
      </c>
      <c r="G101" s="63">
        <v>0.33762886597938147</v>
      </c>
      <c r="H101" s="63">
        <v>0.13788659793814434</v>
      </c>
      <c r="I101" s="64">
        <v>7750</v>
      </c>
      <c r="J101" s="64">
        <v>-7726.1682242990655</v>
      </c>
      <c r="K101" s="63">
        <v>5.1020408163265307E-2</v>
      </c>
      <c r="L101" s="63">
        <v>0.27319587628865977</v>
      </c>
      <c r="M101" s="63">
        <v>0.22551546391752578</v>
      </c>
      <c r="N101" s="63">
        <v>0.59433962264150941</v>
      </c>
      <c r="O101" s="63">
        <v>0.48571428571428571</v>
      </c>
      <c r="P101" s="63">
        <v>0.43129770992366412</v>
      </c>
    </row>
    <row r="102" spans="1:16" x14ac:dyDescent="0.4">
      <c r="A102" s="65">
        <v>99</v>
      </c>
      <c r="B102" s="62">
        <v>664.19999999999993</v>
      </c>
      <c r="C102" s="62">
        <v>6.7090909090909081</v>
      </c>
      <c r="D102" s="67">
        <v>1.7676767676767677</v>
      </c>
      <c r="E102" s="63">
        <v>0.47474747474747475</v>
      </c>
      <c r="F102" s="63">
        <v>0.24242424242424243</v>
      </c>
      <c r="G102" s="63">
        <v>0.33460076045627374</v>
      </c>
      <c r="H102" s="63">
        <v>0.13561470215462612</v>
      </c>
      <c r="I102" s="64">
        <v>7729.166666666667</v>
      </c>
      <c r="J102" s="64">
        <v>-7726.1682242990655</v>
      </c>
      <c r="K102" s="63">
        <v>5.0505050505050504E-2</v>
      </c>
      <c r="L102" s="63">
        <v>0.27376425855513309</v>
      </c>
      <c r="M102" s="63">
        <v>0.2256020278833967</v>
      </c>
      <c r="N102" s="63">
        <v>0.59259259259259256</v>
      </c>
      <c r="O102" s="63">
        <v>0.47752808988764045</v>
      </c>
      <c r="P102" s="63">
        <v>0.42803030303030304</v>
      </c>
    </row>
    <row r="103" spans="1:16" x14ac:dyDescent="0.4">
      <c r="A103" s="65">
        <v>100</v>
      </c>
      <c r="B103" s="62">
        <v>713.19999999999993</v>
      </c>
      <c r="C103" s="62">
        <v>7.1319999999999997</v>
      </c>
      <c r="D103" s="67">
        <v>1.76</v>
      </c>
      <c r="E103" s="63">
        <v>0.48</v>
      </c>
      <c r="F103" s="63">
        <v>0.24</v>
      </c>
      <c r="G103" s="63">
        <v>0.33624999999999999</v>
      </c>
      <c r="H103" s="63">
        <v>0.13375000000000001</v>
      </c>
      <c r="I103" s="64">
        <v>7737.1747211895909</v>
      </c>
      <c r="J103" s="64">
        <v>-7726.1682242990655</v>
      </c>
      <c r="K103" s="63">
        <v>0.05</v>
      </c>
      <c r="L103" s="63">
        <v>0.27124999999999999</v>
      </c>
      <c r="M103" s="63">
        <v>0.22750000000000001</v>
      </c>
      <c r="N103" s="63">
        <v>0.59447004608294929</v>
      </c>
      <c r="O103" s="63">
        <v>0.47802197802197804</v>
      </c>
      <c r="P103" s="63">
        <v>0.43122676579925651</v>
      </c>
    </row>
    <row r="104" spans="1:16" x14ac:dyDescent="0.4">
      <c r="A104" s="65">
        <v>101</v>
      </c>
      <c r="B104" s="62">
        <v>757.59999999999991</v>
      </c>
      <c r="C104" s="62">
        <v>7.5009900990098997</v>
      </c>
      <c r="D104" s="67">
        <v>1.7524752475247525</v>
      </c>
      <c r="E104" s="63">
        <v>0.48514851485148514</v>
      </c>
      <c r="F104" s="63">
        <v>0.23762376237623761</v>
      </c>
      <c r="G104" s="63">
        <v>0.33788819875776399</v>
      </c>
      <c r="H104" s="63">
        <v>0.13291925465838508</v>
      </c>
      <c r="I104" s="64">
        <v>7773.8970588235297</v>
      </c>
      <c r="J104" s="64">
        <v>-7726.1682242990655</v>
      </c>
      <c r="K104" s="63">
        <v>4.9504950495049507E-2</v>
      </c>
      <c r="L104" s="63">
        <v>0.27204968944099378</v>
      </c>
      <c r="M104" s="63">
        <v>0.22608695652173913</v>
      </c>
      <c r="N104" s="63">
        <v>0.59817351598173518</v>
      </c>
      <c r="O104" s="63">
        <v>0.47802197802197804</v>
      </c>
      <c r="P104" s="63">
        <v>0.43014705882352944</v>
      </c>
    </row>
    <row r="105" spans="1:16" x14ac:dyDescent="0.4">
      <c r="A105" s="65">
        <v>102</v>
      </c>
      <c r="B105" s="62">
        <v>717.39999999999986</v>
      </c>
      <c r="C105" s="62">
        <v>7.0333333333333323</v>
      </c>
      <c r="D105" s="67">
        <v>1.7647058823529411</v>
      </c>
      <c r="E105" s="63">
        <v>0.48039215686274511</v>
      </c>
      <c r="F105" s="63">
        <v>0.24509803921568626</v>
      </c>
      <c r="G105" s="63">
        <v>0.33620689655172414</v>
      </c>
      <c r="H105" s="63">
        <v>0.13300492610837439</v>
      </c>
      <c r="I105" s="64">
        <v>7750.1831501831502</v>
      </c>
      <c r="J105" s="64">
        <v>-7821.2962962962965</v>
      </c>
      <c r="K105" s="63">
        <v>4.9019607843137254E-2</v>
      </c>
      <c r="L105" s="63">
        <v>0.27093596059113301</v>
      </c>
      <c r="M105" s="63">
        <v>0.22536945812807882</v>
      </c>
      <c r="N105" s="63">
        <v>0.6</v>
      </c>
      <c r="O105" s="63">
        <v>0.47540983606557374</v>
      </c>
      <c r="P105" s="63">
        <v>0.42857142857142855</v>
      </c>
    </row>
    <row r="106" spans="1:16" x14ac:dyDescent="0.4">
      <c r="A106" s="65">
        <v>103</v>
      </c>
      <c r="B106" s="62">
        <v>767.39999999999986</v>
      </c>
      <c r="C106" s="62">
        <v>7.450485436893203</v>
      </c>
      <c r="D106" s="67">
        <v>1.7572815533980584</v>
      </c>
      <c r="E106" s="63">
        <v>0.4854368932038835</v>
      </c>
      <c r="F106" s="63">
        <v>0.24271844660194175</v>
      </c>
      <c r="G106" s="63">
        <v>0.33780487804878051</v>
      </c>
      <c r="H106" s="63">
        <v>0.13170731707317074</v>
      </c>
      <c r="I106" s="64">
        <v>7788.8086642599274</v>
      </c>
      <c r="J106" s="64">
        <v>-7821.2962962962965</v>
      </c>
      <c r="K106" s="63">
        <v>4.8543689320388349E-2</v>
      </c>
      <c r="L106" s="63">
        <v>0.27317073170731709</v>
      </c>
      <c r="M106" s="63">
        <v>0.22560975609756098</v>
      </c>
      <c r="N106" s="63">
        <v>0.5982142857142857</v>
      </c>
      <c r="O106" s="63">
        <v>0.48108108108108111</v>
      </c>
      <c r="P106" s="63">
        <v>0.4296028880866426</v>
      </c>
    </row>
    <row r="107" spans="1:16" x14ac:dyDescent="0.4">
      <c r="A107" s="65">
        <v>104</v>
      </c>
      <c r="B107" s="62">
        <v>891.49999999999989</v>
      </c>
      <c r="C107" s="62">
        <v>8.5721153846153832</v>
      </c>
      <c r="D107" s="67">
        <v>1.75</v>
      </c>
      <c r="E107" s="63">
        <v>0.49038461538461536</v>
      </c>
      <c r="F107" s="63">
        <v>0.24038461538461539</v>
      </c>
      <c r="G107" s="63">
        <v>0.33898305084745761</v>
      </c>
      <c r="H107" s="63">
        <v>0.13075060532687652</v>
      </c>
      <c r="I107" s="64">
        <v>8098.5714285714284</v>
      </c>
      <c r="J107" s="64">
        <v>-7821.2962962962965</v>
      </c>
      <c r="K107" s="63">
        <v>4.807692307692308E-2</v>
      </c>
      <c r="L107" s="63">
        <v>0.27360774818401939</v>
      </c>
      <c r="M107" s="63">
        <v>0.22397094430992737</v>
      </c>
      <c r="N107" s="63">
        <v>0.59734513274336287</v>
      </c>
      <c r="O107" s="63">
        <v>0.48108108108108111</v>
      </c>
      <c r="P107" s="63">
        <v>0.42857142857142855</v>
      </c>
    </row>
    <row r="108" spans="1:16" x14ac:dyDescent="0.4">
      <c r="A108" s="65">
        <v>105</v>
      </c>
      <c r="B108" s="62">
        <v>898.49999999999989</v>
      </c>
      <c r="C108" s="62">
        <v>8.5571428571428569</v>
      </c>
      <c r="D108" s="67">
        <v>1.7523809523809524</v>
      </c>
      <c r="E108" s="63">
        <v>0.48571428571428571</v>
      </c>
      <c r="F108" s="63">
        <v>0.23809523809523808</v>
      </c>
      <c r="G108" s="63">
        <v>0.3397358943577431</v>
      </c>
      <c r="H108" s="63">
        <v>0.12965186074429771</v>
      </c>
      <c r="I108" s="64">
        <v>8104.5936395759718</v>
      </c>
      <c r="J108" s="64">
        <v>-7821.2962962962965</v>
      </c>
      <c r="K108" s="63">
        <v>4.7619047619047616E-2</v>
      </c>
      <c r="L108" s="63">
        <v>0.27370948379351739</v>
      </c>
      <c r="M108" s="63">
        <v>0.22208883553421369</v>
      </c>
      <c r="N108" s="63">
        <v>0.60087719298245612</v>
      </c>
      <c r="O108" s="63">
        <v>0.48108108108108111</v>
      </c>
      <c r="P108" s="63">
        <v>0.43109540636042404</v>
      </c>
    </row>
    <row r="109" spans="1:16" x14ac:dyDescent="0.4">
      <c r="A109" s="65">
        <v>106</v>
      </c>
      <c r="B109" s="62">
        <v>884.39999999999986</v>
      </c>
      <c r="C109" s="62">
        <v>8.3433962264150932</v>
      </c>
      <c r="D109" s="67">
        <v>1.7641509433962264</v>
      </c>
      <c r="E109" s="63">
        <v>0.48113207547169812</v>
      </c>
      <c r="F109" s="63">
        <v>0.24528301886792453</v>
      </c>
      <c r="G109" s="63">
        <v>0.33847980997624705</v>
      </c>
      <c r="H109" s="63">
        <v>0.13064133016627077</v>
      </c>
      <c r="I109" s="64">
        <v>8117.894736842105</v>
      </c>
      <c r="J109" s="64">
        <v>-7804.545454545455</v>
      </c>
      <c r="K109" s="63">
        <v>4.716981132075472E-2</v>
      </c>
      <c r="L109" s="63">
        <v>0.27197149643705465</v>
      </c>
      <c r="M109" s="63">
        <v>0.22446555819477435</v>
      </c>
      <c r="N109" s="63">
        <v>0.6026200873362445</v>
      </c>
      <c r="O109" s="63">
        <v>0.47619047619047616</v>
      </c>
      <c r="P109" s="63">
        <v>0.43508771929824563</v>
      </c>
    </row>
    <row r="110" spans="1:16" x14ac:dyDescent="0.4">
      <c r="A110" s="65">
        <v>107</v>
      </c>
      <c r="B110" s="62">
        <v>954.99999999999989</v>
      </c>
      <c r="C110" s="62">
        <v>8.9252336448598122</v>
      </c>
      <c r="D110" s="67">
        <v>1.7570093457943925</v>
      </c>
      <c r="E110" s="63">
        <v>0.48598130841121495</v>
      </c>
      <c r="F110" s="63">
        <v>0.24299065420560748</v>
      </c>
      <c r="G110" s="63">
        <v>0.3408284023668639</v>
      </c>
      <c r="H110" s="63">
        <v>0.13017751479289941</v>
      </c>
      <c r="I110" s="64">
        <v>8226.3888888888887</v>
      </c>
      <c r="J110" s="64">
        <v>-7804.545454545455</v>
      </c>
      <c r="K110" s="63">
        <v>4.6728971962616821E-2</v>
      </c>
      <c r="L110" s="63">
        <v>0.2710059171597633</v>
      </c>
      <c r="M110" s="63">
        <v>0.22603550295857988</v>
      </c>
      <c r="N110" s="63">
        <v>0.6026200873362445</v>
      </c>
      <c r="O110" s="63">
        <v>0.48167539267015708</v>
      </c>
      <c r="P110" s="63">
        <v>0.4375</v>
      </c>
    </row>
    <row r="111" spans="1:16" x14ac:dyDescent="0.4">
      <c r="A111" s="65">
        <v>108</v>
      </c>
      <c r="B111" s="62">
        <v>923.99999999999989</v>
      </c>
      <c r="C111" s="62">
        <v>8.5555555555555554</v>
      </c>
      <c r="D111" s="67">
        <v>1.7685185185185186</v>
      </c>
      <c r="E111" s="63">
        <v>0.48148148148148145</v>
      </c>
      <c r="F111" s="63">
        <v>0.25</v>
      </c>
      <c r="G111" s="63">
        <v>0.33840749414519905</v>
      </c>
      <c r="H111" s="63">
        <v>0.13114754098360656</v>
      </c>
      <c r="I111" s="64">
        <v>8260.2076124567466</v>
      </c>
      <c r="J111" s="64">
        <v>-7843.75</v>
      </c>
      <c r="K111" s="63">
        <v>4.6296296296296294E-2</v>
      </c>
      <c r="L111" s="63">
        <v>0.27166276346604218</v>
      </c>
      <c r="M111" s="63">
        <v>0.22599531615925059</v>
      </c>
      <c r="N111" s="63">
        <v>0.59482758620689657</v>
      </c>
      <c r="O111" s="63">
        <v>0.47668393782383417</v>
      </c>
      <c r="P111" s="63">
        <v>0.43598615916955019</v>
      </c>
    </row>
    <row r="112" spans="1:16" x14ac:dyDescent="0.4">
      <c r="A112" s="65">
        <v>109</v>
      </c>
      <c r="B112" s="62">
        <v>900.39999999999986</v>
      </c>
      <c r="C112" s="62">
        <v>8.2605504587155956</v>
      </c>
      <c r="D112" s="67">
        <v>1.7798165137614679</v>
      </c>
      <c r="E112" s="63">
        <v>0.47706422018348627</v>
      </c>
      <c r="F112" s="63">
        <v>0.25688073394495414</v>
      </c>
      <c r="G112" s="63">
        <v>0.33874709976798145</v>
      </c>
      <c r="H112" s="63">
        <v>0.12993039443155452</v>
      </c>
      <c r="I112" s="64">
        <v>8217.1232876712329</v>
      </c>
      <c r="J112" s="64">
        <v>-7843.75</v>
      </c>
      <c r="K112" s="63">
        <v>4.5871559633027525E-2</v>
      </c>
      <c r="L112" s="63">
        <v>0.27030162412993042</v>
      </c>
      <c r="M112" s="63">
        <v>0.22737819025522041</v>
      </c>
      <c r="N112" s="63">
        <v>0.59227467811158796</v>
      </c>
      <c r="O112" s="63">
        <v>0.47959183673469385</v>
      </c>
      <c r="P112" s="63">
        <v>0.4315068493150685</v>
      </c>
    </row>
    <row r="113" spans="1:16" x14ac:dyDescent="0.4">
      <c r="A113" s="65">
        <v>110</v>
      </c>
      <c r="B113" s="62">
        <v>903.59999999999991</v>
      </c>
      <c r="C113" s="62">
        <v>8.214545454545453</v>
      </c>
      <c r="D113" s="67">
        <v>1.7818181818181817</v>
      </c>
      <c r="E113" s="63">
        <v>0.47272727272727272</v>
      </c>
      <c r="F113" s="63">
        <v>0.25454545454545452</v>
      </c>
      <c r="G113" s="63">
        <v>0.33831990794016109</v>
      </c>
      <c r="H113" s="63">
        <v>0.13003452243958574</v>
      </c>
      <c r="I113" s="64">
        <v>8212.925170068027</v>
      </c>
      <c r="J113" s="64">
        <v>-7820.353982300885</v>
      </c>
      <c r="K113" s="63">
        <v>4.5454545454545456E-2</v>
      </c>
      <c r="L113" s="63">
        <v>0.26812428078250861</v>
      </c>
      <c r="M113" s="63">
        <v>0.22669735327963175</v>
      </c>
      <c r="N113" s="63">
        <v>0.59227467811158796</v>
      </c>
      <c r="O113" s="63">
        <v>0.48223350253807107</v>
      </c>
      <c r="P113" s="63">
        <v>0.42857142857142855</v>
      </c>
    </row>
    <row r="114" spans="1:16" x14ac:dyDescent="0.4">
      <c r="A114" s="65">
        <v>111</v>
      </c>
      <c r="B114" s="62">
        <v>915.09999999999991</v>
      </c>
      <c r="C114" s="62">
        <v>8.2441441441441441</v>
      </c>
      <c r="D114" s="67">
        <v>1.7837837837837838</v>
      </c>
      <c r="E114" s="63">
        <v>0.46846846846846846</v>
      </c>
      <c r="F114" s="63">
        <v>0.25225225225225223</v>
      </c>
      <c r="G114" s="63">
        <v>0.33823529411764708</v>
      </c>
      <c r="H114" s="63">
        <v>0.12895927601809956</v>
      </c>
      <c r="I114" s="64">
        <v>8190.635451505017</v>
      </c>
      <c r="J114" s="64">
        <v>-7785.9649122807014</v>
      </c>
      <c r="K114" s="63">
        <v>4.5045045045045043E-2</v>
      </c>
      <c r="L114" s="63">
        <v>0.26583710407239819</v>
      </c>
      <c r="M114" s="63">
        <v>0.2239819004524887</v>
      </c>
      <c r="N114" s="63">
        <v>0.5957446808510638</v>
      </c>
      <c r="O114" s="63">
        <v>0.47979797979797978</v>
      </c>
      <c r="P114" s="63">
        <v>0.42474916387959866</v>
      </c>
    </row>
    <row r="115" spans="1:16" x14ac:dyDescent="0.4">
      <c r="A115" s="65">
        <v>112</v>
      </c>
      <c r="B115" s="62">
        <v>985.69999999999993</v>
      </c>
      <c r="C115" s="62">
        <v>8.8008928571428573</v>
      </c>
      <c r="D115" s="67">
        <v>1.7767857142857142</v>
      </c>
      <c r="E115" s="63">
        <v>0.4732142857142857</v>
      </c>
      <c r="F115" s="63">
        <v>0.25</v>
      </c>
      <c r="G115" s="63">
        <v>0.34157303370786518</v>
      </c>
      <c r="H115" s="63">
        <v>0.12808988764044943</v>
      </c>
      <c r="I115" s="64">
        <v>8235.5263157894733</v>
      </c>
      <c r="J115" s="64">
        <v>-7785.9649122807014</v>
      </c>
      <c r="K115" s="63">
        <v>4.4642857142857144E-2</v>
      </c>
      <c r="L115" s="63">
        <v>0.26629213483146069</v>
      </c>
      <c r="M115" s="63">
        <v>0.2247191011235955</v>
      </c>
      <c r="N115" s="63">
        <v>0.59915611814345993</v>
      </c>
      <c r="O115" s="63">
        <v>0.48499999999999999</v>
      </c>
      <c r="P115" s="63">
        <v>0.43092105263157893</v>
      </c>
    </row>
    <row r="116" spans="1:16" x14ac:dyDescent="0.4">
      <c r="A116" s="65">
        <v>113</v>
      </c>
      <c r="B116" s="62">
        <v>991.49999999999989</v>
      </c>
      <c r="C116" s="62">
        <v>8.7743362831858391</v>
      </c>
      <c r="D116" s="67">
        <v>1.7787610619469028</v>
      </c>
      <c r="E116" s="63">
        <v>0.46902654867256638</v>
      </c>
      <c r="F116" s="63">
        <v>0.24778761061946902</v>
      </c>
      <c r="G116" s="63">
        <v>0.34298440979955458</v>
      </c>
      <c r="H116" s="63">
        <v>0.12694877505567928</v>
      </c>
      <c r="I116" s="64">
        <v>8203.5714285714294</v>
      </c>
      <c r="J116" s="64">
        <v>-7785.9649122807014</v>
      </c>
      <c r="K116" s="63">
        <v>4.4247787610619468E-2</v>
      </c>
      <c r="L116" s="63">
        <v>0.267260579064588</v>
      </c>
      <c r="M116" s="63">
        <v>0.22494432071269488</v>
      </c>
      <c r="N116" s="63">
        <v>0.60416666666666663</v>
      </c>
      <c r="O116" s="63">
        <v>0.48514851485148514</v>
      </c>
      <c r="P116" s="63">
        <v>0.42857142857142855</v>
      </c>
    </row>
    <row r="117" spans="1:16" x14ac:dyDescent="0.4">
      <c r="A117" s="65">
        <v>114</v>
      </c>
      <c r="B117" s="62">
        <v>1038.3999999999999</v>
      </c>
      <c r="C117" s="62">
        <v>9.1087719298245595</v>
      </c>
      <c r="D117" s="67">
        <v>1.7719298245614035</v>
      </c>
      <c r="E117" s="63">
        <v>0.47368421052631576</v>
      </c>
      <c r="F117" s="63">
        <v>0.24561403508771928</v>
      </c>
      <c r="G117" s="63">
        <v>0.34357848518111966</v>
      </c>
      <c r="H117" s="63">
        <v>0.12733260153677278</v>
      </c>
      <c r="I117" s="64">
        <v>8231.3099041533551</v>
      </c>
      <c r="J117" s="64">
        <v>-7766.3793103448279</v>
      </c>
      <c r="K117" s="63">
        <v>4.3859649122807015E-2</v>
      </c>
      <c r="L117" s="63">
        <v>0.26783754116355651</v>
      </c>
      <c r="M117" s="63">
        <v>0.2239297475301866</v>
      </c>
      <c r="N117" s="63">
        <v>0.60655737704918034</v>
      </c>
      <c r="O117" s="63">
        <v>0.48529411764705882</v>
      </c>
      <c r="P117" s="63">
        <v>0.43130990415335463</v>
      </c>
    </row>
    <row r="118" spans="1:16" x14ac:dyDescent="0.4">
      <c r="A118" s="65">
        <v>115</v>
      </c>
      <c r="B118" s="62">
        <v>1045.8</v>
      </c>
      <c r="C118" s="62">
        <v>9.0939130434782598</v>
      </c>
      <c r="D118" s="67">
        <v>1.7739130434782608</v>
      </c>
      <c r="E118" s="63">
        <v>0.46956521739130436</v>
      </c>
      <c r="F118" s="63">
        <v>0.24347826086956523</v>
      </c>
      <c r="G118" s="63">
        <v>0.34415584415584416</v>
      </c>
      <c r="H118" s="63">
        <v>0.12878787878787878</v>
      </c>
      <c r="I118" s="64">
        <v>8321.3836477987425</v>
      </c>
      <c r="J118" s="64">
        <v>-7973.9495798319331</v>
      </c>
      <c r="K118" s="63">
        <v>4.3478260869565216E-2</v>
      </c>
      <c r="L118" s="63">
        <v>0.27056277056277056</v>
      </c>
      <c r="M118" s="63">
        <v>0.22294372294372294</v>
      </c>
      <c r="N118" s="63">
        <v>0.60399999999999998</v>
      </c>
      <c r="O118" s="63">
        <v>0.4854368932038835</v>
      </c>
      <c r="P118" s="63">
        <v>0.4308176100628931</v>
      </c>
    </row>
    <row r="119" spans="1:16" x14ac:dyDescent="0.4">
      <c r="A119" s="65">
        <v>116</v>
      </c>
      <c r="B119" s="62">
        <v>1047.2</v>
      </c>
      <c r="C119" s="62">
        <v>9.0275862068965527</v>
      </c>
      <c r="D119" s="67">
        <v>1.7758620689655173</v>
      </c>
      <c r="E119" s="63">
        <v>0.46551724137931033</v>
      </c>
      <c r="F119" s="63">
        <v>0.2413793103448276</v>
      </c>
      <c r="G119" s="63">
        <v>0.34334763948497854</v>
      </c>
      <c r="H119" s="63">
        <v>0.12768240343347639</v>
      </c>
      <c r="I119" s="64">
        <v>8310.625</v>
      </c>
      <c r="J119" s="64">
        <v>-7973.9495798319331</v>
      </c>
      <c r="K119" s="63">
        <v>4.3103448275862072E-2</v>
      </c>
      <c r="L119" s="63">
        <v>0.27038626609442062</v>
      </c>
      <c r="M119" s="63">
        <v>0.22424892703862662</v>
      </c>
      <c r="N119" s="63">
        <v>0.60317460317460314</v>
      </c>
      <c r="O119" s="63">
        <v>0.48325358851674644</v>
      </c>
      <c r="P119" s="63">
        <v>0.42812499999999998</v>
      </c>
    </row>
    <row r="120" spans="1:16" x14ac:dyDescent="0.4">
      <c r="A120" s="65">
        <v>117</v>
      </c>
      <c r="B120" s="62">
        <v>1043.3</v>
      </c>
      <c r="C120" s="62">
        <v>8.9170940170940174</v>
      </c>
      <c r="D120" s="67">
        <v>1.7777777777777777</v>
      </c>
      <c r="E120" s="63">
        <v>0.46153846153846156</v>
      </c>
      <c r="F120" s="63">
        <v>0.23931623931623933</v>
      </c>
      <c r="G120" s="63">
        <v>0.34358430540827145</v>
      </c>
      <c r="H120" s="63">
        <v>0.12831389183457051</v>
      </c>
      <c r="I120" s="64">
        <v>8296.6049382716046</v>
      </c>
      <c r="J120" s="64">
        <v>-7973.5537190082641</v>
      </c>
      <c r="K120" s="63">
        <v>4.2735042735042736E-2</v>
      </c>
      <c r="L120" s="63">
        <v>0.26723223753976671</v>
      </c>
      <c r="M120" s="63">
        <v>0.22481442205726404</v>
      </c>
      <c r="N120" s="63">
        <v>0.60317460317460314</v>
      </c>
      <c r="O120" s="63">
        <v>0.48584905660377359</v>
      </c>
      <c r="P120" s="63">
        <v>0.42592592592592593</v>
      </c>
    </row>
    <row r="121" spans="1:16" x14ac:dyDescent="0.4">
      <c r="A121" s="65">
        <v>118</v>
      </c>
      <c r="B121" s="62">
        <v>1060.0999999999999</v>
      </c>
      <c r="C121" s="62">
        <v>8.983898305084745</v>
      </c>
      <c r="D121" s="67">
        <v>1.771186440677966</v>
      </c>
      <c r="E121" s="63">
        <v>0.46610169491525422</v>
      </c>
      <c r="F121" s="63">
        <v>0.23728813559322035</v>
      </c>
      <c r="G121" s="63">
        <v>0.34351949420442573</v>
      </c>
      <c r="H121" s="63">
        <v>0.12855637513171761</v>
      </c>
      <c r="I121" s="64">
        <v>8285.5828220858893</v>
      </c>
      <c r="J121" s="64">
        <v>-7950.8196721311479</v>
      </c>
      <c r="K121" s="63">
        <v>4.2372881355932202E-2</v>
      </c>
      <c r="L121" s="63">
        <v>0.26765015806111697</v>
      </c>
      <c r="M121" s="63">
        <v>0.22444678609062171</v>
      </c>
      <c r="N121" s="63">
        <v>0.60236220472440949</v>
      </c>
      <c r="O121" s="63">
        <v>0.48826291079812206</v>
      </c>
      <c r="P121" s="63">
        <v>0.42638036809815949</v>
      </c>
    </row>
    <row r="122" spans="1:16" x14ac:dyDescent="0.4">
      <c r="A122" s="65">
        <v>119</v>
      </c>
      <c r="B122" s="62">
        <v>1067.8</v>
      </c>
      <c r="C122" s="62">
        <v>8.9731092436974791</v>
      </c>
      <c r="D122" s="67">
        <v>1.7731092436974789</v>
      </c>
      <c r="E122" s="63">
        <v>0.46218487394957986</v>
      </c>
      <c r="F122" s="63">
        <v>0.23529411764705882</v>
      </c>
      <c r="G122" s="63">
        <v>0.34309623430962344</v>
      </c>
      <c r="H122" s="63">
        <v>0.12761506276150628</v>
      </c>
      <c r="I122" s="64">
        <v>8316.1585365853662</v>
      </c>
      <c r="J122" s="64">
        <v>-7950.8196721311479</v>
      </c>
      <c r="K122" s="63">
        <v>4.2016806722689079E-2</v>
      </c>
      <c r="L122" s="63">
        <v>0.26882845188284521</v>
      </c>
      <c r="M122" s="63">
        <v>0.22280334728033474</v>
      </c>
      <c r="N122" s="63">
        <v>0.59922178988326846</v>
      </c>
      <c r="O122" s="63">
        <v>0.48826291079812206</v>
      </c>
      <c r="P122" s="63">
        <v>0.42378048780487804</v>
      </c>
    </row>
    <row r="123" spans="1:16" x14ac:dyDescent="0.4">
      <c r="A123" s="65">
        <v>120</v>
      </c>
      <c r="B123" s="62">
        <v>1027</v>
      </c>
      <c r="C123" s="62">
        <v>8.5583333333333336</v>
      </c>
      <c r="D123" s="67">
        <v>1.7833333333333334</v>
      </c>
      <c r="E123" s="63">
        <v>0.45833333333333331</v>
      </c>
      <c r="F123" s="63">
        <v>0.24166666666666667</v>
      </c>
      <c r="G123" s="63">
        <v>0.34024896265560167</v>
      </c>
      <c r="H123" s="63">
        <v>0.12863070539419086</v>
      </c>
      <c r="I123" s="64">
        <v>8316.1585365853662</v>
      </c>
      <c r="J123" s="64">
        <v>-7935.4838709677415</v>
      </c>
      <c r="K123" s="63">
        <v>4.1666666666666664E-2</v>
      </c>
      <c r="L123" s="63">
        <v>0.26867219917012447</v>
      </c>
      <c r="M123" s="63">
        <v>0.22199170124481327</v>
      </c>
      <c r="N123" s="63">
        <v>0.59459459459459463</v>
      </c>
      <c r="O123" s="63">
        <v>0.48598130841121495</v>
      </c>
      <c r="P123" s="63">
        <v>0.42378048780487804</v>
      </c>
    </row>
    <row r="124" spans="1:16" x14ac:dyDescent="0.4">
      <c r="A124" s="65">
        <v>121</v>
      </c>
      <c r="B124" s="62">
        <v>1070.7</v>
      </c>
      <c r="C124" s="62">
        <v>8.8487603305785125</v>
      </c>
      <c r="D124" s="67">
        <v>1.7768595041322315</v>
      </c>
      <c r="E124" s="63">
        <v>0.46280991735537191</v>
      </c>
      <c r="F124" s="63">
        <v>0.23966942148760331</v>
      </c>
      <c r="G124" s="63">
        <v>0.3432682425488181</v>
      </c>
      <c r="H124" s="63">
        <v>0.12949640287769784</v>
      </c>
      <c r="I124" s="64">
        <v>8312.8742514970054</v>
      </c>
      <c r="J124" s="64">
        <v>-7901.5873015873012</v>
      </c>
      <c r="K124" s="63">
        <v>4.1322314049586778E-2</v>
      </c>
      <c r="L124" s="63">
        <v>0.27132579650565264</v>
      </c>
      <c r="M124" s="63">
        <v>0.22096608427543679</v>
      </c>
      <c r="N124" s="63">
        <v>0.59848484848484851</v>
      </c>
      <c r="O124" s="63">
        <v>0.48837209302325579</v>
      </c>
      <c r="P124" s="63">
        <v>0.42814371257485029</v>
      </c>
    </row>
    <row r="125" spans="1:16" x14ac:dyDescent="0.4">
      <c r="A125" s="65">
        <v>122</v>
      </c>
      <c r="B125" s="62">
        <v>1071.8</v>
      </c>
      <c r="C125" s="62">
        <v>8.7852459016393443</v>
      </c>
      <c r="D125" s="67">
        <v>1.778688524590164</v>
      </c>
      <c r="E125" s="63">
        <v>0.45901639344262296</v>
      </c>
      <c r="F125" s="63">
        <v>0.23770491803278687</v>
      </c>
      <c r="G125" s="63">
        <v>0.34282807731434384</v>
      </c>
      <c r="H125" s="63">
        <v>0.12919633774160733</v>
      </c>
      <c r="I125" s="64">
        <v>8289.0207715133529</v>
      </c>
      <c r="J125" s="64">
        <v>-7880.3149606299212</v>
      </c>
      <c r="K125" s="63">
        <v>4.0983606557377046E-2</v>
      </c>
      <c r="L125" s="63">
        <v>0.27060020345879959</v>
      </c>
      <c r="M125" s="63">
        <v>0.22380467955239064</v>
      </c>
      <c r="N125" s="63">
        <v>0.59774436090225569</v>
      </c>
      <c r="O125" s="63">
        <v>0.48636363636363639</v>
      </c>
      <c r="P125" s="63">
        <v>0.42433234421364985</v>
      </c>
    </row>
    <row r="126" spans="1:16" x14ac:dyDescent="0.4">
      <c r="A126" s="65">
        <v>123</v>
      </c>
      <c r="B126" s="62">
        <v>1110.2</v>
      </c>
      <c r="C126" s="62">
        <v>9.0260162601626028</v>
      </c>
      <c r="D126" s="67">
        <v>1.7723577235772359</v>
      </c>
      <c r="E126" s="63">
        <v>0.46341463414634149</v>
      </c>
      <c r="F126" s="63">
        <v>0.23577235772357724</v>
      </c>
      <c r="G126" s="63">
        <v>0.34510595358224017</v>
      </c>
      <c r="H126" s="63">
        <v>0.12815338042381433</v>
      </c>
      <c r="I126" s="64">
        <v>8267.8362573099421</v>
      </c>
      <c r="J126" s="64">
        <v>-7880.3149606299212</v>
      </c>
      <c r="K126" s="63">
        <v>4.065040650406504E-2</v>
      </c>
      <c r="L126" s="63">
        <v>0.27144298688193741</v>
      </c>
      <c r="M126" s="63">
        <v>0.22401614530776992</v>
      </c>
      <c r="N126" s="63">
        <v>0.60223048327137552</v>
      </c>
      <c r="O126" s="63">
        <v>0.48648648648648651</v>
      </c>
      <c r="P126" s="63">
        <v>0.41812865497076024</v>
      </c>
    </row>
    <row r="127" spans="1:16" x14ac:dyDescent="0.4">
      <c r="A127" s="65">
        <v>124</v>
      </c>
      <c r="B127" s="62">
        <v>1077.4000000000001</v>
      </c>
      <c r="C127" s="62">
        <v>8.6887096774193555</v>
      </c>
      <c r="D127" s="67">
        <v>1.782258064516129</v>
      </c>
      <c r="E127" s="63">
        <v>0.45967741935483869</v>
      </c>
      <c r="F127" s="63">
        <v>0.24193548387096775</v>
      </c>
      <c r="G127" s="63">
        <v>0.34302908726178538</v>
      </c>
      <c r="H127" s="63">
        <v>0.1283851554663992</v>
      </c>
      <c r="I127" s="64">
        <v>8267.8362573099421</v>
      </c>
      <c r="J127" s="64">
        <v>-7943.75</v>
      </c>
      <c r="K127" s="63">
        <v>4.0322580645161289E-2</v>
      </c>
      <c r="L127" s="63">
        <v>0.27081243731193583</v>
      </c>
      <c r="M127" s="63">
        <v>0.22668004012036108</v>
      </c>
      <c r="N127" s="63">
        <v>0.6</v>
      </c>
      <c r="O127" s="63">
        <v>0.47787610619469029</v>
      </c>
      <c r="P127" s="63">
        <v>0.41812865497076024</v>
      </c>
    </row>
    <row r="128" spans="1:16" x14ac:dyDescent="0.4">
      <c r="A128" s="65">
        <v>125</v>
      </c>
      <c r="B128" s="62">
        <v>1103.7</v>
      </c>
      <c r="C128" s="62">
        <v>8.829600000000001</v>
      </c>
      <c r="D128" s="67">
        <v>1.776</v>
      </c>
      <c r="E128" s="63">
        <v>0.46400000000000002</v>
      </c>
      <c r="F128" s="63">
        <v>0.24</v>
      </c>
      <c r="G128" s="63">
        <v>0.34260178748758691</v>
      </c>
      <c r="H128" s="63">
        <v>0.13008937437934459</v>
      </c>
      <c r="I128" s="64">
        <v>8276.5217391304341</v>
      </c>
      <c r="J128" s="64">
        <v>-7885.4961832061072</v>
      </c>
      <c r="K128" s="63">
        <v>0.04</v>
      </c>
      <c r="L128" s="63">
        <v>0.27110228401191661</v>
      </c>
      <c r="M128" s="63">
        <v>0.22740814299900694</v>
      </c>
      <c r="N128" s="63">
        <v>0.60073260073260071</v>
      </c>
      <c r="O128" s="63">
        <v>0.4759825327510917</v>
      </c>
      <c r="P128" s="63">
        <v>0.41739130434782606</v>
      </c>
    </row>
    <row r="129" spans="1:16" x14ac:dyDescent="0.4">
      <c r="A129" s="65">
        <v>126</v>
      </c>
      <c r="B129" s="62">
        <v>1125.2</v>
      </c>
      <c r="C129" s="62">
        <v>8.9301587301587304</v>
      </c>
      <c r="D129" s="67">
        <v>1.7698412698412698</v>
      </c>
      <c r="E129" s="63">
        <v>0.46825396825396826</v>
      </c>
      <c r="F129" s="63">
        <v>0.23809523809523808</v>
      </c>
      <c r="G129" s="63">
        <v>0.34184675834970529</v>
      </c>
      <c r="H129" s="63">
        <v>0.13064833005893908</v>
      </c>
      <c r="I129" s="64">
        <v>8269.8275862068967</v>
      </c>
      <c r="J129" s="64">
        <v>-7803.7593984962405</v>
      </c>
      <c r="K129" s="63">
        <v>3.968253968253968E-2</v>
      </c>
      <c r="L129" s="63">
        <v>0.27013752455795675</v>
      </c>
      <c r="M129" s="63">
        <v>0.22888015717092339</v>
      </c>
      <c r="N129" s="63">
        <v>0.6</v>
      </c>
      <c r="O129" s="63">
        <v>0.47210300429184548</v>
      </c>
      <c r="P129" s="63">
        <v>0.41954022988505746</v>
      </c>
    </row>
    <row r="130" spans="1:16" x14ac:dyDescent="0.4">
      <c r="A130" s="65">
        <v>127</v>
      </c>
      <c r="B130" s="62">
        <v>1116.5</v>
      </c>
      <c r="C130" s="62">
        <v>8.7913385826771648</v>
      </c>
      <c r="D130" s="67">
        <v>1.7716535433070866</v>
      </c>
      <c r="E130" s="63">
        <v>0.46456692913385828</v>
      </c>
      <c r="F130" s="63">
        <v>0.23622047244094488</v>
      </c>
      <c r="G130" s="63">
        <v>0.34274586173320348</v>
      </c>
      <c r="H130" s="63">
        <v>0.12950340798442064</v>
      </c>
      <c r="I130" s="64">
        <v>8219.318181818182</v>
      </c>
      <c r="J130" s="64">
        <v>-7803.7593984962405</v>
      </c>
      <c r="K130" s="63">
        <v>3.937007874015748E-2</v>
      </c>
      <c r="L130" s="63">
        <v>0.26971762414800388</v>
      </c>
      <c r="M130" s="63">
        <v>0.22979552093476144</v>
      </c>
      <c r="N130" s="63">
        <v>0.6028880866425993</v>
      </c>
      <c r="O130" s="63">
        <v>0.47457627118644069</v>
      </c>
      <c r="P130" s="63">
        <v>0.42329545454545453</v>
      </c>
    </row>
    <row r="131" spans="1:16" x14ac:dyDescent="0.4">
      <c r="A131" s="65">
        <v>128</v>
      </c>
      <c r="B131" s="62">
        <v>1093.9000000000001</v>
      </c>
      <c r="C131" s="62">
        <v>8.5460937500000007</v>
      </c>
      <c r="D131" s="67">
        <v>1.78125</v>
      </c>
      <c r="E131" s="63">
        <v>0.4609375</v>
      </c>
      <c r="F131" s="63">
        <v>0.2421875</v>
      </c>
      <c r="G131" s="63">
        <v>0.34200385356454721</v>
      </c>
      <c r="H131" s="63">
        <v>0.13005780346820808</v>
      </c>
      <c r="I131" s="64">
        <v>8203.6619718309867</v>
      </c>
      <c r="J131" s="64">
        <v>-7776.2962962962965</v>
      </c>
      <c r="K131" s="63">
        <v>3.90625E-2</v>
      </c>
      <c r="L131" s="63">
        <v>0.27167630057803466</v>
      </c>
      <c r="M131" s="63">
        <v>0.22832369942196531</v>
      </c>
      <c r="N131" s="63">
        <v>0.5957446808510638</v>
      </c>
      <c r="O131" s="63">
        <v>0.47679324894514769</v>
      </c>
      <c r="P131" s="63">
        <v>0.42535211267605633</v>
      </c>
    </row>
    <row r="132" spans="1:16" x14ac:dyDescent="0.4">
      <c r="A132" s="65">
        <v>129</v>
      </c>
      <c r="B132" s="62">
        <v>1098.6000000000001</v>
      </c>
      <c r="C132" s="62">
        <v>8.5162790697674424</v>
      </c>
      <c r="D132" s="67">
        <v>1.7829457364341086</v>
      </c>
      <c r="E132" s="63">
        <v>0.4573643410852713</v>
      </c>
      <c r="F132" s="63">
        <v>0.24031007751937986</v>
      </c>
      <c r="G132" s="63">
        <v>0.34291187739463602</v>
      </c>
      <c r="H132" s="63">
        <v>0.13026819923371646</v>
      </c>
      <c r="I132" s="64">
        <v>8222.0670391061449</v>
      </c>
      <c r="J132" s="64">
        <v>-7851.4705882352937</v>
      </c>
      <c r="K132" s="63">
        <v>3.875968992248062E-2</v>
      </c>
      <c r="L132" s="63">
        <v>0.27203065134099619</v>
      </c>
      <c r="M132" s="63">
        <v>0.22796934865900384</v>
      </c>
      <c r="N132" s="63">
        <v>0.59507042253521125</v>
      </c>
      <c r="O132" s="63">
        <v>0.47899159663865548</v>
      </c>
      <c r="P132" s="63">
        <v>0.42737430167597767</v>
      </c>
    </row>
    <row r="133" spans="1:16" x14ac:dyDescent="0.4">
      <c r="A133" s="65">
        <v>130</v>
      </c>
      <c r="B133" s="62">
        <v>1120.8000000000002</v>
      </c>
      <c r="C133" s="62">
        <v>8.6215384615384636</v>
      </c>
      <c r="D133" s="67">
        <v>1.7769230769230768</v>
      </c>
      <c r="E133" s="63">
        <v>0.46153846153846156</v>
      </c>
      <c r="F133" s="63">
        <v>0.23846153846153847</v>
      </c>
      <c r="G133" s="63">
        <v>0.34315589353612169</v>
      </c>
      <c r="H133" s="63">
        <v>0.13117870722433461</v>
      </c>
      <c r="I133" s="64">
        <v>8230.4709141274234</v>
      </c>
      <c r="J133" s="64">
        <v>-7853.623188405797</v>
      </c>
      <c r="K133" s="63">
        <v>3.8461538461538464E-2</v>
      </c>
      <c r="L133" s="63">
        <v>0.27281368821292773</v>
      </c>
      <c r="M133" s="63">
        <v>0.22718631178707224</v>
      </c>
      <c r="N133" s="63">
        <v>0.59233449477351918</v>
      </c>
      <c r="O133" s="63">
        <v>0.48117154811715479</v>
      </c>
      <c r="P133" s="63">
        <v>0.4265927977839335</v>
      </c>
    </row>
    <row r="134" spans="1:16" x14ac:dyDescent="0.4">
      <c r="A134" s="65">
        <v>131</v>
      </c>
      <c r="B134" s="62">
        <v>1072.3000000000002</v>
      </c>
      <c r="C134" s="62">
        <v>8.1854961832061086</v>
      </c>
      <c r="D134" s="67">
        <v>1.7862595419847329</v>
      </c>
      <c r="E134" s="63">
        <v>0.4580152671755725</v>
      </c>
      <c r="F134" s="63">
        <v>0.24427480916030533</v>
      </c>
      <c r="G134" s="63">
        <v>0.34118755890669178</v>
      </c>
      <c r="H134" s="63">
        <v>0.13100848256361922</v>
      </c>
      <c r="I134" s="64">
        <v>8216.5745856353587</v>
      </c>
      <c r="J134" s="64">
        <v>-7852.517985611511</v>
      </c>
      <c r="K134" s="63">
        <v>4.5801526717557252E-2</v>
      </c>
      <c r="L134" s="63">
        <v>0.27238454288407166</v>
      </c>
      <c r="M134" s="63">
        <v>0.22525918944392084</v>
      </c>
      <c r="N134" s="63">
        <v>0.59169550173010377</v>
      </c>
      <c r="O134" s="63">
        <v>0.48117154811715479</v>
      </c>
      <c r="P134" s="63">
        <v>0.425414364640884</v>
      </c>
    </row>
    <row r="135" spans="1:16" x14ac:dyDescent="0.4">
      <c r="A135" s="65">
        <v>132</v>
      </c>
      <c r="B135" s="62">
        <v>1138.5000000000002</v>
      </c>
      <c r="C135" s="62">
        <v>8.6250000000000018</v>
      </c>
      <c r="D135" s="67">
        <v>1.7803030303030303</v>
      </c>
      <c r="E135" s="63">
        <v>0.4621212121212121</v>
      </c>
      <c r="F135" s="63">
        <v>0.24242424242424243</v>
      </c>
      <c r="G135" s="63">
        <v>0.34299065420560748</v>
      </c>
      <c r="H135" s="63">
        <v>0.13177570093457944</v>
      </c>
      <c r="I135" s="64">
        <v>8279.0190735694814</v>
      </c>
      <c r="J135" s="64">
        <v>-7792.9078014184397</v>
      </c>
      <c r="K135" s="63">
        <v>4.5454545454545456E-2</v>
      </c>
      <c r="L135" s="63">
        <v>0.27102803738317754</v>
      </c>
      <c r="M135" s="63">
        <v>0.22429906542056074</v>
      </c>
      <c r="N135" s="63">
        <v>0.59310344827586203</v>
      </c>
      <c r="O135" s="63">
        <v>0.48333333333333334</v>
      </c>
      <c r="P135" s="63">
        <v>0.42506811989100818</v>
      </c>
    </row>
    <row r="136" spans="1:16" x14ac:dyDescent="0.4">
      <c r="A136" s="65">
        <v>133</v>
      </c>
      <c r="B136" s="62">
        <v>1192.7000000000003</v>
      </c>
      <c r="C136" s="62">
        <v>8.9676691729323323</v>
      </c>
      <c r="D136" s="67">
        <v>1.7744360902255638</v>
      </c>
      <c r="E136" s="63">
        <v>0.46616541353383456</v>
      </c>
      <c r="F136" s="63">
        <v>0.24060150375939848</v>
      </c>
      <c r="G136" s="63">
        <v>0.34508348794063082</v>
      </c>
      <c r="H136" s="63">
        <v>0.13079777365491652</v>
      </c>
      <c r="I136" s="64">
        <v>8283.8709677419356</v>
      </c>
      <c r="J136" s="64">
        <v>-7792.9078014184397</v>
      </c>
      <c r="K136" s="63">
        <v>4.5112781954887216E-2</v>
      </c>
      <c r="L136" s="63">
        <v>0.27272727272727271</v>
      </c>
      <c r="M136" s="63">
        <v>0.22356215213358072</v>
      </c>
      <c r="N136" s="63">
        <v>0.59863945578231292</v>
      </c>
      <c r="O136" s="63">
        <v>0.48132780082987553</v>
      </c>
      <c r="P136" s="63">
        <v>0.42741935483870969</v>
      </c>
    </row>
    <row r="137" spans="1:16" x14ac:dyDescent="0.4">
      <c r="A137" s="65">
        <v>134</v>
      </c>
      <c r="B137" s="62">
        <v>1208.4000000000003</v>
      </c>
      <c r="C137" s="62">
        <v>9.0179104477611958</v>
      </c>
      <c r="D137" s="67">
        <v>1.7686567164179106</v>
      </c>
      <c r="E137" s="63">
        <v>0.47014925373134331</v>
      </c>
      <c r="F137" s="63">
        <v>0.23880597014925373</v>
      </c>
      <c r="G137" s="63">
        <v>0.34466911764705882</v>
      </c>
      <c r="H137" s="63">
        <v>0.12959558823529413</v>
      </c>
      <c r="I137" s="64">
        <v>8265.8666666666668</v>
      </c>
      <c r="J137" s="64">
        <v>-7792.9078014184397</v>
      </c>
      <c r="K137" s="63">
        <v>4.4776119402985072E-2</v>
      </c>
      <c r="L137" s="63">
        <v>0.27205882352941174</v>
      </c>
      <c r="M137" s="63">
        <v>0.22242647058823528</v>
      </c>
      <c r="N137" s="63">
        <v>0.60135135135135132</v>
      </c>
      <c r="O137" s="63">
        <v>0.47933884297520662</v>
      </c>
      <c r="P137" s="63">
        <v>0.42666666666666669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E230C-B129-4726-8FD7-D5227F0092BE}">
  <sheetPr codeName="Sheet8"/>
  <dimension ref="A1:Q5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EC0B-9C31-4935-A3EE-221389A85070}">
  <sheetPr codeName="Sheet6"/>
  <dimension ref="A1:Q21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">
      <c r="A99" s="65">
        <v>96</v>
      </c>
      <c r="B99" s="62">
        <v>-1.4210854715202004E-14</v>
      </c>
      <c r="C99" s="62">
        <v>-4.9343245538895844E-17</v>
      </c>
      <c r="D99" s="67">
        <v>1.9895833333333333</v>
      </c>
      <c r="E99" s="63">
        <v>0.34027777777777779</v>
      </c>
      <c r="F99" s="63">
        <v>0.3298611111111111</v>
      </c>
      <c r="G99" s="63">
        <v>0.29245680573114202</v>
      </c>
      <c r="H99" s="63">
        <v>0.17067003792667509</v>
      </c>
      <c r="I99" s="64">
        <v>8189.9135446685877</v>
      </c>
      <c r="J99" s="64">
        <v>-7661.7283950617284</v>
      </c>
      <c r="K99" s="63">
        <v>0.1076388888888889</v>
      </c>
      <c r="L99" s="63">
        <v>0.24441635061104089</v>
      </c>
      <c r="M99" s="63">
        <v>0.24652338811630847</v>
      </c>
      <c r="N99" s="63">
        <v>0.55172413793103448</v>
      </c>
      <c r="O99" s="63">
        <v>0.41709401709401711</v>
      </c>
      <c r="P99" s="63">
        <v>0.41354466858789624</v>
      </c>
    </row>
    <row r="100" spans="1:16" x14ac:dyDescent="0.4">
      <c r="A100" s="65">
        <v>97</v>
      </c>
      <c r="B100" s="62">
        <v>-1.4210854715202004E-14</v>
      </c>
      <c r="C100" s="62">
        <v>-4.8834552285917538E-17</v>
      </c>
      <c r="D100" s="67">
        <v>1.9896907216494846</v>
      </c>
      <c r="E100" s="63">
        <v>0.34020618556701032</v>
      </c>
      <c r="F100" s="63">
        <v>0.32989690721649484</v>
      </c>
      <c r="G100" s="63">
        <v>0.29171868497711195</v>
      </c>
      <c r="H100" s="63">
        <v>0.17103620474406991</v>
      </c>
      <c r="I100" s="64">
        <v>8201.5691868758913</v>
      </c>
      <c r="J100" s="64">
        <v>-7680.048661800487</v>
      </c>
      <c r="K100" s="63">
        <v>0.10652920962199312</v>
      </c>
      <c r="L100" s="63">
        <v>0.24427798585101956</v>
      </c>
      <c r="M100" s="63">
        <v>0.2459425717852684</v>
      </c>
      <c r="N100" s="63">
        <v>0.55025553662691651</v>
      </c>
      <c r="O100" s="63">
        <v>0.41624365482233505</v>
      </c>
      <c r="P100" s="63">
        <v>0.41084165477888729</v>
      </c>
    </row>
    <row r="101" spans="1:16" x14ac:dyDescent="0.4">
      <c r="A101" s="65">
        <v>98</v>
      </c>
      <c r="B101" s="62">
        <v>-1.4210854715202004E-14</v>
      </c>
      <c r="C101" s="62">
        <v>-4.833624052789797E-17</v>
      </c>
      <c r="D101" s="67">
        <v>1.989795918367347</v>
      </c>
      <c r="E101" s="63">
        <v>0.3401360544217687</v>
      </c>
      <c r="F101" s="63">
        <v>0.32993197278911562</v>
      </c>
      <c r="G101" s="63">
        <v>0.29166666666666669</v>
      </c>
      <c r="H101" s="63">
        <v>0.17120462046204621</v>
      </c>
      <c r="I101" s="64">
        <v>8186.9872701555869</v>
      </c>
      <c r="J101" s="64">
        <v>-7658.0722891566265</v>
      </c>
      <c r="K101" s="63">
        <v>0.10544217687074831</v>
      </c>
      <c r="L101" s="63">
        <v>0.24381188118811881</v>
      </c>
      <c r="M101" s="63">
        <v>0.24628712871287128</v>
      </c>
      <c r="N101" s="63">
        <v>0.54991539763113362</v>
      </c>
      <c r="O101" s="63">
        <v>0.41708542713567837</v>
      </c>
      <c r="P101" s="63">
        <v>0.41018387553041019</v>
      </c>
    </row>
    <row r="102" spans="1:16" x14ac:dyDescent="0.4">
      <c r="A102" s="65">
        <v>99</v>
      </c>
      <c r="B102" s="62">
        <v>-1.7763568394002505E-14</v>
      </c>
      <c r="C102" s="62">
        <v>-5.9809994592601025E-17</v>
      </c>
      <c r="D102" s="67">
        <v>1.9898989898989898</v>
      </c>
      <c r="E102" s="63">
        <v>0.34006734006734007</v>
      </c>
      <c r="F102" s="63">
        <v>0.32996632996632996</v>
      </c>
      <c r="G102" s="63">
        <v>0.29161554192229039</v>
      </c>
      <c r="H102" s="63">
        <v>0.17137014314928425</v>
      </c>
      <c r="I102" s="64">
        <v>8184.1514726507712</v>
      </c>
      <c r="J102" s="64">
        <v>-7673.7470167064439</v>
      </c>
      <c r="K102" s="63">
        <v>0.10437710437710437</v>
      </c>
      <c r="L102" s="63">
        <v>0.24335378323108384</v>
      </c>
      <c r="M102" s="63">
        <v>0.24498977505112474</v>
      </c>
      <c r="N102" s="63">
        <v>0.55294117647058827</v>
      </c>
      <c r="O102" s="63">
        <v>0.41736227045075125</v>
      </c>
      <c r="P102" s="63">
        <v>0.40953716690042075</v>
      </c>
    </row>
    <row r="103" spans="1:16" x14ac:dyDescent="0.4">
      <c r="A103" s="65">
        <v>100</v>
      </c>
      <c r="B103" s="62">
        <v>-1.7763568394002505E-14</v>
      </c>
      <c r="C103" s="62">
        <v>-5.9211894646675015E-17</v>
      </c>
      <c r="D103" s="67">
        <v>1.99</v>
      </c>
      <c r="E103" s="63">
        <v>0.34</v>
      </c>
      <c r="F103" s="63">
        <v>0.33</v>
      </c>
      <c r="G103" s="63">
        <v>0.29197080291970801</v>
      </c>
      <c r="H103" s="63">
        <v>0.17193836171938362</v>
      </c>
      <c r="I103" s="64">
        <v>8160.416666666667</v>
      </c>
      <c r="J103" s="64">
        <v>-7644.8113207547167</v>
      </c>
      <c r="K103" s="63">
        <v>0.10333333333333333</v>
      </c>
      <c r="L103" s="63">
        <v>0.24371451743714517</v>
      </c>
      <c r="M103" s="63">
        <v>0.24452554744525548</v>
      </c>
      <c r="N103" s="63">
        <v>0.55574043261231276</v>
      </c>
      <c r="O103" s="63">
        <v>0.41791044776119401</v>
      </c>
      <c r="P103" s="63">
        <v>0.40833333333333333</v>
      </c>
    </row>
    <row r="104" spans="1:16" x14ac:dyDescent="0.4">
      <c r="A104" s="65">
        <v>101</v>
      </c>
      <c r="B104" s="62">
        <v>-1.7763568394002505E-14</v>
      </c>
      <c r="C104" s="62">
        <v>-5.8625638264034663E-17</v>
      </c>
      <c r="D104" s="67">
        <v>1.9900990099009901</v>
      </c>
      <c r="E104" s="63">
        <v>0.33993399339933994</v>
      </c>
      <c r="F104" s="63">
        <v>0.33003300330033003</v>
      </c>
      <c r="G104" s="63">
        <v>0.29201764941837144</v>
      </c>
      <c r="H104" s="63">
        <v>0.1712795828319294</v>
      </c>
      <c r="I104" s="64">
        <v>8208.5164835164833</v>
      </c>
      <c r="J104" s="64">
        <v>-7697.6580796252929</v>
      </c>
      <c r="K104" s="63">
        <v>0.10231023102310231</v>
      </c>
      <c r="L104" s="63">
        <v>0.2438828720417168</v>
      </c>
      <c r="M104" s="63">
        <v>0.24428399518652227</v>
      </c>
      <c r="N104" s="63">
        <v>0.55756578947368418</v>
      </c>
      <c r="O104" s="63">
        <v>0.4154351395730706</v>
      </c>
      <c r="P104" s="63">
        <v>0.4107142857142857</v>
      </c>
    </row>
    <row r="105" spans="1:16" x14ac:dyDescent="0.4">
      <c r="A105" s="65">
        <v>102</v>
      </c>
      <c r="B105" s="62">
        <v>-1.7763568394002505E-14</v>
      </c>
      <c r="C105" s="62">
        <v>-5.8050877104583352E-17</v>
      </c>
      <c r="D105" s="67">
        <v>1.9901960784313726</v>
      </c>
      <c r="E105" s="63">
        <v>0.33986928104575165</v>
      </c>
      <c r="F105" s="63">
        <v>0.33006535947712418</v>
      </c>
      <c r="G105" s="63">
        <v>0.29236276849642007</v>
      </c>
      <c r="H105" s="63">
        <v>0.17064439140811455</v>
      </c>
      <c r="I105" s="64">
        <v>8195.2380952380954</v>
      </c>
      <c r="J105" s="64">
        <v>-7684.1491841491843</v>
      </c>
      <c r="K105" s="63">
        <v>0.10130718954248366</v>
      </c>
      <c r="L105" s="63">
        <v>0.24502784407319014</v>
      </c>
      <c r="M105" s="63">
        <v>0.24343675417661098</v>
      </c>
      <c r="N105" s="63">
        <v>0.55681818181818177</v>
      </c>
      <c r="O105" s="63">
        <v>0.41666666666666669</v>
      </c>
      <c r="P105" s="63">
        <v>0.41360544217687073</v>
      </c>
    </row>
    <row r="106" spans="1:16" x14ac:dyDescent="0.4">
      <c r="A106" s="65">
        <v>103</v>
      </c>
      <c r="B106" s="62">
        <v>-1.7763568394002505E-14</v>
      </c>
      <c r="C106" s="62">
        <v>-5.7487276355995156E-17</v>
      </c>
      <c r="D106" s="67">
        <v>1.9902912621359223</v>
      </c>
      <c r="E106" s="63">
        <v>0.33980582524271846</v>
      </c>
      <c r="F106" s="63">
        <v>0.3300970873786408</v>
      </c>
      <c r="G106" s="63">
        <v>0.29235618597320723</v>
      </c>
      <c r="H106" s="63">
        <v>0.17060677698975571</v>
      </c>
      <c r="I106" s="64">
        <v>8177.8975741239892</v>
      </c>
      <c r="J106" s="64">
        <v>-7651.9630484988456</v>
      </c>
      <c r="K106" s="63">
        <v>0.10032362459546926</v>
      </c>
      <c r="L106" s="63">
        <v>0.24507486209613868</v>
      </c>
      <c r="M106" s="63">
        <v>0.24310480693459416</v>
      </c>
      <c r="N106" s="63">
        <v>0.55787781350482313</v>
      </c>
      <c r="O106" s="63">
        <v>0.41653160453808752</v>
      </c>
      <c r="P106" s="63">
        <v>0.4137466307277628</v>
      </c>
    </row>
    <row r="107" spans="1:16" x14ac:dyDescent="0.4">
      <c r="A107" s="65">
        <v>104</v>
      </c>
      <c r="B107" s="62">
        <v>-1.7763568394002505E-14</v>
      </c>
      <c r="C107" s="62">
        <v>-5.6934514083341356E-17</v>
      </c>
      <c r="D107" s="67">
        <v>1.9903846153846154</v>
      </c>
      <c r="E107" s="63">
        <v>0.33974358974358976</v>
      </c>
      <c r="F107" s="63">
        <v>0.33012820512820512</v>
      </c>
      <c r="G107" s="63">
        <v>0.29220524872698783</v>
      </c>
      <c r="H107" s="63">
        <v>0.17038777908343125</v>
      </c>
      <c r="I107" s="64">
        <v>8200.6702412868635</v>
      </c>
      <c r="J107" s="64">
        <v>-7662.0689655172409</v>
      </c>
      <c r="K107" s="63">
        <v>0.10256410256410256</v>
      </c>
      <c r="L107" s="63">
        <v>0.24598511555033295</v>
      </c>
      <c r="M107" s="63">
        <v>0.24206815511163338</v>
      </c>
      <c r="N107" s="63">
        <v>0.55891719745222934</v>
      </c>
      <c r="O107" s="63">
        <v>0.41585760517799353</v>
      </c>
      <c r="P107" s="63">
        <v>0.41420911528150134</v>
      </c>
    </row>
    <row r="108" spans="1:16" x14ac:dyDescent="0.4">
      <c r="A108" s="65">
        <v>105</v>
      </c>
      <c r="B108" s="62">
        <v>-1.4210854715202004E-14</v>
      </c>
      <c r="C108" s="62">
        <v>-4.5113824492704774E-17</v>
      </c>
      <c r="D108" s="67">
        <v>1.9904761904761905</v>
      </c>
      <c r="E108" s="63">
        <v>0.3396825396825397</v>
      </c>
      <c r="F108" s="63">
        <v>0.33015873015873015</v>
      </c>
      <c r="G108" s="63">
        <v>0.29229578010065815</v>
      </c>
      <c r="H108" s="63">
        <v>0.17034456058846303</v>
      </c>
      <c r="I108" s="64">
        <v>8223.311258278145</v>
      </c>
      <c r="J108" s="64">
        <v>-7686.818181818182</v>
      </c>
      <c r="K108" s="63">
        <v>0.10158730158730159</v>
      </c>
      <c r="L108" s="63">
        <v>0.24622531939605111</v>
      </c>
      <c r="M108" s="63">
        <v>0.24428958575300039</v>
      </c>
      <c r="N108" s="63">
        <v>0.55817610062893086</v>
      </c>
      <c r="O108" s="63">
        <v>0.41521394611727419</v>
      </c>
      <c r="P108" s="63">
        <v>0.41456953642384103</v>
      </c>
    </row>
    <row r="109" spans="1:16" x14ac:dyDescent="0.4">
      <c r="A109" s="65">
        <v>106</v>
      </c>
      <c r="B109" s="62">
        <v>-1.4210854715202004E-14</v>
      </c>
      <c r="C109" s="62">
        <v>-4.4688222374849071E-17</v>
      </c>
      <c r="D109" s="67">
        <v>1.9905660377358489</v>
      </c>
      <c r="E109" s="63">
        <v>0.33962264150943394</v>
      </c>
      <c r="F109" s="63">
        <v>0.330188679245283</v>
      </c>
      <c r="G109" s="63">
        <v>0.29204892966360857</v>
      </c>
      <c r="H109" s="63">
        <v>0.16934250764525993</v>
      </c>
      <c r="I109" s="64">
        <v>8218.8481675392668</v>
      </c>
      <c r="J109" s="64">
        <v>-7675.3950338600453</v>
      </c>
      <c r="K109" s="63">
        <v>0.10062893081761007</v>
      </c>
      <c r="L109" s="63">
        <v>0.24541284403669725</v>
      </c>
      <c r="M109" s="63">
        <v>0.24273700305810397</v>
      </c>
      <c r="N109" s="63">
        <v>0.55919003115264798</v>
      </c>
      <c r="O109" s="63">
        <v>0.41574803149606299</v>
      </c>
      <c r="P109" s="63">
        <v>0.41753926701570682</v>
      </c>
    </row>
    <row r="110" spans="1:16" x14ac:dyDescent="0.4">
      <c r="A110" s="65">
        <v>107</v>
      </c>
      <c r="B110" s="62">
        <v>-7.1054273576010019E-15</v>
      </c>
      <c r="C110" s="62">
        <v>-2.2135287718383183E-17</v>
      </c>
      <c r="D110" s="67">
        <v>1.9906542056074767</v>
      </c>
      <c r="E110" s="63">
        <v>0.33956386292834889</v>
      </c>
      <c r="F110" s="63">
        <v>0.33021806853582553</v>
      </c>
      <c r="G110" s="63">
        <v>0.29228430254656024</v>
      </c>
      <c r="H110" s="63">
        <v>0.16951729380463701</v>
      </c>
      <c r="I110" s="64">
        <v>8218.2054616384921</v>
      </c>
      <c r="J110" s="64">
        <v>-7661.8834080717488</v>
      </c>
      <c r="K110" s="63">
        <v>0.10280373831775701</v>
      </c>
      <c r="L110" s="63">
        <v>0.24553401748384646</v>
      </c>
      <c r="M110" s="63">
        <v>0.24287343215507412</v>
      </c>
      <c r="N110" s="63">
        <v>0.55727554179566563</v>
      </c>
      <c r="O110" s="63">
        <v>0.41471048513302033</v>
      </c>
      <c r="P110" s="63">
        <v>0.4174252275682705</v>
      </c>
    </row>
    <row r="111" spans="1:16" x14ac:dyDescent="0.4">
      <c r="A111" s="65">
        <v>108</v>
      </c>
      <c r="B111" s="62">
        <v>-7.1054273576010019E-15</v>
      </c>
      <c r="C111" s="62">
        <v>-2.1930331350620375E-17</v>
      </c>
      <c r="D111" s="67">
        <v>1.9907407407407407</v>
      </c>
      <c r="E111" s="63">
        <v>0.33950617283950618</v>
      </c>
      <c r="F111" s="63">
        <v>0.33024691358024694</v>
      </c>
      <c r="G111" s="63">
        <v>0.29176029962546818</v>
      </c>
      <c r="H111" s="63">
        <v>0.16891385767790262</v>
      </c>
      <c r="I111" s="64">
        <v>8221.5661103979455</v>
      </c>
      <c r="J111" s="64">
        <v>-7642.5720620842576</v>
      </c>
      <c r="K111" s="63">
        <v>0.10493827160493827</v>
      </c>
      <c r="L111" s="63">
        <v>0.24644194756554308</v>
      </c>
      <c r="M111" s="63">
        <v>0.24044943820224718</v>
      </c>
      <c r="N111" s="63">
        <v>0.55927051671732519</v>
      </c>
      <c r="O111" s="63">
        <v>0.41277258566978192</v>
      </c>
      <c r="P111" s="63">
        <v>0.41848523748395378</v>
      </c>
    </row>
    <row r="112" spans="1:16" x14ac:dyDescent="0.4">
      <c r="A112" s="65">
        <v>109</v>
      </c>
      <c r="B112" s="62">
        <v>-7.1054273576010019E-15</v>
      </c>
      <c r="C112" s="62">
        <v>-2.1729135650155969E-17</v>
      </c>
      <c r="D112" s="67">
        <v>1.9908256880733946</v>
      </c>
      <c r="E112" s="63">
        <v>0.33944954128440369</v>
      </c>
      <c r="F112" s="63">
        <v>0.33027522935779818</v>
      </c>
      <c r="G112" s="63">
        <v>0.29208103130755064</v>
      </c>
      <c r="H112" s="63">
        <v>0.16795580110497238</v>
      </c>
      <c r="I112" s="64">
        <v>8213.4930643127373</v>
      </c>
      <c r="J112" s="64">
        <v>-7645.6140350877195</v>
      </c>
      <c r="K112" s="63">
        <v>0.10397553516819572</v>
      </c>
      <c r="L112" s="63">
        <v>0.24567219152854511</v>
      </c>
      <c r="M112" s="63">
        <v>0.23904235727440148</v>
      </c>
      <c r="N112" s="63">
        <v>0.56071964017991005</v>
      </c>
      <c r="O112" s="63">
        <v>0.41294298921417566</v>
      </c>
      <c r="P112" s="63">
        <v>0.42118537200504413</v>
      </c>
    </row>
    <row r="113" spans="1:16" x14ac:dyDescent="0.4">
      <c r="A113" s="65">
        <v>110</v>
      </c>
      <c r="B113" s="62">
        <v>-7.1054273576010019E-15</v>
      </c>
      <c r="C113" s="62">
        <v>-2.1531598053336369E-17</v>
      </c>
      <c r="D113" s="67">
        <v>1.990909090909091</v>
      </c>
      <c r="E113" s="63">
        <v>0.33939393939393941</v>
      </c>
      <c r="F113" s="63">
        <v>0.33030303030303032</v>
      </c>
      <c r="G113" s="63">
        <v>0.29239766081871343</v>
      </c>
      <c r="H113" s="63">
        <v>0.16739766081871346</v>
      </c>
      <c r="I113" s="64">
        <v>8202.625</v>
      </c>
      <c r="J113" s="64">
        <v>-7647.1615720524014</v>
      </c>
      <c r="K113" s="63">
        <v>0.10303030303030303</v>
      </c>
      <c r="L113" s="63">
        <v>0.24524853801169591</v>
      </c>
      <c r="M113" s="63">
        <v>0.23940058479532164</v>
      </c>
      <c r="N113" s="63">
        <v>0.56184798807749625</v>
      </c>
      <c r="O113" s="63">
        <v>0.41068702290076337</v>
      </c>
      <c r="P113" s="63">
        <v>0.42375000000000002</v>
      </c>
    </row>
    <row r="114" spans="1:16" x14ac:dyDescent="0.4">
      <c r="A114" s="65">
        <v>111</v>
      </c>
      <c r="B114" s="62">
        <v>-7.1054273576010019E-15</v>
      </c>
      <c r="C114" s="62">
        <v>-2.1337619692495501E-17</v>
      </c>
      <c r="D114" s="67">
        <v>1.9909909909909911</v>
      </c>
      <c r="E114" s="63">
        <v>0.33933933933933935</v>
      </c>
      <c r="F114" s="63">
        <v>0.33033033033033032</v>
      </c>
      <c r="G114" s="63">
        <v>0.29248011569052784</v>
      </c>
      <c r="H114" s="63">
        <v>0.16775126536514823</v>
      </c>
      <c r="I114" s="64">
        <v>8193.695920889988</v>
      </c>
      <c r="J114" s="64">
        <v>-7614.2241379310344</v>
      </c>
      <c r="K114" s="63">
        <v>0.1021021021021021</v>
      </c>
      <c r="L114" s="63">
        <v>0.24656543745480838</v>
      </c>
      <c r="M114" s="63">
        <v>0.23933477946493131</v>
      </c>
      <c r="N114" s="63">
        <v>0.56158357771260992</v>
      </c>
      <c r="O114" s="63">
        <v>0.41087613293051362</v>
      </c>
      <c r="P114" s="63">
        <v>0.42274412855377008</v>
      </c>
    </row>
    <row r="115" spans="1:16" x14ac:dyDescent="0.4">
      <c r="A115" s="65">
        <v>112</v>
      </c>
      <c r="B115" s="62">
        <v>-7.1054273576010019E-15</v>
      </c>
      <c r="C115" s="62">
        <v>-2.1147105230955362E-17</v>
      </c>
      <c r="D115" s="67">
        <v>1.9910714285714286</v>
      </c>
      <c r="E115" s="63">
        <v>0.3392857142857143</v>
      </c>
      <c r="F115" s="63">
        <v>0.33035714285714285</v>
      </c>
      <c r="G115" s="63">
        <v>0.29175550817341861</v>
      </c>
      <c r="H115" s="63">
        <v>0.16666666666666666</v>
      </c>
      <c r="I115" s="64">
        <v>8196.2241169305726</v>
      </c>
      <c r="J115" s="64">
        <v>-7627.7185501066097</v>
      </c>
      <c r="K115" s="63">
        <v>0.10119047619047619</v>
      </c>
      <c r="L115" s="63">
        <v>0.24591329068941009</v>
      </c>
      <c r="M115" s="63">
        <v>0.23987206823027718</v>
      </c>
      <c r="N115" s="63">
        <v>0.55924855491329484</v>
      </c>
      <c r="O115" s="63">
        <v>0.41037037037037039</v>
      </c>
      <c r="P115" s="63">
        <v>0.42509135200974424</v>
      </c>
    </row>
    <row r="116" spans="1:16" x14ac:dyDescent="0.4">
      <c r="A116" s="65">
        <v>113</v>
      </c>
      <c r="B116" s="62">
        <v>-7.1054273576010019E-15</v>
      </c>
      <c r="C116" s="62">
        <v>-2.0959962706787616E-17</v>
      </c>
      <c r="D116" s="67">
        <v>1.9911504424778761</v>
      </c>
      <c r="E116" s="63">
        <v>0.33923303834808261</v>
      </c>
      <c r="F116" s="63">
        <v>0.3303834808259587</v>
      </c>
      <c r="G116" s="63">
        <v>0.29228070175438597</v>
      </c>
      <c r="H116" s="63">
        <v>0.16701754385964912</v>
      </c>
      <c r="I116" s="64">
        <v>8179.3517406962783</v>
      </c>
      <c r="J116" s="64">
        <v>-7640.9663865546217</v>
      </c>
      <c r="K116" s="63">
        <v>0.10029498525073746</v>
      </c>
      <c r="L116" s="63">
        <v>0.24491228070175439</v>
      </c>
      <c r="M116" s="63">
        <v>0.24140350877192981</v>
      </c>
      <c r="N116" s="63">
        <v>0.56160458452722062</v>
      </c>
      <c r="O116" s="63">
        <v>0.40988372093023256</v>
      </c>
      <c r="P116" s="63">
        <v>0.42376950780312123</v>
      </c>
    </row>
    <row r="117" spans="1:16" x14ac:dyDescent="0.4">
      <c r="A117" s="65">
        <v>114</v>
      </c>
      <c r="B117" s="62">
        <v>-3.5527136788005009E-15</v>
      </c>
      <c r="C117" s="62">
        <v>-1.0388051692399125E-17</v>
      </c>
      <c r="D117" s="67">
        <v>1.9912280701754386</v>
      </c>
      <c r="E117" s="63">
        <v>0.33918128654970758</v>
      </c>
      <c r="F117" s="63">
        <v>0.33040935672514621</v>
      </c>
      <c r="G117" s="63">
        <v>0.29223267154301635</v>
      </c>
      <c r="H117" s="63">
        <v>0.16649251132009751</v>
      </c>
      <c r="I117" s="64">
        <v>8198.9272943980923</v>
      </c>
      <c r="J117" s="64">
        <v>-7650.2092050209203</v>
      </c>
      <c r="K117" s="63">
        <v>9.9415204678362568E-2</v>
      </c>
      <c r="L117" s="63">
        <v>0.24486241727621039</v>
      </c>
      <c r="M117" s="63">
        <v>0.24103099965168931</v>
      </c>
      <c r="N117" s="63">
        <v>0.56187766714082499</v>
      </c>
      <c r="O117" s="63">
        <v>0.41184971098265893</v>
      </c>
      <c r="P117" s="63">
        <v>0.42550655542312277</v>
      </c>
    </row>
    <row r="118" spans="1:16" x14ac:dyDescent="0.4">
      <c r="A118" s="65">
        <v>115</v>
      </c>
      <c r="B118" s="62">
        <v>-7.1054273576010019E-15</v>
      </c>
      <c r="C118" s="62">
        <v>-2.0595441616234788E-17</v>
      </c>
      <c r="D118" s="67">
        <v>1.991304347826087</v>
      </c>
      <c r="E118" s="63">
        <v>0.33913043478260868</v>
      </c>
      <c r="F118" s="63">
        <v>0.33043478260869563</v>
      </c>
      <c r="G118" s="63">
        <v>0.2929188255613126</v>
      </c>
      <c r="H118" s="63">
        <v>0.16718480138169256</v>
      </c>
      <c r="I118" s="64">
        <v>8198.5849056603765</v>
      </c>
      <c r="J118" s="64">
        <v>-7678.3057851239673</v>
      </c>
      <c r="K118" s="63">
        <v>9.8550724637681164E-2</v>
      </c>
      <c r="L118" s="63">
        <v>0.24455958549222798</v>
      </c>
      <c r="M118" s="63">
        <v>0.24145077720207253</v>
      </c>
      <c r="N118" s="63">
        <v>0.56214689265536721</v>
      </c>
      <c r="O118" s="63">
        <v>0.413447782546495</v>
      </c>
      <c r="P118" s="63">
        <v>0.42334905660377359</v>
      </c>
    </row>
    <row r="119" spans="1:16" x14ac:dyDescent="0.4">
      <c r="A119" s="65">
        <v>116</v>
      </c>
      <c r="B119" s="62">
        <v>-7.1054273576010019E-15</v>
      </c>
      <c r="C119" s="62">
        <v>-2.0417894705750005E-17</v>
      </c>
      <c r="D119" s="67">
        <v>1.9913793103448276</v>
      </c>
      <c r="E119" s="63">
        <v>0.33908045977011492</v>
      </c>
      <c r="F119" s="63">
        <v>0.33045977011494254</v>
      </c>
      <c r="G119" s="63">
        <v>0.29286694101508914</v>
      </c>
      <c r="H119" s="63">
        <v>0.16666666666666666</v>
      </c>
      <c r="I119" s="64">
        <v>8201.7564402810312</v>
      </c>
      <c r="J119" s="64">
        <v>-7671.1934156378602</v>
      </c>
      <c r="K119" s="63">
        <v>9.7701149425287362E-2</v>
      </c>
      <c r="L119" s="63">
        <v>0.2448559670781893</v>
      </c>
      <c r="M119" s="63">
        <v>0.24074074074074073</v>
      </c>
      <c r="N119" s="63">
        <v>0.56302521008403361</v>
      </c>
      <c r="O119" s="63">
        <v>0.4131054131054131</v>
      </c>
      <c r="P119" s="63">
        <v>0.42505854800936765</v>
      </c>
    </row>
    <row r="120" spans="1:16" x14ac:dyDescent="0.4">
      <c r="A120" s="65">
        <v>117</v>
      </c>
      <c r="B120" s="62">
        <v>-7.1054273576010019E-15</v>
      </c>
      <c r="C120" s="62">
        <v>-2.024338278518804E-17</v>
      </c>
      <c r="D120" s="67">
        <v>1.9914529914529915</v>
      </c>
      <c r="E120" s="63">
        <v>0.33903133903133903</v>
      </c>
      <c r="F120" s="63">
        <v>0.33048433048433046</v>
      </c>
      <c r="G120" s="63">
        <v>0.29285714285714287</v>
      </c>
      <c r="H120" s="63">
        <v>0.16632653061224489</v>
      </c>
      <c r="I120" s="64">
        <v>8201.0452961672472</v>
      </c>
      <c r="J120" s="64">
        <v>-7658.8957055214723</v>
      </c>
      <c r="K120" s="63">
        <v>9.686609686609686E-2</v>
      </c>
      <c r="L120" s="63">
        <v>0.24557823129251702</v>
      </c>
      <c r="M120" s="63">
        <v>0.24047619047619048</v>
      </c>
      <c r="N120" s="63">
        <v>0.56371191135734067</v>
      </c>
      <c r="O120" s="63">
        <v>0.4115983026874116</v>
      </c>
      <c r="P120" s="63">
        <v>0.42624854819976771</v>
      </c>
    </row>
    <row r="121" spans="1:16" x14ac:dyDescent="0.4">
      <c r="A121" s="65">
        <v>118</v>
      </c>
      <c r="B121" s="62">
        <v>-7.1054273576010019E-15</v>
      </c>
      <c r="C121" s="62">
        <v>-2.0071828693788141E-17</v>
      </c>
      <c r="D121" s="67">
        <v>1.9915254237288136</v>
      </c>
      <c r="E121" s="63">
        <v>0.33898305084745761</v>
      </c>
      <c r="F121" s="63">
        <v>0.33050847457627119</v>
      </c>
      <c r="G121" s="63">
        <v>0.29318488529014847</v>
      </c>
      <c r="H121" s="63">
        <v>0.16632928475033737</v>
      </c>
      <c r="I121" s="64">
        <v>8222.6697353279633</v>
      </c>
      <c r="J121" s="64">
        <v>-7710.3448275862065</v>
      </c>
      <c r="K121" s="63">
        <v>9.6045197740112997E-2</v>
      </c>
      <c r="L121" s="63">
        <v>0.24595141700404857</v>
      </c>
      <c r="M121" s="63">
        <v>0.24055330634278002</v>
      </c>
      <c r="N121" s="63">
        <v>0.56515775034293558</v>
      </c>
      <c r="O121" s="63">
        <v>0.4109396914446003</v>
      </c>
      <c r="P121" s="63">
        <v>0.42692750287686998</v>
      </c>
    </row>
    <row r="122" spans="1:16" x14ac:dyDescent="0.4">
      <c r="A122" s="65">
        <v>119</v>
      </c>
      <c r="B122" s="62">
        <v>-7.1054273576010019E-15</v>
      </c>
      <c r="C122" s="62">
        <v>-1.9903157864428577E-17</v>
      </c>
      <c r="D122" s="67">
        <v>1.9915966386554622</v>
      </c>
      <c r="E122" s="63">
        <v>0.33893557422969189</v>
      </c>
      <c r="F122" s="63">
        <v>0.33053221288515405</v>
      </c>
      <c r="G122" s="63">
        <v>0.29354730859244399</v>
      </c>
      <c r="H122" s="63">
        <v>0.16616516215312604</v>
      </c>
      <c r="I122" s="64">
        <v>8248.0637813211852</v>
      </c>
      <c r="J122" s="64">
        <v>-7717.9074446680079</v>
      </c>
      <c r="K122" s="63">
        <v>9.5238095238095233E-2</v>
      </c>
      <c r="L122" s="63">
        <v>0.24607154797726513</v>
      </c>
      <c r="M122" s="63">
        <v>0.24105650284185892</v>
      </c>
      <c r="N122" s="63">
        <v>0.56385869565217395</v>
      </c>
      <c r="O122" s="63">
        <v>0.41192787794729541</v>
      </c>
      <c r="P122" s="63">
        <v>0.42824601366742598</v>
      </c>
    </row>
    <row r="123" spans="1:16" x14ac:dyDescent="0.4">
      <c r="A123" s="65">
        <v>120</v>
      </c>
      <c r="B123" s="62">
        <v>-7.1054273576010019E-15</v>
      </c>
      <c r="C123" s="62">
        <v>-1.9737298215558339E-17</v>
      </c>
      <c r="D123" s="67">
        <v>1.9916666666666667</v>
      </c>
      <c r="E123" s="63">
        <v>0.33888888888888891</v>
      </c>
      <c r="F123" s="63">
        <v>0.33055555555555555</v>
      </c>
      <c r="G123" s="63">
        <v>0.29386401326699835</v>
      </c>
      <c r="H123" s="63">
        <v>0.16683250414593698</v>
      </c>
      <c r="I123" s="64">
        <v>8244.3566591422114</v>
      </c>
      <c r="J123" s="64">
        <v>-7739.9602385685885</v>
      </c>
      <c r="K123" s="63">
        <v>9.4444444444444442E-2</v>
      </c>
      <c r="L123" s="63">
        <v>0.2470978441127695</v>
      </c>
      <c r="M123" s="63">
        <v>0.24112769485903815</v>
      </c>
      <c r="N123" s="63">
        <v>0.56375838926174493</v>
      </c>
      <c r="O123" s="63">
        <v>0.41127922971114167</v>
      </c>
      <c r="P123" s="63">
        <v>0.4255079006772009</v>
      </c>
    </row>
    <row r="124" spans="1:16" x14ac:dyDescent="0.4">
      <c r="A124" s="65">
        <v>121</v>
      </c>
      <c r="B124" s="62">
        <v>-5.773159728050814E-15</v>
      </c>
      <c r="C124" s="62">
        <v>-1.5904021289396182E-17</v>
      </c>
      <c r="D124" s="67">
        <v>1.9917355371900827</v>
      </c>
      <c r="E124" s="63">
        <v>0.33884297520661155</v>
      </c>
      <c r="F124" s="63">
        <v>0.33057851239669422</v>
      </c>
      <c r="G124" s="63">
        <v>0.29376854599406527</v>
      </c>
      <c r="H124" s="63">
        <v>0.16716122650840751</v>
      </c>
      <c r="I124" s="64">
        <v>8234.4556677890014</v>
      </c>
      <c r="J124" s="64">
        <v>-7734.9112426035499</v>
      </c>
      <c r="K124" s="63">
        <v>9.366391184573003E-2</v>
      </c>
      <c r="L124" s="63">
        <v>0.24695021430926475</v>
      </c>
      <c r="M124" s="63">
        <v>0.24167490933069569</v>
      </c>
      <c r="N124" s="63">
        <v>0.56341789052069424</v>
      </c>
      <c r="O124" s="63">
        <v>0.40927694406548432</v>
      </c>
      <c r="P124" s="63">
        <v>0.42424242424242425</v>
      </c>
    </row>
    <row r="125" spans="1:16" x14ac:dyDescent="0.4">
      <c r="A125" s="65">
        <v>122</v>
      </c>
      <c r="B125" s="62">
        <v>-7.1054273576010019E-15</v>
      </c>
      <c r="C125" s="62">
        <v>-1.9413735949729513E-17</v>
      </c>
      <c r="D125" s="67">
        <v>1.9918032786885247</v>
      </c>
      <c r="E125" s="63">
        <v>0.33879781420765026</v>
      </c>
      <c r="F125" s="63">
        <v>0.33060109289617484</v>
      </c>
      <c r="G125" s="63">
        <v>0.29400196656833827</v>
      </c>
      <c r="H125" s="63">
        <v>0.16715830875122911</v>
      </c>
      <c r="I125" s="64">
        <v>8242.5863991081387</v>
      </c>
      <c r="J125" s="64">
        <v>-7733.1372549019607</v>
      </c>
      <c r="K125" s="63">
        <v>9.2896174863387984E-2</v>
      </c>
      <c r="L125" s="63">
        <v>0.24647656506063587</v>
      </c>
      <c r="M125" s="63">
        <v>0.24090462143559488</v>
      </c>
      <c r="N125" s="63">
        <v>0.56515957446808507</v>
      </c>
      <c r="O125" s="63">
        <v>0.40952380952380951</v>
      </c>
      <c r="P125" s="63">
        <v>0.42474916387959866</v>
      </c>
    </row>
    <row r="126" spans="1:16" x14ac:dyDescent="0.4">
      <c r="A126" s="65">
        <v>123</v>
      </c>
      <c r="B126" s="62">
        <v>-7.1054273576010019E-15</v>
      </c>
      <c r="C126" s="62">
        <v>-1.9255900698105696E-17</v>
      </c>
      <c r="D126" s="67">
        <v>1.9918699186991871</v>
      </c>
      <c r="E126" s="63">
        <v>0.33875338753387535</v>
      </c>
      <c r="F126" s="63">
        <v>0.33062330623306235</v>
      </c>
      <c r="G126" s="63">
        <v>0.29390681003584229</v>
      </c>
      <c r="H126" s="63">
        <v>0.16715542521994134</v>
      </c>
      <c r="I126" s="64">
        <v>8238.1374722838136</v>
      </c>
      <c r="J126" s="64">
        <v>-7734.5029239766081</v>
      </c>
      <c r="K126" s="63">
        <v>9.2140921409214094E-2</v>
      </c>
      <c r="L126" s="63">
        <v>0.2469859889214728</v>
      </c>
      <c r="M126" s="63">
        <v>0.24079504724666015</v>
      </c>
      <c r="N126" s="63">
        <v>0.56464379947229548</v>
      </c>
      <c r="O126" s="63">
        <v>0.40866035182679294</v>
      </c>
      <c r="P126" s="63">
        <v>0.42461197339246121</v>
      </c>
    </row>
    <row r="127" spans="1:16" x14ac:dyDescent="0.4">
      <c r="A127" s="65">
        <v>124</v>
      </c>
      <c r="B127" s="62">
        <v>-5.3290705182007514E-15</v>
      </c>
      <c r="C127" s="62">
        <v>-1.4325458382260084E-17</v>
      </c>
      <c r="D127" s="67">
        <v>1.9919354838709677</v>
      </c>
      <c r="E127" s="63">
        <v>0.33870967741935482</v>
      </c>
      <c r="F127" s="63">
        <v>0.33064516129032256</v>
      </c>
      <c r="G127" s="63">
        <v>0.29356611703847396</v>
      </c>
      <c r="H127" s="63">
        <v>0.16682832201745879</v>
      </c>
      <c r="I127" s="64">
        <v>8232.8193832599118</v>
      </c>
      <c r="J127" s="64">
        <v>-7717.635658914729</v>
      </c>
      <c r="K127" s="63">
        <v>9.1397849462365593E-2</v>
      </c>
      <c r="L127" s="63">
        <v>0.24636275460717749</v>
      </c>
      <c r="M127" s="63">
        <v>0.23957322987390883</v>
      </c>
      <c r="N127" s="63">
        <v>0.56561679790026242</v>
      </c>
      <c r="O127" s="63">
        <v>0.40890688259109309</v>
      </c>
      <c r="P127" s="63">
        <v>0.42511013215859028</v>
      </c>
    </row>
    <row r="128" spans="1:16" x14ac:dyDescent="0.4">
      <c r="A128" s="65">
        <v>125</v>
      </c>
      <c r="B128" s="62">
        <v>0</v>
      </c>
      <c r="C128" s="62">
        <v>0</v>
      </c>
      <c r="D128" s="67">
        <v>1.992</v>
      </c>
      <c r="E128" s="63">
        <v>0.33866666666666667</v>
      </c>
      <c r="F128" s="63">
        <v>0.33066666666666666</v>
      </c>
      <c r="G128" s="63">
        <v>0.29330771693884083</v>
      </c>
      <c r="H128" s="63">
        <v>0.16554594940762088</v>
      </c>
      <c r="I128" s="64">
        <v>8241.7030567685597</v>
      </c>
      <c r="J128" s="64">
        <v>-7710.251450676983</v>
      </c>
      <c r="K128" s="63">
        <v>9.0666666666666673E-2</v>
      </c>
      <c r="L128" s="63">
        <v>0.24591738712776176</v>
      </c>
      <c r="M128" s="63">
        <v>0.23983349343579891</v>
      </c>
      <c r="N128" s="63">
        <v>0.56640625</v>
      </c>
      <c r="O128" s="63">
        <v>0.40720961281708945</v>
      </c>
      <c r="P128" s="63">
        <v>0.42903930131004364</v>
      </c>
    </row>
    <row r="129" spans="1:16" x14ac:dyDescent="0.4">
      <c r="A129" s="65">
        <v>126</v>
      </c>
      <c r="B129" s="62">
        <v>0</v>
      </c>
      <c r="C129" s="62">
        <v>0</v>
      </c>
      <c r="D129" s="67">
        <v>1.9920634920634921</v>
      </c>
      <c r="E129" s="63">
        <v>0.33862433862433861</v>
      </c>
      <c r="F129" s="63">
        <v>0.3306878306878307</v>
      </c>
      <c r="G129" s="63">
        <v>0.29349904397705545</v>
      </c>
      <c r="H129" s="63">
        <v>0.16602931803696622</v>
      </c>
      <c r="I129" s="64">
        <v>8251.0314875135718</v>
      </c>
      <c r="J129" s="64">
        <v>-7723.6084452975047</v>
      </c>
      <c r="K129" s="63">
        <v>9.2592592592592587E-2</v>
      </c>
      <c r="L129" s="63">
        <v>0.24633524537922244</v>
      </c>
      <c r="M129" s="63">
        <v>0.23900573613766729</v>
      </c>
      <c r="N129" s="63">
        <v>0.5666235446313066</v>
      </c>
      <c r="O129" s="63">
        <v>0.40799999999999997</v>
      </c>
      <c r="P129" s="63">
        <v>0.42779587404994573</v>
      </c>
    </row>
    <row r="130" spans="1:16" x14ac:dyDescent="0.4">
      <c r="A130" s="65">
        <v>127</v>
      </c>
      <c r="B130" s="62">
        <v>-1.7763568394002505E-15</v>
      </c>
      <c r="C130" s="62">
        <v>-4.662353909187009E-18</v>
      </c>
      <c r="D130" s="67">
        <v>1.9921259842519685</v>
      </c>
      <c r="E130" s="63">
        <v>0.33858267716535434</v>
      </c>
      <c r="F130" s="63">
        <v>0.33070866141732286</v>
      </c>
      <c r="G130" s="63">
        <v>0.2932449494949495</v>
      </c>
      <c r="H130" s="63">
        <v>0.16571969696969696</v>
      </c>
      <c r="I130" s="64">
        <v>8264.6932185145324</v>
      </c>
      <c r="J130" s="64">
        <v>-7731.6190476190477</v>
      </c>
      <c r="K130" s="63">
        <v>9.1863517060367453E-2</v>
      </c>
      <c r="L130" s="63">
        <v>0.24589646464646464</v>
      </c>
      <c r="M130" s="63">
        <v>0.23958333333333334</v>
      </c>
      <c r="N130" s="63">
        <v>0.56482670089858789</v>
      </c>
      <c r="O130" s="63">
        <v>0.40579710144927539</v>
      </c>
      <c r="P130" s="63">
        <v>0.42841765339074273</v>
      </c>
    </row>
    <row r="131" spans="1:16" x14ac:dyDescent="0.4">
      <c r="A131" s="65">
        <v>128</v>
      </c>
      <c r="B131" s="62">
        <v>-3.5527136788005009E-15</v>
      </c>
      <c r="C131" s="62">
        <v>-9.2518585385429707E-18</v>
      </c>
      <c r="D131" s="67">
        <v>1.9921875</v>
      </c>
      <c r="E131" s="63">
        <v>0.33854166666666669</v>
      </c>
      <c r="F131" s="63">
        <v>0.33072916666666669</v>
      </c>
      <c r="G131" s="63">
        <v>0.29350893697083724</v>
      </c>
      <c r="H131" s="63">
        <v>0.16556914393226718</v>
      </c>
      <c r="I131" s="64">
        <v>8294.9786324786328</v>
      </c>
      <c r="J131" s="64">
        <v>-7737.310606060606</v>
      </c>
      <c r="K131" s="63">
        <v>9.1145833333333329E-2</v>
      </c>
      <c r="L131" s="63">
        <v>0.24553151458137348</v>
      </c>
      <c r="M131" s="63">
        <v>0.24020068987143306</v>
      </c>
      <c r="N131" s="63">
        <v>0.56704980842911878</v>
      </c>
      <c r="O131" s="63">
        <v>0.40600522193211486</v>
      </c>
      <c r="P131" s="63">
        <v>0.42948717948717946</v>
      </c>
    </row>
    <row r="132" spans="1:16" x14ac:dyDescent="0.4">
      <c r="A132" s="65">
        <v>129</v>
      </c>
      <c r="B132" s="62">
        <v>-7.9936057773011271E-15</v>
      </c>
      <c r="C132" s="62">
        <v>-2.0655312086049424E-17</v>
      </c>
      <c r="D132" s="67">
        <v>1.9922480620155039</v>
      </c>
      <c r="E132" s="63">
        <v>0.33850129198966411</v>
      </c>
      <c r="F132" s="63">
        <v>0.33074935400516797</v>
      </c>
      <c r="G132" s="63">
        <v>0.29349517584811702</v>
      </c>
      <c r="H132" s="63">
        <v>0.16526610644257703</v>
      </c>
      <c r="I132" s="64">
        <v>8291.9406150583236</v>
      </c>
      <c r="J132" s="64">
        <v>-7734.463276836158</v>
      </c>
      <c r="K132" s="63">
        <v>9.0439276485788117E-2</v>
      </c>
      <c r="L132" s="63">
        <v>0.24556489262371614</v>
      </c>
      <c r="M132" s="63">
        <v>0.23996265172735762</v>
      </c>
      <c r="N132" s="63">
        <v>0.56780735107731306</v>
      </c>
      <c r="O132" s="63">
        <v>0.40466926070038911</v>
      </c>
      <c r="P132" s="63">
        <v>0.43054082714740188</v>
      </c>
    </row>
    <row r="133" spans="1:16" x14ac:dyDescent="0.4">
      <c r="A133" s="65">
        <v>130</v>
      </c>
      <c r="B133" s="62">
        <v>-7.1054273576010019E-15</v>
      </c>
      <c r="C133" s="62">
        <v>-1.8219044506669236E-17</v>
      </c>
      <c r="D133" s="67">
        <v>1.9923076923076923</v>
      </c>
      <c r="E133" s="63">
        <v>0.33846153846153848</v>
      </c>
      <c r="F133" s="63">
        <v>0.33076923076923076</v>
      </c>
      <c r="G133" s="63">
        <v>0.2928637627432808</v>
      </c>
      <c r="H133" s="63">
        <v>0.1646586345381526</v>
      </c>
      <c r="I133" s="64">
        <v>8304.6413502109699</v>
      </c>
      <c r="J133" s="64">
        <v>-7715.7598499061914</v>
      </c>
      <c r="K133" s="63">
        <v>8.9743589743589744E-2</v>
      </c>
      <c r="L133" s="63">
        <v>0.24590670373802903</v>
      </c>
      <c r="M133" s="63">
        <v>0.23972814334260117</v>
      </c>
      <c r="N133" s="63">
        <v>0.5653266331658291</v>
      </c>
      <c r="O133" s="63">
        <v>0.40463917525773196</v>
      </c>
      <c r="P133" s="63">
        <v>0.43143459915611815</v>
      </c>
    </row>
    <row r="134" spans="1:16" x14ac:dyDescent="0.4">
      <c r="A134" s="65">
        <v>131</v>
      </c>
      <c r="B134" s="62">
        <v>-7.1054273576010019E-15</v>
      </c>
      <c r="C134" s="62">
        <v>-1.8079967831045808E-17</v>
      </c>
      <c r="D134" s="67">
        <v>1.9923664122137406</v>
      </c>
      <c r="E134" s="63">
        <v>0.33842239185750639</v>
      </c>
      <c r="F134" s="63">
        <v>0.33078880407124683</v>
      </c>
      <c r="G134" s="63">
        <v>0.29296636085626909</v>
      </c>
      <c r="H134" s="63">
        <v>0.16422018348623854</v>
      </c>
      <c r="I134" s="64">
        <v>8321.0855949895613</v>
      </c>
      <c r="J134" s="64">
        <v>-7732.774674115456</v>
      </c>
      <c r="K134" s="63">
        <v>8.9058524173027995E-2</v>
      </c>
      <c r="L134" s="63">
        <v>0.24648318042813455</v>
      </c>
      <c r="M134" s="63">
        <v>0.2400611620795107</v>
      </c>
      <c r="N134" s="63">
        <v>0.56451612903225812</v>
      </c>
      <c r="O134" s="63">
        <v>0.40509554140127391</v>
      </c>
      <c r="P134" s="63">
        <v>0.43319415448851772</v>
      </c>
    </row>
    <row r="135" spans="1:16" x14ac:dyDescent="0.4">
      <c r="A135" s="65">
        <v>132</v>
      </c>
      <c r="B135" s="62">
        <v>-1.4210854715202004E-14</v>
      </c>
      <c r="C135" s="62">
        <v>-3.5885996755560618E-17</v>
      </c>
      <c r="D135" s="67">
        <v>1.9924242424242424</v>
      </c>
      <c r="E135" s="63">
        <v>0.3383838383838384</v>
      </c>
      <c r="F135" s="63">
        <v>0.33080808080808083</v>
      </c>
      <c r="G135" s="63">
        <v>0.29303030303030303</v>
      </c>
      <c r="H135" s="63">
        <v>0.16424242424242425</v>
      </c>
      <c r="I135" s="64">
        <v>8328.5418821096173</v>
      </c>
      <c r="J135" s="64">
        <v>-7721.9557195571952</v>
      </c>
      <c r="K135" s="63">
        <v>9.0909090909090912E-2</v>
      </c>
      <c r="L135" s="63">
        <v>0.24696969696969698</v>
      </c>
      <c r="M135" s="63">
        <v>0.23969696969696969</v>
      </c>
      <c r="N135" s="63">
        <v>0.56564417177914106</v>
      </c>
      <c r="O135" s="63">
        <v>0.40455120101137798</v>
      </c>
      <c r="P135" s="63">
        <v>0.43329886246122029</v>
      </c>
    </row>
    <row r="136" spans="1:16" x14ac:dyDescent="0.4">
      <c r="A136" s="65">
        <v>133</v>
      </c>
      <c r="B136" s="62">
        <v>-1.4210854715202004E-14</v>
      </c>
      <c r="C136" s="62">
        <v>-3.5616177231082714E-17</v>
      </c>
      <c r="D136" s="67">
        <v>1.9924812030075187</v>
      </c>
      <c r="E136" s="63">
        <v>0.33834586466165412</v>
      </c>
      <c r="F136" s="63">
        <v>0.33082706766917291</v>
      </c>
      <c r="G136" s="63">
        <v>0.29294755877034356</v>
      </c>
      <c r="H136" s="63">
        <v>0.16395418927064498</v>
      </c>
      <c r="I136" s="64">
        <v>8323.4567901234568</v>
      </c>
      <c r="J136" s="64">
        <v>-7713.0514705882351</v>
      </c>
      <c r="K136" s="63">
        <v>9.0225563909774431E-2</v>
      </c>
      <c r="L136" s="63">
        <v>0.24743821579264616</v>
      </c>
      <c r="M136" s="63">
        <v>0.23899939722724534</v>
      </c>
      <c r="N136" s="63">
        <v>0.5663824604141291</v>
      </c>
      <c r="O136" s="63">
        <v>0.4047919293820933</v>
      </c>
      <c r="P136" s="63">
        <v>0.43415637860082307</v>
      </c>
    </row>
    <row r="137" spans="1:16" x14ac:dyDescent="0.4">
      <c r="A137" s="65">
        <v>134</v>
      </c>
      <c r="B137" s="62">
        <v>-1.4210854715202004E-14</v>
      </c>
      <c r="C137" s="62">
        <v>-3.5350384863686576E-17</v>
      </c>
      <c r="D137" s="67">
        <v>1.9925373134328359</v>
      </c>
      <c r="E137" s="63">
        <v>0.3383084577114428</v>
      </c>
      <c r="F137" s="63">
        <v>0.3308457711442786</v>
      </c>
      <c r="G137" s="63">
        <v>0.29309309309309312</v>
      </c>
      <c r="H137" s="63">
        <v>0.16456456456456456</v>
      </c>
      <c r="I137" s="64">
        <v>8330.8401639344265</v>
      </c>
      <c r="J137" s="64">
        <v>-7730.6569343065694</v>
      </c>
      <c r="K137" s="63">
        <v>9.2039800995024873E-2</v>
      </c>
      <c r="L137" s="63">
        <v>0.24714714714714714</v>
      </c>
      <c r="M137" s="63">
        <v>0.23873873873873874</v>
      </c>
      <c r="N137" s="63">
        <v>0.56622114216281894</v>
      </c>
      <c r="O137" s="63">
        <v>0.40628930817610065</v>
      </c>
      <c r="P137" s="63">
        <v>0.43237704918032788</v>
      </c>
    </row>
    <row r="138" spans="1:16" x14ac:dyDescent="0.4">
      <c r="A138" s="65">
        <v>135</v>
      </c>
      <c r="B138" s="62">
        <v>-1.4210854715202004E-14</v>
      </c>
      <c r="C138" s="62">
        <v>-3.5088530160992601E-17</v>
      </c>
      <c r="D138" s="67">
        <v>1.9925925925925927</v>
      </c>
      <c r="E138" s="63">
        <v>0.33827160493827163</v>
      </c>
      <c r="F138" s="63">
        <v>0.33086419753086421</v>
      </c>
      <c r="G138" s="63">
        <v>0.29266844761056693</v>
      </c>
      <c r="H138" s="63">
        <v>0.16444048679133275</v>
      </c>
      <c r="I138" s="64">
        <v>8319.7768762677479</v>
      </c>
      <c r="J138" s="64">
        <v>-7718.7725631768953</v>
      </c>
      <c r="K138" s="63">
        <v>9.1358024691358022E-2</v>
      </c>
      <c r="L138" s="63">
        <v>0.24784802612051055</v>
      </c>
      <c r="M138" s="63">
        <v>0.2377560106856634</v>
      </c>
      <c r="N138" s="63">
        <v>0.56526946107784426</v>
      </c>
      <c r="O138" s="63">
        <v>0.40574282147315854</v>
      </c>
      <c r="P138" s="63">
        <v>0.43204868154158216</v>
      </c>
    </row>
    <row r="139" spans="1:16" x14ac:dyDescent="0.4">
      <c r="A139" s="65">
        <v>136</v>
      </c>
      <c r="B139" s="62">
        <v>-1.3322676295501878E-14</v>
      </c>
      <c r="C139" s="62">
        <v>-3.2653618371328135E-17</v>
      </c>
      <c r="D139" s="67">
        <v>1.9926470588235294</v>
      </c>
      <c r="E139" s="63">
        <v>0.33823529411764708</v>
      </c>
      <c r="F139" s="63">
        <v>0.33088235294117646</v>
      </c>
      <c r="G139" s="63">
        <v>0.29302736098852605</v>
      </c>
      <c r="H139" s="63">
        <v>0.16534274786701972</v>
      </c>
      <c r="I139" s="64">
        <v>8323.2931726907627</v>
      </c>
      <c r="J139" s="64">
        <v>-7729.3594306049818</v>
      </c>
      <c r="K139" s="63">
        <v>9.0686274509803919E-2</v>
      </c>
      <c r="L139" s="63">
        <v>0.24801412180052956</v>
      </c>
      <c r="M139" s="63">
        <v>0.23771697558105326</v>
      </c>
      <c r="N139" s="63">
        <v>0.5658362989323843</v>
      </c>
      <c r="O139" s="63">
        <v>0.40841584158415839</v>
      </c>
      <c r="P139" s="63">
        <v>0.42971887550200805</v>
      </c>
    </row>
    <row r="140" spans="1:16" x14ac:dyDescent="0.4">
      <c r="A140" s="65">
        <v>137</v>
      </c>
      <c r="B140" s="62">
        <v>-1.2434497875801753E-14</v>
      </c>
      <c r="C140" s="62">
        <v>-3.0254252739177015E-17</v>
      </c>
      <c r="D140" s="67">
        <v>1.9927007299270072</v>
      </c>
      <c r="E140" s="63">
        <v>0.33819951338199511</v>
      </c>
      <c r="F140" s="63">
        <v>0.33090024330900242</v>
      </c>
      <c r="G140" s="63">
        <v>0.29308836395450566</v>
      </c>
      <c r="H140" s="63">
        <v>0.16506270049577138</v>
      </c>
      <c r="I140" s="64">
        <v>8315.7213930348262</v>
      </c>
      <c r="J140" s="64">
        <v>-7710.0706713780919</v>
      </c>
      <c r="K140" s="63">
        <v>9.002433090024331E-2</v>
      </c>
      <c r="L140" s="63">
        <v>0.24671916010498687</v>
      </c>
      <c r="M140" s="63">
        <v>0.23826188393117528</v>
      </c>
      <c r="N140" s="63">
        <v>0.56619385342789597</v>
      </c>
      <c r="O140" s="63">
        <v>0.41003671970624234</v>
      </c>
      <c r="P140" s="63">
        <v>0.43084577114427863</v>
      </c>
    </row>
    <row r="141" spans="1:16" x14ac:dyDescent="0.4">
      <c r="A141" s="65">
        <v>138</v>
      </c>
      <c r="B141" s="62">
        <v>-1.4210854715202004E-14</v>
      </c>
      <c r="C141" s="62">
        <v>-3.4325736027057978E-17</v>
      </c>
      <c r="D141" s="67">
        <v>1.9927536231884058</v>
      </c>
      <c r="E141" s="63">
        <v>0.33816425120772947</v>
      </c>
      <c r="F141" s="63">
        <v>0.33091787439613529</v>
      </c>
      <c r="G141" s="63">
        <v>0.29304347826086957</v>
      </c>
      <c r="H141" s="63">
        <v>0.16434782608695653</v>
      </c>
      <c r="I141" s="64">
        <v>8300</v>
      </c>
      <c r="J141" s="64">
        <v>-7701.0582010582011</v>
      </c>
      <c r="K141" s="63">
        <v>8.9371980676328497E-2</v>
      </c>
      <c r="L141" s="63">
        <v>0.24637681159420291</v>
      </c>
      <c r="M141" s="63">
        <v>0.23826086956521739</v>
      </c>
      <c r="N141" s="63">
        <v>0.5658823529411765</v>
      </c>
      <c r="O141" s="63">
        <v>0.40997566909975669</v>
      </c>
      <c r="P141" s="63">
        <v>0.43323442136498519</v>
      </c>
    </row>
    <row r="142" spans="1:16" x14ac:dyDescent="0.4">
      <c r="A142" s="65">
        <v>139</v>
      </c>
      <c r="B142" s="62">
        <v>-1.4210854715202004E-14</v>
      </c>
      <c r="C142" s="62">
        <v>-3.4078788285856122E-17</v>
      </c>
      <c r="D142" s="67">
        <v>1.9928057553956835</v>
      </c>
      <c r="E142" s="63">
        <v>0.33812949640287771</v>
      </c>
      <c r="F142" s="63">
        <v>0.33093525179856115</v>
      </c>
      <c r="G142" s="63">
        <v>0.29317269076305219</v>
      </c>
      <c r="H142" s="63">
        <v>0.16494549627079746</v>
      </c>
      <c r="I142" s="64">
        <v>8322.2113502935426</v>
      </c>
      <c r="J142" s="64">
        <v>-7715.652173913043</v>
      </c>
      <c r="K142" s="63">
        <v>9.1127098321342928E-2</v>
      </c>
      <c r="L142" s="63">
        <v>0.24584050487664946</v>
      </c>
      <c r="M142" s="63">
        <v>0.23866896156052783</v>
      </c>
      <c r="N142" s="63">
        <v>0.56359393232205368</v>
      </c>
      <c r="O142" s="63">
        <v>0.40985576923076922</v>
      </c>
      <c r="P142" s="63">
        <v>0.4315068493150685</v>
      </c>
    </row>
    <row r="143" spans="1:16" x14ac:dyDescent="0.4">
      <c r="A143" s="65">
        <v>140</v>
      </c>
      <c r="B143" s="62">
        <v>-1.4210854715202004E-14</v>
      </c>
      <c r="C143" s="62">
        <v>-3.3835368369528583E-17</v>
      </c>
      <c r="D143" s="67">
        <v>1.9928571428571429</v>
      </c>
      <c r="E143" s="63">
        <v>0.33809523809523812</v>
      </c>
      <c r="F143" s="63">
        <v>0.33095238095238094</v>
      </c>
      <c r="G143" s="63">
        <v>0.29319669797893538</v>
      </c>
      <c r="H143" s="63">
        <v>0.16510105323085683</v>
      </c>
      <c r="I143" s="64">
        <v>8307.6699029126212</v>
      </c>
      <c r="J143" s="64">
        <v>-7705.3448275862065</v>
      </c>
      <c r="K143" s="63">
        <v>9.0476190476190474E-2</v>
      </c>
      <c r="L143" s="63">
        <v>0.24565898092798177</v>
      </c>
      <c r="M143" s="63">
        <v>0.23939652718474239</v>
      </c>
      <c r="N143" s="63">
        <v>0.56431054461181929</v>
      </c>
      <c r="O143" s="63">
        <v>0.40665873959571935</v>
      </c>
      <c r="P143" s="63">
        <v>0.43106796116504853</v>
      </c>
    </row>
    <row r="144" spans="1:16" x14ac:dyDescent="0.4">
      <c r="A144" s="65">
        <v>141</v>
      </c>
      <c r="B144" s="62">
        <v>-1.354472090042691E-14</v>
      </c>
      <c r="C144" s="62">
        <v>-3.2020616785879222E-17</v>
      </c>
      <c r="D144" s="67">
        <v>1.9929078014184398</v>
      </c>
      <c r="E144" s="63">
        <v>0.33806146572104018</v>
      </c>
      <c r="F144" s="63">
        <v>0.33096926713947988</v>
      </c>
      <c r="G144" s="63">
        <v>0.29318631608707946</v>
      </c>
      <c r="H144" s="63">
        <v>0.1645462256149279</v>
      </c>
      <c r="I144" s="64">
        <v>8306.7502410800389</v>
      </c>
      <c r="J144" s="64">
        <v>-7723.5395189003439</v>
      </c>
      <c r="K144" s="63">
        <v>8.9834515366430265E-2</v>
      </c>
      <c r="L144" s="63">
        <v>0.24597116200169636</v>
      </c>
      <c r="M144" s="63">
        <v>0.23918575063613232</v>
      </c>
      <c r="N144" s="63">
        <v>0.56551724137931036</v>
      </c>
      <c r="O144" s="63">
        <v>0.40661938534278957</v>
      </c>
      <c r="P144" s="63">
        <v>0.43297974927675986</v>
      </c>
    </row>
    <row r="145" spans="1:16" x14ac:dyDescent="0.4">
      <c r="A145" s="65">
        <v>142</v>
      </c>
      <c r="B145" s="62">
        <v>-1.4210854715202004E-14</v>
      </c>
      <c r="C145" s="62">
        <v>-3.3358813885450714E-17</v>
      </c>
      <c r="D145" s="67">
        <v>1.9929577464788732</v>
      </c>
      <c r="E145" s="63">
        <v>0.3380281690140845</v>
      </c>
      <c r="F145" s="63">
        <v>0.33098591549295775</v>
      </c>
      <c r="G145" s="63">
        <v>0.29332206255283177</v>
      </c>
      <c r="H145" s="63">
        <v>0.16455339532262608</v>
      </c>
      <c r="I145" s="64">
        <v>8326.032660902978</v>
      </c>
      <c r="J145" s="64">
        <v>-7741.0958904109593</v>
      </c>
      <c r="K145" s="63">
        <v>9.154929577464789E-2</v>
      </c>
      <c r="L145" s="63">
        <v>0.24598478444632291</v>
      </c>
      <c r="M145" s="63">
        <v>0.23865877712031558</v>
      </c>
      <c r="N145" s="63">
        <v>0.5670103092783505</v>
      </c>
      <c r="O145" s="63">
        <v>0.40731995277449823</v>
      </c>
      <c r="P145" s="63">
        <v>0.43323727185398653</v>
      </c>
    </row>
    <row r="146" spans="1:16" x14ac:dyDescent="0.4">
      <c r="A146" s="65">
        <v>143</v>
      </c>
      <c r="B146" s="62">
        <v>-1.4210854715202004E-14</v>
      </c>
      <c r="C146" s="62">
        <v>-3.3125535466671337E-17</v>
      </c>
      <c r="D146" s="67">
        <v>1.9930069930069929</v>
      </c>
      <c r="E146" s="63">
        <v>0.33799533799533799</v>
      </c>
      <c r="F146" s="63">
        <v>0.33100233100233101</v>
      </c>
      <c r="G146" s="63">
        <v>0.29352396972245587</v>
      </c>
      <c r="H146" s="63">
        <v>0.16456405943369778</v>
      </c>
      <c r="I146" s="64">
        <v>8340.5921680993306</v>
      </c>
      <c r="J146" s="64">
        <v>-7764.9063032367976</v>
      </c>
      <c r="K146" s="63">
        <v>9.0909090909090912E-2</v>
      </c>
      <c r="L146" s="63">
        <v>0.24670591533501543</v>
      </c>
      <c r="M146" s="63">
        <v>0.23857583403420241</v>
      </c>
      <c r="N146" s="63">
        <v>0.56704545454545452</v>
      </c>
      <c r="O146" s="63">
        <v>0.40658049353701525</v>
      </c>
      <c r="P146" s="63">
        <v>0.43361986628462273</v>
      </c>
    </row>
    <row r="147" spans="1:16" x14ac:dyDescent="0.4">
      <c r="A147" s="65">
        <v>144</v>
      </c>
      <c r="B147" s="62">
        <v>-1.4210854715202004E-14</v>
      </c>
      <c r="C147" s="62">
        <v>-3.2895497025930562E-17</v>
      </c>
      <c r="D147" s="67">
        <v>1.9930555555555556</v>
      </c>
      <c r="E147" s="63">
        <v>0.33796296296296297</v>
      </c>
      <c r="F147" s="63">
        <v>0.33101851851851855</v>
      </c>
      <c r="G147" s="63">
        <v>0.29326655537006119</v>
      </c>
      <c r="H147" s="63">
        <v>0.16416249304396216</v>
      </c>
      <c r="I147" s="64">
        <v>8332.5426944971532</v>
      </c>
      <c r="J147" s="64">
        <v>-7753.2203389830511</v>
      </c>
      <c r="K147" s="63">
        <v>9.0277777777777776E-2</v>
      </c>
      <c r="L147" s="63">
        <v>0.24707846410684475</v>
      </c>
      <c r="M147" s="63">
        <v>0.23817473567056205</v>
      </c>
      <c r="N147" s="63">
        <v>0.56644144144144148</v>
      </c>
      <c r="O147" s="63">
        <v>0.40771028037383178</v>
      </c>
      <c r="P147" s="63">
        <v>0.43453510436432635</v>
      </c>
    </row>
    <row r="148" spans="1:16" x14ac:dyDescent="0.4">
      <c r="A148" s="65">
        <v>145</v>
      </c>
      <c r="B148" s="62">
        <v>-1.4210854715202004E-14</v>
      </c>
      <c r="C148" s="62">
        <v>-3.2668631529200008E-17</v>
      </c>
      <c r="D148" s="67">
        <v>1.9931034482758621</v>
      </c>
      <c r="E148" s="63">
        <v>0.33793103448275863</v>
      </c>
      <c r="F148" s="63">
        <v>0.33103448275862069</v>
      </c>
      <c r="G148" s="63">
        <v>0.29346622369878184</v>
      </c>
      <c r="H148" s="63">
        <v>0.16362126245847175</v>
      </c>
      <c r="I148" s="64">
        <v>8327.8301886792451</v>
      </c>
      <c r="J148" s="64">
        <v>-7760.406091370558</v>
      </c>
      <c r="K148" s="63">
        <v>8.9655172413793102E-2</v>
      </c>
      <c r="L148" s="63">
        <v>0.24695459579180509</v>
      </c>
      <c r="M148" s="63">
        <v>0.23781838316722037</v>
      </c>
      <c r="N148" s="63">
        <v>0.56838565022421528</v>
      </c>
      <c r="O148" s="63">
        <v>0.40745052386495928</v>
      </c>
      <c r="P148" s="63">
        <v>0.43679245283018869</v>
      </c>
    </row>
    <row r="149" spans="1:16" x14ac:dyDescent="0.4">
      <c r="A149" s="65">
        <v>146</v>
      </c>
      <c r="B149" s="62">
        <v>-1.4543921622589551E-14</v>
      </c>
      <c r="C149" s="62">
        <v>-3.3205300508195322E-17</v>
      </c>
      <c r="D149" s="67">
        <v>1.9931506849315068</v>
      </c>
      <c r="E149" s="63">
        <v>0.33789954337899542</v>
      </c>
      <c r="F149" s="63">
        <v>0.33105022831050229</v>
      </c>
      <c r="G149" s="63">
        <v>0.29314616019818329</v>
      </c>
      <c r="H149" s="63">
        <v>0.16377649325626203</v>
      </c>
      <c r="I149" s="64">
        <v>8312.7699530516438</v>
      </c>
      <c r="J149" s="64">
        <v>-7742.3529411764703</v>
      </c>
      <c r="K149" s="63">
        <v>8.9041095890410954E-2</v>
      </c>
      <c r="L149" s="63">
        <v>0.24690338563170933</v>
      </c>
      <c r="M149" s="63">
        <v>0.23809523809523808</v>
      </c>
      <c r="N149" s="63">
        <v>0.56744704570791527</v>
      </c>
      <c r="O149" s="63">
        <v>0.40578034682080927</v>
      </c>
      <c r="P149" s="63">
        <v>0.43568075117370891</v>
      </c>
    </row>
    <row r="150" spans="1:16" x14ac:dyDescent="0.4">
      <c r="A150" s="65">
        <v>147</v>
      </c>
      <c r="B150" s="62">
        <v>-1.4210854715202004E-14</v>
      </c>
      <c r="C150" s="62">
        <v>-3.2224160351931982E-17</v>
      </c>
      <c r="D150" s="67">
        <v>1.9931972789115646</v>
      </c>
      <c r="E150" s="63">
        <v>0.33786848072562359</v>
      </c>
      <c r="F150" s="63">
        <v>0.33106575963718821</v>
      </c>
      <c r="G150" s="63">
        <v>0.29340989882417284</v>
      </c>
      <c r="H150" s="63">
        <v>0.16324856439704677</v>
      </c>
      <c r="I150" s="64">
        <v>8321.1556383970183</v>
      </c>
      <c r="J150" s="64">
        <v>-7756.6164154103853</v>
      </c>
      <c r="K150" s="63">
        <v>8.8435374149659865E-2</v>
      </c>
      <c r="L150" s="63">
        <v>0.24883784522832922</v>
      </c>
      <c r="M150" s="63">
        <v>0.23735302160240634</v>
      </c>
      <c r="N150" s="63">
        <v>0.56593406593406592</v>
      </c>
      <c r="O150" s="63">
        <v>0.40552995391705071</v>
      </c>
      <c r="P150" s="63">
        <v>0.43802423112767941</v>
      </c>
    </row>
    <row r="151" spans="1:16" x14ac:dyDescent="0.4">
      <c r="A151" s="65">
        <v>148</v>
      </c>
      <c r="B151" s="62">
        <v>-2.1316282072803006E-14</v>
      </c>
      <c r="C151" s="62">
        <v>-4.800964430811488E-17</v>
      </c>
      <c r="D151" s="67">
        <v>1.9932432432432432</v>
      </c>
      <c r="E151" s="63">
        <v>0.33783783783783783</v>
      </c>
      <c r="F151" s="63">
        <v>0.33108108108108109</v>
      </c>
      <c r="G151" s="63">
        <v>0.29363784665579118</v>
      </c>
      <c r="H151" s="63">
        <v>0.16313213703099511</v>
      </c>
      <c r="I151" s="64">
        <v>8343.7037037037044</v>
      </c>
      <c r="J151" s="64">
        <v>-7793.833333333333</v>
      </c>
      <c r="K151" s="63">
        <v>9.0090090090090086E-2</v>
      </c>
      <c r="L151" s="63">
        <v>0.24932028276237087</v>
      </c>
      <c r="M151" s="63">
        <v>0.23708537248504621</v>
      </c>
      <c r="N151" s="63">
        <v>0.56597600872410037</v>
      </c>
      <c r="O151" s="63">
        <v>0.40481651376146788</v>
      </c>
      <c r="P151" s="63">
        <v>0.43888888888888888</v>
      </c>
    </row>
    <row r="152" spans="1:16" x14ac:dyDescent="0.4">
      <c r="A152" s="65">
        <v>149</v>
      </c>
      <c r="B152" s="62">
        <v>-2.1316282072803006E-14</v>
      </c>
      <c r="C152" s="62">
        <v>-4.7687431930208065E-17</v>
      </c>
      <c r="D152" s="67">
        <v>1.9932885906040267</v>
      </c>
      <c r="E152" s="63">
        <v>0.3378076062639821</v>
      </c>
      <c r="F152" s="63">
        <v>0.33109619686800895</v>
      </c>
      <c r="G152" s="63">
        <v>0.29359286293592862</v>
      </c>
      <c r="H152" s="63">
        <v>0.16355771830224386</v>
      </c>
      <c r="I152" s="64">
        <v>8338.674033149171</v>
      </c>
      <c r="J152" s="64">
        <v>-7789.9173553719011</v>
      </c>
      <c r="K152" s="63">
        <v>8.9485458612975396E-2</v>
      </c>
      <c r="L152" s="63">
        <v>0.2492565558258989</v>
      </c>
      <c r="M152" s="63">
        <v>0.23655041903217086</v>
      </c>
      <c r="N152" s="63">
        <v>0.56616052060737532</v>
      </c>
      <c r="O152" s="63">
        <v>0.40571428571428569</v>
      </c>
      <c r="P152" s="63">
        <v>0.43738489871086556</v>
      </c>
    </row>
    <row r="153" spans="1:16" x14ac:dyDescent="0.4">
      <c r="A153" s="65">
        <v>150</v>
      </c>
      <c r="B153" s="62">
        <v>-2.1316282072803006E-14</v>
      </c>
      <c r="C153" s="62">
        <v>-4.7369515717340015E-17</v>
      </c>
      <c r="D153" s="67">
        <v>1.9933333333333334</v>
      </c>
      <c r="E153" s="63">
        <v>0.33777777777777779</v>
      </c>
      <c r="F153" s="63">
        <v>0.33111111111111113</v>
      </c>
      <c r="G153" s="63">
        <v>0.29348411416262787</v>
      </c>
      <c r="H153" s="63">
        <v>0.16289714593430263</v>
      </c>
      <c r="I153" s="64">
        <v>8384.9541284403676</v>
      </c>
      <c r="J153" s="64">
        <v>-7789.9173553719011</v>
      </c>
      <c r="K153" s="63">
        <v>9.1111111111111115E-2</v>
      </c>
      <c r="L153" s="63">
        <v>0.24986537425955843</v>
      </c>
      <c r="M153" s="63">
        <v>0.23586429725363489</v>
      </c>
      <c r="N153" s="63">
        <v>0.56573275862068961</v>
      </c>
      <c r="O153" s="63">
        <v>0.40639269406392692</v>
      </c>
      <c r="P153" s="63">
        <v>0.43944954128440367</v>
      </c>
    </row>
    <row r="154" spans="1:16" x14ac:dyDescent="0.4">
      <c r="A154" s="65">
        <v>151</v>
      </c>
      <c r="B154" s="62">
        <v>-2.4868995751603507E-14</v>
      </c>
      <c r="C154" s="62">
        <v>-5.4898445367778163E-17</v>
      </c>
      <c r="D154" s="67">
        <v>1.9933774834437086</v>
      </c>
      <c r="E154" s="63">
        <v>0.33774834437086093</v>
      </c>
      <c r="F154" s="63">
        <v>0.33112582781456956</v>
      </c>
      <c r="G154" s="63">
        <v>0.29370816599732263</v>
      </c>
      <c r="H154" s="63">
        <v>0.16305220883534136</v>
      </c>
      <c r="I154" s="64">
        <v>8364.3573381950773</v>
      </c>
      <c r="J154" s="64">
        <v>-7762.5615763546803</v>
      </c>
      <c r="K154" s="63">
        <v>9.0507726269315678E-2</v>
      </c>
      <c r="L154" s="63">
        <v>0.24953145917001338</v>
      </c>
      <c r="M154" s="63">
        <v>0.23480589022757697</v>
      </c>
      <c r="N154" s="63">
        <v>0.56545064377682408</v>
      </c>
      <c r="O154" s="63">
        <v>0.40706955530216649</v>
      </c>
      <c r="P154" s="63">
        <v>0.43938012762078393</v>
      </c>
    </row>
    <row r="155" spans="1:16" x14ac:dyDescent="0.4">
      <c r="A155" s="65">
        <v>152</v>
      </c>
      <c r="B155" s="62">
        <v>-2.1316282072803006E-14</v>
      </c>
      <c r="C155" s="62">
        <v>-4.6746232615796062E-17</v>
      </c>
      <c r="D155" s="67">
        <v>1.993421052631579</v>
      </c>
      <c r="E155" s="63">
        <v>0.33771929824561403</v>
      </c>
      <c r="F155" s="63">
        <v>0.33114035087719296</v>
      </c>
      <c r="G155" s="63">
        <v>0.29396115988294758</v>
      </c>
      <c r="H155" s="63">
        <v>0.16227720138334664</v>
      </c>
      <c r="I155" s="64">
        <v>8344.8868778280539</v>
      </c>
      <c r="J155" s="64">
        <v>-7762.9508196721308</v>
      </c>
      <c r="K155" s="63">
        <v>8.9912280701754388E-2</v>
      </c>
      <c r="L155" s="63">
        <v>0.25006650704974726</v>
      </c>
      <c r="M155" s="63">
        <v>0.23357275871242353</v>
      </c>
      <c r="N155" s="63">
        <v>0.56595744680851068</v>
      </c>
      <c r="O155" s="63">
        <v>0.40774487471526194</v>
      </c>
      <c r="P155" s="63">
        <v>0.44253393665158369</v>
      </c>
    </row>
    <row r="156" spans="1:16" x14ac:dyDescent="0.4">
      <c r="A156" s="65">
        <v>153</v>
      </c>
      <c r="B156" s="62">
        <v>-2.1316282072803006E-14</v>
      </c>
      <c r="C156" s="62">
        <v>-4.644070168366668E-17</v>
      </c>
      <c r="D156" s="67">
        <v>1.9934640522875817</v>
      </c>
      <c r="E156" s="63">
        <v>0.33769063180827885</v>
      </c>
      <c r="F156" s="63">
        <v>0.33115468409586057</v>
      </c>
      <c r="G156" s="63">
        <v>0.2941487953402171</v>
      </c>
      <c r="H156" s="63">
        <v>0.16176859941752714</v>
      </c>
      <c r="I156" s="64">
        <v>8339.8739873987397</v>
      </c>
      <c r="J156" s="64">
        <v>-7753.5188216039278</v>
      </c>
      <c r="K156" s="63">
        <v>8.9324618736383449E-2</v>
      </c>
      <c r="L156" s="63">
        <v>0.25019857029388404</v>
      </c>
      <c r="M156" s="63">
        <v>0.23325390521577971</v>
      </c>
      <c r="N156" s="63">
        <v>0.56613756613756616</v>
      </c>
      <c r="O156" s="63">
        <v>0.40749148694665155</v>
      </c>
      <c r="P156" s="63">
        <v>0.44464446444644462</v>
      </c>
    </row>
    <row r="157" spans="1:16" x14ac:dyDescent="0.4">
      <c r="A157" s="65">
        <v>154</v>
      </c>
      <c r="B157" s="62">
        <v>-2.1316282072803006E-14</v>
      </c>
      <c r="C157" s="62">
        <v>-4.6139138685720794E-17</v>
      </c>
      <c r="D157" s="67">
        <v>1.9935064935064934</v>
      </c>
      <c r="E157" s="63">
        <v>0.33766233766233766</v>
      </c>
      <c r="F157" s="63">
        <v>0.33116883116883117</v>
      </c>
      <c r="G157" s="63">
        <v>0.29439621152328332</v>
      </c>
      <c r="H157" s="63">
        <v>0.16232570376216784</v>
      </c>
      <c r="I157" s="64">
        <v>8329.3118856121546</v>
      </c>
      <c r="J157" s="64">
        <v>-7747.0016207455428</v>
      </c>
      <c r="K157" s="63">
        <v>8.8744588744588751E-2</v>
      </c>
      <c r="L157" s="63">
        <v>0.2496711391739016</v>
      </c>
      <c r="M157" s="63">
        <v>0.23204419889502761</v>
      </c>
      <c r="N157" s="63">
        <v>0.5669125395152792</v>
      </c>
      <c r="O157" s="63">
        <v>0.40702947845804988</v>
      </c>
      <c r="P157" s="63">
        <v>0.44325290437890974</v>
      </c>
    </row>
    <row r="158" spans="1:16" x14ac:dyDescent="0.4">
      <c r="A158" s="65">
        <v>155</v>
      </c>
      <c r="B158" s="62">
        <v>-2.1316282072803006E-14</v>
      </c>
      <c r="C158" s="62">
        <v>-4.584146682323227E-17</v>
      </c>
      <c r="D158" s="67">
        <v>1.9935483870967743</v>
      </c>
      <c r="E158" s="63">
        <v>0.33763440860215055</v>
      </c>
      <c r="F158" s="63">
        <v>0.33118279569892473</v>
      </c>
      <c r="G158" s="63">
        <v>0.29414838035527691</v>
      </c>
      <c r="H158" s="63">
        <v>0.16222570532915362</v>
      </c>
      <c r="I158" s="64">
        <v>8316.2522202486671</v>
      </c>
      <c r="J158" s="64">
        <v>-7747.9871175523349</v>
      </c>
      <c r="K158" s="63">
        <v>8.8172043010752682E-2</v>
      </c>
      <c r="L158" s="63">
        <v>0.2497387669801463</v>
      </c>
      <c r="M158" s="63">
        <v>0.23171368861024033</v>
      </c>
      <c r="N158" s="63">
        <v>0.56589958158995812</v>
      </c>
      <c r="O158" s="63">
        <v>0.40698985343855693</v>
      </c>
      <c r="P158" s="63">
        <v>0.44227353463587921</v>
      </c>
    </row>
    <row r="159" spans="1:16" x14ac:dyDescent="0.4">
      <c r="A159" s="65">
        <v>156</v>
      </c>
      <c r="B159" s="62">
        <v>-2.1316282072803006E-14</v>
      </c>
      <c r="C159" s="62">
        <v>-4.5547611266673087E-17</v>
      </c>
      <c r="D159" s="67">
        <v>1.9935897435897436</v>
      </c>
      <c r="E159" s="63">
        <v>0.33760683760683763</v>
      </c>
      <c r="F159" s="63">
        <v>0.33119658119658119</v>
      </c>
      <c r="G159" s="63">
        <v>0.29436217199272541</v>
      </c>
      <c r="H159" s="63">
        <v>0.16263964666147052</v>
      </c>
      <c r="I159" s="64">
        <v>8306.4430714916143</v>
      </c>
      <c r="J159" s="64">
        <v>-7745.207667731629</v>
      </c>
      <c r="K159" s="63">
        <v>8.7606837606837601E-2</v>
      </c>
      <c r="L159" s="63">
        <v>0.25045466354897378</v>
      </c>
      <c r="M159" s="63">
        <v>0.23174850610548195</v>
      </c>
      <c r="N159" s="63">
        <v>0.56535269709543567</v>
      </c>
      <c r="O159" s="63">
        <v>0.40582959641255606</v>
      </c>
      <c r="P159" s="63">
        <v>0.44130626654898497</v>
      </c>
    </row>
    <row r="160" spans="1:16" x14ac:dyDescent="0.4">
      <c r="A160" s="65">
        <v>157</v>
      </c>
      <c r="B160" s="62">
        <v>-2.8421709430404007E-14</v>
      </c>
      <c r="C160" s="62">
        <v>-6.0343332124000015E-17</v>
      </c>
      <c r="D160" s="67">
        <v>1.9936305732484076</v>
      </c>
      <c r="E160" s="63">
        <v>0.33757961783439489</v>
      </c>
      <c r="F160" s="63">
        <v>0.33121019108280253</v>
      </c>
      <c r="G160" s="63">
        <v>0.2942849754331523</v>
      </c>
      <c r="H160" s="63">
        <v>0.16291698991466252</v>
      </c>
      <c r="I160" s="64">
        <v>8306.9420035149378</v>
      </c>
      <c r="J160" s="64">
        <v>-7750.1587301587306</v>
      </c>
      <c r="K160" s="63">
        <v>8.9171974522292988E-2</v>
      </c>
      <c r="L160" s="63">
        <v>0.25084044478924233</v>
      </c>
      <c r="M160" s="63">
        <v>0.23196276183087663</v>
      </c>
      <c r="N160" s="63">
        <v>0.56494845360824741</v>
      </c>
      <c r="O160" s="63">
        <v>0.40579710144927539</v>
      </c>
      <c r="P160" s="63">
        <v>0.44024604569420034</v>
      </c>
    </row>
    <row r="161" spans="1:16" x14ac:dyDescent="0.4">
      <c r="A161" s="65">
        <v>158</v>
      </c>
      <c r="B161" s="62">
        <v>-3.5527136788005009E-14</v>
      </c>
      <c r="C161" s="62">
        <v>-7.4951765375537991E-17</v>
      </c>
      <c r="D161" s="67">
        <v>1.9936708860759493</v>
      </c>
      <c r="E161" s="63">
        <v>0.33755274261603374</v>
      </c>
      <c r="F161" s="63">
        <v>0.33122362869198313</v>
      </c>
      <c r="G161" s="63">
        <v>0.29410256410256408</v>
      </c>
      <c r="H161" s="63">
        <v>0.1635897435897436</v>
      </c>
      <c r="I161" s="64">
        <v>8322.7550130775944</v>
      </c>
      <c r="J161" s="64">
        <v>-7794.2006269592475</v>
      </c>
      <c r="K161" s="63">
        <v>9.0717299578059074E-2</v>
      </c>
      <c r="L161" s="63">
        <v>0.25102564102564101</v>
      </c>
      <c r="M161" s="63">
        <v>0.23179487179487179</v>
      </c>
      <c r="N161" s="63">
        <v>0.56486210418794691</v>
      </c>
      <c r="O161" s="63">
        <v>0.40707964601769914</v>
      </c>
      <c r="P161" s="63">
        <v>0.43766346992153443</v>
      </c>
    </row>
    <row r="162" spans="1:16" x14ac:dyDescent="0.4">
      <c r="A162" s="65">
        <v>159</v>
      </c>
      <c r="B162" s="62">
        <v>-3.5527136788005009E-14</v>
      </c>
      <c r="C162" s="62">
        <v>-7.4480370624748451E-17</v>
      </c>
      <c r="D162" s="67">
        <v>1.9937106918238994</v>
      </c>
      <c r="E162" s="63">
        <v>0.33752620545073375</v>
      </c>
      <c r="F162" s="63">
        <v>0.33123689727463312</v>
      </c>
      <c r="G162" s="63">
        <v>0.29408766564729866</v>
      </c>
      <c r="H162" s="63">
        <v>0.1636085626911315</v>
      </c>
      <c r="I162" s="64">
        <v>8319.0641247833628</v>
      </c>
      <c r="J162" s="64">
        <v>-7770.5607476635514</v>
      </c>
      <c r="K162" s="63">
        <v>9.0146750524109018E-2</v>
      </c>
      <c r="L162" s="63">
        <v>0.25127420998980632</v>
      </c>
      <c r="M162" s="63">
        <v>0.23088685015290519</v>
      </c>
      <c r="N162" s="63">
        <v>0.56490872210953347</v>
      </c>
      <c r="O162" s="63">
        <v>0.40728476821192056</v>
      </c>
      <c r="P162" s="63">
        <v>0.43760831889081458</v>
      </c>
    </row>
    <row r="163" spans="1:16" x14ac:dyDescent="0.4">
      <c r="A163" s="65">
        <v>160</v>
      </c>
      <c r="B163" s="62">
        <v>-3.5527136788005009E-14</v>
      </c>
      <c r="C163" s="62">
        <v>-7.4014868308343765E-17</v>
      </c>
      <c r="D163" s="67">
        <v>1.9937499999999999</v>
      </c>
      <c r="E163" s="63">
        <v>0.33750000000000002</v>
      </c>
      <c r="F163" s="63">
        <v>0.33124999999999999</v>
      </c>
      <c r="G163" s="63">
        <v>0.29407294832826747</v>
      </c>
      <c r="H163" s="63">
        <v>0.16362715298885511</v>
      </c>
      <c r="I163" s="64">
        <v>8300</v>
      </c>
      <c r="J163" s="64">
        <v>-7760.5263157894733</v>
      </c>
      <c r="K163" s="63">
        <v>8.9583333333333334E-2</v>
      </c>
      <c r="L163" s="63">
        <v>0.25177304964539005</v>
      </c>
      <c r="M163" s="63">
        <v>0.2307497467071935</v>
      </c>
      <c r="N163" s="63">
        <v>0.56338028169014087</v>
      </c>
      <c r="O163" s="63">
        <v>0.40724478594950603</v>
      </c>
      <c r="P163" s="63">
        <v>0.43755383290267014</v>
      </c>
    </row>
    <row r="164" spans="1:16" x14ac:dyDescent="0.4">
      <c r="A164" s="65">
        <v>161</v>
      </c>
      <c r="B164" s="62">
        <v>-3.6859404417555197E-14</v>
      </c>
      <c r="C164" s="62">
        <v>-7.6313466703012835E-17</v>
      </c>
      <c r="D164" s="67">
        <v>1.9937888198757765</v>
      </c>
      <c r="E164" s="63">
        <v>0.33747412008281574</v>
      </c>
      <c r="F164" s="63">
        <v>0.33126293995859213</v>
      </c>
      <c r="G164" s="63">
        <v>0.29425113464447805</v>
      </c>
      <c r="H164" s="63">
        <v>0.16389309127584467</v>
      </c>
      <c r="I164" s="64">
        <v>8305.2270779777209</v>
      </c>
      <c r="J164" s="64">
        <v>-7761.8461538461543</v>
      </c>
      <c r="K164" s="63">
        <v>9.1097308488612833E-2</v>
      </c>
      <c r="L164" s="63">
        <v>0.2508825012607161</v>
      </c>
      <c r="M164" s="63">
        <v>0.23096318709026728</v>
      </c>
      <c r="N164" s="63">
        <v>0.56381909547738696</v>
      </c>
      <c r="O164" s="63">
        <v>0.40938864628820959</v>
      </c>
      <c r="P164" s="63">
        <v>0.43701799485861181</v>
      </c>
    </row>
    <row r="165" spans="1:16" x14ac:dyDescent="0.4">
      <c r="A165" s="65">
        <v>162</v>
      </c>
      <c r="B165" s="62">
        <v>-3.907985046680551E-14</v>
      </c>
      <c r="C165" s="62">
        <v>-8.0411214952274716E-17</v>
      </c>
      <c r="D165" s="67">
        <v>1.9938271604938271</v>
      </c>
      <c r="E165" s="63">
        <v>0.33744855967078191</v>
      </c>
      <c r="F165" s="63">
        <v>0.33127572016460904</v>
      </c>
      <c r="G165" s="63">
        <v>0.29441117764471059</v>
      </c>
      <c r="H165" s="63">
        <v>0.16392215568862276</v>
      </c>
      <c r="I165" s="64">
        <v>8324.5762711864409</v>
      </c>
      <c r="J165" s="64">
        <v>-7790.5631659056316</v>
      </c>
      <c r="K165" s="63">
        <v>9.0534979423868317E-2</v>
      </c>
      <c r="L165" s="63">
        <v>0.250499001996008</v>
      </c>
      <c r="M165" s="63">
        <v>0.23203592814371257</v>
      </c>
      <c r="N165" s="63">
        <v>0.5627490039840638</v>
      </c>
      <c r="O165" s="63">
        <v>0.41182795698924729</v>
      </c>
      <c r="P165" s="63">
        <v>0.43728813559322033</v>
      </c>
    </row>
    <row r="166" spans="1:16" x14ac:dyDescent="0.4">
      <c r="A166" s="65">
        <v>163</v>
      </c>
      <c r="B166" s="62">
        <v>-3.5527136788005009E-14</v>
      </c>
      <c r="C166" s="62">
        <v>-7.2652631468312906E-17</v>
      </c>
      <c r="D166" s="67">
        <v>1.9938650306748467</v>
      </c>
      <c r="E166" s="63">
        <v>0.33742331288343558</v>
      </c>
      <c r="F166" s="63">
        <v>0.33128834355828218</v>
      </c>
      <c r="G166" s="63">
        <v>0.29458519622454049</v>
      </c>
      <c r="H166" s="63">
        <v>0.16368604073522106</v>
      </c>
      <c r="I166" s="64">
        <v>8318.465430016864</v>
      </c>
      <c r="J166" s="64">
        <v>-7783.4597875569043</v>
      </c>
      <c r="K166" s="63">
        <v>9.202453987730061E-2</v>
      </c>
      <c r="L166" s="63">
        <v>0.25062096373571785</v>
      </c>
      <c r="M166" s="63">
        <v>0.23174366616989567</v>
      </c>
      <c r="N166" s="63">
        <v>0.56293359762140738</v>
      </c>
      <c r="O166" s="63">
        <v>0.41264737406216506</v>
      </c>
      <c r="P166" s="63">
        <v>0.43844856661045534</v>
      </c>
    </row>
    <row r="167" spans="1:16" x14ac:dyDescent="0.4">
      <c r="A167" s="65">
        <v>164</v>
      </c>
      <c r="B167" s="62">
        <v>-3.907985046680551E-14</v>
      </c>
      <c r="C167" s="62">
        <v>-7.9430590379685997E-17</v>
      </c>
      <c r="D167" s="67">
        <v>1.9939024390243902</v>
      </c>
      <c r="E167" s="63">
        <v>0.33739837398373984</v>
      </c>
      <c r="F167" s="63">
        <v>0.33130081300813008</v>
      </c>
      <c r="G167" s="63">
        <v>0.2944649446494465</v>
      </c>
      <c r="H167" s="63">
        <v>0.16334563345633457</v>
      </c>
      <c r="I167" s="64">
        <v>8305.1796157059307</v>
      </c>
      <c r="J167" s="64">
        <v>-7753.1626506024095</v>
      </c>
      <c r="K167" s="63">
        <v>9.1463414634146339E-2</v>
      </c>
      <c r="L167" s="63">
        <v>0.25116851168511684</v>
      </c>
      <c r="M167" s="63">
        <v>0.23345633456334564</v>
      </c>
      <c r="N167" s="63">
        <v>0.56023506366307541</v>
      </c>
      <c r="O167" s="63">
        <v>0.41095890410958902</v>
      </c>
      <c r="P167" s="63">
        <v>0.43943191311612362</v>
      </c>
    </row>
    <row r="168" spans="1:16" x14ac:dyDescent="0.4">
      <c r="A168" s="65">
        <v>165</v>
      </c>
      <c r="B168" s="62">
        <v>-3.5527136788005009E-14</v>
      </c>
      <c r="C168" s="62">
        <v>-7.1771993511121237E-17</v>
      </c>
      <c r="D168" s="67">
        <v>1.9939393939393939</v>
      </c>
      <c r="E168" s="63">
        <v>0.33737373737373738</v>
      </c>
      <c r="F168" s="63">
        <v>0.33131313131313134</v>
      </c>
      <c r="G168" s="63">
        <v>0.29453391898487069</v>
      </c>
      <c r="H168" s="63">
        <v>0.16325036603221083</v>
      </c>
      <c r="I168" s="64">
        <v>8292.9577464788727</v>
      </c>
      <c r="J168" s="64">
        <v>-7742.6008968609867</v>
      </c>
      <c r="K168" s="63">
        <v>9.0909090909090912E-2</v>
      </c>
      <c r="L168" s="63">
        <v>0.25085407515861396</v>
      </c>
      <c r="M168" s="63">
        <v>0.23352855051244509</v>
      </c>
      <c r="N168" s="63">
        <v>0.55933852140077822</v>
      </c>
      <c r="O168" s="63">
        <v>0.41065830721003133</v>
      </c>
      <c r="P168" s="63">
        <v>0.43993371996685998</v>
      </c>
    </row>
    <row r="169" spans="1:16" x14ac:dyDescent="0.4">
      <c r="A169" s="65">
        <v>166</v>
      </c>
      <c r="B169" s="62">
        <v>-3.5527136788005009E-14</v>
      </c>
      <c r="C169" s="62">
        <v>-7.1339632104427729E-17</v>
      </c>
      <c r="D169" s="67">
        <v>1.9939759036144578</v>
      </c>
      <c r="E169" s="63">
        <v>0.33734939759036142</v>
      </c>
      <c r="F169" s="63">
        <v>0.33132530120481929</v>
      </c>
      <c r="G169" s="63">
        <v>0.2946754194018964</v>
      </c>
      <c r="H169" s="63">
        <v>0.16338439095550694</v>
      </c>
      <c r="I169" s="64">
        <v>8297.4422442244231</v>
      </c>
      <c r="J169" s="64">
        <v>-7747.916666666667</v>
      </c>
      <c r="K169" s="63">
        <v>9.2369477911646583E-2</v>
      </c>
      <c r="L169" s="63">
        <v>0.25066861171893995</v>
      </c>
      <c r="M169" s="63">
        <v>0.23340627279358134</v>
      </c>
      <c r="N169" s="63">
        <v>0.56062075654704169</v>
      </c>
      <c r="O169" s="63">
        <v>0.41041666666666665</v>
      </c>
      <c r="P169" s="63">
        <v>0.43976897689768979</v>
      </c>
    </row>
    <row r="170" spans="1:16" x14ac:dyDescent="0.4">
      <c r="A170" s="65">
        <v>167</v>
      </c>
      <c r="B170" s="62">
        <v>-4.2632564145606011E-14</v>
      </c>
      <c r="C170" s="62">
        <v>-8.5094938414383261E-17</v>
      </c>
      <c r="D170" s="67">
        <v>1.9940119760479043</v>
      </c>
      <c r="E170" s="63">
        <v>0.33732534930139718</v>
      </c>
      <c r="F170" s="63">
        <v>0.33133732534930138</v>
      </c>
      <c r="G170" s="63">
        <v>0.29487179487179488</v>
      </c>
      <c r="H170" s="63">
        <v>0.16376390904692792</v>
      </c>
      <c r="I170" s="64">
        <v>8297.4569319114034</v>
      </c>
      <c r="J170" s="64">
        <v>-7741.0635155096015</v>
      </c>
      <c r="K170" s="63">
        <v>9.1816367265469059E-2</v>
      </c>
      <c r="L170" s="63">
        <v>0.25108853410740201</v>
      </c>
      <c r="M170" s="63">
        <v>0.2331881954523464</v>
      </c>
      <c r="N170" s="63">
        <v>0.56165703275529866</v>
      </c>
      <c r="O170" s="63">
        <v>0.40975103734439833</v>
      </c>
      <c r="P170" s="63">
        <v>0.43888433141919608</v>
      </c>
    </row>
    <row r="171" spans="1:16" x14ac:dyDescent="0.4">
      <c r="A171" s="65">
        <v>168</v>
      </c>
      <c r="B171" s="62">
        <v>-4.2632564145606011E-14</v>
      </c>
      <c r="C171" s="62">
        <v>-8.4588420923821446E-17</v>
      </c>
      <c r="D171" s="67">
        <v>1.9940476190476191</v>
      </c>
      <c r="E171" s="63">
        <v>0.33730158730158732</v>
      </c>
      <c r="F171" s="63">
        <v>0.33134920634920634</v>
      </c>
      <c r="G171" s="63">
        <v>0.29485329485329487</v>
      </c>
      <c r="H171" s="63">
        <v>0.16354016354016354</v>
      </c>
      <c r="I171" s="64">
        <v>8301.8760195758568</v>
      </c>
      <c r="J171" s="64">
        <v>-7753.5294117647063</v>
      </c>
      <c r="K171" s="63">
        <v>9.3253968253968256E-2</v>
      </c>
      <c r="L171" s="63">
        <v>0.25156325156325154</v>
      </c>
      <c r="M171" s="63">
        <v>0.23328523328523329</v>
      </c>
      <c r="N171" s="63">
        <v>0.56118546845124284</v>
      </c>
      <c r="O171" s="63">
        <v>0.41030927835051545</v>
      </c>
      <c r="P171" s="63">
        <v>0.43964110929853178</v>
      </c>
    </row>
    <row r="172" spans="1:16" x14ac:dyDescent="0.4">
      <c r="A172" s="65">
        <v>169</v>
      </c>
      <c r="B172" s="62">
        <v>-4.2632564145606011E-14</v>
      </c>
      <c r="C172" s="62">
        <v>-8.4087897723088777E-17</v>
      </c>
      <c r="D172" s="67">
        <v>1.9940828402366864</v>
      </c>
      <c r="E172" s="63">
        <v>0.33727810650887574</v>
      </c>
      <c r="F172" s="63">
        <v>0.33136094674556216</v>
      </c>
      <c r="G172" s="63">
        <v>0.29480737018425462</v>
      </c>
      <c r="H172" s="63">
        <v>0.16391481215601819</v>
      </c>
      <c r="I172" s="64">
        <v>8299.2694805194806</v>
      </c>
      <c r="J172" s="64">
        <v>-7753.2846715328469</v>
      </c>
      <c r="K172" s="63">
        <v>9.270216962524655E-2</v>
      </c>
      <c r="L172" s="63">
        <v>0.25269203158650394</v>
      </c>
      <c r="M172" s="63">
        <v>0.23211294568078489</v>
      </c>
      <c r="N172" s="63">
        <v>0.56060606060606055</v>
      </c>
      <c r="O172" s="63">
        <v>0.41030927835051545</v>
      </c>
      <c r="P172" s="63">
        <v>0.43831168831168832</v>
      </c>
    </row>
    <row r="173" spans="1:16" x14ac:dyDescent="0.4">
      <c r="A173" s="65">
        <v>170</v>
      </c>
      <c r="B173" s="62">
        <v>-5.6843418860808015E-14</v>
      </c>
      <c r="C173" s="62">
        <v>-1.1145768404080003E-16</v>
      </c>
      <c r="D173" s="67">
        <v>1.9941176470588236</v>
      </c>
      <c r="E173" s="63">
        <v>0.33725490196078434</v>
      </c>
      <c r="F173" s="63">
        <v>0.33137254901960783</v>
      </c>
      <c r="G173" s="63">
        <v>0.2947343340481296</v>
      </c>
      <c r="H173" s="63">
        <v>0.16416487967595902</v>
      </c>
      <c r="I173" s="64">
        <v>8362.0856911883584</v>
      </c>
      <c r="J173" s="64">
        <v>-7878.2293178519594</v>
      </c>
      <c r="K173" s="63">
        <v>9.4117647058823528E-2</v>
      </c>
      <c r="L173" s="63">
        <v>0.2527996187753157</v>
      </c>
      <c r="M173" s="63">
        <v>0.2315939957112223</v>
      </c>
      <c r="N173" s="63">
        <v>0.56079170593779448</v>
      </c>
      <c r="O173" s="63">
        <v>0.40946502057613171</v>
      </c>
      <c r="P173" s="63">
        <v>0.43734842360549719</v>
      </c>
    </row>
    <row r="174" spans="1:16" x14ac:dyDescent="0.4">
      <c r="A174" s="65">
        <v>171</v>
      </c>
      <c r="B174" s="62">
        <v>-5.6843418860808015E-14</v>
      </c>
      <c r="C174" s="62">
        <v>-1.10805884718924E-16</v>
      </c>
      <c r="D174" s="67">
        <v>1.9941520467836258</v>
      </c>
      <c r="E174" s="63">
        <v>0.33723196881091616</v>
      </c>
      <c r="F174" s="63">
        <v>0.33138401559454189</v>
      </c>
      <c r="G174" s="63">
        <v>0.29468942626837363</v>
      </c>
      <c r="H174" s="63">
        <v>0.16382171645329541</v>
      </c>
      <c r="I174" s="64">
        <v>8372.8881737731299</v>
      </c>
      <c r="J174" s="64">
        <v>-7875.1085383502168</v>
      </c>
      <c r="K174" s="63">
        <v>9.3567251461988299E-2</v>
      </c>
      <c r="L174" s="63">
        <v>0.25248933143669988</v>
      </c>
      <c r="M174" s="63">
        <v>0.23138928402086298</v>
      </c>
      <c r="N174" s="63">
        <v>0.56056338028169017</v>
      </c>
      <c r="O174" s="63">
        <v>0.4098360655737705</v>
      </c>
      <c r="P174" s="63">
        <v>0.43845534995977475</v>
      </c>
    </row>
    <row r="175" spans="1:16" x14ac:dyDescent="0.4">
      <c r="A175" s="65">
        <v>172</v>
      </c>
      <c r="B175" s="62">
        <v>-5.6843418860808015E-14</v>
      </c>
      <c r="C175" s="62">
        <v>-1.1016166445893026E-16</v>
      </c>
      <c r="D175" s="67">
        <v>1.9941860465116279</v>
      </c>
      <c r="E175" s="63">
        <v>0.33720930232558138</v>
      </c>
      <c r="F175" s="63">
        <v>0.33139534883720928</v>
      </c>
      <c r="G175" s="63">
        <v>0.29446407538280328</v>
      </c>
      <c r="H175" s="63">
        <v>0.16348645465253239</v>
      </c>
      <c r="I175" s="64">
        <v>8374</v>
      </c>
      <c r="J175" s="64">
        <v>-7864.6974063400576</v>
      </c>
      <c r="K175" s="63">
        <v>9.3023255813953487E-2</v>
      </c>
      <c r="L175" s="63">
        <v>0.25276796230859833</v>
      </c>
      <c r="M175" s="63">
        <v>0.23180212014134274</v>
      </c>
      <c r="N175" s="63">
        <v>0.5601118359739049</v>
      </c>
      <c r="O175" s="63">
        <v>0.40955284552845528</v>
      </c>
      <c r="P175" s="63">
        <v>0.43919999999999998</v>
      </c>
    </row>
    <row r="176" spans="1:16" x14ac:dyDescent="0.4">
      <c r="A176" s="65">
        <v>173</v>
      </c>
      <c r="B176" s="62">
        <v>-5.6843418860808015E-14</v>
      </c>
      <c r="C176" s="62">
        <v>-1.0952489183200003E-16</v>
      </c>
      <c r="D176" s="67">
        <v>1.9942196531791907</v>
      </c>
      <c r="E176" s="63">
        <v>0.33718689788053952</v>
      </c>
      <c r="F176" s="63">
        <v>0.33140655105973027</v>
      </c>
      <c r="G176" s="63">
        <v>0.29454630935590032</v>
      </c>
      <c r="H176" s="63">
        <v>0.16337564645039962</v>
      </c>
      <c r="I176" s="64">
        <v>8398.324022346369</v>
      </c>
      <c r="J176" s="64">
        <v>-7857.5539568345321</v>
      </c>
      <c r="K176" s="63">
        <v>9.4412331406551059E-2</v>
      </c>
      <c r="L176" s="63">
        <v>0.25246826516220028</v>
      </c>
      <c r="M176" s="63">
        <v>0.23178185237423601</v>
      </c>
      <c r="N176" s="63">
        <v>0.55959031657355685</v>
      </c>
      <c r="O176" s="63">
        <v>0.41075050709939148</v>
      </c>
      <c r="P176" s="63">
        <v>0.43974461292897049</v>
      </c>
    </row>
    <row r="177" spans="1:16" x14ac:dyDescent="0.4">
      <c r="A177" s="65">
        <v>174</v>
      </c>
      <c r="B177" s="62">
        <v>-5.6843418860808015E-14</v>
      </c>
      <c r="C177" s="62">
        <v>-1.0889543843066669E-16</v>
      </c>
      <c r="D177" s="67">
        <v>1.9942528735632183</v>
      </c>
      <c r="E177" s="63">
        <v>0.33716475095785442</v>
      </c>
      <c r="F177" s="63">
        <v>0.33141762452107282</v>
      </c>
      <c r="G177" s="63">
        <v>0.29432375613174494</v>
      </c>
      <c r="H177" s="63">
        <v>0.16327960756832516</v>
      </c>
      <c r="I177" s="64">
        <v>8413.5714285714294</v>
      </c>
      <c r="J177" s="64">
        <v>-7878.3977110157366</v>
      </c>
      <c r="K177" s="63">
        <v>9.3869731800766285E-2</v>
      </c>
      <c r="L177" s="63">
        <v>0.25367904695164684</v>
      </c>
      <c r="M177" s="63">
        <v>0.23125437981779959</v>
      </c>
      <c r="N177" s="63">
        <v>0.55801104972375692</v>
      </c>
      <c r="O177" s="63">
        <v>0.40909090909090912</v>
      </c>
      <c r="P177" s="63">
        <v>0.43968253968253967</v>
      </c>
    </row>
    <row r="178" spans="1:16" x14ac:dyDescent="0.4">
      <c r="A178" s="65">
        <v>175</v>
      </c>
      <c r="B178" s="62">
        <v>-5.8619775700208265E-14</v>
      </c>
      <c r="C178" s="62">
        <v>-1.1165671561944432E-16</v>
      </c>
      <c r="D178" s="67">
        <v>1.9942857142857142</v>
      </c>
      <c r="E178" s="63">
        <v>0.33714285714285713</v>
      </c>
      <c r="F178" s="63">
        <v>0.33142857142857141</v>
      </c>
      <c r="G178" s="63">
        <v>0.2943089430894309</v>
      </c>
      <c r="H178" s="63">
        <v>0.16353077816492451</v>
      </c>
      <c r="I178" s="64">
        <v>8419.4948697711134</v>
      </c>
      <c r="J178" s="64">
        <v>-7854.829545454545</v>
      </c>
      <c r="K178" s="63">
        <v>9.3333333333333338E-2</v>
      </c>
      <c r="L178" s="63">
        <v>0.25342624854819978</v>
      </c>
      <c r="M178" s="63">
        <v>0.23135888501742161</v>
      </c>
      <c r="N178" s="63">
        <v>0.55728689275893672</v>
      </c>
      <c r="O178" s="63">
        <v>0.40963855421686746</v>
      </c>
      <c r="P178" s="63">
        <v>0.43883188634569847</v>
      </c>
    </row>
    <row r="179" spans="1:16" x14ac:dyDescent="0.4">
      <c r="A179" s="65">
        <v>176</v>
      </c>
      <c r="B179" s="62">
        <v>-6.0396132539608516E-14</v>
      </c>
      <c r="C179" s="62">
        <v>-1.1438661465834946E-16</v>
      </c>
      <c r="D179" s="67">
        <v>1.9943181818181819</v>
      </c>
      <c r="E179" s="63">
        <v>0.3371212121212121</v>
      </c>
      <c r="F179" s="63">
        <v>0.33143939393939392</v>
      </c>
      <c r="G179" s="63">
        <v>0.29426722145168749</v>
      </c>
      <c r="H179" s="63">
        <v>0.1636615811373093</v>
      </c>
      <c r="I179" s="64">
        <v>8410.1335428122547</v>
      </c>
      <c r="J179" s="64">
        <v>-7842.9378531073444</v>
      </c>
      <c r="K179" s="63">
        <v>9.2803030303030304E-2</v>
      </c>
      <c r="L179" s="63">
        <v>0.25358298659269535</v>
      </c>
      <c r="M179" s="63">
        <v>0.23116042533518261</v>
      </c>
      <c r="N179" s="63">
        <v>0.55788514129443934</v>
      </c>
      <c r="O179" s="63">
        <v>0.40899999999999997</v>
      </c>
      <c r="P179" s="63">
        <v>0.43833464257659072</v>
      </c>
    </row>
    <row r="180" spans="1:16" x14ac:dyDescent="0.4">
      <c r="A180" s="65">
        <v>177</v>
      </c>
      <c r="B180" s="62">
        <v>-5.6843418860808015E-14</v>
      </c>
      <c r="C180" s="62">
        <v>-1.0704975303353675E-16</v>
      </c>
      <c r="D180" s="67">
        <v>1.9943502824858756</v>
      </c>
      <c r="E180" s="63">
        <v>0.33709981167608288</v>
      </c>
      <c r="F180" s="63">
        <v>0.33145009416195859</v>
      </c>
      <c r="G180" s="63">
        <v>0.29421185083504919</v>
      </c>
      <c r="H180" s="63">
        <v>0.16380690917410204</v>
      </c>
      <c r="I180" s="64">
        <v>8409.4090202177285</v>
      </c>
      <c r="J180" s="64">
        <v>-7835.7541899441339</v>
      </c>
      <c r="K180" s="63">
        <v>9.4161958568738227E-2</v>
      </c>
      <c r="L180" s="63">
        <v>0.25371768474033402</v>
      </c>
      <c r="M180" s="63">
        <v>0.23038206360100663</v>
      </c>
      <c r="N180" s="63">
        <v>0.55816050495942293</v>
      </c>
      <c r="O180" s="63">
        <v>0.40615690168818275</v>
      </c>
      <c r="P180" s="63">
        <v>0.43779160186625193</v>
      </c>
    </row>
    <row r="181" spans="1:16" x14ac:dyDescent="0.4">
      <c r="A181" s="65">
        <v>178</v>
      </c>
      <c r="B181" s="62">
        <v>-5.6843418860808015E-14</v>
      </c>
      <c r="C181" s="62">
        <v>-1.0644834992660677E-16</v>
      </c>
      <c r="D181" s="67">
        <v>1.9943820224719102</v>
      </c>
      <c r="E181" s="63">
        <v>0.33707865168539325</v>
      </c>
      <c r="F181" s="63">
        <v>0.33146067415730335</v>
      </c>
      <c r="G181" s="63">
        <v>0.2943722943722944</v>
      </c>
      <c r="H181" s="63">
        <v>0.16359079516974254</v>
      </c>
      <c r="I181" s="64">
        <v>8418.8080495356044</v>
      </c>
      <c r="J181" s="64">
        <v>-7826.4623955431753</v>
      </c>
      <c r="K181" s="63">
        <v>9.5505617977528087E-2</v>
      </c>
      <c r="L181" s="63">
        <v>0.25313283208020049</v>
      </c>
      <c r="M181" s="63">
        <v>0.23034859876965141</v>
      </c>
      <c r="N181" s="63">
        <v>0.55895589558955894</v>
      </c>
      <c r="O181" s="63">
        <v>0.40652818991097922</v>
      </c>
      <c r="P181" s="63">
        <v>0.4388544891640867</v>
      </c>
    </row>
    <row r="182" spans="1:16" x14ac:dyDescent="0.4">
      <c r="A182" s="65">
        <v>179</v>
      </c>
      <c r="B182" s="62">
        <v>-5.6843418860808015E-14</v>
      </c>
      <c r="C182" s="62">
        <v>-1.0585366640746371E-16</v>
      </c>
      <c r="D182" s="67">
        <v>1.994413407821229</v>
      </c>
      <c r="E182" s="63">
        <v>0.33705772811918061</v>
      </c>
      <c r="F182" s="63">
        <v>0.33147113594040967</v>
      </c>
      <c r="G182" s="63">
        <v>0.29458418309539997</v>
      </c>
      <c r="H182" s="63">
        <v>0.16360752322682981</v>
      </c>
      <c r="I182" s="64">
        <v>8416.2307692307695</v>
      </c>
      <c r="J182" s="64">
        <v>-7813.9889196675904</v>
      </c>
      <c r="K182" s="63">
        <v>9.4972067039106142E-2</v>
      </c>
      <c r="L182" s="63">
        <v>0.25334239746204396</v>
      </c>
      <c r="M182" s="63">
        <v>0.23068207568547475</v>
      </c>
      <c r="N182" s="63">
        <v>0.55992844364937389</v>
      </c>
      <c r="O182" s="63">
        <v>0.40667976424361491</v>
      </c>
      <c r="P182" s="63">
        <v>0.43923076923076926</v>
      </c>
    </row>
    <row r="183" spans="1:16" x14ac:dyDescent="0.4">
      <c r="A183" s="65">
        <v>180</v>
      </c>
      <c r="B183" s="62">
        <v>-5.9507954119908391E-14</v>
      </c>
      <c r="C183" s="62">
        <v>-1.1019991503686739E-16</v>
      </c>
      <c r="D183" s="67">
        <v>1.9944444444444445</v>
      </c>
      <c r="E183" s="63">
        <v>0.33703703703703702</v>
      </c>
      <c r="F183" s="63">
        <v>0.33148148148148149</v>
      </c>
      <c r="G183" s="63">
        <v>0.29469901168014373</v>
      </c>
      <c r="H183" s="63">
        <v>0.1637466307277628</v>
      </c>
      <c r="I183" s="64">
        <v>8413.414634146342</v>
      </c>
      <c r="J183" s="64">
        <v>-7813.7174211248284</v>
      </c>
      <c r="K183" s="63">
        <v>9.4444444444444442E-2</v>
      </c>
      <c r="L183" s="63">
        <v>0.25359389038634322</v>
      </c>
      <c r="M183" s="63">
        <v>0.2302336028751123</v>
      </c>
      <c r="N183" s="63">
        <v>0.55978742249778568</v>
      </c>
      <c r="O183" s="63">
        <v>0.40780487804878046</v>
      </c>
      <c r="P183" s="63">
        <v>0.43902439024390244</v>
      </c>
    </row>
    <row r="184" spans="1:16" x14ac:dyDescent="0.4">
      <c r="A184" s="65">
        <v>181</v>
      </c>
      <c r="B184" s="62">
        <v>-5.5067062021407764E-14</v>
      </c>
      <c r="C184" s="62">
        <v>-1.0141263724016163E-16</v>
      </c>
      <c r="D184" s="67">
        <v>1.9944751381215469</v>
      </c>
      <c r="E184" s="63">
        <v>0.33701657458563539</v>
      </c>
      <c r="F184" s="63">
        <v>0.33149171270718231</v>
      </c>
      <c r="G184" s="63">
        <v>0.29503451347138721</v>
      </c>
      <c r="H184" s="63">
        <v>0.16410598975729238</v>
      </c>
      <c r="I184" s="64">
        <v>8447.7735849056608</v>
      </c>
      <c r="J184" s="64">
        <v>-7863.7720488466757</v>
      </c>
      <c r="K184" s="63">
        <v>9.5764272559852676E-2</v>
      </c>
      <c r="L184" s="63">
        <v>0.25517702070808285</v>
      </c>
      <c r="M184" s="63">
        <v>0.2293475840570029</v>
      </c>
      <c r="N184" s="63">
        <v>0.56020942408376961</v>
      </c>
      <c r="O184" s="63">
        <v>0.40679611650485437</v>
      </c>
      <c r="P184" s="63">
        <v>0.43849056603773584</v>
      </c>
    </row>
    <row r="185" spans="1:16" x14ac:dyDescent="0.4">
      <c r="A185" s="65">
        <v>182</v>
      </c>
      <c r="B185" s="62">
        <v>-4.9737991503207013E-14</v>
      </c>
      <c r="C185" s="62">
        <v>-9.1095222533346175E-17</v>
      </c>
      <c r="D185" s="67">
        <v>1.9945054945054945</v>
      </c>
      <c r="E185" s="63">
        <v>0.33699633699633702</v>
      </c>
      <c r="F185" s="63">
        <v>0.33150183150183149</v>
      </c>
      <c r="G185" s="63">
        <v>0.29472755349658064</v>
      </c>
      <c r="H185" s="63">
        <v>0.16412971542025148</v>
      </c>
      <c r="I185" s="64">
        <v>8442.4401197604784</v>
      </c>
      <c r="J185" s="64">
        <v>-7853.8978494623652</v>
      </c>
      <c r="K185" s="63">
        <v>9.5238095238095233E-2</v>
      </c>
      <c r="L185" s="63">
        <v>0.25413633355393778</v>
      </c>
      <c r="M185" s="63">
        <v>0.22964923891462607</v>
      </c>
      <c r="N185" s="63">
        <v>0.55902777777777779</v>
      </c>
      <c r="O185" s="63">
        <v>0.40922190201729108</v>
      </c>
      <c r="P185" s="63">
        <v>0.43787425149700598</v>
      </c>
    </row>
    <row r="186" spans="1:16" x14ac:dyDescent="0.4">
      <c r="A186" s="65">
        <v>183</v>
      </c>
      <c r="B186" s="62">
        <v>-4.9737991503207013E-14</v>
      </c>
      <c r="C186" s="62">
        <v>-9.0597434432071068E-17</v>
      </c>
      <c r="D186" s="67">
        <v>1.9945355191256831</v>
      </c>
      <c r="E186" s="63">
        <v>0.33697632058287796</v>
      </c>
      <c r="F186" s="63">
        <v>0.33151183970856102</v>
      </c>
      <c r="G186" s="63">
        <v>0.29471143296028091</v>
      </c>
      <c r="H186" s="63">
        <v>0.16414307658547289</v>
      </c>
      <c r="I186" s="64">
        <v>8439.6872673119888</v>
      </c>
      <c r="J186" s="64">
        <v>-7849.0641711229946</v>
      </c>
      <c r="K186" s="63">
        <v>9.4717668488160295E-2</v>
      </c>
      <c r="L186" s="63">
        <v>0.25455343427693661</v>
      </c>
      <c r="M186" s="63">
        <v>0.22953697608075488</v>
      </c>
      <c r="N186" s="63">
        <v>0.55862068965517242</v>
      </c>
      <c r="O186" s="63">
        <v>0.40822179732313574</v>
      </c>
      <c r="P186" s="63">
        <v>0.4378257632166791</v>
      </c>
    </row>
    <row r="187" spans="1:16" x14ac:dyDescent="0.4">
      <c r="A187" s="65">
        <v>184</v>
      </c>
      <c r="B187" s="62">
        <v>-4.9737991503207013E-14</v>
      </c>
      <c r="C187" s="62">
        <v>-9.0105057071027203E-17</v>
      </c>
      <c r="D187" s="67">
        <v>1.9945652173913044</v>
      </c>
      <c r="E187" s="63">
        <v>0.33695652173913043</v>
      </c>
      <c r="F187" s="63">
        <v>0.33152173913043476</v>
      </c>
      <c r="G187" s="63">
        <v>0.29457870672762898</v>
      </c>
      <c r="H187" s="63">
        <v>0.16438057914217288</v>
      </c>
      <c r="I187" s="64">
        <v>8442.867701404286</v>
      </c>
      <c r="J187" s="64">
        <v>-7855.7615894039736</v>
      </c>
      <c r="K187" s="63">
        <v>9.420289855072464E-2</v>
      </c>
      <c r="L187" s="63">
        <v>0.25364685390812103</v>
      </c>
      <c r="M187" s="63">
        <v>0.22969736555628129</v>
      </c>
      <c r="N187" s="63">
        <v>0.55879828326180259</v>
      </c>
      <c r="O187" s="63">
        <v>0.40853080568720379</v>
      </c>
      <c r="P187" s="63">
        <v>0.43680709534368073</v>
      </c>
    </row>
    <row r="188" spans="1:16" x14ac:dyDescent="0.4">
      <c r="A188" s="65">
        <v>185</v>
      </c>
      <c r="B188" s="62">
        <v>-4.9737991503207013E-14</v>
      </c>
      <c r="C188" s="62">
        <v>-8.9618002708481101E-17</v>
      </c>
      <c r="D188" s="67">
        <v>1.9945945945945946</v>
      </c>
      <c r="E188" s="63">
        <v>0.33693693693693694</v>
      </c>
      <c r="F188" s="63">
        <v>0.33153153153153153</v>
      </c>
      <c r="G188" s="63">
        <v>0.29463899697362733</v>
      </c>
      <c r="H188" s="63">
        <v>0.16428880242109814</v>
      </c>
      <c r="I188" s="64">
        <v>8438.4446074834923</v>
      </c>
      <c r="J188" s="64">
        <v>-7850.1315789473683</v>
      </c>
      <c r="K188" s="63">
        <v>9.3693693693693694E-2</v>
      </c>
      <c r="L188" s="63">
        <v>0.25270211846087332</v>
      </c>
      <c r="M188" s="63">
        <v>0.22978815391266752</v>
      </c>
      <c r="N188" s="63">
        <v>0.55859709153122328</v>
      </c>
      <c r="O188" s="63">
        <v>0.4101599247412982</v>
      </c>
      <c r="P188" s="63">
        <v>0.43727072633895819</v>
      </c>
    </row>
    <row r="189" spans="1:16" x14ac:dyDescent="0.4">
      <c r="A189" s="65">
        <v>186</v>
      </c>
      <c r="B189" s="62">
        <v>-4.9737991503207013E-14</v>
      </c>
      <c r="C189" s="62">
        <v>-8.9136185489618306E-17</v>
      </c>
      <c r="D189" s="67">
        <v>1.9946236559139785</v>
      </c>
      <c r="E189" s="63">
        <v>0.33691756272401435</v>
      </c>
      <c r="F189" s="63">
        <v>0.33154121863799285</v>
      </c>
      <c r="G189" s="63">
        <v>0.29457364341085274</v>
      </c>
      <c r="H189" s="63">
        <v>0.16386735572782085</v>
      </c>
      <c r="I189" s="64">
        <v>8450.2923976608181</v>
      </c>
      <c r="J189" s="64">
        <v>-7850.3285151116952</v>
      </c>
      <c r="K189" s="63">
        <v>9.4982078853046589E-2</v>
      </c>
      <c r="L189" s="63">
        <v>0.25279931093884583</v>
      </c>
      <c r="M189" s="63">
        <v>0.22889750215331611</v>
      </c>
      <c r="N189" s="63">
        <v>0.55962521294718914</v>
      </c>
      <c r="O189" s="63">
        <v>0.4101599247412982</v>
      </c>
      <c r="P189" s="63">
        <v>0.43859649122807015</v>
      </c>
    </row>
    <row r="190" spans="1:16" x14ac:dyDescent="0.4">
      <c r="A190" s="65">
        <v>187</v>
      </c>
      <c r="B190" s="62">
        <v>-4.9737991503207013E-14</v>
      </c>
      <c r="C190" s="62">
        <v>-8.8659521396090933E-17</v>
      </c>
      <c r="D190" s="67">
        <v>1.9946524064171123</v>
      </c>
      <c r="E190" s="63">
        <v>0.33689839572192515</v>
      </c>
      <c r="F190" s="63">
        <v>0.33155080213903743</v>
      </c>
      <c r="G190" s="63">
        <v>0.29429429429429427</v>
      </c>
      <c r="H190" s="63">
        <v>0.16366366366366367</v>
      </c>
      <c r="I190" s="64">
        <v>8444.7521865889212</v>
      </c>
      <c r="J190" s="64">
        <v>-7837.8768020969856</v>
      </c>
      <c r="K190" s="63">
        <v>9.4474153297682703E-2</v>
      </c>
      <c r="L190" s="63">
        <v>0.25268125268125269</v>
      </c>
      <c r="M190" s="63">
        <v>0.22844272844272845</v>
      </c>
      <c r="N190" s="63">
        <v>0.56027164685908315</v>
      </c>
      <c r="O190" s="63">
        <v>0.41032863849765261</v>
      </c>
      <c r="P190" s="63">
        <v>0.43877551020408162</v>
      </c>
    </row>
    <row r="191" spans="1:16" x14ac:dyDescent="0.4">
      <c r="A191" s="65">
        <v>188</v>
      </c>
      <c r="B191" s="62">
        <v>-5.2402526762307389E-14</v>
      </c>
      <c r="C191" s="62">
        <v>-9.2912281493452815E-17</v>
      </c>
      <c r="D191" s="67">
        <v>1.9946808510638299</v>
      </c>
      <c r="E191" s="63">
        <v>0.33687943262411346</v>
      </c>
      <c r="F191" s="63">
        <v>0.33156028368794327</v>
      </c>
      <c r="G191" s="63">
        <v>0.29425581891949604</v>
      </c>
      <c r="H191" s="63">
        <v>0.16335682254964767</v>
      </c>
      <c r="I191" s="64">
        <v>8451.1611030478962</v>
      </c>
      <c r="J191" s="64">
        <v>-7852.1568627450979</v>
      </c>
      <c r="K191" s="63">
        <v>9.5744680851063829E-2</v>
      </c>
      <c r="L191" s="63">
        <v>0.25304292120435617</v>
      </c>
      <c r="M191" s="63">
        <v>0.22805893657911594</v>
      </c>
      <c r="N191" s="63">
        <v>0.56033755274261599</v>
      </c>
      <c r="O191" s="63">
        <v>0.4101123595505618</v>
      </c>
      <c r="P191" s="63">
        <v>0.43976777939042089</v>
      </c>
    </row>
    <row r="192" spans="1:16" x14ac:dyDescent="0.4">
      <c r="A192" s="65">
        <v>189</v>
      </c>
      <c r="B192" s="62">
        <v>-4.2632564145606011E-14</v>
      </c>
      <c r="C192" s="62">
        <v>-7.5189707487841285E-17</v>
      </c>
      <c r="D192" s="67">
        <v>1.9947089947089947</v>
      </c>
      <c r="E192" s="63">
        <v>0.33686067019400351</v>
      </c>
      <c r="F192" s="63">
        <v>0.33156966490299822</v>
      </c>
      <c r="G192" s="63">
        <v>0.29424261737837265</v>
      </c>
      <c r="H192" s="63">
        <v>0.16316124920331421</v>
      </c>
      <c r="I192" s="64">
        <v>8450.1083032490969</v>
      </c>
      <c r="J192" s="64">
        <v>-7855.338541666667</v>
      </c>
      <c r="K192" s="63">
        <v>9.5238095238095233E-2</v>
      </c>
      <c r="L192" s="63">
        <v>0.25281495644784363</v>
      </c>
      <c r="M192" s="63">
        <v>0.22817080943275972</v>
      </c>
      <c r="N192" s="63">
        <v>0.56050420168067228</v>
      </c>
      <c r="O192" s="63">
        <v>0.41061452513966479</v>
      </c>
      <c r="P192" s="63">
        <v>0.44043321299638988</v>
      </c>
    </row>
    <row r="193" spans="1:16" x14ac:dyDescent="0.4">
      <c r="A193" s="65">
        <v>190</v>
      </c>
      <c r="B193" s="62">
        <v>-3.5527136788005009E-14</v>
      </c>
      <c r="C193" s="62">
        <v>-6.232831015439475E-17</v>
      </c>
      <c r="D193" s="67">
        <v>1.9947368421052631</v>
      </c>
      <c r="E193" s="63">
        <v>0.33684210526315789</v>
      </c>
      <c r="F193" s="63">
        <v>0.33157894736842103</v>
      </c>
      <c r="G193" s="63">
        <v>0.29446556822982678</v>
      </c>
      <c r="H193" s="63">
        <v>0.16307562315166879</v>
      </c>
      <c r="I193" s="64">
        <v>8447.4892395982788</v>
      </c>
      <c r="J193" s="64">
        <v>-7855.1813471502592</v>
      </c>
      <c r="K193" s="63">
        <v>9.4736842105263161E-2</v>
      </c>
      <c r="L193" s="63">
        <v>0.25327418673426277</v>
      </c>
      <c r="M193" s="63">
        <v>0.22813688212927757</v>
      </c>
      <c r="N193" s="63">
        <v>0.56130108423686409</v>
      </c>
      <c r="O193" s="63">
        <v>0.40925925925925927</v>
      </c>
      <c r="P193" s="63">
        <v>0.44117647058823528</v>
      </c>
    </row>
    <row r="194" spans="1:16" x14ac:dyDescent="0.4">
      <c r="A194" s="65">
        <v>191</v>
      </c>
      <c r="B194" s="62">
        <v>-3.5527136788005009E-14</v>
      </c>
      <c r="C194" s="62">
        <v>-6.2001983923219911E-17</v>
      </c>
      <c r="D194" s="67">
        <v>1.9947643979057592</v>
      </c>
      <c r="E194" s="63">
        <v>0.3368237347294939</v>
      </c>
      <c r="F194" s="63">
        <v>0.33158813263525305</v>
      </c>
      <c r="G194" s="63">
        <v>0.2945004198152813</v>
      </c>
      <c r="H194" s="63">
        <v>0.16309823677581864</v>
      </c>
      <c r="I194" s="64">
        <v>8427.7975766215259</v>
      </c>
      <c r="J194" s="64">
        <v>-7836.8082368082369</v>
      </c>
      <c r="K194" s="63">
        <v>9.4240837696335081E-2</v>
      </c>
      <c r="L194" s="63">
        <v>0.25293870696893367</v>
      </c>
      <c r="M194" s="63">
        <v>0.22816960537363559</v>
      </c>
      <c r="N194" s="63">
        <v>0.56182572614107884</v>
      </c>
      <c r="O194" s="63">
        <v>0.40938362465501382</v>
      </c>
      <c r="P194" s="63">
        <v>0.44119743406985035</v>
      </c>
    </row>
    <row r="195" spans="1:16" x14ac:dyDescent="0.4">
      <c r="A195" s="65">
        <v>192</v>
      </c>
      <c r="B195" s="62">
        <v>-4.2632564145606011E-14</v>
      </c>
      <c r="C195" s="62">
        <v>-7.4014868308343765E-17</v>
      </c>
      <c r="D195" s="67">
        <v>1.9947916666666667</v>
      </c>
      <c r="E195" s="63">
        <v>0.33680555555555558</v>
      </c>
      <c r="F195" s="63">
        <v>0.33159722222222221</v>
      </c>
      <c r="G195" s="63">
        <v>0.29458333333333331</v>
      </c>
      <c r="H195" s="63">
        <v>0.16312499999999999</v>
      </c>
      <c r="I195" s="64">
        <v>8441.0891089108918</v>
      </c>
      <c r="J195" s="64">
        <v>-7850.1915708812257</v>
      </c>
      <c r="K195" s="63">
        <v>9.375E-2</v>
      </c>
      <c r="L195" s="63">
        <v>0.25333333333333335</v>
      </c>
      <c r="M195" s="63">
        <v>0.22812499999999999</v>
      </c>
      <c r="N195" s="63">
        <v>0.56085526315789469</v>
      </c>
      <c r="O195" s="63">
        <v>0.41004566210045662</v>
      </c>
      <c r="P195" s="63">
        <v>0.44130127298444133</v>
      </c>
    </row>
    <row r="196" spans="1:16" x14ac:dyDescent="0.4">
      <c r="A196" s="65">
        <v>193</v>
      </c>
      <c r="B196" s="62">
        <v>-4.2632564145606011E-14</v>
      </c>
      <c r="C196" s="62">
        <v>-7.3631371581357535E-17</v>
      </c>
      <c r="D196" s="67">
        <v>1.9948186528497409</v>
      </c>
      <c r="E196" s="63">
        <v>0.33678756476683935</v>
      </c>
      <c r="F196" s="63">
        <v>0.33160621761658032</v>
      </c>
      <c r="G196" s="63">
        <v>0.29456882255389716</v>
      </c>
      <c r="H196" s="63">
        <v>0.16272802653399668</v>
      </c>
      <c r="I196" s="64">
        <v>8421.2526389866289</v>
      </c>
      <c r="J196" s="64">
        <v>-7835.9235668789806</v>
      </c>
      <c r="K196" s="63">
        <v>9.3264248704663211E-2</v>
      </c>
      <c r="L196" s="63">
        <v>0.25290215588723053</v>
      </c>
      <c r="M196" s="63">
        <v>0.22864842454394693</v>
      </c>
      <c r="N196" s="63">
        <v>0.55901639344262299</v>
      </c>
      <c r="O196" s="63">
        <v>0.41160471441523117</v>
      </c>
      <c r="P196" s="63">
        <v>0.44264602392681213</v>
      </c>
    </row>
    <row r="197" spans="1:16" x14ac:dyDescent="0.4">
      <c r="A197" s="65">
        <v>194</v>
      </c>
      <c r="B197" s="62">
        <v>-5.3290705182007514E-14</v>
      </c>
      <c r="C197" s="62">
        <v>-9.156478553609538E-17</v>
      </c>
      <c r="D197" s="67">
        <v>1.9948453608247423</v>
      </c>
      <c r="E197" s="63">
        <v>0.33676975945017185</v>
      </c>
      <c r="F197" s="63">
        <v>0.33161512027491408</v>
      </c>
      <c r="G197" s="63">
        <v>0.29494324045407638</v>
      </c>
      <c r="H197" s="63">
        <v>0.16264189886480909</v>
      </c>
      <c r="I197" s="64">
        <v>8443.5969209237228</v>
      </c>
      <c r="J197" s="64">
        <v>-7882.3604060913704</v>
      </c>
      <c r="K197" s="63">
        <v>9.4501718213058417E-2</v>
      </c>
      <c r="L197" s="63">
        <v>0.25263157894736843</v>
      </c>
      <c r="M197" s="63">
        <v>0.22951496388028897</v>
      </c>
      <c r="N197" s="63">
        <v>0.55882352941176472</v>
      </c>
      <c r="O197" s="63">
        <v>0.41187050359712229</v>
      </c>
      <c r="P197" s="63">
        <v>0.44296710986703991</v>
      </c>
    </row>
    <row r="198" spans="1:16" x14ac:dyDescent="0.4">
      <c r="A198" s="65">
        <v>195</v>
      </c>
      <c r="B198" s="62">
        <v>-5.595524044110789E-14</v>
      </c>
      <c r="C198" s="62">
        <v>-9.5649983660013492E-17</v>
      </c>
      <c r="D198" s="67">
        <v>1.9948717948717949</v>
      </c>
      <c r="E198" s="63">
        <v>0.33675213675213678</v>
      </c>
      <c r="F198" s="63">
        <v>0.33162393162393161</v>
      </c>
      <c r="G198" s="63">
        <v>0.29492708975148901</v>
      </c>
      <c r="H198" s="63">
        <v>0.16245635654138427</v>
      </c>
      <c r="I198" s="64">
        <v>8435.6545961002794</v>
      </c>
      <c r="J198" s="64">
        <v>-7865.6131479140331</v>
      </c>
      <c r="K198" s="63">
        <v>9.4017094017094016E-2</v>
      </c>
      <c r="L198" s="63">
        <v>0.25302936948038612</v>
      </c>
      <c r="M198" s="63">
        <v>0.22879441363729719</v>
      </c>
      <c r="N198" s="63">
        <v>0.55925324675324672</v>
      </c>
      <c r="O198" s="63">
        <v>0.41292639138240572</v>
      </c>
      <c r="P198" s="63">
        <v>0.44359331476323122</v>
      </c>
    </row>
    <row r="199" spans="1:16" x14ac:dyDescent="0.4">
      <c r="A199" s="65">
        <v>196</v>
      </c>
      <c r="B199" s="62">
        <v>-4.9737991503207013E-14</v>
      </c>
      <c r="C199" s="62">
        <v>-8.4588420923821446E-17</v>
      </c>
      <c r="D199" s="67">
        <v>1.9948979591836735</v>
      </c>
      <c r="E199" s="63">
        <v>0.33673469387755101</v>
      </c>
      <c r="F199" s="63">
        <v>0.33163265306122447</v>
      </c>
      <c r="G199" s="63">
        <v>0.29491109748620481</v>
      </c>
      <c r="H199" s="63">
        <v>0.16247700797057021</v>
      </c>
      <c r="I199" s="64">
        <v>8433.6105336105338</v>
      </c>
      <c r="J199" s="64">
        <v>-7868.8050314465409</v>
      </c>
      <c r="K199" s="63">
        <v>9.3537414965986401E-2</v>
      </c>
      <c r="L199" s="63">
        <v>0.25281013693030863</v>
      </c>
      <c r="M199" s="63">
        <v>0.22930717351318208</v>
      </c>
      <c r="N199" s="63">
        <v>0.56022635408245758</v>
      </c>
      <c r="O199" s="63">
        <v>0.41176470588235292</v>
      </c>
      <c r="P199" s="63">
        <v>0.44352044352044351</v>
      </c>
    </row>
    <row r="200" spans="1:16" x14ac:dyDescent="0.4">
      <c r="A200" s="65">
        <v>197</v>
      </c>
      <c r="B200" s="62">
        <v>-4.6185277824406512E-14</v>
      </c>
      <c r="C200" s="62">
        <v>-7.8147678213885811E-17</v>
      </c>
      <c r="D200" s="67">
        <v>1.9949238578680204</v>
      </c>
      <c r="E200" s="63">
        <v>0.33671742808798644</v>
      </c>
      <c r="F200" s="63">
        <v>0.33164128595600678</v>
      </c>
      <c r="G200" s="63">
        <v>0.29498164014687883</v>
      </c>
      <c r="H200" s="63">
        <v>0.16279069767441862</v>
      </c>
      <c r="I200" s="64">
        <v>8448.7551867219918</v>
      </c>
      <c r="J200" s="64">
        <v>-7898.3709273182958</v>
      </c>
      <c r="K200" s="63">
        <v>9.475465313028765E-2</v>
      </c>
      <c r="L200" s="63">
        <v>0.25356997144022847</v>
      </c>
      <c r="M200" s="63">
        <v>0.22888616891064872</v>
      </c>
      <c r="N200" s="63">
        <v>0.55993563958165726</v>
      </c>
      <c r="O200" s="63">
        <v>0.41176470588235292</v>
      </c>
      <c r="P200" s="63">
        <v>0.44260027662517287</v>
      </c>
    </row>
    <row r="201" spans="1:16" x14ac:dyDescent="0.4">
      <c r="A201" s="65">
        <v>198</v>
      </c>
      <c r="B201" s="62">
        <v>-4.9737991503207013E-14</v>
      </c>
      <c r="C201" s="62">
        <v>-8.3733992429641437E-17</v>
      </c>
      <c r="D201" s="67">
        <v>1.994949494949495</v>
      </c>
      <c r="E201" s="63">
        <v>0.33670033670033672</v>
      </c>
      <c r="F201" s="63">
        <v>0.33164983164983164</v>
      </c>
      <c r="G201" s="63">
        <v>0.29514523664432257</v>
      </c>
      <c r="H201" s="63">
        <v>0.16311192362380661</v>
      </c>
      <c r="I201" s="64">
        <v>8462.766689607708</v>
      </c>
      <c r="J201" s="64">
        <v>-7898.3810709838108</v>
      </c>
      <c r="K201" s="63">
        <v>9.5959595959595953E-2</v>
      </c>
      <c r="L201" s="63">
        <v>0.25431647369490146</v>
      </c>
      <c r="M201" s="63">
        <v>0.22831606743855373</v>
      </c>
      <c r="N201" s="63">
        <v>0.55990415335463262</v>
      </c>
      <c r="O201" s="63">
        <v>0.41192170818505336</v>
      </c>
      <c r="P201" s="63">
        <v>0.44184445973847214</v>
      </c>
    </row>
    <row r="202" spans="1:16" x14ac:dyDescent="0.4">
      <c r="A202" s="65">
        <v>199</v>
      </c>
      <c r="B202" s="62">
        <v>-4.6906922790412864E-14</v>
      </c>
      <c r="C202" s="62">
        <v>-7.8571059950440313E-17</v>
      </c>
      <c r="D202" s="67">
        <v>1.9949748743718594</v>
      </c>
      <c r="E202" s="63">
        <v>0.33668341708542715</v>
      </c>
      <c r="F202" s="63">
        <v>0.33165829145728642</v>
      </c>
      <c r="G202" s="63">
        <v>0.29519172245891662</v>
      </c>
      <c r="H202" s="63">
        <v>0.16331913166970988</v>
      </c>
      <c r="I202" s="64">
        <v>8485.0171821305848</v>
      </c>
      <c r="J202" s="64">
        <v>-7940</v>
      </c>
      <c r="K202" s="63">
        <v>9.7152428810720268E-2</v>
      </c>
      <c r="L202" s="63">
        <v>0.25441265976871574</v>
      </c>
      <c r="M202" s="63">
        <v>0.22844390342868737</v>
      </c>
      <c r="N202" s="63">
        <v>0.55901116427432218</v>
      </c>
      <c r="O202" s="63">
        <v>0.41207815275310833</v>
      </c>
      <c r="P202" s="63">
        <v>0.44123711340206184</v>
      </c>
    </row>
    <row r="203" spans="1:16" x14ac:dyDescent="0.4">
      <c r="A203" s="65">
        <v>200</v>
      </c>
      <c r="B203" s="62">
        <v>-4.7961634663806763E-14</v>
      </c>
      <c r="C203" s="62">
        <v>-7.9936057773011268E-17</v>
      </c>
      <c r="D203" s="67">
        <v>1.9950000000000001</v>
      </c>
      <c r="E203" s="63">
        <v>0.33666666666666667</v>
      </c>
      <c r="F203" s="63">
        <v>0.33166666666666667</v>
      </c>
      <c r="G203" s="63">
        <v>0.29494949494949496</v>
      </c>
      <c r="H203" s="63">
        <v>0.16323232323232323</v>
      </c>
      <c r="I203" s="64">
        <v>8480.2739726027394</v>
      </c>
      <c r="J203" s="64">
        <v>-7932.1782178217818</v>
      </c>
      <c r="K203" s="63">
        <v>9.8333333333333328E-2</v>
      </c>
      <c r="L203" s="63">
        <v>0.25414141414141417</v>
      </c>
      <c r="M203" s="63">
        <v>0.22868686868686869</v>
      </c>
      <c r="N203" s="63">
        <v>0.55802861685214622</v>
      </c>
      <c r="O203" s="63">
        <v>0.41254416961130741</v>
      </c>
      <c r="P203" s="63">
        <v>0.44109589041095892</v>
      </c>
    </row>
    <row r="204" spans="1:16" x14ac:dyDescent="0.4">
      <c r="A204" s="65">
        <v>201</v>
      </c>
      <c r="B204" s="62">
        <v>-4.9737991503207013E-14</v>
      </c>
      <c r="C204" s="62">
        <v>-8.2484231348602006E-17</v>
      </c>
      <c r="D204" s="67">
        <v>1.9950248756218905</v>
      </c>
      <c r="E204" s="63">
        <v>0.33665008291873966</v>
      </c>
      <c r="F204" s="63">
        <v>0.33167495854063017</v>
      </c>
      <c r="G204" s="63">
        <v>0.29480232791491068</v>
      </c>
      <c r="H204" s="63">
        <v>0.16295404374874572</v>
      </c>
      <c r="I204" s="64">
        <v>8496.8686181075554</v>
      </c>
      <c r="J204" s="64">
        <v>-7929.9261083743841</v>
      </c>
      <c r="K204" s="63">
        <v>9.7844112769485903E-2</v>
      </c>
      <c r="L204" s="63">
        <v>0.25406381697772429</v>
      </c>
      <c r="M204" s="63">
        <v>0.22897852699177201</v>
      </c>
      <c r="N204" s="63">
        <v>0.55766192733017372</v>
      </c>
      <c r="O204" s="63">
        <v>0.41279579316389131</v>
      </c>
      <c r="P204" s="63">
        <v>0.44179714091218514</v>
      </c>
    </row>
    <row r="205" spans="1:16" x14ac:dyDescent="0.4">
      <c r="A205" s="65">
        <v>202</v>
      </c>
      <c r="B205" s="62">
        <v>-4.9737991503207013E-14</v>
      </c>
      <c r="C205" s="62">
        <v>-8.2075893569648531E-17</v>
      </c>
      <c r="D205" s="67">
        <v>1.995049504950495</v>
      </c>
      <c r="E205" s="63">
        <v>0.33663366336633666</v>
      </c>
      <c r="F205" s="63">
        <v>0.3316831683168317</v>
      </c>
      <c r="G205" s="63">
        <v>0.29478729778310364</v>
      </c>
      <c r="H205" s="63">
        <v>0.16317155981625725</v>
      </c>
      <c r="I205" s="64">
        <v>8488.2791327913274</v>
      </c>
      <c r="J205" s="64">
        <v>-7923.2558139534885</v>
      </c>
      <c r="K205" s="63">
        <v>9.7359735973597358E-2</v>
      </c>
      <c r="L205" s="63">
        <v>0.2536448971439984</v>
      </c>
      <c r="M205" s="63">
        <v>0.22927900938685838</v>
      </c>
      <c r="N205" s="63">
        <v>0.55826771653543306</v>
      </c>
      <c r="O205" s="63">
        <v>0.41202090592334495</v>
      </c>
      <c r="P205" s="63">
        <v>0.44105691056910568</v>
      </c>
    </row>
    <row r="206" spans="1:16" x14ac:dyDescent="0.4">
      <c r="A206" s="65">
        <v>203</v>
      </c>
      <c r="B206" s="62">
        <v>-4.6851411639181606E-14</v>
      </c>
      <c r="C206" s="62">
        <v>-7.6931710409165203E-17</v>
      </c>
      <c r="D206" s="67">
        <v>1.9950738916256157</v>
      </c>
      <c r="E206" s="63">
        <v>0.3366174055829228</v>
      </c>
      <c r="F206" s="63">
        <v>0.33169129720853857</v>
      </c>
      <c r="G206" s="63">
        <v>0.29492537313432837</v>
      </c>
      <c r="H206" s="63">
        <v>0.16338308457711442</v>
      </c>
      <c r="I206" s="64">
        <v>8483.5357624831304</v>
      </c>
      <c r="J206" s="64">
        <v>-7925.8221680876977</v>
      </c>
      <c r="K206" s="63">
        <v>9.688013136288999E-2</v>
      </c>
      <c r="L206" s="63">
        <v>0.2537313432835821</v>
      </c>
      <c r="M206" s="63">
        <v>0.23024875621890548</v>
      </c>
      <c r="N206" s="63">
        <v>0.55764705882352938</v>
      </c>
      <c r="O206" s="63">
        <v>0.41140881590319794</v>
      </c>
      <c r="P206" s="63">
        <v>0.44062078272604588</v>
      </c>
    </row>
    <row r="207" spans="1:16" x14ac:dyDescent="0.4">
      <c r="A207" s="65">
        <v>204</v>
      </c>
      <c r="B207" s="62">
        <v>-4.2632564145606011E-14</v>
      </c>
      <c r="C207" s="62">
        <v>-6.9661052525500017E-17</v>
      </c>
      <c r="D207" s="67">
        <v>1.9950980392156863</v>
      </c>
      <c r="E207" s="63">
        <v>0.33660130718954251</v>
      </c>
      <c r="F207" s="63">
        <v>0.33169934640522875</v>
      </c>
      <c r="G207" s="63">
        <v>0.29495548961424334</v>
      </c>
      <c r="H207" s="63">
        <v>0.16379821958456972</v>
      </c>
      <c r="I207" s="64">
        <v>8470.6237424547289</v>
      </c>
      <c r="J207" s="64">
        <v>-7915.8212560386473</v>
      </c>
      <c r="K207" s="63">
        <v>9.6405228758169939E-2</v>
      </c>
      <c r="L207" s="63">
        <v>0.25380811078140453</v>
      </c>
      <c r="M207" s="63">
        <v>0.2304648862512364</v>
      </c>
      <c r="N207" s="63">
        <v>0.55650818394388157</v>
      </c>
      <c r="O207" s="63">
        <v>0.41201716738197425</v>
      </c>
      <c r="P207" s="63">
        <v>0.43930248155600266</v>
      </c>
    </row>
    <row r="208" spans="1:16" x14ac:dyDescent="0.4">
      <c r="A208" s="65">
        <v>205</v>
      </c>
      <c r="B208" s="62">
        <v>-4.6185277824406512E-14</v>
      </c>
      <c r="C208" s="62">
        <v>-7.5098012722612212E-17</v>
      </c>
      <c r="D208" s="67">
        <v>1.9951219512195122</v>
      </c>
      <c r="E208" s="63">
        <v>0.33658536585365856</v>
      </c>
      <c r="F208" s="63">
        <v>0.33170731707317075</v>
      </c>
      <c r="G208" s="63">
        <v>0.29518190757128809</v>
      </c>
      <c r="H208" s="63">
        <v>0.1640117994100295</v>
      </c>
      <c r="I208" s="64">
        <v>8462.0919387075282</v>
      </c>
      <c r="J208" s="64">
        <v>-7899.8800959232613</v>
      </c>
      <c r="K208" s="63">
        <v>9.5934959349593493E-2</v>
      </c>
      <c r="L208" s="63">
        <v>0.25329400196656832</v>
      </c>
      <c r="M208" s="63">
        <v>0.23126843657817109</v>
      </c>
      <c r="N208" s="63">
        <v>0.55667701863354035</v>
      </c>
      <c r="O208" s="63">
        <v>0.41326530612244899</v>
      </c>
      <c r="P208" s="63">
        <v>0.43904063957361761</v>
      </c>
    </row>
    <row r="209" spans="1:16" x14ac:dyDescent="0.4">
      <c r="A209" s="65">
        <v>206</v>
      </c>
      <c r="B209" s="62">
        <v>-4.7073456244106637E-14</v>
      </c>
      <c r="C209" s="62">
        <v>-7.6170641171693583E-17</v>
      </c>
      <c r="D209" s="67">
        <v>1.9951456310679612</v>
      </c>
      <c r="E209" s="63">
        <v>0.33656957928802589</v>
      </c>
      <c r="F209" s="63">
        <v>0.33171521035598706</v>
      </c>
      <c r="G209" s="63">
        <v>0.29523251270027356</v>
      </c>
      <c r="H209" s="63">
        <v>0.16412661195779601</v>
      </c>
      <c r="I209" s="64">
        <v>8433.1568497683656</v>
      </c>
      <c r="J209" s="64">
        <v>-7863.8095238095239</v>
      </c>
      <c r="K209" s="63">
        <v>9.5469255663430425E-2</v>
      </c>
      <c r="L209" s="63">
        <v>0.25322391559202811</v>
      </c>
      <c r="M209" s="63">
        <v>0.23192653380226652</v>
      </c>
      <c r="N209" s="63">
        <v>0.55478395061728392</v>
      </c>
      <c r="O209" s="63">
        <v>0.41449031171019379</v>
      </c>
      <c r="P209" s="63">
        <v>0.43878226340172072</v>
      </c>
    </row>
    <row r="210" spans="1:16" x14ac:dyDescent="0.4">
      <c r="A210" s="65">
        <v>207</v>
      </c>
      <c r="B210" s="62">
        <v>-4.6185277824406512E-14</v>
      </c>
      <c r="C210" s="62">
        <v>-7.4372428058625621E-17</v>
      </c>
      <c r="D210" s="67">
        <v>1.9951690821256038</v>
      </c>
      <c r="E210" s="63">
        <v>0.33655394524959742</v>
      </c>
      <c r="F210" s="63">
        <v>0.33172302737520126</v>
      </c>
      <c r="G210" s="63">
        <v>0.2954324586977648</v>
      </c>
      <c r="H210" s="63">
        <v>0.16384839650145772</v>
      </c>
      <c r="I210" s="64">
        <v>8433.4210526315783</v>
      </c>
      <c r="J210" s="64">
        <v>-7848.8730723606168</v>
      </c>
      <c r="K210" s="63">
        <v>9.5008051529790666E-2</v>
      </c>
      <c r="L210" s="63">
        <v>0.2530612244897959</v>
      </c>
      <c r="M210" s="63">
        <v>0.23206997084548106</v>
      </c>
      <c r="N210" s="63">
        <v>0.55453149001536095</v>
      </c>
      <c r="O210" s="63">
        <v>0.41541038525963148</v>
      </c>
      <c r="P210" s="63">
        <v>0.44013157894736843</v>
      </c>
    </row>
    <row r="211" spans="1:16" x14ac:dyDescent="0.4">
      <c r="A211" s="65">
        <v>208</v>
      </c>
      <c r="B211" s="62">
        <v>-4.6185277824406512E-14</v>
      </c>
      <c r="C211" s="62">
        <v>-7.4014868308343765E-17</v>
      </c>
      <c r="D211" s="67">
        <v>1.9951923076923077</v>
      </c>
      <c r="E211" s="63">
        <v>0.33653846153846156</v>
      </c>
      <c r="F211" s="63">
        <v>0.33173076923076922</v>
      </c>
      <c r="G211" s="63">
        <v>0.29528775589030515</v>
      </c>
      <c r="H211" s="63">
        <v>0.16357667052916183</v>
      </c>
      <c r="I211" s="64">
        <v>8432.7011118378032</v>
      </c>
      <c r="J211" s="64">
        <v>-7839.5513577331758</v>
      </c>
      <c r="K211" s="63">
        <v>9.4551282051282048E-2</v>
      </c>
      <c r="L211" s="63">
        <v>0.25376593279258403</v>
      </c>
      <c r="M211" s="63">
        <v>0.23155658555426806</v>
      </c>
      <c r="N211" s="63">
        <v>0.55403348554033482</v>
      </c>
      <c r="O211" s="63">
        <v>0.41534612176814012</v>
      </c>
      <c r="P211" s="63">
        <v>0.44081098757357751</v>
      </c>
    </row>
    <row r="212" spans="1:16" x14ac:dyDescent="0.4">
      <c r="A212" s="65">
        <v>209</v>
      </c>
      <c r="B212" s="62">
        <v>-4.2632564145606011E-14</v>
      </c>
      <c r="C212" s="62">
        <v>-6.7994520168430637E-17</v>
      </c>
      <c r="D212" s="67">
        <v>1.9952153110047848</v>
      </c>
      <c r="E212" s="63">
        <v>0.33652312599681022</v>
      </c>
      <c r="F212" s="63">
        <v>0.33173843700159489</v>
      </c>
      <c r="G212" s="63">
        <v>0.29541955350269439</v>
      </c>
      <c r="H212" s="63">
        <v>0.16339491916859122</v>
      </c>
      <c r="I212" s="64">
        <v>8447.4267100977195</v>
      </c>
      <c r="J212" s="64">
        <v>-7856.4193168433449</v>
      </c>
      <c r="K212" s="63">
        <v>9.569377990430622E-2</v>
      </c>
      <c r="L212" s="63">
        <v>0.2540415704387991</v>
      </c>
      <c r="M212" s="63">
        <v>0.23152424942263281</v>
      </c>
      <c r="N212" s="63">
        <v>0.55454545454545456</v>
      </c>
      <c r="O212" s="63">
        <v>0.41479634247714048</v>
      </c>
      <c r="P212" s="63">
        <v>0.44169381107491856</v>
      </c>
    </row>
    <row r="213" spans="1:16" x14ac:dyDescent="0.4">
      <c r="A213" s="65">
        <v>210</v>
      </c>
      <c r="B213" s="62">
        <v>-4.4741987892393809E-14</v>
      </c>
      <c r="C213" s="62">
        <v>-7.1019028400625087E-17</v>
      </c>
      <c r="D213" s="67">
        <v>1.9952380952380953</v>
      </c>
      <c r="E213" s="63">
        <v>0.33650793650793653</v>
      </c>
      <c r="F213" s="63">
        <v>0.33174603174603173</v>
      </c>
      <c r="G213" s="63">
        <v>0.29540229885057473</v>
      </c>
      <c r="H213" s="63">
        <v>0.16379310344827586</v>
      </c>
      <c r="I213" s="64">
        <v>8445.1361867704272</v>
      </c>
      <c r="J213" s="64">
        <v>-7856.9590643274851</v>
      </c>
      <c r="K213" s="63">
        <v>9.5238095238095233E-2</v>
      </c>
      <c r="L213" s="63">
        <v>0.25440613026819925</v>
      </c>
      <c r="M213" s="63">
        <v>0.23122605363984675</v>
      </c>
      <c r="N213" s="63">
        <v>0.55421686746987953</v>
      </c>
      <c r="O213" s="63">
        <v>0.41507870753935378</v>
      </c>
      <c r="P213" s="63">
        <v>0.44033722438391698</v>
      </c>
    </row>
    <row r="214" spans="1:16" x14ac:dyDescent="0.4">
      <c r="A214" s="65">
        <v>211</v>
      </c>
      <c r="B214" s="62">
        <v>-4.9737991503207013E-14</v>
      </c>
      <c r="C214" s="62">
        <v>-7.8575026071417084E-17</v>
      </c>
      <c r="D214" s="67">
        <v>1.9952606635071091</v>
      </c>
      <c r="E214" s="63">
        <v>0.33649289099526064</v>
      </c>
      <c r="F214" s="63">
        <v>0.33175355450236965</v>
      </c>
      <c r="G214" s="63">
        <v>0.29540689918048407</v>
      </c>
      <c r="H214" s="63">
        <v>0.16352201257861634</v>
      </c>
      <c r="I214" s="64">
        <v>8440.9032258064508</v>
      </c>
      <c r="J214" s="64">
        <v>-7843.939393939394</v>
      </c>
      <c r="K214" s="63">
        <v>9.6366508688783575E-2</v>
      </c>
      <c r="L214" s="63">
        <v>0.25462168858395273</v>
      </c>
      <c r="M214" s="63">
        <v>0.23098913664951401</v>
      </c>
      <c r="N214" s="63">
        <v>0.55464071856287422</v>
      </c>
      <c r="O214" s="63">
        <v>0.41501650165016502</v>
      </c>
      <c r="P214" s="63">
        <v>0.44129032258064516</v>
      </c>
    </row>
    <row r="215" spans="1:16" x14ac:dyDescent="0.4">
      <c r="A215" s="65">
        <v>212</v>
      </c>
      <c r="B215" s="62">
        <v>-4.2632564145606011E-14</v>
      </c>
      <c r="C215" s="62">
        <v>-6.70323335622736E-17</v>
      </c>
      <c r="D215" s="67">
        <v>1.9952830188679245</v>
      </c>
      <c r="E215" s="63">
        <v>0.33647798742138363</v>
      </c>
      <c r="F215" s="63">
        <v>0.33176100628930816</v>
      </c>
      <c r="G215" s="63">
        <v>0.29560106181266593</v>
      </c>
      <c r="H215" s="63">
        <v>0.16382252559726962</v>
      </c>
      <c r="I215" s="64">
        <v>8453.3033996151371</v>
      </c>
      <c r="J215" s="64">
        <v>-7848.8425925925922</v>
      </c>
      <c r="K215" s="63">
        <v>9.7484276729559755E-2</v>
      </c>
      <c r="L215" s="63">
        <v>0.25445582100872205</v>
      </c>
      <c r="M215" s="63">
        <v>0.23113386423966628</v>
      </c>
      <c r="N215" s="63">
        <v>0.55439642324888228</v>
      </c>
      <c r="O215" s="63">
        <v>0.41509433962264153</v>
      </c>
      <c r="P215" s="63">
        <v>0.44066709429121231</v>
      </c>
    </row>
    <row r="216" spans="1:16" x14ac:dyDescent="0.4">
      <c r="A216" s="65">
        <v>213</v>
      </c>
      <c r="B216" s="62">
        <v>-4.2632564145606011E-14</v>
      </c>
      <c r="C216" s="62">
        <v>-6.6717627770901427E-17</v>
      </c>
      <c r="D216" s="67">
        <v>1.9953051643192488</v>
      </c>
      <c r="E216" s="63">
        <v>0.33646322378716748</v>
      </c>
      <c r="F216" s="63">
        <v>0.33176838810641629</v>
      </c>
      <c r="G216" s="63">
        <v>0.29558323895809741</v>
      </c>
      <c r="H216" s="63">
        <v>0.1636466591166478</v>
      </c>
      <c r="I216" s="64">
        <v>8459.7062579821195</v>
      </c>
      <c r="J216" s="64">
        <v>-7850.749711649366</v>
      </c>
      <c r="K216" s="63">
        <v>9.8591549295774641E-2</v>
      </c>
      <c r="L216" s="63">
        <v>0.2544356360890902</v>
      </c>
      <c r="M216" s="63">
        <v>0.23084182710456777</v>
      </c>
      <c r="N216" s="63">
        <v>0.5556379821958457</v>
      </c>
      <c r="O216" s="63">
        <v>0.4145543744889616</v>
      </c>
      <c r="P216" s="63">
        <v>0.44125159642401024</v>
      </c>
    </row>
    <row r="217" spans="1:16" x14ac:dyDescent="0.4">
      <c r="A217" s="65">
        <v>214</v>
      </c>
      <c r="B217" s="62">
        <v>-4.2632564145606011E-14</v>
      </c>
      <c r="C217" s="62">
        <v>-6.6405863155149545E-17</v>
      </c>
      <c r="D217" s="67">
        <v>1.9953271028037383</v>
      </c>
      <c r="E217" s="63">
        <v>0.3364485981308411</v>
      </c>
      <c r="F217" s="63">
        <v>0.33177570093457942</v>
      </c>
      <c r="G217" s="63">
        <v>0.29560810810810811</v>
      </c>
      <c r="H217" s="63">
        <v>0.16347597597597596</v>
      </c>
      <c r="I217" s="64">
        <v>8447.6825396825388</v>
      </c>
      <c r="J217" s="64">
        <v>-7832.8358208955224</v>
      </c>
      <c r="K217" s="63">
        <v>9.8130841121495324E-2</v>
      </c>
      <c r="L217" s="63">
        <v>0.25450450450450451</v>
      </c>
      <c r="M217" s="63">
        <v>0.23104354354354353</v>
      </c>
      <c r="N217" s="63">
        <v>0.55530973451327437</v>
      </c>
      <c r="O217" s="63">
        <v>0.41348497156783104</v>
      </c>
      <c r="P217" s="63">
        <v>0.44190476190476191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636</vt:i4>
      </vt:variant>
    </vt:vector>
  </HeadingPairs>
  <TitlesOfParts>
    <vt:vector size="678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たかの!ダマアガリ数</vt:lpstr>
      <vt:lpstr>ただ!ダマアガリ数</vt:lpstr>
      <vt:lpstr>のり!ダマアガリ数</vt:lpstr>
      <vt:lpstr>ぱぱ!ダマアガリ数</vt:lpstr>
      <vt:lpstr>ほたに!ダマアガリ数</vt:lpstr>
      <vt:lpstr>まっつん!ダマアガリ数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たかの!ダマアガリ率</vt:lpstr>
      <vt:lpstr>ただ!ダマアガリ率</vt:lpstr>
      <vt:lpstr>のり!ダマアガリ率</vt:lpstr>
      <vt:lpstr>ぱぱ!ダマアガリ率</vt:lpstr>
      <vt:lpstr>ほたに!ダマアガリ率</vt:lpstr>
      <vt:lpstr>まっつん!ダマアガリ率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たかの!リーチアガリ数</vt:lpstr>
      <vt:lpstr>ただ!リーチアガリ数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たかの!リーチアガリ率</vt:lpstr>
      <vt:lpstr>ただ!リーチアガリ率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たかの!現行連続アガリ</vt:lpstr>
      <vt:lpstr>ただ!現行連続アガリ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たかの!現行連続無放銃</vt:lpstr>
      <vt:lpstr>ただ!現行連続無放銃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たかの!最高点</vt:lpstr>
      <vt:lpstr>ただ!最高点</vt:lpstr>
      <vt:lpstr>のり!最高点</vt:lpstr>
      <vt:lpstr>ぱぱ!最高点</vt:lpstr>
      <vt:lpstr>ほたに!最高点</vt:lpstr>
      <vt:lpstr>まっつん!最高点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たかの!通算アガリ点</vt:lpstr>
      <vt:lpstr>ただ!通算アガリ点</vt:lpstr>
      <vt:lpstr>のり!通算アガリ点</vt:lpstr>
      <vt:lpstr>ぱぱ!通算アガリ点</vt:lpstr>
      <vt:lpstr>ほたに!通算アガリ点</vt:lpstr>
      <vt:lpstr>まっつん!通算アガリ点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たかの!通算副露アガリ点</vt:lpstr>
      <vt:lpstr>ただ!通算副露アガリ点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たかの!通算放銃点</vt:lpstr>
      <vt:lpstr>ただ!通算放銃点</vt:lpstr>
      <vt:lpstr>のり!通算放銃点</vt:lpstr>
      <vt:lpstr>ぱぱ!通算放銃点</vt:lpstr>
      <vt:lpstr>ほたに!通算放銃点</vt:lpstr>
      <vt:lpstr>まっつん!通算放銃点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たかの!通算門前アガリ点</vt:lpstr>
      <vt:lpstr>ただ!通算門前アガリ点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たかの!二位数</vt:lpstr>
      <vt:lpstr>ただ!二位数</vt:lpstr>
      <vt:lpstr>のり!二位数</vt:lpstr>
      <vt:lpstr>ぱぱ!二位数</vt:lpstr>
      <vt:lpstr>ほたに!二位数</vt:lpstr>
      <vt:lpstr>まっつん!二位数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たかの!二位率</vt:lpstr>
      <vt:lpstr>ただ!二位率</vt:lpstr>
      <vt:lpstr>のり!二位率</vt:lpstr>
      <vt:lpstr>ぱぱ!二位率</vt:lpstr>
      <vt:lpstr>ほたに!二位率</vt:lpstr>
      <vt:lpstr>まっつん!二位率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たかの!副露アガリ数</vt:lpstr>
      <vt:lpstr>ただ!副露アガリ数</vt:lpstr>
      <vt:lpstr>のり!副露アガリ数</vt:lpstr>
      <vt:lpstr>ぱぱ!副露アガリ数</vt:lpstr>
      <vt:lpstr>ほたに!副露アガリ数</vt:lpstr>
      <vt:lpstr>まっつん!副露アガリ数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たかの!副露アガリ点</vt:lpstr>
      <vt:lpstr>ただ!副露アガリ点</vt:lpstr>
      <vt:lpstr>のり!副露アガリ点</vt:lpstr>
      <vt:lpstr>ぱぱ!副露アガリ点</vt:lpstr>
      <vt:lpstr>ほたに!副露アガリ点</vt:lpstr>
      <vt:lpstr>まっつん!副露アガリ点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たかの!副露アガリ率</vt:lpstr>
      <vt:lpstr>ただ!副露アガリ率</vt:lpstr>
      <vt:lpstr>のり!副露アガリ率</vt:lpstr>
      <vt:lpstr>ぱぱ!副露アガリ率</vt:lpstr>
      <vt:lpstr>ほたに!副露アガリ率</vt:lpstr>
      <vt:lpstr>まっつん!副露アガリ率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たかの!名前</vt:lpstr>
      <vt:lpstr>ただ!名前</vt:lpstr>
      <vt:lpstr>のり!名前</vt:lpstr>
      <vt:lpstr>ぱぱ!名前</vt:lpstr>
      <vt:lpstr>ほたに!名前</vt:lpstr>
      <vt:lpstr>まっつん!名前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たかの!門前アガリ点</vt:lpstr>
      <vt:lpstr>ただ!門前アガリ点</vt:lpstr>
      <vt:lpstr>のり!門前アガリ点</vt:lpstr>
      <vt:lpstr>ぱぱ!門前アガリ点</vt:lpstr>
      <vt:lpstr>ほたに!門前アガリ点</vt:lpstr>
      <vt:lpstr>まっつん!門前アガリ点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2019-11-24T11:50:50Z</dcterms:modified>
</cp:coreProperties>
</file>