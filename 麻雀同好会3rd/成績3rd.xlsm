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19C04E2-4FBF-4F30-A247-97DE4C97706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2" i="6341" l="1"/>
  <c r="O17" i="6357"/>
  <c r="O20" i="6357"/>
  <c r="O22" i="6343"/>
  <c r="O23" i="6351" l="1"/>
  <c r="O15" i="6357"/>
  <c r="O20" i="6345" l="1"/>
  <c r="O18" i="6357"/>
  <c r="O19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1" i="6335"/>
  <c r="C19" i="6357" l="1"/>
  <c r="H8" i="6357"/>
  <c r="H9" i="6357"/>
  <c r="H6" i="6357"/>
  <c r="H20" i="6357"/>
  <c r="H14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5" i="6357"/>
  <c r="C32" i="6357"/>
  <c r="H35" i="6357"/>
  <c r="H38" i="6357"/>
  <c r="C40" i="6357"/>
  <c r="H43" i="6357"/>
  <c r="H47" i="6357"/>
  <c r="H7" i="6357"/>
  <c r="H16" i="6357"/>
  <c r="H12" i="6357"/>
  <c r="H24" i="6357"/>
  <c r="H5" i="6357"/>
  <c r="C15" i="6357"/>
  <c r="H13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3" i="6349"/>
  <c r="O16" i="6353" l="1"/>
  <c r="O23" i="6343"/>
  <c r="O21" i="6337" l="1"/>
  <c r="O17" i="6339"/>
  <c r="O15" i="6349"/>
  <c r="O22" i="6349"/>
  <c r="O19" i="6347" l="1"/>
  <c r="O18" i="6351"/>
  <c r="O18" i="6341" l="1"/>
  <c r="O17" i="6347"/>
  <c r="O18" i="6349"/>
  <c r="O20" i="6349"/>
  <c r="O16" i="6337" l="1"/>
  <c r="O17" i="6351"/>
  <c r="O19" i="6351"/>
  <c r="O18" i="6343"/>
  <c r="O20" i="6341" l="1"/>
  <c r="O19" i="6345"/>
  <c r="O22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8" i="6337"/>
  <c r="O16" i="6341"/>
  <c r="O17" i="6343"/>
  <c r="O21" i="6343"/>
  <c r="O17" i="6337"/>
  <c r="O17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9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0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4" i="6349"/>
  <c r="H26" i="6349"/>
  <c r="H37" i="6349"/>
  <c r="H49" i="6349"/>
  <c r="H25" i="6349"/>
  <c r="C19" i="6349"/>
  <c r="H13" i="6349"/>
  <c r="H31" i="6349"/>
  <c r="H21" i="6349"/>
  <c r="C36" i="6349"/>
  <c r="H40" i="6349"/>
  <c r="H43" i="6349"/>
  <c r="C44" i="6349"/>
  <c r="H50" i="6349"/>
  <c r="C17" i="6349"/>
  <c r="H14" i="6349"/>
  <c r="B22" i="6349"/>
  <c r="H32" i="6349"/>
  <c r="H34" i="6349"/>
  <c r="C34" i="6349"/>
  <c r="H38" i="6349"/>
  <c r="H41" i="6349"/>
  <c r="C42" i="6349"/>
  <c r="H46" i="6349"/>
  <c r="H22" i="6349"/>
  <c r="H7" i="6349"/>
  <c r="H23" i="6349"/>
  <c r="C15" i="6349"/>
  <c r="H19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5" i="6349"/>
  <c r="H8" i="6349"/>
  <c r="H20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1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6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5" i="6347"/>
  <c r="H23" i="6347"/>
  <c r="C17" i="6347"/>
  <c r="H19" i="6347"/>
  <c r="H24" i="6347"/>
  <c r="H27" i="6347"/>
  <c r="H39" i="6347"/>
  <c r="C42" i="6347"/>
  <c r="H17" i="6347"/>
  <c r="C15" i="6347"/>
  <c r="H21" i="6347"/>
  <c r="H4" i="6347"/>
  <c r="H2" i="6347"/>
  <c r="H12" i="6347"/>
  <c r="H3" i="6347"/>
  <c r="H30" i="6347"/>
  <c r="C18" i="6347"/>
  <c r="C21" i="6347"/>
  <c r="H20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2" i="6347"/>
  <c r="C33" i="6347"/>
  <c r="C35" i="6347"/>
  <c r="C37" i="6347"/>
  <c r="C39" i="6347"/>
  <c r="C41" i="6347"/>
  <c r="C43" i="6347"/>
  <c r="H47" i="6347"/>
  <c r="H6" i="6345"/>
  <c r="H10" i="6345"/>
  <c r="H12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3" i="6345"/>
  <c r="C18" i="6345"/>
  <c r="H15" i="6345"/>
  <c r="H35" i="6345"/>
  <c r="H39" i="6345"/>
  <c r="H44" i="6345"/>
  <c r="H7" i="6345"/>
  <c r="H24" i="6345"/>
  <c r="C21" i="6345"/>
  <c r="H29" i="6345"/>
  <c r="H49" i="6345"/>
  <c r="C15" i="6345"/>
  <c r="H25" i="6345"/>
  <c r="H4" i="6345"/>
  <c r="H2" i="6345"/>
  <c r="H11" i="6345"/>
  <c r="H3" i="6345"/>
  <c r="H26" i="6345"/>
  <c r="C19" i="6345"/>
  <c r="H22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27" i="6345"/>
  <c r="H28" i="6345"/>
  <c r="C34" i="6345"/>
  <c r="H38" i="6345"/>
  <c r="H41" i="6345"/>
  <c r="C42" i="6345"/>
  <c r="H46" i="6345"/>
  <c r="H13" i="6345"/>
  <c r="B23" i="6345"/>
  <c r="H19" i="6345"/>
  <c r="H32" i="6345"/>
  <c r="H33" i="6345"/>
  <c r="H21" i="6345"/>
  <c r="H14" i="6345"/>
  <c r="H8" i="6345"/>
  <c r="H17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20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1" i="6339"/>
  <c r="C20" i="6339"/>
  <c r="H22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19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6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9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6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7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8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<sst xmlns="http://schemas.openxmlformats.org/spreadsheetml/2006/main" count="3888" uniqueCount="310">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</sst>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全体!$K$2:$K$995</c:f>
              <c:numCache>
                <c:formatCode>General</c:formatCode>
                <c:ptCount val="9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</c:numCache>
            </c:numRef>
          </c:xVal>
          <c:yVal>
            <c:numRef>
              <c:f>全体!$L$2:$L$995</c:f>
              <c:numCache>
                <c:formatCode>\+0.0;\-0.0;\±0</c:formatCode>
                <c:ptCount val="99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-7.1054273576010019E-14</c:v>
                </c:pt>
                <c:pt idx="986">
                  <c:v>-7.1054273576010019E-14</c:v>
                </c:pt>
                <c:pt idx="987">
                  <c:v>-7.1054273576010019E-14</c:v>
                </c:pt>
                <c:pt idx="988">
                  <c:v>30.399999999999928</c:v>
                </c:pt>
                <c:pt idx="989">
                  <c:v>45.499999999999929</c:v>
                </c:pt>
                <c:pt idx="990">
                  <c:v>-7.1054273576010019E-14</c:v>
                </c:pt>
                <c:pt idx="991">
                  <c:v>34.59999999999993</c:v>
                </c:pt>
                <c:pt idx="992">
                  <c:v>-11.500000000000071</c:v>
                </c:pt>
                <c:pt idx="993">
                  <c:v>-7.1054273576010019E-14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-27.355623100303951</c:v>
                </c:pt>
                <c:pt idx="1">
                  <c:v>7.2016460905349797</c:v>
                </c:pt>
                <c:pt idx="2">
                  <c:v>-1.0893246187363834</c:v>
                </c:pt>
                <c:pt idx="3">
                  <c:v>-2.3310023310023311</c:v>
                </c:pt>
                <c:pt idx="4">
                  <c:v>12.626262626262626</c:v>
                </c:pt>
                <c:pt idx="5">
                  <c:v>16.897081413210447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190</c:v>
                </c:pt>
                <c:pt idx="1">
                  <c:v>417</c:v>
                </c:pt>
                <c:pt idx="2">
                  <c:v>470</c:v>
                </c:pt>
                <c:pt idx="3">
                  <c:v>435</c:v>
                </c:pt>
                <c:pt idx="4">
                  <c:v>377</c:v>
                </c:pt>
                <c:pt idx="5">
                  <c:v>258</c:v>
                </c:pt>
                <c:pt idx="6">
                  <c:v>127</c:v>
                </c:pt>
                <c:pt idx="7">
                  <c:v>71</c:v>
                </c:pt>
                <c:pt idx="8">
                  <c:v>31</c:v>
                </c:pt>
                <c:pt idx="9">
                  <c:v>11</c:v>
                </c:pt>
                <c:pt idx="10">
                  <c:v>7</c:v>
                </c:pt>
                <c:pt idx="11">
                  <c:v>6</c:v>
                </c:pt>
                <c:pt idx="1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たかの!$L$2:$L$90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1920.4545454545455</c:v>
                </c:pt>
                <c:pt idx="1">
                  <c:v>-2071.2643678160921</c:v>
                </c:pt>
                <c:pt idx="2">
                  <c:v>-1713.0952380952381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44</c:v>
                </c:pt>
                <c:pt idx="3">
                  <c:v>39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だいち!$K$2:$K$201</c:f>
              <c:numCache>
                <c:formatCode>General</c:formatCode>
                <c:ptCount val="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</c:numCache>
            </c:numRef>
          </c:xVal>
          <c:yVal>
            <c:numRef>
              <c:f>だいち!$L$2:$L$201</c:f>
              <c:numCache>
                <c:formatCode>\+0.0;\-0.0;\±0</c:formatCode>
                <c:ptCount val="20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1804.7999999999997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1379.6954314720813</c:v>
                </c:pt>
                <c:pt idx="1">
                  <c:v>1096.8911917098446</c:v>
                </c:pt>
                <c:pt idx="2">
                  <c:v>1260.752688172043</c:v>
                </c:pt>
                <c:pt idx="3">
                  <c:v>104.62427745664741</c:v>
                </c:pt>
                <c:pt idx="4">
                  <c:v>1902.4844720496894</c:v>
                </c:pt>
                <c:pt idx="5">
                  <c:v>1886.2595419847328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53</c:v>
                </c:pt>
                <c:pt idx="1">
                  <c:v>103</c:v>
                </c:pt>
                <c:pt idx="2">
                  <c:v>110</c:v>
                </c:pt>
                <c:pt idx="3">
                  <c:v>98</c:v>
                </c:pt>
                <c:pt idx="4">
                  <c:v>80</c:v>
                </c:pt>
                <c:pt idx="5">
                  <c:v>55</c:v>
                </c:pt>
                <c:pt idx="6">
                  <c:v>25</c:v>
                </c:pt>
                <c:pt idx="7">
                  <c:v>11</c:v>
                </c:pt>
                <c:pt idx="8">
                  <c:v>10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ただ!$K$2:$K$177</c:f>
              <c:numCache>
                <c:formatCode>General</c:formatCode>
                <c:ptCount val="1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</c:numCache>
            </c:numRef>
          </c:xVal>
          <c:yVal>
            <c:numRef>
              <c:f>ただ!$L$2:$L$177</c:f>
              <c:numCache>
                <c:formatCode>\+0.0;\-0.0;\±0</c:formatCode>
                <c:ptCount val="17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-41.100000000000207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-911.56069364161851</c:v>
                </c:pt>
                <c:pt idx="1">
                  <c:v>1276.0233918128654</c:v>
                </c:pt>
                <c:pt idx="2">
                  <c:v>-128.93081761006289</c:v>
                </c:pt>
                <c:pt idx="3">
                  <c:v>148.34437086092714</c:v>
                </c:pt>
                <c:pt idx="4">
                  <c:v>-1659.4202898550725</c:v>
                </c:pt>
                <c:pt idx="5">
                  <c:v>1237.391304347826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85</c:v>
                </c:pt>
                <c:pt idx="2">
                  <c:v>98</c:v>
                </c:pt>
                <c:pt idx="3">
                  <c:v>91</c:v>
                </c:pt>
                <c:pt idx="4">
                  <c:v>63</c:v>
                </c:pt>
                <c:pt idx="5">
                  <c:v>42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れんたろう!$L$2:$L$148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1019.1780821917808</c:v>
                </c:pt>
                <c:pt idx="1">
                  <c:v>-2058.7412587412587</c:v>
                </c:pt>
                <c:pt idx="2">
                  <c:v>-652.67175572519079</c:v>
                </c:pt>
                <c:pt idx="3">
                  <c:v>2231.404958677686</c:v>
                </c:pt>
                <c:pt idx="4">
                  <c:v>1465.1376146788991</c:v>
                </c:pt>
                <c:pt idx="5">
                  <c:v>520.73170731707319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42</c:v>
                </c:pt>
                <c:pt idx="3">
                  <c:v>60</c:v>
                </c:pt>
                <c:pt idx="4">
                  <c:v>70</c:v>
                </c:pt>
                <c:pt idx="5">
                  <c:v>45</c:v>
                </c:pt>
                <c:pt idx="6">
                  <c:v>24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まっつん!$L$2:$L$159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-71.199999999999989</c:v>
                </c:pt>
                <c:pt idx="156">
                  <c:v>-116.69999999999999</c:v>
                </c:pt>
                <c:pt idx="157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592.10526315789468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-922.22222222222217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のり!$L$2:$L$67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-2886.1538461538462</c:v>
                </c:pt>
                <c:pt idx="1">
                  <c:v>1089.2307692307693</c:v>
                </c:pt>
                <c:pt idx="2">
                  <c:v>-591.93548387096769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-2106.9767441860463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23</c:v>
                </c:pt>
                <c:pt idx="4">
                  <c:v>20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-1537.5</c:v>
                </c:pt>
                <c:pt idx="1">
                  <c:v>-443.75</c:v>
                </c:pt>
                <c:pt idx="2">
                  <c:v>-2462.5</c:v>
                </c:pt>
                <c:pt idx="3">
                  <c:v>692.85714285714289</c:v>
                </c:pt>
                <c:pt idx="4">
                  <c:v>-841.66666666666663</c:v>
                </c:pt>
                <c:pt idx="5">
                  <c:v>5020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14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ともき2!$C$3:$C$19</c:f>
              <c:numCache>
                <c:formatCode>\+0.0;\-0.0;\±0</c:formatCode>
                <c:ptCount val="17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  <c:pt idx="7">
                  <c:v>3.3000000000000003</c:v>
                </c:pt>
                <c:pt idx="8">
                  <c:v>5.1624999999999996</c:v>
                </c:pt>
                <c:pt idx="9">
                  <c:v>8.8555555555555543</c:v>
                </c:pt>
                <c:pt idx="10">
                  <c:v>8.61</c:v>
                </c:pt>
                <c:pt idx="11">
                  <c:v>4.9272727272727268</c:v>
                </c:pt>
                <c:pt idx="12">
                  <c:v>0.40833333333333321</c:v>
                </c:pt>
                <c:pt idx="13">
                  <c:v>-3.6615384615384619</c:v>
                </c:pt>
                <c:pt idx="14">
                  <c:v>-3.9642857142857144</c:v>
                </c:pt>
                <c:pt idx="15">
                  <c:v>-1.6733333333333333</c:v>
                </c:pt>
                <c:pt idx="16">
                  <c:v>-0.85000000000000009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55515969386708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ともき2!$D$3:$D$19</c:f>
              <c:numCache>
                <c:formatCode>0.00\ "位"</c:formatCode>
                <c:ptCount val="17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1.8181818181818181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  <c:pt idx="15">
                  <c:v>1.9333333333333333</c:v>
                </c:pt>
                <c:pt idx="16">
                  <c:v>1.9375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978851963746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ともき2!$E$3:$E$19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34743202416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ともき2!$F$3:$F$19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326283987915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ともき2!$G$3:$G$19</c:f>
              <c:numCache>
                <c:formatCode>0.0%</c:formatCode>
                <c:ptCount val="17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0.39240506329113922</c:v>
                </c:pt>
                <c:pt idx="10">
                  <c:v>0.37777777777777777</c:v>
                </c:pt>
                <c:pt idx="11">
                  <c:v>0.38</c:v>
                </c:pt>
                <c:pt idx="12">
                  <c:v>0.37614678899082571</c:v>
                </c:pt>
                <c:pt idx="13">
                  <c:v>0.3559322033898305</c:v>
                </c:pt>
                <c:pt idx="14">
                  <c:v>0.34920634920634919</c:v>
                </c:pt>
                <c:pt idx="15">
                  <c:v>0.35338345864661652</c:v>
                </c:pt>
                <c:pt idx="16">
                  <c:v>0.35766423357664234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46105466860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ともき2!$H$3:$H$19</c:f>
              <c:numCache>
                <c:formatCode>0.0%</c:formatCode>
                <c:ptCount val="17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  <c:pt idx="7">
                  <c:v>0.1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0.13</c:v>
                </c:pt>
                <c:pt idx="12">
                  <c:v>0.14678899082568808</c:v>
                </c:pt>
                <c:pt idx="13">
                  <c:v>0.16949152542372881</c:v>
                </c:pt>
                <c:pt idx="14">
                  <c:v>0.16666666666666666</c:v>
                </c:pt>
                <c:pt idx="15">
                  <c:v>0.16541353383458646</c:v>
                </c:pt>
                <c:pt idx="16">
                  <c:v>0.16058394160583941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256410256410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ともき2!$I$3:$I$19</c:f>
              <c:numCache>
                <c:formatCode>0</c:formatCode>
                <c:ptCount val="17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  <c:pt idx="7">
                  <c:v>7342.8571428571431</c:v>
                </c:pt>
                <c:pt idx="8">
                  <c:v>7608</c:v>
                </c:pt>
                <c:pt idx="9">
                  <c:v>7138.7096774193551</c:v>
                </c:pt>
                <c:pt idx="10">
                  <c:v>7147.0588235294117</c:v>
                </c:pt>
                <c:pt idx="11">
                  <c:v>6765.7894736842109</c:v>
                </c:pt>
                <c:pt idx="12">
                  <c:v>6531.707317073171</c:v>
                </c:pt>
                <c:pt idx="13">
                  <c:v>6407.1428571428569</c:v>
                </c:pt>
                <c:pt idx="14">
                  <c:v>6534.090909090909</c:v>
                </c:pt>
                <c:pt idx="15">
                  <c:v>6710.6382978723404</c:v>
                </c:pt>
                <c:pt idx="16">
                  <c:v>6679.591836734694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1.4967105263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ともき2!$J$3:$J$19</c:f>
              <c:numCache>
                <c:formatCode>0</c:formatCode>
                <c:ptCount val="17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  <c:pt idx="7">
                  <c:v>-8500</c:v>
                </c:pt>
                <c:pt idx="8">
                  <c:v>-8477.7777777777774</c:v>
                </c:pt>
                <c:pt idx="9">
                  <c:v>-8150</c:v>
                </c:pt>
                <c:pt idx="10">
                  <c:v>-7990.909090909091</c:v>
                </c:pt>
                <c:pt idx="11">
                  <c:v>-7800</c:v>
                </c:pt>
                <c:pt idx="12">
                  <c:v>-8337.5</c:v>
                </c:pt>
                <c:pt idx="13">
                  <c:v>-8205</c:v>
                </c:pt>
                <c:pt idx="14">
                  <c:v>-8195.2380952380954</c:v>
                </c:pt>
                <c:pt idx="15">
                  <c:v>-8368.181818181818</c:v>
                </c:pt>
                <c:pt idx="16">
                  <c:v>-8368.181818181818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8.94339622641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66968781470291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ともき2!$L$3:$L$19</c:f>
              <c:numCache>
                <c:formatCode>0.0%</c:formatCode>
                <c:ptCount val="17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0.35443037974683544</c:v>
                </c:pt>
                <c:pt idx="10">
                  <c:v>0.35555555555555557</c:v>
                </c:pt>
                <c:pt idx="11">
                  <c:v>0.34</c:v>
                </c:pt>
                <c:pt idx="12">
                  <c:v>0.32110091743119268</c:v>
                </c:pt>
                <c:pt idx="13">
                  <c:v>0.30508474576271188</c:v>
                </c:pt>
                <c:pt idx="14">
                  <c:v>0.30952380952380953</c:v>
                </c:pt>
                <c:pt idx="15">
                  <c:v>0.33834586466165412</c:v>
                </c:pt>
                <c:pt idx="16">
                  <c:v>0.34306569343065696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241896468311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ともき2!$M$3:$M$19</c:f>
              <c:numCache>
                <c:formatCode>0.0%</c:formatCode>
                <c:ptCount val="17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  <c:pt idx="7">
                  <c:v>0.11666666666666667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0.12</c:v>
                </c:pt>
                <c:pt idx="12">
                  <c:v>0.12844036697247707</c:v>
                </c:pt>
                <c:pt idx="13">
                  <c:v>0.1271186440677966</c:v>
                </c:pt>
                <c:pt idx="14">
                  <c:v>0.12698412698412698</c:v>
                </c:pt>
                <c:pt idx="15">
                  <c:v>0.12030075187969924</c:v>
                </c:pt>
                <c:pt idx="16">
                  <c:v>0.11678832116788321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13207547169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ともき2!$N$3:$N$19</c:f>
              <c:numCache>
                <c:formatCode>0.0%</c:formatCode>
                <c:ptCount val="17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  <c:pt idx="7">
                  <c:v>0.7142857142857143</c:v>
                </c:pt>
                <c:pt idx="8">
                  <c:v>0.68</c:v>
                </c:pt>
                <c:pt idx="9">
                  <c:v>0.6785714285714286</c:v>
                </c:pt>
                <c:pt idx="10">
                  <c:v>0.65625</c:v>
                </c:pt>
                <c:pt idx="11">
                  <c:v>0.6470588235294118</c:v>
                </c:pt>
                <c:pt idx="12">
                  <c:v>0.62857142857142856</c:v>
                </c:pt>
                <c:pt idx="13">
                  <c:v>0.61111111111111116</c:v>
                </c:pt>
                <c:pt idx="14">
                  <c:v>0.58974358974358976</c:v>
                </c:pt>
                <c:pt idx="15">
                  <c:v>0.57777777777777772</c:v>
                </c:pt>
                <c:pt idx="16">
                  <c:v>0.5957446808510638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090865152247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ともき2!$O$3:$O$19</c:f>
              <c:numCache>
                <c:formatCode>0.0%</c:formatCode>
                <c:ptCount val="17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0.72727272727272729</c:v>
                </c:pt>
                <c:pt idx="11">
                  <c:v>0.75</c:v>
                </c:pt>
                <c:pt idx="12">
                  <c:v>0.7142857142857143</c:v>
                </c:pt>
                <c:pt idx="13">
                  <c:v>0.73333333333333328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75562532705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ともき2!$P$3:$P$19</c:f>
              <c:numCache>
                <c:formatCode>0.0%</c:formatCode>
                <c:ptCount val="17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0.38095238095238093</c:v>
                </c:pt>
                <c:pt idx="8">
                  <c:v>0.44</c:v>
                </c:pt>
                <c:pt idx="9">
                  <c:v>0.4838709677419355</c:v>
                </c:pt>
                <c:pt idx="10">
                  <c:v>0.47058823529411764</c:v>
                </c:pt>
                <c:pt idx="11">
                  <c:v>0.5</c:v>
                </c:pt>
                <c:pt idx="12">
                  <c:v>0.51219512195121952</c:v>
                </c:pt>
                <c:pt idx="13">
                  <c:v>0.5</c:v>
                </c:pt>
                <c:pt idx="14">
                  <c:v>0.52272727272727271</c:v>
                </c:pt>
                <c:pt idx="15">
                  <c:v>0.48936170212765956</c:v>
                </c:pt>
                <c:pt idx="16">
                  <c:v>0.48979591836734693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246710526315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3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305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306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307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308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309</v>
      </c>
      <c r="B103" s="29">
        <v>43859.067962962959</v>
      </c>
      <c r="C103" s="28" t="s">
        <v>128</v>
      </c>
      <c r="D103" s="28" t="s">
        <v>129</v>
      </c>
      <c r="E103" s="28" t="s">
        <v>173</v>
      </c>
      <c r="F103" s="28" t="s">
        <v>174</v>
      </c>
      <c r="G103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993</v>
      </c>
    </row>
    <row r="2" spans="1:2" x14ac:dyDescent="0.45">
      <c r="A2" t="s">
        <v>161</v>
      </c>
      <c r="B2">
        <v>88</v>
      </c>
    </row>
    <row r="3" spans="1:2" x14ac:dyDescent="0.45">
      <c r="A3" t="s">
        <v>126</v>
      </c>
      <c r="B3">
        <v>199</v>
      </c>
    </row>
    <row r="4" spans="1:2" x14ac:dyDescent="0.45">
      <c r="A4" t="s">
        <v>127</v>
      </c>
      <c r="B4">
        <v>175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146</v>
      </c>
    </row>
    <row r="7" spans="1:2" x14ac:dyDescent="0.45">
      <c r="A7" t="s">
        <v>171</v>
      </c>
      <c r="B7">
        <v>157</v>
      </c>
    </row>
    <row r="8" spans="1:2" x14ac:dyDescent="0.45">
      <c r="A8" t="s">
        <v>197</v>
      </c>
      <c r="B8">
        <v>65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16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0.9765939977919762</v>
      </c>
      <c r="G2" s="167"/>
      <c r="H2" s="166">
        <v>0.91177461201118326</v>
      </c>
      <c r="I2" s="167"/>
      <c r="J2" s="166">
        <v>0.89431381778290553</v>
      </c>
      <c r="K2" s="167"/>
      <c r="L2" s="166">
        <v>0.60106234292538074</v>
      </c>
      <c r="M2" s="167"/>
      <c r="N2" s="166">
        <v>0.65856580404044596</v>
      </c>
      <c r="O2" s="167"/>
      <c r="P2" s="166">
        <v>0.36412160980758612</v>
      </c>
      <c r="Q2" s="167"/>
      <c r="R2" s="166">
        <v>5.1241661293921777E-2</v>
      </c>
      <c r="S2" s="167"/>
      <c r="T2" s="166">
        <v>0.30504302538843109</v>
      </c>
      <c r="U2" s="167"/>
      <c r="V2" s="166">
        <v>0.44271594023848715</v>
      </c>
      <c r="W2" s="167"/>
      <c r="X2" s="166">
        <v>-3.8606279902996289E-2</v>
      </c>
      <c r="Y2" s="167"/>
      <c r="Z2" s="166">
        <v>0.47387017448685564</v>
      </c>
      <c r="AA2" s="167"/>
      <c r="AB2" s="166">
        <v>0.14807565366772896</v>
      </c>
      <c r="AC2" s="167"/>
      <c r="AD2" s="166">
        <v>-3.9376490259684975E-2</v>
      </c>
      <c r="AE2" s="167"/>
      <c r="AF2" s="166">
        <v>0.79192758246465234</v>
      </c>
      <c r="AG2" s="167"/>
    </row>
    <row r="3" spans="1:33" x14ac:dyDescent="0.45">
      <c r="A3" s="70">
        <v>1</v>
      </c>
      <c r="B3" s="71" t="s">
        <v>126</v>
      </c>
      <c r="C3" s="72">
        <v>1804.7999999999997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11038.125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449.90000000000055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0.24120603015075376</v>
      </c>
      <c r="L4" s="81" t="s">
        <v>281</v>
      </c>
      <c r="M4" s="84">
        <v>0.37681159420289856</v>
      </c>
      <c r="N4" s="81" t="s">
        <v>126</v>
      </c>
      <c r="O4" s="84">
        <v>0.12484700122399021</v>
      </c>
      <c r="P4" s="81" t="s">
        <v>281</v>
      </c>
      <c r="Q4" s="85">
        <v>9534.6153846153848</v>
      </c>
      <c r="R4" s="81" t="s">
        <v>171</v>
      </c>
      <c r="S4" s="85">
        <v>-7195.4802259887001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196</v>
      </c>
      <c r="AA4" s="84">
        <v>0.59677419354838712</v>
      </c>
      <c r="AB4" s="81" t="s">
        <v>274</v>
      </c>
      <c r="AC4" s="84">
        <v>0.75</v>
      </c>
      <c r="AD4" s="81" t="s">
        <v>170</v>
      </c>
      <c r="AE4" s="84">
        <v>0.50937500000000002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9.0693467336683398</v>
      </c>
      <c r="F5" s="81" t="s">
        <v>126</v>
      </c>
      <c r="G5" s="82">
        <v>1.7688442211055277</v>
      </c>
      <c r="H5" s="81" t="s">
        <v>126</v>
      </c>
      <c r="I5" s="83">
        <v>0.47236180904522612</v>
      </c>
      <c r="J5" s="81" t="s">
        <v>171</v>
      </c>
      <c r="K5" s="83">
        <v>0.29936305732484075</v>
      </c>
      <c r="L5" s="81" t="s">
        <v>274</v>
      </c>
      <c r="M5" s="84">
        <v>0.35766423357664234</v>
      </c>
      <c r="N5" s="81" t="s">
        <v>171</v>
      </c>
      <c r="O5" s="84">
        <v>0.14025356576862125</v>
      </c>
      <c r="P5" s="81" t="s">
        <v>280</v>
      </c>
      <c r="Q5" s="85">
        <v>8512.5</v>
      </c>
      <c r="R5" s="81" t="s">
        <v>161</v>
      </c>
      <c r="S5" s="85">
        <v>-7540.9448818897636</v>
      </c>
      <c r="T5" s="81" t="s">
        <v>126</v>
      </c>
      <c r="U5" s="83">
        <v>4.5226130653266333E-2</v>
      </c>
      <c r="V5" s="81" t="s">
        <v>274</v>
      </c>
      <c r="W5" s="84">
        <v>0.34306569343065696</v>
      </c>
      <c r="X5" s="81" t="s">
        <v>127</v>
      </c>
      <c r="Y5" s="84">
        <v>0.29903314917127072</v>
      </c>
      <c r="Z5" s="81" t="s">
        <v>274</v>
      </c>
      <c r="AA5" s="84">
        <v>0.5957446808510638</v>
      </c>
      <c r="AB5" s="81" t="s">
        <v>126</v>
      </c>
      <c r="AC5" s="84">
        <v>0.484375</v>
      </c>
      <c r="AD5" s="81" t="s">
        <v>274</v>
      </c>
      <c r="AE5" s="84">
        <v>0.48979591836734693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3.0815068493150721</v>
      </c>
      <c r="F6" s="81" t="s">
        <v>274</v>
      </c>
      <c r="G6" s="82">
        <v>1.9375</v>
      </c>
      <c r="H6" s="81" t="s">
        <v>228</v>
      </c>
      <c r="I6" s="83">
        <v>0.42857142857142855</v>
      </c>
      <c r="J6" s="81" t="s">
        <v>274</v>
      </c>
      <c r="K6" s="83">
        <v>0.3125</v>
      </c>
      <c r="L6" s="81" t="s">
        <v>126</v>
      </c>
      <c r="M6" s="84">
        <v>0.34149326805385555</v>
      </c>
      <c r="N6" s="81" t="s">
        <v>141</v>
      </c>
      <c r="O6" s="84">
        <v>0.16025641025641027</v>
      </c>
      <c r="P6" s="81" t="s">
        <v>171</v>
      </c>
      <c r="Q6" s="85">
        <v>8511.1428571428569</v>
      </c>
      <c r="R6" s="81" t="s">
        <v>126</v>
      </c>
      <c r="S6" s="85">
        <v>-7767.6470588235297</v>
      </c>
      <c r="T6" s="81" t="s">
        <v>161</v>
      </c>
      <c r="U6" s="83">
        <v>7.9545454545454544E-2</v>
      </c>
      <c r="V6" s="81" t="s">
        <v>170</v>
      </c>
      <c r="W6" s="84">
        <v>0.29626485568760613</v>
      </c>
      <c r="X6" s="81" t="s">
        <v>161</v>
      </c>
      <c r="Y6" s="84">
        <v>0.26282051282051283</v>
      </c>
      <c r="Z6" s="81" t="s">
        <v>126</v>
      </c>
      <c r="AA6" s="84">
        <v>0.58508158508158503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-7.1054273576010019E-14</v>
      </c>
      <c r="D7" s="81" t="s">
        <v>141</v>
      </c>
      <c r="E7" s="93">
        <v>-7.1555159693867088E-17</v>
      </c>
      <c r="F7" s="81" t="s">
        <v>170</v>
      </c>
      <c r="G7" s="82">
        <v>1.9452054794520548</v>
      </c>
      <c r="H7" s="81" t="s">
        <v>170</v>
      </c>
      <c r="I7" s="83">
        <v>0.38356164383561642</v>
      </c>
      <c r="J7" s="81" t="s">
        <v>127</v>
      </c>
      <c r="K7" s="83">
        <v>0.32</v>
      </c>
      <c r="L7" s="81" t="s">
        <v>127</v>
      </c>
      <c r="M7" s="84">
        <v>0.31353591160220995</v>
      </c>
      <c r="N7" s="81" t="s">
        <v>274</v>
      </c>
      <c r="O7" s="84">
        <v>0.16058394160583941</v>
      </c>
      <c r="P7" s="81" t="s">
        <v>141</v>
      </c>
      <c r="Q7" s="85">
        <v>8431.4967105263149</v>
      </c>
      <c r="R7" s="81" t="s">
        <v>172</v>
      </c>
      <c r="S7" s="85">
        <v>-7813.9240506329115</v>
      </c>
      <c r="T7" s="81" t="s">
        <v>172</v>
      </c>
      <c r="U7" s="83">
        <v>0.08</v>
      </c>
      <c r="V7" s="81" t="s">
        <v>172</v>
      </c>
      <c r="W7" s="84">
        <v>0.27346465816917731</v>
      </c>
      <c r="X7" s="81" t="s">
        <v>126</v>
      </c>
      <c r="Y7" s="84">
        <v>0.2350061199510404</v>
      </c>
      <c r="Z7" s="81" t="s">
        <v>141</v>
      </c>
      <c r="AA7" s="84">
        <v>0.54809086515224748</v>
      </c>
      <c r="AB7" s="81" t="s">
        <v>197</v>
      </c>
      <c r="AC7" s="84">
        <v>0.43548387096774194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274</v>
      </c>
      <c r="C8" s="80">
        <v>-13.600000000000001</v>
      </c>
      <c r="D8" s="81" t="s">
        <v>127</v>
      </c>
      <c r="E8" s="93">
        <v>-0.23485714285714404</v>
      </c>
      <c r="F8" s="81" t="s">
        <v>127</v>
      </c>
      <c r="G8" s="82">
        <v>1.9771428571428571</v>
      </c>
      <c r="H8" s="81" t="s">
        <v>274</v>
      </c>
      <c r="I8" s="83">
        <v>0.375</v>
      </c>
      <c r="J8" s="81" t="s">
        <v>170</v>
      </c>
      <c r="K8" s="83">
        <v>0.32876712328767121</v>
      </c>
      <c r="L8" s="81" t="s">
        <v>141</v>
      </c>
      <c r="M8" s="84">
        <v>0.29414610546686021</v>
      </c>
      <c r="N8" s="81" t="s">
        <v>161</v>
      </c>
      <c r="O8" s="84">
        <v>0.16282051282051282</v>
      </c>
      <c r="P8" s="81" t="s">
        <v>196</v>
      </c>
      <c r="Q8" s="85">
        <v>8385.7142857142862</v>
      </c>
      <c r="R8" s="81" t="s">
        <v>141</v>
      </c>
      <c r="S8" s="85">
        <v>-7858.9433962264147</v>
      </c>
      <c r="T8" s="81" t="s">
        <v>171</v>
      </c>
      <c r="U8" s="83">
        <v>8.2802547770700632E-2</v>
      </c>
      <c r="V8" s="81" t="s">
        <v>203</v>
      </c>
      <c r="W8" s="84">
        <v>0.26666666666666666</v>
      </c>
      <c r="X8" s="81" t="s">
        <v>141</v>
      </c>
      <c r="Y8" s="84">
        <v>0.23113207547169812</v>
      </c>
      <c r="Z8" s="81" t="s">
        <v>171</v>
      </c>
      <c r="AA8" s="84">
        <v>0.54798761609907121</v>
      </c>
      <c r="AB8" s="81" t="s">
        <v>141</v>
      </c>
      <c r="AC8" s="84">
        <v>0.41967556253270538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127</v>
      </c>
      <c r="C9" s="80">
        <v>-41.100000000000207</v>
      </c>
      <c r="D9" s="81" t="s">
        <v>171</v>
      </c>
      <c r="E9" s="93">
        <v>-0.52292993630573248</v>
      </c>
      <c r="F9" s="81" t="s">
        <v>141</v>
      </c>
      <c r="G9" s="82">
        <v>1.9969788519637461</v>
      </c>
      <c r="H9" s="81" t="s">
        <v>196</v>
      </c>
      <c r="I9" s="83">
        <v>0.36</v>
      </c>
      <c r="J9" s="81" t="s">
        <v>141</v>
      </c>
      <c r="K9" s="83">
        <v>0.33232628398791542</v>
      </c>
      <c r="L9" s="81" t="s">
        <v>171</v>
      </c>
      <c r="M9" s="84">
        <v>0.27733755942947702</v>
      </c>
      <c r="N9" s="81" t="s">
        <v>170</v>
      </c>
      <c r="O9" s="84">
        <v>0.17487266553480477</v>
      </c>
      <c r="P9" s="81" t="s">
        <v>126</v>
      </c>
      <c r="Q9" s="85">
        <v>8277.7777777777774</v>
      </c>
      <c r="R9" s="81" t="s">
        <v>127</v>
      </c>
      <c r="S9" s="85">
        <v>-7970.3125</v>
      </c>
      <c r="T9" s="81" t="s">
        <v>141</v>
      </c>
      <c r="U9" s="83">
        <v>9.5669687814702919E-2</v>
      </c>
      <c r="V9" s="81" t="s">
        <v>126</v>
      </c>
      <c r="W9" s="84">
        <v>0.26254589963280295</v>
      </c>
      <c r="X9" s="81" t="s">
        <v>197</v>
      </c>
      <c r="Y9" s="84">
        <v>0.22962962962962963</v>
      </c>
      <c r="Z9" s="81" t="s">
        <v>170</v>
      </c>
      <c r="AA9" s="84">
        <v>0.5386819484240688</v>
      </c>
      <c r="AB9" s="81" t="s">
        <v>171</v>
      </c>
      <c r="AC9" s="84">
        <v>0.41811846689895471</v>
      </c>
      <c r="AD9" s="81" t="s">
        <v>197</v>
      </c>
      <c r="AE9" s="84">
        <v>0.45714285714285713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196</v>
      </c>
      <c r="C10" s="80">
        <v>-45.7</v>
      </c>
      <c r="D10" s="81" t="s">
        <v>274</v>
      </c>
      <c r="E10" s="93">
        <v>-0.85000000000000009</v>
      </c>
      <c r="F10" s="81" t="s">
        <v>171</v>
      </c>
      <c r="G10" s="82">
        <v>2.0382165605095541</v>
      </c>
      <c r="H10" s="81" t="s">
        <v>127</v>
      </c>
      <c r="I10" s="83">
        <v>0.34285714285714286</v>
      </c>
      <c r="J10" s="81" t="s">
        <v>281</v>
      </c>
      <c r="K10" s="83">
        <v>0.375</v>
      </c>
      <c r="L10" s="81" t="s">
        <v>161</v>
      </c>
      <c r="M10" s="84">
        <v>0.27307692307692305</v>
      </c>
      <c r="N10" s="81" t="s">
        <v>196</v>
      </c>
      <c r="O10" s="84">
        <v>0.17499999999999999</v>
      </c>
      <c r="P10" s="81" t="s">
        <v>197</v>
      </c>
      <c r="Q10" s="85">
        <v>8176.4285714285716</v>
      </c>
      <c r="R10" s="81" t="s">
        <v>280</v>
      </c>
      <c r="S10" s="85">
        <v>-7987.5</v>
      </c>
      <c r="T10" s="81" t="s">
        <v>127</v>
      </c>
      <c r="U10" s="83">
        <v>0.10285714285714286</v>
      </c>
      <c r="V10" s="81" t="s">
        <v>196</v>
      </c>
      <c r="W10" s="84">
        <v>0.25833333333333336</v>
      </c>
      <c r="X10" s="81" t="s">
        <v>171</v>
      </c>
      <c r="Y10" s="84">
        <v>0.22741679873217116</v>
      </c>
      <c r="Z10" s="81" t="s">
        <v>172</v>
      </c>
      <c r="AA10" s="84">
        <v>0.53813559322033899</v>
      </c>
      <c r="AB10" s="81" t="s">
        <v>172</v>
      </c>
      <c r="AC10" s="84">
        <v>0.40606060606060607</v>
      </c>
      <c r="AD10" s="81" t="s">
        <v>141</v>
      </c>
      <c r="AE10" s="84">
        <v>0.45024671052631576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0.33534743202416917</v>
      </c>
      <c r="J11" s="81" t="s">
        <v>172</v>
      </c>
      <c r="K11" s="83">
        <v>0.4</v>
      </c>
      <c r="L11" s="81" t="s">
        <v>170</v>
      </c>
      <c r="M11" s="84">
        <v>0.27164685908319186</v>
      </c>
      <c r="N11" s="81" t="s">
        <v>127</v>
      </c>
      <c r="O11" s="84">
        <v>0.17679558011049723</v>
      </c>
      <c r="P11" s="81" t="s">
        <v>127</v>
      </c>
      <c r="Q11" s="85">
        <v>7900.4405286343608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171</v>
      </c>
      <c r="W11" s="84">
        <v>0.25594294770206022</v>
      </c>
      <c r="X11" s="81" t="s">
        <v>172</v>
      </c>
      <c r="Y11" s="84">
        <v>0.19119351100811124</v>
      </c>
      <c r="Z11" s="81" t="s">
        <v>161</v>
      </c>
      <c r="AA11" s="84">
        <v>0.53636363636363638</v>
      </c>
      <c r="AB11" s="81" t="s">
        <v>161</v>
      </c>
      <c r="AC11" s="84">
        <v>0.39512195121951221</v>
      </c>
      <c r="AD11" s="81" t="s">
        <v>161</v>
      </c>
      <c r="AE11" s="84">
        <v>0.43661971830985913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171</v>
      </c>
      <c r="C12" s="80">
        <v>-82.1</v>
      </c>
      <c r="D12" s="81" t="s">
        <v>161</v>
      </c>
      <c r="E12" s="93">
        <v>-6.792045454545458</v>
      </c>
      <c r="F12" s="81" t="s">
        <v>228</v>
      </c>
      <c r="G12" s="82">
        <v>2.1428571428571428</v>
      </c>
      <c r="H12" s="81" t="s">
        <v>161</v>
      </c>
      <c r="I12" s="83">
        <v>0.28409090909090912</v>
      </c>
      <c r="J12" s="81" t="s">
        <v>196</v>
      </c>
      <c r="K12" s="83">
        <v>0.4</v>
      </c>
      <c r="L12" s="81" t="s">
        <v>172</v>
      </c>
      <c r="M12" s="84">
        <v>0.26535341830822712</v>
      </c>
      <c r="N12" s="81" t="s">
        <v>197</v>
      </c>
      <c r="O12" s="84">
        <v>0.17777777777777778</v>
      </c>
      <c r="P12" s="81" t="s">
        <v>172</v>
      </c>
      <c r="Q12" s="85">
        <v>7835.8078602620089</v>
      </c>
      <c r="R12" s="81" t="s">
        <v>274</v>
      </c>
      <c r="S12" s="85">
        <v>-8368.181818181818</v>
      </c>
      <c r="T12" s="81" t="s">
        <v>170</v>
      </c>
      <c r="U12" s="83">
        <v>0.13013698630136986</v>
      </c>
      <c r="V12" s="81" t="s">
        <v>141</v>
      </c>
      <c r="W12" s="84">
        <v>0.25024189646831158</v>
      </c>
      <c r="X12" s="81" t="s">
        <v>170</v>
      </c>
      <c r="Y12" s="84">
        <v>0.18421052631578946</v>
      </c>
      <c r="Z12" s="81" t="s">
        <v>228</v>
      </c>
      <c r="AA12" s="84">
        <v>0.53333333333333333</v>
      </c>
      <c r="AB12" s="81" t="s">
        <v>127</v>
      </c>
      <c r="AC12" s="84">
        <v>0.39030023094688221</v>
      </c>
      <c r="AD12" s="81" t="s">
        <v>126</v>
      </c>
      <c r="AE12" s="84">
        <v>0.42473118279569894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-7.5269999999999992</v>
      </c>
      <c r="F13" s="81" t="s">
        <v>161</v>
      </c>
      <c r="G13" s="82">
        <v>2.1590909090909092</v>
      </c>
      <c r="H13" s="81" t="s">
        <v>171</v>
      </c>
      <c r="I13" s="83">
        <v>0.26114649681528662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170</v>
      </c>
      <c r="S13" s="85">
        <v>-8384.9514563106804</v>
      </c>
      <c r="T13" s="81" t="s">
        <v>197</v>
      </c>
      <c r="U13" s="83">
        <v>0.15384615384615385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0.51754385964912286</v>
      </c>
      <c r="AB13" s="81" t="s">
        <v>170</v>
      </c>
      <c r="AC13" s="84">
        <v>0.38248847926267282</v>
      </c>
      <c r="AD13" s="81" t="s">
        <v>127</v>
      </c>
      <c r="AE13" s="84">
        <v>0.41629955947136565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-597.70000000000027</v>
      </c>
      <c r="D14" s="81" t="s">
        <v>197</v>
      </c>
      <c r="E14" s="93">
        <v>-10.290769230769232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197</v>
      </c>
      <c r="K14" s="83">
        <v>0.43076923076923079</v>
      </c>
      <c r="L14" s="81" t="s">
        <v>197</v>
      </c>
      <c r="M14" s="84">
        <v>0.25925925925925924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-8397.9166666666661</v>
      </c>
      <c r="T14" s="81" t="s">
        <v>274</v>
      </c>
      <c r="U14" s="83">
        <v>0.1875</v>
      </c>
      <c r="V14" s="81" t="s">
        <v>127</v>
      </c>
      <c r="W14" s="84">
        <v>0.23273480662983426</v>
      </c>
      <c r="X14" s="81" t="s">
        <v>196</v>
      </c>
      <c r="Y14" s="84">
        <v>0.15</v>
      </c>
      <c r="Z14" s="81" t="s">
        <v>127</v>
      </c>
      <c r="AA14" s="84">
        <v>0.51335311572700293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-668.90000000000009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0.44318181818181818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7107.9812206572769</v>
      </c>
      <c r="R15" s="81" t="s">
        <v>281</v>
      </c>
      <c r="S15" s="85">
        <v>-8437.5</v>
      </c>
      <c r="T15" s="81" t="s">
        <v>280</v>
      </c>
      <c r="U15" s="83">
        <v>0.2</v>
      </c>
      <c r="V15" s="81" t="s">
        <v>197</v>
      </c>
      <c r="W15" s="84">
        <v>0.21111111111111111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2.2615384615384615</v>
      </c>
      <c r="H16" s="81" t="s">
        <v>197</v>
      </c>
      <c r="I16" s="83">
        <v>0.16923076923076924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6679.591836734694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0.14102564102564102</v>
      </c>
      <c r="X16" s="81" t="s">
        <v>274</v>
      </c>
      <c r="Y16" s="84">
        <v>0.11678832116788321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9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993</v>
      </c>
      <c r="C2" s="155"/>
      <c r="E2" s="58" t="s">
        <v>66</v>
      </c>
      <c r="F2" s="55" t="s">
        <v>22</v>
      </c>
      <c r="G2" s="43">
        <v>1813</v>
      </c>
      <c r="H2" s="128">
        <f>IF(B$15=0,0,G2/B$15)</f>
        <v>0.74547697368421051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-27.355623100303951</v>
      </c>
      <c r="P2" s="114">
        <v>987</v>
      </c>
      <c r="Q2" s="98">
        <v>-27000</v>
      </c>
    </row>
    <row r="3" spans="1:17" x14ac:dyDescent="0.45">
      <c r="A3" s="51" t="s">
        <v>8</v>
      </c>
      <c r="B3" s="156">
        <v>8268</v>
      </c>
      <c r="C3" s="157"/>
      <c r="E3" s="59" t="s">
        <v>72</v>
      </c>
      <c r="F3" s="56" t="s">
        <v>27</v>
      </c>
      <c r="G3" s="44">
        <v>1317</v>
      </c>
      <c r="H3" s="129">
        <f>IF(B$15=0,0,G3/B$15)</f>
        <v>0.54152960526315785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7.2016460905349797</v>
      </c>
      <c r="P3" s="115">
        <v>972</v>
      </c>
      <c r="Q3" s="99">
        <v>7000</v>
      </c>
    </row>
    <row r="4" spans="1:17" x14ac:dyDescent="0.45">
      <c r="A4" s="51" t="s">
        <v>6</v>
      </c>
      <c r="B4" s="158">
        <v>-7.1054273576010019E-14</v>
      </c>
      <c r="C4" s="159"/>
      <c r="E4" s="59" t="s">
        <v>64</v>
      </c>
      <c r="F4" s="56" t="s">
        <v>20</v>
      </c>
      <c r="G4" s="44">
        <v>1098</v>
      </c>
      <c r="H4" s="129">
        <f>IF(B$15=0,0,G4/B$15)</f>
        <v>0.45148026315789475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-1.0893246187363834</v>
      </c>
      <c r="P4" s="115">
        <v>918</v>
      </c>
      <c r="Q4" s="99">
        <v>-1000</v>
      </c>
    </row>
    <row r="5" spans="1:17" x14ac:dyDescent="0.45">
      <c r="A5" s="51" t="s">
        <v>7</v>
      </c>
      <c r="B5" s="160">
        <f>IF(B$2=0,0,B$4/B$2)</f>
        <v>-7.1555159693867088E-17</v>
      </c>
      <c r="C5" s="161"/>
      <c r="E5" s="59" t="s">
        <v>166</v>
      </c>
      <c r="F5" s="56" t="s">
        <v>167</v>
      </c>
      <c r="G5" s="44">
        <v>954</v>
      </c>
      <c r="H5" s="129">
        <f>IF(B$15=0,0,G5/B$15)</f>
        <v>0.39226973684210525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-2.3310023310023311</v>
      </c>
      <c r="P5" s="115">
        <v>858</v>
      </c>
      <c r="Q5" s="99">
        <v>-2000</v>
      </c>
    </row>
    <row r="6" spans="1:17" x14ac:dyDescent="0.45">
      <c r="A6" s="51" t="s">
        <v>1</v>
      </c>
      <c r="B6" s="150">
        <f>IF(B$2=0,0,(B$7*1+B$8*2+B$9*3)/B$2)</f>
        <v>1.9969788519637461</v>
      </c>
      <c r="C6" s="151"/>
      <c r="E6" s="59" t="s">
        <v>68</v>
      </c>
      <c r="F6" s="56" t="s">
        <v>12</v>
      </c>
      <c r="G6" s="44">
        <v>760</v>
      </c>
      <c r="H6" s="129">
        <f>IF(B$15=0,0,G6/B$15)</f>
        <v>0.3125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12.626262626262626</v>
      </c>
      <c r="P6" s="115">
        <v>792</v>
      </c>
      <c r="Q6" s="99">
        <v>10000</v>
      </c>
    </row>
    <row r="7" spans="1:17" x14ac:dyDescent="0.45">
      <c r="A7" s="51" t="s">
        <v>2</v>
      </c>
      <c r="B7" s="44">
        <v>333</v>
      </c>
      <c r="C7" s="37">
        <f t="shared" ref="C7:C10" si="1">IF(B$2=0,0,B7/B$2)</f>
        <v>0.33534743202416917</v>
      </c>
      <c r="E7" s="59" t="s">
        <v>67</v>
      </c>
      <c r="F7" s="56" t="s">
        <v>23</v>
      </c>
      <c r="G7" s="44">
        <v>674</v>
      </c>
      <c r="H7" s="129">
        <f>IF(B$15=0,0,G7/B$15)</f>
        <v>0.27713815789473684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16.897081413210447</v>
      </c>
      <c r="P7" s="116">
        <v>651</v>
      </c>
      <c r="Q7" s="100">
        <v>11000</v>
      </c>
    </row>
    <row r="8" spans="1:17" x14ac:dyDescent="0.45">
      <c r="A8" s="51" t="s">
        <v>3</v>
      </c>
      <c r="B8" s="44">
        <v>330</v>
      </c>
      <c r="C8" s="37">
        <f t="shared" si="1"/>
        <v>0.33232628398791542</v>
      </c>
      <c r="E8" s="59" t="s">
        <v>89</v>
      </c>
      <c r="F8" s="56" t="s">
        <v>44</v>
      </c>
      <c r="G8" s="44">
        <v>341</v>
      </c>
      <c r="H8" s="129">
        <f>IF(B$15=0,0,G8/B$15)</f>
        <v>0.14021381578947367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330</v>
      </c>
      <c r="C9" s="38">
        <f t="shared" si="1"/>
        <v>0.33232628398791542</v>
      </c>
      <c r="E9" s="59" t="s">
        <v>69</v>
      </c>
      <c r="F9" s="56" t="s">
        <v>24</v>
      </c>
      <c r="G9" s="44">
        <v>340</v>
      </c>
      <c r="H9" s="129">
        <f>IF(B$15=0,0,G9/B$15)</f>
        <v>0.13980263157894737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95</v>
      </c>
      <c r="C10" s="40">
        <f t="shared" si="1"/>
        <v>9.5669687814702919E-2</v>
      </c>
      <c r="E10" s="59" t="s">
        <v>65</v>
      </c>
      <c r="F10" s="56" t="s">
        <v>21</v>
      </c>
      <c r="G10" s="44">
        <v>253</v>
      </c>
      <c r="H10" s="129">
        <f>IF(B$15=0,0,G10/B$15)</f>
        <v>0.1040296052631579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-4.1918181818181814</v>
      </c>
      <c r="P10" s="114">
        <v>330</v>
      </c>
      <c r="Q10" s="102">
        <v>-1383.3</v>
      </c>
    </row>
    <row r="11" spans="1:17" x14ac:dyDescent="0.45">
      <c r="A11" s="54" t="s">
        <v>121</v>
      </c>
      <c r="B11" s="47">
        <v>2069</v>
      </c>
      <c r="C11" s="42">
        <f>IF(B$3=0,0,B11/B$3)</f>
        <v>0.25024189646831158</v>
      </c>
      <c r="E11" s="59" t="s">
        <v>70</v>
      </c>
      <c r="F11" s="56" t="s">
        <v>25</v>
      </c>
      <c r="G11" s="44">
        <v>227</v>
      </c>
      <c r="H11" s="129">
        <f>IF(B$15=0,0,G11/B$15)</f>
        <v>9.3338815789473686E-2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1.156666666666667</v>
      </c>
      <c r="P11" s="115">
        <v>330</v>
      </c>
      <c r="Q11" s="103">
        <v>381.7000000000001</v>
      </c>
    </row>
    <row r="12" spans="1:17" x14ac:dyDescent="0.45">
      <c r="A12" s="51" t="s">
        <v>118</v>
      </c>
      <c r="B12" s="44">
        <v>1911</v>
      </c>
      <c r="C12" s="37">
        <f>IF(B$3=0,0,B12/B$3)</f>
        <v>0.23113207547169812</v>
      </c>
      <c r="E12" s="59" t="s">
        <v>71</v>
      </c>
      <c r="F12" s="56" t="s">
        <v>26</v>
      </c>
      <c r="G12" s="44">
        <v>196</v>
      </c>
      <c r="H12" s="129">
        <f>IF(B$15=0,0,G12/B$15)</f>
        <v>8.0592105263157895E-2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3.0351515151515143</v>
      </c>
      <c r="P12" s="116">
        <v>330</v>
      </c>
      <c r="Q12" s="104">
        <v>1001.5999999999997</v>
      </c>
    </row>
    <row r="13" spans="1:17" x14ac:dyDescent="0.45">
      <c r="A13" s="50" t="s">
        <v>123</v>
      </c>
      <c r="B13" s="43">
        <f>B19</f>
        <v>1134</v>
      </c>
      <c r="C13" s="35">
        <f>IF(B$11=0,0,B13/B$11)</f>
        <v>0.54809086515224748</v>
      </c>
      <c r="E13" s="59" t="s">
        <v>86</v>
      </c>
      <c r="F13" s="56" t="s">
        <v>41</v>
      </c>
      <c r="G13" s="44">
        <v>121</v>
      </c>
      <c r="H13" s="129">
        <f>IF(B$15=0,0,G13/B$15)</f>
        <v>4.9753289473684209E-2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802</v>
      </c>
      <c r="C14" s="35">
        <f>IF(B$12=0,0,B14/B$12)</f>
        <v>0.41967556253270538</v>
      </c>
      <c r="E14" s="59" t="s">
        <v>83</v>
      </c>
      <c r="F14" s="56" t="s">
        <v>38</v>
      </c>
      <c r="G14" s="44">
        <v>118</v>
      </c>
      <c r="H14" s="129">
        <f>IF(B$15=0,0,G14/B$15)</f>
        <v>4.8519736842105261E-2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2432</v>
      </c>
      <c r="C15" s="35">
        <f>IF(B$3=0,0,B15/B$3)</f>
        <v>0.29414610546686021</v>
      </c>
      <c r="E15" s="59" t="s">
        <v>78</v>
      </c>
      <c r="F15" s="56" t="s">
        <v>33</v>
      </c>
      <c r="G15" s="44">
        <v>66</v>
      </c>
      <c r="H15" s="129">
        <f>IF(B$15=0,0,G15/B$15)</f>
        <v>2.7138157894736843E-2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1325</v>
      </c>
      <c r="C16" s="37">
        <f>IF(B$3=0,0,B16/B$3)</f>
        <v>0.16025641025641027</v>
      </c>
      <c r="E16" s="59" t="s">
        <v>81</v>
      </c>
      <c r="F16" s="56" t="s">
        <v>36</v>
      </c>
      <c r="G16" s="44">
        <v>54</v>
      </c>
      <c r="H16" s="129">
        <f>IF(B$15=0,0,G16/B$15)</f>
        <v>2.2203947368421052E-2</v>
      </c>
      <c r="I16" s="90">
        <v>4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1095</v>
      </c>
      <c r="C17" s="37">
        <f>IF(B$15=0,0,B17/B$15)</f>
        <v>0.45024671052631576</v>
      </c>
      <c r="E17" s="59" t="s">
        <v>162</v>
      </c>
      <c r="F17" s="56" t="s">
        <v>163</v>
      </c>
      <c r="G17" s="44">
        <v>49</v>
      </c>
      <c r="H17" s="129">
        <f>IF(B$15=0,0,G17/B$15)</f>
        <v>2.0148026315789474E-2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15.436153846153831</v>
      </c>
      <c r="P17" s="115">
        <v>130</v>
      </c>
      <c r="Q17" s="103">
        <v>2006.699999999998</v>
      </c>
    </row>
    <row r="18" spans="1:17" x14ac:dyDescent="0.45">
      <c r="A18" s="51" t="s">
        <v>11</v>
      </c>
      <c r="B18" s="44">
        <v>1337</v>
      </c>
      <c r="C18" s="37">
        <f>IF(B$15=0,0,B18/B$15)</f>
        <v>0.54975328947368418</v>
      </c>
      <c r="E18" s="59" t="s">
        <v>91</v>
      </c>
      <c r="F18" s="56" t="s">
        <v>46</v>
      </c>
      <c r="G18" s="44">
        <v>39</v>
      </c>
      <c r="H18" s="129">
        <f>IF(B$15=0,0,G18/B$15)</f>
        <v>1.6036184210526317E-2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1134</v>
      </c>
      <c r="C19" s="37">
        <f>IF(B$15=0,0,B19/B$15)</f>
        <v>0.46628289473684209</v>
      </c>
      <c r="E19" s="59" t="s">
        <v>79</v>
      </c>
      <c r="F19" s="56" t="s">
        <v>34</v>
      </c>
      <c r="G19" s="44">
        <v>36</v>
      </c>
      <c r="H19" s="129">
        <f>IF(B$15=0,0,G19/B$15)</f>
        <v>1.4802631578947368E-2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7.6749999999999936</v>
      </c>
      <c r="P19" s="115">
        <v>192</v>
      </c>
      <c r="Q19" s="103">
        <v>1473.5999999999988</v>
      </c>
    </row>
    <row r="20" spans="1:17" x14ac:dyDescent="0.45">
      <c r="A20" s="51" t="s">
        <v>193</v>
      </c>
      <c r="B20" s="44">
        <v>802</v>
      </c>
      <c r="C20" s="37">
        <f>IF(B$15=0,0,B20/B$15)</f>
        <v>0.32976973684210525</v>
      </c>
      <c r="E20" s="59" t="s">
        <v>75</v>
      </c>
      <c r="F20" s="56" t="s">
        <v>30</v>
      </c>
      <c r="G20" s="44">
        <v>19</v>
      </c>
      <c r="H20" s="129">
        <f>IF(B$15=0,0,G20/B$15)</f>
        <v>7.8125E-3</v>
      </c>
      <c r="I20" s="90">
        <v>6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5">
      <c r="A21" s="51" t="s">
        <v>194</v>
      </c>
      <c r="B21" s="44">
        <v>496</v>
      </c>
      <c r="C21" s="37">
        <f>IF(B$15=0,0,B21/B$15)</f>
        <v>0.20394736842105263</v>
      </c>
      <c r="E21" s="59" t="s">
        <v>92</v>
      </c>
      <c r="F21" s="56" t="s">
        <v>47</v>
      </c>
      <c r="G21" s="44">
        <v>19</v>
      </c>
      <c r="H21" s="129">
        <f>IF(B$15=0,0,G21/B$15)</f>
        <v>7.8125E-3</v>
      </c>
      <c r="I21" s="90">
        <v>4</v>
      </c>
      <c r="K21" s="36">
        <v>19</v>
      </c>
      <c r="L21" s="95">
        <v>-22.4</v>
      </c>
      <c r="N21" s="111" t="s">
        <v>274</v>
      </c>
      <c r="O21" s="121">
        <f>IF(P21=0,0,Q21/P21)</f>
        <v>1.2749999999999966</v>
      </c>
      <c r="P21" s="115">
        <v>32</v>
      </c>
      <c r="Q21" s="103">
        <v>40.799999999999891</v>
      </c>
    </row>
    <row r="22" spans="1:17" x14ac:dyDescent="0.45">
      <c r="A22" s="51" t="s">
        <v>5</v>
      </c>
      <c r="B22" s="48">
        <f>IF(B$15=0,0,C22/B$15)</f>
        <v>8431.4967105263149</v>
      </c>
      <c r="C22" s="39">
        <v>20505400</v>
      </c>
      <c r="E22" s="59" t="s">
        <v>85</v>
      </c>
      <c r="F22" s="56" t="s">
        <v>40</v>
      </c>
      <c r="G22" s="44">
        <v>14</v>
      </c>
      <c r="H22" s="129">
        <f>IF(B$15=0,0,G22/B$15)</f>
        <v>5.7565789473684207E-3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0.78439490445859905</v>
      </c>
      <c r="P22" s="115">
        <v>314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9141.4110429447846</v>
      </c>
      <c r="C23" s="137">
        <v>14900500</v>
      </c>
      <c r="E23" s="59" t="s">
        <v>73</v>
      </c>
      <c r="F23" s="56" t="s">
        <v>28</v>
      </c>
      <c r="G23" s="44">
        <v>8</v>
      </c>
      <c r="H23" s="129">
        <f>IF(B$15=0,0,G23/B$15)</f>
        <v>3.2894736842105261E-3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0.35228571428571087</v>
      </c>
      <c r="P23" s="115">
        <v>350</v>
      </c>
      <c r="Q23" s="103">
        <v>123.2999999999988</v>
      </c>
    </row>
    <row r="24" spans="1:17" x14ac:dyDescent="0.45">
      <c r="A24" s="52" t="s">
        <v>178</v>
      </c>
      <c r="B24" s="136">
        <f>IF(B$14=0,0,C24/B$14)</f>
        <v>6988.6533665835414</v>
      </c>
      <c r="C24" s="137">
        <v>5604900</v>
      </c>
      <c r="E24" s="59" t="s">
        <v>74</v>
      </c>
      <c r="F24" s="56" t="s">
        <v>29</v>
      </c>
      <c r="G24" s="44">
        <v>8</v>
      </c>
      <c r="H24" s="129">
        <f>IF(B$15=0,0,G24/B$15)</f>
        <v>3.2894736842105261E-3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-4.6222602739725964</v>
      </c>
      <c r="P24" s="115">
        <v>292</v>
      </c>
      <c r="Q24" s="103">
        <v>-1349.6999999999982</v>
      </c>
    </row>
    <row r="25" spans="1:17" x14ac:dyDescent="0.45">
      <c r="A25" s="52" t="s">
        <v>176</v>
      </c>
      <c r="B25" s="136">
        <f>IF(B$16=0,0,C25/B$16)</f>
        <v>-7858.9433962264147</v>
      </c>
      <c r="C25" s="137">
        <v>-10413100</v>
      </c>
      <c r="E25" s="59" t="s">
        <v>84</v>
      </c>
      <c r="F25" s="56" t="s">
        <v>39</v>
      </c>
      <c r="G25" s="44">
        <v>8</v>
      </c>
      <c r="H25" s="129">
        <f>IF(B$15=0,0,G25/B$15)</f>
        <v>3.2894736842105261E-3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-13.604020100502511</v>
      </c>
      <c r="P25" s="115">
        <v>398</v>
      </c>
      <c r="Q25" s="103">
        <v>-5414.4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7</v>
      </c>
      <c r="H26" s="129">
        <f>IF(B$15=0,0,G26/B$15)</f>
        <v>2.8782894736842104E-3</v>
      </c>
      <c r="I26" s="90">
        <v>5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6</v>
      </c>
      <c r="E27" s="59" t="s">
        <v>77</v>
      </c>
      <c r="F27" s="56" t="s">
        <v>32</v>
      </c>
      <c r="G27" s="44">
        <v>6</v>
      </c>
      <c r="H27" s="129">
        <f>IF(B$15=0,0,G27/B$15)</f>
        <v>2.4671052631578946E-3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2.0559210526315788E-3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1.6447368421052631E-3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22</v>
      </c>
      <c r="C30" s="40">
        <f>IF(B$3=0,0,B30/B$3)</f>
        <v>2.660861151427189E-3</v>
      </c>
      <c r="E30" s="59" t="s">
        <v>93</v>
      </c>
      <c r="F30" s="56" t="s">
        <v>48</v>
      </c>
      <c r="G30" s="44">
        <v>4</v>
      </c>
      <c r="H30" s="129">
        <f>IF(B$15=0,0,G30/B$15)</f>
        <v>1.6447368421052631E-3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1.6447368421052631E-3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190</v>
      </c>
      <c r="C32" s="141">
        <f>IF(B$15=0,0,B32/B$15)</f>
        <v>7.8125E-2</v>
      </c>
      <c r="E32" s="59" t="s">
        <v>97</v>
      </c>
      <c r="F32" s="56" t="s">
        <v>52</v>
      </c>
      <c r="G32" s="44">
        <v>1</v>
      </c>
      <c r="H32" s="129">
        <f>IF(B$15=0,0,G32/B$15)</f>
        <v>4.1118421052631577E-4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417</v>
      </c>
      <c r="C33" s="37">
        <f t="shared" ref="C33:C44" si="2">IF(B$15=0,0,B33/B$15)</f>
        <v>0.17146381578947367</v>
      </c>
      <c r="E33" s="59" t="s">
        <v>101</v>
      </c>
      <c r="F33" s="56" t="s">
        <v>56</v>
      </c>
      <c r="G33" s="44">
        <v>1</v>
      </c>
      <c r="H33" s="129">
        <f>IF(B$15=0,0,G33/B$15)</f>
        <v>4.1118421052631577E-4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470</v>
      </c>
      <c r="C34" s="37">
        <f>IF(B$15=0,0,B34/B$15)</f>
        <v>0.19325657894736842</v>
      </c>
      <c r="E34" s="59" t="s">
        <v>106</v>
      </c>
      <c r="F34" s="56" t="s">
        <v>113</v>
      </c>
      <c r="G34" s="44">
        <v>1</v>
      </c>
      <c r="H34" s="129">
        <f>IF(B$15=0,0,G34/B$15)</f>
        <v>4.1118421052631577E-4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435</v>
      </c>
      <c r="C35" s="37">
        <f t="shared" si="2"/>
        <v>0.17886513157894737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377</v>
      </c>
      <c r="C36" s="37">
        <f t="shared" si="2"/>
        <v>0.15501644736842105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258</v>
      </c>
      <c r="C37" s="37">
        <f t="shared" si="2"/>
        <v>0.10608552631578948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127</v>
      </c>
      <c r="C38" s="37">
        <f t="shared" si="2"/>
        <v>5.2220394736842105E-2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71</v>
      </c>
      <c r="C39" s="37">
        <f t="shared" si="2"/>
        <v>2.9194078947368422E-2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31</v>
      </c>
      <c r="C40" s="37">
        <f t="shared" si="2"/>
        <v>1.2746710526315789E-2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11</v>
      </c>
      <c r="C41" s="37">
        <f t="shared" si="2"/>
        <v>4.5230263157894739E-3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7</v>
      </c>
      <c r="C42" s="37">
        <f t="shared" si="2"/>
        <v>2.8782894736842104E-3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2.4671052631578946E-3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32</v>
      </c>
      <c r="C44" s="40">
        <f t="shared" si="2"/>
        <v>1.3157894736842105E-2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-7.1054273576010019E-14</v>
      </c>
    </row>
    <row r="988" spans="11:12" x14ac:dyDescent="0.45">
      <c r="K988" s="36">
        <v>986</v>
      </c>
      <c r="L988" s="95">
        <v>-7.1054273576010019E-14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30.399999999999928</v>
      </c>
    </row>
    <row r="991" spans="11:12" x14ac:dyDescent="0.45">
      <c r="K991" s="36">
        <v>989</v>
      </c>
      <c r="L991" s="95">
        <v>45.499999999999929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34.59999999999993</v>
      </c>
    </row>
    <row r="994" spans="11:12" x14ac:dyDescent="0.45">
      <c r="K994" s="36">
        <v>992</v>
      </c>
      <c r="L994" s="95">
        <v>-11.500000000000071</v>
      </c>
    </row>
    <row r="995" spans="11:12" x14ac:dyDescent="0.45">
      <c r="K995" s="36">
        <v>993</v>
      </c>
      <c r="L995" s="95">
        <v>-7.1054273576010019E-14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0.68075117370892024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1920.4545454545455</v>
      </c>
      <c r="P2" s="114">
        <v>88</v>
      </c>
      <c r="Q2" s="98">
        <v>169000</v>
      </c>
    </row>
    <row r="3" spans="1:17" x14ac:dyDescent="0.45">
      <c r="A3" s="51" t="s">
        <v>8</v>
      </c>
      <c r="B3" s="156">
        <v>780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0.55868544600938963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-597.70000000000027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0.34272300469483569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-1713.0952380952381</v>
      </c>
      <c r="P4" s="115">
        <v>84</v>
      </c>
      <c r="Q4" s="99">
        <v>-143900</v>
      </c>
    </row>
    <row r="5" spans="1:17" x14ac:dyDescent="0.45">
      <c r="A5" s="51" t="s">
        <v>7</v>
      </c>
      <c r="B5" s="160">
        <f>IF(B$2=0,0,B$4/B$2)</f>
        <v>-6.792045454545458</v>
      </c>
      <c r="C5" s="161"/>
      <c r="E5" s="59" t="s">
        <v>68</v>
      </c>
      <c r="F5" s="56" t="s">
        <v>12</v>
      </c>
      <c r="G5" s="44">
        <v>60</v>
      </c>
      <c r="H5" s="129">
        <f>IF(B$15=0,0,G5/B$15)</f>
        <v>0.28169014084507044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2.1590909090909092</v>
      </c>
      <c r="C6" s="151"/>
      <c r="E6" s="59" t="s">
        <v>64</v>
      </c>
      <c r="F6" s="56" t="s">
        <v>20</v>
      </c>
      <c r="G6" s="44">
        <v>58</v>
      </c>
      <c r="H6" s="129">
        <f>IF(B$15=0,0,G6/B$15)</f>
        <v>0.27230046948356806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0.28409090909090912</v>
      </c>
      <c r="E7" s="59" t="s">
        <v>67</v>
      </c>
      <c r="F7" s="56" t="s">
        <v>23</v>
      </c>
      <c r="G7" s="44">
        <v>38</v>
      </c>
      <c r="H7" s="129">
        <f>IF(B$15=0,0,G7/B$15)</f>
        <v>0.17840375586854459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24</v>
      </c>
      <c r="C8" s="37">
        <f t="shared" si="1"/>
        <v>0.27272727272727271</v>
      </c>
      <c r="E8" s="59" t="s">
        <v>69</v>
      </c>
      <c r="F8" s="56" t="s">
        <v>24</v>
      </c>
      <c r="G8" s="44">
        <v>36</v>
      </c>
      <c r="H8" s="129">
        <f>IF(B$15=0,0,G8/B$15)</f>
        <v>0.16901408450704225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0.44318181818181818</v>
      </c>
      <c r="E9" s="59" t="s">
        <v>71</v>
      </c>
      <c r="F9" s="56" t="s">
        <v>26</v>
      </c>
      <c r="G9" s="44">
        <v>27</v>
      </c>
      <c r="H9" s="129">
        <f>IF(B$15=0,0,G9/B$15)</f>
        <v>0.12676056338028169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7.9545454545454544E-2</v>
      </c>
      <c r="E10" s="59" t="s">
        <v>70</v>
      </c>
      <c r="F10" s="56" t="s">
        <v>25</v>
      </c>
      <c r="G10" s="44">
        <v>25</v>
      </c>
      <c r="H10" s="129">
        <f>IF(B$15=0,0,G10/B$15)</f>
        <v>0.11737089201877934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-12.716129032258063</v>
      </c>
      <c r="P10" s="114">
        <v>31</v>
      </c>
      <c r="Q10" s="102">
        <v>-394.2</v>
      </c>
    </row>
    <row r="11" spans="1:17" x14ac:dyDescent="0.45">
      <c r="A11" s="54" t="s">
        <v>121</v>
      </c>
      <c r="B11" s="47">
        <v>110</v>
      </c>
      <c r="C11" s="42">
        <f>IF(B$3=0,0,B11/B$3)</f>
        <v>0.14102564102564102</v>
      </c>
      <c r="E11" s="59" t="s">
        <v>83</v>
      </c>
      <c r="F11" s="56" t="s">
        <v>38</v>
      </c>
      <c r="G11" s="44">
        <v>19</v>
      </c>
      <c r="H11" s="129">
        <f>IF(B$15=0,0,G11/B$15)</f>
        <v>8.9201877934272297E-2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205</v>
      </c>
      <c r="C12" s="37">
        <f>IF(B$3=0,0,B12/B$3)</f>
        <v>0.26282051282051283</v>
      </c>
      <c r="E12" s="59" t="s">
        <v>89</v>
      </c>
      <c r="F12" s="56" t="s">
        <v>44</v>
      </c>
      <c r="G12" s="44">
        <v>15</v>
      </c>
      <c r="H12" s="129">
        <f>IF(B$15=0,0,G12/B$15)</f>
        <v>7.0422535211267609E-2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0.53636363636363638</v>
      </c>
      <c r="E13" s="59" t="s">
        <v>65</v>
      </c>
      <c r="F13" s="56" t="s">
        <v>21</v>
      </c>
      <c r="G13" s="44">
        <v>13</v>
      </c>
      <c r="H13" s="129">
        <f>IF(B$15=0,0,G13/B$15)</f>
        <v>6.1032863849765258E-2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0.39512195121951221</v>
      </c>
      <c r="E14" s="59" t="s">
        <v>81</v>
      </c>
      <c r="F14" s="56" t="s">
        <v>36</v>
      </c>
      <c r="G14" s="44">
        <v>10</v>
      </c>
      <c r="H14" s="129">
        <f>IF(B$15=0,0,G14/B$15)</f>
        <v>4.6948356807511735E-2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213</v>
      </c>
      <c r="C15" s="35">
        <f>IF(B$3=0,0,B15/B$3)</f>
        <v>0.27307692307692305</v>
      </c>
      <c r="E15" s="59" t="s">
        <v>86</v>
      </c>
      <c r="F15" s="56" t="s">
        <v>41</v>
      </c>
      <c r="G15" s="44">
        <v>7</v>
      </c>
      <c r="H15" s="129">
        <f>IF(B$15=0,0,G15/B$15)</f>
        <v>3.2863849765258218E-2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127</v>
      </c>
      <c r="C16" s="37">
        <f>IF(B$3=0,0,B16/B$3)</f>
        <v>0.16282051282051282</v>
      </c>
      <c r="E16" s="59" t="s">
        <v>79</v>
      </c>
      <c r="F16" s="56" t="s">
        <v>34</v>
      </c>
      <c r="G16" s="44">
        <v>5</v>
      </c>
      <c r="H16" s="129">
        <f>IF(B$15=0,0,G16/B$15)</f>
        <v>2.3474178403755867E-2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93</v>
      </c>
      <c r="C17" s="37">
        <f>IF(B$15=0,0,B17/B$15)</f>
        <v>0.43661971830985913</v>
      </c>
      <c r="E17" s="59" t="s">
        <v>91</v>
      </c>
      <c r="F17" s="56" t="s">
        <v>46</v>
      </c>
      <c r="G17" s="44">
        <v>4</v>
      </c>
      <c r="H17" s="129">
        <f>IF(B$15=0,0,G17/B$15)</f>
        <v>1.8779342723004695E-2</v>
      </c>
      <c r="I17" s="90">
        <v>4</v>
      </c>
      <c r="K17" s="36">
        <v>15</v>
      </c>
      <c r="L17" s="95">
        <v>-65.2</v>
      </c>
      <c r="N17" s="111" t="s">
        <v>172</v>
      </c>
      <c r="O17" s="121">
        <f>IF(P17=0,0,Q17/P17)</f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0.56338028169014087</v>
      </c>
      <c r="E18" s="59" t="s">
        <v>74</v>
      </c>
      <c r="F18" s="56" t="s">
        <v>29</v>
      </c>
      <c r="G18" s="44">
        <v>2</v>
      </c>
      <c r="H18" s="129">
        <f>IF(B$15=0,0,G18/B$15)</f>
        <v>9.3896713615023476E-3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>IF(P18=0,0,Q18/P18)</f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59</v>
      </c>
      <c r="C19" s="37">
        <f>IF(B$15=0,0,B19/B$15)</f>
        <v>0.27699530516431925</v>
      </c>
      <c r="E19" s="59" t="s">
        <v>75</v>
      </c>
      <c r="F19" s="56" t="s">
        <v>30</v>
      </c>
      <c r="G19" s="44">
        <v>2</v>
      </c>
      <c r="H19" s="129">
        <f>IF(B$15=0,0,G19/B$15)</f>
        <v>9.3896713615023476E-3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>IF(P19=0,0,Q19/P19)</f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0.38028169014084506</v>
      </c>
      <c r="E20" s="59" t="s">
        <v>78</v>
      </c>
      <c r="F20" s="56" t="s">
        <v>33</v>
      </c>
      <c r="G20" s="44">
        <v>2</v>
      </c>
      <c r="H20" s="129">
        <f>IF(B$15=0,0,G20/B$15)</f>
        <v>9.3896713615023476E-3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>IF(P20=0,0,Q20/P20)</f>
        <v>-12.675609756097565</v>
      </c>
      <c r="P20" s="115">
        <v>41</v>
      </c>
      <c r="Q20" s="103">
        <v>-519.70000000000016</v>
      </c>
    </row>
    <row r="21" spans="1:17" x14ac:dyDescent="0.45">
      <c r="A21" s="51" t="s">
        <v>194</v>
      </c>
      <c r="B21" s="44">
        <v>73</v>
      </c>
      <c r="C21" s="37">
        <f>IF(B$15=0,0,B21/B$15)</f>
        <v>0.34272300469483569</v>
      </c>
      <c r="E21" s="59" t="s">
        <v>88</v>
      </c>
      <c r="F21" s="56" t="s">
        <v>43</v>
      </c>
      <c r="G21" s="44">
        <v>2</v>
      </c>
      <c r="H21" s="129">
        <f>IF(B$15=0,0,G21/B$15)</f>
        <v>9.3896713615023476E-3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7107.9812206572769</v>
      </c>
      <c r="C22" s="39">
        <v>1514000</v>
      </c>
      <c r="E22" s="59" t="s">
        <v>93</v>
      </c>
      <c r="F22" s="56" t="s">
        <v>48</v>
      </c>
      <c r="G22" s="44">
        <v>2</v>
      </c>
      <c r="H22" s="129">
        <f>IF(B$15=0,0,G22/B$15)</f>
        <v>9.3896713615023476E-3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7612.121212121212</v>
      </c>
      <c r="C23" s="137">
        <v>1004800</v>
      </c>
      <c r="E23" s="59" t="s">
        <v>77</v>
      </c>
      <c r="F23" s="56" t="s">
        <v>32</v>
      </c>
      <c r="G23" s="44">
        <v>1</v>
      </c>
      <c r="H23" s="129">
        <f>IF(B$15=0,0,G23/B$15)</f>
        <v>4.6948356807511738E-3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4.6948356807511738E-3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-7540.9448818897636</v>
      </c>
      <c r="C25" s="137">
        <v>-957700</v>
      </c>
      <c r="E25" s="59" t="s">
        <v>87</v>
      </c>
      <c r="F25" s="56" t="s">
        <v>42</v>
      </c>
      <c r="G25" s="44">
        <v>1</v>
      </c>
      <c r="H25" s="129">
        <f>IF(B$15=0,0,G25/B$15)</f>
        <v>4.6948356807511738E-3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6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2.5641025641025641E-3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0.12676056338028169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2">IF(B$15=0,0,B33/B$15)</f>
        <v>0.20657276995305165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0.20657276995305165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39</v>
      </c>
      <c r="C35" s="37">
        <f t="shared" si="2"/>
        <v>0.18309859154929578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2"/>
        <v>0.10328638497652583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2"/>
        <v>7.9812206572769953E-2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5.1643192488262914E-2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2.8169014084507043E-2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4.6948356807511738E-3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9.3896713615023476E-3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20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199</v>
      </c>
      <c r="C2" s="155"/>
      <c r="E2" s="58" t="s">
        <v>66</v>
      </c>
      <c r="F2" s="55" t="s">
        <v>22</v>
      </c>
      <c r="G2" s="43">
        <v>375</v>
      </c>
      <c r="H2" s="128">
        <f>IF(B$15=0,0,G2/B$15)</f>
        <v>0.67204301075268813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1379.6954314720813</v>
      </c>
      <c r="P2" s="114">
        <v>197</v>
      </c>
      <c r="Q2" s="98">
        <v>271800</v>
      </c>
    </row>
    <row r="3" spans="1:17" x14ac:dyDescent="0.45">
      <c r="A3" s="51" t="s">
        <v>8</v>
      </c>
      <c r="B3" s="156">
        <v>1634</v>
      </c>
      <c r="C3" s="157"/>
      <c r="E3" s="59" t="s">
        <v>72</v>
      </c>
      <c r="F3" s="56" t="s">
        <v>27</v>
      </c>
      <c r="G3" s="44">
        <v>298</v>
      </c>
      <c r="H3" s="129">
        <f>IF(B$15=0,0,G3/B$15)</f>
        <v>0.53405017921146958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1096.8911917098446</v>
      </c>
      <c r="P3" s="115">
        <v>193</v>
      </c>
      <c r="Q3" s="99">
        <v>211700</v>
      </c>
    </row>
    <row r="4" spans="1:17" x14ac:dyDescent="0.45">
      <c r="A4" s="51" t="s">
        <v>6</v>
      </c>
      <c r="B4" s="158">
        <v>1804.7999999999997</v>
      </c>
      <c r="C4" s="159"/>
      <c r="E4" s="59" t="s">
        <v>64</v>
      </c>
      <c r="F4" s="56" t="s">
        <v>20</v>
      </c>
      <c r="G4" s="44">
        <v>239</v>
      </c>
      <c r="H4" s="129">
        <f>IF(B$15=0,0,G4/B$15)</f>
        <v>0.42831541218637992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1260.752688172043</v>
      </c>
      <c r="P4" s="115">
        <v>186</v>
      </c>
      <c r="Q4" s="99">
        <v>234500</v>
      </c>
    </row>
    <row r="5" spans="1:17" x14ac:dyDescent="0.45">
      <c r="A5" s="51" t="s">
        <v>7</v>
      </c>
      <c r="B5" s="160">
        <f>IF(B$2=0,0,B$4/B$2)</f>
        <v>9.0693467336683398</v>
      </c>
      <c r="C5" s="161"/>
      <c r="E5" s="59" t="s">
        <v>166</v>
      </c>
      <c r="F5" s="56" t="s">
        <v>167</v>
      </c>
      <c r="G5" s="44">
        <v>218</v>
      </c>
      <c r="H5" s="129">
        <f>IF(B$15=0,0,G5/B$15)</f>
        <v>0.39068100358422941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104.62427745664741</v>
      </c>
      <c r="P5" s="115">
        <v>173</v>
      </c>
      <c r="Q5" s="99">
        <v>18100</v>
      </c>
    </row>
    <row r="6" spans="1:17" x14ac:dyDescent="0.45">
      <c r="A6" s="51" t="s">
        <v>1</v>
      </c>
      <c r="B6" s="150">
        <f>IF(B$2=0,0,(B$7*1+B$8*2+B$9*3)/B$2)</f>
        <v>1.7688442211055277</v>
      </c>
      <c r="C6" s="151"/>
      <c r="E6" s="59" t="s">
        <v>68</v>
      </c>
      <c r="F6" s="56" t="s">
        <v>12</v>
      </c>
      <c r="G6" s="44">
        <v>157</v>
      </c>
      <c r="H6" s="129">
        <f>IF(B$15=0,0,G6/B$15)</f>
        <v>0.28136200716845877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1902.4844720496894</v>
      </c>
      <c r="P6" s="115">
        <v>161</v>
      </c>
      <c r="Q6" s="99">
        <v>306300</v>
      </c>
    </row>
    <row r="7" spans="1:17" x14ac:dyDescent="0.45">
      <c r="A7" s="51" t="s">
        <v>2</v>
      </c>
      <c r="B7" s="44">
        <v>94</v>
      </c>
      <c r="C7" s="37">
        <f t="shared" ref="C7:C10" si="1">IF(B$2=0,0,B7/B$2)</f>
        <v>0.47236180904522612</v>
      </c>
      <c r="E7" s="59" t="s">
        <v>67</v>
      </c>
      <c r="F7" s="56" t="s">
        <v>23</v>
      </c>
      <c r="G7" s="44">
        <v>133</v>
      </c>
      <c r="H7" s="129">
        <f>IF(B$15=0,0,G7/B$15)</f>
        <v>0.23835125448028674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1886.2595419847328</v>
      </c>
      <c r="P7" s="116">
        <v>131</v>
      </c>
      <c r="Q7" s="100">
        <v>247100</v>
      </c>
    </row>
    <row r="8" spans="1:17" x14ac:dyDescent="0.45">
      <c r="A8" s="51" t="s">
        <v>3</v>
      </c>
      <c r="B8" s="44">
        <v>57</v>
      </c>
      <c r="C8" s="37">
        <f t="shared" si="1"/>
        <v>0.28643216080402012</v>
      </c>
      <c r="E8" s="59" t="s">
        <v>89</v>
      </c>
      <c r="F8" s="56" t="s">
        <v>44</v>
      </c>
      <c r="G8" s="44">
        <v>84</v>
      </c>
      <c r="H8" s="129">
        <f>IF(B$15=0,0,G8/B$15)</f>
        <v>0.15053763440860216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0.24120603015075376</v>
      </c>
      <c r="E9" s="59" t="s">
        <v>69</v>
      </c>
      <c r="F9" s="56" t="s">
        <v>24</v>
      </c>
      <c r="G9" s="44">
        <v>70</v>
      </c>
      <c r="H9" s="129">
        <f>IF(B$15=0,0,G9/B$15)</f>
        <v>0.12544802867383512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4.5226130653266333E-2</v>
      </c>
      <c r="E10" s="59" t="s">
        <v>65</v>
      </c>
      <c r="F10" s="56" t="s">
        <v>21</v>
      </c>
      <c r="G10" s="44">
        <v>61</v>
      </c>
      <c r="H10" s="129">
        <f>IF(B$15=0,0,G10/B$15)</f>
        <v>0.10931899641577061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12.021052631578947</v>
      </c>
      <c r="P10" s="114">
        <v>57</v>
      </c>
      <c r="Q10" s="102">
        <v>685.19999999999993</v>
      </c>
    </row>
    <row r="11" spans="1:17" x14ac:dyDescent="0.45">
      <c r="A11" s="54" t="s">
        <v>121</v>
      </c>
      <c r="B11" s="47">
        <v>429</v>
      </c>
      <c r="C11" s="42">
        <f>IF(B$3=0,0,B11/B$3)</f>
        <v>0.26254589963280295</v>
      </c>
      <c r="E11" s="59" t="s">
        <v>71</v>
      </c>
      <c r="F11" s="56" t="s">
        <v>26</v>
      </c>
      <c r="G11" s="44">
        <v>40</v>
      </c>
      <c r="H11" s="129">
        <f>IF(B$15=0,0,G11/B$15)</f>
        <v>7.1684587813620068E-2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4.7941176470588234</v>
      </c>
      <c r="P11" s="115">
        <v>68</v>
      </c>
      <c r="Q11" s="103">
        <v>326</v>
      </c>
    </row>
    <row r="12" spans="1:17" x14ac:dyDescent="0.45">
      <c r="A12" s="51" t="s">
        <v>118</v>
      </c>
      <c r="B12" s="44">
        <v>384</v>
      </c>
      <c r="C12" s="37">
        <f>IF(B$3=0,0,B12/B$3)</f>
        <v>0.2350061199510404</v>
      </c>
      <c r="E12" s="59" t="s">
        <v>86</v>
      </c>
      <c r="F12" s="56" t="s">
        <v>41</v>
      </c>
      <c r="G12" s="44">
        <v>36</v>
      </c>
      <c r="H12" s="129">
        <f>IF(B$15=0,0,G12/B$15)</f>
        <v>6.4516129032258063E-2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10.871232876712327</v>
      </c>
      <c r="P12" s="116">
        <v>73</v>
      </c>
      <c r="Q12" s="104">
        <v>793.5999999999998</v>
      </c>
    </row>
    <row r="13" spans="1:17" x14ac:dyDescent="0.45">
      <c r="A13" s="50" t="s">
        <v>123</v>
      </c>
      <c r="B13" s="43">
        <f>B19</f>
        <v>251</v>
      </c>
      <c r="C13" s="35">
        <f>IF(B$11=0,0,B13/B$11)</f>
        <v>0.58508158508158503</v>
      </c>
      <c r="E13" s="59" t="s">
        <v>70</v>
      </c>
      <c r="F13" s="56" t="s">
        <v>25</v>
      </c>
      <c r="G13" s="44">
        <v>34</v>
      </c>
      <c r="H13" s="129">
        <f>IF(B$15=0,0,G13/B$15)</f>
        <v>6.093189964157706E-2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186</v>
      </c>
      <c r="C14" s="35">
        <f>IF(B$12=0,0,B14/B$12)</f>
        <v>0.484375</v>
      </c>
      <c r="E14" s="59" t="s">
        <v>83</v>
      </c>
      <c r="F14" s="56" t="s">
        <v>38</v>
      </c>
      <c r="G14" s="44">
        <v>25</v>
      </c>
      <c r="H14" s="129">
        <f>IF(B$15=0,0,G14/B$15)</f>
        <v>4.4802867383512544E-2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558</v>
      </c>
      <c r="C15" s="35">
        <f>IF(B$3=0,0,B15/B$3)</f>
        <v>0.34149326805385555</v>
      </c>
      <c r="E15" s="59" t="s">
        <v>78</v>
      </c>
      <c r="F15" s="56" t="s">
        <v>33</v>
      </c>
      <c r="G15" s="44">
        <v>21</v>
      </c>
      <c r="H15" s="129">
        <f>IF(B$15=0,0,G15/B$15)</f>
        <v>3.7634408602150539E-2</v>
      </c>
      <c r="I15" s="90">
        <v>4</v>
      </c>
      <c r="K15" s="36">
        <v>13</v>
      </c>
      <c r="L15" s="95">
        <v>206.39999999999998</v>
      </c>
      <c r="N15" s="110" t="s">
        <v>274</v>
      </c>
      <c r="O15" s="120">
        <f>IF(P15=0,0,Q15/P15)</f>
        <v>47.224999999999994</v>
      </c>
      <c r="P15" s="114">
        <v>4</v>
      </c>
      <c r="Q15" s="102">
        <v>188.89999999999998</v>
      </c>
    </row>
    <row r="16" spans="1:17" x14ac:dyDescent="0.45">
      <c r="A16" s="51" t="s">
        <v>13</v>
      </c>
      <c r="B16" s="44">
        <v>204</v>
      </c>
      <c r="C16" s="37">
        <f>IF(B$3=0,0,B16/B$3)</f>
        <v>0.12484700122399021</v>
      </c>
      <c r="E16" s="59" t="s">
        <v>162</v>
      </c>
      <c r="F16" s="56" t="s">
        <v>163</v>
      </c>
      <c r="G16" s="44">
        <v>15</v>
      </c>
      <c r="H16" s="129">
        <f>IF(B$15=0,0,G16/B$15)</f>
        <v>2.6881720430107527E-2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237</v>
      </c>
      <c r="C17" s="37">
        <f>IF(B$15=0,0,B17/B$15)</f>
        <v>0.42473118279569894</v>
      </c>
      <c r="E17" s="59" t="s">
        <v>81</v>
      </c>
      <c r="F17" s="56" t="s">
        <v>36</v>
      </c>
      <c r="G17" s="44">
        <v>9</v>
      </c>
      <c r="H17" s="129">
        <f>IF(B$15=0,0,G17/B$15)</f>
        <v>1.6129032258064516E-2</v>
      </c>
      <c r="I17" s="90">
        <v>7</v>
      </c>
      <c r="K17" s="36">
        <v>15</v>
      </c>
      <c r="L17" s="95">
        <v>269.49999999999994</v>
      </c>
      <c r="N17" s="111" t="s">
        <v>197</v>
      </c>
      <c r="O17" s="121">
        <f>IF(P17=0,0,Q17/P17)</f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321</v>
      </c>
      <c r="C18" s="37">
        <f>IF(B$15=0,0,B18/B$15)</f>
        <v>0.57526881720430112</v>
      </c>
      <c r="E18" s="59" t="s">
        <v>91</v>
      </c>
      <c r="F18" s="56" t="s">
        <v>46</v>
      </c>
      <c r="G18" s="44">
        <v>6</v>
      </c>
      <c r="H18" s="129">
        <f>IF(B$15=0,0,G18/B$15)</f>
        <v>1.0752688172043012E-2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251</v>
      </c>
      <c r="C19" s="37">
        <f>IF(B$15=0,0,B19/B$15)</f>
        <v>0.44982078853046598</v>
      </c>
      <c r="E19" s="59" t="s">
        <v>92</v>
      </c>
      <c r="F19" s="56" t="s">
        <v>47</v>
      </c>
      <c r="G19" s="44">
        <v>6</v>
      </c>
      <c r="H19" s="129">
        <f>IF(B$15=0,0,G19/B$15)</f>
        <v>1.0752688172043012E-2</v>
      </c>
      <c r="I19" s="90">
        <v>2</v>
      </c>
      <c r="K19" s="36">
        <v>17</v>
      </c>
      <c r="L19" s="95">
        <v>359.09999999999991</v>
      </c>
      <c r="N19" s="111" t="s">
        <v>161</v>
      </c>
      <c r="O19" s="121">
        <f>IF(P19=0,0,Q19/P19)</f>
        <v>13.116666666666665</v>
      </c>
      <c r="P19" s="115">
        <v>42</v>
      </c>
      <c r="Q19" s="103">
        <v>550.9</v>
      </c>
    </row>
    <row r="20" spans="1:17" x14ac:dyDescent="0.45">
      <c r="A20" s="51" t="s">
        <v>193</v>
      </c>
      <c r="B20" s="44">
        <v>186</v>
      </c>
      <c r="C20" s="37">
        <f>IF(B$15=0,0,B20/B$15)</f>
        <v>0.33333333333333331</v>
      </c>
      <c r="E20" s="59" t="s">
        <v>75</v>
      </c>
      <c r="F20" s="56" t="s">
        <v>30</v>
      </c>
      <c r="G20" s="44">
        <v>5</v>
      </c>
      <c r="H20" s="129">
        <f>IF(B$15=0,0,G20/B$15)</f>
        <v>8.9605734767025085E-3</v>
      </c>
      <c r="I20" s="90">
        <v>5</v>
      </c>
      <c r="K20" s="36">
        <v>18</v>
      </c>
      <c r="L20" s="95">
        <v>352.39999999999992</v>
      </c>
      <c r="N20" s="111" t="s">
        <v>127</v>
      </c>
      <c r="O20" s="121">
        <f>IF(P20=0,0,Q20/P20)</f>
        <v>13.062393162393166</v>
      </c>
      <c r="P20" s="115">
        <v>117</v>
      </c>
      <c r="Q20" s="103">
        <v>1528.3000000000004</v>
      </c>
    </row>
    <row r="21" spans="1:17" x14ac:dyDescent="0.45">
      <c r="A21" s="51" t="s">
        <v>194</v>
      </c>
      <c r="B21" s="44">
        <v>121</v>
      </c>
      <c r="C21" s="37">
        <f>IF(B$15=0,0,B21/B$15)</f>
        <v>0.21684587813620071</v>
      </c>
      <c r="E21" s="59" t="s">
        <v>79</v>
      </c>
      <c r="F21" s="56" t="s">
        <v>34</v>
      </c>
      <c r="G21" s="44">
        <v>4</v>
      </c>
      <c r="H21" s="129">
        <f>IF(B$15=0,0,G21/B$15)</f>
        <v>7.1684587813620072E-3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12.639743589743592</v>
      </c>
      <c r="P21" s="115">
        <v>78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8277.7777777777774</v>
      </c>
      <c r="C22" s="39">
        <v>4619000</v>
      </c>
      <c r="E22" s="59" t="s">
        <v>85</v>
      </c>
      <c r="F22" s="56" t="s">
        <v>40</v>
      </c>
      <c r="G22" s="44">
        <v>4</v>
      </c>
      <c r="H22" s="129">
        <f>IF(B$15=0,0,G22/B$15)</f>
        <v>7.1684587813620072E-3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6.3095238095238093</v>
      </c>
      <c r="P22" s="115">
        <v>63</v>
      </c>
      <c r="Q22" s="103">
        <v>397.5</v>
      </c>
    </row>
    <row r="23" spans="1:17" x14ac:dyDescent="0.45">
      <c r="A23" s="52" t="s">
        <v>177</v>
      </c>
      <c r="B23" s="136">
        <f>IF($B$15-B$14=0,0,C23/($B$15-B$14))</f>
        <v>8897.0430107526881</v>
      </c>
      <c r="C23" s="137">
        <v>3309700</v>
      </c>
      <c r="E23" s="59" t="s">
        <v>77</v>
      </c>
      <c r="F23" s="56" t="s">
        <v>32</v>
      </c>
      <c r="G23" s="44">
        <v>3</v>
      </c>
      <c r="H23" s="129">
        <f>IF(B$15=0,0,G23/B$15)</f>
        <v>5.3763440860215058E-3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7039.2473118279568</v>
      </c>
      <c r="C24" s="137">
        <v>1309300</v>
      </c>
      <c r="E24" s="59" t="s">
        <v>84</v>
      </c>
      <c r="F24" s="56" t="s">
        <v>39</v>
      </c>
      <c r="G24" s="44">
        <v>3</v>
      </c>
      <c r="H24" s="129">
        <f>IF(B$15=0,0,G24/B$15)</f>
        <v>5.3763440860215058E-3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-7767.6470588235297</v>
      </c>
      <c r="C25" s="137">
        <v>-1584600</v>
      </c>
      <c r="E25" s="59" t="s">
        <v>74</v>
      </c>
      <c r="F25" s="56" t="s">
        <v>29</v>
      </c>
      <c r="G25" s="44">
        <v>2</v>
      </c>
      <c r="H25" s="129">
        <f>IF(B$15=0,0,G25/B$15)</f>
        <v>3.5842293906810036E-3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3.5842293906810036E-3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2</v>
      </c>
      <c r="E27" s="59" t="s">
        <v>95</v>
      </c>
      <c r="F27" s="56" t="s">
        <v>50</v>
      </c>
      <c r="G27" s="44">
        <v>2</v>
      </c>
      <c r="H27" s="129">
        <f>IF(B$15=0,0,G27/B$15)</f>
        <v>3.5842293906810036E-3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1.7921146953405018E-3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1.7921146953405018E-3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1.2239902080783353E-3</v>
      </c>
      <c r="E30" s="59" t="s">
        <v>106</v>
      </c>
      <c r="F30" s="56" t="s">
        <v>113</v>
      </c>
      <c r="G30" s="44">
        <v>1</v>
      </c>
      <c r="H30" s="129">
        <f>IF(B$15=0,0,G30/B$15)</f>
        <v>1.7921146953405018E-3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53</v>
      </c>
      <c r="C32" s="141">
        <f>IF(B$15=0,0,B32/B$15)</f>
        <v>9.4982078853046589E-2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103</v>
      </c>
      <c r="C33" s="37">
        <f t="shared" ref="C33:C44" si="2">IF(B$15=0,0,B33/B$15)</f>
        <v>0.18458781362007168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110</v>
      </c>
      <c r="C34" s="37">
        <f>IF(B$15=0,0,B34/B$15)</f>
        <v>0.1971326164874552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98</v>
      </c>
      <c r="C35" s="37">
        <f t="shared" si="2"/>
        <v>0.17562724014336917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80</v>
      </c>
      <c r="C36" s="37">
        <f t="shared" si="2"/>
        <v>0.14336917562724014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55</v>
      </c>
      <c r="C37" s="37">
        <f t="shared" si="2"/>
        <v>9.8566308243727599E-2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2"/>
        <v>4.4802867383512544E-2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11</v>
      </c>
      <c r="C39" s="37">
        <f t="shared" si="2"/>
        <v>1.9713261648745518E-2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1.7921146953405017E-2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5.3763440860215058E-3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1.7921146953405018E-3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1.6129032258064516E-2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1804.7999999999997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175</v>
      </c>
      <c r="C2" s="155"/>
      <c r="E2" s="58" t="s">
        <v>66</v>
      </c>
      <c r="F2" s="55" t="s">
        <v>22</v>
      </c>
      <c r="G2" s="43">
        <v>338</v>
      </c>
      <c r="H2" s="128">
        <f>IF(B$15=0,0,G2/B$15)</f>
        <v>0.74449339207048459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-911.56069364161851</v>
      </c>
      <c r="P2" s="114">
        <v>173</v>
      </c>
      <c r="Q2" s="98">
        <v>-157700</v>
      </c>
    </row>
    <row r="3" spans="1:17" x14ac:dyDescent="0.45">
      <c r="A3" s="51" t="s">
        <v>8</v>
      </c>
      <c r="B3" s="156">
        <v>1448</v>
      </c>
      <c r="C3" s="157"/>
      <c r="E3" s="59" t="s">
        <v>72</v>
      </c>
      <c r="F3" s="56" t="s">
        <v>27</v>
      </c>
      <c r="G3" s="44">
        <v>260</v>
      </c>
      <c r="H3" s="129">
        <f>IF(B$15=0,0,G3/B$15)</f>
        <v>0.57268722466960353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1276.0233918128654</v>
      </c>
      <c r="P3" s="115">
        <v>171</v>
      </c>
      <c r="Q3" s="99">
        <v>218200</v>
      </c>
    </row>
    <row r="4" spans="1:17" x14ac:dyDescent="0.45">
      <c r="A4" s="51" t="s">
        <v>6</v>
      </c>
      <c r="B4" s="158">
        <v>-41.100000000000207</v>
      </c>
      <c r="C4" s="159"/>
      <c r="E4" s="59" t="s">
        <v>166</v>
      </c>
      <c r="F4" s="56" t="s">
        <v>167</v>
      </c>
      <c r="G4" s="44">
        <v>185</v>
      </c>
      <c r="H4" s="129">
        <f>IF(B$15=0,0,G4/B$15)</f>
        <v>0.40748898678414097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-128.93081761006289</v>
      </c>
      <c r="P4" s="115">
        <v>159</v>
      </c>
      <c r="Q4" s="99">
        <v>-20500</v>
      </c>
    </row>
    <row r="5" spans="1:17" x14ac:dyDescent="0.45">
      <c r="A5" s="51" t="s">
        <v>7</v>
      </c>
      <c r="B5" s="160">
        <f>IF(B$2=0,0,B$4/B$2)</f>
        <v>-0.23485714285714404</v>
      </c>
      <c r="C5" s="161"/>
      <c r="E5" s="59" t="s">
        <v>64</v>
      </c>
      <c r="F5" s="56" t="s">
        <v>20</v>
      </c>
      <c r="G5" s="44">
        <v>173</v>
      </c>
      <c r="H5" s="129">
        <f>IF(B$15=0,0,G5/B$15)</f>
        <v>0.38105726872246698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148.34437086092714</v>
      </c>
      <c r="P5" s="115">
        <v>151</v>
      </c>
      <c r="Q5" s="99">
        <v>22400</v>
      </c>
    </row>
    <row r="6" spans="1:17" x14ac:dyDescent="0.45">
      <c r="A6" s="51" t="s">
        <v>1</v>
      </c>
      <c r="B6" s="150">
        <f>IF(B$2=0,0,(B$7*1+B$8*2+B$9*3)/B$2)</f>
        <v>1.9771428571428571</v>
      </c>
      <c r="C6" s="151"/>
      <c r="E6" s="59" t="s">
        <v>68</v>
      </c>
      <c r="F6" s="56" t="s">
        <v>12</v>
      </c>
      <c r="G6" s="44">
        <v>126</v>
      </c>
      <c r="H6" s="129">
        <f>IF(B$15=0,0,G6/B$15)</f>
        <v>0.27753303964757708</v>
      </c>
      <c r="I6" s="90">
        <v>11</v>
      </c>
      <c r="K6" s="36">
        <v>4</v>
      </c>
      <c r="L6" s="95">
        <v>-38.099999999999994</v>
      </c>
      <c r="N6" s="111" t="s">
        <v>134</v>
      </c>
      <c r="O6" s="118">
        <f t="shared" si="0"/>
        <v>-1659.4202898550725</v>
      </c>
      <c r="P6" s="115">
        <v>138</v>
      </c>
      <c r="Q6" s="99">
        <v>-229000</v>
      </c>
    </row>
    <row r="7" spans="1:17" x14ac:dyDescent="0.45">
      <c r="A7" s="51" t="s">
        <v>2</v>
      </c>
      <c r="B7" s="44">
        <v>60</v>
      </c>
      <c r="C7" s="37">
        <f t="shared" ref="C7:C10" si="1">IF(B$2=0,0,B7/B$2)</f>
        <v>0.34285714285714286</v>
      </c>
      <c r="E7" s="59" t="s">
        <v>67</v>
      </c>
      <c r="F7" s="56" t="s">
        <v>23</v>
      </c>
      <c r="G7" s="44">
        <v>94</v>
      </c>
      <c r="H7" s="129">
        <f>IF(B$15=0,0,G7/B$15)</f>
        <v>0.20704845814977973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1237.391304347826</v>
      </c>
      <c r="P7" s="116">
        <v>115</v>
      </c>
      <c r="Q7" s="100">
        <v>142300</v>
      </c>
    </row>
    <row r="8" spans="1:17" x14ac:dyDescent="0.45">
      <c r="A8" s="51" t="s">
        <v>3</v>
      </c>
      <c r="B8" s="44">
        <v>59</v>
      </c>
      <c r="C8" s="37">
        <f t="shared" si="1"/>
        <v>0.33714285714285713</v>
      </c>
      <c r="E8" s="59" t="s">
        <v>69</v>
      </c>
      <c r="F8" s="56" t="s">
        <v>24</v>
      </c>
      <c r="G8" s="44">
        <v>49</v>
      </c>
      <c r="H8" s="129">
        <f>IF(B$15=0,0,G8/B$15)</f>
        <v>0.10792951541850221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56</v>
      </c>
      <c r="C9" s="38">
        <f t="shared" si="1"/>
        <v>0.32</v>
      </c>
      <c r="E9" s="59" t="s">
        <v>89</v>
      </c>
      <c r="F9" s="56" t="s">
        <v>44</v>
      </c>
      <c r="G9" s="44">
        <v>47</v>
      </c>
      <c r="H9" s="129">
        <f>IF(B$15=0,0,G9/B$15)</f>
        <v>0.10352422907488987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0.10285714285714286</v>
      </c>
      <c r="E10" s="59" t="s">
        <v>70</v>
      </c>
      <c r="F10" s="56" t="s">
        <v>25</v>
      </c>
      <c r="G10" s="44">
        <v>44</v>
      </c>
      <c r="H10" s="129">
        <f>IF(B$15=0,0,G10/B$15)</f>
        <v>9.6916299559471369E-2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-0.52264150943396182</v>
      </c>
      <c r="P10" s="114">
        <v>53</v>
      </c>
      <c r="Q10" s="102">
        <v>-27.699999999999978</v>
      </c>
    </row>
    <row r="11" spans="1:17" x14ac:dyDescent="0.45">
      <c r="A11" s="54" t="s">
        <v>121</v>
      </c>
      <c r="B11" s="47">
        <v>337</v>
      </c>
      <c r="C11" s="42">
        <f>IF(B$3=0,0,B11/B$3)</f>
        <v>0.23273480662983426</v>
      </c>
      <c r="E11" s="59" t="s">
        <v>71</v>
      </c>
      <c r="F11" s="56" t="s">
        <v>26</v>
      </c>
      <c r="G11" s="44">
        <v>40</v>
      </c>
      <c r="H11" s="129">
        <f>IF(B$15=0,0,G11/B$15)</f>
        <v>8.8105726872246701E-2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2.9418181818181837</v>
      </c>
      <c r="P11" s="115">
        <v>55</v>
      </c>
      <c r="Q11" s="103">
        <v>161.8000000000001</v>
      </c>
    </row>
    <row r="12" spans="1:17" x14ac:dyDescent="0.45">
      <c r="A12" s="51" t="s">
        <v>118</v>
      </c>
      <c r="B12" s="44">
        <v>433</v>
      </c>
      <c r="C12" s="37">
        <f>IF(B$3=0,0,B12/B$3)</f>
        <v>0.29903314917127072</v>
      </c>
      <c r="E12" s="59" t="s">
        <v>65</v>
      </c>
      <c r="F12" s="56" t="s">
        <v>21</v>
      </c>
      <c r="G12" s="44">
        <v>35</v>
      </c>
      <c r="H12" s="129">
        <f>IF(B$15=0,0,G12/B$15)</f>
        <v>7.7092511013215861E-2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-2.6545454545454548</v>
      </c>
      <c r="P12" s="116">
        <v>66</v>
      </c>
      <c r="Q12" s="104">
        <v>-175.20000000000002</v>
      </c>
    </row>
    <row r="13" spans="1:17" x14ac:dyDescent="0.45">
      <c r="A13" s="50" t="s">
        <v>123</v>
      </c>
      <c r="B13" s="43">
        <f>B19</f>
        <v>173</v>
      </c>
      <c r="C13" s="35">
        <f>IF(B$11=0,0,B13/B$11)</f>
        <v>0.51335311572700293</v>
      </c>
      <c r="E13" s="59" t="s">
        <v>86</v>
      </c>
      <c r="F13" s="56" t="s">
        <v>41</v>
      </c>
      <c r="G13" s="44">
        <v>25</v>
      </c>
      <c r="H13" s="129">
        <f>IF(B$15=0,0,G13/B$15)</f>
        <v>5.5066079295154183E-2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169</v>
      </c>
      <c r="C14" s="35">
        <f>IF(B$12=0,0,B14/B$12)</f>
        <v>0.39030023094688221</v>
      </c>
      <c r="E14" s="59" t="s">
        <v>83</v>
      </c>
      <c r="F14" s="56" t="s">
        <v>38</v>
      </c>
      <c r="G14" s="44">
        <v>21</v>
      </c>
      <c r="H14" s="129">
        <f>IF(B$15=0,0,G14/B$15)</f>
        <v>4.6255506607929514E-2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454</v>
      </c>
      <c r="C15" s="35">
        <f>IF(B$3=0,0,B15/B$3)</f>
        <v>0.31353591160220995</v>
      </c>
      <c r="E15" s="59" t="s">
        <v>78</v>
      </c>
      <c r="F15" s="56" t="s">
        <v>33</v>
      </c>
      <c r="G15" s="44">
        <v>18</v>
      </c>
      <c r="H15" s="129">
        <f>IF(B$15=0,0,G15/B$15)</f>
        <v>3.9647577092511016E-2</v>
      </c>
      <c r="I15" s="90">
        <v>3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256</v>
      </c>
      <c r="C16" s="37">
        <f>IF(B$3=0,0,B16/B$3)</f>
        <v>0.17679558011049723</v>
      </c>
      <c r="E16" s="59" t="s">
        <v>91</v>
      </c>
      <c r="F16" s="56" t="s">
        <v>46</v>
      </c>
      <c r="G16" s="44">
        <v>14</v>
      </c>
      <c r="H16" s="129">
        <f>IF(B$15=0,0,G16/B$15)</f>
        <v>3.0837004405286344E-2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189</v>
      </c>
      <c r="C17" s="37">
        <f>IF(B$15=0,0,B17/B$15)</f>
        <v>0.41629955947136565</v>
      </c>
      <c r="E17" s="59" t="s">
        <v>81</v>
      </c>
      <c r="F17" s="56" t="s">
        <v>36</v>
      </c>
      <c r="G17" s="44">
        <v>10</v>
      </c>
      <c r="H17" s="129">
        <f>IF(B$15=0,0,G17/B$15)</f>
        <v>2.2026431718061675E-2</v>
      </c>
      <c r="I17" s="90">
        <v>5</v>
      </c>
      <c r="K17" s="36">
        <v>15</v>
      </c>
      <c r="L17" s="95">
        <v>-144.30000000000001</v>
      </c>
      <c r="N17" s="111" t="s">
        <v>196</v>
      </c>
      <c r="O17" s="121">
        <f>IF(P17=0,0,Q17/P17)</f>
        <v>13.5</v>
      </c>
      <c r="P17" s="115">
        <v>5</v>
      </c>
      <c r="Q17" s="103">
        <v>67.5</v>
      </c>
    </row>
    <row r="18" spans="1:17" x14ac:dyDescent="0.45">
      <c r="A18" s="51" t="s">
        <v>11</v>
      </c>
      <c r="B18" s="44">
        <v>265</v>
      </c>
      <c r="C18" s="37">
        <f>IF(B$15=0,0,B18/B$15)</f>
        <v>0.58370044052863435</v>
      </c>
      <c r="E18" s="59" t="s">
        <v>79</v>
      </c>
      <c r="F18" s="56" t="s">
        <v>34</v>
      </c>
      <c r="G18" s="44">
        <v>8</v>
      </c>
      <c r="H18" s="129">
        <f>IF(B$15=0,0,G18/B$15)</f>
        <v>1.7621145374449341E-2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173</v>
      </c>
      <c r="C19" s="37">
        <f>IF(B$15=0,0,B19/B$15)</f>
        <v>0.38105726872246698</v>
      </c>
      <c r="E19" s="59" t="s">
        <v>162</v>
      </c>
      <c r="F19" s="56" t="s">
        <v>163</v>
      </c>
      <c r="G19" s="44">
        <v>5</v>
      </c>
      <c r="H19" s="129">
        <f>IF(B$15=0,0,G19/B$15)</f>
        <v>1.1013215859030838E-2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169</v>
      </c>
      <c r="C20" s="37">
        <f>IF(B$15=0,0,B20/B$15)</f>
        <v>0.3722466960352423</v>
      </c>
      <c r="E20" s="59" t="s">
        <v>92</v>
      </c>
      <c r="F20" s="56" t="s">
        <v>47</v>
      </c>
      <c r="G20" s="44">
        <v>3</v>
      </c>
      <c r="H20" s="129">
        <f>IF(B$15=0,0,G20/B$15)</f>
        <v>6.6079295154185024E-3</v>
      </c>
      <c r="I20" s="90">
        <v>6</v>
      </c>
      <c r="K20" s="36">
        <v>18</v>
      </c>
      <c r="L20" s="95">
        <v>-112.90000000000002</v>
      </c>
      <c r="N20" s="111" t="s">
        <v>170</v>
      </c>
      <c r="O20" s="121">
        <f>IF(P20=0,0,Q20/P20)</f>
        <v>-2.0999999999999965</v>
      </c>
      <c r="P20" s="115">
        <v>57</v>
      </c>
      <c r="Q20" s="103">
        <v>-119.6999999999998</v>
      </c>
    </row>
    <row r="21" spans="1:17" x14ac:dyDescent="0.45">
      <c r="A21" s="51" t="s">
        <v>194</v>
      </c>
      <c r="B21" s="44">
        <v>112</v>
      </c>
      <c r="C21" s="37">
        <f>IF(B$15=0,0,B21/B$15)</f>
        <v>0.24669603524229075</v>
      </c>
      <c r="E21" s="59" t="s">
        <v>74</v>
      </c>
      <c r="F21" s="56" t="s">
        <v>29</v>
      </c>
      <c r="G21" s="44">
        <v>2</v>
      </c>
      <c r="H21" s="129">
        <f>IF(B$15=0,0,G21/B$15)</f>
        <v>4.4052863436123352E-3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-2.808064516129031</v>
      </c>
      <c r="P21" s="115">
        <v>62</v>
      </c>
      <c r="Q21" s="103">
        <v>-174.09999999999991</v>
      </c>
    </row>
    <row r="22" spans="1:17" x14ac:dyDescent="0.45">
      <c r="A22" s="51" t="s">
        <v>5</v>
      </c>
      <c r="B22" s="48">
        <f>IF(B$15=0,0,C22/B$15)</f>
        <v>7900.4405286343608</v>
      </c>
      <c r="C22" s="39">
        <v>3586800</v>
      </c>
      <c r="E22" s="59" t="s">
        <v>75</v>
      </c>
      <c r="F22" s="56" t="s">
        <v>30</v>
      </c>
      <c r="G22" s="44">
        <v>2</v>
      </c>
      <c r="H22" s="129">
        <f>IF(B$15=0,0,G22/B$15)</f>
        <v>4.4052863436123352E-3</v>
      </c>
      <c r="I22" s="90">
        <v>9</v>
      </c>
      <c r="K22" s="36">
        <v>20</v>
      </c>
      <c r="L22" s="95">
        <v>-96.000000000000028</v>
      </c>
      <c r="N22" s="111" t="s">
        <v>274</v>
      </c>
      <c r="O22" s="121">
        <f>IF(P22=0,0,Q22/P22)</f>
        <v>-2.86</v>
      </c>
      <c r="P22" s="115">
        <v>5</v>
      </c>
      <c r="Q22" s="103">
        <v>-14.299999999999999</v>
      </c>
    </row>
    <row r="23" spans="1:17" x14ac:dyDescent="0.45">
      <c r="A23" s="52" t="s">
        <v>177</v>
      </c>
      <c r="B23" s="136">
        <f>IF($B$15-B$14=0,0,C23/($B$15-B$14))</f>
        <v>8551.9298245614027</v>
      </c>
      <c r="C23" s="137">
        <v>2437300</v>
      </c>
      <c r="E23" s="59" t="s">
        <v>73</v>
      </c>
      <c r="F23" s="56" t="s">
        <v>28</v>
      </c>
      <c r="G23" s="44">
        <v>1</v>
      </c>
      <c r="H23" s="129">
        <f>IF(B$15=0,0,G23/B$15)</f>
        <v>2.2026431718061676E-3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-13.062393162393166</v>
      </c>
      <c r="P23" s="115">
        <v>117</v>
      </c>
      <c r="Q23" s="103">
        <v>-1528.3000000000004</v>
      </c>
    </row>
    <row r="24" spans="1:17" x14ac:dyDescent="0.45">
      <c r="A24" s="52" t="s">
        <v>178</v>
      </c>
      <c r="B24" s="136">
        <f>IF(B$14=0,0,C24/B$14)</f>
        <v>6801.7751479289936</v>
      </c>
      <c r="C24" s="137">
        <v>1149500</v>
      </c>
      <c r="E24" s="59" t="s">
        <v>77</v>
      </c>
      <c r="F24" s="56" t="s">
        <v>32</v>
      </c>
      <c r="G24" s="44">
        <v>1</v>
      </c>
      <c r="H24" s="129">
        <f>IF(B$15=0,0,G24/B$15)</f>
        <v>2.2026431718061676E-3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-7970.3125</v>
      </c>
      <c r="C25" s="137">
        <v>-2040400</v>
      </c>
      <c r="E25" s="59" t="s">
        <v>84</v>
      </c>
      <c r="F25" s="56" t="s">
        <v>39</v>
      </c>
      <c r="G25" s="44">
        <v>1</v>
      </c>
      <c r="H25" s="129">
        <f>IF(B$15=0,0,G25/B$15)</f>
        <v>2.2026431718061676E-3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4</v>
      </c>
      <c r="E26" s="59" t="s">
        <v>90</v>
      </c>
      <c r="F26" s="56" t="s">
        <v>45</v>
      </c>
      <c r="G26" s="44">
        <v>1</v>
      </c>
      <c r="H26" s="129">
        <f>IF(B$15=0,0,G26/B$15)</f>
        <v>2.2026431718061676E-3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21</v>
      </c>
      <c r="E27" s="59" t="s">
        <v>95</v>
      </c>
      <c r="F27" s="56" t="s">
        <v>50</v>
      </c>
      <c r="G27" s="44">
        <v>1</v>
      </c>
      <c r="H27" s="129">
        <f>IF(B$15=0,0,G27/B$15)</f>
        <v>2.2026431718061676E-3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3.453038674033149E-3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8.1497797356828189E-2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85</v>
      </c>
      <c r="C33" s="37">
        <f t="shared" ref="C33:C44" si="2">IF(B$15=0,0,B33/B$15)</f>
        <v>0.18722466960352424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98</v>
      </c>
      <c r="C34" s="37">
        <f>IF(B$15=0,0,B34/B$15)</f>
        <v>0.21585903083700442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91</v>
      </c>
      <c r="C35" s="37">
        <f t="shared" si="2"/>
        <v>0.20044052863436124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63</v>
      </c>
      <c r="C36" s="37">
        <f t="shared" si="2"/>
        <v>0.13876651982378854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9.2511013215859028E-2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3.3039647577092511E-2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1.9823788546255508E-2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1.3215859030837005E-2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2.2026431718061676E-3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6.6079295154185024E-3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8.8105726872246704E-3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-41.100000000000207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4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293</v>
      </c>
      <c r="H2" s="128">
        <f>IF(B$15=0,0,G2/B$15)</f>
        <v>0.91562500000000002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1019.1780821917808</v>
      </c>
      <c r="P2" s="114">
        <v>146</v>
      </c>
      <c r="Q2" s="98">
        <v>148800</v>
      </c>
    </row>
    <row r="3" spans="1:17" x14ac:dyDescent="0.45">
      <c r="A3" s="51" t="s">
        <v>8</v>
      </c>
      <c r="B3" s="156">
        <v>1178</v>
      </c>
      <c r="C3" s="157"/>
      <c r="E3" s="59" t="s">
        <v>72</v>
      </c>
      <c r="F3" s="56" t="s">
        <v>27</v>
      </c>
      <c r="G3" s="44">
        <v>178</v>
      </c>
      <c r="H3" s="129">
        <f>IF(B$15=0,0,G3/B$15)</f>
        <v>0.55625000000000002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-2058.7412587412587</v>
      </c>
      <c r="P3" s="115">
        <v>143</v>
      </c>
      <c r="Q3" s="99">
        <v>-294400</v>
      </c>
    </row>
    <row r="4" spans="1:17" x14ac:dyDescent="0.45">
      <c r="A4" s="51" t="s">
        <v>6</v>
      </c>
      <c r="B4" s="158">
        <v>449.90000000000055</v>
      </c>
      <c r="C4" s="159"/>
      <c r="E4" s="59" t="s">
        <v>64</v>
      </c>
      <c r="F4" s="56" t="s">
        <v>20</v>
      </c>
      <c r="G4" s="44">
        <v>173</v>
      </c>
      <c r="H4" s="129">
        <f>IF(B$15=0,0,G4/B$15)</f>
        <v>0.54062500000000002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-652.67175572519079</v>
      </c>
      <c r="P4" s="115">
        <v>131</v>
      </c>
      <c r="Q4" s="99">
        <v>-85500</v>
      </c>
    </row>
    <row r="5" spans="1:17" x14ac:dyDescent="0.45">
      <c r="A5" s="51" t="s">
        <v>7</v>
      </c>
      <c r="B5" s="160">
        <f>IF(B$2=0,0,B$4/B$2)</f>
        <v>3.0815068493150721</v>
      </c>
      <c r="C5" s="161"/>
      <c r="E5" s="59" t="s">
        <v>67</v>
      </c>
      <c r="F5" s="56" t="s">
        <v>23</v>
      </c>
      <c r="G5" s="44">
        <v>126</v>
      </c>
      <c r="H5" s="129">
        <f>IF(B$15=0,0,G5/B$15)</f>
        <v>0.39374999999999999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2231.404958677686</v>
      </c>
      <c r="P5" s="115">
        <v>121</v>
      </c>
      <c r="Q5" s="99">
        <v>270000</v>
      </c>
    </row>
    <row r="6" spans="1:17" x14ac:dyDescent="0.45">
      <c r="A6" s="51" t="s">
        <v>1</v>
      </c>
      <c r="B6" s="150">
        <f>IF(B$2=0,0,(B$7*1+B$8*2+B$9*3)/B$2)</f>
        <v>1.9452054794520548</v>
      </c>
      <c r="C6" s="151"/>
      <c r="E6" s="59" t="s">
        <v>68</v>
      </c>
      <c r="F6" s="56" t="s">
        <v>12</v>
      </c>
      <c r="G6" s="44">
        <v>125</v>
      </c>
      <c r="H6" s="129">
        <f>IF(B$15=0,0,G6/B$15)</f>
        <v>0.390625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1465.1376146788991</v>
      </c>
      <c r="P6" s="115">
        <v>109</v>
      </c>
      <c r="Q6" s="99">
        <v>159700</v>
      </c>
    </row>
    <row r="7" spans="1:17" x14ac:dyDescent="0.45">
      <c r="A7" s="51" t="s">
        <v>2</v>
      </c>
      <c r="B7" s="44">
        <v>56</v>
      </c>
      <c r="C7" s="37">
        <f t="shared" ref="C7:C10" si="1">IF(B$2=0,0,B7/B$2)</f>
        <v>0.38356164383561642</v>
      </c>
      <c r="E7" s="59" t="s">
        <v>166</v>
      </c>
      <c r="F7" s="56" t="s">
        <v>167</v>
      </c>
      <c r="G7" s="44">
        <v>121</v>
      </c>
      <c r="H7" s="129">
        <f>IF(B$15=0,0,G7/B$15)</f>
        <v>0.37812499999999999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520.73170731707319</v>
      </c>
      <c r="P7" s="116">
        <v>82</v>
      </c>
      <c r="Q7" s="100">
        <v>42700</v>
      </c>
    </row>
    <row r="8" spans="1:17" x14ac:dyDescent="0.45">
      <c r="A8" s="51" t="s">
        <v>3</v>
      </c>
      <c r="B8" s="44">
        <v>42</v>
      </c>
      <c r="C8" s="37">
        <f t="shared" si="1"/>
        <v>0.28767123287671231</v>
      </c>
      <c r="E8" s="59" t="s">
        <v>89</v>
      </c>
      <c r="F8" s="56" t="s">
        <v>44</v>
      </c>
      <c r="G8" s="44">
        <v>81</v>
      </c>
      <c r="H8" s="129">
        <f>IF(B$15=0,0,G8/B$15)</f>
        <v>0.25312499999999999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0.32876712328767121</v>
      </c>
      <c r="E9" s="59" t="s">
        <v>69</v>
      </c>
      <c r="F9" s="56" t="s">
        <v>24</v>
      </c>
      <c r="G9" s="44">
        <v>67</v>
      </c>
      <c r="H9" s="129">
        <f>IF(B$15=0,0,G9/B$15)</f>
        <v>0.20937500000000001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0.13013698630136986</v>
      </c>
      <c r="E10" s="59" t="s">
        <v>65</v>
      </c>
      <c r="F10" s="56" t="s">
        <v>21</v>
      </c>
      <c r="G10" s="44">
        <v>46</v>
      </c>
      <c r="H10" s="129">
        <f>IF(B$15=0,0,G10/B$15)</f>
        <v>0.14374999999999999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-10.75609756097561</v>
      </c>
      <c r="P10" s="114">
        <v>41</v>
      </c>
      <c r="Q10" s="102">
        <v>-441</v>
      </c>
    </row>
    <row r="11" spans="1:17" x14ac:dyDescent="0.45">
      <c r="A11" s="54" t="s">
        <v>121</v>
      </c>
      <c r="B11" s="47">
        <v>349</v>
      </c>
      <c r="C11" s="42">
        <f>IF(B$3=0,0,B11/B$3)</f>
        <v>0.29626485568760613</v>
      </c>
      <c r="E11" s="59" t="s">
        <v>70</v>
      </c>
      <c r="F11" s="56" t="s">
        <v>25</v>
      </c>
      <c r="G11" s="44">
        <v>40</v>
      </c>
      <c r="H11" s="129">
        <f>IF(B$15=0,0,G11/B$15)</f>
        <v>0.125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6.2339285714285699</v>
      </c>
      <c r="P11" s="115">
        <v>56</v>
      </c>
      <c r="Q11" s="103">
        <v>349.09999999999991</v>
      </c>
    </row>
    <row r="12" spans="1:17" x14ac:dyDescent="0.45">
      <c r="A12" s="51" t="s">
        <v>118</v>
      </c>
      <c r="B12" s="44">
        <v>217</v>
      </c>
      <c r="C12" s="37">
        <f>IF(B$3=0,0,B12/B$3)</f>
        <v>0.18421052631578946</v>
      </c>
      <c r="E12" s="59" t="s">
        <v>71</v>
      </c>
      <c r="F12" s="56" t="s">
        <v>26</v>
      </c>
      <c r="G12" s="44">
        <v>19</v>
      </c>
      <c r="H12" s="129">
        <f>IF(B$15=0,0,G12/B$15)</f>
        <v>5.9374999999999997E-2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11.057142857142859</v>
      </c>
      <c r="P12" s="116">
        <v>49</v>
      </c>
      <c r="Q12" s="104">
        <v>541.80000000000007</v>
      </c>
    </row>
    <row r="13" spans="1:17" x14ac:dyDescent="0.45">
      <c r="A13" s="50" t="s">
        <v>123</v>
      </c>
      <c r="B13" s="43">
        <f>B19</f>
        <v>188</v>
      </c>
      <c r="C13" s="35">
        <f>IF(B$11=0,0,B13/B$11)</f>
        <v>0.5386819484240688</v>
      </c>
      <c r="E13" s="59" t="s">
        <v>162</v>
      </c>
      <c r="F13" s="56" t="s">
        <v>163</v>
      </c>
      <c r="G13" s="44">
        <v>17</v>
      </c>
      <c r="H13" s="129">
        <f>IF(B$15=0,0,G13/B$15)</f>
        <v>5.3124999999999999E-2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83</v>
      </c>
      <c r="C14" s="35">
        <f>IF(B$12=0,0,B14/B$12)</f>
        <v>0.38248847926267282</v>
      </c>
      <c r="E14" s="59" t="s">
        <v>86</v>
      </c>
      <c r="F14" s="56" t="s">
        <v>41</v>
      </c>
      <c r="G14" s="44">
        <v>12</v>
      </c>
      <c r="H14" s="129">
        <f>IF(B$15=0,0,G14/B$15)</f>
        <v>3.7499999999999999E-2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320</v>
      </c>
      <c r="C15" s="35">
        <f>IF(B$3=0,0,B15/B$3)</f>
        <v>0.27164685908319186</v>
      </c>
      <c r="E15" s="59" t="s">
        <v>83</v>
      </c>
      <c r="F15" s="56" t="s">
        <v>38</v>
      </c>
      <c r="G15" s="44">
        <v>10</v>
      </c>
      <c r="H15" s="129">
        <f>IF(B$15=0,0,G15/B$15)</f>
        <v>3.125E-2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206</v>
      </c>
      <c r="C16" s="37">
        <f>IF(B$3=0,0,B16/B$3)</f>
        <v>0.17487266553480477</v>
      </c>
      <c r="E16" s="59" t="s">
        <v>91</v>
      </c>
      <c r="F16" s="56" t="s">
        <v>46</v>
      </c>
      <c r="G16" s="44">
        <v>7</v>
      </c>
      <c r="H16" s="129">
        <f>IF(B$15=0,0,G16/B$15)</f>
        <v>2.1874999999999999E-2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26.54137931034483</v>
      </c>
      <c r="P16" s="115">
        <v>29</v>
      </c>
      <c r="Q16" s="103">
        <v>769.7</v>
      </c>
    </row>
    <row r="17" spans="1:17" x14ac:dyDescent="0.45">
      <c r="A17" s="51" t="s">
        <v>12</v>
      </c>
      <c r="B17" s="44">
        <v>163</v>
      </c>
      <c r="C17" s="37">
        <f>IF(B$15=0,0,B17/B$15)</f>
        <v>0.50937500000000002</v>
      </c>
      <c r="E17" s="59" t="s">
        <v>92</v>
      </c>
      <c r="F17" s="56" t="s">
        <v>47</v>
      </c>
      <c r="G17" s="44">
        <v>6</v>
      </c>
      <c r="H17" s="129">
        <f>IF(B$15=0,0,G17/B$15)</f>
        <v>1.8749999999999999E-2</v>
      </c>
      <c r="I17" s="90">
        <v>1</v>
      </c>
      <c r="K17" s="36">
        <v>15</v>
      </c>
      <c r="L17" s="95">
        <v>-101.79999999999997</v>
      </c>
      <c r="N17" s="111" t="s">
        <v>197</v>
      </c>
      <c r="O17" s="121">
        <f>IF(P17=0,0,Q17/P17)</f>
        <v>12.110344827586209</v>
      </c>
      <c r="P17" s="115">
        <v>29</v>
      </c>
      <c r="Q17" s="103">
        <v>351.20000000000005</v>
      </c>
    </row>
    <row r="18" spans="1:17" x14ac:dyDescent="0.45">
      <c r="A18" s="51" t="s">
        <v>11</v>
      </c>
      <c r="B18" s="44">
        <v>157</v>
      </c>
      <c r="C18" s="37">
        <f>IF(B$15=0,0,B18/B$15)</f>
        <v>0.49062499999999998</v>
      </c>
      <c r="E18" s="59" t="s">
        <v>81</v>
      </c>
      <c r="F18" s="56" t="s">
        <v>36</v>
      </c>
      <c r="G18" s="44">
        <v>5</v>
      </c>
      <c r="H18" s="129">
        <f>IF(B$15=0,0,G18/B$15)</f>
        <v>1.5625E-2</v>
      </c>
      <c r="I18" s="90">
        <v>9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188</v>
      </c>
      <c r="C19" s="37">
        <f>IF(B$15=0,0,B19/B$15)</f>
        <v>0.58750000000000002</v>
      </c>
      <c r="E19" s="59" t="s">
        <v>78</v>
      </c>
      <c r="F19" s="56" t="s">
        <v>33</v>
      </c>
      <c r="G19" s="44">
        <v>4</v>
      </c>
      <c r="H19" s="129">
        <f>IF(B$15=0,0,G19/B$15)</f>
        <v>1.2500000000000001E-2</v>
      </c>
      <c r="I19" s="90">
        <v>8</v>
      </c>
      <c r="K19" s="36">
        <v>17</v>
      </c>
      <c r="L19" s="95">
        <v>-55.799999999999969</v>
      </c>
      <c r="N19" s="111" t="s">
        <v>127</v>
      </c>
      <c r="O19" s="121">
        <f>IF(P19=0,0,Q19/P19)</f>
        <v>2.0999999999999988</v>
      </c>
      <c r="P19" s="115">
        <v>57</v>
      </c>
      <c r="Q19" s="103">
        <v>119.69999999999992</v>
      </c>
    </row>
    <row r="20" spans="1:17" x14ac:dyDescent="0.45">
      <c r="A20" s="51" t="s">
        <v>193</v>
      </c>
      <c r="B20" s="44">
        <v>83</v>
      </c>
      <c r="C20" s="37">
        <f>IF(B$15=0,0,B20/B$15)</f>
        <v>0.25937500000000002</v>
      </c>
      <c r="E20" s="59" t="s">
        <v>79</v>
      </c>
      <c r="F20" s="56" t="s">
        <v>34</v>
      </c>
      <c r="G20" s="44">
        <v>4</v>
      </c>
      <c r="H20" s="129">
        <f>IF(B$15=0,0,G20/B$15)</f>
        <v>1.2500000000000001E-2</v>
      </c>
      <c r="I20" s="90">
        <v>8</v>
      </c>
      <c r="K20" s="36">
        <v>18</v>
      </c>
      <c r="L20" s="95">
        <v>-24.999999999999968</v>
      </c>
      <c r="N20" s="111" t="s">
        <v>274</v>
      </c>
      <c r="O20" s="121">
        <f>IF(P20=0,0,Q20/P20)</f>
        <v>-2.910000000000001</v>
      </c>
      <c r="P20" s="115">
        <v>10</v>
      </c>
      <c r="Q20" s="103">
        <v>-29.100000000000009</v>
      </c>
    </row>
    <row r="21" spans="1:17" x14ac:dyDescent="0.45">
      <c r="A21" s="51" t="s">
        <v>194</v>
      </c>
      <c r="B21" s="44">
        <v>49</v>
      </c>
      <c r="C21" s="37">
        <f>IF(B$15=0,0,B21/B$15)</f>
        <v>0.15312500000000001</v>
      </c>
      <c r="E21" s="59" t="s">
        <v>84</v>
      </c>
      <c r="F21" s="56" t="s">
        <v>39</v>
      </c>
      <c r="G21" s="44">
        <v>3</v>
      </c>
      <c r="H21" s="129">
        <f>IF(B$15=0,0,G21/B$15)</f>
        <v>9.3749999999999997E-3</v>
      </c>
      <c r="I21" s="90">
        <v>1</v>
      </c>
      <c r="K21" s="36">
        <v>19</v>
      </c>
      <c r="L21" s="95">
        <v>-27.799999999999969</v>
      </c>
      <c r="N21" s="111" t="s">
        <v>172</v>
      </c>
      <c r="O21" s="121">
        <f>IF(P21=0,0,Q21/P21)</f>
        <v>-2.9208333333333338</v>
      </c>
      <c r="P21" s="115">
        <v>24</v>
      </c>
      <c r="Q21" s="103">
        <v>-70.100000000000009</v>
      </c>
    </row>
    <row r="22" spans="1:17" x14ac:dyDescent="0.45">
      <c r="A22" s="51" t="s">
        <v>5</v>
      </c>
      <c r="B22" s="48">
        <f>IF(B$15=0,0,C22/B$15)</f>
        <v>11038.125</v>
      </c>
      <c r="C22" s="39">
        <v>3532200</v>
      </c>
      <c r="E22" s="59" t="s">
        <v>85</v>
      </c>
      <c r="F22" s="56" t="s">
        <v>40</v>
      </c>
      <c r="G22" s="44">
        <v>3</v>
      </c>
      <c r="H22" s="129">
        <f>IF(B$15=0,0,G22/B$15)</f>
        <v>9.3749999999999997E-3</v>
      </c>
      <c r="I22" s="90">
        <v>3</v>
      </c>
      <c r="K22" s="36">
        <v>20</v>
      </c>
      <c r="L22" s="95">
        <v>-50.39999999999997</v>
      </c>
      <c r="N22" s="111" t="s">
        <v>126</v>
      </c>
      <c r="O22" s="121">
        <f>IF(P22=0,0,Q22/P22)</f>
        <v>-6.3095238095238111</v>
      </c>
      <c r="P22" s="115">
        <v>63</v>
      </c>
      <c r="Q22" s="103">
        <v>-397.50000000000011</v>
      </c>
    </row>
    <row r="23" spans="1:17" x14ac:dyDescent="0.45">
      <c r="A23" s="52" t="s">
        <v>177</v>
      </c>
      <c r="B23" s="136">
        <f>IF($B$15-B$14=0,0,C23/($B$15-B$14))</f>
        <v>11680.590717299578</v>
      </c>
      <c r="C23" s="137">
        <v>2768300</v>
      </c>
      <c r="E23" s="59" t="s">
        <v>73</v>
      </c>
      <c r="F23" s="56" t="s">
        <v>28</v>
      </c>
      <c r="G23" s="44">
        <v>2</v>
      </c>
      <c r="H23" s="129">
        <f>IF(B$15=0,0,G23/B$15)</f>
        <v>6.2500000000000003E-3</v>
      </c>
      <c r="I23" s="90">
        <v>2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9203.6144578313251</v>
      </c>
      <c r="C24" s="137">
        <v>763900</v>
      </c>
      <c r="E24" s="59" t="s">
        <v>75</v>
      </c>
      <c r="F24" s="56" t="s">
        <v>30</v>
      </c>
      <c r="G24" s="44">
        <v>2</v>
      </c>
      <c r="H24" s="129">
        <f>IF(B$15=0,0,G24/B$15)</f>
        <v>6.2500000000000003E-3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-8384.9514563106804</v>
      </c>
      <c r="C25" s="137">
        <v>-1727300</v>
      </c>
      <c r="E25" s="59" t="s">
        <v>90</v>
      </c>
      <c r="F25" s="56" t="s">
        <v>45</v>
      </c>
      <c r="G25" s="44">
        <v>2</v>
      </c>
      <c r="H25" s="129">
        <f>IF(B$15=0,0,G25/B$15)</f>
        <v>6.2500000000000003E-3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3.1250000000000002E-3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2</v>
      </c>
      <c r="E27" s="59" t="s">
        <v>88</v>
      </c>
      <c r="F27" s="56" t="s">
        <v>43</v>
      </c>
      <c r="G27" s="44">
        <v>1</v>
      </c>
      <c r="H27" s="129">
        <f>IF(B$15=0,0,G27/B$15)</f>
        <v>3.1250000000000002E-3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3.1250000000000002E-3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3.1250000000000002E-3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1.697792869269949E-3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2.5000000000000001E-2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25</v>
      </c>
      <c r="C33" s="37">
        <f t="shared" ref="C33:C44" si="2">IF(B$15=0,0,B33/B$15)</f>
        <v>7.8125E-2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42</v>
      </c>
      <c r="C34" s="37">
        <f>IF(B$15=0,0,B34/B$15)</f>
        <v>0.13125000000000001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60</v>
      </c>
      <c r="C35" s="37">
        <f t="shared" si="2"/>
        <v>0.1875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70</v>
      </c>
      <c r="C36" s="37">
        <f t="shared" si="2"/>
        <v>0.21875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45</v>
      </c>
      <c r="C37" s="37">
        <f t="shared" si="2"/>
        <v>0.140625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24</v>
      </c>
      <c r="C38" s="37">
        <f t="shared" si="2"/>
        <v>7.4999999999999997E-2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2"/>
        <v>6.5625000000000003E-2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2"/>
        <v>2.8125000000000001E-2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9.3749999999999997E-3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6.2500000000000003E-3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3.1250000000000002E-3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10</v>
      </c>
      <c r="C44" s="40">
        <f t="shared" si="2"/>
        <v>3.125E-2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5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157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592.10526315789468</v>
      </c>
      <c r="P3" s="115">
        <v>152</v>
      </c>
      <c r="Q3" s="99">
        <v>90000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-0.52292993630573248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2.0382165605095541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41</v>
      </c>
      <c r="C7" s="37">
        <f t="shared" ref="C7:C10" si="1">IF(B$2=0,0,B7/B$2)</f>
        <v>0.26114649681528662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-922.22222222222217</v>
      </c>
      <c r="P7" s="116">
        <v>99</v>
      </c>
      <c r="Q7" s="100">
        <v>-91300</v>
      </c>
    </row>
    <row r="8" spans="1:17" x14ac:dyDescent="0.45">
      <c r="A8" s="51" t="s">
        <v>3</v>
      </c>
      <c r="B8" s="44">
        <v>69</v>
      </c>
      <c r="C8" s="37">
        <f t="shared" si="1"/>
        <v>0.43949044585987262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0.29936305732484075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8.2802547770700632E-2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5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10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2.8080645161290319</v>
      </c>
      <c r="P21" s="115">
        <v>62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>IF(P22=0,0,Q22/P22)</f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>IF(P23=0,0,Q23/P23)</f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>IF(P24=0,0,Q24/P24)</f>
        <v>-12.639743589743594</v>
      </c>
      <c r="P24" s="115">
        <v>78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274</v>
      </c>
      <c r="O25" s="121">
        <f>IF(P25=0,0,Q25/P25)</f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2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2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2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2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2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2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2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-71.199999999999989</v>
      </c>
    </row>
    <row r="158" spans="11:12" x14ac:dyDescent="0.45">
      <c r="K158" s="36">
        <v>156</v>
      </c>
      <c r="L158" s="95">
        <v>-116.69999999999999</v>
      </c>
    </row>
    <row r="159" spans="11:12" x14ac:dyDescent="0.45">
      <c r="K159" s="36">
        <v>157</v>
      </c>
      <c r="L159" s="95">
        <v>-82.1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65</v>
      </c>
      <c r="C2" s="155"/>
      <c r="E2" s="58" t="s">
        <v>66</v>
      </c>
      <c r="F2" s="55" t="s">
        <v>22</v>
      </c>
      <c r="G2" s="43">
        <v>96</v>
      </c>
      <c r="H2" s="128">
        <f>IF(B$15=0,0,G2/B$15)</f>
        <v>0.68571428571428572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-2886.1538461538462</v>
      </c>
      <c r="P2" s="114">
        <v>65</v>
      </c>
      <c r="Q2" s="98">
        <v>-187600</v>
      </c>
    </row>
    <row r="3" spans="1:17" x14ac:dyDescent="0.45">
      <c r="A3" s="51" t="s">
        <v>8</v>
      </c>
      <c r="B3" s="156">
        <v>540</v>
      </c>
      <c r="C3" s="157"/>
      <c r="E3" s="59" t="s">
        <v>72</v>
      </c>
      <c r="F3" s="56" t="s">
        <v>27</v>
      </c>
      <c r="G3" s="44">
        <v>92</v>
      </c>
      <c r="H3" s="129">
        <f>IF(B$15=0,0,G3/B$15)</f>
        <v>0.65714285714285714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1089.2307692307693</v>
      </c>
      <c r="P3" s="115">
        <v>65</v>
      </c>
      <c r="Q3" s="99">
        <v>70800</v>
      </c>
    </row>
    <row r="4" spans="1:17" x14ac:dyDescent="0.45">
      <c r="A4" s="51" t="s">
        <v>6</v>
      </c>
      <c r="B4" s="158">
        <v>-668.90000000000009</v>
      </c>
      <c r="C4" s="159"/>
      <c r="E4" s="59" t="s">
        <v>64</v>
      </c>
      <c r="F4" s="56" t="s">
        <v>20</v>
      </c>
      <c r="G4" s="44">
        <v>56</v>
      </c>
      <c r="H4" s="129">
        <f>IF(B$15=0,0,G4/B$15)</f>
        <v>0.4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-591.93548387096769</v>
      </c>
      <c r="P4" s="115">
        <v>62</v>
      </c>
      <c r="Q4" s="99">
        <v>-36700</v>
      </c>
    </row>
    <row r="5" spans="1:17" x14ac:dyDescent="0.45">
      <c r="A5" s="51" t="s">
        <v>7</v>
      </c>
      <c r="B5" s="160">
        <f>IF(B$2=0,0,B$4/B$2)</f>
        <v>-10.290769230769232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0.33571428571428569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2.2615384615384615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0.27142857142857141</v>
      </c>
      <c r="I6" s="90">
        <v>12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0.16923076923076924</v>
      </c>
      <c r="E7" s="59" t="s">
        <v>67</v>
      </c>
      <c r="F7" s="56" t="s">
        <v>23</v>
      </c>
      <c r="G7" s="44">
        <v>34</v>
      </c>
      <c r="H7" s="129">
        <f>IF(B$15=0,0,G7/B$15)</f>
        <v>0.24285714285714285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-2106.9767441860463</v>
      </c>
      <c r="P7" s="116">
        <v>43</v>
      </c>
      <c r="Q7" s="100">
        <v>-90600</v>
      </c>
    </row>
    <row r="8" spans="1:17" x14ac:dyDescent="0.45">
      <c r="A8" s="51" t="s">
        <v>3</v>
      </c>
      <c r="B8" s="44">
        <v>26</v>
      </c>
      <c r="C8" s="37">
        <f t="shared" si="1"/>
        <v>0.4</v>
      </c>
      <c r="E8" s="59" t="s">
        <v>89</v>
      </c>
      <c r="F8" s="56" t="s">
        <v>44</v>
      </c>
      <c r="G8" s="44">
        <v>23</v>
      </c>
      <c r="H8" s="129">
        <f>IF(B$15=0,0,G8/B$15)</f>
        <v>0.16428571428571428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0.43076923076923079</v>
      </c>
      <c r="E9" s="59" t="s">
        <v>65</v>
      </c>
      <c r="F9" s="56" t="s">
        <v>21</v>
      </c>
      <c r="G9" s="44">
        <v>16</v>
      </c>
      <c r="H9" s="129">
        <f>IF(B$15=0,0,G9/B$15)</f>
        <v>0.11428571428571428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0.15384615384615385</v>
      </c>
      <c r="E10" s="59" t="s">
        <v>71</v>
      </c>
      <c r="F10" s="56" t="s">
        <v>26</v>
      </c>
      <c r="G10" s="44">
        <v>13</v>
      </c>
      <c r="H10" s="129">
        <f>IF(B$15=0,0,G10/B$15)</f>
        <v>9.285714285714286E-2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114</v>
      </c>
      <c r="C11" s="42">
        <f>IF(B$3=0,0,B11/B$3)</f>
        <v>0.21111111111111111</v>
      </c>
      <c r="E11" s="59" t="s">
        <v>69</v>
      </c>
      <c r="F11" s="56" t="s">
        <v>24</v>
      </c>
      <c r="G11" s="44">
        <v>12</v>
      </c>
      <c r="H11" s="129">
        <f>IF(B$15=0,0,G11/B$15)</f>
        <v>8.5714285714285715E-2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-0.81052631578947321</v>
      </c>
      <c r="P11" s="115">
        <v>19</v>
      </c>
      <c r="Q11" s="103">
        <v>-15.399999999999991</v>
      </c>
    </row>
    <row r="12" spans="1:17" x14ac:dyDescent="0.45">
      <c r="A12" s="51" t="s">
        <v>118</v>
      </c>
      <c r="B12" s="44">
        <v>124</v>
      </c>
      <c r="C12" s="37">
        <f>IF(B$3=0,0,B12/B$3)</f>
        <v>0.22962962962962963</v>
      </c>
      <c r="E12" s="59" t="s">
        <v>70</v>
      </c>
      <c r="F12" s="56" t="s">
        <v>25</v>
      </c>
      <c r="G12" s="44">
        <v>12</v>
      </c>
      <c r="H12" s="129">
        <f>IF(B$15=0,0,G12/B$15)</f>
        <v>8.5714285714285715E-2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0.51754385964912286</v>
      </c>
      <c r="E13" s="59" t="s">
        <v>83</v>
      </c>
      <c r="F13" s="56" t="s">
        <v>38</v>
      </c>
      <c r="G13" s="44">
        <v>9</v>
      </c>
      <c r="H13" s="129">
        <f>IF(B$15=0,0,G13/B$15)</f>
        <v>6.4285714285714279E-2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0.43548387096774194</v>
      </c>
      <c r="E14" s="59" t="s">
        <v>81</v>
      </c>
      <c r="F14" s="56" t="s">
        <v>36</v>
      </c>
      <c r="G14" s="44">
        <v>8</v>
      </c>
      <c r="H14" s="129">
        <f>IF(B$15=0,0,G14/B$15)</f>
        <v>5.7142857142857141E-2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140</v>
      </c>
      <c r="C15" s="35">
        <f>IF(B$3=0,0,B15/B$3)</f>
        <v>0.25925925925925924</v>
      </c>
      <c r="E15" s="59" t="s">
        <v>86</v>
      </c>
      <c r="F15" s="56" t="s">
        <v>41</v>
      </c>
      <c r="G15" s="44">
        <v>8</v>
      </c>
      <c r="H15" s="129">
        <f>IF(B$15=0,0,G15/B$15)</f>
        <v>5.7142857142857141E-2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96</v>
      </c>
      <c r="C16" s="37">
        <f>IF(B$3=0,0,B16/B$3)</f>
        <v>0.17777777777777778</v>
      </c>
      <c r="E16" s="59" t="s">
        <v>91</v>
      </c>
      <c r="F16" s="56" t="s">
        <v>46</v>
      </c>
      <c r="G16" s="44">
        <v>2</v>
      </c>
      <c r="H16" s="129">
        <f>IF(B$15=0,0,G16/B$15)</f>
        <v>1.4285714285714285E-2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64</v>
      </c>
      <c r="C17" s="37">
        <f>IF(B$15=0,0,B17/B$15)</f>
        <v>0.45714285714285713</v>
      </c>
      <c r="E17" s="59" t="s">
        <v>74</v>
      </c>
      <c r="F17" s="56" t="s">
        <v>29</v>
      </c>
      <c r="G17" s="44">
        <v>1</v>
      </c>
      <c r="H17" s="129">
        <f>IF(B$15=0,0,G17/B$15)</f>
        <v>7.1428571428571426E-3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 t="shared" si="2"/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76</v>
      </c>
      <c r="C18" s="37">
        <f>IF(B$15=0,0,B18/B$15)</f>
        <v>0.54285714285714282</v>
      </c>
      <c r="E18" s="59" t="s">
        <v>78</v>
      </c>
      <c r="F18" s="56" t="s">
        <v>33</v>
      </c>
      <c r="G18" s="44">
        <v>1</v>
      </c>
      <c r="H18" s="129">
        <f>IF(B$15=0,0,G18/B$15)</f>
        <v>7.1428571428571426E-3</v>
      </c>
      <c r="I18" s="90">
        <v>10</v>
      </c>
      <c r="K18" s="36">
        <v>16</v>
      </c>
      <c r="L18" s="95">
        <v>-320.30000000000007</v>
      </c>
      <c r="N18" s="111" t="s">
        <v>127</v>
      </c>
      <c r="O18" s="121">
        <f t="shared" si="2"/>
        <v>-12.000000000000002</v>
      </c>
      <c r="P18" s="115">
        <v>17</v>
      </c>
      <c r="Q18" s="103">
        <v>-204.00000000000003</v>
      </c>
    </row>
    <row r="19" spans="1:17" x14ac:dyDescent="0.45">
      <c r="A19" s="51" t="s">
        <v>195</v>
      </c>
      <c r="B19" s="44">
        <v>59</v>
      </c>
      <c r="C19" s="37">
        <f>IF(B$15=0,0,B19/B$15)</f>
        <v>0.42142857142857143</v>
      </c>
      <c r="E19" s="59" t="s">
        <v>79</v>
      </c>
      <c r="F19" s="56" t="s">
        <v>34</v>
      </c>
      <c r="G19" s="44">
        <v>1</v>
      </c>
      <c r="H19" s="129">
        <f>IF(B$15=0,0,G19/B$15)</f>
        <v>7.1428571428571426E-3</v>
      </c>
      <c r="I19" s="90">
        <v>10</v>
      </c>
      <c r="K19" s="36">
        <v>17</v>
      </c>
      <c r="L19" s="95">
        <v>-352.60000000000008</v>
      </c>
      <c r="N19" s="111" t="s">
        <v>170</v>
      </c>
      <c r="O19" s="121">
        <f t="shared" si="2"/>
        <v>-12.110344827586207</v>
      </c>
      <c r="P19" s="115">
        <v>29</v>
      </c>
      <c r="Q19" s="103">
        <v>-351.2</v>
      </c>
    </row>
    <row r="20" spans="1:17" x14ac:dyDescent="0.45">
      <c r="A20" s="51" t="s">
        <v>193</v>
      </c>
      <c r="B20" s="44">
        <v>54</v>
      </c>
      <c r="C20" s="37">
        <f>IF(B$15=0,0,B20/B$15)</f>
        <v>0.38571428571428573</v>
      </c>
      <c r="E20" s="59" t="s">
        <v>92</v>
      </c>
      <c r="F20" s="56" t="s">
        <v>47</v>
      </c>
      <c r="G20" s="44">
        <v>1</v>
      </c>
      <c r="H20" s="129">
        <f>IF(B$15=0,0,G20/B$15)</f>
        <v>7.1428571428571426E-3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0.19285714285714287</v>
      </c>
      <c r="E21" s="59" t="s">
        <v>95</v>
      </c>
      <c r="F21" s="56" t="s">
        <v>50</v>
      </c>
      <c r="G21" s="44">
        <v>1</v>
      </c>
      <c r="H21" s="129">
        <f>IF(B$15=0,0,G21/B$15)</f>
        <v>7.1428571428571426E-3</v>
      </c>
      <c r="I21" s="90">
        <v>1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8176.4285714285716</v>
      </c>
      <c r="C22" s="39">
        <v>1144700</v>
      </c>
      <c r="E22" s="59" t="s">
        <v>162</v>
      </c>
      <c r="F22" s="56" t="s">
        <v>163</v>
      </c>
      <c r="G22" s="44">
        <v>1</v>
      </c>
      <c r="H22" s="129">
        <f>IF(B$15=0,0,G22/B$15)</f>
        <v>7.1428571428571426E-3</v>
      </c>
      <c r="I22" s="90">
        <v>8</v>
      </c>
      <c r="K22" s="36">
        <v>20</v>
      </c>
      <c r="L22" s="95">
        <v>-428.10000000000008</v>
      </c>
      <c r="N22" s="111" t="s">
        <v>126</v>
      </c>
      <c r="O22" s="121">
        <f t="shared" si="2"/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8753.4883720930229</v>
      </c>
      <c r="C23" s="137">
        <v>752800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172</v>
      </c>
      <c r="O23" s="121">
        <f t="shared" si="2"/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7257.4074074074078</v>
      </c>
      <c r="C24" s="137">
        <v>391900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-8397.9166666666661</v>
      </c>
      <c r="C25" s="137">
        <v>-806200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5.5555555555555558E-3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8.5714285714285715E-2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0.18571428571428572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0.20714285714285716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23</v>
      </c>
      <c r="C35" s="37">
        <f t="shared" si="3"/>
        <v>0.16428571428571428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20</v>
      </c>
      <c r="C36" s="37">
        <f t="shared" si="3"/>
        <v>0.14285714285714285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7.857142857142857E-2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7.1428571428571425E-2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4.2857142857142858E-2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7.1428571428571426E-3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</v>
      </c>
      <c r="C2" s="155"/>
      <c r="E2" s="58" t="s">
        <v>64</v>
      </c>
      <c r="F2" s="55" t="s">
        <v>20</v>
      </c>
      <c r="G2" s="43">
        <v>29</v>
      </c>
      <c r="H2" s="128">
        <f>IF(B$15=0,0,G2/B$15)</f>
        <v>0.59183673469387754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-1537.5</v>
      </c>
      <c r="P2" s="114">
        <v>16</v>
      </c>
      <c r="Q2" s="98">
        <v>-24600</v>
      </c>
    </row>
    <row r="3" spans="1:17" x14ac:dyDescent="0.45">
      <c r="A3" s="51" t="s">
        <v>8</v>
      </c>
      <c r="B3" s="156">
        <v>137</v>
      </c>
      <c r="C3" s="157"/>
      <c r="E3" s="59" t="s">
        <v>66</v>
      </c>
      <c r="F3" s="56" t="s">
        <v>22</v>
      </c>
      <c r="G3" s="44">
        <v>28</v>
      </c>
      <c r="H3" s="129">
        <f>IF(B$15=0,0,G3/B$15)</f>
        <v>0.5714285714285714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-443.75</v>
      </c>
      <c r="P3" s="115">
        <v>16</v>
      </c>
      <c r="Q3" s="99">
        <v>-7100</v>
      </c>
    </row>
    <row r="4" spans="1:17" x14ac:dyDescent="0.45">
      <c r="A4" s="51" t="s">
        <v>6</v>
      </c>
      <c r="B4" s="158">
        <v>-13.600000000000001</v>
      </c>
      <c r="C4" s="159"/>
      <c r="E4" s="59" t="s">
        <v>72</v>
      </c>
      <c r="F4" s="56" t="s">
        <v>27</v>
      </c>
      <c r="G4" s="44">
        <v>21</v>
      </c>
      <c r="H4" s="129">
        <f>IF(B$15=0,0,G4/B$15)</f>
        <v>0.42857142857142855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-2462.5</v>
      </c>
      <c r="P4" s="115">
        <v>16</v>
      </c>
      <c r="Q4" s="99">
        <v>-39400</v>
      </c>
    </row>
    <row r="5" spans="1:17" x14ac:dyDescent="0.45">
      <c r="A5" s="51" t="s">
        <v>7</v>
      </c>
      <c r="B5" s="160">
        <f>IF(B$2=0,0,B$4/B$2)</f>
        <v>-0.85000000000000009</v>
      </c>
      <c r="C5" s="161"/>
      <c r="E5" s="59" t="s">
        <v>67</v>
      </c>
      <c r="F5" s="56" t="s">
        <v>23</v>
      </c>
      <c r="G5" s="44">
        <v>20</v>
      </c>
      <c r="H5" s="129">
        <f>IF(B$15=0,0,G5/B$15)</f>
        <v>0.40816326530612246</v>
      </c>
      <c r="I5" s="90">
        <v>4</v>
      </c>
      <c r="K5" s="36">
        <v>3</v>
      </c>
      <c r="L5" s="95">
        <v>20.399999999999999</v>
      </c>
      <c r="N5" s="111" t="s">
        <v>133</v>
      </c>
      <c r="O5" s="118">
        <f t="shared" si="0"/>
        <v>692.85714285714289</v>
      </c>
      <c r="P5" s="115">
        <v>14</v>
      </c>
      <c r="Q5" s="99">
        <v>9700</v>
      </c>
    </row>
    <row r="6" spans="1:17" x14ac:dyDescent="0.45">
      <c r="A6" s="51" t="s">
        <v>1</v>
      </c>
      <c r="B6" s="150">
        <f>IF(B$2=0,0,(B$7*1+B$8*2+B$9*3)/B$2)</f>
        <v>1.9375</v>
      </c>
      <c r="C6" s="151"/>
      <c r="E6" s="59" t="s">
        <v>68</v>
      </c>
      <c r="F6" s="56" t="s">
        <v>12</v>
      </c>
      <c r="G6" s="44">
        <v>18</v>
      </c>
      <c r="H6" s="129">
        <f>IF(B$15=0,0,G6/B$15)</f>
        <v>0.36734693877551022</v>
      </c>
      <c r="I6" s="90">
        <v>3</v>
      </c>
      <c r="K6" s="36">
        <v>4</v>
      </c>
      <c r="L6" s="95">
        <v>53.1</v>
      </c>
      <c r="N6" s="111" t="s">
        <v>134</v>
      </c>
      <c r="O6" s="118">
        <f t="shared" si="0"/>
        <v>-841.66666666666663</v>
      </c>
      <c r="P6" s="115">
        <v>12</v>
      </c>
      <c r="Q6" s="99">
        <v>-10100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0.375</v>
      </c>
      <c r="E7" s="59" t="s">
        <v>166</v>
      </c>
      <c r="F7" s="56" t="s">
        <v>167</v>
      </c>
      <c r="G7" s="44">
        <v>14</v>
      </c>
      <c r="H7" s="129">
        <f>IF(B$15=0,0,G7/B$15)</f>
        <v>0.2857142857142857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5020</v>
      </c>
      <c r="P7" s="116">
        <v>10</v>
      </c>
      <c r="Q7" s="100">
        <v>50200</v>
      </c>
    </row>
    <row r="8" spans="1:17" x14ac:dyDescent="0.45">
      <c r="A8" s="51" t="s">
        <v>3</v>
      </c>
      <c r="B8" s="44">
        <v>5</v>
      </c>
      <c r="C8" s="37">
        <f t="shared" si="1"/>
        <v>0.3125</v>
      </c>
      <c r="E8" s="59" t="s">
        <v>65</v>
      </c>
      <c r="F8" s="56" t="s">
        <v>21</v>
      </c>
      <c r="G8" s="44">
        <v>8</v>
      </c>
      <c r="H8" s="129">
        <f>IF(B$15=0,0,G8/B$15)</f>
        <v>0.16326530612244897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0.3125</v>
      </c>
      <c r="E9" s="59" t="s">
        <v>69</v>
      </c>
      <c r="F9" s="56" t="s">
        <v>24</v>
      </c>
      <c r="G9" s="44">
        <v>5</v>
      </c>
      <c r="H9" s="129">
        <f>IF(B$15=0,0,G9/B$15)</f>
        <v>0.10204081632653061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0.1875</v>
      </c>
      <c r="E10" s="59" t="s">
        <v>70</v>
      </c>
      <c r="F10" s="56" t="s">
        <v>25</v>
      </c>
      <c r="G10" s="44">
        <v>5</v>
      </c>
      <c r="H10" s="129">
        <f>IF(B$15=0,0,G10/B$15)</f>
        <v>0.10204081632653061</v>
      </c>
      <c r="I10" s="90">
        <v>7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47</v>
      </c>
      <c r="C11" s="42">
        <f>IF(B$3=0,0,B11/B$3)</f>
        <v>0.34306569343065696</v>
      </c>
      <c r="E11" s="59" t="s">
        <v>89</v>
      </c>
      <c r="F11" s="56" t="s">
        <v>44</v>
      </c>
      <c r="G11" s="44">
        <v>3</v>
      </c>
      <c r="H11" s="129">
        <f>IF(B$15=0,0,G11/B$15)</f>
        <v>6.1224489795918366E-2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0.25714285714285773</v>
      </c>
      <c r="P11" s="115">
        <v>7</v>
      </c>
      <c r="Q11" s="103">
        <v>1.8000000000000043</v>
      </c>
    </row>
    <row r="12" spans="1:17" x14ac:dyDescent="0.45">
      <c r="A12" s="51" t="s">
        <v>118</v>
      </c>
      <c r="B12" s="44">
        <v>16</v>
      </c>
      <c r="C12" s="37">
        <f>IF(B$3=0,0,B12/B$3)</f>
        <v>0.11678832116788321</v>
      </c>
      <c r="E12" s="59" t="s">
        <v>75</v>
      </c>
      <c r="F12" s="56" t="s">
        <v>30</v>
      </c>
      <c r="G12" s="44">
        <v>2</v>
      </c>
      <c r="H12" s="129">
        <f>IF(B$15=0,0,G12/B$15)</f>
        <v>4.0816326530612242E-2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13.299999999999999</v>
      </c>
      <c r="P12" s="116">
        <v>4</v>
      </c>
      <c r="Q12" s="104">
        <v>53.199999999999996</v>
      </c>
    </row>
    <row r="13" spans="1:17" x14ac:dyDescent="0.45">
      <c r="A13" s="50" t="s">
        <v>123</v>
      </c>
      <c r="B13" s="43">
        <f>B19</f>
        <v>28</v>
      </c>
      <c r="C13" s="35">
        <f>IF(B$11=0,0,B13/B$11)</f>
        <v>0.5957446808510638</v>
      </c>
      <c r="E13" s="59" t="s">
        <v>79</v>
      </c>
      <c r="F13" s="56" t="s">
        <v>34</v>
      </c>
      <c r="G13" s="44">
        <v>2</v>
      </c>
      <c r="H13" s="129">
        <f>IF(B$15=0,0,G13/B$15)</f>
        <v>4.0816326530612242E-2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0.75</v>
      </c>
      <c r="E14" s="59" t="s">
        <v>83</v>
      </c>
      <c r="F14" s="56" t="s">
        <v>38</v>
      </c>
      <c r="G14" s="44">
        <v>2</v>
      </c>
      <c r="H14" s="129">
        <f>IF(B$15=0,0,G14/B$15)</f>
        <v>4.0816326530612242E-2</v>
      </c>
      <c r="I14" s="90">
        <v>9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49</v>
      </c>
      <c r="C15" s="35">
        <f>IF(B$3=0,0,B15/B$3)</f>
        <v>0.35766423357664234</v>
      </c>
      <c r="E15" s="59" t="s">
        <v>85</v>
      </c>
      <c r="F15" s="56" t="s">
        <v>40</v>
      </c>
      <c r="G15" s="44">
        <v>2</v>
      </c>
      <c r="H15" s="129">
        <f>IF(B$15=0,0,G15/B$15)</f>
        <v>4.0816326530612242E-2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22</v>
      </c>
      <c r="C16" s="37">
        <f>IF(B$3=0,0,B16/B$3)</f>
        <v>0.16058394160583941</v>
      </c>
      <c r="E16" s="59" t="s">
        <v>71</v>
      </c>
      <c r="F16" s="56" t="s">
        <v>26</v>
      </c>
      <c r="G16" s="44">
        <v>1</v>
      </c>
      <c r="H16" s="129">
        <f>IF(B$15=0,0,G16/B$15)</f>
        <v>2.0408163265306121E-2</v>
      </c>
      <c r="I16" s="90">
        <v>13</v>
      </c>
      <c r="K16" s="36">
        <v>14</v>
      </c>
      <c r="L16" s="95">
        <v>-55.5</v>
      </c>
      <c r="N16" s="111" t="s">
        <v>171</v>
      </c>
      <c r="O16" s="121">
        <f>IF(P16=0,0,Q16/P16)</f>
        <v>32.325000000000003</v>
      </c>
      <c r="P16" s="115">
        <v>4</v>
      </c>
      <c r="Q16" s="103">
        <v>129.30000000000001</v>
      </c>
    </row>
    <row r="17" spans="1:17" x14ac:dyDescent="0.45">
      <c r="A17" s="51" t="s">
        <v>12</v>
      </c>
      <c r="B17" s="44">
        <v>24</v>
      </c>
      <c r="C17" s="37">
        <f>IF(B$15=0,0,B17/B$15)</f>
        <v>0.48979591836734693</v>
      </c>
      <c r="E17" s="59" t="s">
        <v>86</v>
      </c>
      <c r="F17" s="56" t="s">
        <v>41</v>
      </c>
      <c r="G17" s="44">
        <v>1</v>
      </c>
      <c r="H17" s="129">
        <f>IF(B$15=0,0,G17/B$15)</f>
        <v>2.0408163265306121E-2</v>
      </c>
      <c r="I17" s="90">
        <v>11</v>
      </c>
      <c r="K17" s="36">
        <v>15</v>
      </c>
      <c r="L17" s="95">
        <v>-25.1</v>
      </c>
      <c r="N17" s="111" t="s">
        <v>172</v>
      </c>
      <c r="O17" s="121">
        <f>IF(P17=0,0,Q17/P17)</f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25</v>
      </c>
      <c r="C18" s="37">
        <f>IF(B$15=0,0,B18/B$15)</f>
        <v>0.51020408163265307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K18" s="36">
        <v>16</v>
      </c>
      <c r="L18" s="95">
        <v>-13.600000000000001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28</v>
      </c>
      <c r="C19" s="37">
        <f>IF(B$15=0,0,B19/B$15)</f>
        <v>0.5714285714285714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170</v>
      </c>
      <c r="O19" s="121">
        <f>IF(P19=0,0,Q19/P19)</f>
        <v>2.910000000000001</v>
      </c>
      <c r="P19" s="115">
        <v>10</v>
      </c>
      <c r="Q19" s="103">
        <v>29.100000000000009</v>
      </c>
    </row>
    <row r="20" spans="1:17" x14ac:dyDescent="0.45">
      <c r="A20" s="51" t="s">
        <v>193</v>
      </c>
      <c r="B20" s="44">
        <v>12</v>
      </c>
      <c r="C20" s="37">
        <f>IF(B$15=0,0,B20/B$15)</f>
        <v>0.24489795918367346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>IF(P20=0,0,Q20/P20)</f>
        <v>2.8600000000000012</v>
      </c>
      <c r="P20" s="115">
        <v>5</v>
      </c>
      <c r="Q20" s="103">
        <v>14.300000000000006</v>
      </c>
    </row>
    <row r="21" spans="1:17" x14ac:dyDescent="0.45">
      <c r="A21" s="51" t="s">
        <v>194</v>
      </c>
      <c r="B21" s="44">
        <v>9</v>
      </c>
      <c r="C21" s="37">
        <f>IF(B$15=0,0,B21/B$15)</f>
        <v>0.18367346938775511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-47.224999999999994</v>
      </c>
      <c r="P21" s="115">
        <v>4</v>
      </c>
      <c r="Q21" s="103">
        <v>-188.89999999999998</v>
      </c>
    </row>
    <row r="22" spans="1:17" x14ac:dyDescent="0.45">
      <c r="A22" s="51" t="s">
        <v>5</v>
      </c>
      <c r="B22" s="48">
        <f>IF(B$15=0,0,C22/B$15)</f>
        <v>6679.591836734694</v>
      </c>
      <c r="C22" s="39">
        <v>327300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7251.3513513513517</v>
      </c>
      <c r="C23" s="137">
        <v>268300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4916.666666666667</v>
      </c>
      <c r="C24" s="137">
        <v>59000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-8368.181818181818</v>
      </c>
      <c r="C25" s="137">
        <v>-184100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6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5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7.2992700729927005E-3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0.10204081632653061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14</v>
      </c>
      <c r="C33" s="37">
        <f t="shared" ref="C33:C44" si="2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7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2"/>
        <v>0.18367346938775511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0.16326530612244897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4.0816326530612242E-2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2"/>
        <v>6.1224489795918366E-2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2.0408163265306121E-2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6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-71.199999999999989</v>
      </c>
      <c r="C158" s="62">
        <v>-0.45935483870967736</v>
      </c>
      <c r="D158" s="67">
        <v>2.0387096774193547</v>
      </c>
      <c r="E158" s="63">
        <v>0.25806451612903225</v>
      </c>
      <c r="F158" s="63">
        <v>0.29677419354838708</v>
      </c>
      <c r="G158" s="63">
        <v>0.27817745803357313</v>
      </c>
      <c r="H158" s="63">
        <v>0.13828936850519585</v>
      </c>
      <c r="I158" s="64">
        <v>8463.7931034482754</v>
      </c>
      <c r="J158" s="64">
        <v>-7154.3352601156066</v>
      </c>
      <c r="K158" s="63">
        <v>7.7419354838709681E-2</v>
      </c>
      <c r="L158" s="63">
        <v>0.25659472422062352</v>
      </c>
      <c r="M158" s="63">
        <v>0.22861710631494805</v>
      </c>
      <c r="N158" s="63">
        <v>0.55140186915887845</v>
      </c>
      <c r="O158" s="63">
        <v>0.41958041958041958</v>
      </c>
      <c r="P158" s="63">
        <v>0.45977011494252873</v>
      </c>
    </row>
    <row r="159" spans="1:16" x14ac:dyDescent="0.45">
      <c r="A159" s="65">
        <v>156</v>
      </c>
      <c r="B159" s="62">
        <v>-116.69999999999999</v>
      </c>
      <c r="C159" s="62">
        <v>-0.74807692307692297</v>
      </c>
      <c r="D159" s="67">
        <v>2.0448717948717947</v>
      </c>
      <c r="E159" s="63">
        <v>0.25641025641025639</v>
      </c>
      <c r="F159" s="63">
        <v>0.30128205128205127</v>
      </c>
      <c r="G159" s="63">
        <v>0.27662957074721778</v>
      </c>
      <c r="H159" s="63">
        <v>0.13990461049284578</v>
      </c>
      <c r="I159" s="64">
        <v>8463.7931034482754</v>
      </c>
      <c r="J159" s="64">
        <v>-7214.204545454545</v>
      </c>
      <c r="K159" s="63">
        <v>8.3333333333333329E-2</v>
      </c>
      <c r="L159" s="63">
        <v>0.2559618441971383</v>
      </c>
      <c r="M159" s="63">
        <v>0.22813990461049286</v>
      </c>
      <c r="N159" s="63">
        <v>0.5496894409937888</v>
      </c>
      <c r="O159" s="63">
        <v>0.41811846689895471</v>
      </c>
      <c r="P159" s="63">
        <v>0.45977011494252873</v>
      </c>
    </row>
    <row r="160" spans="1:16" x14ac:dyDescent="0.45">
      <c r="A160" s="65">
        <v>157</v>
      </c>
      <c r="B160" s="62">
        <v>-82.1</v>
      </c>
      <c r="C160" s="62">
        <v>-0.52292993630573248</v>
      </c>
      <c r="D160" s="67">
        <v>2.0382165605095541</v>
      </c>
      <c r="E160" s="63">
        <v>0.26114649681528662</v>
      </c>
      <c r="F160" s="63">
        <v>0.29936305732484075</v>
      </c>
      <c r="G160" s="63">
        <v>0.27733755942947702</v>
      </c>
      <c r="H160" s="63">
        <v>0.14025356576862125</v>
      </c>
      <c r="I160" s="64">
        <v>8511.1428571428569</v>
      </c>
      <c r="J160" s="64">
        <v>-7195.4802259887001</v>
      </c>
      <c r="K160" s="63">
        <v>8.2802547770700632E-2</v>
      </c>
      <c r="L160" s="63">
        <v>0.25594294770206022</v>
      </c>
      <c r="M160" s="63">
        <v>0.22741679873217116</v>
      </c>
      <c r="N160" s="63">
        <v>0.54798761609907121</v>
      </c>
      <c r="O160" s="63">
        <v>0.41811846689895471</v>
      </c>
      <c r="P160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7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-41.100000000000207</v>
      </c>
      <c r="C178" s="62">
        <v>-0.23485714285714404</v>
      </c>
      <c r="D178" s="67">
        <v>1.9771428571428571</v>
      </c>
      <c r="E178" s="63">
        <v>0.34285714285714286</v>
      </c>
      <c r="F178" s="63">
        <v>0.32</v>
      </c>
      <c r="G178" s="63">
        <v>0.31353591160220995</v>
      </c>
      <c r="H178" s="63">
        <v>0.17679558011049723</v>
      </c>
      <c r="I178" s="64">
        <v>7900.4405286343608</v>
      </c>
      <c r="J178" s="64">
        <v>-7970.3125</v>
      </c>
      <c r="K178" s="63">
        <v>0.10285714285714286</v>
      </c>
      <c r="L178" s="63">
        <v>0.23273480662983426</v>
      </c>
      <c r="M178" s="63">
        <v>0.29903314917127072</v>
      </c>
      <c r="N178" s="63">
        <v>0.51335311572700293</v>
      </c>
      <c r="O178" s="63">
        <v>0.39030023094688221</v>
      </c>
      <c r="P178" s="63">
        <v>0.41629955947136565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20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1804.7999999999997</v>
      </c>
      <c r="C202" s="62">
        <v>9.0693467336683398</v>
      </c>
      <c r="D202" s="67">
        <v>1.7688442211055277</v>
      </c>
      <c r="E202" s="63">
        <v>0.47236180904522612</v>
      </c>
      <c r="F202" s="63">
        <v>0.24120603015075376</v>
      </c>
      <c r="G202" s="63">
        <v>0.34149326805385555</v>
      </c>
      <c r="H202" s="63">
        <v>0.12484700122399021</v>
      </c>
      <c r="I202" s="64">
        <v>8277.7777777777774</v>
      </c>
      <c r="J202" s="64">
        <v>-7767.6470588235297</v>
      </c>
      <c r="K202" s="63">
        <v>4.5226130653266333E-2</v>
      </c>
      <c r="L202" s="63">
        <v>0.26254589963280295</v>
      </c>
      <c r="M202" s="63">
        <v>0.2350061199510404</v>
      </c>
      <c r="N202" s="63">
        <v>0.58508158508158503</v>
      </c>
      <c r="O202" s="63">
        <v>0.484375</v>
      </c>
      <c r="P202" s="63">
        <v>0.42473118279569894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3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1.9969604863221884</v>
      </c>
      <c r="E332" s="63">
        <v>0.3353596757852077</v>
      </c>
      <c r="F332" s="63">
        <v>0.33232016210739618</v>
      </c>
      <c r="G332" s="63">
        <v>0.29411050394656951</v>
      </c>
      <c r="H332" s="63">
        <v>0.15992714025500912</v>
      </c>
      <c r="I332" s="64">
        <v>8422.8323699421962</v>
      </c>
      <c r="J332" s="64">
        <v>-7833.9407744874716</v>
      </c>
      <c r="K332" s="63">
        <v>9.4224924012158054E-2</v>
      </c>
      <c r="L332" s="63">
        <v>0.24990892531876138</v>
      </c>
      <c r="M332" s="63">
        <v>0.2315725561627201</v>
      </c>
      <c r="N332" s="63">
        <v>0.5485908649173955</v>
      </c>
      <c r="O332" s="63">
        <v>0.41898269533298377</v>
      </c>
      <c r="P332" s="63">
        <v>0.45127993393889348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1.9969696969696971</v>
      </c>
      <c r="E333" s="63">
        <v>0.33535353535353535</v>
      </c>
      <c r="F333" s="63">
        <v>0.3323232323232323</v>
      </c>
      <c r="G333" s="63">
        <v>0.29408914728682173</v>
      </c>
      <c r="H333" s="63">
        <v>0.16024709302325582</v>
      </c>
      <c r="I333" s="64">
        <v>8426.6886326194399</v>
      </c>
      <c r="J333" s="64">
        <v>-7843.6885865457298</v>
      </c>
      <c r="K333" s="63">
        <v>9.494949494949495E-2</v>
      </c>
      <c r="L333" s="63">
        <v>0.2502422480620155</v>
      </c>
      <c r="M333" s="63">
        <v>0.23146802325581395</v>
      </c>
      <c r="N333" s="63">
        <v>0.54791868344627304</v>
      </c>
      <c r="O333" s="63">
        <v>0.41967556253270538</v>
      </c>
      <c r="P333" s="63">
        <v>0.45016474464579903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1.9969788519637461</v>
      </c>
      <c r="E334" s="63">
        <v>0.33534743202416917</v>
      </c>
      <c r="F334" s="63">
        <v>0.33232628398791542</v>
      </c>
      <c r="G334" s="63">
        <v>0.29414610546686021</v>
      </c>
      <c r="H334" s="63">
        <v>0.16025641025641027</v>
      </c>
      <c r="I334" s="64">
        <v>8431.4967105263149</v>
      </c>
      <c r="J334" s="64">
        <v>-7858.9433962264147</v>
      </c>
      <c r="K334" s="63">
        <v>9.5669687814702919E-2</v>
      </c>
      <c r="L334" s="63">
        <v>0.25024189646831158</v>
      </c>
      <c r="M334" s="63">
        <v>0.23113207547169812</v>
      </c>
      <c r="N334" s="63">
        <v>0.54809086515224748</v>
      </c>
      <c r="O334" s="63">
        <v>0.41967556253270538</v>
      </c>
      <c r="P334" s="63">
        <v>0.45024671052631576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2020-01-29T01:05:20Z</dcterms:modified>
</cp:coreProperties>
</file>