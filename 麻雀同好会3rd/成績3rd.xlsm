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2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3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5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7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0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3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8BC4529-E876-416C-8355-2C58D539898D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935" r:id="rId6"/>
    <sheet name="たかの" sheetId="5937" r:id="rId7"/>
    <sheet name="れんたろう" sheetId="5939" r:id="rId8"/>
    <sheet name="だいち" sheetId="5941" r:id="rId9"/>
    <sheet name="ただ" sheetId="5943" r:id="rId10"/>
    <sheet name="まっつん" sheetId="5945" r:id="rId11"/>
    <sheet name="りくと" sheetId="5947" r:id="rId12"/>
    <sheet name="りくと2" sheetId="5948" state="hidden" r:id="rId13"/>
    <sheet name="まっつん2" sheetId="5946" state="hidden" r:id="rId14"/>
    <sheet name="ただ2" sheetId="5944" state="hidden" r:id="rId15"/>
    <sheet name="だいち2" sheetId="5942" state="hidden" r:id="rId16"/>
    <sheet name="れんたろう2" sheetId="5940" state="hidden" r:id="rId17"/>
    <sheet name="たかの2" sheetId="5938" state="hidden" r:id="rId18"/>
    <sheet name="全体2" sheetId="5936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8">だいち!$B$15</definedName>
    <definedName name="アガリ数" localSheetId="6">たかの!$B$15</definedName>
    <definedName name="アガリ数" localSheetId="9">ただ!$B$15</definedName>
    <definedName name="アガリ数" localSheetId="10">まっつん!$B$15</definedName>
    <definedName name="アガリ数" localSheetId="11">りくと!$B$15</definedName>
    <definedName name="アガリ数" localSheetId="7">れんたろう!$B$15</definedName>
    <definedName name="アガリ数" localSheetId="5">全体!$B$15</definedName>
    <definedName name="アガリ数">Template1!$B$15</definedName>
    <definedName name="アガリ率" localSheetId="8">だいち!$C$15</definedName>
    <definedName name="アガリ率" localSheetId="6">たかの!$C$15</definedName>
    <definedName name="アガリ率" localSheetId="9">ただ!$C$15</definedName>
    <definedName name="アガリ率" localSheetId="10">まっつん!$C$15</definedName>
    <definedName name="アガリ率" localSheetId="11">りくと!$C$15</definedName>
    <definedName name="アガリ率" localSheetId="7">れんたろう!$C$15</definedName>
    <definedName name="アガリ率" localSheetId="5">全体!$C$15</definedName>
    <definedName name="アガリ率">Template1!$C$15</definedName>
    <definedName name="ダマアガリ数" localSheetId="8">だいち!$B$21</definedName>
    <definedName name="ダマアガリ数" localSheetId="6">たかの!$B$21</definedName>
    <definedName name="ダマアガリ数" localSheetId="9">ただ!$B$21</definedName>
    <definedName name="ダマアガリ数" localSheetId="10">まっつん!$B$21</definedName>
    <definedName name="ダマアガリ数" localSheetId="11">りくと!$B$21</definedName>
    <definedName name="ダマアガリ数" localSheetId="7">れんたろう!$B$21</definedName>
    <definedName name="ダマアガリ数" localSheetId="5">全体!$B$21</definedName>
    <definedName name="ダマアガリ数">Template1!$B$21</definedName>
    <definedName name="ダマアガリ点" localSheetId="8">だいち!#REF!</definedName>
    <definedName name="ダマアガリ点" localSheetId="15">Template1!#REF!</definedName>
    <definedName name="ダマアガリ点" localSheetId="6">たかの!#REF!</definedName>
    <definedName name="ダマアガリ点" localSheetId="17">Template1!#REF!</definedName>
    <definedName name="ダマアガリ点" localSheetId="9">ただ!#REF!</definedName>
    <definedName name="ダマアガリ点" localSheetId="14">Template1!#REF!</definedName>
    <definedName name="ダマアガリ点" localSheetId="10">まっつん!#REF!</definedName>
    <definedName name="ダマアガリ点" localSheetId="13">Template1!#REF!</definedName>
    <definedName name="ダマアガリ点" localSheetId="11">りくと!#REF!</definedName>
    <definedName name="ダマアガリ点" localSheetId="12">Template1!#REF!</definedName>
    <definedName name="ダマアガリ点" localSheetId="7">れんたろう!#REF!</definedName>
    <definedName name="ダマアガリ点" localSheetId="16">Template1!#REF!</definedName>
    <definedName name="ダマアガリ点" localSheetId="5">全体!#REF!</definedName>
    <definedName name="ダマアガリ点" localSheetId="18">Template1!#REF!</definedName>
    <definedName name="ダマアガリ点">Template1!#REF!</definedName>
    <definedName name="ダマアガリ率" localSheetId="8">だいち!$C$21</definedName>
    <definedName name="ダマアガリ率" localSheetId="6">たかの!$C$21</definedName>
    <definedName name="ダマアガリ率" localSheetId="9">ただ!$C$21</definedName>
    <definedName name="ダマアガリ率" localSheetId="10">まっつん!$C$21</definedName>
    <definedName name="ダマアガリ率" localSheetId="11">りくと!$C$21</definedName>
    <definedName name="ダマアガリ率" localSheetId="7">れんたろう!$C$21</definedName>
    <definedName name="ダマアガリ率" localSheetId="5">全体!$C$21</definedName>
    <definedName name="ダマアガリ率">Template1!$C$21</definedName>
    <definedName name="チョンボ数" localSheetId="8">だいち!$B$30</definedName>
    <definedName name="チョンボ数" localSheetId="6">たかの!$B$30</definedName>
    <definedName name="チョンボ数" localSheetId="9">ただ!$B$30</definedName>
    <definedName name="チョンボ数" localSheetId="10">まっつん!$B$30</definedName>
    <definedName name="チョンボ数" localSheetId="11">りくと!$B$30</definedName>
    <definedName name="チョンボ数" localSheetId="7">れんたろう!$B$30</definedName>
    <definedName name="チョンボ数" localSheetId="5">全体!$B$30</definedName>
    <definedName name="チョンボ数">Template1!$B$30</definedName>
    <definedName name="チョンボ率" localSheetId="8">だいち!$C$30</definedName>
    <definedName name="チョンボ率" localSheetId="6">たかの!$C$30</definedName>
    <definedName name="チョンボ率" localSheetId="9">ただ!$C$30</definedName>
    <definedName name="チョンボ率" localSheetId="10">まっつん!$C$30</definedName>
    <definedName name="チョンボ率" localSheetId="11">りくと!$C$30</definedName>
    <definedName name="チョンボ率" localSheetId="7">れんたろう!$C$30</definedName>
    <definedName name="チョンボ率" localSheetId="5">全体!$C$30</definedName>
    <definedName name="チョンボ率">Template1!$C$30</definedName>
    <definedName name="ツモ数" localSheetId="8">だいち!$B$17</definedName>
    <definedName name="ツモ数" localSheetId="6">たかの!$B$17</definedName>
    <definedName name="ツモ数" localSheetId="9">ただ!$B$17</definedName>
    <definedName name="ツモ数" localSheetId="10">まっつん!$B$17</definedName>
    <definedName name="ツモ数" localSheetId="11">りくと!$B$17</definedName>
    <definedName name="ツモ数" localSheetId="7">れんたろう!$B$17</definedName>
    <definedName name="ツモ数" localSheetId="5">全体!$B$17</definedName>
    <definedName name="ツモ数">Template1!$B$17</definedName>
    <definedName name="ツモ率" localSheetId="8">だいち!$C$17</definedName>
    <definedName name="ツモ率" localSheetId="6">たかの!$C$17</definedName>
    <definedName name="ツモ率" localSheetId="9">ただ!$C$17</definedName>
    <definedName name="ツモ率" localSheetId="10">まっつん!$C$17</definedName>
    <definedName name="ツモ率" localSheetId="11">りくと!$C$17</definedName>
    <definedName name="ツモ率" localSheetId="7">れんたろう!$C$17</definedName>
    <definedName name="ツモ率" localSheetId="5">全体!$C$17</definedName>
    <definedName name="ツモ率">Template1!$C$17</definedName>
    <definedName name="トップ数" localSheetId="8">だいち!$B$7</definedName>
    <definedName name="トップ数" localSheetId="6">たかの!$B$7</definedName>
    <definedName name="トップ数" localSheetId="9">ただ!$B$7</definedName>
    <definedName name="トップ数" localSheetId="10">まっつん!$B$7</definedName>
    <definedName name="トップ数" localSheetId="11">りくと!$B$7</definedName>
    <definedName name="トップ数" localSheetId="7">れんたろう!$B$7</definedName>
    <definedName name="トップ数" localSheetId="5">全体!$B$7</definedName>
    <definedName name="トップ数">Template1!$B$7</definedName>
    <definedName name="トップ率" localSheetId="8">だいち!$C$7</definedName>
    <definedName name="トップ率" localSheetId="6">たかの!$C$7</definedName>
    <definedName name="トップ率" localSheetId="9">ただ!$C$7</definedName>
    <definedName name="トップ率" localSheetId="10">まっつん!$C$7</definedName>
    <definedName name="トップ率" localSheetId="11">りくと!$C$7</definedName>
    <definedName name="トップ率" localSheetId="7">れんたろう!$C$7</definedName>
    <definedName name="トップ率" localSheetId="5">全体!$C$7</definedName>
    <definedName name="トップ率">Template1!$C$7</definedName>
    <definedName name="ふっとばし数" localSheetId="8">だいち!#REF!</definedName>
    <definedName name="ふっとばし数" localSheetId="15">Template1!#REF!</definedName>
    <definedName name="ふっとばし数" localSheetId="6">たかの!#REF!</definedName>
    <definedName name="ふっとばし数" localSheetId="17">Template1!#REF!</definedName>
    <definedName name="ふっとばし数" localSheetId="9">ただ!#REF!</definedName>
    <definedName name="ふっとばし数" localSheetId="14">Template1!#REF!</definedName>
    <definedName name="ふっとばし数" localSheetId="10">まっつん!#REF!</definedName>
    <definedName name="ふっとばし数" localSheetId="13">Template1!#REF!</definedName>
    <definedName name="ふっとばし数" localSheetId="11">りくと!#REF!</definedName>
    <definedName name="ふっとばし数" localSheetId="12">Template1!#REF!</definedName>
    <definedName name="ふっとばし数" localSheetId="7">れんたろう!#REF!</definedName>
    <definedName name="ふっとばし数" localSheetId="16">Template1!#REF!</definedName>
    <definedName name="ふっとばし数" localSheetId="5">全体!#REF!</definedName>
    <definedName name="ふっとばし数" localSheetId="18">Template1!#REF!</definedName>
    <definedName name="ふっとばし数">Template1!#REF!</definedName>
    <definedName name="ふっとばし率" localSheetId="8">だいち!#REF!</definedName>
    <definedName name="ふっとばし率" localSheetId="15">Template1!#REF!</definedName>
    <definedName name="ふっとばし率" localSheetId="6">たかの!#REF!</definedName>
    <definedName name="ふっとばし率" localSheetId="17">Template1!#REF!</definedName>
    <definedName name="ふっとばし率" localSheetId="9">ただ!#REF!</definedName>
    <definedName name="ふっとばし率" localSheetId="14">Template1!#REF!</definedName>
    <definedName name="ふっとばし率" localSheetId="10">まっつん!#REF!</definedName>
    <definedName name="ふっとばし率" localSheetId="13">Template1!#REF!</definedName>
    <definedName name="ふっとばし率" localSheetId="11">りくと!#REF!</definedName>
    <definedName name="ふっとばし率" localSheetId="12">Template1!#REF!</definedName>
    <definedName name="ふっとばし率" localSheetId="7">れんたろう!#REF!</definedName>
    <definedName name="ふっとばし率" localSheetId="16">Template1!#REF!</definedName>
    <definedName name="ふっとばし率" localSheetId="5">全体!#REF!</definedName>
    <definedName name="ふっとばし率" localSheetId="18">Template1!#REF!</definedName>
    <definedName name="ふっとばし率">Template1!#REF!</definedName>
    <definedName name="ふっとび数" localSheetId="8">だいち!$B$10</definedName>
    <definedName name="ふっとび数" localSheetId="6">たかの!$B$10</definedName>
    <definedName name="ふっとび数" localSheetId="9">ただ!$B$10</definedName>
    <definedName name="ふっとび数" localSheetId="10">まっつん!$B$10</definedName>
    <definedName name="ふっとび数" localSheetId="11">りくと!$B$10</definedName>
    <definedName name="ふっとび数" localSheetId="7">れんたろう!$B$10</definedName>
    <definedName name="ふっとび数" localSheetId="5">全体!$B$10</definedName>
    <definedName name="ふっとび数">Template1!$B$10</definedName>
    <definedName name="ふっとび率" localSheetId="8">だいち!$C$10</definedName>
    <definedName name="ふっとび率" localSheetId="6">たかの!$C$10</definedName>
    <definedName name="ふっとび率" localSheetId="9">ただ!$C$10</definedName>
    <definedName name="ふっとび率" localSheetId="10">まっつん!$C$10</definedName>
    <definedName name="ふっとび率" localSheetId="11">りくと!$C$10</definedName>
    <definedName name="ふっとび率" localSheetId="7">れんたろう!$C$10</definedName>
    <definedName name="ふっとび率" localSheetId="5">全体!$C$10</definedName>
    <definedName name="ふっとび率">Template1!$C$10</definedName>
    <definedName name="ラス数" localSheetId="8">だいち!$B$9</definedName>
    <definedName name="ラス数" localSheetId="6">たかの!$B$9</definedName>
    <definedName name="ラス数" localSheetId="9">ただ!$B$9</definedName>
    <definedName name="ラス数" localSheetId="10">まっつん!$B$9</definedName>
    <definedName name="ラス数" localSheetId="11">りくと!$B$9</definedName>
    <definedName name="ラス数" localSheetId="7">れんたろう!$B$9</definedName>
    <definedName name="ラス数" localSheetId="5">全体!$B$9</definedName>
    <definedName name="ラス数">Template1!$B$9</definedName>
    <definedName name="ラス率" localSheetId="8">だいち!$C$9</definedName>
    <definedName name="ラス率" localSheetId="6">たかの!$C$9</definedName>
    <definedName name="ラス率" localSheetId="9">ただ!$C$9</definedName>
    <definedName name="ラス率" localSheetId="10">まっつん!$C$9</definedName>
    <definedName name="ラス率" localSheetId="11">りくと!$C$9</definedName>
    <definedName name="ラス率" localSheetId="7">れんたろう!$C$9</definedName>
    <definedName name="ラス率" localSheetId="5">全体!$C$9</definedName>
    <definedName name="ラス率">Template1!$C$9</definedName>
    <definedName name="リーチアガリ数" localSheetId="8">だいち!$B$19</definedName>
    <definedName name="リーチアガリ数" localSheetId="6">たかの!$B$19</definedName>
    <definedName name="リーチアガリ数" localSheetId="9">ただ!$B$19</definedName>
    <definedName name="リーチアガリ数" localSheetId="10">まっつん!$B$19</definedName>
    <definedName name="リーチアガリ数" localSheetId="11">りくと!$B$19</definedName>
    <definedName name="リーチアガリ数" localSheetId="7">れんたろう!$B$19</definedName>
    <definedName name="リーチアガリ数" localSheetId="5">全体!$B$19</definedName>
    <definedName name="リーチアガリ数">Template1!$B$19</definedName>
    <definedName name="リーチアガリ率" localSheetId="8">だいち!$C$19</definedName>
    <definedName name="リーチアガリ率" localSheetId="6">たかの!$C$19</definedName>
    <definedName name="リーチアガリ率" localSheetId="9">ただ!$C$19</definedName>
    <definedName name="リーチアガリ率" localSheetId="10">まっつん!$C$19</definedName>
    <definedName name="リーチアガリ率" localSheetId="11">りくと!$C$19</definedName>
    <definedName name="リーチアガリ率" localSheetId="7">れんたろう!$C$19</definedName>
    <definedName name="リーチアガリ率" localSheetId="5">全体!$C$19</definedName>
    <definedName name="リーチアガリ率">Template1!$C$19</definedName>
    <definedName name="リーチ数" localSheetId="8">だいち!$B$11</definedName>
    <definedName name="リーチ数" localSheetId="6">たかの!$B$11</definedName>
    <definedName name="リーチ数" localSheetId="9">ただ!$B$11</definedName>
    <definedName name="リーチ数" localSheetId="10">まっつん!$B$11</definedName>
    <definedName name="リーチ数" localSheetId="11">りくと!$B$11</definedName>
    <definedName name="リーチ数" localSheetId="7">れんたろう!$B$11</definedName>
    <definedName name="リーチ数" localSheetId="5">全体!$B$11</definedName>
    <definedName name="リーチ数">Template1!$B$11</definedName>
    <definedName name="リーチ成功数" localSheetId="8">だいち!$B$13</definedName>
    <definedName name="リーチ成功数" localSheetId="6">たかの!$B$13</definedName>
    <definedName name="リーチ成功数" localSheetId="9">ただ!$B$13</definedName>
    <definedName name="リーチ成功数" localSheetId="10">まっつん!$B$13</definedName>
    <definedName name="リーチ成功数" localSheetId="11">りくと!$B$13</definedName>
    <definedName name="リーチ成功数" localSheetId="7">れんたろう!$B$13</definedName>
    <definedName name="リーチ成功数" localSheetId="5">全体!$B$13</definedName>
    <definedName name="リーチ成功数">Template1!$B$13</definedName>
    <definedName name="リーチ成功率" localSheetId="8">だいち!$C$13</definedName>
    <definedName name="リーチ成功率" localSheetId="6">たかの!$C$13</definedName>
    <definedName name="リーチ成功率" localSheetId="9">ただ!$C$13</definedName>
    <definedName name="リーチ成功率" localSheetId="10">まっつん!$C$13</definedName>
    <definedName name="リーチ成功率" localSheetId="11">りくと!$C$13</definedName>
    <definedName name="リーチ成功率" localSheetId="7">れんたろう!$C$13</definedName>
    <definedName name="リーチ成功率" localSheetId="5">全体!$C$13</definedName>
    <definedName name="リーチ成功率">Template1!$C$13</definedName>
    <definedName name="リーチ率" localSheetId="8">だいち!$C$11</definedName>
    <definedName name="リーチ率" localSheetId="6">たかの!$C$11</definedName>
    <definedName name="リーチ率" localSheetId="9">ただ!$C$11</definedName>
    <definedName name="リーチ率" localSheetId="10">まっつん!$C$11</definedName>
    <definedName name="リーチ率" localSheetId="11">りくと!$C$11</definedName>
    <definedName name="リーチ率" localSheetId="7">れんたろう!$C$11</definedName>
    <definedName name="リーチ率" localSheetId="5">全体!$C$11</definedName>
    <definedName name="リーチ率">Template1!$C$11</definedName>
    <definedName name="ロン数" localSheetId="8">だいち!$B$18</definedName>
    <definedName name="ロン数" localSheetId="6">たかの!$B$18</definedName>
    <definedName name="ロン数" localSheetId="9">ただ!$B$18</definedName>
    <definedName name="ロン数" localSheetId="10">まっつん!$B$18</definedName>
    <definedName name="ロン数" localSheetId="11">りくと!$B$18</definedName>
    <definedName name="ロン数" localSheetId="7">れんたろう!$B$18</definedName>
    <definedName name="ロン数" localSheetId="5">全体!$B$18</definedName>
    <definedName name="ロン数">Template1!$B$18</definedName>
    <definedName name="ロン率" localSheetId="8">だいち!$C$18</definedName>
    <definedName name="ロン率" localSheetId="6">たかの!$C$18</definedName>
    <definedName name="ロン率" localSheetId="9">ただ!$C$18</definedName>
    <definedName name="ロン率" localSheetId="10">まっつん!$C$18</definedName>
    <definedName name="ロン率" localSheetId="11">りくと!$C$18</definedName>
    <definedName name="ロン率" localSheetId="7">れんたろう!$C$18</definedName>
    <definedName name="ロン率" localSheetId="5">全体!$C$18</definedName>
    <definedName name="ロン率">Template1!$C$18</definedName>
    <definedName name="逆転数" localSheetId="8">だいち!#REF!</definedName>
    <definedName name="逆転数" localSheetId="15">Template1!#REF!</definedName>
    <definedName name="逆転数" localSheetId="6">たかの!#REF!</definedName>
    <definedName name="逆転数" localSheetId="17">Template1!#REF!</definedName>
    <definedName name="逆転数" localSheetId="9">ただ!#REF!</definedName>
    <definedName name="逆転数" localSheetId="14">Template1!#REF!</definedName>
    <definedName name="逆転数" localSheetId="10">まっつん!#REF!</definedName>
    <definedName name="逆転数" localSheetId="13">Template1!#REF!</definedName>
    <definedName name="逆転数" localSheetId="11">りくと!#REF!</definedName>
    <definedName name="逆転数" localSheetId="12">Template1!#REF!</definedName>
    <definedName name="逆転数" localSheetId="7">れんたろう!#REF!</definedName>
    <definedName name="逆転数" localSheetId="16">Template1!#REF!</definedName>
    <definedName name="逆転数" localSheetId="5">全体!#REF!</definedName>
    <definedName name="逆転数" localSheetId="18">Template1!#REF!</definedName>
    <definedName name="逆転数">Template1!#REF!</definedName>
    <definedName name="逆転率" localSheetId="8">だいち!#REF!</definedName>
    <definedName name="逆転率" localSheetId="15">Template1!#REF!</definedName>
    <definedName name="逆転率" localSheetId="6">たかの!#REF!</definedName>
    <definedName name="逆転率" localSheetId="17">Template1!#REF!</definedName>
    <definedName name="逆転率" localSheetId="9">ただ!#REF!</definedName>
    <definedName name="逆転率" localSheetId="14">Template1!#REF!</definedName>
    <definedName name="逆転率" localSheetId="10">まっつん!#REF!</definedName>
    <definedName name="逆転率" localSheetId="13">Template1!#REF!</definedName>
    <definedName name="逆転率" localSheetId="11">りくと!#REF!</definedName>
    <definedName name="逆転率" localSheetId="12">Template1!#REF!</definedName>
    <definedName name="逆転率" localSheetId="7">れんたろう!#REF!</definedName>
    <definedName name="逆転率" localSheetId="16">Template1!#REF!</definedName>
    <definedName name="逆転率" localSheetId="5">全体!#REF!</definedName>
    <definedName name="逆転率" localSheetId="18">Template1!#REF!</definedName>
    <definedName name="逆転率">Template1!#REF!</definedName>
    <definedName name="現行連続アガリ" localSheetId="8">だいち!$C$26</definedName>
    <definedName name="現行連続アガリ" localSheetId="6">たかの!$C$26</definedName>
    <definedName name="現行連続アガリ" localSheetId="9">ただ!$C$26</definedName>
    <definedName name="現行連続アガリ" localSheetId="10">まっつん!$C$26</definedName>
    <definedName name="現行連続アガリ" localSheetId="11">りくと!$C$26</definedName>
    <definedName name="現行連続アガリ" localSheetId="7">れんたろう!$C$26</definedName>
    <definedName name="現行連続アガリ" localSheetId="5">全体!$C$26</definedName>
    <definedName name="現行連続アガリ">Template1!$C$26</definedName>
    <definedName name="現行連続無放銃" localSheetId="8">だいち!$C$27</definedName>
    <definedName name="現行連続無放銃" localSheetId="6">たかの!$C$27</definedName>
    <definedName name="現行連続無放銃" localSheetId="9">ただ!$C$27</definedName>
    <definedName name="現行連続無放銃" localSheetId="10">まっつん!$C$27</definedName>
    <definedName name="現行連続無放銃" localSheetId="11">りくと!$C$27</definedName>
    <definedName name="現行連続無放銃" localSheetId="7">れんたろう!$C$27</definedName>
    <definedName name="現行連続無放銃" localSheetId="5">全体!$C$27</definedName>
    <definedName name="現行連続無放銃">Template1!$C$27</definedName>
    <definedName name="最高点" localSheetId="8">だいち!$B$29</definedName>
    <definedName name="最高点" localSheetId="6">たかの!$B$29</definedName>
    <definedName name="最高点" localSheetId="9">ただ!$B$29</definedName>
    <definedName name="最高点" localSheetId="10">まっつん!$B$29</definedName>
    <definedName name="最高点" localSheetId="11">りくと!$B$29</definedName>
    <definedName name="最高点" localSheetId="7">れんたろう!$B$29</definedName>
    <definedName name="最高点" localSheetId="5">全体!$B$29</definedName>
    <definedName name="最高点">Template1!$B$29</definedName>
    <definedName name="最大ドラ数" localSheetId="8">だいち!$B$28</definedName>
    <definedName name="最大ドラ数" localSheetId="6">たかの!$B$28</definedName>
    <definedName name="最大ドラ数" localSheetId="9">ただ!$B$28</definedName>
    <definedName name="最大ドラ数" localSheetId="10">まっつん!$B$28</definedName>
    <definedName name="最大ドラ数" localSheetId="11">りくと!$B$28</definedName>
    <definedName name="最大ドラ数" localSheetId="7">れんたろう!$B$28</definedName>
    <definedName name="最大ドラ数" localSheetId="5">全体!$B$28</definedName>
    <definedName name="最大ドラ数">Template1!$B$28</definedName>
    <definedName name="最大点数" localSheetId="8">だいち!$B$29</definedName>
    <definedName name="最大点数" localSheetId="6">たかの!$B$29</definedName>
    <definedName name="最大点数" localSheetId="9">ただ!$B$29</definedName>
    <definedName name="最大点数" localSheetId="10">まっつん!$B$29</definedName>
    <definedName name="最大点数" localSheetId="11">りくと!$B$29</definedName>
    <definedName name="最大点数" localSheetId="7">れんたろう!$B$29</definedName>
    <definedName name="最大点数" localSheetId="5">全体!$B$29</definedName>
    <definedName name="最大点数">Template1!$B$29</definedName>
    <definedName name="総局数" localSheetId="8">だいち!$B$3</definedName>
    <definedName name="総局数" localSheetId="6">たかの!$B$3</definedName>
    <definedName name="総局数" localSheetId="9">ただ!$B$3</definedName>
    <definedName name="総局数" localSheetId="10">まっつん!$B$3</definedName>
    <definedName name="総局数" localSheetId="11">りくと!$B$3</definedName>
    <definedName name="総局数" localSheetId="7">れんたろう!$B$3</definedName>
    <definedName name="総局数" localSheetId="5">全体!$B$3</definedName>
    <definedName name="総局数">Template1!$B$3</definedName>
    <definedName name="対戦数" localSheetId="8">だいち!$B$2</definedName>
    <definedName name="対戦数" localSheetId="6">たかの!$B$2</definedName>
    <definedName name="対戦数" localSheetId="9">ただ!$B$2</definedName>
    <definedName name="対戦数" localSheetId="10">まっつん!$B$2</definedName>
    <definedName name="対戦数" localSheetId="11">りくと!$B$2</definedName>
    <definedName name="対戦数" localSheetId="7">れんたろう!$B$2</definedName>
    <definedName name="対戦数" localSheetId="5">全体!$B$2</definedName>
    <definedName name="対戦数">Template1!$B$2</definedName>
    <definedName name="通算アガリ点" localSheetId="8">だいち!$C$22</definedName>
    <definedName name="通算アガリ点" localSheetId="6">たかの!$C$22</definedName>
    <definedName name="通算アガリ点" localSheetId="9">ただ!$C$22</definedName>
    <definedName name="通算アガリ点" localSheetId="10">まっつん!$C$22</definedName>
    <definedName name="通算アガリ点" localSheetId="11">りくと!$C$22</definedName>
    <definedName name="通算アガリ点" localSheetId="7">れんたろう!$C$22</definedName>
    <definedName name="通算アガリ点" localSheetId="5">全体!$C$22</definedName>
    <definedName name="通算アガリ点">Template1!$C$22</definedName>
    <definedName name="通算スコア" localSheetId="8">だいち!$B$4</definedName>
    <definedName name="通算スコア" localSheetId="6">たかの!$B$4</definedName>
    <definedName name="通算スコア" localSheetId="9">ただ!$B$4</definedName>
    <definedName name="通算スコア" localSheetId="10">まっつん!$B$4</definedName>
    <definedName name="通算スコア" localSheetId="11">りくと!$B$4</definedName>
    <definedName name="通算スコア" localSheetId="7">れんたろう!$B$4</definedName>
    <definedName name="通算スコア" localSheetId="5">全体!$B$4</definedName>
    <definedName name="通算スコア">Template1!$B$4</definedName>
    <definedName name="通算副露アガリ点" localSheetId="8">だいち!$C$24</definedName>
    <definedName name="通算副露アガリ点" localSheetId="6">たかの!$C$24</definedName>
    <definedName name="通算副露アガリ点" localSheetId="9">ただ!$C$24</definedName>
    <definedName name="通算副露アガリ点" localSheetId="10">まっつん!$C$24</definedName>
    <definedName name="通算副露アガリ点" localSheetId="11">りくと!$C$24</definedName>
    <definedName name="通算副露アガリ点" localSheetId="7">れんたろう!$C$24</definedName>
    <definedName name="通算副露アガリ点" localSheetId="5">全体!$C$24</definedName>
    <definedName name="通算副露アガリ点">Template1!$C$24</definedName>
    <definedName name="通算放銃点" localSheetId="8">だいち!$C$25</definedName>
    <definedName name="通算放銃点" localSheetId="6">たかの!$C$25</definedName>
    <definedName name="通算放銃点" localSheetId="9">ただ!$C$25</definedName>
    <definedName name="通算放銃点" localSheetId="10">まっつん!$C$25</definedName>
    <definedName name="通算放銃点" localSheetId="11">りくと!$C$25</definedName>
    <definedName name="通算放銃点" localSheetId="7">れんたろう!$C$25</definedName>
    <definedName name="通算放銃点" localSheetId="5">全体!$C$25</definedName>
    <definedName name="通算放銃点">Template1!$C$25</definedName>
    <definedName name="通算門前アガリ点" localSheetId="8">だいち!$C$23</definedName>
    <definedName name="通算門前アガリ点" localSheetId="6">たかの!$C$23</definedName>
    <definedName name="通算門前アガリ点" localSheetId="9">ただ!$C$23</definedName>
    <definedName name="通算門前アガリ点" localSheetId="10">まっつん!$C$23</definedName>
    <definedName name="通算門前アガリ点" localSheetId="11">りくと!$C$23</definedName>
    <definedName name="通算門前アガリ点" localSheetId="7">れんたろう!$C$23</definedName>
    <definedName name="通算門前アガリ点" localSheetId="5">全体!$C$23</definedName>
    <definedName name="通算門前アガリ点">Template1!$C$23</definedName>
    <definedName name="二位数" localSheetId="8">だいち!$B$8</definedName>
    <definedName name="二位数" localSheetId="6">たかの!$B$8</definedName>
    <definedName name="二位数" localSheetId="9">ただ!$B$8</definedName>
    <definedName name="二位数" localSheetId="10">まっつん!$B$8</definedName>
    <definedName name="二位数" localSheetId="11">りくと!$B$8</definedName>
    <definedName name="二位数" localSheetId="7">れんたろう!$B$8</definedName>
    <definedName name="二位数" localSheetId="5">全体!$B$8</definedName>
    <definedName name="二位数">Template1!$B$8</definedName>
    <definedName name="二位率" localSheetId="8">だいち!$C$8</definedName>
    <definedName name="二位率" localSheetId="6">たかの!$C$8</definedName>
    <definedName name="二位率" localSheetId="9">ただ!$C$8</definedName>
    <definedName name="二位率" localSheetId="10">まっつん!$C$8</definedName>
    <definedName name="二位率" localSheetId="11">りくと!$C$8</definedName>
    <definedName name="二位率" localSheetId="7">れんたろう!$C$8</definedName>
    <definedName name="二位率" localSheetId="5">全体!$C$8</definedName>
    <definedName name="二位率">Template1!$C$8</definedName>
    <definedName name="副露アガリ数" localSheetId="8">だいち!$B$20</definedName>
    <definedName name="副露アガリ数" localSheetId="6">たかの!$B$20</definedName>
    <definedName name="副露アガリ数" localSheetId="9">ただ!$B$20</definedName>
    <definedName name="副露アガリ数" localSheetId="10">まっつん!$B$20</definedName>
    <definedName name="副露アガリ数" localSheetId="11">りくと!$B$20</definedName>
    <definedName name="副露アガリ数" localSheetId="7">れんたろう!$B$20</definedName>
    <definedName name="副露アガリ数" localSheetId="5">全体!$B$20</definedName>
    <definedName name="副露アガリ数">Template1!$B$20</definedName>
    <definedName name="副露アガリ点" localSheetId="8">だいち!$B$24</definedName>
    <definedName name="副露アガリ点" localSheetId="6">たかの!$B$24</definedName>
    <definedName name="副露アガリ点" localSheetId="9">ただ!$B$24</definedName>
    <definedName name="副露アガリ点" localSheetId="10">まっつん!$B$24</definedName>
    <definedName name="副露アガリ点" localSheetId="11">りくと!$B$24</definedName>
    <definedName name="副露アガリ点" localSheetId="7">れんたろう!$B$24</definedName>
    <definedName name="副露アガリ点" localSheetId="5">全体!$B$24</definedName>
    <definedName name="副露アガリ点">Template1!$B$24</definedName>
    <definedName name="副露アガリ率" localSheetId="8">だいち!$C$20</definedName>
    <definedName name="副露アガリ率" localSheetId="6">たかの!$C$20</definedName>
    <definedName name="副露アガリ率" localSheetId="9">ただ!$C$20</definedName>
    <definedName name="副露アガリ率" localSheetId="10">まっつん!$C$20</definedName>
    <definedName name="副露アガリ率" localSheetId="11">りくと!$C$20</definedName>
    <definedName name="副露アガリ率" localSheetId="7">れんたろう!$C$20</definedName>
    <definedName name="副露アガリ率" localSheetId="5">全体!$C$20</definedName>
    <definedName name="副露アガリ率">Template1!$C$20</definedName>
    <definedName name="副露数" localSheetId="8">だいち!$B$12</definedName>
    <definedName name="副露数" localSheetId="6">たかの!$B$12</definedName>
    <definedName name="副露数" localSheetId="9">ただ!$B$12</definedName>
    <definedName name="副露数" localSheetId="10">まっつん!$B$12</definedName>
    <definedName name="副露数" localSheetId="11">りくと!$B$12</definedName>
    <definedName name="副露数" localSheetId="7">れんたろう!$B$12</definedName>
    <definedName name="副露数" localSheetId="5">全体!$B$12</definedName>
    <definedName name="副露数">Template1!$B$12</definedName>
    <definedName name="副露成功数" localSheetId="8">だいち!$B$14</definedName>
    <definedName name="副露成功数" localSheetId="6">たかの!$B$14</definedName>
    <definedName name="副露成功数" localSheetId="9">ただ!$B$14</definedName>
    <definedName name="副露成功数" localSheetId="10">まっつん!$B$14</definedName>
    <definedName name="副露成功数" localSheetId="11">りくと!$B$14</definedName>
    <definedName name="副露成功数" localSheetId="7">れんたろう!$B$14</definedName>
    <definedName name="副露成功数" localSheetId="5">全体!$B$14</definedName>
    <definedName name="副露成功数">Template1!$B$14</definedName>
    <definedName name="副露成功率" localSheetId="8">だいち!$C$14</definedName>
    <definedName name="副露成功率" localSheetId="6">たかの!$C$14</definedName>
    <definedName name="副露成功率" localSheetId="9">ただ!$C$14</definedName>
    <definedName name="副露成功率" localSheetId="10">まっつん!$C$14</definedName>
    <definedName name="副露成功率" localSheetId="11">りくと!$C$14</definedName>
    <definedName name="副露成功率" localSheetId="7">れんたろう!$C$14</definedName>
    <definedName name="副露成功率" localSheetId="5">全体!$C$14</definedName>
    <definedName name="副露成功率">Template1!$C$14</definedName>
    <definedName name="副露率" localSheetId="8">だいち!$C$12</definedName>
    <definedName name="副露率" localSheetId="6">たかの!$C$12</definedName>
    <definedName name="副露率" localSheetId="9">ただ!$C$12</definedName>
    <definedName name="副露率" localSheetId="10">まっつん!$C$12</definedName>
    <definedName name="副露率" localSheetId="11">りくと!$C$12</definedName>
    <definedName name="副露率" localSheetId="7">れんたろう!$C$12</definedName>
    <definedName name="副露率" localSheetId="5">全体!$C$12</definedName>
    <definedName name="副露率">Template1!$C$12</definedName>
    <definedName name="平均アガリ点" localSheetId="8">だいち!$B$22</definedName>
    <definedName name="平均アガリ点" localSheetId="6">たかの!$B$22</definedName>
    <definedName name="平均アガリ点" localSheetId="9">ただ!$B$22</definedName>
    <definedName name="平均アガリ点" localSheetId="10">まっつん!$B$22</definedName>
    <definedName name="平均アガリ点" localSheetId="11">りくと!$B$22</definedName>
    <definedName name="平均アガリ点" localSheetId="7">れんたろう!$B$22</definedName>
    <definedName name="平均アガリ点" localSheetId="5">全体!$B$22</definedName>
    <definedName name="平均アガリ点">Template1!$B$22</definedName>
    <definedName name="平均スコア" localSheetId="8">だいち!$B$5</definedName>
    <definedName name="平均スコア" localSheetId="6">たかの!$B$5</definedName>
    <definedName name="平均スコア" localSheetId="9">ただ!$B$5</definedName>
    <definedName name="平均スコア" localSheetId="10">まっつん!$B$5</definedName>
    <definedName name="平均スコア" localSheetId="11">りくと!$B$5</definedName>
    <definedName name="平均スコア" localSheetId="7">れんたろう!$B$5</definedName>
    <definedName name="平均スコア" localSheetId="5">全体!$B$5</definedName>
    <definedName name="平均スコア">Template1!$B$5</definedName>
    <definedName name="平均順位" localSheetId="8">だいち!$B$6</definedName>
    <definedName name="平均順位" localSheetId="6">たかの!$B$6</definedName>
    <definedName name="平均順位" localSheetId="9">ただ!$B$6</definedName>
    <definedName name="平均順位" localSheetId="10">まっつん!$B$6</definedName>
    <definedName name="平均順位" localSheetId="11">りくと!$B$6</definedName>
    <definedName name="平均順位" localSheetId="7">れんたろう!$B$6</definedName>
    <definedName name="平均順位" localSheetId="5">全体!$B$6</definedName>
    <definedName name="平均順位">Template1!$B$6</definedName>
    <definedName name="平均放銃点" localSheetId="8">だいち!$B$25</definedName>
    <definedName name="平均放銃点" localSheetId="6">たかの!$B$25</definedName>
    <definedName name="平均放銃点" localSheetId="9">ただ!$B$25</definedName>
    <definedName name="平均放銃点" localSheetId="10">まっつん!$B$25</definedName>
    <definedName name="平均放銃点" localSheetId="11">りくと!$B$25</definedName>
    <definedName name="平均放銃点" localSheetId="7">れんたろう!$B$25</definedName>
    <definedName name="平均放銃点" localSheetId="5">全体!$B$25</definedName>
    <definedName name="平均放銃点">Template1!$B$25</definedName>
    <definedName name="放銃数" localSheetId="8">だいち!$B$16</definedName>
    <definedName name="放銃数" localSheetId="6">たかの!$B$16</definedName>
    <definedName name="放銃数" localSheetId="9">ただ!$B$16</definedName>
    <definedName name="放銃数" localSheetId="10">まっつん!$B$16</definedName>
    <definedName name="放銃数" localSheetId="11">りくと!$B$16</definedName>
    <definedName name="放銃数" localSheetId="7">れんたろう!$B$16</definedName>
    <definedName name="放銃数" localSheetId="5">全体!$B$16</definedName>
    <definedName name="放銃数">Template1!$B$16</definedName>
    <definedName name="放銃率" localSheetId="8">だいち!$C$16</definedName>
    <definedName name="放銃率" localSheetId="6">たかの!$C$16</definedName>
    <definedName name="放銃率" localSheetId="9">ただ!$C$16</definedName>
    <definedName name="放銃率" localSheetId="10">まっつん!$C$16</definedName>
    <definedName name="放銃率" localSheetId="11">りくと!$C$16</definedName>
    <definedName name="放銃率" localSheetId="7">れんたろう!$C$16</definedName>
    <definedName name="放銃率" localSheetId="5">全体!$C$16</definedName>
    <definedName name="放銃率">Template1!$C$16</definedName>
    <definedName name="名前" localSheetId="8">だいち!$B$1</definedName>
    <definedName name="名前" localSheetId="6">たかの!$B$1</definedName>
    <definedName name="名前" localSheetId="9">ただ!$B$1</definedName>
    <definedName name="名前" localSheetId="10">まっつん!$B$1</definedName>
    <definedName name="名前" localSheetId="11">りくと!$B$1</definedName>
    <definedName name="名前" localSheetId="7">れんたろう!$B$1</definedName>
    <definedName name="名前" localSheetId="5">全体!$B$1</definedName>
    <definedName name="名前">Template1!$B$1</definedName>
    <definedName name="門前アガリ点" localSheetId="8">だいち!$B$23</definedName>
    <definedName name="門前アガリ点" localSheetId="6">たかの!$B$23</definedName>
    <definedName name="門前アガリ点" localSheetId="9">ただ!$B$23</definedName>
    <definedName name="門前アガリ点" localSheetId="10">まっつん!$B$23</definedName>
    <definedName name="門前アガリ点" localSheetId="11">りくと!$B$23</definedName>
    <definedName name="門前アガリ点" localSheetId="7">れんたろう!$B$23</definedName>
    <definedName name="門前アガリ点" localSheetId="5">全体!$B$23</definedName>
    <definedName name="門前アガリ点">Template1!$B$23</definedName>
    <definedName name="連続アガリ" localSheetId="8">だいち!$B$26</definedName>
    <definedName name="連続アガリ" localSheetId="6">たかの!$B$26</definedName>
    <definedName name="連続アガリ" localSheetId="9">ただ!$B$26</definedName>
    <definedName name="連続アガリ" localSheetId="10">まっつん!$B$26</definedName>
    <definedName name="連続アガリ" localSheetId="11">りくと!$B$26</definedName>
    <definedName name="連続アガリ" localSheetId="7">れんたろう!$B$26</definedName>
    <definedName name="連続アガリ" localSheetId="5">全体!$B$26</definedName>
    <definedName name="連続アガリ">Template1!$B$26</definedName>
    <definedName name="連続無放銃" localSheetId="8">だいち!$B$27</definedName>
    <definedName name="連続無放銃" localSheetId="6">たかの!$B$27</definedName>
    <definedName name="連続無放銃" localSheetId="9">ただ!$B$27</definedName>
    <definedName name="連続無放銃" localSheetId="10">まっつん!$B$27</definedName>
    <definedName name="連続無放銃" localSheetId="11">りくと!$B$27</definedName>
    <definedName name="連続無放銃" localSheetId="7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947" l="1"/>
  <c r="O15" i="5947"/>
  <c r="H39" i="5947"/>
  <c r="H34" i="5947"/>
  <c r="C30" i="5947"/>
  <c r="H26" i="5947"/>
  <c r="B25" i="5947"/>
  <c r="C19" i="5947"/>
  <c r="C16" i="5947"/>
  <c r="B15" i="5947"/>
  <c r="H50" i="5947" s="1"/>
  <c r="H15" i="5947"/>
  <c r="C14" i="5947"/>
  <c r="B14" i="5947"/>
  <c r="B24" i="5947" s="1"/>
  <c r="B13" i="5947"/>
  <c r="C13" i="5947" s="1"/>
  <c r="O12" i="5947"/>
  <c r="C12" i="5947"/>
  <c r="O11" i="5947"/>
  <c r="C11" i="5947"/>
  <c r="O10" i="5947"/>
  <c r="C10" i="5947"/>
  <c r="C9" i="5947"/>
  <c r="H10" i="5947"/>
  <c r="C8" i="5947"/>
  <c r="O7" i="5947"/>
  <c r="C7" i="5947"/>
  <c r="O6" i="5947"/>
  <c r="B6" i="5947"/>
  <c r="O5" i="5947"/>
  <c r="B5" i="5947"/>
  <c r="O4" i="5947"/>
  <c r="O3" i="5947"/>
  <c r="O2" i="5947"/>
  <c r="H2" i="5947"/>
  <c r="O16" i="5943"/>
  <c r="O15" i="5943"/>
  <c r="O15" i="5945"/>
  <c r="O16" i="5945"/>
  <c r="O15" i="5935"/>
  <c r="O17" i="5945"/>
  <c r="O18" i="5945"/>
  <c r="C30" i="5945"/>
  <c r="B25" i="5945"/>
  <c r="C16" i="5945"/>
  <c r="B15" i="5945"/>
  <c r="H50" i="5945" s="1"/>
  <c r="B14" i="5945"/>
  <c r="B24" i="5945" s="1"/>
  <c r="B13" i="5945"/>
  <c r="C13" i="5945" s="1"/>
  <c r="O12" i="5945"/>
  <c r="C12" i="5945"/>
  <c r="O11" i="5945"/>
  <c r="C11" i="5945"/>
  <c r="O10" i="5945"/>
  <c r="C10" i="5945"/>
  <c r="C9" i="5945"/>
  <c r="C8" i="5945"/>
  <c r="O7" i="5945"/>
  <c r="C7" i="5945"/>
  <c r="O6" i="5945"/>
  <c r="B6" i="5945"/>
  <c r="O5" i="5945"/>
  <c r="B5" i="5945"/>
  <c r="O4" i="5945"/>
  <c r="O3" i="5945"/>
  <c r="O2" i="5945"/>
  <c r="O16" i="5941"/>
  <c r="O15" i="5937"/>
  <c r="O16" i="5935"/>
  <c r="O17" i="5943"/>
  <c r="O18" i="5943"/>
  <c r="C30" i="5943"/>
  <c r="H28" i="5943"/>
  <c r="B25" i="5943"/>
  <c r="C16" i="5943"/>
  <c r="B15" i="5943"/>
  <c r="H50" i="5943" s="1"/>
  <c r="B14" i="5943"/>
  <c r="B24" i="5943" s="1"/>
  <c r="B13" i="5943"/>
  <c r="C13" i="5943" s="1"/>
  <c r="O12" i="5943"/>
  <c r="C12" i="5943"/>
  <c r="O11" i="5943"/>
  <c r="C11" i="5943"/>
  <c r="O10" i="5943"/>
  <c r="C10" i="5943"/>
  <c r="C9" i="5943"/>
  <c r="H12" i="5943"/>
  <c r="C8" i="5943"/>
  <c r="O7" i="5943"/>
  <c r="C7" i="5943"/>
  <c r="O6" i="5943"/>
  <c r="B6" i="5943"/>
  <c r="O5" i="5943"/>
  <c r="B5" i="5943"/>
  <c r="O4" i="5943"/>
  <c r="O3" i="5943"/>
  <c r="O2" i="5943"/>
  <c r="O18" i="5941"/>
  <c r="O16" i="5937"/>
  <c r="O20" i="5935"/>
  <c r="H20" i="5943" l="1"/>
  <c r="H34" i="5943"/>
  <c r="C19" i="5943"/>
  <c r="C20" i="5943"/>
  <c r="C44" i="5947"/>
  <c r="H27" i="5947"/>
  <c r="H13" i="5947"/>
  <c r="H47" i="5947"/>
  <c r="H20" i="5947"/>
  <c r="H40" i="5947"/>
  <c r="H11" i="5947"/>
  <c r="H35" i="5947"/>
  <c r="H30" i="5947"/>
  <c r="H36" i="5947"/>
  <c r="H41" i="5947"/>
  <c r="H48" i="5947"/>
  <c r="C20" i="5947"/>
  <c r="H49" i="5947"/>
  <c r="H29" i="5947"/>
  <c r="H16" i="5947"/>
  <c r="H7" i="5947"/>
  <c r="H22" i="5947"/>
  <c r="C36" i="5947"/>
  <c r="H9" i="5947"/>
  <c r="C17" i="5947"/>
  <c r="B22" i="5947"/>
  <c r="H32" i="5947"/>
  <c r="H37" i="5947"/>
  <c r="C42" i="5947"/>
  <c r="H51" i="5947"/>
  <c r="C34" i="5947"/>
  <c r="C15" i="5947"/>
  <c r="C21" i="5947"/>
  <c r="H18" i="5947"/>
  <c r="H24" i="5947"/>
  <c r="C32" i="5947"/>
  <c r="H38" i="5947"/>
  <c r="H43" i="5947"/>
  <c r="H6" i="5947"/>
  <c r="H45" i="5947"/>
  <c r="H4" i="5947"/>
  <c r="H3" i="5947"/>
  <c r="C40" i="5947"/>
  <c r="H5" i="5947"/>
  <c r="H42" i="5947"/>
  <c r="H8" i="5947"/>
  <c r="H12" i="5947"/>
  <c r="C18" i="5947"/>
  <c r="H33" i="5947"/>
  <c r="C38" i="5947"/>
  <c r="H44" i="5947"/>
  <c r="H52" i="5947"/>
  <c r="H19" i="5947"/>
  <c r="H23" i="5947"/>
  <c r="H28" i="5947"/>
  <c r="C33" i="5947"/>
  <c r="C37" i="5947"/>
  <c r="C41" i="5947"/>
  <c r="H46" i="5947"/>
  <c r="B23" i="5947"/>
  <c r="H14" i="5947"/>
  <c r="H17" i="5947"/>
  <c r="H21" i="5947"/>
  <c r="H25" i="5947"/>
  <c r="H31" i="5947"/>
  <c r="C35" i="5947"/>
  <c r="C39" i="5947"/>
  <c r="C43" i="5947"/>
  <c r="C14" i="5943"/>
  <c r="H5" i="5943"/>
  <c r="H39" i="5943"/>
  <c r="C32" i="5945"/>
  <c r="H10" i="5945"/>
  <c r="H34" i="5945"/>
  <c r="C18" i="5945"/>
  <c r="C44" i="5945"/>
  <c r="H3" i="5945"/>
  <c r="C19" i="5945"/>
  <c r="H24" i="5945"/>
  <c r="H44" i="5945"/>
  <c r="H45" i="5945"/>
  <c r="H17" i="5945"/>
  <c r="H32" i="5945"/>
  <c r="C14" i="5945"/>
  <c r="H47" i="5945"/>
  <c r="H26" i="5945"/>
  <c r="H13" i="5945"/>
  <c r="H38" i="5945"/>
  <c r="H37" i="5945"/>
  <c r="H48" i="5945"/>
  <c r="H4" i="5945"/>
  <c r="C17" i="5945"/>
  <c r="C38" i="5945"/>
  <c r="C34" i="5945"/>
  <c r="H5" i="5945"/>
  <c r="H18" i="5945"/>
  <c r="H27" i="5945"/>
  <c r="H28" i="5945"/>
  <c r="H12" i="5945"/>
  <c r="H6" i="5945"/>
  <c r="H2" i="5945"/>
  <c r="H20" i="5945"/>
  <c r="H40" i="5945"/>
  <c r="C40" i="5945"/>
  <c r="B22" i="5945"/>
  <c r="H33" i="5945"/>
  <c r="H41" i="5945"/>
  <c r="H51" i="5945"/>
  <c r="H22" i="5945"/>
  <c r="H29" i="5945"/>
  <c r="H36" i="5945"/>
  <c r="H42" i="5945"/>
  <c r="H8" i="5945"/>
  <c r="H14" i="5945"/>
  <c r="H15" i="5945"/>
  <c r="C15" i="5945"/>
  <c r="C21" i="5945"/>
  <c r="H30" i="5945"/>
  <c r="C36" i="5945"/>
  <c r="C42" i="5945"/>
  <c r="H52" i="5945"/>
  <c r="H21" i="5945"/>
  <c r="H25" i="5945"/>
  <c r="H7" i="5945"/>
  <c r="C33" i="5945"/>
  <c r="C37" i="5945"/>
  <c r="C41" i="5945"/>
  <c r="H46" i="5945"/>
  <c r="B23" i="5945"/>
  <c r="H9" i="5945"/>
  <c r="C20" i="5945"/>
  <c r="H35" i="5945"/>
  <c r="H39" i="5945"/>
  <c r="H43" i="5945"/>
  <c r="H49" i="5945"/>
  <c r="H16" i="5945"/>
  <c r="H19" i="5945"/>
  <c r="H23" i="5945"/>
  <c r="H11" i="5945"/>
  <c r="H31" i="5945"/>
  <c r="C35" i="5945"/>
  <c r="C39" i="5945"/>
  <c r="C43" i="5945"/>
  <c r="C44" i="5943"/>
  <c r="C34" i="5943"/>
  <c r="H10" i="5943"/>
  <c r="H47" i="5943"/>
  <c r="H45" i="5943"/>
  <c r="H6" i="5943"/>
  <c r="C40" i="5943"/>
  <c r="H21" i="5943"/>
  <c r="H41" i="5943"/>
  <c r="H48" i="5943"/>
  <c r="H7" i="5943"/>
  <c r="H18" i="5943"/>
  <c r="H49" i="5943"/>
  <c r="H31" i="5943"/>
  <c r="H8" i="5943"/>
  <c r="H42" i="5943"/>
  <c r="C17" i="5943"/>
  <c r="H37" i="5943"/>
  <c r="H51" i="5943"/>
  <c r="H29" i="5943"/>
  <c r="H16" i="5943"/>
  <c r="H30" i="5943"/>
  <c r="C21" i="5943"/>
  <c r="H11" i="5943"/>
  <c r="B22" i="5943"/>
  <c r="H32" i="5943"/>
  <c r="C42" i="5943"/>
  <c r="H23" i="5943"/>
  <c r="C32" i="5943"/>
  <c r="H38" i="5943"/>
  <c r="H43" i="5943"/>
  <c r="H15" i="5943"/>
  <c r="H40" i="5943"/>
  <c r="C15" i="5943"/>
  <c r="H35" i="5943"/>
  <c r="H36" i="5943"/>
  <c r="H9" i="5943"/>
  <c r="H2" i="5943"/>
  <c r="C36" i="5943"/>
  <c r="H27" i="5943"/>
  <c r="H3" i="5943"/>
  <c r="H17" i="5943"/>
  <c r="C18" i="5943"/>
  <c r="H33" i="5943"/>
  <c r="C38" i="5943"/>
  <c r="H44" i="5943"/>
  <c r="H52" i="5943"/>
  <c r="H24" i="5943"/>
  <c r="H26" i="5943"/>
  <c r="H4" i="5943"/>
  <c r="C33" i="5943"/>
  <c r="C37" i="5943"/>
  <c r="C41" i="5943"/>
  <c r="H46" i="5943"/>
  <c r="B23" i="5943"/>
  <c r="H19" i="5943"/>
  <c r="H22" i="5943"/>
  <c r="H25" i="5943"/>
  <c r="H13" i="5943"/>
  <c r="H14" i="5943"/>
  <c r="C35" i="5943"/>
  <c r="C39" i="5943"/>
  <c r="C43" i="5943"/>
  <c r="O15" i="5941" l="1"/>
  <c r="O17" i="5941"/>
  <c r="C30" i="5941"/>
  <c r="B25" i="5941"/>
  <c r="C16" i="5941"/>
  <c r="B15" i="5941"/>
  <c r="H51" i="5941" s="1"/>
  <c r="B14" i="5941"/>
  <c r="B24" i="5941" s="1"/>
  <c r="B13" i="5941"/>
  <c r="C13" i="5941" s="1"/>
  <c r="O12" i="5941"/>
  <c r="C12" i="5941"/>
  <c r="O11" i="5941"/>
  <c r="C11" i="5941"/>
  <c r="O10" i="5941"/>
  <c r="C10" i="5941"/>
  <c r="C9" i="5941"/>
  <c r="C8" i="5941"/>
  <c r="O7" i="5941"/>
  <c r="C7" i="5941"/>
  <c r="O6" i="5941"/>
  <c r="B6" i="5941"/>
  <c r="O5" i="5941"/>
  <c r="B5" i="5941"/>
  <c r="O4" i="5941"/>
  <c r="O3" i="5941"/>
  <c r="O2" i="5941"/>
  <c r="O15" i="5939"/>
  <c r="O16" i="5939"/>
  <c r="C38" i="5939"/>
  <c r="H37" i="5939"/>
  <c r="C36" i="5939"/>
  <c r="C30" i="5939"/>
  <c r="B25" i="5939"/>
  <c r="B24" i="5939"/>
  <c r="C16" i="5939"/>
  <c r="B15" i="5939"/>
  <c r="H51" i="5939" s="1"/>
  <c r="H16" i="5939"/>
  <c r="B14" i="5939"/>
  <c r="C14" i="5939" s="1"/>
  <c r="C13" i="5939"/>
  <c r="B13" i="5939"/>
  <c r="O12" i="5939"/>
  <c r="C12" i="5939"/>
  <c r="O11" i="5939"/>
  <c r="C11" i="5939"/>
  <c r="O10" i="5939"/>
  <c r="C10" i="5939"/>
  <c r="C9" i="5939"/>
  <c r="C8" i="5939"/>
  <c r="O7" i="5939"/>
  <c r="H10" i="5939"/>
  <c r="C7" i="5939"/>
  <c r="O6" i="5939"/>
  <c r="B6" i="5939"/>
  <c r="O5" i="5939"/>
  <c r="B5" i="5939"/>
  <c r="O4" i="5939"/>
  <c r="H8" i="5939"/>
  <c r="O3" i="5939"/>
  <c r="H7" i="5939"/>
  <c r="O2" i="5939"/>
  <c r="O18" i="5935"/>
  <c r="O17" i="5937"/>
  <c r="O18" i="5937"/>
  <c r="C30" i="5937"/>
  <c r="B25" i="5937"/>
  <c r="C16" i="5937"/>
  <c r="B15" i="5937"/>
  <c r="H51" i="5937" s="1"/>
  <c r="B14" i="5937"/>
  <c r="C14" i="5937" s="1"/>
  <c r="B13" i="5937"/>
  <c r="C13" i="5937" s="1"/>
  <c r="O12" i="5937"/>
  <c r="C12" i="5937"/>
  <c r="O11" i="5937"/>
  <c r="C11" i="5937"/>
  <c r="O10" i="5937"/>
  <c r="C10" i="5937"/>
  <c r="C9" i="5937"/>
  <c r="C8" i="5937"/>
  <c r="O7" i="5937"/>
  <c r="C7" i="5937"/>
  <c r="O6" i="5937"/>
  <c r="B6" i="5937"/>
  <c r="O5" i="5937"/>
  <c r="B5" i="5937"/>
  <c r="O4" i="5937"/>
  <c r="O3" i="5937"/>
  <c r="O2" i="5937"/>
  <c r="O19" i="5935"/>
  <c r="O17" i="5935"/>
  <c r="C30" i="5935"/>
  <c r="B25" i="5935"/>
  <c r="C16" i="5935"/>
  <c r="B15" i="5935"/>
  <c r="H48" i="5935" s="1"/>
  <c r="B14" i="5935"/>
  <c r="B24" i="5935" s="1"/>
  <c r="B13" i="5935"/>
  <c r="C13" i="5935" s="1"/>
  <c r="O12" i="5935"/>
  <c r="C12" i="5935"/>
  <c r="O11" i="5935"/>
  <c r="C11" i="5935"/>
  <c r="O10" i="5935"/>
  <c r="C10" i="5935"/>
  <c r="C9" i="5935"/>
  <c r="C8" i="5935"/>
  <c r="O7" i="5935"/>
  <c r="C7" i="5935"/>
  <c r="O6" i="5935"/>
  <c r="B6" i="5935"/>
  <c r="O5" i="5935"/>
  <c r="B5" i="5935"/>
  <c r="O4" i="5935"/>
  <c r="O3" i="5935"/>
  <c r="O2" i="5935"/>
  <c r="B24" i="5937" l="1"/>
  <c r="B22" i="5937"/>
  <c r="H10" i="5937"/>
  <c r="C36" i="5937"/>
  <c r="H17" i="5937"/>
  <c r="H37" i="5937"/>
  <c r="H41" i="5937"/>
  <c r="C40" i="5937"/>
  <c r="C44" i="5937"/>
  <c r="C15" i="5937"/>
  <c r="H8" i="5937"/>
  <c r="H45" i="5937"/>
  <c r="H15" i="5937"/>
  <c r="H27" i="5937"/>
  <c r="H7" i="5937"/>
  <c r="H5" i="5937"/>
  <c r="H11" i="5937"/>
  <c r="C18" i="5937"/>
  <c r="C32" i="5937"/>
  <c r="H4" i="5937"/>
  <c r="H13" i="5937"/>
  <c r="H28" i="5937"/>
  <c r="H23" i="5937"/>
  <c r="H33" i="5937"/>
  <c r="H52" i="5937"/>
  <c r="C14" i="5941"/>
  <c r="H34" i="5941"/>
  <c r="H49" i="5941"/>
  <c r="H7" i="5941"/>
  <c r="H6" i="5941"/>
  <c r="H12" i="5941"/>
  <c r="H16" i="5941"/>
  <c r="C15" i="5941"/>
  <c r="C20" i="5941"/>
  <c r="H27" i="5941"/>
  <c r="C34" i="5941"/>
  <c r="H41" i="5941"/>
  <c r="H11" i="5941"/>
  <c r="H19" i="5941"/>
  <c r="C21" i="5941"/>
  <c r="H28" i="5941"/>
  <c r="H35" i="5941"/>
  <c r="H42" i="5941"/>
  <c r="H52" i="5941"/>
  <c r="H2" i="5941"/>
  <c r="H5" i="5941"/>
  <c r="H13" i="5941"/>
  <c r="H29" i="5941"/>
  <c r="C36" i="5941"/>
  <c r="C42" i="5941"/>
  <c r="H23" i="5941"/>
  <c r="C40" i="5941"/>
  <c r="H8" i="5941"/>
  <c r="C17" i="5941"/>
  <c r="B22" i="5941"/>
  <c r="H30" i="5941"/>
  <c r="H37" i="5941"/>
  <c r="H43" i="5941"/>
  <c r="H21" i="5941"/>
  <c r="B23" i="5941"/>
  <c r="H38" i="5941"/>
  <c r="C44" i="5941"/>
  <c r="H4" i="5941"/>
  <c r="H15" i="5941"/>
  <c r="C18" i="5941"/>
  <c r="H26" i="5941"/>
  <c r="C32" i="5941"/>
  <c r="C38" i="5941"/>
  <c r="H45" i="5941"/>
  <c r="H3" i="5941"/>
  <c r="H9" i="5941"/>
  <c r="H18" i="5941"/>
  <c r="C19" i="5941"/>
  <c r="H33" i="5941"/>
  <c r="H39" i="5941"/>
  <c r="H48" i="5941"/>
  <c r="H22" i="5941"/>
  <c r="H25" i="5941"/>
  <c r="H14" i="5941"/>
  <c r="C33" i="5941"/>
  <c r="C37" i="5941"/>
  <c r="C41" i="5941"/>
  <c r="H46" i="5941"/>
  <c r="H47" i="5941"/>
  <c r="H17" i="5941"/>
  <c r="H20" i="5941"/>
  <c r="H24" i="5941"/>
  <c r="H10" i="5941"/>
  <c r="H31" i="5941"/>
  <c r="C35" i="5941"/>
  <c r="C39" i="5941"/>
  <c r="C43" i="5941"/>
  <c r="H50" i="5941"/>
  <c r="H32" i="5941"/>
  <c r="H36" i="5941"/>
  <c r="H40" i="5941"/>
  <c r="H44" i="5941"/>
  <c r="H27" i="5939"/>
  <c r="C42" i="5939"/>
  <c r="H30" i="5939"/>
  <c r="C44" i="5939"/>
  <c r="H11" i="5939"/>
  <c r="H19" i="5939"/>
  <c r="H43" i="5939"/>
  <c r="H21" i="5939"/>
  <c r="H45" i="5939"/>
  <c r="H28" i="5939"/>
  <c r="C18" i="5939"/>
  <c r="C34" i="5939"/>
  <c r="H3" i="5939"/>
  <c r="C20" i="5939"/>
  <c r="H35" i="5939"/>
  <c r="H48" i="5939"/>
  <c r="H23" i="5939"/>
  <c r="H39" i="5939"/>
  <c r="H49" i="5939"/>
  <c r="H6" i="5939"/>
  <c r="H14" i="5939"/>
  <c r="C15" i="5939"/>
  <c r="C32" i="5939"/>
  <c r="C40" i="5939"/>
  <c r="H5" i="5939"/>
  <c r="B22" i="5939"/>
  <c r="H2" i="5939"/>
  <c r="H12" i="5939"/>
  <c r="H17" i="5939"/>
  <c r="H25" i="5939"/>
  <c r="H33" i="5939"/>
  <c r="H41" i="5939"/>
  <c r="H52" i="5939"/>
  <c r="H20" i="5939"/>
  <c r="H24" i="5939"/>
  <c r="H4" i="5939"/>
  <c r="C33" i="5939"/>
  <c r="C37" i="5939"/>
  <c r="C41" i="5939"/>
  <c r="H46" i="5939"/>
  <c r="C19" i="5939"/>
  <c r="B23" i="5939"/>
  <c r="H29" i="5939"/>
  <c r="H34" i="5939"/>
  <c r="H38" i="5939"/>
  <c r="H42" i="5939"/>
  <c r="H47" i="5939"/>
  <c r="H15" i="5939"/>
  <c r="H18" i="5939"/>
  <c r="H22" i="5939"/>
  <c r="H26" i="5939"/>
  <c r="H31" i="5939"/>
  <c r="C35" i="5939"/>
  <c r="C39" i="5939"/>
  <c r="C43" i="5939"/>
  <c r="H50" i="5939"/>
  <c r="H9" i="5939"/>
  <c r="H13" i="5939"/>
  <c r="C17" i="5939"/>
  <c r="C21" i="5939"/>
  <c r="H32" i="5939"/>
  <c r="H36" i="5939"/>
  <c r="H40" i="5939"/>
  <c r="H44" i="5939"/>
  <c r="C14" i="5935"/>
  <c r="H6" i="5935"/>
  <c r="H36" i="5935"/>
  <c r="H7" i="5935"/>
  <c r="H18" i="5935"/>
  <c r="C20" i="5935"/>
  <c r="H10" i="5935"/>
  <c r="C43" i="5935"/>
  <c r="C15" i="5935"/>
  <c r="H44" i="5935"/>
  <c r="H39" i="5935"/>
  <c r="C44" i="5935"/>
  <c r="C32" i="5935"/>
  <c r="H21" i="5935"/>
  <c r="H14" i="5935"/>
  <c r="B22" i="5935"/>
  <c r="H45" i="5935"/>
  <c r="H11" i="5935"/>
  <c r="H40" i="5935"/>
  <c r="H49" i="5935"/>
  <c r="H43" i="5935"/>
  <c r="H12" i="5935"/>
  <c r="H25" i="5935"/>
  <c r="C36" i="5935"/>
  <c r="C21" i="5935"/>
  <c r="H2" i="5935"/>
  <c r="H9" i="5935"/>
  <c r="C17" i="5935"/>
  <c r="H33" i="5935"/>
  <c r="H5" i="5935"/>
  <c r="H16" i="5935"/>
  <c r="H17" i="5935"/>
  <c r="H35" i="5935"/>
  <c r="C40" i="5935"/>
  <c r="H50" i="5935"/>
  <c r="H29" i="5935"/>
  <c r="H19" i="5935"/>
  <c r="H52" i="5935"/>
  <c r="H37" i="5935"/>
  <c r="H3" i="5935"/>
  <c r="H32" i="5935"/>
  <c r="H23" i="5935"/>
  <c r="C39" i="5935"/>
  <c r="H20" i="5935"/>
  <c r="H4" i="5935"/>
  <c r="H13" i="5935"/>
  <c r="C18" i="5935"/>
  <c r="H28" i="5935"/>
  <c r="C35" i="5935"/>
  <c r="H41" i="5935"/>
  <c r="H51" i="5935"/>
  <c r="H20" i="5937"/>
  <c r="H24" i="5937"/>
  <c r="H9" i="5937"/>
  <c r="C33" i="5937"/>
  <c r="C37" i="5937"/>
  <c r="C41" i="5937"/>
  <c r="H46" i="5937"/>
  <c r="C19" i="5937"/>
  <c r="B23" i="5937"/>
  <c r="H29" i="5937"/>
  <c r="H34" i="5937"/>
  <c r="H38" i="5937"/>
  <c r="H42" i="5937"/>
  <c r="H47" i="5937"/>
  <c r="H2" i="5937"/>
  <c r="H21" i="5937"/>
  <c r="H25" i="5937"/>
  <c r="C34" i="5937"/>
  <c r="C38" i="5937"/>
  <c r="C42" i="5937"/>
  <c r="H48" i="5937"/>
  <c r="H12" i="5937"/>
  <c r="C20" i="5937"/>
  <c r="H35" i="5937"/>
  <c r="H39" i="5937"/>
  <c r="H43" i="5937"/>
  <c r="H49" i="5937"/>
  <c r="H3" i="5937"/>
  <c r="H18" i="5937"/>
  <c r="H30" i="5937"/>
  <c r="H16" i="5937"/>
  <c r="H19" i="5937"/>
  <c r="H22" i="5937"/>
  <c r="H26" i="5937"/>
  <c r="H31" i="5937"/>
  <c r="C35" i="5937"/>
  <c r="C39" i="5937"/>
  <c r="C43" i="5937"/>
  <c r="H50" i="5937"/>
  <c r="H6" i="5937"/>
  <c r="H14" i="5937"/>
  <c r="C17" i="5937"/>
  <c r="C21" i="5937"/>
  <c r="H32" i="5937"/>
  <c r="H36" i="5937"/>
  <c r="H40" i="5937"/>
  <c r="H44" i="5937"/>
  <c r="H24" i="5935"/>
  <c r="H26" i="5935"/>
  <c r="H8" i="5935"/>
  <c r="C33" i="5935"/>
  <c r="C37" i="5935"/>
  <c r="C41" i="5935"/>
  <c r="H46" i="5935"/>
  <c r="C19" i="5935"/>
  <c r="B23" i="5935"/>
  <c r="H30" i="5935"/>
  <c r="H34" i="5935"/>
  <c r="H38" i="5935"/>
  <c r="H42" i="5935"/>
  <c r="H47" i="5935"/>
  <c r="H22" i="5935"/>
  <c r="H15" i="5935"/>
  <c r="H27" i="5935"/>
  <c r="H31" i="5935"/>
  <c r="C34" i="5935"/>
  <c r="C38" i="5935"/>
  <c r="C42" i="59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<sst xmlns="http://schemas.openxmlformats.org/spreadsheetml/2006/main" count="1822" uniqueCount="199">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</sst>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全体!$L$2:$L$20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-31.5</c:v>
                </c:pt>
                <c:pt idx="2">
                  <c:v>-38.4</c:v>
                </c:pt>
                <c:pt idx="3">
                  <c:v>0</c:v>
                </c:pt>
                <c:pt idx="4">
                  <c:v>33.5</c:v>
                </c:pt>
                <c:pt idx="5">
                  <c:v>0.70000000000000284</c:v>
                </c:pt>
                <c:pt idx="6">
                  <c:v>2.886579864025407E-15</c:v>
                </c:pt>
                <c:pt idx="7">
                  <c:v>12.000000000000004</c:v>
                </c:pt>
                <c:pt idx="8">
                  <c:v>38.300000000000004</c:v>
                </c:pt>
                <c:pt idx="9">
                  <c:v>7.1054273576010019E-15</c:v>
                </c:pt>
                <c:pt idx="10">
                  <c:v>7.4000000000000075</c:v>
                </c:pt>
                <c:pt idx="11">
                  <c:v>26.800000000000004</c:v>
                </c:pt>
                <c:pt idx="12">
                  <c:v>3.5527136788005009E-15</c:v>
                </c:pt>
                <c:pt idx="13">
                  <c:v>-26.799999999999997</c:v>
                </c:pt>
                <c:pt idx="14">
                  <c:v>-5.2999999999999972</c:v>
                </c:pt>
                <c:pt idx="15">
                  <c:v>2.6645352591003757E-15</c:v>
                </c:pt>
                <c:pt idx="16">
                  <c:v>-20.199999999999996</c:v>
                </c:pt>
                <c:pt idx="17">
                  <c:v>-28.899999999999995</c:v>
                </c:pt>
                <c:pt idx="18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8-414F-9973-5D90149F3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-111.11111111111111</c:v>
                </c:pt>
                <c:pt idx="1">
                  <c:v>111.11111111111111</c:v>
                </c:pt>
                <c:pt idx="2">
                  <c:v>-55.555555555555557</c:v>
                </c:pt>
                <c:pt idx="3">
                  <c:v>55.555555555555557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6F-42D4-BA19-D06E04A0B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6-433A-B7E3-E4644F7CA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たかの!$L$2:$L$5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-31.5</c:v>
                </c:pt>
                <c:pt idx="2">
                  <c:v>2</c:v>
                </c:pt>
                <c:pt idx="3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7-4AAA-ABEF-3876AA78C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2500</c:v>
                </c:pt>
                <c:pt idx="1">
                  <c:v>2333.3333333333335</c:v>
                </c:pt>
                <c:pt idx="2">
                  <c:v>1800</c:v>
                </c:pt>
                <c:pt idx="3">
                  <c:v>-2833.3333333333335</c:v>
                </c:pt>
                <c:pt idx="4">
                  <c:v>2833.3333333333335</c:v>
                </c:pt>
                <c:pt idx="5">
                  <c:v>-2950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F-473B-8FB1-7BCA7C1C3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6-4220-85A9-A7E77049D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れんたろう!$L$2:$L$3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95-419C-A6BD-4D202B6CA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-8000</c:v>
                </c:pt>
                <c:pt idx="1">
                  <c:v>0</c:v>
                </c:pt>
                <c:pt idx="2">
                  <c:v>500</c:v>
                </c:pt>
                <c:pt idx="3">
                  <c:v>0</c:v>
                </c:pt>
                <c:pt idx="4">
                  <c:v>6400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7B-438A-BCBD-867B43EAD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7E-4B49-BB91-0D289964B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だいち!$L$2:$L$7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38.4</c:v>
                </c:pt>
                <c:pt idx="2">
                  <c:v>5.6000000000000014</c:v>
                </c:pt>
                <c:pt idx="3">
                  <c:v>31.900000000000002</c:v>
                </c:pt>
                <c:pt idx="4">
                  <c:v>53.400000000000006</c:v>
                </c:pt>
                <c:pt idx="5">
                  <c:v>44.7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9D-44BE-BF50-374F23E74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-2900</c:v>
                </c:pt>
                <c:pt idx="1">
                  <c:v>600</c:v>
                </c:pt>
                <c:pt idx="2">
                  <c:v>2680</c:v>
                </c:pt>
                <c:pt idx="3">
                  <c:v>1520</c:v>
                </c:pt>
                <c:pt idx="4">
                  <c:v>840</c:v>
                </c:pt>
                <c:pt idx="5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2B-4D11-BB6A-9E39562D3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11-4BD9-B656-08597B6BC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-0.7</c:v>
                </c:pt>
                <c:pt idx="2">
                  <c:v>18.7</c:v>
                </c:pt>
                <c:pt idx="3">
                  <c:v>24</c:v>
                </c:pt>
                <c:pt idx="4">
                  <c:v>52.9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11-4F50-9741-3EBDF7D45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7150</c:v>
                </c:pt>
                <c:pt idx="1">
                  <c:v>-3775</c:v>
                </c:pt>
                <c:pt idx="2">
                  <c:v>175</c:v>
                </c:pt>
                <c:pt idx="3">
                  <c:v>1475</c:v>
                </c:pt>
                <c:pt idx="4">
                  <c:v>-2950</c:v>
                </c:pt>
                <c:pt idx="5">
                  <c:v>6150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B-4CE7-AC37-742DFB286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3F-45CC-B0D3-1282C2490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まっつん!$L$2:$L$6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-38.299999999999997</c:v>
                </c:pt>
                <c:pt idx="2">
                  <c:v>-30.9</c:v>
                </c:pt>
                <c:pt idx="3">
                  <c:v>-57.7</c:v>
                </c:pt>
                <c:pt idx="4">
                  <c:v>-77.900000000000006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A-4A3E-BE63-9548DA5CE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-3250</c:v>
                </c:pt>
                <c:pt idx="1">
                  <c:v>5775</c:v>
                </c:pt>
                <c:pt idx="2">
                  <c:v>-5775</c:v>
                </c:pt>
                <c:pt idx="3">
                  <c:v>-1000</c:v>
                </c:pt>
                <c:pt idx="4">
                  <c:v>-4250</c:v>
                </c:pt>
                <c:pt idx="5">
                  <c:v>-3475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40-475A-837F-E3E8E07CF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D7-4ECB-AFB4-D9BB085F5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34-4E11-9568-F9260E490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-2600</c:v>
                </c:pt>
                <c:pt idx="1">
                  <c:v>-16000</c:v>
                </c:pt>
                <c:pt idx="2">
                  <c:v>2100</c:v>
                </c:pt>
                <c:pt idx="3">
                  <c:v>0</c:v>
                </c:pt>
                <c:pt idx="4">
                  <c:v>9700</c:v>
                </c:pt>
                <c:pt idx="5">
                  <c:v>-10000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8E-4FF5-9B0F-B72E8567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E5-4C9E-8342-E6F8733B8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-26.8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りくと2!$C$3:$C$4</c:f>
              <c:numCache>
                <c:formatCode>\+0.0;\-0.0;\±0</c:formatCode>
                <c:ptCount val="2"/>
                <c:pt idx="1">
                  <c:v>-26.8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73729821555833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りくと2!$G$3:$G$4</c:f>
              <c:numCache>
                <c:formatCode>0.0%</c:formatCode>
                <c:ptCount val="2"/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4814814814814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りくと2!$H$3:$H$4</c:f>
              <c:numCache>
                <c:formatCode>0.0%</c:formatCode>
                <c:ptCount val="2"/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91358024691358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りくと2!$I$3:$I$4</c:f>
              <c:numCache>
                <c:formatCode>0</c:formatCode>
                <c:ptCount val="2"/>
                <c:pt idx="1">
                  <c:v>5850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605.88235294117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りくと2!$J$3:$J$4</c:f>
              <c:numCache>
                <c:formatCode>0</c:formatCode>
                <c:ptCount val="2"/>
                <c:pt idx="1">
                  <c:v>-5833.333333333333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725.80645161290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りくと2!$L$3:$L$4</c:f>
              <c:numCache>
                <c:formatCode>0.0%</c:formatCode>
                <c:ptCount val="2"/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2222222222222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りくと2!$M$3:$M$4</c:f>
              <c:numCache>
                <c:formatCode>0.0%</c:formatCode>
                <c:ptCount val="2"/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716049382716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りくと2!$N$3:$N$4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4444444444444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りくと2!$O$3:$O$4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1698113207547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りくと2!$P$3:$P$4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156862745098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4E73BA2-FFC5-4B0C-8279-0CF686D16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C0CC7E-20C5-4B02-A54F-C89BB37B0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AF1D660-EFB7-4D74-AAB4-5D4C255E5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6C0B068-9DCE-49AA-8AB6-9DC202F8C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3E0C38-5065-40D7-B4FC-89551037A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F4E56B-E489-4F0B-BA85-D582E07823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B3A9B4-2FCC-470B-8FD1-5BC5FC57C5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1911773-2517-4A36-B993-EA5867C47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F769533-045B-42C8-9B84-9D7DB5DD13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4CC28A-B83C-46D3-AFBA-AF1106E93E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91DDCAE-9D8E-4C8E-A89A-D5086745D2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882601-3A90-4600-926A-38BA00F23E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FA4405-1FAE-4A88-94FB-F6C0DF2834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A9922F4-C6A4-4609-96BE-DC00FAF79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9674A77-3AF0-4AE3-AE9F-9DBDFAE84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D978EA-6537-4A03-93ED-17AE8A430F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26B14B0-1FBE-488F-B422-7C014EF137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9E9F6EE-E4EF-443A-96B9-4B0324483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0F50455-1EC8-43E5-91DE-2481AAB3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046DE5-233A-46E5-B072-A24FA2D62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30D6267-21EC-46E8-929E-5FAAF65047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>IF(B$15=0,0,G3/B$15)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>IF(B$15=0,0,G4/B$15)</f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>IF(B$15=0,0,G5/B$15)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>IF(B$15=0,0,G6/B$15)</f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1">IF(B$2=0,0,B7/B$2)</f>
        <v>0</v>
      </c>
      <c r="E7" s="59" t="s">
        <v>69</v>
      </c>
      <c r="F7" s="26" t="s">
        <v>24</v>
      </c>
      <c r="G7" s="14">
        <v>0</v>
      </c>
      <c r="H7" s="129">
        <f>IF(B$15=0,0,G7/B$15)</f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1"/>
        <v>0</v>
      </c>
      <c r="E8" s="59" t="s">
        <v>70</v>
      </c>
      <c r="F8" s="26" t="s">
        <v>25</v>
      </c>
      <c r="G8" s="14">
        <v>0</v>
      </c>
      <c r="H8" s="129">
        <f>IF(B$15=0,0,G8/B$15)</f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1"/>
        <v>0</v>
      </c>
      <c r="E9" s="59" t="s">
        <v>71</v>
      </c>
      <c r="F9" s="26" t="s">
        <v>26</v>
      </c>
      <c r="G9" s="14">
        <v>0</v>
      </c>
      <c r="H9" s="129">
        <f>IF(B$15=0,0,G9/B$15)</f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72</v>
      </c>
      <c r="F10" s="26" t="s">
        <v>27</v>
      </c>
      <c r="G10" s="14">
        <v>0</v>
      </c>
      <c r="H10" s="129">
        <f>IF(B$15=0,0,G10/B$15)</f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>IF(B$15=0,0,G11/B$15)</f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>IF(B$15=0,0,G12/B$15)</f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>IF(B$15=0,0,G13/B$15)</f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>IF(B$15=0,0,G14/B$15)</f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>IF(B$15=0,0,G15/B$15)</f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>IF(B$15=0,0,G16/B$15)</f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>IF(B$15=0,0,G17/B$15)</f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>IF(B$15=0,0,G18/B$15)</f>
        <v>0</v>
      </c>
      <c r="I18" s="90"/>
    </row>
    <row r="19" spans="1:9" x14ac:dyDescent="0.4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>IF(B$15=0,0,G19/B$15)</f>
        <v>0</v>
      </c>
      <c r="I19" s="90"/>
    </row>
    <row r="20" spans="1:9" x14ac:dyDescent="0.4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>IF(B$15=0,0,G20/B$15)</f>
        <v>0</v>
      </c>
      <c r="I20" s="90"/>
    </row>
    <row r="21" spans="1:9" x14ac:dyDescent="0.4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>IF(B$15=0,0,G21/B$15)</f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>IF(B$15=0,0,G22/B$15)</f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>IF(B$15=0,0,G23/B$15)</f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>IF(B$15=0,0,G24/B$15)</f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>IF(B$15=0,0,G25/B$15)</f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>IF(B$15=0,0,G26/B$15)</f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>IF(B$15=0,0,G27/B$15)</f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>IF(B$15=0,0,G28/B$15)</f>
        <v>0</v>
      </c>
      <c r="I28" s="90"/>
    </row>
    <row r="29" spans="1:9" x14ac:dyDescent="0.4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>IF(B$15=0,0,G29/B$15)</f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>IF(B$15=0,0,G30/B$15)</f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>IF(B$15=0,0,G31/B$15)</f>
        <v>0</v>
      </c>
      <c r="I31" s="90"/>
    </row>
    <row r="32" spans="1:9" x14ac:dyDescent="0.4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>IF(B$15=0,0,G32/B$15)</f>
        <v>0</v>
      </c>
      <c r="I32" s="90"/>
    </row>
    <row r="33" spans="1:9" x14ac:dyDescent="0.4">
      <c r="A33" s="51" t="s">
        <v>181</v>
      </c>
      <c r="B33" s="44">
        <v>0</v>
      </c>
      <c r="C33" s="37">
        <f t="shared" ref="C33:C44" si="2">IF(B$15=0,0,B33/B$15)</f>
        <v>0</v>
      </c>
      <c r="E33" s="59" t="s">
        <v>95</v>
      </c>
      <c r="F33" s="26" t="s">
        <v>50</v>
      </c>
      <c r="G33" s="14">
        <v>0</v>
      </c>
      <c r="H33" s="129">
        <f>IF(B$15=0,0,G33/B$15)</f>
        <v>0</v>
      </c>
      <c r="I33" s="90"/>
    </row>
    <row r="34" spans="1:9" x14ac:dyDescent="0.4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>IF(B$15=0,0,G34/B$15)</f>
        <v>0</v>
      </c>
      <c r="I34" s="90"/>
    </row>
    <row r="35" spans="1:9" x14ac:dyDescent="0.4">
      <c r="A35" s="51" t="s">
        <v>183</v>
      </c>
      <c r="B35" s="139">
        <v>0</v>
      </c>
      <c r="C35" s="37">
        <f t="shared" si="2"/>
        <v>0</v>
      </c>
      <c r="E35" s="59" t="s">
        <v>97</v>
      </c>
      <c r="F35" s="26" t="s">
        <v>52</v>
      </c>
      <c r="G35" s="14">
        <v>0</v>
      </c>
      <c r="H35" s="129">
        <f>IF(B$15=0,0,G35/B$15)</f>
        <v>0</v>
      </c>
      <c r="I35" s="90"/>
    </row>
    <row r="36" spans="1:9" x14ac:dyDescent="0.4">
      <c r="A36" s="51" t="s">
        <v>184</v>
      </c>
      <c r="B36" s="139">
        <v>0</v>
      </c>
      <c r="C36" s="37">
        <f t="shared" si="2"/>
        <v>0</v>
      </c>
      <c r="E36" s="59" t="s">
        <v>98</v>
      </c>
      <c r="F36" s="26" t="s">
        <v>53</v>
      </c>
      <c r="G36" s="14">
        <v>0</v>
      </c>
      <c r="H36" s="129">
        <f>IF(B$15=0,0,G36/B$15)</f>
        <v>0</v>
      </c>
      <c r="I36" s="90"/>
    </row>
    <row r="37" spans="1:9" x14ac:dyDescent="0.4">
      <c r="A37" s="51" t="s">
        <v>186</v>
      </c>
      <c r="B37" s="139">
        <v>0</v>
      </c>
      <c r="C37" s="37">
        <f t="shared" si="2"/>
        <v>0</v>
      </c>
      <c r="E37" s="59" t="s">
        <v>99</v>
      </c>
      <c r="F37" s="26" t="s">
        <v>54</v>
      </c>
      <c r="G37" s="14">
        <v>0</v>
      </c>
      <c r="H37" s="129">
        <f>IF(B$15=0,0,G37/B$15)</f>
        <v>0</v>
      </c>
      <c r="I37" s="90"/>
    </row>
    <row r="38" spans="1:9" x14ac:dyDescent="0.4">
      <c r="A38" s="51" t="s">
        <v>187</v>
      </c>
      <c r="B38" s="139">
        <v>0</v>
      </c>
      <c r="C38" s="37">
        <f t="shared" si="2"/>
        <v>0</v>
      </c>
      <c r="E38" s="59" t="s">
        <v>100</v>
      </c>
      <c r="F38" s="26" t="s">
        <v>55</v>
      </c>
      <c r="G38" s="14">
        <v>0</v>
      </c>
      <c r="H38" s="129">
        <f>IF(B$15=0,0,G38/B$15)</f>
        <v>0</v>
      </c>
      <c r="I38" s="90"/>
    </row>
    <row r="39" spans="1:9" x14ac:dyDescent="0.4">
      <c r="A39" s="51" t="s">
        <v>188</v>
      </c>
      <c r="B39" s="139">
        <v>0</v>
      </c>
      <c r="C39" s="37">
        <f t="shared" si="2"/>
        <v>0</v>
      </c>
      <c r="E39" s="59" t="s">
        <v>101</v>
      </c>
      <c r="F39" s="26" t="s">
        <v>56</v>
      </c>
      <c r="G39" s="14">
        <v>0</v>
      </c>
      <c r="H39" s="129">
        <f>IF(B$15=0,0,G39/B$15)</f>
        <v>0</v>
      </c>
      <c r="I39" s="90"/>
    </row>
    <row r="40" spans="1:9" x14ac:dyDescent="0.4">
      <c r="A40" s="51" t="s">
        <v>189</v>
      </c>
      <c r="B40" s="139">
        <v>0</v>
      </c>
      <c r="C40" s="37">
        <f t="shared" si="2"/>
        <v>0</v>
      </c>
      <c r="E40" s="59" t="s">
        <v>102</v>
      </c>
      <c r="F40" s="26" t="s">
        <v>57</v>
      </c>
      <c r="G40" s="14">
        <v>0</v>
      </c>
      <c r="H40" s="129">
        <f>IF(B$15=0,0,G40/B$15)</f>
        <v>0</v>
      </c>
      <c r="I40" s="90"/>
    </row>
    <row r="41" spans="1:9" x14ac:dyDescent="0.4">
      <c r="A41" s="51" t="s">
        <v>190</v>
      </c>
      <c r="B41" s="139">
        <v>0</v>
      </c>
      <c r="C41" s="37">
        <f t="shared" si="2"/>
        <v>0</v>
      </c>
      <c r="E41" s="59" t="s">
        <v>103</v>
      </c>
      <c r="F41" s="26" t="s">
        <v>58</v>
      </c>
      <c r="G41" s="14">
        <v>0</v>
      </c>
      <c r="H41" s="129">
        <f>IF(B$15=0,0,G41/B$15)</f>
        <v>0</v>
      </c>
      <c r="I41" s="90"/>
    </row>
    <row r="42" spans="1:9" x14ac:dyDescent="0.4">
      <c r="A42" s="51" t="s">
        <v>191</v>
      </c>
      <c r="B42" s="139">
        <v>0</v>
      </c>
      <c r="C42" s="37">
        <f t="shared" si="2"/>
        <v>0</v>
      </c>
      <c r="E42" s="59" t="s">
        <v>104</v>
      </c>
      <c r="F42" s="26" t="s">
        <v>59</v>
      </c>
      <c r="G42" s="14">
        <v>0</v>
      </c>
      <c r="H42" s="129">
        <f>IF(B$15=0,0,G42/B$15)</f>
        <v>0</v>
      </c>
      <c r="I42" s="90"/>
    </row>
    <row r="43" spans="1:9" x14ac:dyDescent="0.4">
      <c r="A43" s="51" t="s">
        <v>192</v>
      </c>
      <c r="B43" s="139">
        <v>0</v>
      </c>
      <c r="C43" s="37">
        <f t="shared" si="2"/>
        <v>0</v>
      </c>
      <c r="E43" s="59" t="s">
        <v>105</v>
      </c>
      <c r="F43" s="26" t="s">
        <v>112</v>
      </c>
      <c r="G43" s="14">
        <v>0</v>
      </c>
      <c r="H43" s="129">
        <f>IF(B$15=0,0,G43/B$15)</f>
        <v>0</v>
      </c>
      <c r="I43" s="90"/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106</v>
      </c>
      <c r="F44" s="26" t="s">
        <v>113</v>
      </c>
      <c r="G44" s="14">
        <v>0</v>
      </c>
      <c r="H44" s="129">
        <f>IF(B$15=0,0,G44/B$15)</f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>IF(B$15=0,0,G45/B$15)</f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>IF(B$15=0,0,G46/B$15)</f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>IF(B$15=0,0,G47/B$15)</f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>IF(B$15=0,0,G48/B$15)</f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>IF(B$15=0,0,G49/B$15)</f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>IF(B$15=0,0,G50/B$15)</f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>IF(B$15=0,0,G51/B$15)</f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3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7" x14ac:dyDescent="0.4">
      <c r="A1" s="27">
        <v>43787</v>
      </c>
      <c r="B1" s="27">
        <v>2958465</v>
      </c>
    </row>
    <row r="2" spans="1:7" x14ac:dyDescent="0.4">
      <c r="A2" s="28" t="s">
        <v>179</v>
      </c>
      <c r="B2" s="29">
        <v>43787.745706018519</v>
      </c>
      <c r="C2" s="28" t="s">
        <v>128</v>
      </c>
    </row>
    <row r="3" spans="1:7" x14ac:dyDescent="0.4">
      <c r="A3" s="28" t="s">
        <v>180</v>
      </c>
      <c r="B3" s="29">
        <v>43789.053402777776</v>
      </c>
      <c r="C3" s="28" t="s">
        <v>128</v>
      </c>
      <c r="D3" s="28" t="s">
        <v>129</v>
      </c>
      <c r="E3" s="28" t="s">
        <v>173</v>
      </c>
      <c r="F3" s="28" t="s">
        <v>174</v>
      </c>
      <c r="G3" s="28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7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18</v>
      </c>
    </row>
    <row r="2" spans="1:2" x14ac:dyDescent="0.4">
      <c r="A2" t="s">
        <v>161</v>
      </c>
      <c r="B2">
        <v>3</v>
      </c>
    </row>
    <row r="3" spans="1:2" x14ac:dyDescent="0.4">
      <c r="A3" t="s">
        <v>170</v>
      </c>
      <c r="B3">
        <v>1</v>
      </c>
    </row>
    <row r="4" spans="1:2" x14ac:dyDescent="0.4">
      <c r="A4" t="s">
        <v>126</v>
      </c>
      <c r="B4">
        <v>5</v>
      </c>
    </row>
    <row r="5" spans="1:2" x14ac:dyDescent="0.4">
      <c r="A5" t="s">
        <v>127</v>
      </c>
      <c r="B5">
        <v>4</v>
      </c>
    </row>
    <row r="6" spans="1:2" x14ac:dyDescent="0.4">
      <c r="A6" t="s">
        <v>171</v>
      </c>
      <c r="B6">
        <v>4</v>
      </c>
    </row>
    <row r="7" spans="1:2" x14ac:dyDescent="0.4">
      <c r="A7" t="s">
        <v>172</v>
      </c>
      <c r="B7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9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194</v>
      </c>
      <c r="AG1" s="165"/>
    </row>
    <row r="2" spans="1:33" x14ac:dyDescent="0.4">
      <c r="A2" s="68" t="s">
        <v>154</v>
      </c>
      <c r="B2" s="166"/>
      <c r="C2" s="167"/>
      <c r="D2" s="166"/>
      <c r="E2" s="167"/>
      <c r="F2" s="162" t="s">
        <v>198</v>
      </c>
      <c r="G2" s="163"/>
      <c r="H2" s="162" t="s">
        <v>198</v>
      </c>
      <c r="I2" s="163"/>
      <c r="J2" s="162" t="s">
        <v>198</v>
      </c>
      <c r="K2" s="163"/>
      <c r="L2" s="162" t="s">
        <v>198</v>
      </c>
      <c r="M2" s="163"/>
      <c r="N2" s="162" t="s">
        <v>198</v>
      </c>
      <c r="O2" s="163"/>
      <c r="P2" s="162" t="s">
        <v>198</v>
      </c>
      <c r="Q2" s="163"/>
      <c r="R2" s="162" t="s">
        <v>198</v>
      </c>
      <c r="S2" s="163"/>
      <c r="T2" s="162" t="s">
        <v>198</v>
      </c>
      <c r="U2" s="163"/>
      <c r="V2" s="162" t="s">
        <v>198</v>
      </c>
      <c r="W2" s="163"/>
      <c r="X2" s="162" t="s">
        <v>198</v>
      </c>
      <c r="Y2" s="163"/>
      <c r="Z2" s="162" t="s">
        <v>198</v>
      </c>
      <c r="AA2" s="163"/>
      <c r="AB2" s="162" t="s">
        <v>198</v>
      </c>
      <c r="AC2" s="163"/>
      <c r="AD2" s="162" t="s">
        <v>198</v>
      </c>
      <c r="AE2" s="163"/>
      <c r="AF2" s="162" t="s">
        <v>198</v>
      </c>
      <c r="AG2" s="163"/>
    </row>
    <row r="3" spans="1:33" x14ac:dyDescent="0.4">
      <c r="A3" s="70">
        <v>1</v>
      </c>
      <c r="B3" s="71" t="s">
        <v>127</v>
      </c>
      <c r="C3" s="72">
        <v>52.9</v>
      </c>
      <c r="D3" s="73" t="s">
        <v>127</v>
      </c>
      <c r="E3" s="92">
        <v>13.225</v>
      </c>
      <c r="F3" s="73" t="s">
        <v>127</v>
      </c>
      <c r="G3" s="74">
        <v>1.5</v>
      </c>
      <c r="H3" s="73" t="s">
        <v>126</v>
      </c>
      <c r="I3" s="75">
        <v>0.6</v>
      </c>
      <c r="J3" s="73" t="s">
        <v>170</v>
      </c>
      <c r="K3" s="75">
        <v>0</v>
      </c>
      <c r="L3" s="73" t="s">
        <v>127</v>
      </c>
      <c r="M3" s="76">
        <v>0.3888888888888889</v>
      </c>
      <c r="N3" s="73" t="s">
        <v>161</v>
      </c>
      <c r="O3" s="76">
        <v>0.125</v>
      </c>
      <c r="P3" s="73" t="s">
        <v>127</v>
      </c>
      <c r="Q3" s="77">
        <v>7492.8571428571431</v>
      </c>
      <c r="R3" s="73" t="s">
        <v>127</v>
      </c>
      <c r="S3" s="77">
        <v>-4862.5</v>
      </c>
      <c r="T3" s="73" t="s">
        <v>141</v>
      </c>
      <c r="U3" s="75">
        <v>0</v>
      </c>
      <c r="V3" s="73" t="s">
        <v>172</v>
      </c>
      <c r="W3" s="76">
        <v>0.3</v>
      </c>
      <c r="X3" s="73" t="s">
        <v>161</v>
      </c>
      <c r="Y3" s="76">
        <v>0.375</v>
      </c>
      <c r="Z3" s="73" t="s">
        <v>126</v>
      </c>
      <c r="AA3" s="76">
        <v>0.72727272727272729</v>
      </c>
      <c r="AB3" s="73" t="s">
        <v>161</v>
      </c>
      <c r="AC3" s="76">
        <v>0.66666666666666663</v>
      </c>
      <c r="AD3" s="73" t="s">
        <v>170</v>
      </c>
      <c r="AE3" s="76">
        <v>1</v>
      </c>
      <c r="AF3" s="73" t="s">
        <v>141</v>
      </c>
      <c r="AG3" s="87">
        <v>63400</v>
      </c>
    </row>
    <row r="4" spans="1:33" x14ac:dyDescent="0.4">
      <c r="A4" s="78">
        <v>2</v>
      </c>
      <c r="B4" s="79" t="s">
        <v>126</v>
      </c>
      <c r="C4" s="80">
        <v>44.7</v>
      </c>
      <c r="D4" s="81" t="s">
        <v>126</v>
      </c>
      <c r="E4" s="93">
        <v>8.9400000000000013</v>
      </c>
      <c r="F4" s="81" t="s">
        <v>126</v>
      </c>
      <c r="G4" s="82">
        <v>1.6</v>
      </c>
      <c r="H4" s="81" t="s">
        <v>127</v>
      </c>
      <c r="I4" s="83">
        <v>0.5</v>
      </c>
      <c r="J4" s="81" t="s">
        <v>127</v>
      </c>
      <c r="K4" s="83">
        <v>0</v>
      </c>
      <c r="L4" s="81" t="s">
        <v>161</v>
      </c>
      <c r="M4" s="84">
        <v>0.375</v>
      </c>
      <c r="N4" s="81" t="s">
        <v>126</v>
      </c>
      <c r="O4" s="84">
        <v>0.13636363636363635</v>
      </c>
      <c r="P4" s="81" t="s">
        <v>126</v>
      </c>
      <c r="Q4" s="85">
        <v>6653.333333333333</v>
      </c>
      <c r="R4" s="81" t="s">
        <v>171</v>
      </c>
      <c r="S4" s="85">
        <v>-5225</v>
      </c>
      <c r="T4" s="81" t="s">
        <v>161</v>
      </c>
      <c r="U4" s="83">
        <v>0</v>
      </c>
      <c r="V4" s="81" t="s">
        <v>161</v>
      </c>
      <c r="W4" s="84">
        <v>0.25</v>
      </c>
      <c r="X4" s="81" t="s">
        <v>170</v>
      </c>
      <c r="Y4" s="84">
        <v>0.375</v>
      </c>
      <c r="Z4" s="81" t="s">
        <v>172</v>
      </c>
      <c r="AA4" s="84">
        <v>0.66666666666666663</v>
      </c>
      <c r="AB4" s="81" t="s">
        <v>171</v>
      </c>
      <c r="AC4" s="84">
        <v>0.6</v>
      </c>
      <c r="AD4" s="81" t="s">
        <v>172</v>
      </c>
      <c r="AE4" s="84">
        <v>1</v>
      </c>
      <c r="AF4" s="81" t="s">
        <v>126</v>
      </c>
      <c r="AG4" s="88">
        <v>63400</v>
      </c>
    </row>
    <row r="5" spans="1:33" x14ac:dyDescent="0.4">
      <c r="A5" s="78">
        <v>3</v>
      </c>
      <c r="B5" s="79" t="s">
        <v>161</v>
      </c>
      <c r="C5" s="80">
        <v>14</v>
      </c>
      <c r="D5" s="81" t="s">
        <v>161</v>
      </c>
      <c r="E5" s="93">
        <v>4.666666666666667</v>
      </c>
      <c r="F5" s="81" t="s">
        <v>141</v>
      </c>
      <c r="G5" s="82">
        <v>2</v>
      </c>
      <c r="H5" s="81" t="s">
        <v>141</v>
      </c>
      <c r="I5" s="83">
        <v>0.33333333333333331</v>
      </c>
      <c r="J5" s="81" t="s">
        <v>126</v>
      </c>
      <c r="K5" s="83">
        <v>0.2</v>
      </c>
      <c r="L5" s="81" t="s">
        <v>126</v>
      </c>
      <c r="M5" s="84">
        <v>0.34090909090909088</v>
      </c>
      <c r="N5" s="81" t="s">
        <v>141</v>
      </c>
      <c r="O5" s="84">
        <v>0.19135802469135801</v>
      </c>
      <c r="P5" s="81" t="s">
        <v>141</v>
      </c>
      <c r="Q5" s="85">
        <v>6605.8823529411766</v>
      </c>
      <c r="R5" s="81" t="s">
        <v>141</v>
      </c>
      <c r="S5" s="85">
        <v>-5725.8064516129034</v>
      </c>
      <c r="T5" s="81" t="s">
        <v>170</v>
      </c>
      <c r="U5" s="83">
        <v>0</v>
      </c>
      <c r="V5" s="81" t="s">
        <v>126</v>
      </c>
      <c r="W5" s="84">
        <v>0.25</v>
      </c>
      <c r="X5" s="81" t="s">
        <v>126</v>
      </c>
      <c r="Y5" s="84">
        <v>0.36363636363636365</v>
      </c>
      <c r="Z5" s="81" t="s">
        <v>141</v>
      </c>
      <c r="AA5" s="84">
        <v>0.44444444444444442</v>
      </c>
      <c r="AB5" s="81" t="s">
        <v>127</v>
      </c>
      <c r="AC5" s="84">
        <v>0.53846153846153844</v>
      </c>
      <c r="AD5" s="81" t="s">
        <v>171</v>
      </c>
      <c r="AE5" s="84">
        <v>0.44444444444444442</v>
      </c>
      <c r="AF5" s="81" t="s">
        <v>161</v>
      </c>
      <c r="AG5" s="88">
        <v>58500</v>
      </c>
    </row>
    <row r="6" spans="1:33" x14ac:dyDescent="0.4">
      <c r="A6" s="78">
        <v>4</v>
      </c>
      <c r="B6" s="79" t="s">
        <v>141</v>
      </c>
      <c r="C6" s="80">
        <v>3.5527136788005009E-15</v>
      </c>
      <c r="D6" s="81" t="s">
        <v>141</v>
      </c>
      <c r="E6" s="93">
        <v>1.9737298215558337E-16</v>
      </c>
      <c r="F6" s="81" t="s">
        <v>161</v>
      </c>
      <c r="G6" s="82">
        <v>2</v>
      </c>
      <c r="H6" s="81" t="s">
        <v>161</v>
      </c>
      <c r="I6" s="83">
        <v>0.33333333333333331</v>
      </c>
      <c r="J6" s="81" t="s">
        <v>141</v>
      </c>
      <c r="K6" s="83">
        <v>0.33333333333333331</v>
      </c>
      <c r="L6" s="81" t="s">
        <v>141</v>
      </c>
      <c r="M6" s="84">
        <v>0.31481481481481483</v>
      </c>
      <c r="N6" s="81" t="s">
        <v>171</v>
      </c>
      <c r="O6" s="84">
        <v>0.2</v>
      </c>
      <c r="P6" s="81" t="s">
        <v>170</v>
      </c>
      <c r="Q6" s="85">
        <v>6300</v>
      </c>
      <c r="R6" s="81" t="s">
        <v>172</v>
      </c>
      <c r="S6" s="85">
        <v>-5833.333333333333</v>
      </c>
      <c r="T6" s="81" t="s">
        <v>126</v>
      </c>
      <c r="U6" s="83">
        <v>0</v>
      </c>
      <c r="V6" s="81" t="s">
        <v>171</v>
      </c>
      <c r="W6" s="84">
        <v>0.22500000000000001</v>
      </c>
      <c r="X6" s="81" t="s">
        <v>127</v>
      </c>
      <c r="Y6" s="84">
        <v>0.3611111111111111</v>
      </c>
      <c r="Z6" s="81" t="s">
        <v>161</v>
      </c>
      <c r="AA6" s="84">
        <v>0.33333333333333331</v>
      </c>
      <c r="AB6" s="81" t="s">
        <v>141</v>
      </c>
      <c r="AC6" s="84">
        <v>0.47169811320754718</v>
      </c>
      <c r="AD6" s="81" t="s">
        <v>126</v>
      </c>
      <c r="AE6" s="84">
        <v>0.4</v>
      </c>
      <c r="AF6" s="81" t="s">
        <v>127</v>
      </c>
      <c r="AG6" s="88">
        <v>53900</v>
      </c>
    </row>
    <row r="7" spans="1:33" x14ac:dyDescent="0.4">
      <c r="A7" s="78">
        <v>5</v>
      </c>
      <c r="B7" s="79" t="s">
        <v>170</v>
      </c>
      <c r="C7" s="80">
        <v>-6.9</v>
      </c>
      <c r="D7" s="81" t="s">
        <v>170</v>
      </c>
      <c r="E7" s="93">
        <v>-6.9</v>
      </c>
      <c r="F7" s="81" t="s">
        <v>170</v>
      </c>
      <c r="G7" s="82">
        <v>2</v>
      </c>
      <c r="H7" s="81" t="s">
        <v>170</v>
      </c>
      <c r="I7" s="83">
        <v>0</v>
      </c>
      <c r="J7" s="81" t="s">
        <v>161</v>
      </c>
      <c r="K7" s="83">
        <v>0.33333333333333331</v>
      </c>
      <c r="L7" s="81" t="s">
        <v>170</v>
      </c>
      <c r="M7" s="84">
        <v>0.25</v>
      </c>
      <c r="N7" s="81" t="s">
        <v>127</v>
      </c>
      <c r="O7" s="84">
        <v>0.22222222222222221</v>
      </c>
      <c r="P7" s="81" t="s">
        <v>171</v>
      </c>
      <c r="Q7" s="85">
        <v>6100</v>
      </c>
      <c r="R7" s="81" t="s">
        <v>126</v>
      </c>
      <c r="S7" s="85">
        <v>-6183.333333333333</v>
      </c>
      <c r="T7" s="81" t="s">
        <v>127</v>
      </c>
      <c r="U7" s="83">
        <v>0</v>
      </c>
      <c r="V7" s="81" t="s">
        <v>141</v>
      </c>
      <c r="W7" s="84">
        <v>0.22222222222222221</v>
      </c>
      <c r="X7" s="81" t="s">
        <v>141</v>
      </c>
      <c r="Y7" s="84">
        <v>0.3271604938271605</v>
      </c>
      <c r="Z7" s="81" t="s">
        <v>127</v>
      </c>
      <c r="AA7" s="84">
        <v>0.33333333333333331</v>
      </c>
      <c r="AB7" s="81" t="s">
        <v>170</v>
      </c>
      <c r="AC7" s="84">
        <v>0.33333333333333331</v>
      </c>
      <c r="AD7" s="81" t="s">
        <v>141</v>
      </c>
      <c r="AE7" s="84">
        <v>0.39215686274509803</v>
      </c>
      <c r="AF7" s="81" t="s">
        <v>171</v>
      </c>
      <c r="AG7" s="88">
        <v>42400</v>
      </c>
    </row>
    <row r="8" spans="1:33" x14ac:dyDescent="0.4">
      <c r="A8" s="78">
        <v>6</v>
      </c>
      <c r="B8" s="79" t="s">
        <v>172</v>
      </c>
      <c r="C8" s="80">
        <v>-26.8</v>
      </c>
      <c r="D8" s="81" t="s">
        <v>171</v>
      </c>
      <c r="E8" s="93">
        <v>-19.475000000000001</v>
      </c>
      <c r="F8" s="81" t="s">
        <v>171</v>
      </c>
      <c r="G8" s="82">
        <v>2.75</v>
      </c>
      <c r="H8" s="81" t="s">
        <v>171</v>
      </c>
      <c r="I8" s="83">
        <v>0</v>
      </c>
      <c r="J8" s="81" t="s">
        <v>171</v>
      </c>
      <c r="K8" s="83">
        <v>0.75</v>
      </c>
      <c r="L8" s="81" t="s">
        <v>171</v>
      </c>
      <c r="M8" s="84">
        <v>0.22500000000000001</v>
      </c>
      <c r="N8" s="81" t="s">
        <v>172</v>
      </c>
      <c r="O8" s="84">
        <v>0.3</v>
      </c>
      <c r="P8" s="81" t="s">
        <v>161</v>
      </c>
      <c r="Q8" s="85">
        <v>5888.8888888888887</v>
      </c>
      <c r="R8" s="81" t="s">
        <v>170</v>
      </c>
      <c r="S8" s="85">
        <v>-6333.333333333333</v>
      </c>
      <c r="T8" s="81" t="s">
        <v>171</v>
      </c>
      <c r="U8" s="83">
        <v>0</v>
      </c>
      <c r="V8" s="81" t="s">
        <v>127</v>
      </c>
      <c r="W8" s="84">
        <v>0.16666666666666666</v>
      </c>
      <c r="X8" s="81" t="s">
        <v>171</v>
      </c>
      <c r="Y8" s="84">
        <v>0.25</v>
      </c>
      <c r="Z8" s="81" t="s">
        <v>171</v>
      </c>
      <c r="AA8" s="84">
        <v>0.22222222222222221</v>
      </c>
      <c r="AB8" s="81" t="s">
        <v>126</v>
      </c>
      <c r="AC8" s="84">
        <v>0.3125</v>
      </c>
      <c r="AD8" s="81" t="s">
        <v>127</v>
      </c>
      <c r="AE8" s="84">
        <v>0.35714285714285715</v>
      </c>
      <c r="AF8" s="81" t="s">
        <v>170</v>
      </c>
      <c r="AG8" s="88">
        <v>28100</v>
      </c>
    </row>
    <row r="9" spans="1:33" x14ac:dyDescent="0.4">
      <c r="A9" s="78">
        <v>7</v>
      </c>
      <c r="B9" s="79" t="s">
        <v>171</v>
      </c>
      <c r="C9" s="80">
        <v>-77.900000000000006</v>
      </c>
      <c r="D9" s="81" t="s">
        <v>172</v>
      </c>
      <c r="E9" s="93">
        <v>-26.8</v>
      </c>
      <c r="F9" s="81" t="s">
        <v>172</v>
      </c>
      <c r="G9" s="82">
        <v>3</v>
      </c>
      <c r="H9" s="81" t="s">
        <v>172</v>
      </c>
      <c r="I9" s="83">
        <v>0</v>
      </c>
      <c r="J9" s="81" t="s">
        <v>172</v>
      </c>
      <c r="K9" s="83">
        <v>1</v>
      </c>
      <c r="L9" s="81" t="s">
        <v>172</v>
      </c>
      <c r="M9" s="84">
        <v>0.2</v>
      </c>
      <c r="N9" s="81" t="s">
        <v>170</v>
      </c>
      <c r="O9" s="84">
        <v>0.375</v>
      </c>
      <c r="P9" s="81" t="s">
        <v>172</v>
      </c>
      <c r="Q9" s="85">
        <v>5850</v>
      </c>
      <c r="R9" s="81" t="s">
        <v>161</v>
      </c>
      <c r="S9" s="85">
        <v>-7733.333333333333</v>
      </c>
      <c r="T9" s="81" t="s">
        <v>172</v>
      </c>
      <c r="U9" s="83">
        <v>0</v>
      </c>
      <c r="V9" s="81" t="s">
        <v>170</v>
      </c>
      <c r="W9" s="84">
        <v>0.125</v>
      </c>
      <c r="X9" s="81" t="s">
        <v>172</v>
      </c>
      <c r="Y9" s="84">
        <v>0.2</v>
      </c>
      <c r="Z9" s="81" t="s">
        <v>170</v>
      </c>
      <c r="AA9" s="84">
        <v>0</v>
      </c>
      <c r="AB9" s="81" t="s">
        <v>172</v>
      </c>
      <c r="AC9" s="84">
        <v>0</v>
      </c>
      <c r="AD9" s="81" t="s">
        <v>161</v>
      </c>
      <c r="AE9" s="84">
        <v>0.1111111111111111</v>
      </c>
      <c r="AF9" s="81" t="s">
        <v>172</v>
      </c>
      <c r="AG9" s="88">
        <v>18200</v>
      </c>
    </row>
  </sheetData>
  <sortState xmlns:xlrd2="http://schemas.microsoft.com/office/spreadsheetml/2017/richdata2" ref="AF3:AG32">
    <sortCondition descending="1" ref="AG1"/>
  </sortState>
  <mergeCells count="32">
    <mergeCell ref="AD1:AE1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CDA46-A165-4273-8F2D-A220AB135845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18</v>
      </c>
      <c r="C2" s="155"/>
      <c r="E2" s="58" t="s">
        <v>66</v>
      </c>
      <c r="F2" s="55" t="s">
        <v>22</v>
      </c>
      <c r="G2" s="43">
        <v>30</v>
      </c>
      <c r="H2" s="128">
        <f>IF(B$15=0,0,G2/B$15)</f>
        <v>0.58823529411764708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-111.11111111111111</v>
      </c>
      <c r="P2" s="114">
        <v>18</v>
      </c>
      <c r="Q2" s="98">
        <v>-2000</v>
      </c>
    </row>
    <row r="3" spans="1:17" x14ac:dyDescent="0.4">
      <c r="A3" s="51" t="s">
        <v>8</v>
      </c>
      <c r="B3" s="156">
        <v>162</v>
      </c>
      <c r="C3" s="157"/>
      <c r="E3" s="59" t="s">
        <v>72</v>
      </c>
      <c r="F3" s="56" t="s">
        <v>27</v>
      </c>
      <c r="G3" s="44">
        <v>30</v>
      </c>
      <c r="H3" s="129">
        <f>IF(B$15=0,0,G3/B$15)</f>
        <v>0.58823529411764708</v>
      </c>
      <c r="I3" s="90">
        <v>4</v>
      </c>
      <c r="K3" s="36">
        <v>1</v>
      </c>
      <c r="L3" s="95">
        <v>-31.5</v>
      </c>
      <c r="N3" s="111" t="s">
        <v>131</v>
      </c>
      <c r="O3" s="118">
        <f t="shared" si="0"/>
        <v>111.11111111111111</v>
      </c>
      <c r="P3" s="115">
        <v>18</v>
      </c>
      <c r="Q3" s="99">
        <v>2000</v>
      </c>
    </row>
    <row r="4" spans="1:17" x14ac:dyDescent="0.4">
      <c r="A4" s="51" t="s">
        <v>6</v>
      </c>
      <c r="B4" s="158">
        <v>3.5527136788005009E-15</v>
      </c>
      <c r="C4" s="159"/>
      <c r="E4" s="59" t="s">
        <v>64</v>
      </c>
      <c r="F4" s="56" t="s">
        <v>20</v>
      </c>
      <c r="G4" s="44">
        <v>16</v>
      </c>
      <c r="H4" s="129">
        <f>IF(B$15=0,0,G4/B$15)</f>
        <v>0.31372549019607843</v>
      </c>
      <c r="I4" s="90">
        <v>3</v>
      </c>
      <c r="K4" s="36">
        <v>2</v>
      </c>
      <c r="L4" s="95">
        <v>-38.4</v>
      </c>
      <c r="N4" s="111" t="s">
        <v>132</v>
      </c>
      <c r="O4" s="118">
        <f t="shared" si="0"/>
        <v>-55.555555555555557</v>
      </c>
      <c r="P4" s="115">
        <v>18</v>
      </c>
      <c r="Q4" s="99">
        <v>-1000</v>
      </c>
    </row>
    <row r="5" spans="1:17" x14ac:dyDescent="0.4">
      <c r="A5" s="51" t="s">
        <v>7</v>
      </c>
      <c r="B5" s="160">
        <f>IF(B$2=0,0,B$4/B$2)</f>
        <v>1.9737298215558337E-16</v>
      </c>
      <c r="C5" s="161"/>
      <c r="E5" s="59" t="s">
        <v>67</v>
      </c>
      <c r="F5" s="56" t="s">
        <v>23</v>
      </c>
      <c r="G5" s="44">
        <v>14</v>
      </c>
      <c r="H5" s="129">
        <f>IF(B$15=0,0,G5/B$15)</f>
        <v>0.27450980392156865</v>
      </c>
      <c r="I5" s="90">
        <v>2</v>
      </c>
      <c r="K5" s="36">
        <v>3</v>
      </c>
      <c r="L5" s="95">
        <v>0</v>
      </c>
      <c r="N5" s="111" t="s">
        <v>133</v>
      </c>
      <c r="O5" s="118">
        <f t="shared" si="0"/>
        <v>55.555555555555557</v>
      </c>
      <c r="P5" s="115">
        <v>18</v>
      </c>
      <c r="Q5" s="99">
        <v>1000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166</v>
      </c>
      <c r="F6" s="56" t="s">
        <v>167</v>
      </c>
      <c r="G6" s="44">
        <v>11</v>
      </c>
      <c r="H6" s="129">
        <f>IF(B$15=0,0,G6/B$15)</f>
        <v>0.21568627450980393</v>
      </c>
      <c r="I6" s="90">
        <v>5</v>
      </c>
      <c r="K6" s="36">
        <v>4</v>
      </c>
      <c r="L6" s="95">
        <v>33.5</v>
      </c>
      <c r="N6" s="111" t="s">
        <v>134</v>
      </c>
      <c r="O6" s="118">
        <f t="shared" si="0"/>
        <v>0</v>
      </c>
      <c r="P6" s="115">
        <v>18</v>
      </c>
      <c r="Q6" s="99">
        <v>0</v>
      </c>
    </row>
    <row r="7" spans="1:17" x14ac:dyDescent="0.4">
      <c r="A7" s="51" t="s">
        <v>2</v>
      </c>
      <c r="B7" s="44">
        <v>6</v>
      </c>
      <c r="C7" s="37">
        <f t="shared" ref="C7:C10" si="1">IF(B$2=0,0,B7/B$2)</f>
        <v>0.33333333333333331</v>
      </c>
      <c r="E7" s="59" t="s">
        <v>68</v>
      </c>
      <c r="F7" s="56" t="s">
        <v>12</v>
      </c>
      <c r="G7" s="44">
        <v>9</v>
      </c>
      <c r="H7" s="129">
        <f>IF(B$15=0,0,G7/B$15)</f>
        <v>0.17647058823529413</v>
      </c>
      <c r="I7" s="90">
        <v>5</v>
      </c>
      <c r="K7" s="36">
        <v>5</v>
      </c>
      <c r="L7" s="95">
        <v>0.70000000000000284</v>
      </c>
      <c r="N7" s="112" t="s">
        <v>135</v>
      </c>
      <c r="O7" s="119">
        <f t="shared" si="0"/>
        <v>0</v>
      </c>
      <c r="P7" s="116">
        <v>15</v>
      </c>
      <c r="Q7" s="100">
        <v>0</v>
      </c>
    </row>
    <row r="8" spans="1:17" x14ac:dyDescent="0.4">
      <c r="A8" s="51" t="s">
        <v>3</v>
      </c>
      <c r="B8" s="44">
        <v>6</v>
      </c>
      <c r="C8" s="37">
        <f t="shared" si="1"/>
        <v>0.33333333333333331</v>
      </c>
      <c r="E8" s="59" t="s">
        <v>89</v>
      </c>
      <c r="F8" s="56" t="s">
        <v>44</v>
      </c>
      <c r="G8" s="44">
        <v>8</v>
      </c>
      <c r="H8" s="129">
        <f>IF(B$15=0,0,G8/B$15)</f>
        <v>0.15686274509803921</v>
      </c>
      <c r="I8" s="90">
        <v>4</v>
      </c>
      <c r="K8" s="36">
        <v>6</v>
      </c>
      <c r="L8" s="95">
        <v>2.886579864025407E-15</v>
      </c>
      <c r="N8" s="41"/>
      <c r="O8" s="123"/>
      <c r="P8" s="107"/>
      <c r="Q8" s="105"/>
    </row>
    <row r="9" spans="1:17" x14ac:dyDescent="0.4">
      <c r="A9" s="52" t="s">
        <v>4</v>
      </c>
      <c r="B9" s="45">
        <v>6</v>
      </c>
      <c r="C9" s="38">
        <f t="shared" si="1"/>
        <v>0.33333333333333331</v>
      </c>
      <c r="E9" s="59" t="s">
        <v>69</v>
      </c>
      <c r="F9" s="56" t="s">
        <v>24</v>
      </c>
      <c r="G9" s="44">
        <v>4</v>
      </c>
      <c r="H9" s="129">
        <f>IF(B$15=0,0,G9/B$15)</f>
        <v>7.8431372549019607E-2</v>
      </c>
      <c r="I9" s="90">
        <v>3</v>
      </c>
      <c r="K9" s="36">
        <v>7</v>
      </c>
      <c r="L9" s="95">
        <v>12.000000000000004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4</v>
      </c>
      <c r="H10" s="129">
        <f>IF(B$15=0,0,G10/B$15)</f>
        <v>7.8431372549019607E-2</v>
      </c>
      <c r="I10" s="90">
        <v>3</v>
      </c>
      <c r="K10" s="36">
        <v>8</v>
      </c>
      <c r="L10" s="95">
        <v>38.300000000000004</v>
      </c>
      <c r="N10" s="110" t="s">
        <v>157</v>
      </c>
      <c r="O10" s="120">
        <f>IF(P10=0,0,Q10/P10)</f>
        <v>-22.133333333333336</v>
      </c>
      <c r="P10" s="114">
        <v>6</v>
      </c>
      <c r="Q10" s="102">
        <v>-132.80000000000001</v>
      </c>
    </row>
    <row r="11" spans="1:17" x14ac:dyDescent="0.4">
      <c r="A11" s="54" t="s">
        <v>121</v>
      </c>
      <c r="B11" s="47">
        <v>36</v>
      </c>
      <c r="C11" s="42">
        <f>IF(B$3=0,0,B11/B$3)</f>
        <v>0.22222222222222221</v>
      </c>
      <c r="E11" s="59" t="s">
        <v>86</v>
      </c>
      <c r="F11" s="56" t="s">
        <v>41</v>
      </c>
      <c r="G11" s="44">
        <v>4</v>
      </c>
      <c r="H11" s="129">
        <f>IF(B$15=0,0,G11/B$15)</f>
        <v>7.8431372549019607E-2</v>
      </c>
      <c r="I11" s="90">
        <v>3</v>
      </c>
      <c r="K11" s="36">
        <v>9</v>
      </c>
      <c r="L11" s="95">
        <v>7.1054273576010019E-15</v>
      </c>
      <c r="N11" s="111" t="s">
        <v>158</v>
      </c>
      <c r="O11" s="121">
        <f>IF(P11=0,0,Q11/P11)</f>
        <v>2.3166666666666664</v>
      </c>
      <c r="P11" s="115">
        <v>6</v>
      </c>
      <c r="Q11" s="103">
        <v>13.899999999999999</v>
      </c>
    </row>
    <row r="12" spans="1:17" x14ac:dyDescent="0.4">
      <c r="A12" s="51" t="s">
        <v>118</v>
      </c>
      <c r="B12" s="44">
        <v>53</v>
      </c>
      <c r="C12" s="37">
        <f>IF(B$3=0,0,B12/B$3)</f>
        <v>0.3271604938271605</v>
      </c>
      <c r="E12" s="59" t="s">
        <v>65</v>
      </c>
      <c r="F12" s="56" t="s">
        <v>21</v>
      </c>
      <c r="G12" s="44">
        <v>3</v>
      </c>
      <c r="H12" s="129">
        <f>IF(B$15=0,0,G12/B$15)</f>
        <v>5.8823529411764705E-2</v>
      </c>
      <c r="I12" s="90">
        <v>3</v>
      </c>
      <c r="K12" s="36">
        <v>10</v>
      </c>
      <c r="L12" s="95">
        <v>7.4000000000000075</v>
      </c>
      <c r="N12" s="112" t="s">
        <v>159</v>
      </c>
      <c r="O12" s="122">
        <f>IF(P12=0,0,Q12/P12)</f>
        <v>19.816666666666666</v>
      </c>
      <c r="P12" s="116">
        <v>6</v>
      </c>
      <c r="Q12" s="104">
        <v>118.89999999999999</v>
      </c>
    </row>
    <row r="13" spans="1:17" x14ac:dyDescent="0.4">
      <c r="A13" s="50" t="s">
        <v>123</v>
      </c>
      <c r="B13" s="43">
        <f>B19</f>
        <v>16</v>
      </c>
      <c r="C13" s="35">
        <f>IF(B$11=0,0,B13/B$11)</f>
        <v>0.44444444444444442</v>
      </c>
      <c r="E13" s="59" t="s">
        <v>70</v>
      </c>
      <c r="F13" s="56" t="s">
        <v>25</v>
      </c>
      <c r="G13" s="44">
        <v>3</v>
      </c>
      <c r="H13" s="129">
        <f>IF(B$15=0,0,G13/B$15)</f>
        <v>5.8823529411764705E-2</v>
      </c>
      <c r="I13" s="90">
        <v>3</v>
      </c>
      <c r="K13" s="36">
        <v>11</v>
      </c>
      <c r="L13" s="95">
        <v>26.800000000000004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25</v>
      </c>
      <c r="C14" s="35">
        <f>IF(B$12=0,0,B14/B$12)</f>
        <v>0.47169811320754718</v>
      </c>
      <c r="E14" s="59" t="s">
        <v>83</v>
      </c>
      <c r="F14" s="56" t="s">
        <v>38</v>
      </c>
      <c r="G14" s="44">
        <v>3</v>
      </c>
      <c r="H14" s="129">
        <f>IF(B$15=0,0,G14/B$15)</f>
        <v>5.8823529411764705E-2</v>
      </c>
      <c r="I14" s="90">
        <v>3</v>
      </c>
      <c r="K14" s="36">
        <v>12</v>
      </c>
      <c r="L14" s="95">
        <v>3.5527136788005009E-15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51</v>
      </c>
      <c r="C15" s="35">
        <f>IF(B$3=0,0,B15/B$3)</f>
        <v>0.31481481481481483</v>
      </c>
      <c r="E15" s="59" t="s">
        <v>81</v>
      </c>
      <c r="F15" s="56" t="s">
        <v>36</v>
      </c>
      <c r="G15" s="44">
        <v>2</v>
      </c>
      <c r="H15" s="129">
        <f>IF(B$15=0,0,G15/B$15)</f>
        <v>3.9215686274509803E-2</v>
      </c>
      <c r="I15" s="90">
        <v>2</v>
      </c>
      <c r="K15" s="36">
        <v>13</v>
      </c>
      <c r="L15" s="95">
        <v>-26.799999999999997</v>
      </c>
      <c r="N15" s="110" t="s">
        <v>172</v>
      </c>
      <c r="O15" s="120">
        <f>IF(P15=0,0,Q15/P15)</f>
        <v>40.200000000000003</v>
      </c>
      <c r="P15" s="114">
        <v>2</v>
      </c>
      <c r="Q15" s="102">
        <v>80.400000000000006</v>
      </c>
    </row>
    <row r="16" spans="1:17" x14ac:dyDescent="0.4">
      <c r="A16" s="51" t="s">
        <v>13</v>
      </c>
      <c r="B16" s="44">
        <v>31</v>
      </c>
      <c r="C16" s="37">
        <f>IF(B$3=0,0,B16/B$3)</f>
        <v>0.19135802469135801</v>
      </c>
      <c r="E16" s="59" t="s">
        <v>73</v>
      </c>
      <c r="F16" s="56" t="s">
        <v>28</v>
      </c>
      <c r="G16" s="44">
        <v>1</v>
      </c>
      <c r="H16" s="129">
        <f>IF(B$15=0,0,G16/B$15)</f>
        <v>1.9607843137254902E-2</v>
      </c>
      <c r="I16" s="90">
        <v>2</v>
      </c>
      <c r="K16" s="36">
        <v>14</v>
      </c>
      <c r="L16" s="95">
        <v>-5.2999999999999972</v>
      </c>
      <c r="N16" s="111" t="s">
        <v>171</v>
      </c>
      <c r="O16" s="121">
        <f>IF(P16=0,0,Q16/P16)</f>
        <v>29.212499999999999</v>
      </c>
      <c r="P16" s="115">
        <v>8</v>
      </c>
      <c r="Q16" s="103">
        <v>233.7</v>
      </c>
    </row>
    <row r="17" spans="1:17" x14ac:dyDescent="0.4">
      <c r="A17" s="51" t="s">
        <v>12</v>
      </c>
      <c r="B17" s="44">
        <v>20</v>
      </c>
      <c r="C17" s="37">
        <f>IF(B$15=0,0,B17/B$15)</f>
        <v>0.39215686274509803</v>
      </c>
      <c r="E17" s="59" t="s">
        <v>79</v>
      </c>
      <c r="F17" s="56" t="s">
        <v>34</v>
      </c>
      <c r="G17" s="44">
        <v>1</v>
      </c>
      <c r="H17" s="129">
        <f>IF(B$15=0,0,G17/B$15)</f>
        <v>1.9607843137254902E-2</v>
      </c>
      <c r="I17" s="90">
        <v>2</v>
      </c>
      <c r="K17" s="36">
        <v>15</v>
      </c>
      <c r="L17" s="95">
        <v>2.6645352591003757E-15</v>
      </c>
      <c r="N17" s="111" t="s">
        <v>170</v>
      </c>
      <c r="O17" s="121">
        <f>IF(P17=0,0,Q17/P17)</f>
        <v>10.349999999999998</v>
      </c>
      <c r="P17" s="115">
        <v>2</v>
      </c>
      <c r="Q17" s="103">
        <v>20.699999999999996</v>
      </c>
    </row>
    <row r="18" spans="1:17" x14ac:dyDescent="0.4">
      <c r="A18" s="51" t="s">
        <v>11</v>
      </c>
      <c r="B18" s="44">
        <v>31</v>
      </c>
      <c r="C18" s="37">
        <f>IF(B$15=0,0,B18/B$15)</f>
        <v>0.60784313725490191</v>
      </c>
      <c r="E18" s="59" t="s">
        <v>92</v>
      </c>
      <c r="F18" s="56" t="s">
        <v>47</v>
      </c>
      <c r="G18" s="44">
        <v>1</v>
      </c>
      <c r="H18" s="129">
        <f>IF(B$15=0,0,G18/B$15)</f>
        <v>1.9607843137254902E-2</v>
      </c>
      <c r="I18" s="90">
        <v>2</v>
      </c>
      <c r="K18" s="36">
        <v>16</v>
      </c>
      <c r="L18" s="95">
        <v>-20.199999999999996</v>
      </c>
      <c r="N18" s="111" t="s">
        <v>161</v>
      </c>
      <c r="O18" s="121">
        <f>IF(P18=0,0,Q18/P18)</f>
        <v>-6.9999999999999991</v>
      </c>
      <c r="P18" s="115">
        <v>6</v>
      </c>
      <c r="Q18" s="103">
        <v>-41.999999999999993</v>
      </c>
    </row>
    <row r="19" spans="1:17" x14ac:dyDescent="0.4">
      <c r="A19" s="51" t="s">
        <v>197</v>
      </c>
      <c r="B19" s="44">
        <v>16</v>
      </c>
      <c r="C19" s="37">
        <f>IF(B$15=0,0,B19/B$15)</f>
        <v>0.31372549019607843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1</v>
      </c>
      <c r="K19" s="36">
        <v>17</v>
      </c>
      <c r="L19" s="95">
        <v>-28.899999999999995</v>
      </c>
      <c r="N19" s="111" t="s">
        <v>126</v>
      </c>
      <c r="O19" s="121">
        <f>IF(P19=0,0,Q19/P19)</f>
        <v>-13.41</v>
      </c>
      <c r="P19" s="115">
        <v>10</v>
      </c>
      <c r="Q19" s="103">
        <v>-134.1</v>
      </c>
    </row>
    <row r="20" spans="1:17" x14ac:dyDescent="0.4">
      <c r="A20" s="51" t="s">
        <v>195</v>
      </c>
      <c r="B20" s="44">
        <v>25</v>
      </c>
      <c r="C20" s="37">
        <f>IF(B$15=0,0,B20/B$15)</f>
        <v>0.49019607843137253</v>
      </c>
      <c r="E20" s="59" t="s">
        <v>75</v>
      </c>
      <c r="F20" s="56" t="s">
        <v>30</v>
      </c>
      <c r="G20" s="44">
        <v>0</v>
      </c>
      <c r="H20" s="129">
        <f>IF(B$15=0,0,G20/B$15)</f>
        <v>0</v>
      </c>
      <c r="I20" s="90">
        <v>1</v>
      </c>
      <c r="K20" s="36">
        <v>18</v>
      </c>
      <c r="L20" s="95">
        <v>3.5527136788005009E-15</v>
      </c>
      <c r="N20" s="111" t="s">
        <v>127</v>
      </c>
      <c r="O20" s="121">
        <f>IF(P20=0,0,Q20/P20)</f>
        <v>-19.837499999999999</v>
      </c>
      <c r="P20" s="115">
        <v>8</v>
      </c>
      <c r="Q20" s="103">
        <v>-158.69999999999999</v>
      </c>
    </row>
    <row r="21" spans="1:17" x14ac:dyDescent="0.4">
      <c r="A21" s="51" t="s">
        <v>196</v>
      </c>
      <c r="B21" s="44">
        <v>10</v>
      </c>
      <c r="C21" s="37">
        <f>IF(B$15=0,0,B21/B$15)</f>
        <v>0.19607843137254902</v>
      </c>
      <c r="E21" s="59" t="s">
        <v>76</v>
      </c>
      <c r="F21" s="56" t="s">
        <v>31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6605.8823529411766</v>
      </c>
      <c r="C22" s="39">
        <v>336900</v>
      </c>
      <c r="E22" s="59" t="s">
        <v>77</v>
      </c>
      <c r="F22" s="56" t="s">
        <v>32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7457.6923076923076</v>
      </c>
      <c r="C23" s="137">
        <v>193900</v>
      </c>
      <c r="E23" s="59" t="s">
        <v>78</v>
      </c>
      <c r="F23" s="56" t="s">
        <v>33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5720</v>
      </c>
      <c r="C24" s="137">
        <v>143000</v>
      </c>
      <c r="E24" s="59" t="s">
        <v>80</v>
      </c>
      <c r="F24" s="56" t="s">
        <v>35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-5725.8064516129034</v>
      </c>
      <c r="C25" s="137">
        <v>-177500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1</v>
      </c>
    </row>
    <row r="27" spans="1:17" x14ac:dyDescent="0.4">
      <c r="A27" s="51" t="s">
        <v>165</v>
      </c>
      <c r="B27" s="44">
        <v>20</v>
      </c>
      <c r="C27" s="131">
        <v>0</v>
      </c>
      <c r="E27" s="59" t="s">
        <v>85</v>
      </c>
      <c r="F27" s="56" t="s">
        <v>40</v>
      </c>
      <c r="G27" s="44">
        <v>0</v>
      </c>
      <c r="H27" s="129">
        <f>IF(B$15=0,0,G27/B$15)</f>
        <v>0</v>
      </c>
      <c r="I27" s="90">
        <v>1</v>
      </c>
    </row>
    <row r="28" spans="1:17" x14ac:dyDescent="0.4">
      <c r="A28" s="86" t="s">
        <v>138</v>
      </c>
      <c r="B28" s="148">
        <v>0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1</v>
      </c>
    </row>
    <row r="29" spans="1:17" x14ac:dyDescent="0.4">
      <c r="A29" s="54" t="s">
        <v>194</v>
      </c>
      <c r="B29" s="146">
        <v>63400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1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1</v>
      </c>
    </row>
    <row r="31" spans="1:17" x14ac:dyDescent="0.4">
      <c r="B31" s="31">
        <v>2</v>
      </c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</v>
      </c>
    </row>
    <row r="32" spans="1:17" x14ac:dyDescent="0.4">
      <c r="A32" s="86" t="s">
        <v>185</v>
      </c>
      <c r="B32" s="144">
        <v>3</v>
      </c>
      <c r="C32" s="141">
        <f>IF(B$15=0,0,B32/B$15)</f>
        <v>5.8823529411764705E-2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1</v>
      </c>
    </row>
    <row r="33" spans="1:9" x14ac:dyDescent="0.4">
      <c r="A33" s="51" t="s">
        <v>181</v>
      </c>
      <c r="B33" s="44">
        <v>2</v>
      </c>
      <c r="C33" s="37">
        <f t="shared" ref="C33:C44" si="2">IF(B$15=0,0,B33/B$15)</f>
        <v>3.9215686274509803E-2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1.9607843137254902E-2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2</v>
      </c>
      <c r="C35" s="37">
        <f t="shared" si="2"/>
        <v>3.9215686274509803E-2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1</v>
      </c>
      <c r="C36" s="37">
        <f t="shared" si="2"/>
        <v>1.9607843137254902E-2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0</v>
      </c>
      <c r="C37" s="37">
        <f t="shared" si="2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2"/>
        <v>1.9607843137254902E-2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1</v>
      </c>
      <c r="C43" s="37">
        <f t="shared" si="2"/>
        <v>1.9607843137254902E-2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20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7149F-338D-4402-B9BB-E25069140215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3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1.2222222222222223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2500</v>
      </c>
      <c r="P2" s="114">
        <v>3</v>
      </c>
      <c r="Q2" s="98">
        <v>7500</v>
      </c>
    </row>
    <row r="3" spans="1:17" x14ac:dyDescent="0.4">
      <c r="A3" s="51" t="s">
        <v>8</v>
      </c>
      <c r="B3" s="156">
        <v>24</v>
      </c>
      <c r="C3" s="157"/>
      <c r="E3" s="59" t="s">
        <v>72</v>
      </c>
      <c r="F3" s="56" t="s">
        <v>27</v>
      </c>
      <c r="G3" s="44">
        <v>6</v>
      </c>
      <c r="H3" s="129">
        <f>IF(B$15=0,0,G3/B$15)</f>
        <v>0.66666666666666663</v>
      </c>
      <c r="I3" s="90">
        <v>3</v>
      </c>
      <c r="K3" s="36">
        <v>1</v>
      </c>
      <c r="L3" s="95">
        <v>-31.5</v>
      </c>
      <c r="N3" s="111" t="s">
        <v>131</v>
      </c>
      <c r="O3" s="118">
        <f t="shared" si="0"/>
        <v>2333.3333333333335</v>
      </c>
      <c r="P3" s="115">
        <v>3</v>
      </c>
      <c r="Q3" s="99">
        <v>7000</v>
      </c>
    </row>
    <row r="4" spans="1:17" x14ac:dyDescent="0.4">
      <c r="A4" s="51" t="s">
        <v>6</v>
      </c>
      <c r="B4" s="158">
        <v>14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0.44444444444444442</v>
      </c>
      <c r="I4" s="90">
        <v>3</v>
      </c>
      <c r="K4" s="36">
        <v>2</v>
      </c>
      <c r="L4" s="95">
        <v>2</v>
      </c>
      <c r="N4" s="111" t="s">
        <v>132</v>
      </c>
      <c r="O4" s="118">
        <f t="shared" si="0"/>
        <v>1800</v>
      </c>
      <c r="P4" s="115">
        <v>3</v>
      </c>
      <c r="Q4" s="99">
        <v>5400</v>
      </c>
    </row>
    <row r="5" spans="1:17" x14ac:dyDescent="0.4">
      <c r="A5" s="51" t="s">
        <v>7</v>
      </c>
      <c r="B5" s="160">
        <f>IF(B$2=0,0,B$4/B$2)</f>
        <v>4.666666666666667</v>
      </c>
      <c r="C5" s="161"/>
      <c r="E5" s="59" t="s">
        <v>64</v>
      </c>
      <c r="F5" s="56" t="s">
        <v>20</v>
      </c>
      <c r="G5" s="44">
        <v>2</v>
      </c>
      <c r="H5" s="129">
        <f>IF(B$15=0,0,G5/B$15)</f>
        <v>0.22222222222222221</v>
      </c>
      <c r="I5" s="90">
        <v>4</v>
      </c>
      <c r="K5" s="36">
        <v>3</v>
      </c>
      <c r="L5" s="95">
        <v>14</v>
      </c>
      <c r="N5" s="111" t="s">
        <v>133</v>
      </c>
      <c r="O5" s="118">
        <f t="shared" si="0"/>
        <v>-2833.3333333333335</v>
      </c>
      <c r="P5" s="115">
        <v>3</v>
      </c>
      <c r="Q5" s="99">
        <v>-8500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</v>
      </c>
      <c r="H6" s="129">
        <f>IF(B$15=0,0,G6/B$15)</f>
        <v>0.1111111111111111</v>
      </c>
      <c r="I6" s="90">
        <v>5</v>
      </c>
      <c r="N6" s="111" t="s">
        <v>134</v>
      </c>
      <c r="O6" s="118">
        <f t="shared" si="0"/>
        <v>2833.3333333333335</v>
      </c>
      <c r="P6" s="115">
        <v>3</v>
      </c>
      <c r="Q6" s="99">
        <v>8500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0.33333333333333331</v>
      </c>
      <c r="E7" s="59" t="s">
        <v>71</v>
      </c>
      <c r="F7" s="56" t="s">
        <v>26</v>
      </c>
      <c r="G7" s="44">
        <v>1</v>
      </c>
      <c r="H7" s="129">
        <f>IF(B$15=0,0,G7/B$15)</f>
        <v>0.1111111111111111</v>
      </c>
      <c r="I7" s="90">
        <v>2</v>
      </c>
      <c r="N7" s="112" t="s">
        <v>135</v>
      </c>
      <c r="O7" s="119">
        <f t="shared" si="0"/>
        <v>-2950</v>
      </c>
      <c r="P7" s="116">
        <v>2</v>
      </c>
      <c r="Q7" s="100">
        <v>-5900</v>
      </c>
    </row>
    <row r="8" spans="1:17" x14ac:dyDescent="0.4">
      <c r="A8" s="51" t="s">
        <v>3</v>
      </c>
      <c r="B8" s="44">
        <v>1</v>
      </c>
      <c r="C8" s="37">
        <f t="shared" si="1"/>
        <v>0.33333333333333331</v>
      </c>
      <c r="E8" s="59" t="s">
        <v>79</v>
      </c>
      <c r="F8" s="56" t="s">
        <v>34</v>
      </c>
      <c r="G8" s="44">
        <v>1</v>
      </c>
      <c r="H8" s="129">
        <f>IF(B$15=0,0,G8/B$15)</f>
        <v>0.1111111111111111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1</v>
      </c>
      <c r="C9" s="38">
        <f t="shared" si="1"/>
        <v>0.33333333333333331</v>
      </c>
      <c r="E9" s="59" t="s">
        <v>89</v>
      </c>
      <c r="F9" s="56" t="s">
        <v>44</v>
      </c>
      <c r="G9" s="44">
        <v>1</v>
      </c>
      <c r="H9" s="129">
        <f>IF(B$15=0,0,G9/B$15)</f>
        <v>0.1111111111111111</v>
      </c>
      <c r="I9" s="90">
        <v>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65</v>
      </c>
      <c r="F10" s="56" t="s">
        <v>21</v>
      </c>
      <c r="G10" s="44">
        <v>0</v>
      </c>
      <c r="H10" s="129">
        <f>IF(B$15=0,0,G10/B$15)</f>
        <v>0</v>
      </c>
      <c r="I10" s="90">
        <v>4</v>
      </c>
      <c r="N10" s="110" t="s">
        <v>157</v>
      </c>
      <c r="O10" s="120">
        <f>IF(P10=0,0,Q10/P10)</f>
        <v>-31.5</v>
      </c>
      <c r="P10" s="114">
        <v>1</v>
      </c>
      <c r="Q10" s="102">
        <v>-31.5</v>
      </c>
    </row>
    <row r="11" spans="1:17" x14ac:dyDescent="0.4">
      <c r="A11" s="54" t="s">
        <v>121</v>
      </c>
      <c r="B11" s="47">
        <v>6</v>
      </c>
      <c r="C11" s="42">
        <f>IF(B$3=0,0,B11/B$3)</f>
        <v>0.25</v>
      </c>
      <c r="E11" s="59" t="s">
        <v>68</v>
      </c>
      <c r="F11" s="56" t="s">
        <v>12</v>
      </c>
      <c r="G11" s="44">
        <v>0</v>
      </c>
      <c r="H11" s="129">
        <f>IF(B$15=0,0,G11/B$15)</f>
        <v>0</v>
      </c>
      <c r="I11" s="90">
        <v>7</v>
      </c>
      <c r="N11" s="111" t="s">
        <v>158</v>
      </c>
      <c r="O11" s="121">
        <f>IF(P11=0,0,Q11/P11)</f>
        <v>12</v>
      </c>
      <c r="P11" s="115">
        <v>1</v>
      </c>
      <c r="Q11" s="103">
        <v>12</v>
      </c>
    </row>
    <row r="12" spans="1:17" x14ac:dyDescent="0.4">
      <c r="A12" s="51" t="s">
        <v>118</v>
      </c>
      <c r="B12" s="44">
        <v>9</v>
      </c>
      <c r="C12" s="37">
        <f>IF(B$3=0,0,B12/B$3)</f>
        <v>0.375</v>
      </c>
      <c r="E12" s="59" t="s">
        <v>69</v>
      </c>
      <c r="F12" s="56" t="s">
        <v>24</v>
      </c>
      <c r="G12" s="44">
        <v>0</v>
      </c>
      <c r="H12" s="129">
        <f>IF(B$15=0,0,G12/B$15)</f>
        <v>0</v>
      </c>
      <c r="I12" s="90">
        <v>5</v>
      </c>
      <c r="N12" s="112" t="s">
        <v>159</v>
      </c>
      <c r="O12" s="122">
        <f>IF(P12=0,0,Q12/P12)</f>
        <v>33.5</v>
      </c>
      <c r="P12" s="116">
        <v>1</v>
      </c>
      <c r="Q12" s="104">
        <v>33.5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0.33333333333333331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0.66666666666666663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9</v>
      </c>
      <c r="C15" s="35">
        <f>IF(B$3=0,0,B15/B$3)</f>
        <v>0.375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1</v>
      </c>
      <c r="N15" s="110" t="s">
        <v>171</v>
      </c>
      <c r="O15" s="120">
        <f>IF(P15=0,0,Q15/P15)</f>
        <v>50.3</v>
      </c>
      <c r="P15" s="114">
        <v>1</v>
      </c>
      <c r="Q15" s="102">
        <v>50.3</v>
      </c>
    </row>
    <row r="16" spans="1:17" x14ac:dyDescent="0.4">
      <c r="A16" s="51" t="s">
        <v>13</v>
      </c>
      <c r="B16" s="44">
        <v>3</v>
      </c>
      <c r="C16" s="37">
        <f>IF(B$3=0,0,B16/B$3)</f>
        <v>0.125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</v>
      </c>
      <c r="N16" s="111" t="s">
        <v>127</v>
      </c>
      <c r="O16" s="121">
        <f>IF(P16=0,0,Q16/P16)</f>
        <v>34.200000000000003</v>
      </c>
      <c r="P16" s="115">
        <v>1</v>
      </c>
      <c r="Q16" s="103">
        <v>34.200000000000003</v>
      </c>
    </row>
    <row r="17" spans="1:17" x14ac:dyDescent="0.4">
      <c r="A17" s="51" t="s">
        <v>12</v>
      </c>
      <c r="B17" s="44">
        <v>1</v>
      </c>
      <c r="C17" s="37">
        <f>IF(B$15=0,0,B17/B$15)</f>
        <v>0.1111111111111111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126</v>
      </c>
      <c r="O17" s="121">
        <f>IF(P17=0,0,Q17/P17)</f>
        <v>-5.9666666666666694</v>
      </c>
      <c r="P17" s="115">
        <v>3</v>
      </c>
      <c r="Q17" s="103">
        <v>-17.900000000000009</v>
      </c>
    </row>
    <row r="18" spans="1:17" x14ac:dyDescent="0.4">
      <c r="A18" s="51" t="s">
        <v>11</v>
      </c>
      <c r="B18" s="44">
        <v>8</v>
      </c>
      <c r="C18" s="37">
        <f>IF(B$15=0,0,B18/B$15)</f>
        <v>0.88888888888888884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1</v>
      </c>
      <c r="N18" s="111" t="s">
        <v>170</v>
      </c>
      <c r="O18" s="121">
        <f>IF(P18=0,0,Q18/P18)</f>
        <v>-24.6</v>
      </c>
      <c r="P18" s="115">
        <v>1</v>
      </c>
      <c r="Q18" s="103">
        <v>-24.6</v>
      </c>
    </row>
    <row r="19" spans="1:17" x14ac:dyDescent="0.4">
      <c r="A19" s="51" t="s">
        <v>197</v>
      </c>
      <c r="B19" s="44">
        <v>2</v>
      </c>
      <c r="C19" s="37">
        <f>IF(B$15=0,0,B19/B$15)</f>
        <v>0.22222222222222221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</v>
      </c>
    </row>
    <row r="20" spans="1:17" x14ac:dyDescent="0.4">
      <c r="A20" s="51" t="s">
        <v>195</v>
      </c>
      <c r="B20" s="44">
        <v>6</v>
      </c>
      <c r="C20" s="37">
        <f>IF(B$15=0,0,B20/B$15)</f>
        <v>0.66666666666666663</v>
      </c>
      <c r="E20" s="59" t="s">
        <v>80</v>
      </c>
      <c r="F20" s="56" t="s">
        <v>35</v>
      </c>
      <c r="G20" s="44">
        <v>0</v>
      </c>
      <c r="H20" s="129">
        <f>IF(B$15=0,0,G20/B$15)</f>
        <v>0</v>
      </c>
      <c r="I20" s="90">
        <v>1</v>
      </c>
    </row>
    <row r="21" spans="1:17" x14ac:dyDescent="0.4">
      <c r="A21" s="51" t="s">
        <v>196</v>
      </c>
      <c r="B21" s="44">
        <v>1</v>
      </c>
      <c r="C21" s="37">
        <f>IF(B$15=0,0,B21/B$15)</f>
        <v>0.1111111111111111</v>
      </c>
      <c r="E21" s="59" t="s">
        <v>81</v>
      </c>
      <c r="F21" s="56" t="s">
        <v>36</v>
      </c>
      <c r="G21" s="44">
        <v>0</v>
      </c>
      <c r="H21" s="129">
        <f>IF(B$15=0,0,G21/B$15)</f>
        <v>0</v>
      </c>
      <c r="I21" s="90">
        <v>3</v>
      </c>
    </row>
    <row r="22" spans="1:17" x14ac:dyDescent="0.4">
      <c r="A22" s="51" t="s">
        <v>5</v>
      </c>
      <c r="B22" s="48">
        <f>IF(B$15=0,0,C22/B$15)</f>
        <v>5888.8888888888887</v>
      </c>
      <c r="C22" s="39">
        <v>53000</v>
      </c>
      <c r="E22" s="59" t="s">
        <v>82</v>
      </c>
      <c r="F22" s="56" t="s">
        <v>37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3233.3333333333335</v>
      </c>
      <c r="C23" s="137">
        <v>9700</v>
      </c>
      <c r="E23" s="59" t="s">
        <v>83</v>
      </c>
      <c r="F23" s="56" t="s">
        <v>38</v>
      </c>
      <c r="G23" s="44">
        <v>0</v>
      </c>
      <c r="H23" s="129">
        <f>IF(B$15=0,0,G23/B$15)</f>
        <v>0</v>
      </c>
      <c r="I23" s="90">
        <v>4</v>
      </c>
    </row>
    <row r="24" spans="1:17" x14ac:dyDescent="0.4">
      <c r="A24" s="52" t="s">
        <v>178</v>
      </c>
      <c r="B24" s="136">
        <f>IF(B$14=0,0,C24/B$14)</f>
        <v>7216.666666666667</v>
      </c>
      <c r="C24" s="137">
        <v>43300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-7733.333333333333</v>
      </c>
      <c r="C25" s="137">
        <v>-23200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5</v>
      </c>
    </row>
    <row r="27" spans="1:17" x14ac:dyDescent="0.4">
      <c r="A27" s="51" t="s">
        <v>165</v>
      </c>
      <c r="B27" s="44">
        <v>17</v>
      </c>
      <c r="C27" s="131">
        <v>2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1</v>
      </c>
    </row>
    <row r="28" spans="1:17" x14ac:dyDescent="0.4">
      <c r="A28" s="86" t="s">
        <v>138</v>
      </c>
      <c r="B28" s="148">
        <v>0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1</v>
      </c>
    </row>
    <row r="29" spans="1:17" x14ac:dyDescent="0.4">
      <c r="A29" s="54" t="s">
        <v>194</v>
      </c>
      <c r="B29" s="146">
        <v>58500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1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</v>
      </c>
    </row>
    <row r="31" spans="1:17" x14ac:dyDescent="0.4">
      <c r="B31" s="31">
        <v>1</v>
      </c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3</v>
      </c>
    </row>
    <row r="32" spans="1:17" x14ac:dyDescent="0.4">
      <c r="A32" s="86" t="s">
        <v>185</v>
      </c>
      <c r="B32" s="144">
        <v>2</v>
      </c>
      <c r="C32" s="141">
        <f>IF(B$15=0,0,B32/B$15)</f>
        <v>0.22222222222222221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1</v>
      </c>
    </row>
    <row r="33" spans="1:9" x14ac:dyDescent="0.4">
      <c r="A33" s="51" t="s">
        <v>181</v>
      </c>
      <c r="B33" s="44">
        <v>2</v>
      </c>
      <c r="C33" s="37">
        <f t="shared" ref="C33:C44" si="2">IF(B$15=0,0,B33/B$15)</f>
        <v>0.22222222222222221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0.1111111111111111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1</v>
      </c>
      <c r="C35" s="37">
        <f t="shared" si="2"/>
        <v>0.1111111111111111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1</v>
      </c>
      <c r="C36" s="37">
        <f t="shared" si="2"/>
        <v>0.1111111111111111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0</v>
      </c>
      <c r="C37" s="37">
        <f t="shared" si="2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83F14-00D5-4D21-A6E2-9421087E24A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</v>
      </c>
      <c r="C2" s="155"/>
      <c r="E2" s="58" t="s">
        <v>68</v>
      </c>
      <c r="F2" s="55" t="s">
        <v>12</v>
      </c>
      <c r="G2" s="43">
        <v>1</v>
      </c>
      <c r="H2" s="128">
        <f>IF(B$15=0,0,G2/B$15)</f>
        <v>0.5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-8000</v>
      </c>
      <c r="P2" s="114">
        <v>1</v>
      </c>
      <c r="Q2" s="98">
        <v>-8000</v>
      </c>
    </row>
    <row r="3" spans="1:17" x14ac:dyDescent="0.4">
      <c r="A3" s="51" t="s">
        <v>8</v>
      </c>
      <c r="B3" s="156">
        <v>8</v>
      </c>
      <c r="C3" s="157"/>
      <c r="E3" s="59" t="s">
        <v>72</v>
      </c>
      <c r="F3" s="56" t="s">
        <v>27</v>
      </c>
      <c r="G3" s="44">
        <v>1</v>
      </c>
      <c r="H3" s="129">
        <f>IF(B$15=0,0,G3/B$15)</f>
        <v>0.5</v>
      </c>
      <c r="I3" s="90">
        <v>5</v>
      </c>
      <c r="K3" s="36">
        <v>1</v>
      </c>
      <c r="L3" s="95">
        <v>-6.9</v>
      </c>
      <c r="N3" s="111" t="s">
        <v>131</v>
      </c>
      <c r="O3" s="118">
        <f t="shared" si="0"/>
        <v>0</v>
      </c>
      <c r="P3" s="115">
        <v>1</v>
      </c>
      <c r="Q3" s="99">
        <v>0</v>
      </c>
    </row>
    <row r="4" spans="1:17" x14ac:dyDescent="0.4">
      <c r="A4" s="51" t="s">
        <v>6</v>
      </c>
      <c r="B4" s="158">
        <v>-6.9</v>
      </c>
      <c r="C4" s="159"/>
      <c r="E4" s="59" t="s">
        <v>89</v>
      </c>
      <c r="F4" s="56" t="s">
        <v>44</v>
      </c>
      <c r="G4" s="44">
        <v>1</v>
      </c>
      <c r="H4" s="129">
        <f>IF(B$15=0,0,G4/B$15)</f>
        <v>0.5</v>
      </c>
      <c r="I4" s="90">
        <v>1</v>
      </c>
      <c r="N4" s="111" t="s">
        <v>132</v>
      </c>
      <c r="O4" s="118">
        <f t="shared" si="0"/>
        <v>500</v>
      </c>
      <c r="P4" s="115">
        <v>1</v>
      </c>
      <c r="Q4" s="99">
        <v>500</v>
      </c>
    </row>
    <row r="5" spans="1:17" x14ac:dyDescent="0.4">
      <c r="A5" s="51" t="s">
        <v>7</v>
      </c>
      <c r="B5" s="160">
        <f>IF(B$2=0,0,B$4/B$2)</f>
        <v>-6.9</v>
      </c>
      <c r="C5" s="161"/>
      <c r="E5" s="59" t="s">
        <v>166</v>
      </c>
      <c r="F5" s="56" t="s">
        <v>167</v>
      </c>
      <c r="G5" s="44">
        <v>1</v>
      </c>
      <c r="H5" s="129">
        <f>IF(B$15=0,0,G5/B$15)</f>
        <v>0.5</v>
      </c>
      <c r="I5" s="90">
        <v>1</v>
      </c>
      <c r="N5" s="111" t="s">
        <v>133</v>
      </c>
      <c r="O5" s="118">
        <f t="shared" si="0"/>
        <v>0</v>
      </c>
      <c r="P5" s="115">
        <v>1</v>
      </c>
      <c r="Q5" s="99">
        <v>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64</v>
      </c>
      <c r="F6" s="56" t="s">
        <v>20</v>
      </c>
      <c r="G6" s="44">
        <v>0</v>
      </c>
      <c r="H6" s="129">
        <f>IF(B$15=0,0,G6/B$15)</f>
        <v>0</v>
      </c>
      <c r="I6" s="90">
        <v>7</v>
      </c>
      <c r="N6" s="111" t="s">
        <v>134</v>
      </c>
      <c r="O6" s="118">
        <f t="shared" si="0"/>
        <v>6400</v>
      </c>
      <c r="P6" s="115">
        <v>1</v>
      </c>
      <c r="Q6" s="99">
        <v>6400</v>
      </c>
    </row>
    <row r="7" spans="1:17" x14ac:dyDescent="0.4">
      <c r="A7" s="51" t="s">
        <v>2</v>
      </c>
      <c r="B7" s="44">
        <v>0</v>
      </c>
      <c r="C7" s="37">
        <f t="shared" ref="C7:C10" si="1">IF(B$2=0,0,B7/B$2)</f>
        <v>0</v>
      </c>
      <c r="E7" s="59" t="s">
        <v>65</v>
      </c>
      <c r="F7" s="56" t="s">
        <v>21</v>
      </c>
      <c r="G7" s="44">
        <v>0</v>
      </c>
      <c r="H7" s="129">
        <f>IF(B$15=0,0,G7/B$15)</f>
        <v>0</v>
      </c>
      <c r="I7" s="90">
        <v>4</v>
      </c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1</v>
      </c>
      <c r="E8" s="59" t="s">
        <v>66</v>
      </c>
      <c r="F8" s="56" t="s">
        <v>22</v>
      </c>
      <c r="G8" s="44">
        <v>0</v>
      </c>
      <c r="H8" s="129">
        <f>IF(B$15=0,0,G8/B$15)</f>
        <v>0</v>
      </c>
      <c r="I8" s="90">
        <v>6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67</v>
      </c>
      <c r="F9" s="56" t="s">
        <v>23</v>
      </c>
      <c r="G9" s="44">
        <v>0</v>
      </c>
      <c r="H9" s="129">
        <f>IF(B$15=0,0,G9/B$15)</f>
        <v>0</v>
      </c>
      <c r="I9" s="90">
        <v>6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69</v>
      </c>
      <c r="F10" s="56" t="s">
        <v>24</v>
      </c>
      <c r="G10" s="44">
        <v>0</v>
      </c>
      <c r="H10" s="129">
        <f>IF(B$15=0,0,G10/B$15)</f>
        <v>0</v>
      </c>
      <c r="I10" s="90">
        <v>5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</v>
      </c>
      <c r="C11" s="42">
        <f>IF(B$3=0,0,B11/B$3)</f>
        <v>0.125</v>
      </c>
      <c r="E11" s="59" t="s">
        <v>70</v>
      </c>
      <c r="F11" s="56" t="s">
        <v>25</v>
      </c>
      <c r="G11" s="44">
        <v>0</v>
      </c>
      <c r="H11" s="129">
        <f>IF(B$15=0,0,G11/B$15)</f>
        <v>0</v>
      </c>
      <c r="I11" s="90">
        <v>4</v>
      </c>
      <c r="N11" s="111" t="s">
        <v>158</v>
      </c>
      <c r="O11" s="121">
        <f>IF(P11=0,0,Q11/P11)</f>
        <v>-6.9</v>
      </c>
      <c r="P11" s="115">
        <v>1</v>
      </c>
      <c r="Q11" s="103">
        <v>-6.9</v>
      </c>
    </row>
    <row r="12" spans="1:17" x14ac:dyDescent="0.4">
      <c r="A12" s="51" t="s">
        <v>118</v>
      </c>
      <c r="B12" s="44">
        <v>3</v>
      </c>
      <c r="C12" s="37">
        <f>IF(B$3=0,0,B12/B$3)</f>
        <v>0.375</v>
      </c>
      <c r="E12" s="59" t="s">
        <v>71</v>
      </c>
      <c r="F12" s="56" t="s">
        <v>26</v>
      </c>
      <c r="G12" s="44">
        <v>0</v>
      </c>
      <c r="H12" s="129">
        <f>IF(B$15=0,0,G12/B$15)</f>
        <v>0</v>
      </c>
      <c r="I12" s="90">
        <v>5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50" t="s">
        <v>123</v>
      </c>
      <c r="B13" s="43">
        <f>B19</f>
        <v>0</v>
      </c>
      <c r="C13" s="35">
        <f>IF(B$11=0,0,B13/B$11)</f>
        <v>0</v>
      </c>
      <c r="E13" s="59" t="s">
        <v>73</v>
      </c>
      <c r="F13" s="56" t="s">
        <v>28</v>
      </c>
      <c r="G13" s="44">
        <v>0</v>
      </c>
      <c r="H13" s="129">
        <f>IF(B$15=0,0,G13/B$15)</f>
        <v>0</v>
      </c>
      <c r="I13" s="90">
        <v>3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</v>
      </c>
      <c r="C14" s="35">
        <f>IF(B$12=0,0,B14/B$12)</f>
        <v>0.33333333333333331</v>
      </c>
      <c r="E14" s="59" t="s">
        <v>74</v>
      </c>
      <c r="F14" s="56" t="s">
        <v>29</v>
      </c>
      <c r="G14" s="44">
        <v>0</v>
      </c>
      <c r="H14" s="129">
        <f>IF(B$15=0,0,G14/B$15)</f>
        <v>0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</v>
      </c>
      <c r="C15" s="35">
        <f>IF(B$3=0,0,B15/B$3)</f>
        <v>0.25</v>
      </c>
      <c r="E15" s="59" t="s">
        <v>75</v>
      </c>
      <c r="F15" s="56" t="s">
        <v>30</v>
      </c>
      <c r="G15" s="44">
        <v>0</v>
      </c>
      <c r="H15" s="129">
        <f>IF(B$15=0,0,G15/B$15)</f>
        <v>0</v>
      </c>
      <c r="I15" s="90">
        <v>1</v>
      </c>
      <c r="N15" s="110" t="s">
        <v>161</v>
      </c>
      <c r="O15" s="120">
        <f>IF(P15=0,0,Q15/P15)</f>
        <v>24.6</v>
      </c>
      <c r="P15" s="114">
        <v>1</v>
      </c>
      <c r="Q15" s="102">
        <v>24.6</v>
      </c>
    </row>
    <row r="16" spans="1:17" x14ac:dyDescent="0.4">
      <c r="A16" s="51" t="s">
        <v>13</v>
      </c>
      <c r="B16" s="44">
        <v>3</v>
      </c>
      <c r="C16" s="37">
        <f>IF(B$3=0,0,B16/B$3)</f>
        <v>0.375</v>
      </c>
      <c r="E16" s="59" t="s">
        <v>76</v>
      </c>
      <c r="F16" s="56" t="s">
        <v>31</v>
      </c>
      <c r="G16" s="44">
        <v>0</v>
      </c>
      <c r="H16" s="129">
        <f>IF(B$15=0,0,G16/B$15)</f>
        <v>0</v>
      </c>
      <c r="I16" s="90">
        <v>1</v>
      </c>
      <c r="N16" s="111" t="s">
        <v>126</v>
      </c>
      <c r="O16" s="121">
        <f>IF(P16=0,0,Q16/P16)</f>
        <v>-45.3</v>
      </c>
      <c r="P16" s="115">
        <v>1</v>
      </c>
      <c r="Q16" s="103">
        <v>-45.3</v>
      </c>
    </row>
    <row r="17" spans="1:9" x14ac:dyDescent="0.4">
      <c r="A17" s="51" t="s">
        <v>12</v>
      </c>
      <c r="B17" s="44">
        <v>2</v>
      </c>
      <c r="C17" s="37">
        <f>IF(B$15=0,0,B17/B$15)</f>
        <v>1</v>
      </c>
      <c r="E17" s="59" t="s">
        <v>77</v>
      </c>
      <c r="F17" s="56" t="s">
        <v>32</v>
      </c>
      <c r="G17" s="44">
        <v>0</v>
      </c>
      <c r="H17" s="129">
        <f>IF(B$15=0,0,G17/B$15)</f>
        <v>0</v>
      </c>
      <c r="I17" s="90">
        <v>1</v>
      </c>
    </row>
    <row r="18" spans="1:9" x14ac:dyDescent="0.4">
      <c r="A18" s="51" t="s">
        <v>11</v>
      </c>
      <c r="B18" s="44">
        <v>0</v>
      </c>
      <c r="C18" s="37">
        <f>IF(B$15=0,0,B18/B$15)</f>
        <v>0</v>
      </c>
      <c r="E18" s="59" t="s">
        <v>78</v>
      </c>
      <c r="F18" s="56" t="s">
        <v>33</v>
      </c>
      <c r="G18" s="44">
        <v>0</v>
      </c>
      <c r="H18" s="129">
        <f>IF(B$15=0,0,G18/B$15)</f>
        <v>0</v>
      </c>
      <c r="I18" s="90">
        <v>1</v>
      </c>
    </row>
    <row r="19" spans="1:9" x14ac:dyDescent="0.4">
      <c r="A19" s="51" t="s">
        <v>197</v>
      </c>
      <c r="B19" s="44">
        <v>0</v>
      </c>
      <c r="C19" s="37">
        <f>IF(B$15=0,0,B19/B$15)</f>
        <v>0</v>
      </c>
      <c r="E19" s="59" t="s">
        <v>79</v>
      </c>
      <c r="F19" s="56" t="s">
        <v>34</v>
      </c>
      <c r="G19" s="44">
        <v>0</v>
      </c>
      <c r="H19" s="129">
        <f>IF(B$15=0,0,G19/B$15)</f>
        <v>0</v>
      </c>
      <c r="I19" s="90">
        <v>3</v>
      </c>
    </row>
    <row r="20" spans="1:9" x14ac:dyDescent="0.4">
      <c r="A20" s="51" t="s">
        <v>195</v>
      </c>
      <c r="B20" s="44">
        <v>1</v>
      </c>
      <c r="C20" s="37">
        <f>IF(B$15=0,0,B20/B$15)</f>
        <v>0.5</v>
      </c>
      <c r="E20" s="59" t="s">
        <v>80</v>
      </c>
      <c r="F20" s="56" t="s">
        <v>35</v>
      </c>
      <c r="G20" s="44">
        <v>0</v>
      </c>
      <c r="H20" s="129">
        <f>IF(B$15=0,0,G20/B$15)</f>
        <v>0</v>
      </c>
      <c r="I20" s="90">
        <v>1</v>
      </c>
    </row>
    <row r="21" spans="1:9" x14ac:dyDescent="0.4">
      <c r="A21" s="51" t="s">
        <v>196</v>
      </c>
      <c r="B21" s="44">
        <v>1</v>
      </c>
      <c r="C21" s="37">
        <f>IF(B$15=0,0,B21/B$15)</f>
        <v>0.5</v>
      </c>
      <c r="E21" s="59" t="s">
        <v>81</v>
      </c>
      <c r="F21" s="56" t="s">
        <v>36</v>
      </c>
      <c r="G21" s="44">
        <v>0</v>
      </c>
      <c r="H21" s="129">
        <f>IF(B$15=0,0,G21/B$15)</f>
        <v>0</v>
      </c>
      <c r="I21" s="90">
        <v>3</v>
      </c>
    </row>
    <row r="22" spans="1:9" x14ac:dyDescent="0.4">
      <c r="A22" s="51" t="s">
        <v>5</v>
      </c>
      <c r="B22" s="48">
        <f>IF(B$15=0,0,C22/B$15)</f>
        <v>6300</v>
      </c>
      <c r="C22" s="39">
        <v>12600</v>
      </c>
      <c r="E22" s="59" t="s">
        <v>82</v>
      </c>
      <c r="F22" s="56" t="s">
        <v>37</v>
      </c>
      <c r="G22" s="44">
        <v>0</v>
      </c>
      <c r="H22" s="129">
        <f>IF(B$15=0,0,G22/B$15)</f>
        <v>0</v>
      </c>
      <c r="I22" s="90">
        <v>1</v>
      </c>
    </row>
    <row r="23" spans="1:9" x14ac:dyDescent="0.4">
      <c r="A23" s="52" t="s">
        <v>177</v>
      </c>
      <c r="B23" s="136">
        <f>IF($B$15-B$14=0,0,C23/($B$15-B$14))</f>
        <v>3000</v>
      </c>
      <c r="C23" s="137">
        <v>3000</v>
      </c>
      <c r="E23" s="59" t="s">
        <v>83</v>
      </c>
      <c r="F23" s="56" t="s">
        <v>38</v>
      </c>
      <c r="G23" s="44">
        <v>0</v>
      </c>
      <c r="H23" s="129">
        <f>IF(B$15=0,0,G23/B$15)</f>
        <v>0</v>
      </c>
      <c r="I23" s="90">
        <v>4</v>
      </c>
    </row>
    <row r="24" spans="1:9" x14ac:dyDescent="0.4">
      <c r="A24" s="52" t="s">
        <v>178</v>
      </c>
      <c r="B24" s="136">
        <f>IF(B$14=0,0,C24/B$14)</f>
        <v>9600</v>
      </c>
      <c r="C24" s="137">
        <v>9600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1</v>
      </c>
    </row>
    <row r="25" spans="1:9" x14ac:dyDescent="0.4">
      <c r="A25" s="52" t="s">
        <v>176</v>
      </c>
      <c r="B25" s="136">
        <f>IF(B$16=0,0,C25/B$16)</f>
        <v>-6333.333333333333</v>
      </c>
      <c r="C25" s="137">
        <v>-19000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1</v>
      </c>
    </row>
    <row r="26" spans="1:9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5</v>
      </c>
    </row>
    <row r="27" spans="1:9" x14ac:dyDescent="0.4">
      <c r="A27" s="51" t="s">
        <v>165</v>
      </c>
      <c r="B27" s="44">
        <v>5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1</v>
      </c>
    </row>
    <row r="28" spans="1:9" x14ac:dyDescent="0.4">
      <c r="A28" s="86" t="s">
        <v>138</v>
      </c>
      <c r="B28" s="148">
        <v>0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1</v>
      </c>
    </row>
    <row r="29" spans="1:9" x14ac:dyDescent="0.4">
      <c r="A29" s="54" t="s">
        <v>194</v>
      </c>
      <c r="B29" s="146">
        <v>28100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1</v>
      </c>
    </row>
    <row r="30" spans="1:9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</v>
      </c>
    </row>
    <row r="31" spans="1:9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3</v>
      </c>
    </row>
    <row r="32" spans="1:9" x14ac:dyDescent="0.4">
      <c r="A32" s="86" t="s">
        <v>185</v>
      </c>
      <c r="B32" s="144">
        <v>1</v>
      </c>
      <c r="C32" s="141">
        <f>IF(B$15=0,0,B32/B$15)</f>
        <v>0.5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1</v>
      </c>
    </row>
    <row r="33" spans="1:9" x14ac:dyDescent="0.4">
      <c r="A33" s="51" t="s">
        <v>181</v>
      </c>
      <c r="B33" s="44">
        <v>1</v>
      </c>
      <c r="C33" s="37">
        <f t="shared" ref="C33:C44" si="2">IF(B$15=0,0,B33/B$15)</f>
        <v>0.5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0</v>
      </c>
      <c r="C37" s="37">
        <f t="shared" si="2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7AB43-E41E-4879-8C72-95780AD0298E}">
  <sheetPr codeName="Sheet11"/>
  <dimension ref="A1:Q52"/>
  <sheetViews>
    <sheetView showGridLines="0" topLeftCell="A3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</v>
      </c>
      <c r="C2" s="155"/>
      <c r="E2" s="58" t="s">
        <v>66</v>
      </c>
      <c r="F2" s="55" t="s">
        <v>22</v>
      </c>
      <c r="G2" s="43">
        <v>12</v>
      </c>
      <c r="H2" s="128">
        <f>IF(B$15=0,0,G2/B$15)</f>
        <v>0.8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-2900</v>
      </c>
      <c r="P2" s="114">
        <v>5</v>
      </c>
      <c r="Q2" s="98">
        <v>-14500</v>
      </c>
    </row>
    <row r="3" spans="1:17" x14ac:dyDescent="0.4">
      <c r="A3" s="51" t="s">
        <v>8</v>
      </c>
      <c r="B3" s="156">
        <v>44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2</v>
      </c>
      <c r="K3" s="36">
        <v>1</v>
      </c>
      <c r="L3" s="95">
        <v>38.4</v>
      </c>
      <c r="N3" s="111" t="s">
        <v>131</v>
      </c>
      <c r="O3" s="118">
        <f t="shared" si="0"/>
        <v>600</v>
      </c>
      <c r="P3" s="115">
        <v>5</v>
      </c>
      <c r="Q3" s="99">
        <v>3000</v>
      </c>
    </row>
    <row r="4" spans="1:17" x14ac:dyDescent="0.4">
      <c r="A4" s="51" t="s">
        <v>6</v>
      </c>
      <c r="B4" s="158">
        <v>44.7</v>
      </c>
      <c r="C4" s="159"/>
      <c r="E4" s="59" t="s">
        <v>67</v>
      </c>
      <c r="F4" s="56" t="s">
        <v>23</v>
      </c>
      <c r="G4" s="44">
        <v>8</v>
      </c>
      <c r="H4" s="129">
        <f>IF(B$15=0,0,G4/B$15)</f>
        <v>0.53333333333333333</v>
      </c>
      <c r="I4" s="90">
        <v>1</v>
      </c>
      <c r="K4" s="36">
        <v>2</v>
      </c>
      <c r="L4" s="95">
        <v>5.6000000000000014</v>
      </c>
      <c r="N4" s="111" t="s">
        <v>132</v>
      </c>
      <c r="O4" s="118">
        <f t="shared" si="0"/>
        <v>2680</v>
      </c>
      <c r="P4" s="115">
        <v>5</v>
      </c>
      <c r="Q4" s="99">
        <v>13400</v>
      </c>
    </row>
    <row r="5" spans="1:17" x14ac:dyDescent="0.4">
      <c r="A5" s="51" t="s">
        <v>7</v>
      </c>
      <c r="B5" s="160">
        <f>IF(B$2=0,0,B$4/B$2)</f>
        <v>8.9400000000000013</v>
      </c>
      <c r="C5" s="161"/>
      <c r="E5" s="59" t="s">
        <v>72</v>
      </c>
      <c r="F5" s="56" t="s">
        <v>27</v>
      </c>
      <c r="G5" s="44">
        <v>5</v>
      </c>
      <c r="H5" s="129">
        <f>IF(B$15=0,0,G5/B$15)</f>
        <v>0.33333333333333331</v>
      </c>
      <c r="I5" s="90">
        <v>7</v>
      </c>
      <c r="K5" s="36">
        <v>3</v>
      </c>
      <c r="L5" s="95">
        <v>31.900000000000002</v>
      </c>
      <c r="N5" s="111" t="s">
        <v>133</v>
      </c>
      <c r="O5" s="118">
        <f t="shared" si="0"/>
        <v>1520</v>
      </c>
      <c r="P5" s="115">
        <v>5</v>
      </c>
      <c r="Q5" s="99">
        <v>7600</v>
      </c>
    </row>
    <row r="6" spans="1:17" x14ac:dyDescent="0.4">
      <c r="A6" s="51" t="s">
        <v>1</v>
      </c>
      <c r="B6" s="150">
        <f>IF(B$2=0,0,(B$7*1+B$8*2+B$9*3)/B$2)</f>
        <v>1.6</v>
      </c>
      <c r="C6" s="151"/>
      <c r="E6" s="59" t="s">
        <v>68</v>
      </c>
      <c r="F6" s="56" t="s">
        <v>12</v>
      </c>
      <c r="G6" s="44">
        <v>3</v>
      </c>
      <c r="H6" s="129">
        <f>IF(B$15=0,0,G6/B$15)</f>
        <v>0.2</v>
      </c>
      <c r="I6" s="90">
        <v>4</v>
      </c>
      <c r="K6" s="36">
        <v>4</v>
      </c>
      <c r="L6" s="95">
        <v>53.400000000000006</v>
      </c>
      <c r="N6" s="111" t="s">
        <v>134</v>
      </c>
      <c r="O6" s="118">
        <f t="shared" si="0"/>
        <v>840</v>
      </c>
      <c r="P6" s="115">
        <v>5</v>
      </c>
      <c r="Q6" s="99">
        <v>4200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0.6</v>
      </c>
      <c r="E7" s="59" t="s">
        <v>65</v>
      </c>
      <c r="F7" s="56" t="s">
        <v>21</v>
      </c>
      <c r="G7" s="44">
        <v>2</v>
      </c>
      <c r="H7" s="129">
        <f>IF(B$15=0,0,G7/B$15)</f>
        <v>0.13333333333333333</v>
      </c>
      <c r="I7" s="90">
        <v>2</v>
      </c>
      <c r="K7" s="36">
        <v>5</v>
      </c>
      <c r="L7" s="95">
        <v>44.7</v>
      </c>
      <c r="N7" s="112" t="s">
        <v>135</v>
      </c>
      <c r="O7" s="119">
        <f t="shared" si="0"/>
        <v>1300</v>
      </c>
      <c r="P7" s="116">
        <v>4</v>
      </c>
      <c r="Q7" s="100">
        <v>5200</v>
      </c>
    </row>
    <row r="8" spans="1:17" x14ac:dyDescent="0.4">
      <c r="A8" s="51" t="s">
        <v>3</v>
      </c>
      <c r="B8" s="44">
        <v>1</v>
      </c>
      <c r="C8" s="37">
        <f t="shared" si="1"/>
        <v>0.2</v>
      </c>
      <c r="E8" s="59" t="s">
        <v>69</v>
      </c>
      <c r="F8" s="56" t="s">
        <v>24</v>
      </c>
      <c r="G8" s="44">
        <v>2</v>
      </c>
      <c r="H8" s="129">
        <f>IF(B$15=0,0,G8/B$15)</f>
        <v>0.13333333333333333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1</v>
      </c>
      <c r="C9" s="38">
        <f t="shared" si="1"/>
        <v>0.2</v>
      </c>
      <c r="E9" s="59" t="s">
        <v>70</v>
      </c>
      <c r="F9" s="56" t="s">
        <v>25</v>
      </c>
      <c r="G9" s="44">
        <v>2</v>
      </c>
      <c r="H9" s="129">
        <f>IF(B$15=0,0,G9/B$15)</f>
        <v>0.13333333333333333</v>
      </c>
      <c r="I9" s="90">
        <v>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86</v>
      </c>
      <c r="F10" s="56" t="s">
        <v>41</v>
      </c>
      <c r="G10" s="44">
        <v>2</v>
      </c>
      <c r="H10" s="129">
        <f>IF(B$15=0,0,G10/B$15)</f>
        <v>0.13333333333333333</v>
      </c>
      <c r="I10" s="90">
        <v>1</v>
      </c>
      <c r="N10" s="110" t="s">
        <v>157</v>
      </c>
      <c r="O10" s="120">
        <f>IF(P10=0,0,Q10/P10)</f>
        <v>-20.75</v>
      </c>
      <c r="P10" s="114">
        <v>2</v>
      </c>
      <c r="Q10" s="102">
        <v>-41.5</v>
      </c>
    </row>
    <row r="11" spans="1:17" x14ac:dyDescent="0.4">
      <c r="A11" s="54" t="s">
        <v>121</v>
      </c>
      <c r="B11" s="47">
        <v>11</v>
      </c>
      <c r="C11" s="42">
        <f>IF(B$3=0,0,B11/B$3)</f>
        <v>0.25</v>
      </c>
      <c r="E11" s="59" t="s">
        <v>166</v>
      </c>
      <c r="F11" s="56" t="s">
        <v>167</v>
      </c>
      <c r="G11" s="44">
        <v>2</v>
      </c>
      <c r="H11" s="129">
        <f>IF(B$15=0,0,G11/B$15)</f>
        <v>0.13333333333333333</v>
      </c>
      <c r="I11" s="90">
        <v>6</v>
      </c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1" t="s">
        <v>118</v>
      </c>
      <c r="B12" s="44">
        <v>16</v>
      </c>
      <c r="C12" s="37">
        <f>IF(B$3=0,0,B12/B$3)</f>
        <v>0.36363636363636365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4</v>
      </c>
      <c r="N12" s="112" t="s">
        <v>159</v>
      </c>
      <c r="O12" s="122">
        <f>IF(P12=0,0,Q12/P12)</f>
        <v>28.733333333333334</v>
      </c>
      <c r="P12" s="116">
        <v>3</v>
      </c>
      <c r="Q12" s="104">
        <v>86.2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0.72727272727272729</v>
      </c>
      <c r="E13" s="59" t="s">
        <v>83</v>
      </c>
      <c r="F13" s="56" t="s">
        <v>38</v>
      </c>
      <c r="G13" s="44">
        <v>1</v>
      </c>
      <c r="H13" s="129">
        <f>IF(B$15=0,0,G13/B$15)</f>
        <v>6.6666666666666666E-2</v>
      </c>
      <c r="I13" s="90">
        <v>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0.3125</v>
      </c>
      <c r="E14" s="59" t="s">
        <v>89</v>
      </c>
      <c r="F14" s="56" t="s">
        <v>44</v>
      </c>
      <c r="G14" s="44">
        <v>1</v>
      </c>
      <c r="H14" s="129">
        <f>IF(B$15=0,0,G14/B$15)</f>
        <v>6.6666666666666666E-2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0.34090909090909088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3</v>
      </c>
      <c r="N15" s="110" t="s">
        <v>170</v>
      </c>
      <c r="O15" s="120">
        <f>IF(P15=0,0,Q15/P15)</f>
        <v>45.3</v>
      </c>
      <c r="P15" s="114">
        <v>1</v>
      </c>
      <c r="Q15" s="102">
        <v>45.3</v>
      </c>
    </row>
    <row r="16" spans="1:17" x14ac:dyDescent="0.4">
      <c r="A16" s="51" t="s">
        <v>13</v>
      </c>
      <c r="B16" s="44">
        <v>6</v>
      </c>
      <c r="C16" s="37">
        <f>IF(B$3=0,0,B16/B$3)</f>
        <v>0.13636363636363635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1</v>
      </c>
      <c r="N16" s="111" t="s">
        <v>171</v>
      </c>
      <c r="O16" s="121">
        <f>IF(P16=0,0,Q16/P16)</f>
        <v>41.466666666666661</v>
      </c>
      <c r="P16" s="115">
        <v>3</v>
      </c>
      <c r="Q16" s="103">
        <v>124.39999999999999</v>
      </c>
    </row>
    <row r="17" spans="1:17" x14ac:dyDescent="0.4">
      <c r="A17" s="51" t="s">
        <v>12</v>
      </c>
      <c r="B17" s="44">
        <v>6</v>
      </c>
      <c r="C17" s="37">
        <f>IF(B$15=0,0,B17/B$15)</f>
        <v>0.4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</v>
      </c>
      <c r="N17" s="111" t="s">
        <v>161</v>
      </c>
      <c r="O17" s="121">
        <f>IF(P17=0,0,Q17/P17)</f>
        <v>5.9666666666666694</v>
      </c>
      <c r="P17" s="115">
        <v>3</v>
      </c>
      <c r="Q17" s="103">
        <v>17.900000000000009</v>
      </c>
    </row>
    <row r="18" spans="1:17" x14ac:dyDescent="0.4">
      <c r="A18" s="51" t="s">
        <v>11</v>
      </c>
      <c r="B18" s="44">
        <v>9</v>
      </c>
      <c r="C18" s="37">
        <f>IF(B$15=0,0,B18/B$15)</f>
        <v>0.6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127</v>
      </c>
      <c r="O18" s="121">
        <f>IF(P18=0,0,Q18/P18)</f>
        <v>-17.833333333333332</v>
      </c>
      <c r="P18" s="115">
        <v>3</v>
      </c>
      <c r="Q18" s="103">
        <v>-53.499999999999993</v>
      </c>
    </row>
    <row r="19" spans="1:17" x14ac:dyDescent="0.4">
      <c r="A19" s="51" t="s">
        <v>197</v>
      </c>
      <c r="B19" s="44">
        <v>8</v>
      </c>
      <c r="C19" s="37">
        <f>IF(B$15=0,0,B19/B$15)</f>
        <v>0.53333333333333333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1</v>
      </c>
    </row>
    <row r="20" spans="1:17" x14ac:dyDescent="0.4">
      <c r="A20" s="51" t="s">
        <v>195</v>
      </c>
      <c r="B20" s="44">
        <v>5</v>
      </c>
      <c r="C20" s="37">
        <f>IF(B$15=0,0,B20/B$15)</f>
        <v>0.33333333333333331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</v>
      </c>
    </row>
    <row r="21" spans="1:17" x14ac:dyDescent="0.4">
      <c r="A21" s="51" t="s">
        <v>196</v>
      </c>
      <c r="B21" s="44">
        <v>2</v>
      </c>
      <c r="C21" s="37">
        <f>IF(B$15=0,0,B21/B$15)</f>
        <v>0.13333333333333333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3</v>
      </c>
    </row>
    <row r="22" spans="1:17" x14ac:dyDescent="0.4">
      <c r="A22" s="51" t="s">
        <v>5</v>
      </c>
      <c r="B22" s="48">
        <f>IF(B$15=0,0,C22/B$15)</f>
        <v>6653.333333333333</v>
      </c>
      <c r="C22" s="39">
        <v>99800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8050</v>
      </c>
      <c r="C23" s="137">
        <v>80500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3</v>
      </c>
    </row>
    <row r="24" spans="1:17" x14ac:dyDescent="0.4">
      <c r="A24" s="52" t="s">
        <v>178</v>
      </c>
      <c r="B24" s="136">
        <f>IF(B$14=0,0,C24/B$14)</f>
        <v>3860</v>
      </c>
      <c r="C24" s="137">
        <v>19300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-6183.333333333333</v>
      </c>
      <c r="C25" s="137">
        <v>-37100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3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1</v>
      </c>
    </row>
    <row r="27" spans="1:17" x14ac:dyDescent="0.4">
      <c r="A27" s="51" t="s">
        <v>165</v>
      </c>
      <c r="B27" s="44">
        <v>13</v>
      </c>
      <c r="C27" s="131">
        <v>11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1</v>
      </c>
    </row>
    <row r="28" spans="1:17" x14ac:dyDescent="0.4">
      <c r="A28" s="86" t="s">
        <v>138</v>
      </c>
      <c r="B28" s="148">
        <v>0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1</v>
      </c>
    </row>
    <row r="29" spans="1:17" x14ac:dyDescent="0.4">
      <c r="A29" s="54" t="s">
        <v>194</v>
      </c>
      <c r="B29" s="146">
        <v>63400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1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</v>
      </c>
    </row>
    <row r="31" spans="1:17" x14ac:dyDescent="0.4">
      <c r="B31" s="31">
        <v>1</v>
      </c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3</v>
      </c>
    </row>
    <row r="32" spans="1:17" x14ac:dyDescent="0.4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1</v>
      </c>
    </row>
    <row r="33" spans="1:9" x14ac:dyDescent="0.4">
      <c r="A33" s="51" t="s">
        <v>181</v>
      </c>
      <c r="B33" s="44">
        <v>2</v>
      </c>
      <c r="C33" s="37">
        <f t="shared" ref="C33:C44" si="2">IF(B$15=0,0,B33/B$15)</f>
        <v>0.13333333333333333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1</v>
      </c>
      <c r="C35" s="37">
        <f t="shared" si="2"/>
        <v>6.6666666666666666E-2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1</v>
      </c>
      <c r="C36" s="37">
        <f t="shared" si="2"/>
        <v>6.6666666666666666E-2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0</v>
      </c>
      <c r="C37" s="37">
        <f t="shared" si="2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A9B49-F70D-4C77-9BD9-2A306A164345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</v>
      </c>
      <c r="C2" s="155"/>
      <c r="E2" s="58" t="s">
        <v>72</v>
      </c>
      <c r="F2" s="55" t="s">
        <v>27</v>
      </c>
      <c r="G2" s="43">
        <v>10</v>
      </c>
      <c r="H2" s="128">
        <f>IF(B$15=0,0,G2/B$15)</f>
        <v>0.7142857142857143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7150</v>
      </c>
      <c r="P2" s="114">
        <v>4</v>
      </c>
      <c r="Q2" s="98">
        <v>28600</v>
      </c>
    </row>
    <row r="3" spans="1:17" x14ac:dyDescent="0.4">
      <c r="A3" s="51" t="s">
        <v>8</v>
      </c>
      <c r="B3" s="156">
        <v>36</v>
      </c>
      <c r="C3" s="157"/>
      <c r="E3" s="59" t="s">
        <v>67</v>
      </c>
      <c r="F3" s="56" t="s">
        <v>23</v>
      </c>
      <c r="G3" s="44">
        <v>3</v>
      </c>
      <c r="H3" s="129">
        <f>IF(B$15=0,0,G3/B$15)</f>
        <v>0.21428571428571427</v>
      </c>
      <c r="I3" s="90">
        <v>4</v>
      </c>
      <c r="K3" s="36">
        <v>1</v>
      </c>
      <c r="L3" s="95">
        <v>-0.7</v>
      </c>
      <c r="N3" s="111" t="s">
        <v>131</v>
      </c>
      <c r="O3" s="118">
        <f t="shared" si="0"/>
        <v>-3775</v>
      </c>
      <c r="P3" s="115">
        <v>4</v>
      </c>
      <c r="Q3" s="99">
        <v>-15100</v>
      </c>
    </row>
    <row r="4" spans="1:17" x14ac:dyDescent="0.4">
      <c r="A4" s="51" t="s">
        <v>6</v>
      </c>
      <c r="B4" s="158">
        <v>52.9</v>
      </c>
      <c r="C4" s="159"/>
      <c r="E4" s="59" t="s">
        <v>89</v>
      </c>
      <c r="F4" s="56" t="s">
        <v>44</v>
      </c>
      <c r="G4" s="44">
        <v>3</v>
      </c>
      <c r="H4" s="129">
        <f>IF(B$15=0,0,G4/B$15)</f>
        <v>0.21428571428571427</v>
      </c>
      <c r="I4" s="90">
        <v>3</v>
      </c>
      <c r="K4" s="36">
        <v>2</v>
      </c>
      <c r="L4" s="95">
        <v>18.7</v>
      </c>
      <c r="N4" s="111" t="s">
        <v>132</v>
      </c>
      <c r="O4" s="118">
        <f t="shared" si="0"/>
        <v>175</v>
      </c>
      <c r="P4" s="115">
        <v>4</v>
      </c>
      <c r="Q4" s="99">
        <v>700</v>
      </c>
    </row>
    <row r="5" spans="1:17" x14ac:dyDescent="0.4">
      <c r="A5" s="51" t="s">
        <v>7</v>
      </c>
      <c r="B5" s="160">
        <f>IF(B$2=0,0,B$4/B$2)</f>
        <v>13.225</v>
      </c>
      <c r="C5" s="161"/>
      <c r="E5" s="59" t="s">
        <v>64</v>
      </c>
      <c r="F5" s="56" t="s">
        <v>20</v>
      </c>
      <c r="G5" s="44">
        <v>2</v>
      </c>
      <c r="H5" s="129">
        <f>IF(B$15=0,0,G5/B$15)</f>
        <v>0.14285714285714285</v>
      </c>
      <c r="I5" s="90">
        <v>6</v>
      </c>
      <c r="K5" s="36">
        <v>3</v>
      </c>
      <c r="L5" s="95">
        <v>24</v>
      </c>
      <c r="N5" s="111" t="s">
        <v>133</v>
      </c>
      <c r="O5" s="118">
        <f t="shared" si="0"/>
        <v>1475</v>
      </c>
      <c r="P5" s="115">
        <v>4</v>
      </c>
      <c r="Q5" s="99">
        <v>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71</v>
      </c>
      <c r="F6" s="56" t="s">
        <v>26</v>
      </c>
      <c r="G6" s="44">
        <v>2</v>
      </c>
      <c r="H6" s="129">
        <f>IF(B$15=0,0,G6/B$15)</f>
        <v>0.14285714285714285</v>
      </c>
      <c r="I6" s="90">
        <v>1</v>
      </c>
      <c r="K6" s="36">
        <v>4</v>
      </c>
      <c r="L6" s="95">
        <v>52.9</v>
      </c>
      <c r="N6" s="111" t="s">
        <v>134</v>
      </c>
      <c r="O6" s="118">
        <f t="shared" si="0"/>
        <v>-2950</v>
      </c>
      <c r="P6" s="115">
        <v>4</v>
      </c>
      <c r="Q6" s="99">
        <v>-11800</v>
      </c>
    </row>
    <row r="7" spans="1:17" x14ac:dyDescent="0.4">
      <c r="A7" s="51" t="s">
        <v>2</v>
      </c>
      <c r="B7" s="44">
        <v>2</v>
      </c>
      <c r="C7" s="37">
        <f t="shared" ref="C7:C10" si="1">IF(B$2=0,0,B7/B$2)</f>
        <v>0.5</v>
      </c>
      <c r="E7" s="59" t="s">
        <v>81</v>
      </c>
      <c r="F7" s="56" t="s">
        <v>36</v>
      </c>
      <c r="G7" s="44">
        <v>2</v>
      </c>
      <c r="H7" s="129">
        <f>IF(B$15=0,0,G7/B$15)</f>
        <v>0.14285714285714285</v>
      </c>
      <c r="I7" s="90">
        <v>1</v>
      </c>
      <c r="N7" s="112" t="s">
        <v>135</v>
      </c>
      <c r="O7" s="119">
        <f t="shared" si="0"/>
        <v>6150</v>
      </c>
      <c r="P7" s="116">
        <v>4</v>
      </c>
      <c r="Q7" s="100">
        <v>24600</v>
      </c>
    </row>
    <row r="8" spans="1:17" x14ac:dyDescent="0.4">
      <c r="A8" s="51" t="s">
        <v>3</v>
      </c>
      <c r="B8" s="44">
        <v>2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0.14285714285714285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66</v>
      </c>
      <c r="F9" s="56" t="s">
        <v>22</v>
      </c>
      <c r="G9" s="44">
        <v>1</v>
      </c>
      <c r="H9" s="129">
        <f>IF(B$15=0,0,G9/B$15)</f>
        <v>7.1428571428571425E-2</v>
      </c>
      <c r="I9" s="90">
        <v>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68</v>
      </c>
      <c r="F10" s="56" t="s">
        <v>12</v>
      </c>
      <c r="G10" s="44">
        <v>1</v>
      </c>
      <c r="H10" s="129">
        <f>IF(B$15=0,0,G10/B$15)</f>
        <v>7.1428571428571425E-2</v>
      </c>
      <c r="I10" s="90">
        <v>6</v>
      </c>
      <c r="N10" s="110" t="s">
        <v>157</v>
      </c>
      <c r="O10" s="120">
        <f>IF(P10=0,0,Q10/P10)</f>
        <v>5.3</v>
      </c>
      <c r="P10" s="114">
        <v>1</v>
      </c>
      <c r="Q10" s="102">
        <v>5.3</v>
      </c>
    </row>
    <row r="11" spans="1:17" x14ac:dyDescent="0.4">
      <c r="A11" s="54" t="s">
        <v>121</v>
      </c>
      <c r="B11" s="47">
        <v>6</v>
      </c>
      <c r="C11" s="42">
        <f>IF(B$3=0,0,B11/B$3)</f>
        <v>0.16666666666666666</v>
      </c>
      <c r="E11" s="59" t="s">
        <v>69</v>
      </c>
      <c r="F11" s="56" t="s">
        <v>24</v>
      </c>
      <c r="G11" s="44">
        <v>1</v>
      </c>
      <c r="H11" s="129">
        <f>IF(B$15=0,0,G11/B$15)</f>
        <v>7.1428571428571425E-2</v>
      </c>
      <c r="I11" s="90">
        <v>4</v>
      </c>
      <c r="N11" s="111" t="s">
        <v>158</v>
      </c>
      <c r="O11" s="121">
        <f>IF(P11=0,0,Q11/P11)</f>
        <v>14.1</v>
      </c>
      <c r="P11" s="115">
        <v>2</v>
      </c>
      <c r="Q11" s="103">
        <v>28.2</v>
      </c>
    </row>
    <row r="12" spans="1:17" x14ac:dyDescent="0.4">
      <c r="A12" s="51" t="s">
        <v>118</v>
      </c>
      <c r="B12" s="44">
        <v>13</v>
      </c>
      <c r="C12" s="37">
        <f>IF(B$3=0,0,B12/B$3)</f>
        <v>0.3611111111111111</v>
      </c>
      <c r="E12" s="59" t="s">
        <v>70</v>
      </c>
      <c r="F12" s="56" t="s">
        <v>25</v>
      </c>
      <c r="G12" s="44">
        <v>1</v>
      </c>
      <c r="H12" s="129">
        <f>IF(B$15=0,0,G12/B$15)</f>
        <v>7.1428571428571425E-2</v>
      </c>
      <c r="I12" s="90">
        <v>2</v>
      </c>
      <c r="N12" s="112" t="s">
        <v>159</v>
      </c>
      <c r="O12" s="122">
        <f>IF(P12=0,0,Q12/P12)</f>
        <v>19.399999999999999</v>
      </c>
      <c r="P12" s="116">
        <v>1</v>
      </c>
      <c r="Q12" s="104">
        <v>19.399999999999999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0.33333333333333331</v>
      </c>
      <c r="E13" s="59" t="s">
        <v>86</v>
      </c>
      <c r="F13" s="56" t="s">
        <v>41</v>
      </c>
      <c r="G13" s="44">
        <v>1</v>
      </c>
      <c r="H13" s="129">
        <f>IF(B$15=0,0,G13/B$15)</f>
        <v>7.1428571428571425E-2</v>
      </c>
      <c r="I13" s="90">
        <v>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</v>
      </c>
      <c r="C14" s="35">
        <f>IF(B$12=0,0,B14/B$12)</f>
        <v>0.53846153846153844</v>
      </c>
      <c r="E14" s="59" t="s">
        <v>92</v>
      </c>
      <c r="F14" s="56" t="s">
        <v>47</v>
      </c>
      <c r="G14" s="44">
        <v>1</v>
      </c>
      <c r="H14" s="129">
        <f>IF(B$15=0,0,G14/B$15)</f>
        <v>7.1428571428571425E-2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14</v>
      </c>
      <c r="C15" s="35">
        <f>IF(B$3=0,0,B15/B$3)</f>
        <v>0.3888888888888889</v>
      </c>
      <c r="E15" s="59" t="s">
        <v>166</v>
      </c>
      <c r="F15" s="56" t="s">
        <v>167</v>
      </c>
      <c r="G15" s="44">
        <v>1</v>
      </c>
      <c r="H15" s="129">
        <f>IF(B$15=0,0,G15/B$15)</f>
        <v>7.1428571428571425E-2</v>
      </c>
      <c r="I15" s="90">
        <v>7</v>
      </c>
      <c r="N15" s="110" t="s">
        <v>172</v>
      </c>
      <c r="O15" s="120">
        <f>IF(P15=0,0,Q15/P15)</f>
        <v>46.2</v>
      </c>
      <c r="P15" s="114">
        <v>1</v>
      </c>
      <c r="Q15" s="102">
        <v>46.2</v>
      </c>
    </row>
    <row r="16" spans="1:17" x14ac:dyDescent="0.4">
      <c r="A16" s="51" t="s">
        <v>13</v>
      </c>
      <c r="B16" s="44">
        <v>8</v>
      </c>
      <c r="C16" s="37">
        <f>IF(B$3=0,0,B16/B$3)</f>
        <v>0.22222222222222221</v>
      </c>
      <c r="E16" s="59" t="s">
        <v>65</v>
      </c>
      <c r="F16" s="56" t="s">
        <v>21</v>
      </c>
      <c r="G16" s="44">
        <v>0</v>
      </c>
      <c r="H16" s="129">
        <f>IF(B$15=0,0,G16/B$15)</f>
        <v>0</v>
      </c>
      <c r="I16" s="90">
        <v>4</v>
      </c>
      <c r="N16" s="111" t="s">
        <v>171</v>
      </c>
      <c r="O16" s="121">
        <f>IF(P16=0,0,Q16/P16)</f>
        <v>31.066666666666666</v>
      </c>
      <c r="P16" s="115">
        <v>3</v>
      </c>
      <c r="Q16" s="103">
        <v>93.2</v>
      </c>
    </row>
    <row r="17" spans="1:17" x14ac:dyDescent="0.4">
      <c r="A17" s="51" t="s">
        <v>12</v>
      </c>
      <c r="B17" s="44">
        <v>5</v>
      </c>
      <c r="C17" s="37">
        <f>IF(B$15=0,0,B17/B$15)</f>
        <v>0.35714285714285715</v>
      </c>
      <c r="E17" s="59" t="s">
        <v>73</v>
      </c>
      <c r="F17" s="56" t="s">
        <v>28</v>
      </c>
      <c r="G17" s="44">
        <v>0</v>
      </c>
      <c r="H17" s="129">
        <f>IF(B$15=0,0,G17/B$15)</f>
        <v>0</v>
      </c>
      <c r="I17" s="90">
        <v>3</v>
      </c>
      <c r="N17" s="111" t="s">
        <v>126</v>
      </c>
      <c r="O17" s="121">
        <f>IF(P17=0,0,Q17/P17)</f>
        <v>17.833333333333329</v>
      </c>
      <c r="P17" s="115">
        <v>3</v>
      </c>
      <c r="Q17" s="103">
        <v>53.499999999999986</v>
      </c>
    </row>
    <row r="18" spans="1:17" x14ac:dyDescent="0.4">
      <c r="A18" s="51" t="s">
        <v>11</v>
      </c>
      <c r="B18" s="44">
        <v>9</v>
      </c>
      <c r="C18" s="37">
        <f>IF(B$15=0,0,B18/B$15)</f>
        <v>0.6428571428571429</v>
      </c>
      <c r="E18" s="59" t="s">
        <v>74</v>
      </c>
      <c r="F18" s="56" t="s">
        <v>29</v>
      </c>
      <c r="G18" s="44">
        <v>0</v>
      </c>
      <c r="H18" s="129">
        <f>IF(B$15=0,0,G18/B$15)</f>
        <v>0</v>
      </c>
      <c r="I18" s="90">
        <v>1</v>
      </c>
      <c r="N18" s="111" t="s">
        <v>161</v>
      </c>
      <c r="O18" s="121">
        <f>IF(P18=0,0,Q18/P18)</f>
        <v>-34.200000000000003</v>
      </c>
      <c r="P18" s="115">
        <v>1</v>
      </c>
      <c r="Q18" s="103">
        <v>-34.200000000000003</v>
      </c>
    </row>
    <row r="19" spans="1:17" x14ac:dyDescent="0.4">
      <c r="A19" s="51" t="s">
        <v>197</v>
      </c>
      <c r="B19" s="44">
        <v>2</v>
      </c>
      <c r="C19" s="37">
        <f>IF(B$15=0,0,B19/B$15)</f>
        <v>0.14285714285714285</v>
      </c>
      <c r="E19" s="59" t="s">
        <v>75</v>
      </c>
      <c r="F19" s="56" t="s">
        <v>30</v>
      </c>
      <c r="G19" s="44">
        <v>0</v>
      </c>
      <c r="H19" s="129">
        <f>IF(B$15=0,0,G19/B$15)</f>
        <v>0</v>
      </c>
      <c r="I19" s="90">
        <v>1</v>
      </c>
    </row>
    <row r="20" spans="1:17" x14ac:dyDescent="0.4">
      <c r="A20" s="51" t="s">
        <v>195</v>
      </c>
      <c r="B20" s="44">
        <v>7</v>
      </c>
      <c r="C20" s="37">
        <f>IF(B$15=0,0,B20/B$15)</f>
        <v>0.5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</row>
    <row r="21" spans="1:17" x14ac:dyDescent="0.4">
      <c r="A21" s="51" t="s">
        <v>196</v>
      </c>
      <c r="B21" s="44">
        <v>5</v>
      </c>
      <c r="C21" s="37">
        <f>IF(B$15=0,0,B21/B$15)</f>
        <v>0.35714285714285715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7492.8571428571431</v>
      </c>
      <c r="C22" s="39">
        <v>104900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9557.1428571428569</v>
      </c>
      <c r="C23" s="137">
        <v>66900</v>
      </c>
      <c r="E23" s="59" t="s">
        <v>79</v>
      </c>
      <c r="F23" s="56" t="s">
        <v>34</v>
      </c>
      <c r="G23" s="44">
        <v>0</v>
      </c>
      <c r="H23" s="129">
        <f>IF(B$15=0,0,G23/B$15)</f>
        <v>0</v>
      </c>
      <c r="I23" s="90">
        <v>3</v>
      </c>
    </row>
    <row r="24" spans="1:17" x14ac:dyDescent="0.4">
      <c r="A24" s="52" t="s">
        <v>178</v>
      </c>
      <c r="B24" s="136">
        <f>IF(B$14=0,0,C24/B$14)</f>
        <v>5428.5714285714284</v>
      </c>
      <c r="C24" s="137">
        <v>38000</v>
      </c>
      <c r="E24" s="59" t="s">
        <v>80</v>
      </c>
      <c r="F24" s="56" t="s">
        <v>35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-4862.5</v>
      </c>
      <c r="C25" s="137">
        <v>-38900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1</v>
      </c>
    </row>
    <row r="27" spans="1:17" x14ac:dyDescent="0.4">
      <c r="A27" s="51" t="s">
        <v>165</v>
      </c>
      <c r="B27" s="44">
        <v>12</v>
      </c>
      <c r="C27" s="131">
        <v>0</v>
      </c>
      <c r="E27" s="59" t="s">
        <v>85</v>
      </c>
      <c r="F27" s="56" t="s">
        <v>40</v>
      </c>
      <c r="G27" s="44">
        <v>0</v>
      </c>
      <c r="H27" s="129">
        <f>IF(B$15=0,0,G27/B$15)</f>
        <v>0</v>
      </c>
      <c r="I27" s="90">
        <v>1</v>
      </c>
    </row>
    <row r="28" spans="1:17" x14ac:dyDescent="0.4">
      <c r="A28" s="86" t="s">
        <v>138</v>
      </c>
      <c r="B28" s="148">
        <v>0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1</v>
      </c>
    </row>
    <row r="29" spans="1:17" x14ac:dyDescent="0.4">
      <c r="A29" s="54" t="s">
        <v>194</v>
      </c>
      <c r="B29" s="146">
        <v>53900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1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1</v>
      </c>
    </row>
    <row r="31" spans="1:17" x14ac:dyDescent="0.4">
      <c r="B31" s="31">
        <v>2</v>
      </c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</v>
      </c>
    </row>
    <row r="32" spans="1:17" x14ac:dyDescent="0.4">
      <c r="A32" s="86" t="s">
        <v>185</v>
      </c>
      <c r="B32" s="144">
        <v>1</v>
      </c>
      <c r="C32" s="141">
        <f>IF(B$15=0,0,B32/B$15)</f>
        <v>7.1428571428571425E-2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1</v>
      </c>
    </row>
    <row r="33" spans="1:9" x14ac:dyDescent="0.4">
      <c r="A33" s="51" t="s">
        <v>181</v>
      </c>
      <c r="B33" s="44">
        <v>2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7.1428571428571425E-2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2</v>
      </c>
      <c r="C35" s="37">
        <f t="shared" si="2"/>
        <v>0.14285714285714285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1</v>
      </c>
      <c r="C36" s="37">
        <f t="shared" si="2"/>
        <v>7.1428571428571425E-2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0</v>
      </c>
      <c r="C37" s="37">
        <f t="shared" si="2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2"/>
        <v>7.1428571428571425E-2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1</v>
      </c>
      <c r="C43" s="37">
        <f t="shared" si="2"/>
        <v>7.1428571428571425E-2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43220-4A3A-4D7B-AE3D-5C380126BEDB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0.77777777777777779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-3250</v>
      </c>
      <c r="P2" s="114">
        <v>4</v>
      </c>
      <c r="Q2" s="98">
        <v>-13000</v>
      </c>
    </row>
    <row r="3" spans="1:17" x14ac:dyDescent="0.4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6</v>
      </c>
      <c r="H3" s="129">
        <f>IF(B$15=0,0,G3/B$15)</f>
        <v>0.66666666666666663</v>
      </c>
      <c r="I3" s="90">
        <v>3</v>
      </c>
      <c r="K3" s="36">
        <v>1</v>
      </c>
      <c r="L3" s="95">
        <v>-38.299999999999997</v>
      </c>
      <c r="N3" s="111" t="s">
        <v>131</v>
      </c>
      <c r="O3" s="118">
        <f t="shared" si="0"/>
        <v>5775</v>
      </c>
      <c r="P3" s="115">
        <v>4</v>
      </c>
      <c r="Q3" s="99">
        <v>23100</v>
      </c>
    </row>
    <row r="4" spans="1:17" x14ac:dyDescent="0.4">
      <c r="A4" s="51" t="s">
        <v>6</v>
      </c>
      <c r="B4" s="158">
        <v>-77.900000000000006</v>
      </c>
      <c r="C4" s="159"/>
      <c r="E4" s="59" t="s">
        <v>64</v>
      </c>
      <c r="F4" s="56" t="s">
        <v>20</v>
      </c>
      <c r="G4" s="44">
        <v>2</v>
      </c>
      <c r="H4" s="129">
        <f>IF(B$15=0,0,G4/B$15)</f>
        <v>0.22222222222222221</v>
      </c>
      <c r="I4" s="90">
        <v>4</v>
      </c>
      <c r="K4" s="36">
        <v>2</v>
      </c>
      <c r="L4" s="95">
        <v>-30.9</v>
      </c>
      <c r="N4" s="111" t="s">
        <v>132</v>
      </c>
      <c r="O4" s="118">
        <f t="shared" si="0"/>
        <v>-5775</v>
      </c>
      <c r="P4" s="115">
        <v>4</v>
      </c>
      <c r="Q4" s="99">
        <v>-23100</v>
      </c>
    </row>
    <row r="5" spans="1:17" x14ac:dyDescent="0.4">
      <c r="A5" s="51" t="s">
        <v>7</v>
      </c>
      <c r="B5" s="160">
        <f>IF(B$2=0,0,B$4/B$2)</f>
        <v>-19.475000000000001</v>
      </c>
      <c r="C5" s="161"/>
      <c r="E5" s="59" t="s">
        <v>67</v>
      </c>
      <c r="F5" s="56" t="s">
        <v>23</v>
      </c>
      <c r="G5" s="44">
        <v>2</v>
      </c>
      <c r="H5" s="129">
        <f>IF(B$15=0,0,G5/B$15)</f>
        <v>0.22222222222222221</v>
      </c>
      <c r="I5" s="90">
        <v>3</v>
      </c>
      <c r="K5" s="36">
        <v>3</v>
      </c>
      <c r="L5" s="95">
        <v>-57.7</v>
      </c>
      <c r="N5" s="111" t="s">
        <v>133</v>
      </c>
      <c r="O5" s="118">
        <f t="shared" si="0"/>
        <v>-1000</v>
      </c>
      <c r="P5" s="115">
        <v>4</v>
      </c>
      <c r="Q5" s="99">
        <v>-4000</v>
      </c>
    </row>
    <row r="6" spans="1:17" x14ac:dyDescent="0.4">
      <c r="A6" s="51" t="s">
        <v>1</v>
      </c>
      <c r="B6" s="150">
        <f>IF(B$2=0,0,(B$7*1+B$8*2+B$9*3)/B$2)</f>
        <v>2.75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0.22222222222222221</v>
      </c>
      <c r="I6" s="90">
        <v>3</v>
      </c>
      <c r="K6" s="36">
        <v>4</v>
      </c>
      <c r="L6" s="95">
        <v>-77.900000000000006</v>
      </c>
      <c r="N6" s="111" t="s">
        <v>134</v>
      </c>
      <c r="O6" s="118">
        <f t="shared" si="0"/>
        <v>-4250</v>
      </c>
      <c r="P6" s="115">
        <v>4</v>
      </c>
      <c r="Q6" s="99">
        <v>-17000</v>
      </c>
    </row>
    <row r="7" spans="1:17" x14ac:dyDescent="0.4">
      <c r="A7" s="51" t="s">
        <v>2</v>
      </c>
      <c r="B7" s="44">
        <v>0</v>
      </c>
      <c r="C7" s="37">
        <f t="shared" ref="C7:C10" si="1">IF(B$2=0,0,B7/B$2)</f>
        <v>0</v>
      </c>
      <c r="E7" s="59" t="s">
        <v>89</v>
      </c>
      <c r="F7" s="56" t="s">
        <v>44</v>
      </c>
      <c r="G7" s="44">
        <v>2</v>
      </c>
      <c r="H7" s="129">
        <f>IF(B$15=0,0,G7/B$15)</f>
        <v>0.22222222222222221</v>
      </c>
      <c r="I7" s="90">
        <v>2</v>
      </c>
      <c r="N7" s="112" t="s">
        <v>135</v>
      </c>
      <c r="O7" s="119">
        <f t="shared" si="0"/>
        <v>-3475</v>
      </c>
      <c r="P7" s="116">
        <v>4</v>
      </c>
      <c r="Q7" s="100">
        <v>-13900</v>
      </c>
    </row>
    <row r="8" spans="1:17" x14ac:dyDescent="0.4">
      <c r="A8" s="51" t="s">
        <v>3</v>
      </c>
      <c r="B8" s="44">
        <v>1</v>
      </c>
      <c r="C8" s="37">
        <f t="shared" si="1"/>
        <v>0.25</v>
      </c>
      <c r="E8" s="59" t="s">
        <v>166</v>
      </c>
      <c r="F8" s="56" t="s">
        <v>167</v>
      </c>
      <c r="G8" s="44">
        <v>2</v>
      </c>
      <c r="H8" s="129">
        <f>IF(B$15=0,0,G8/B$15)</f>
        <v>0.22222222222222221</v>
      </c>
      <c r="I8" s="90">
        <v>4</v>
      </c>
      <c r="N8" s="41"/>
      <c r="O8" s="123"/>
      <c r="P8" s="107"/>
      <c r="Q8" s="105"/>
    </row>
    <row r="9" spans="1:17" x14ac:dyDescent="0.4">
      <c r="A9" s="52" t="s">
        <v>4</v>
      </c>
      <c r="B9" s="45">
        <v>3</v>
      </c>
      <c r="C9" s="38">
        <f t="shared" si="1"/>
        <v>0.75</v>
      </c>
      <c r="E9" s="59" t="s">
        <v>69</v>
      </c>
      <c r="F9" s="56" t="s">
        <v>24</v>
      </c>
      <c r="G9" s="44">
        <v>1</v>
      </c>
      <c r="H9" s="129">
        <f>IF(B$15=0,0,G9/B$15)</f>
        <v>0.1111111111111111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73</v>
      </c>
      <c r="F10" s="56" t="s">
        <v>28</v>
      </c>
      <c r="G10" s="44">
        <v>1</v>
      </c>
      <c r="H10" s="129">
        <f>IF(B$15=0,0,G10/B$15)</f>
        <v>0.1111111111111111</v>
      </c>
      <c r="I10" s="90">
        <v>1</v>
      </c>
      <c r="N10" s="110" t="s">
        <v>157</v>
      </c>
      <c r="O10" s="120">
        <f>IF(P10=0,0,Q10/P10)</f>
        <v>-38.299999999999997</v>
      </c>
      <c r="P10" s="114">
        <v>1</v>
      </c>
      <c r="Q10" s="102">
        <v>-38.299999999999997</v>
      </c>
    </row>
    <row r="11" spans="1:17" x14ac:dyDescent="0.4">
      <c r="A11" s="54" t="s">
        <v>121</v>
      </c>
      <c r="B11" s="47">
        <v>9</v>
      </c>
      <c r="C11" s="42">
        <f>IF(B$3=0,0,B11/B$3)</f>
        <v>0.22500000000000001</v>
      </c>
      <c r="E11" s="59" t="s">
        <v>86</v>
      </c>
      <c r="F11" s="56" t="s">
        <v>41</v>
      </c>
      <c r="G11" s="44">
        <v>1</v>
      </c>
      <c r="H11" s="129">
        <f>IF(B$15=0,0,G11/B$15)</f>
        <v>0.1111111111111111</v>
      </c>
      <c r="I11" s="90">
        <v>2</v>
      </c>
      <c r="N11" s="111" t="s">
        <v>158</v>
      </c>
      <c r="O11" s="121">
        <f>IF(P11=0,0,Q11/P11)</f>
        <v>-9.6999999999999993</v>
      </c>
      <c r="P11" s="115">
        <v>2</v>
      </c>
      <c r="Q11" s="103">
        <v>-19.399999999999999</v>
      </c>
    </row>
    <row r="12" spans="1:17" x14ac:dyDescent="0.4">
      <c r="A12" s="51" t="s">
        <v>118</v>
      </c>
      <c r="B12" s="44">
        <v>10</v>
      </c>
      <c r="C12" s="37">
        <f>IF(B$3=0,0,B12/B$3)</f>
        <v>0.25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4</v>
      </c>
      <c r="N12" s="112" t="s">
        <v>159</v>
      </c>
      <c r="O12" s="122">
        <f>IF(P12=0,0,Q12/P12)</f>
        <v>-20.2</v>
      </c>
      <c r="P12" s="116">
        <v>1</v>
      </c>
      <c r="Q12" s="104">
        <v>-20.2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0.22222222222222221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0.6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9</v>
      </c>
      <c r="C15" s="35">
        <f>IF(B$3=0,0,B15/B$3)</f>
        <v>0.22500000000000001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1</v>
      </c>
      <c r="N15" s="110" t="s">
        <v>172</v>
      </c>
      <c r="O15" s="120">
        <f>IF(P15=0,0,Q15/P15)</f>
        <v>34.200000000000003</v>
      </c>
      <c r="P15" s="114">
        <v>1</v>
      </c>
      <c r="Q15" s="102">
        <v>34.200000000000003</v>
      </c>
    </row>
    <row r="16" spans="1:17" x14ac:dyDescent="0.4">
      <c r="A16" s="51" t="s">
        <v>13</v>
      </c>
      <c r="B16" s="44">
        <v>8</v>
      </c>
      <c r="C16" s="37">
        <f>IF(B$3=0,0,B16/B$3)</f>
        <v>0.2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</v>
      </c>
      <c r="N16" s="111" t="s">
        <v>127</v>
      </c>
      <c r="O16" s="121">
        <f>IF(P16=0,0,Q16/P16)</f>
        <v>-31.066666666666663</v>
      </c>
      <c r="P16" s="115">
        <v>3</v>
      </c>
      <c r="Q16" s="103">
        <v>-93.199999999999989</v>
      </c>
    </row>
    <row r="17" spans="1:17" x14ac:dyDescent="0.4">
      <c r="A17" s="51" t="s">
        <v>12</v>
      </c>
      <c r="B17" s="44">
        <v>4</v>
      </c>
      <c r="C17" s="37">
        <f>IF(B$15=0,0,B17/B$15)</f>
        <v>0.44444444444444442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126</v>
      </c>
      <c r="O17" s="121">
        <f>IF(P17=0,0,Q17/P17)</f>
        <v>-41.466666666666661</v>
      </c>
      <c r="P17" s="115">
        <v>3</v>
      </c>
      <c r="Q17" s="103">
        <v>-124.39999999999999</v>
      </c>
    </row>
    <row r="18" spans="1:17" x14ac:dyDescent="0.4">
      <c r="A18" s="51" t="s">
        <v>11</v>
      </c>
      <c r="B18" s="44">
        <v>5</v>
      </c>
      <c r="C18" s="37">
        <f>IF(B$15=0,0,B18/B$15)</f>
        <v>0.55555555555555558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1</v>
      </c>
      <c r="N18" s="111" t="s">
        <v>161</v>
      </c>
      <c r="O18" s="121">
        <f>IF(P18=0,0,Q18/P18)</f>
        <v>-50.3</v>
      </c>
      <c r="P18" s="115">
        <v>1</v>
      </c>
      <c r="Q18" s="103">
        <v>-50.3</v>
      </c>
    </row>
    <row r="19" spans="1:17" x14ac:dyDescent="0.4">
      <c r="A19" s="51" t="s">
        <v>197</v>
      </c>
      <c r="B19" s="44">
        <v>2</v>
      </c>
      <c r="C19" s="37">
        <f>IF(B$15=0,0,B19/B$15)</f>
        <v>0.22222222222222221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</v>
      </c>
    </row>
    <row r="20" spans="1:17" x14ac:dyDescent="0.4">
      <c r="A20" s="51" t="s">
        <v>195</v>
      </c>
      <c r="B20" s="44">
        <v>6</v>
      </c>
      <c r="C20" s="37">
        <f>IF(B$15=0,0,B20/B$15)</f>
        <v>0.66666666666666663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3</v>
      </c>
    </row>
    <row r="21" spans="1:17" x14ac:dyDescent="0.4">
      <c r="A21" s="51" t="s">
        <v>196</v>
      </c>
      <c r="B21" s="44">
        <v>1</v>
      </c>
      <c r="C21" s="37">
        <f>IF(B$15=0,0,B21/B$15)</f>
        <v>0.1111111111111111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6100</v>
      </c>
      <c r="C22" s="39">
        <v>54900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3</v>
      </c>
    </row>
    <row r="23" spans="1:17" x14ac:dyDescent="0.4">
      <c r="A23" s="52" t="s">
        <v>177</v>
      </c>
      <c r="B23" s="136">
        <f>IF($B$15-B$14=0,0,C23/($B$15-B$14))</f>
        <v>7366.666666666667</v>
      </c>
      <c r="C23" s="137">
        <v>22100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5466.666666666667</v>
      </c>
      <c r="C24" s="137">
        <v>32800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4</v>
      </c>
    </row>
    <row r="25" spans="1:17" x14ac:dyDescent="0.4">
      <c r="A25" s="52" t="s">
        <v>176</v>
      </c>
      <c r="B25" s="136">
        <f>IF(B$16=0,0,C25/B$16)</f>
        <v>-5225</v>
      </c>
      <c r="C25" s="137">
        <v>-41800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1</v>
      </c>
    </row>
    <row r="27" spans="1:17" x14ac:dyDescent="0.4">
      <c r="A27" s="51" t="s">
        <v>165</v>
      </c>
      <c r="B27" s="44">
        <v>15</v>
      </c>
      <c r="C27" s="131">
        <v>3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1</v>
      </c>
    </row>
    <row r="28" spans="1:17" x14ac:dyDescent="0.4">
      <c r="A28" s="86" t="s">
        <v>138</v>
      </c>
      <c r="B28" s="148">
        <v>0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1</v>
      </c>
    </row>
    <row r="29" spans="1:17" x14ac:dyDescent="0.4">
      <c r="A29" s="54" t="s">
        <v>194</v>
      </c>
      <c r="B29" s="146">
        <v>42400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1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3</v>
      </c>
    </row>
    <row r="32" spans="1:17" x14ac:dyDescent="0.4">
      <c r="A32" s="86" t="s">
        <v>185</v>
      </c>
      <c r="B32" s="144">
        <v>2</v>
      </c>
      <c r="C32" s="141">
        <f>IF(B$15=0,0,B32/B$15)</f>
        <v>0.22222222222222221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1</v>
      </c>
    </row>
    <row r="33" spans="1:9" x14ac:dyDescent="0.4">
      <c r="A33" s="51" t="s">
        <v>181</v>
      </c>
      <c r="B33" s="44">
        <v>1</v>
      </c>
      <c r="C33" s="37">
        <f t="shared" ref="C33:C44" si="2">IF(B$15=0,0,B33/B$15)</f>
        <v>0.1111111111111111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0.1111111111111111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1</v>
      </c>
      <c r="C35" s="37">
        <f t="shared" si="2"/>
        <v>0.1111111111111111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0</v>
      </c>
      <c r="C37" s="37">
        <f t="shared" si="2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8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F6B60-7451-4A7B-84C9-0296DEF451A9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</v>
      </c>
      <c r="C2" s="155"/>
      <c r="E2" s="58" t="s">
        <v>64</v>
      </c>
      <c r="F2" s="55" t="s">
        <v>20</v>
      </c>
      <c r="G2" s="43">
        <v>2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-2600</v>
      </c>
      <c r="P2" s="114">
        <v>1</v>
      </c>
      <c r="Q2" s="98">
        <v>-2600</v>
      </c>
    </row>
    <row r="3" spans="1:17" x14ac:dyDescent="0.4">
      <c r="A3" s="51" t="s">
        <v>8</v>
      </c>
      <c r="B3" s="156">
        <v>10</v>
      </c>
      <c r="C3" s="157"/>
      <c r="E3" s="59" t="s">
        <v>68</v>
      </c>
      <c r="F3" s="56" t="s">
        <v>12</v>
      </c>
      <c r="G3" s="44">
        <v>2</v>
      </c>
      <c r="H3" s="129">
        <f>IF(B$15=0,0,G3/B$15)</f>
        <v>1</v>
      </c>
      <c r="I3" s="90">
        <v>1</v>
      </c>
      <c r="K3" s="36">
        <v>1</v>
      </c>
      <c r="L3" s="95">
        <v>-26.8</v>
      </c>
      <c r="N3" s="111" t="s">
        <v>131</v>
      </c>
      <c r="O3" s="118">
        <f t="shared" si="0"/>
        <v>-16000</v>
      </c>
      <c r="P3" s="115">
        <v>1</v>
      </c>
      <c r="Q3" s="99">
        <v>-16000</v>
      </c>
    </row>
    <row r="4" spans="1:17" x14ac:dyDescent="0.4">
      <c r="A4" s="51" t="s">
        <v>6</v>
      </c>
      <c r="B4" s="158">
        <v>-26.8</v>
      </c>
      <c r="C4" s="159"/>
      <c r="E4" s="59" t="s">
        <v>65</v>
      </c>
      <c r="F4" s="56" t="s">
        <v>21</v>
      </c>
      <c r="G4" s="44">
        <v>1</v>
      </c>
      <c r="H4" s="129">
        <f>IF(B$15=0,0,G4/B$15)</f>
        <v>0.5</v>
      </c>
      <c r="I4" s="90">
        <v>1</v>
      </c>
      <c r="N4" s="111" t="s">
        <v>132</v>
      </c>
      <c r="O4" s="118">
        <f t="shared" si="0"/>
        <v>2100</v>
      </c>
      <c r="P4" s="115">
        <v>1</v>
      </c>
      <c r="Q4" s="99">
        <v>2100</v>
      </c>
    </row>
    <row r="5" spans="1:17" x14ac:dyDescent="0.4">
      <c r="A5" s="51" t="s">
        <v>7</v>
      </c>
      <c r="B5" s="160">
        <f>IF(B$2=0,0,B$4/B$2)</f>
        <v>-26.8</v>
      </c>
      <c r="C5" s="161"/>
      <c r="E5" s="59" t="s">
        <v>72</v>
      </c>
      <c r="F5" s="56" t="s">
        <v>27</v>
      </c>
      <c r="G5" s="44">
        <v>1</v>
      </c>
      <c r="H5" s="129">
        <f>IF(B$15=0,0,G5/B$15)</f>
        <v>0.5</v>
      </c>
      <c r="I5" s="90">
        <v>5</v>
      </c>
      <c r="N5" s="111" t="s">
        <v>133</v>
      </c>
      <c r="O5" s="118">
        <f t="shared" si="0"/>
        <v>0</v>
      </c>
      <c r="P5" s="115">
        <v>1</v>
      </c>
      <c r="Q5" s="99">
        <v>0</v>
      </c>
    </row>
    <row r="6" spans="1:17" x14ac:dyDescent="0.4">
      <c r="A6" s="51" t="s">
        <v>1</v>
      </c>
      <c r="B6" s="150">
        <f>IF(B$2=0,0,(B$7*1+B$8*2+B$9*3)/B$2)</f>
        <v>3</v>
      </c>
      <c r="C6" s="151"/>
      <c r="E6" s="59" t="s">
        <v>166</v>
      </c>
      <c r="F6" s="56" t="s">
        <v>167</v>
      </c>
      <c r="G6" s="44">
        <v>1</v>
      </c>
      <c r="H6" s="129">
        <f>IF(B$15=0,0,G6/B$15)</f>
        <v>0.5</v>
      </c>
      <c r="I6" s="90">
        <v>1</v>
      </c>
      <c r="N6" s="111" t="s">
        <v>134</v>
      </c>
      <c r="O6" s="118">
        <f t="shared" si="0"/>
        <v>9700</v>
      </c>
      <c r="P6" s="115">
        <v>1</v>
      </c>
      <c r="Q6" s="99">
        <v>9700</v>
      </c>
    </row>
    <row r="7" spans="1:17" x14ac:dyDescent="0.4">
      <c r="A7" s="51" t="s">
        <v>2</v>
      </c>
      <c r="B7" s="44">
        <v>0</v>
      </c>
      <c r="C7" s="37">
        <f t="shared" ref="C7:C10" si="1">IF(B$2=0,0,B7/B$2)</f>
        <v>0</v>
      </c>
      <c r="E7" s="59" t="s">
        <v>66</v>
      </c>
      <c r="F7" s="56" t="s">
        <v>22</v>
      </c>
      <c r="G7" s="44">
        <v>0</v>
      </c>
      <c r="H7" s="129">
        <f>IF(B$15=0,0,G7/B$15)</f>
        <v>0</v>
      </c>
      <c r="I7" s="90">
        <v>6</v>
      </c>
      <c r="N7" s="112" t="s">
        <v>135</v>
      </c>
      <c r="O7" s="119">
        <f t="shared" si="0"/>
        <v>-10000</v>
      </c>
      <c r="P7" s="116">
        <v>1</v>
      </c>
      <c r="Q7" s="100">
        <v>-10000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67</v>
      </c>
      <c r="F8" s="56" t="s">
        <v>23</v>
      </c>
      <c r="G8" s="44">
        <v>0</v>
      </c>
      <c r="H8" s="129">
        <f>IF(B$15=0,0,G8/B$15)</f>
        <v>0</v>
      </c>
      <c r="I8" s="90">
        <v>6</v>
      </c>
      <c r="N8" s="41"/>
      <c r="O8" s="123"/>
      <c r="P8" s="107"/>
      <c r="Q8" s="105"/>
    </row>
    <row r="9" spans="1:17" x14ac:dyDescent="0.4">
      <c r="A9" s="52" t="s">
        <v>4</v>
      </c>
      <c r="B9" s="45">
        <v>1</v>
      </c>
      <c r="C9" s="38">
        <f t="shared" si="1"/>
        <v>1</v>
      </c>
      <c r="E9" s="59" t="s">
        <v>69</v>
      </c>
      <c r="F9" s="56" t="s">
        <v>24</v>
      </c>
      <c r="G9" s="44">
        <v>0</v>
      </c>
      <c r="H9" s="129">
        <f>IF(B$15=0,0,G9/B$15)</f>
        <v>0</v>
      </c>
      <c r="I9" s="90">
        <v>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0</v>
      </c>
      <c r="H10" s="129">
        <f>IF(B$15=0,0,G10/B$15)</f>
        <v>0</v>
      </c>
      <c r="I10" s="90">
        <v>4</v>
      </c>
      <c r="N10" s="110" t="s">
        <v>157</v>
      </c>
      <c r="O10" s="120">
        <f>IF(P10=0,0,Q10/P10)</f>
        <v>-26.8</v>
      </c>
      <c r="P10" s="114">
        <v>1</v>
      </c>
      <c r="Q10" s="102">
        <v>-26.8</v>
      </c>
    </row>
    <row r="11" spans="1:17" x14ac:dyDescent="0.4">
      <c r="A11" s="54" t="s">
        <v>121</v>
      </c>
      <c r="B11" s="47">
        <v>3</v>
      </c>
      <c r="C11" s="42">
        <f>IF(B$3=0,0,B11/B$3)</f>
        <v>0.3</v>
      </c>
      <c r="E11" s="59" t="s">
        <v>71</v>
      </c>
      <c r="F11" s="56" t="s">
        <v>26</v>
      </c>
      <c r="G11" s="44">
        <v>0</v>
      </c>
      <c r="H11" s="129">
        <f>IF(B$15=0,0,G11/B$15)</f>
        <v>0</v>
      </c>
      <c r="I11" s="90">
        <v>5</v>
      </c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1" t="s">
        <v>118</v>
      </c>
      <c r="B12" s="44">
        <v>2</v>
      </c>
      <c r="C12" s="37">
        <f>IF(B$3=0,0,B12/B$3)</f>
        <v>0.2</v>
      </c>
      <c r="E12" s="59" t="s">
        <v>73</v>
      </c>
      <c r="F12" s="56" t="s">
        <v>28</v>
      </c>
      <c r="G12" s="44">
        <v>0</v>
      </c>
      <c r="H12" s="129">
        <f>IF(B$15=0,0,G12/B$15)</f>
        <v>0</v>
      </c>
      <c r="I12" s="90">
        <v>3</v>
      </c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0.66666666666666663</v>
      </c>
      <c r="E13" s="59" t="s">
        <v>74</v>
      </c>
      <c r="F13" s="56" t="s">
        <v>29</v>
      </c>
      <c r="G13" s="44">
        <v>0</v>
      </c>
      <c r="H13" s="129">
        <f>IF(B$15=0,0,G13/B$15)</f>
        <v>0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0</v>
      </c>
      <c r="C14" s="35">
        <f>IF(B$12=0,0,B14/B$12)</f>
        <v>0</v>
      </c>
      <c r="E14" s="59" t="s">
        <v>75</v>
      </c>
      <c r="F14" s="56" t="s">
        <v>30</v>
      </c>
      <c r="G14" s="44">
        <v>0</v>
      </c>
      <c r="H14" s="129">
        <f>IF(B$15=0,0,G14/B$15)</f>
        <v>0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</v>
      </c>
      <c r="C15" s="35">
        <f>IF(B$3=0,0,B15/B$3)</f>
        <v>0.2</v>
      </c>
      <c r="E15" s="59" t="s">
        <v>76</v>
      </c>
      <c r="F15" s="56" t="s">
        <v>31</v>
      </c>
      <c r="G15" s="44">
        <v>0</v>
      </c>
      <c r="H15" s="129">
        <f>IF(B$15=0,0,G15/B$15)</f>
        <v>0</v>
      </c>
      <c r="I15" s="90">
        <v>1</v>
      </c>
      <c r="N15" s="110" t="s">
        <v>171</v>
      </c>
      <c r="O15" s="120">
        <f>IF(P15=0,0,Q15/P15)</f>
        <v>-34.200000000000003</v>
      </c>
      <c r="P15" s="114">
        <v>1</v>
      </c>
      <c r="Q15" s="102">
        <v>-34.200000000000003</v>
      </c>
    </row>
    <row r="16" spans="1:17" x14ac:dyDescent="0.4">
      <c r="A16" s="51" t="s">
        <v>13</v>
      </c>
      <c r="B16" s="44">
        <v>3</v>
      </c>
      <c r="C16" s="37">
        <f>IF(B$3=0,0,B16/B$3)</f>
        <v>0.3</v>
      </c>
      <c r="E16" s="59" t="s">
        <v>77</v>
      </c>
      <c r="F16" s="56" t="s">
        <v>32</v>
      </c>
      <c r="G16" s="44">
        <v>0</v>
      </c>
      <c r="H16" s="129">
        <f>IF(B$15=0,0,G16/B$15)</f>
        <v>0</v>
      </c>
      <c r="I16" s="90">
        <v>1</v>
      </c>
      <c r="N16" s="111" t="s">
        <v>127</v>
      </c>
      <c r="O16" s="121">
        <f>IF(P16=0,0,Q16/P16)</f>
        <v>-46.2</v>
      </c>
      <c r="P16" s="115">
        <v>1</v>
      </c>
      <c r="Q16" s="103">
        <v>-46.2</v>
      </c>
    </row>
    <row r="17" spans="1:9" x14ac:dyDescent="0.4">
      <c r="A17" s="51" t="s">
        <v>12</v>
      </c>
      <c r="B17" s="44">
        <v>2</v>
      </c>
      <c r="C17" s="37">
        <f>IF(B$15=0,0,B17/B$15)</f>
        <v>1</v>
      </c>
      <c r="E17" s="59" t="s">
        <v>78</v>
      </c>
      <c r="F17" s="56" t="s">
        <v>33</v>
      </c>
      <c r="G17" s="44">
        <v>0</v>
      </c>
      <c r="H17" s="129">
        <f>IF(B$15=0,0,G17/B$15)</f>
        <v>0</v>
      </c>
      <c r="I17" s="90">
        <v>1</v>
      </c>
    </row>
    <row r="18" spans="1:9" x14ac:dyDescent="0.4">
      <c r="A18" s="51" t="s">
        <v>11</v>
      </c>
      <c r="B18" s="44">
        <v>0</v>
      </c>
      <c r="C18" s="37">
        <f>IF(B$15=0,0,B18/B$15)</f>
        <v>0</v>
      </c>
      <c r="E18" s="59" t="s">
        <v>79</v>
      </c>
      <c r="F18" s="56" t="s">
        <v>34</v>
      </c>
      <c r="G18" s="44">
        <v>0</v>
      </c>
      <c r="H18" s="129">
        <f>IF(B$15=0,0,G18/B$15)</f>
        <v>0</v>
      </c>
      <c r="I18" s="90">
        <v>3</v>
      </c>
    </row>
    <row r="19" spans="1:9" x14ac:dyDescent="0.4">
      <c r="A19" s="51" t="s">
        <v>197</v>
      </c>
      <c r="B19" s="44">
        <v>2</v>
      </c>
      <c r="C19" s="37">
        <f>IF(B$15=0,0,B19/B$15)</f>
        <v>1</v>
      </c>
      <c r="E19" s="59" t="s">
        <v>80</v>
      </c>
      <c r="F19" s="56" t="s">
        <v>35</v>
      </c>
      <c r="G19" s="44">
        <v>0</v>
      </c>
      <c r="H19" s="129">
        <f>IF(B$15=0,0,G19/B$15)</f>
        <v>0</v>
      </c>
      <c r="I19" s="90">
        <v>1</v>
      </c>
    </row>
    <row r="20" spans="1:9" x14ac:dyDescent="0.4">
      <c r="A20" s="51" t="s">
        <v>195</v>
      </c>
      <c r="B20" s="44">
        <v>0</v>
      </c>
      <c r="C20" s="37">
        <f>IF(B$15=0,0,B20/B$15)</f>
        <v>0</v>
      </c>
      <c r="E20" s="59" t="s">
        <v>81</v>
      </c>
      <c r="F20" s="56" t="s">
        <v>36</v>
      </c>
      <c r="G20" s="44">
        <v>0</v>
      </c>
      <c r="H20" s="129">
        <f>IF(B$15=0,0,G20/B$15)</f>
        <v>0</v>
      </c>
      <c r="I20" s="90">
        <v>3</v>
      </c>
    </row>
    <row r="21" spans="1:9" x14ac:dyDescent="0.4">
      <c r="A21" s="51" t="s">
        <v>196</v>
      </c>
      <c r="B21" s="44">
        <v>0</v>
      </c>
      <c r="C21" s="37">
        <f>IF(B$15=0,0,B21/B$15)</f>
        <v>0</v>
      </c>
      <c r="E21" s="59" t="s">
        <v>82</v>
      </c>
      <c r="F21" s="56" t="s">
        <v>37</v>
      </c>
      <c r="G21" s="44">
        <v>0</v>
      </c>
      <c r="H21" s="129">
        <f>IF(B$15=0,0,G21/B$15)</f>
        <v>0</v>
      </c>
      <c r="I21" s="90">
        <v>1</v>
      </c>
    </row>
    <row r="22" spans="1:9" x14ac:dyDescent="0.4">
      <c r="A22" s="51" t="s">
        <v>5</v>
      </c>
      <c r="B22" s="48">
        <f>IF(B$15=0,0,C22/B$15)</f>
        <v>5850</v>
      </c>
      <c r="C22" s="39">
        <v>11700</v>
      </c>
      <c r="E22" s="59" t="s">
        <v>83</v>
      </c>
      <c r="F22" s="56" t="s">
        <v>38</v>
      </c>
      <c r="G22" s="44">
        <v>0</v>
      </c>
      <c r="H22" s="129">
        <f>IF(B$15=0,0,G22/B$15)</f>
        <v>0</v>
      </c>
      <c r="I22" s="90">
        <v>4</v>
      </c>
    </row>
    <row r="23" spans="1:9" x14ac:dyDescent="0.4">
      <c r="A23" s="52" t="s">
        <v>177</v>
      </c>
      <c r="B23" s="136">
        <f>IF($B$15-B$14=0,0,C23/($B$15-B$14))</f>
        <v>5850</v>
      </c>
      <c r="C23" s="137">
        <v>11700</v>
      </c>
      <c r="E23" s="59" t="s">
        <v>84</v>
      </c>
      <c r="F23" s="56" t="s">
        <v>39</v>
      </c>
      <c r="G23" s="44">
        <v>0</v>
      </c>
      <c r="H23" s="129">
        <f>IF(B$15=0,0,G23/B$15)</f>
        <v>0</v>
      </c>
      <c r="I23" s="90">
        <v>1</v>
      </c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85</v>
      </c>
      <c r="F24" s="56" t="s">
        <v>40</v>
      </c>
      <c r="G24" s="44">
        <v>0</v>
      </c>
      <c r="H24" s="129">
        <f>IF(B$15=0,0,G24/B$15)</f>
        <v>0</v>
      </c>
      <c r="I24" s="90">
        <v>1</v>
      </c>
    </row>
    <row r="25" spans="1:9" x14ac:dyDescent="0.4">
      <c r="A25" s="52" t="s">
        <v>176</v>
      </c>
      <c r="B25" s="136">
        <f>IF(B$16=0,0,C25/B$16)</f>
        <v>-5833.333333333333</v>
      </c>
      <c r="C25" s="137">
        <v>-17500</v>
      </c>
      <c r="E25" s="59" t="s">
        <v>86</v>
      </c>
      <c r="F25" s="56" t="s">
        <v>41</v>
      </c>
      <c r="G25" s="44">
        <v>0</v>
      </c>
      <c r="H25" s="129">
        <f>IF(B$15=0,0,G25/B$15)</f>
        <v>0</v>
      </c>
      <c r="I25" s="90">
        <v>5</v>
      </c>
    </row>
    <row r="26" spans="1:9" x14ac:dyDescent="0.4">
      <c r="A26" s="51" t="s">
        <v>164</v>
      </c>
      <c r="B26" s="44">
        <v>1</v>
      </c>
      <c r="C26" s="131">
        <v>0</v>
      </c>
      <c r="E26" s="59" t="s">
        <v>87</v>
      </c>
      <c r="F26" s="56" t="s">
        <v>42</v>
      </c>
      <c r="G26" s="44">
        <v>0</v>
      </c>
      <c r="H26" s="129">
        <f>IF(B$15=0,0,G26/B$15)</f>
        <v>0</v>
      </c>
      <c r="I26" s="90">
        <v>1</v>
      </c>
    </row>
    <row r="27" spans="1:9" x14ac:dyDescent="0.4">
      <c r="A27" s="51" t="s">
        <v>165</v>
      </c>
      <c r="B27" s="44">
        <v>5</v>
      </c>
      <c r="C27" s="131">
        <v>5</v>
      </c>
      <c r="E27" s="59" t="s">
        <v>88</v>
      </c>
      <c r="F27" s="56" t="s">
        <v>43</v>
      </c>
      <c r="G27" s="44">
        <v>0</v>
      </c>
      <c r="H27" s="129">
        <f>IF(B$15=0,0,G27/B$15)</f>
        <v>0</v>
      </c>
      <c r="I27" s="90">
        <v>1</v>
      </c>
    </row>
    <row r="28" spans="1:9" x14ac:dyDescent="0.4">
      <c r="A28" s="86" t="s">
        <v>138</v>
      </c>
      <c r="B28" s="148">
        <v>0</v>
      </c>
      <c r="C28" s="149"/>
      <c r="E28" s="59" t="s">
        <v>89</v>
      </c>
      <c r="F28" s="56" t="s">
        <v>44</v>
      </c>
      <c r="G28" s="44">
        <v>0</v>
      </c>
      <c r="H28" s="129">
        <f>IF(B$15=0,0,G28/B$15)</f>
        <v>0</v>
      </c>
      <c r="I28" s="90">
        <v>7</v>
      </c>
    </row>
    <row r="29" spans="1:9" x14ac:dyDescent="0.4">
      <c r="A29" s="54" t="s">
        <v>194</v>
      </c>
      <c r="B29" s="146">
        <v>18200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1</v>
      </c>
    </row>
    <row r="30" spans="1:9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</v>
      </c>
    </row>
    <row r="31" spans="1:9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3</v>
      </c>
    </row>
    <row r="32" spans="1:9" x14ac:dyDescent="0.4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1</v>
      </c>
    </row>
    <row r="33" spans="1:9" x14ac:dyDescent="0.4">
      <c r="A33" s="51" t="s">
        <v>181</v>
      </c>
      <c r="B33" s="44">
        <v>1</v>
      </c>
      <c r="C33" s="37">
        <f t="shared" ref="C33:C44" si="2">IF(B$15=0,0,B33/B$15)</f>
        <v>0.5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0.5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183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186</v>
      </c>
      <c r="B37" s="145">
        <v>0</v>
      </c>
      <c r="C37" s="37">
        <f t="shared" si="2"/>
        <v>0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187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190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N15:Q1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3C4FD-93A4-4099-94C4-5620A4E7C47D}">
  <sheetPr codeName="Sheet18"/>
  <dimension ref="A1:Q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-26.8</v>
      </c>
      <c r="C4" s="62">
        <v>-26.8</v>
      </c>
      <c r="D4" s="67">
        <v>3</v>
      </c>
      <c r="E4" s="63">
        <v>0</v>
      </c>
      <c r="F4" s="63">
        <v>1</v>
      </c>
      <c r="G4" s="63">
        <v>0.2</v>
      </c>
      <c r="H4" s="63">
        <v>0.3</v>
      </c>
      <c r="I4" s="64">
        <v>5850</v>
      </c>
      <c r="J4" s="64">
        <v>-5833.333333333333</v>
      </c>
      <c r="K4" s="63">
        <v>0</v>
      </c>
      <c r="L4" s="63">
        <v>0.3</v>
      </c>
      <c r="M4" s="63">
        <v>0.2</v>
      </c>
      <c r="N4" s="63">
        <v>0.66666666666666663</v>
      </c>
      <c r="O4" s="63">
        <v>0</v>
      </c>
      <c r="P4" s="63">
        <v>1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FB5FE-3FDB-400B-841E-CD70435D4AE0}">
  <sheetPr codeName="Sheet16"/>
  <dimension ref="A1:Q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-38.299999999999997</v>
      </c>
      <c r="C4" s="62">
        <v>-38.299999999999997</v>
      </c>
      <c r="D4" s="67">
        <v>3</v>
      </c>
      <c r="E4" s="63">
        <v>0</v>
      </c>
      <c r="F4" s="63">
        <v>1</v>
      </c>
      <c r="G4" s="63">
        <v>0.1</v>
      </c>
      <c r="H4" s="63">
        <v>0.3</v>
      </c>
      <c r="I4" s="64">
        <v>2100</v>
      </c>
      <c r="J4" s="64">
        <v>-7666.666666666667</v>
      </c>
      <c r="K4" s="63">
        <v>0</v>
      </c>
      <c r="L4" s="63">
        <v>0.2</v>
      </c>
      <c r="M4" s="63">
        <v>0.1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-30.9</v>
      </c>
      <c r="C5" s="62">
        <v>-15.45</v>
      </c>
      <c r="D5" s="67">
        <v>2.5</v>
      </c>
      <c r="E5" s="63">
        <v>0</v>
      </c>
      <c r="F5" s="63">
        <v>0.5</v>
      </c>
      <c r="G5" s="63">
        <v>0.25</v>
      </c>
      <c r="H5" s="63">
        <v>0.15</v>
      </c>
      <c r="I5" s="64">
        <v>6160</v>
      </c>
      <c r="J5" s="64">
        <v>-7666.666666666667</v>
      </c>
      <c r="K5" s="63">
        <v>0</v>
      </c>
      <c r="L5" s="63">
        <v>0.15</v>
      </c>
      <c r="M5" s="63">
        <v>0.25</v>
      </c>
      <c r="N5" s="63">
        <v>0.33333333333333331</v>
      </c>
      <c r="O5" s="63">
        <v>0.6</v>
      </c>
      <c r="P5" s="63">
        <v>0.2</v>
      </c>
    </row>
    <row r="6" spans="1:17" x14ac:dyDescent="0.4">
      <c r="A6" s="65">
        <v>3</v>
      </c>
      <c r="B6" s="62">
        <v>-57.7</v>
      </c>
      <c r="C6" s="62">
        <v>-19.233333333333334</v>
      </c>
      <c r="D6" s="67">
        <v>2.6666666666666665</v>
      </c>
      <c r="E6" s="63">
        <v>0</v>
      </c>
      <c r="F6" s="63">
        <v>0.66666666666666663</v>
      </c>
      <c r="G6" s="63">
        <v>0.22580645161290322</v>
      </c>
      <c r="H6" s="63">
        <v>0.19354838709677419</v>
      </c>
      <c r="I6" s="64">
        <v>4985.7142857142853</v>
      </c>
      <c r="J6" s="64">
        <v>-5466.666666666667</v>
      </c>
      <c r="K6" s="63">
        <v>0</v>
      </c>
      <c r="L6" s="63">
        <v>0.22580645161290322</v>
      </c>
      <c r="M6" s="63">
        <v>0.22580645161290322</v>
      </c>
      <c r="N6" s="63">
        <v>0.14285714285714285</v>
      </c>
      <c r="O6" s="63">
        <v>0.7142857142857143</v>
      </c>
      <c r="P6" s="63">
        <v>0.2857142857142857</v>
      </c>
    </row>
    <row r="7" spans="1:17" x14ac:dyDescent="0.4">
      <c r="A7" s="65">
        <v>4</v>
      </c>
      <c r="B7" s="62">
        <v>-77.900000000000006</v>
      </c>
      <c r="C7" s="62">
        <v>-19.475000000000001</v>
      </c>
      <c r="D7" s="67">
        <v>2.75</v>
      </c>
      <c r="E7" s="63">
        <v>0</v>
      </c>
      <c r="F7" s="63">
        <v>0.75</v>
      </c>
      <c r="G7" s="63">
        <v>0.22500000000000001</v>
      </c>
      <c r="H7" s="63">
        <v>0.2</v>
      </c>
      <c r="I7" s="64">
        <v>6100</v>
      </c>
      <c r="J7" s="64">
        <v>-5225</v>
      </c>
      <c r="K7" s="63">
        <v>0</v>
      </c>
      <c r="L7" s="63">
        <v>0.22500000000000001</v>
      </c>
      <c r="M7" s="63">
        <v>0.25</v>
      </c>
      <c r="N7" s="63">
        <v>0.22222222222222221</v>
      </c>
      <c r="O7" s="63">
        <v>0.6</v>
      </c>
      <c r="P7" s="63">
        <v>0.44444444444444442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7FC1A-0F63-4958-86D5-CD04E722AFDE}">
  <sheetPr codeName="Sheet14"/>
  <dimension ref="A1:Q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-0.7</v>
      </c>
      <c r="C4" s="62">
        <v>-0.7</v>
      </c>
      <c r="D4" s="67">
        <v>2</v>
      </c>
      <c r="E4" s="63">
        <v>0</v>
      </c>
      <c r="F4" s="63">
        <v>0</v>
      </c>
      <c r="G4" s="63">
        <v>0.33333333333333331</v>
      </c>
      <c r="H4" s="63">
        <v>0.5</v>
      </c>
      <c r="I4" s="64">
        <v>9050</v>
      </c>
      <c r="J4" s="64">
        <v>-5933.333333333333</v>
      </c>
      <c r="K4" s="63">
        <v>0</v>
      </c>
      <c r="L4" s="63">
        <v>0.16666666666666666</v>
      </c>
      <c r="M4" s="63">
        <v>0.33333333333333331</v>
      </c>
      <c r="N4" s="63">
        <v>1</v>
      </c>
      <c r="O4" s="63">
        <v>0</v>
      </c>
      <c r="P4" s="63">
        <v>0.5</v>
      </c>
    </row>
    <row r="5" spans="1:17" x14ac:dyDescent="0.4">
      <c r="A5" s="65">
        <v>2</v>
      </c>
      <c r="B5" s="62">
        <v>18.7</v>
      </c>
      <c r="C5" s="62">
        <v>9.35</v>
      </c>
      <c r="D5" s="67">
        <v>1.5</v>
      </c>
      <c r="E5" s="63">
        <v>0.5</v>
      </c>
      <c r="F5" s="63">
        <v>0</v>
      </c>
      <c r="G5" s="63">
        <v>0.375</v>
      </c>
      <c r="H5" s="63">
        <v>0.375</v>
      </c>
      <c r="I5" s="64">
        <v>8266.6666666666661</v>
      </c>
      <c r="J5" s="64">
        <v>-5750</v>
      </c>
      <c r="K5" s="63">
        <v>0</v>
      </c>
      <c r="L5" s="63">
        <v>0.125</v>
      </c>
      <c r="M5" s="63">
        <v>0.4375</v>
      </c>
      <c r="N5" s="63">
        <v>0.5</v>
      </c>
      <c r="O5" s="63">
        <v>0.42857142857142855</v>
      </c>
      <c r="P5" s="63">
        <v>0.5</v>
      </c>
    </row>
    <row r="6" spans="1:17" x14ac:dyDescent="0.4">
      <c r="A6" s="65">
        <v>3</v>
      </c>
      <c r="B6" s="62">
        <v>24</v>
      </c>
      <c r="C6" s="62">
        <v>8</v>
      </c>
      <c r="D6" s="67">
        <v>1.6666666666666667</v>
      </c>
      <c r="E6" s="63">
        <v>0.33333333333333331</v>
      </c>
      <c r="F6" s="63">
        <v>0</v>
      </c>
      <c r="G6" s="63">
        <v>0.40740740740740738</v>
      </c>
      <c r="H6" s="63">
        <v>0.25925925925925924</v>
      </c>
      <c r="I6" s="64">
        <v>5809.090909090909</v>
      </c>
      <c r="J6" s="64">
        <v>-5271.4285714285716</v>
      </c>
      <c r="K6" s="63">
        <v>0</v>
      </c>
      <c r="L6" s="63">
        <v>0.14814814814814814</v>
      </c>
      <c r="M6" s="63">
        <v>0.44444444444444442</v>
      </c>
      <c r="N6" s="63">
        <v>0.5</v>
      </c>
      <c r="O6" s="63">
        <v>0.5</v>
      </c>
      <c r="P6" s="63">
        <v>0.36363636363636365</v>
      </c>
    </row>
    <row r="7" spans="1:17" x14ac:dyDescent="0.4">
      <c r="A7" s="65">
        <v>4</v>
      </c>
      <c r="B7" s="62">
        <v>52.9</v>
      </c>
      <c r="C7" s="62">
        <v>13.225</v>
      </c>
      <c r="D7" s="67">
        <v>1.5</v>
      </c>
      <c r="E7" s="63">
        <v>0.5</v>
      </c>
      <c r="F7" s="63">
        <v>0</v>
      </c>
      <c r="G7" s="63">
        <v>0.3888888888888889</v>
      </c>
      <c r="H7" s="63">
        <v>0.22222222222222221</v>
      </c>
      <c r="I7" s="64">
        <v>7492.8571428571431</v>
      </c>
      <c r="J7" s="64">
        <v>-4862.5</v>
      </c>
      <c r="K7" s="63">
        <v>0</v>
      </c>
      <c r="L7" s="63">
        <v>0.16666666666666666</v>
      </c>
      <c r="M7" s="63">
        <v>0.3611111111111111</v>
      </c>
      <c r="N7" s="63">
        <v>0.33333333333333331</v>
      </c>
      <c r="O7" s="63">
        <v>0.53846153846153844</v>
      </c>
      <c r="P7" s="63">
        <v>0.35714285714285715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29A8B-28E6-486F-BF3D-9372A4AF721E}">
  <sheetPr codeName="Sheet12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38.4</v>
      </c>
      <c r="C4" s="62">
        <v>38.4</v>
      </c>
      <c r="D4" s="67">
        <v>1</v>
      </c>
      <c r="E4" s="63">
        <v>1</v>
      </c>
      <c r="F4" s="63">
        <v>0</v>
      </c>
      <c r="G4" s="63">
        <v>0.625</v>
      </c>
      <c r="H4" s="63">
        <v>0</v>
      </c>
      <c r="I4" s="64">
        <v>6840</v>
      </c>
      <c r="J4" s="64">
        <v>0</v>
      </c>
      <c r="K4" s="63">
        <v>0</v>
      </c>
      <c r="L4" s="63">
        <v>0.375</v>
      </c>
      <c r="M4" s="63">
        <v>0.25</v>
      </c>
      <c r="N4" s="63">
        <v>1</v>
      </c>
      <c r="O4" s="63">
        <v>0.5</v>
      </c>
      <c r="P4" s="63">
        <v>0</v>
      </c>
    </row>
    <row r="5" spans="1:17" x14ac:dyDescent="0.4">
      <c r="A5" s="65">
        <v>2</v>
      </c>
      <c r="B5" s="62">
        <v>5.6000000000000014</v>
      </c>
      <c r="C5" s="62">
        <v>2.8000000000000007</v>
      </c>
      <c r="D5" s="67">
        <v>2</v>
      </c>
      <c r="E5" s="63">
        <v>0.5</v>
      </c>
      <c r="F5" s="63">
        <v>0.5</v>
      </c>
      <c r="G5" s="63">
        <v>0.35714285714285715</v>
      </c>
      <c r="H5" s="63">
        <v>7.1428571428571425E-2</v>
      </c>
      <c r="I5" s="64">
        <v>6840</v>
      </c>
      <c r="J5" s="64">
        <v>-16000</v>
      </c>
      <c r="K5" s="63">
        <v>0</v>
      </c>
      <c r="L5" s="63">
        <v>0.2857142857142857</v>
      </c>
      <c r="M5" s="63">
        <v>0.42857142857142855</v>
      </c>
      <c r="N5" s="63">
        <v>0.75</v>
      </c>
      <c r="O5" s="63">
        <v>0.16666666666666666</v>
      </c>
      <c r="P5" s="63">
        <v>0</v>
      </c>
    </row>
    <row r="6" spans="1:17" x14ac:dyDescent="0.4">
      <c r="A6" s="65">
        <v>3</v>
      </c>
      <c r="B6" s="62">
        <v>31.900000000000002</v>
      </c>
      <c r="C6" s="62">
        <v>10.633333333333335</v>
      </c>
      <c r="D6" s="67">
        <v>1.6666666666666667</v>
      </c>
      <c r="E6" s="63">
        <v>0.66666666666666663</v>
      </c>
      <c r="F6" s="63">
        <v>0.33333333333333331</v>
      </c>
      <c r="G6" s="63">
        <v>0.33333333333333331</v>
      </c>
      <c r="H6" s="63">
        <v>0.16666666666666666</v>
      </c>
      <c r="I6" s="64">
        <v>7750</v>
      </c>
      <c r="J6" s="64">
        <v>-8050</v>
      </c>
      <c r="K6" s="63">
        <v>0</v>
      </c>
      <c r="L6" s="63">
        <v>0.29166666666666669</v>
      </c>
      <c r="M6" s="63">
        <v>0.375</v>
      </c>
      <c r="N6" s="63">
        <v>0.7142857142857143</v>
      </c>
      <c r="O6" s="63">
        <v>0.22222222222222221</v>
      </c>
      <c r="P6" s="63">
        <v>0.125</v>
      </c>
    </row>
    <row r="7" spans="1:17" x14ac:dyDescent="0.4">
      <c r="A7" s="65">
        <v>4</v>
      </c>
      <c r="B7" s="62">
        <v>53.400000000000006</v>
      </c>
      <c r="C7" s="62">
        <v>13.350000000000001</v>
      </c>
      <c r="D7" s="67">
        <v>1.5</v>
      </c>
      <c r="E7" s="63">
        <v>0.75</v>
      </c>
      <c r="F7" s="63">
        <v>0.25</v>
      </c>
      <c r="G7" s="63">
        <v>0.31428571428571428</v>
      </c>
      <c r="H7" s="63">
        <v>0.17142857142857143</v>
      </c>
      <c r="I7" s="64">
        <v>7681.818181818182</v>
      </c>
      <c r="J7" s="64">
        <v>-6183.333333333333</v>
      </c>
      <c r="K7" s="63">
        <v>0</v>
      </c>
      <c r="L7" s="63">
        <v>0.25714285714285712</v>
      </c>
      <c r="M7" s="63">
        <v>0.37142857142857144</v>
      </c>
      <c r="N7" s="63">
        <v>0.66666666666666663</v>
      </c>
      <c r="O7" s="63">
        <v>0.23076923076923078</v>
      </c>
      <c r="P7" s="63">
        <v>0.27272727272727271</v>
      </c>
    </row>
    <row r="8" spans="1:17" x14ac:dyDescent="0.4">
      <c r="A8" s="65">
        <v>5</v>
      </c>
      <c r="B8" s="62">
        <v>44.7</v>
      </c>
      <c r="C8" s="62">
        <v>8.9400000000000013</v>
      </c>
      <c r="D8" s="67">
        <v>1.6</v>
      </c>
      <c r="E8" s="63">
        <v>0.6</v>
      </c>
      <c r="F8" s="63">
        <v>0.2</v>
      </c>
      <c r="G8" s="63">
        <v>0.34090909090909088</v>
      </c>
      <c r="H8" s="63">
        <v>0.13636363636363635</v>
      </c>
      <c r="I8" s="64">
        <v>6653.333333333333</v>
      </c>
      <c r="J8" s="64">
        <v>-6183.333333333333</v>
      </c>
      <c r="K8" s="63">
        <v>0</v>
      </c>
      <c r="L8" s="63">
        <v>0.25</v>
      </c>
      <c r="M8" s="63">
        <v>0.36363636363636365</v>
      </c>
      <c r="N8" s="63">
        <v>0.72727272727272729</v>
      </c>
      <c r="O8" s="63">
        <v>0.3125</v>
      </c>
      <c r="P8" s="63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D5E84-C4C4-4EE3-99AF-BC7309D9E3EE}">
  <sheetPr codeName="Sheet10"/>
  <dimension ref="A1:Q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-6.9</v>
      </c>
      <c r="C4" s="62">
        <v>-6.9</v>
      </c>
      <c r="D4" s="67">
        <v>2</v>
      </c>
      <c r="E4" s="63">
        <v>0</v>
      </c>
      <c r="F4" s="63">
        <v>0</v>
      </c>
      <c r="G4" s="63">
        <v>0.25</v>
      </c>
      <c r="H4" s="63">
        <v>0.375</v>
      </c>
      <c r="I4" s="64">
        <v>6300</v>
      </c>
      <c r="J4" s="64">
        <v>-6333.333333333333</v>
      </c>
      <c r="K4" s="63">
        <v>0</v>
      </c>
      <c r="L4" s="63">
        <v>0.125</v>
      </c>
      <c r="M4" s="63">
        <v>0.375</v>
      </c>
      <c r="N4" s="63">
        <v>0</v>
      </c>
      <c r="O4" s="63">
        <v>0.33333333333333331</v>
      </c>
      <c r="P4" s="63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5BBC9-3553-442B-B558-B8899E8FD736}">
  <sheetPr codeName="Sheet8"/>
  <dimension ref="A1:Q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-31.5</v>
      </c>
      <c r="C4" s="62">
        <v>-31.5</v>
      </c>
      <c r="D4" s="67">
        <v>3</v>
      </c>
      <c r="E4" s="63">
        <v>0</v>
      </c>
      <c r="F4" s="63">
        <v>1</v>
      </c>
      <c r="G4" s="63">
        <v>0</v>
      </c>
      <c r="H4" s="63">
        <v>0.25</v>
      </c>
      <c r="I4" s="64">
        <v>0</v>
      </c>
      <c r="J4" s="64">
        <v>-7600</v>
      </c>
      <c r="K4" s="63">
        <v>0</v>
      </c>
      <c r="L4" s="63">
        <v>0</v>
      </c>
      <c r="M4" s="63">
        <v>0.25</v>
      </c>
      <c r="N4" s="63">
        <v>0</v>
      </c>
      <c r="O4" s="63">
        <v>0</v>
      </c>
      <c r="P4" s="63">
        <v>0</v>
      </c>
    </row>
    <row r="5" spans="1:17" x14ac:dyDescent="0.4">
      <c r="A5" s="65">
        <v>2</v>
      </c>
      <c r="B5" s="62">
        <v>2</v>
      </c>
      <c r="C5" s="62">
        <v>1</v>
      </c>
      <c r="D5" s="67">
        <v>2</v>
      </c>
      <c r="E5" s="63">
        <v>0.5</v>
      </c>
      <c r="F5" s="63">
        <v>0.5</v>
      </c>
      <c r="G5" s="63">
        <v>0.2857142857142857</v>
      </c>
      <c r="H5" s="63">
        <v>0.14285714285714285</v>
      </c>
      <c r="I5" s="64">
        <v>6450</v>
      </c>
      <c r="J5" s="64">
        <v>-7600</v>
      </c>
      <c r="K5" s="63">
        <v>0</v>
      </c>
      <c r="L5" s="63">
        <v>0.21428571428571427</v>
      </c>
      <c r="M5" s="63">
        <v>0.35714285714285715</v>
      </c>
      <c r="N5" s="63">
        <v>0.33333333333333331</v>
      </c>
      <c r="O5" s="63">
        <v>0.6</v>
      </c>
      <c r="P5" s="63">
        <v>0.25</v>
      </c>
    </row>
    <row r="6" spans="1:17" x14ac:dyDescent="0.4">
      <c r="A6" s="65">
        <v>3</v>
      </c>
      <c r="B6" s="62">
        <v>14</v>
      </c>
      <c r="C6" s="62">
        <v>4.666666666666667</v>
      </c>
      <c r="D6" s="67">
        <v>2</v>
      </c>
      <c r="E6" s="63">
        <v>0.33333333333333331</v>
      </c>
      <c r="F6" s="63">
        <v>0.33333333333333331</v>
      </c>
      <c r="G6" s="63">
        <v>0.375</v>
      </c>
      <c r="H6" s="63">
        <v>0.125</v>
      </c>
      <c r="I6" s="64">
        <v>5888.8888888888887</v>
      </c>
      <c r="J6" s="64">
        <v>-7733.333333333333</v>
      </c>
      <c r="K6" s="63">
        <v>0</v>
      </c>
      <c r="L6" s="63">
        <v>0.25</v>
      </c>
      <c r="M6" s="63">
        <v>0.375</v>
      </c>
      <c r="N6" s="63">
        <v>0.33333333333333331</v>
      </c>
      <c r="O6" s="63">
        <v>0.66666666666666663</v>
      </c>
      <c r="P6" s="63">
        <v>0.1111111111111111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A992B-C567-4B95-959F-0E0E19BC7F99}">
  <sheetPr codeName="Sheet6"/>
  <dimension ref="A1:Q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0.29166666666666669</v>
      </c>
      <c r="H4" s="63">
        <v>0.20833333333333334</v>
      </c>
      <c r="I4" s="64">
        <v>6685.7142857142853</v>
      </c>
      <c r="J4" s="64">
        <v>-6840</v>
      </c>
      <c r="K4" s="63">
        <v>0</v>
      </c>
      <c r="L4" s="63">
        <v>0.16666666666666666</v>
      </c>
      <c r="M4" s="63">
        <v>0.29166666666666669</v>
      </c>
      <c r="N4" s="63">
        <v>0.75</v>
      </c>
      <c r="O4" s="63">
        <v>0.2857142857142857</v>
      </c>
      <c r="P4" s="63">
        <v>0.2857142857142857</v>
      </c>
    </row>
    <row r="5" spans="1:17" x14ac:dyDescent="0.4">
      <c r="A5" s="65">
        <v>2</v>
      </c>
      <c r="B5" s="62">
        <v>2.886579864025407E-15</v>
      </c>
      <c r="C5" s="62">
        <v>4.8109664400423447E-16</v>
      </c>
      <c r="D5" s="67">
        <v>2</v>
      </c>
      <c r="E5" s="63">
        <v>0.33333333333333331</v>
      </c>
      <c r="F5" s="63">
        <v>0.33333333333333331</v>
      </c>
      <c r="G5" s="63">
        <v>0.30952380952380953</v>
      </c>
      <c r="H5" s="63">
        <v>0.21428571428571427</v>
      </c>
      <c r="I5" s="64">
        <v>6976.9230769230771</v>
      </c>
      <c r="J5" s="64">
        <v>-7555.5555555555557</v>
      </c>
      <c r="K5" s="63">
        <v>0</v>
      </c>
      <c r="L5" s="63">
        <v>0.21428571428571427</v>
      </c>
      <c r="M5" s="63">
        <v>0.38095238095238093</v>
      </c>
      <c r="N5" s="63">
        <v>0.55555555555555558</v>
      </c>
      <c r="O5" s="63">
        <v>0.3125</v>
      </c>
      <c r="P5" s="63">
        <v>0.30769230769230771</v>
      </c>
    </row>
    <row r="6" spans="1:17" x14ac:dyDescent="0.4">
      <c r="A6" s="65">
        <v>3</v>
      </c>
      <c r="B6" s="62">
        <v>7.1054273576010019E-15</v>
      </c>
      <c r="C6" s="62">
        <v>7.894919286223335E-16</v>
      </c>
      <c r="D6" s="67">
        <v>2</v>
      </c>
      <c r="E6" s="63">
        <v>0.33333333333333331</v>
      </c>
      <c r="F6" s="63">
        <v>0.33333333333333331</v>
      </c>
      <c r="G6" s="63">
        <v>0.30555555555555558</v>
      </c>
      <c r="H6" s="63">
        <v>0.22222222222222221</v>
      </c>
      <c r="I6" s="64">
        <v>6718.181818181818</v>
      </c>
      <c r="J6" s="64">
        <v>-7200</v>
      </c>
      <c r="K6" s="63">
        <v>0</v>
      </c>
      <c r="L6" s="63">
        <v>0.2361111111111111</v>
      </c>
      <c r="M6" s="63">
        <v>0.33333333333333331</v>
      </c>
      <c r="N6" s="63">
        <v>0.47058823529411764</v>
      </c>
      <c r="O6" s="63">
        <v>0.375</v>
      </c>
      <c r="P6" s="63">
        <v>0.27272727272727271</v>
      </c>
    </row>
    <row r="7" spans="1:17" x14ac:dyDescent="0.4">
      <c r="A7" s="65">
        <v>4</v>
      </c>
      <c r="B7" s="62">
        <v>3.5527136788005009E-15</v>
      </c>
      <c r="C7" s="62">
        <v>2.9605947323337506E-16</v>
      </c>
      <c r="D7" s="67">
        <v>2</v>
      </c>
      <c r="E7" s="63">
        <v>0.33333333333333331</v>
      </c>
      <c r="F7" s="63">
        <v>0.33333333333333331</v>
      </c>
      <c r="G7" s="63">
        <v>0.31372549019607843</v>
      </c>
      <c r="H7" s="63">
        <v>0.21568627450980393</v>
      </c>
      <c r="I7" s="64">
        <v>6865.625</v>
      </c>
      <c r="J7" s="64">
        <v>-6790.909090909091</v>
      </c>
      <c r="K7" s="63">
        <v>0</v>
      </c>
      <c r="L7" s="63">
        <v>0.21568627450980393</v>
      </c>
      <c r="M7" s="63">
        <v>0.34313725490196079</v>
      </c>
      <c r="N7" s="63">
        <v>0.5</v>
      </c>
      <c r="O7" s="63">
        <v>0.42857142857142855</v>
      </c>
      <c r="P7" s="63">
        <v>0.3125</v>
      </c>
    </row>
    <row r="8" spans="1:17" x14ac:dyDescent="0.4">
      <c r="A8" s="65">
        <v>5</v>
      </c>
      <c r="B8" s="62">
        <v>2.6645352591003757E-15</v>
      </c>
      <c r="C8" s="62">
        <v>1.7763568394002506E-16</v>
      </c>
      <c r="D8" s="67">
        <v>2</v>
      </c>
      <c r="E8" s="63">
        <v>0.33333333333333331</v>
      </c>
      <c r="F8" s="63">
        <v>0.33333333333333331</v>
      </c>
      <c r="G8" s="63">
        <v>0.31111111111111112</v>
      </c>
      <c r="H8" s="63">
        <v>0.2074074074074074</v>
      </c>
      <c r="I8" s="64">
        <v>6204.7619047619046</v>
      </c>
      <c r="J8" s="64">
        <v>-5946.4285714285716</v>
      </c>
      <c r="K8" s="63">
        <v>0</v>
      </c>
      <c r="L8" s="63">
        <v>0.22222222222222221</v>
      </c>
      <c r="M8" s="63">
        <v>0.34074074074074073</v>
      </c>
      <c r="N8" s="63">
        <v>0.43333333333333335</v>
      </c>
      <c r="O8" s="63">
        <v>0.45652173913043476</v>
      </c>
      <c r="P8" s="63">
        <v>0.33333333333333331</v>
      </c>
    </row>
    <row r="9" spans="1:17" x14ac:dyDescent="0.4">
      <c r="A9" s="65">
        <v>6</v>
      </c>
      <c r="B9" s="62">
        <v>3.5527136788005009E-15</v>
      </c>
      <c r="C9" s="62">
        <v>1.9737298215558337E-16</v>
      </c>
      <c r="D9" s="67">
        <v>2</v>
      </c>
      <c r="E9" s="63">
        <v>0.33333333333333331</v>
      </c>
      <c r="F9" s="63">
        <v>0.33333333333333331</v>
      </c>
      <c r="G9" s="63">
        <v>0.31481481481481483</v>
      </c>
      <c r="H9" s="63">
        <v>0.19135802469135801</v>
      </c>
      <c r="I9" s="64">
        <v>6605.8823529411766</v>
      </c>
      <c r="J9" s="64">
        <v>-5725.8064516129034</v>
      </c>
      <c r="K9" s="63">
        <v>0</v>
      </c>
      <c r="L9" s="63">
        <v>0.22222222222222221</v>
      </c>
      <c r="M9" s="63">
        <v>0.3271604938271605</v>
      </c>
      <c r="N9" s="63">
        <v>0.44444444444444442</v>
      </c>
      <c r="O9" s="63">
        <v>0.47169811320754718</v>
      </c>
      <c r="P9" s="63">
        <v>0.39215686274509803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424</vt:i4>
      </vt:variant>
    </vt:vector>
  </HeadingPairs>
  <TitlesOfParts>
    <vt:vector size="45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れんたろう</vt:lpstr>
      <vt:lpstr>だいち</vt:lpstr>
      <vt:lpstr>ただ</vt:lpstr>
      <vt:lpstr>まっつん</vt:lpstr>
      <vt:lpstr>りくと</vt:lpstr>
      <vt:lpstr>りくと2</vt:lpstr>
      <vt:lpstr>まっつん2</vt:lpstr>
      <vt:lpstr>ただ2</vt:lpstr>
      <vt:lpstr>だいち2</vt:lpstr>
      <vt:lpstr>れんたろう2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だいち!ダマアガリ数</vt:lpstr>
      <vt:lpstr>たかの!ダマアガリ数</vt:lpstr>
      <vt:lpstr>ただ!ダマアガリ数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だいち!ダマアガリ率</vt:lpstr>
      <vt:lpstr>たかの!ダマアガリ率</vt:lpstr>
      <vt:lpstr>ただ!ダマアガリ率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だいち!チョンボ数</vt:lpstr>
      <vt:lpstr>たかの!チョンボ数</vt:lpstr>
      <vt:lpstr>ただ!チョンボ数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だいち!ふっとび数</vt:lpstr>
      <vt:lpstr>たかの!ふっとび数</vt:lpstr>
      <vt:lpstr>ただ!ふっとび数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だいち!リーチアガリ数</vt:lpstr>
      <vt:lpstr>たかの!リーチアガリ数</vt:lpstr>
      <vt:lpstr>ただ!リーチアガリ数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だいち!リーチアガリ率</vt:lpstr>
      <vt:lpstr>たかの!リーチアガリ率</vt:lpstr>
      <vt:lpstr>ただ!リーチアガリ率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だいち!リーチ数</vt:lpstr>
      <vt:lpstr>たかの!リーチ数</vt:lpstr>
      <vt:lpstr>ただ!リーチ数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まっつん!ロン率</vt:lpstr>
      <vt:lpstr>りくと!ロン率</vt:lpstr>
      <vt:lpstr>れんたろう!ロン率</vt:lpstr>
      <vt:lpstr>全体!ロン率</vt:lpstr>
      <vt:lpstr>ロン率</vt:lpstr>
      <vt:lpstr>だいち!現行連続アガリ</vt:lpstr>
      <vt:lpstr>たかの!現行連続アガリ</vt:lpstr>
      <vt:lpstr>ただ!現行連続アガリ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だいち!現行連続無放銃</vt:lpstr>
      <vt:lpstr>たかの!現行連続無放銃</vt:lpstr>
      <vt:lpstr>ただ!現行連続無放銃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だいち!最高点</vt:lpstr>
      <vt:lpstr>たかの!最高点</vt:lpstr>
      <vt:lpstr>ただ!最高点</vt:lpstr>
      <vt:lpstr>まっつん!最高点</vt:lpstr>
      <vt:lpstr>りくと!最高点</vt:lpstr>
      <vt:lpstr>れんたろう!最高点</vt:lpstr>
      <vt:lpstr>全体!最高点</vt:lpstr>
      <vt:lpstr>最高点</vt:lpstr>
      <vt:lpstr>だいち!最大ドラ数</vt:lpstr>
      <vt:lpstr>たかの!最大ドラ数</vt:lpstr>
      <vt:lpstr>ただ!最大ドラ数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だいち!通算アガリ点</vt:lpstr>
      <vt:lpstr>たかの!通算アガリ点</vt:lpstr>
      <vt:lpstr>ただ!通算アガリ点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だいち!通算スコア</vt:lpstr>
      <vt:lpstr>たかの!通算スコア</vt:lpstr>
      <vt:lpstr>ただ!通算スコア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だいち!通算副露アガリ点</vt:lpstr>
      <vt:lpstr>たかの!通算副露アガリ点</vt:lpstr>
      <vt:lpstr>ただ!通算副露アガリ点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だいち!通算放銃点</vt:lpstr>
      <vt:lpstr>たかの!通算放銃点</vt:lpstr>
      <vt:lpstr>ただ!通算放銃点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だいち!通算門前アガリ点</vt:lpstr>
      <vt:lpstr>たかの!通算門前アガリ点</vt:lpstr>
      <vt:lpstr>ただ!通算門前アガリ点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だいち!二位数</vt:lpstr>
      <vt:lpstr>たかの!二位数</vt:lpstr>
      <vt:lpstr>ただ!二位数</vt:lpstr>
      <vt:lpstr>まっつん!二位数</vt:lpstr>
      <vt:lpstr>りくと!二位数</vt:lpstr>
      <vt:lpstr>れんたろう!二位数</vt:lpstr>
      <vt:lpstr>全体!二位数</vt:lpstr>
      <vt:lpstr>二位数</vt:lpstr>
      <vt:lpstr>だいち!二位率</vt:lpstr>
      <vt:lpstr>たかの!二位率</vt:lpstr>
      <vt:lpstr>ただ!二位率</vt:lpstr>
      <vt:lpstr>まっつん!二位率</vt:lpstr>
      <vt:lpstr>りくと!二位率</vt:lpstr>
      <vt:lpstr>れんたろう!二位率</vt:lpstr>
      <vt:lpstr>全体!二位率</vt:lpstr>
      <vt:lpstr>二位率</vt:lpstr>
      <vt:lpstr>だいち!副露アガリ数</vt:lpstr>
      <vt:lpstr>たかの!副露アガリ数</vt:lpstr>
      <vt:lpstr>ただ!副露アガリ数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だいち!副露アガリ点</vt:lpstr>
      <vt:lpstr>たかの!副露アガリ点</vt:lpstr>
      <vt:lpstr>ただ!副露アガリ点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だいち!副露アガリ率</vt:lpstr>
      <vt:lpstr>たかの!副露アガリ率</vt:lpstr>
      <vt:lpstr>ただ!副露アガリ率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だいち!副露数</vt:lpstr>
      <vt:lpstr>たかの!副露数</vt:lpstr>
      <vt:lpstr>ただ!副露数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まっつん!放銃率</vt:lpstr>
      <vt:lpstr>りくと!放銃率</vt:lpstr>
      <vt:lpstr>れんたろう!放銃率</vt:lpstr>
      <vt:lpstr>全体!放銃率</vt:lpstr>
      <vt:lpstr>放銃率</vt:lpstr>
      <vt:lpstr>だいち!名前</vt:lpstr>
      <vt:lpstr>たかの!名前</vt:lpstr>
      <vt:lpstr>ただ!名前</vt:lpstr>
      <vt:lpstr>まっつん!名前</vt:lpstr>
      <vt:lpstr>りくと!名前</vt:lpstr>
      <vt:lpstr>れんたろう!名前</vt:lpstr>
      <vt:lpstr>全体!名前</vt:lpstr>
      <vt:lpstr>名前</vt:lpstr>
      <vt:lpstr>だいち!門前アガリ点</vt:lpstr>
      <vt:lpstr>たかの!門前アガリ点</vt:lpstr>
      <vt:lpstr>ただ!門前アガリ点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だいち!連続アガリ</vt:lpstr>
      <vt:lpstr>たかの!連続アガリ</vt:lpstr>
      <vt:lpstr>ただ!連続アガリ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2019-11-20T06:49:29Z</dcterms:modified>
</cp:coreProperties>
</file>