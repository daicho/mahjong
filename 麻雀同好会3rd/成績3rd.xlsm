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254BAB1-2F8D-4866-8658-D8C610983FBA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7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1" i="6017" l="1"/>
  <c r="O16" i="6025"/>
  <c r="O15" i="6025" l="1"/>
  <c r="O19" i="6033"/>
  <c r="O15" i="6023" l="1"/>
  <c r="O21" i="6029"/>
  <c r="O16" i="6033" l="1"/>
  <c r="O22" i="6023"/>
  <c r="O20" i="6017" l="1"/>
  <c r="O16" i="6019"/>
  <c r="O15" i="6029"/>
  <c r="O18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19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7" i="6017"/>
  <c r="O17" i="6021"/>
  <c r="O16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6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19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6" i="6029"/>
  <c r="H9" i="6029"/>
  <c r="C15" i="6029"/>
  <c r="C37" i="6029"/>
  <c r="B23" i="6029"/>
  <c r="H31" i="6029"/>
  <c r="H19" i="6029"/>
  <c r="H38" i="6029"/>
  <c r="H47" i="6029"/>
  <c r="H2" i="6029"/>
  <c r="H3" i="6029"/>
  <c r="H23" i="6029"/>
  <c r="H15" i="6029"/>
  <c r="H28" i="6029"/>
  <c r="H18" i="6029"/>
  <c r="C34" i="6029"/>
  <c r="C38" i="6029"/>
  <c r="C42" i="6029"/>
  <c r="H48" i="6029"/>
  <c r="C33" i="6029"/>
  <c r="C19" i="6029"/>
  <c r="H42" i="6029"/>
  <c r="H13" i="6029"/>
  <c r="C20" i="6029"/>
  <c r="H35" i="6029"/>
  <c r="H39" i="6029"/>
  <c r="H43" i="6029"/>
  <c r="H49" i="6029"/>
  <c r="H27" i="6029"/>
  <c r="H17" i="6029"/>
  <c r="H26" i="6029"/>
  <c r="H12" i="6029"/>
  <c r="H32" i="6029"/>
  <c r="C35" i="6029"/>
  <c r="C39" i="6029"/>
  <c r="C43" i="6029"/>
  <c r="H50" i="6029"/>
  <c r="H25" i="6029"/>
  <c r="C17" i="6029"/>
  <c r="C21" i="6029"/>
  <c r="H33" i="6029"/>
  <c r="H36" i="6029"/>
  <c r="H40" i="6029"/>
  <c r="H44" i="6029"/>
  <c r="H51" i="6029"/>
  <c r="H16" i="6029"/>
  <c r="C41" i="6029"/>
  <c r="H20" i="6029"/>
  <c r="H4" i="6029"/>
  <c r="H10" i="6029"/>
  <c r="H24" i="6029"/>
  <c r="H14" i="6029"/>
  <c r="H29" i="6029"/>
  <c r="C32" i="6029"/>
  <c r="C36" i="6029"/>
  <c r="C40" i="6029"/>
  <c r="C44" i="6029"/>
  <c r="H5" i="6029"/>
  <c r="H8" i="6029"/>
  <c r="H46" i="6029"/>
  <c r="H21" i="6029"/>
  <c r="H7" i="6029"/>
  <c r="H22" i="6029"/>
  <c r="C18" i="6029"/>
  <c r="B22" i="6029"/>
  <c r="H30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8" i="6015"/>
  <c r="O19" i="6023"/>
  <c r="O17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20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2" i="6027"/>
  <c r="C37" i="6027"/>
  <c r="H33" i="6027"/>
  <c r="H43" i="6027"/>
  <c r="H2" i="6027"/>
  <c r="H18" i="6027"/>
  <c r="H20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1" i="6027"/>
  <c r="C42" i="6027"/>
  <c r="H23" i="6027"/>
  <c r="H19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2" i="6027"/>
  <c r="H15" i="6027"/>
  <c r="H14" i="6027"/>
  <c r="H24" i="6027"/>
  <c r="C32" i="6027"/>
  <c r="C36" i="6027"/>
  <c r="C40" i="6027"/>
  <c r="C44" i="6027"/>
  <c r="H5" i="6027"/>
  <c r="H11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2" i="6025"/>
  <c r="H11" i="6025"/>
  <c r="H4" i="6025"/>
  <c r="H13" i="6025"/>
  <c r="H14" i="6025"/>
  <c r="H7" i="6025"/>
  <c r="H31" i="6025"/>
  <c r="H23" i="6025"/>
  <c r="H8" i="6025"/>
  <c r="C33" i="6025"/>
  <c r="C37" i="6025"/>
  <c r="C41" i="6025"/>
  <c r="H47" i="6025"/>
  <c r="H28" i="6025"/>
  <c r="C19" i="6025"/>
  <c r="B23" i="6025"/>
  <c r="H25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30" i="6025"/>
  <c r="H17" i="6025"/>
  <c r="C42" i="6025"/>
  <c r="H21" i="6025"/>
  <c r="H20" i="6025"/>
  <c r="H32" i="6025"/>
  <c r="H15" i="6025"/>
  <c r="H18" i="6025"/>
  <c r="C35" i="6025"/>
  <c r="C39" i="6025"/>
  <c r="C43" i="6025"/>
  <c r="H51" i="6025"/>
  <c r="H24" i="6025"/>
  <c r="C38" i="6025"/>
  <c r="H5" i="6025"/>
  <c r="H19" i="6025"/>
  <c r="C17" i="6025"/>
  <c r="C21" i="6025"/>
  <c r="H26" i="6025"/>
  <c r="H27" i="6025"/>
  <c r="H41" i="6025"/>
  <c r="H45" i="6025"/>
  <c r="H12" i="6025"/>
  <c r="H33" i="6025"/>
  <c r="C32" i="6025"/>
  <c r="C36" i="6025"/>
  <c r="C40" i="6025"/>
  <c r="C44" i="6025"/>
  <c r="H6" i="6025"/>
  <c r="H29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7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6" i="6023"/>
  <c r="H28" i="6023"/>
  <c r="H20" i="6023"/>
  <c r="C34" i="6023"/>
  <c r="C38" i="6023"/>
  <c r="C42" i="6023"/>
  <c r="H49" i="6023"/>
  <c r="H18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20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7" i="6015"/>
  <c r="O18" i="6017"/>
  <c r="O16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8" i="6021"/>
  <c r="C40" i="6021"/>
  <c r="H42" i="6021"/>
  <c r="C44" i="6021"/>
  <c r="B22" i="6021"/>
  <c r="H5" i="6021"/>
  <c r="H46" i="6021"/>
  <c r="H49" i="6021"/>
  <c r="C42" i="6021"/>
  <c r="H21" i="6021"/>
  <c r="H31" i="6021"/>
  <c r="H10" i="6021"/>
  <c r="H24" i="6021"/>
  <c r="C36" i="6021"/>
  <c r="H11" i="6021"/>
  <c r="H3" i="6021"/>
  <c r="H18" i="6021"/>
  <c r="H32" i="6021"/>
  <c r="H38" i="6021"/>
  <c r="H4" i="6021"/>
  <c r="H12" i="6021"/>
  <c r="C32" i="6021"/>
  <c r="C15" i="6021"/>
  <c r="H35" i="6021"/>
  <c r="C34" i="6021"/>
  <c r="H6" i="6021"/>
  <c r="C18" i="6021"/>
  <c r="H33" i="6021"/>
  <c r="C38" i="6021"/>
  <c r="H52" i="6021"/>
  <c r="H29" i="6021"/>
  <c r="H25" i="6021"/>
  <c r="H8" i="6021"/>
  <c r="C33" i="6021"/>
  <c r="C37" i="6021"/>
  <c r="C41" i="6021"/>
  <c r="H47" i="6021"/>
  <c r="C19" i="6021"/>
  <c r="B23" i="6021"/>
  <c r="H26" i="6021"/>
  <c r="H27" i="6021"/>
  <c r="H39" i="6021"/>
  <c r="H43" i="6021"/>
  <c r="H48" i="6021"/>
  <c r="H9" i="6021"/>
  <c r="C20" i="6021"/>
  <c r="H44" i="6021"/>
  <c r="H22" i="6021"/>
  <c r="H15" i="6021"/>
  <c r="H30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5" i="6019"/>
  <c r="H9" i="6019"/>
  <c r="H31" i="6019"/>
  <c r="C15" i="6019"/>
  <c r="H39" i="6019"/>
  <c r="H36" i="6019"/>
  <c r="H7" i="6019"/>
  <c r="H27" i="6019"/>
  <c r="H43" i="6019"/>
  <c r="H12" i="6019"/>
  <c r="C18" i="6019"/>
  <c r="H29" i="6019"/>
  <c r="H32" i="6019"/>
  <c r="H20" i="6019"/>
  <c r="H8" i="6019"/>
  <c r="C33" i="6019"/>
  <c r="C37" i="6019"/>
  <c r="C41" i="6019"/>
  <c r="H47" i="6019"/>
  <c r="C19" i="6019"/>
  <c r="B23" i="6019"/>
  <c r="H28" i="6019"/>
  <c r="H26" i="6019"/>
  <c r="H40" i="6019"/>
  <c r="H44" i="6019"/>
  <c r="H48" i="6019"/>
  <c r="H2" i="6019"/>
  <c r="H3" i="6019"/>
  <c r="H18" i="6019"/>
  <c r="H19" i="6019"/>
  <c r="H24" i="6019"/>
  <c r="H21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2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3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8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9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1" i="6017"/>
  <c r="H15" i="6017"/>
  <c r="H29" i="6017"/>
  <c r="H16" i="6017"/>
  <c r="C34" i="6017"/>
  <c r="C38" i="6017"/>
  <c r="C42" i="6017"/>
  <c r="H48" i="6017"/>
  <c r="H20" i="6017"/>
  <c r="H25" i="6017"/>
  <c r="H27" i="6017"/>
  <c r="H14" i="6017"/>
  <c r="H32" i="6017"/>
  <c r="C35" i="6017"/>
  <c r="C39" i="6017"/>
  <c r="C43" i="6017"/>
  <c r="H50" i="6017"/>
  <c r="H17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1" i="6015"/>
  <c r="H28" i="6015"/>
  <c r="H42" i="6015"/>
  <c r="C44" i="6015"/>
  <c r="C34" i="6015"/>
  <c r="H6" i="6015"/>
  <c r="H23" i="6015"/>
  <c r="H29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4" i="6015"/>
  <c r="C36" i="6015"/>
  <c r="H44" i="6015"/>
  <c r="H8" i="6015"/>
  <c r="C17" i="6015"/>
  <c r="B22" i="6015"/>
  <c r="H30" i="6015"/>
  <c r="H40" i="6015"/>
  <c r="C42" i="6015"/>
  <c r="H15" i="6015"/>
  <c r="H27" i="6015"/>
  <c r="H34" i="6015"/>
  <c r="H10" i="6015"/>
  <c r="H12" i="6015"/>
  <c r="C20" i="6015"/>
  <c r="H25" i="6015"/>
  <c r="H18" i="6015"/>
  <c r="H19" i="6015"/>
  <c r="H24" i="6015"/>
  <c r="C32" i="6015"/>
  <c r="H41" i="6015"/>
  <c r="H45" i="6015"/>
  <c r="H5" i="6015"/>
  <c r="H36" i="6015"/>
  <c r="H26" i="6015"/>
  <c r="H9" i="6015"/>
  <c r="C33" i="6015"/>
  <c r="C37" i="6015"/>
  <c r="C41" i="6015"/>
  <c r="H47" i="6015"/>
  <c r="B23" i="6015"/>
  <c r="H20" i="6015"/>
  <c r="H16" i="6015"/>
  <c r="H37" i="6015"/>
  <c r="H13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<sst xmlns="http://schemas.openxmlformats.org/spreadsheetml/2006/main" count="3040" uniqueCount="271">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</sst>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全体!$L$2:$L$662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  <c:pt idx="634">
                  <c:v>-55.50000000000005</c:v>
                </c:pt>
                <c:pt idx="635">
                  <c:v>-66.200000000000045</c:v>
                </c:pt>
                <c:pt idx="636">
                  <c:v>-4.2632564145606011E-14</c:v>
                </c:pt>
                <c:pt idx="637">
                  <c:v>54.19999999999996</c:v>
                </c:pt>
                <c:pt idx="638">
                  <c:v>48.69999999999996</c:v>
                </c:pt>
                <c:pt idx="639">
                  <c:v>-4.2632564145606011E-14</c:v>
                </c:pt>
                <c:pt idx="640">
                  <c:v>15.699999999999957</c:v>
                </c:pt>
                <c:pt idx="641">
                  <c:v>18.299999999999958</c:v>
                </c:pt>
                <c:pt idx="642">
                  <c:v>-4.2632564145606011E-14</c:v>
                </c:pt>
                <c:pt idx="643">
                  <c:v>26.799999999999958</c:v>
                </c:pt>
                <c:pt idx="644">
                  <c:v>-14.900000000000045</c:v>
                </c:pt>
                <c:pt idx="645">
                  <c:v>-4.4408920985006262E-14</c:v>
                </c:pt>
                <c:pt idx="646">
                  <c:v>57.799999999999955</c:v>
                </c:pt>
                <c:pt idx="647">
                  <c:v>45.199999999999953</c:v>
                </c:pt>
                <c:pt idx="648">
                  <c:v>-4.9737991503207013E-14</c:v>
                </c:pt>
                <c:pt idx="649">
                  <c:v>-4.5000000000000497</c:v>
                </c:pt>
                <c:pt idx="650">
                  <c:v>-28.80000000000005</c:v>
                </c:pt>
                <c:pt idx="651">
                  <c:v>-4.9737991503207013E-14</c:v>
                </c:pt>
                <c:pt idx="652">
                  <c:v>-19.700000000000049</c:v>
                </c:pt>
                <c:pt idx="653">
                  <c:v>-1.6000000000000476</c:v>
                </c:pt>
                <c:pt idx="654">
                  <c:v>-4.75175454539567E-14</c:v>
                </c:pt>
                <c:pt idx="655">
                  <c:v>-46.800000000000047</c:v>
                </c:pt>
                <c:pt idx="656">
                  <c:v>29.599999999999959</c:v>
                </c:pt>
                <c:pt idx="657">
                  <c:v>-4.2632564145606011E-14</c:v>
                </c:pt>
                <c:pt idx="658">
                  <c:v>36.799999999999955</c:v>
                </c:pt>
                <c:pt idx="659">
                  <c:v>0.89999999999995595</c:v>
                </c:pt>
                <c:pt idx="660">
                  <c:v>-4.4075854077618715E-14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-22.935779816513762</c:v>
                </c:pt>
                <c:pt idx="1">
                  <c:v>9.3457943925233646</c:v>
                </c:pt>
                <c:pt idx="2">
                  <c:v>-13.333333333333334</c:v>
                </c:pt>
                <c:pt idx="3">
                  <c:v>8.7719298245614041</c:v>
                </c:pt>
                <c:pt idx="4">
                  <c:v>11.494252873563218</c:v>
                </c:pt>
                <c:pt idx="5">
                  <c:v>13.698630136986301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120</c:v>
                </c:pt>
                <c:pt idx="1">
                  <c:v>266</c:v>
                </c:pt>
                <c:pt idx="2">
                  <c:v>330</c:v>
                </c:pt>
                <c:pt idx="3">
                  <c:v>289</c:v>
                </c:pt>
                <c:pt idx="4">
                  <c:v>260</c:v>
                </c:pt>
                <c:pt idx="5">
                  <c:v>170</c:v>
                </c:pt>
                <c:pt idx="6">
                  <c:v>87</c:v>
                </c:pt>
                <c:pt idx="7">
                  <c:v>49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1449.1525423728813</c:v>
                </c:pt>
                <c:pt idx="1">
                  <c:v>-1387.9310344827586</c:v>
                </c:pt>
                <c:pt idx="2">
                  <c:v>-992.72727272727275</c:v>
                </c:pt>
                <c:pt idx="3">
                  <c:v>-892.59259259259261</c:v>
                </c:pt>
                <c:pt idx="4">
                  <c:v>-496.22641509433964</c:v>
                </c:pt>
                <c:pt idx="5">
                  <c:v>-1915.2173913043478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19</c:v>
                </c:pt>
                <c:pt idx="1">
                  <c:v>28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11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だいち!$K$2:$K$139</c:f>
              <c:numCache>
                <c:formatCode>General</c:formatCode>
                <c:ptCount val="1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</c:numCache>
            </c:numRef>
          </c:xVal>
          <c:yVal>
            <c:numRef>
              <c:f>だいち!$L$2:$L$139</c:f>
              <c:numCache>
                <c:formatCode>\+0.0;\-0.0;\±0</c:formatCode>
                <c:ptCount val="13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  <c:pt idx="132">
                  <c:v>1138.5000000000002</c:v>
                </c:pt>
                <c:pt idx="133">
                  <c:v>1192.7000000000003</c:v>
                </c:pt>
                <c:pt idx="134">
                  <c:v>1208.4000000000003</c:v>
                </c:pt>
                <c:pt idx="135">
                  <c:v>1166.7000000000003</c:v>
                </c:pt>
                <c:pt idx="136">
                  <c:v>1154.1000000000004</c:v>
                </c:pt>
                <c:pt idx="137">
                  <c:v>1129.8000000000004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980</c:v>
                </c:pt>
                <c:pt idx="1">
                  <c:v>659.84848484848487</c:v>
                </c:pt>
                <c:pt idx="2">
                  <c:v>1094.4444444444443</c:v>
                </c:pt>
                <c:pt idx="3">
                  <c:v>182.20338983050848</c:v>
                </c:pt>
                <c:pt idx="4">
                  <c:v>2116.5137614678897</c:v>
                </c:pt>
                <c:pt idx="5">
                  <c:v>2238.2022471910113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32</c:v>
                </c:pt>
                <c:pt idx="1">
                  <c:v>64</c:v>
                </c:pt>
                <c:pt idx="2">
                  <c:v>84</c:v>
                </c:pt>
                <c:pt idx="3">
                  <c:v>72</c:v>
                </c:pt>
                <c:pt idx="4">
                  <c:v>54</c:v>
                </c:pt>
                <c:pt idx="5">
                  <c:v>37</c:v>
                </c:pt>
                <c:pt idx="6">
                  <c:v>17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-1254.0983606557377</c:v>
                </c:pt>
                <c:pt idx="1">
                  <c:v>1695.8333333333333</c:v>
                </c:pt>
                <c:pt idx="2">
                  <c:v>-16.363636363636363</c:v>
                </c:pt>
                <c:pt idx="3">
                  <c:v>514.28571428571433</c:v>
                </c:pt>
                <c:pt idx="4">
                  <c:v>-940.625</c:v>
                </c:pt>
                <c:pt idx="5">
                  <c:v>1480.4878048780488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22</c:v>
                </c:pt>
                <c:pt idx="1">
                  <c:v>50</c:v>
                </c:pt>
                <c:pt idx="2">
                  <c:v>69</c:v>
                </c:pt>
                <c:pt idx="3">
                  <c:v>66</c:v>
                </c:pt>
                <c:pt idx="4">
                  <c:v>49</c:v>
                </c:pt>
                <c:pt idx="5">
                  <c:v>35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  <c:pt idx="75">
                  <c:v>-490.40000000000003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-349.3150684931507</c:v>
                </c:pt>
                <c:pt idx="1">
                  <c:v>-1293.1506849315069</c:v>
                </c:pt>
                <c:pt idx="2">
                  <c:v>1020.8955223880597</c:v>
                </c:pt>
                <c:pt idx="3">
                  <c:v>-636.36363636363637</c:v>
                </c:pt>
                <c:pt idx="4">
                  <c:v>-3209.6774193548385</c:v>
                </c:pt>
                <c:pt idx="5">
                  <c:v>-1537.037037037037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41</c:v>
                </c:pt>
                <c:pt idx="3">
                  <c:v>28</c:v>
                </c:pt>
                <c:pt idx="4">
                  <c:v>29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1137.6470588235295</c:v>
                </c:pt>
                <c:pt idx="1">
                  <c:v>-1449.3975903614457</c:v>
                </c:pt>
                <c:pt idx="2">
                  <c:v>-401.35135135135135</c:v>
                </c:pt>
                <c:pt idx="3">
                  <c:v>2309.8591549295775</c:v>
                </c:pt>
                <c:pt idx="4">
                  <c:v>330.15873015873018</c:v>
                </c:pt>
                <c:pt idx="5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24</c:v>
                </c:pt>
                <c:pt idx="3">
                  <c:v>35</c:v>
                </c:pt>
                <c:pt idx="4">
                  <c:v>48</c:v>
                </c:pt>
                <c:pt idx="5">
                  <c:v>19</c:v>
                </c:pt>
                <c:pt idx="6">
                  <c:v>18</c:v>
                </c:pt>
                <c:pt idx="7">
                  <c:v>13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  <c:pt idx="102">
                  <c:v>32.199999999999989</c:v>
                </c:pt>
                <c:pt idx="103">
                  <c:v>27.699999999999989</c:v>
                </c:pt>
                <c:pt idx="104">
                  <c:v>45.79999999999999</c:v>
                </c:pt>
                <c:pt idx="105">
                  <c:v>122.19999999999999</c:v>
                </c:pt>
                <c:pt idx="106">
                  <c:v>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570.47619047619048</c:v>
                </c:pt>
                <c:pt idx="1">
                  <c:v>518.62745098039215</c:v>
                </c:pt>
                <c:pt idx="2">
                  <c:v>-538.9473684210526</c:v>
                </c:pt>
                <c:pt idx="3">
                  <c:v>335.63218390804599</c:v>
                </c:pt>
                <c:pt idx="4">
                  <c:v>-368.83116883116884</c:v>
                </c:pt>
                <c:pt idx="5">
                  <c:v>-896.969696969697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14</c:v>
                </c:pt>
                <c:pt idx="1">
                  <c:v>46</c:v>
                </c:pt>
                <c:pt idx="2">
                  <c:v>49</c:v>
                </c:pt>
                <c:pt idx="3">
                  <c:v>41</c:v>
                </c:pt>
                <c:pt idx="4">
                  <c:v>38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まっつん2!$B$3:$B$109</c:f>
              <c:numCache>
                <c:formatCode>\+0.0;\-0.0;\±0</c:formatCode>
                <c:ptCount val="10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  <c:pt idx="102">
                  <c:v>32.199999999999989</c:v>
                </c:pt>
                <c:pt idx="103">
                  <c:v>27.699999999999989</c:v>
                </c:pt>
                <c:pt idx="104">
                  <c:v>45.79999999999999</c:v>
                </c:pt>
                <c:pt idx="105">
                  <c:v>122.19999999999999</c:v>
                </c:pt>
                <c:pt idx="106">
                  <c:v>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40758540776187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まっつん2!$C$3:$C$109</c:f>
              <c:numCache>
                <c:formatCode>\+0.0;\-0.0;\±0</c:formatCode>
                <c:ptCount val="107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-1.5421052631578942</c:v>
                </c:pt>
                <c:pt idx="39">
                  <c:v>-1.3282051282051277</c:v>
                </c:pt>
                <c:pt idx="40">
                  <c:v>-1.6974999999999993</c:v>
                </c:pt>
                <c:pt idx="41">
                  <c:v>-1.4951219512195115</c:v>
                </c:pt>
                <c:pt idx="42">
                  <c:v>-1.3547619047619042</c:v>
                </c:pt>
                <c:pt idx="43">
                  <c:v>-1.3604651162790693</c:v>
                </c:pt>
                <c:pt idx="44">
                  <c:v>-1.1340909090909086</c:v>
                </c:pt>
                <c:pt idx="45">
                  <c:v>0.25777777777777827</c:v>
                </c:pt>
                <c:pt idx="46">
                  <c:v>-0.5065217391304343</c:v>
                </c:pt>
                <c:pt idx="47">
                  <c:v>-0.23617021276595696</c:v>
                </c:pt>
                <c:pt idx="48">
                  <c:v>-0.64791666666666614</c:v>
                </c:pt>
                <c:pt idx="49">
                  <c:v>-0.37755102040816285</c:v>
                </c:pt>
                <c:pt idx="50">
                  <c:v>0.14200000000000046</c:v>
                </c:pt>
                <c:pt idx="51">
                  <c:v>0.12745098039215733</c:v>
                </c:pt>
                <c:pt idx="52">
                  <c:v>-5.769230769230322E-3</c:v>
                </c:pt>
                <c:pt idx="53">
                  <c:v>0.16603773584905701</c:v>
                </c:pt>
                <c:pt idx="54">
                  <c:v>0.10740740740740781</c:v>
                </c:pt>
                <c:pt idx="55">
                  <c:v>-0.22727272727272688</c:v>
                </c:pt>
                <c:pt idx="56">
                  <c:v>0.65000000000000036</c:v>
                </c:pt>
                <c:pt idx="57">
                  <c:v>-6.491228070175406E-2</c:v>
                </c:pt>
                <c:pt idx="58">
                  <c:v>0.22241379310344861</c:v>
                </c:pt>
                <c:pt idx="59">
                  <c:v>0.63898305084745788</c:v>
                </c:pt>
                <c:pt idx="60">
                  <c:v>1.2833333333333337</c:v>
                </c:pt>
                <c:pt idx="61">
                  <c:v>0.34590163934426255</c:v>
                </c:pt>
                <c:pt idx="62">
                  <c:v>0.43709677419354864</c:v>
                </c:pt>
                <c:pt idx="63">
                  <c:v>0.18730158730158755</c:v>
                </c:pt>
                <c:pt idx="64">
                  <c:v>0.72500000000000031</c:v>
                </c:pt>
                <c:pt idx="65">
                  <c:v>0.61384615384615415</c:v>
                </c:pt>
                <c:pt idx="66">
                  <c:v>0.2212121212121215</c:v>
                </c:pt>
                <c:pt idx="67">
                  <c:v>-9.4029850746268351E-2</c:v>
                </c:pt>
                <c:pt idx="68">
                  <c:v>-4.1176470588234988E-2</c:v>
                </c:pt>
                <c:pt idx="69">
                  <c:v>-0.51884057971014463</c:v>
                </c:pt>
                <c:pt idx="70">
                  <c:v>-0.85571428571428554</c:v>
                </c:pt>
                <c:pt idx="71">
                  <c:v>-0.69859154929577438</c:v>
                </c:pt>
                <c:pt idx="72">
                  <c:v>-0.74999999999999967</c:v>
                </c:pt>
                <c:pt idx="73">
                  <c:v>-0.93424657534246536</c:v>
                </c:pt>
                <c:pt idx="74">
                  <c:v>-0.88783783783783754</c:v>
                </c:pt>
                <c:pt idx="75">
                  <c:v>-0.47466666666666629</c:v>
                </c:pt>
                <c:pt idx="76">
                  <c:v>-0.49342105263157859</c:v>
                </c:pt>
                <c:pt idx="77">
                  <c:v>-0.36623376623376586</c:v>
                </c:pt>
                <c:pt idx="78">
                  <c:v>-1.1192307692307688</c:v>
                </c:pt>
                <c:pt idx="79">
                  <c:v>-1.6886075949367085</c:v>
                </c:pt>
                <c:pt idx="80">
                  <c:v>-2.1249999999999996</c:v>
                </c:pt>
                <c:pt idx="81">
                  <c:v>-2.0469135802469132</c:v>
                </c:pt>
                <c:pt idx="82">
                  <c:v>-1.4146341463414633</c:v>
                </c:pt>
                <c:pt idx="83">
                  <c:v>-1.4120481927710842</c:v>
                </c:pt>
                <c:pt idx="84">
                  <c:v>-1.5309523809523808</c:v>
                </c:pt>
                <c:pt idx="85">
                  <c:v>-1.4094117647058824</c:v>
                </c:pt>
                <c:pt idx="86">
                  <c:v>-1.1325581395348838</c:v>
                </c:pt>
                <c:pt idx="87">
                  <c:v>-0.96321839080459781</c:v>
                </c:pt>
                <c:pt idx="88">
                  <c:v>-0.65227272727272745</c:v>
                </c:pt>
                <c:pt idx="89">
                  <c:v>-0.71011235955056196</c:v>
                </c:pt>
                <c:pt idx="90">
                  <c:v>-1.328888888888889</c:v>
                </c:pt>
                <c:pt idx="91">
                  <c:v>-0.63296703296703305</c:v>
                </c:pt>
                <c:pt idx="92">
                  <c:v>-0.59673913043478266</c:v>
                </c:pt>
                <c:pt idx="93">
                  <c:v>-0.18387096774193556</c:v>
                </c:pt>
                <c:pt idx="94">
                  <c:v>9.3617021276595644E-2</c:v>
                </c:pt>
                <c:pt idx="95">
                  <c:v>-4.3157894736842214E-2</c:v>
                </c:pt>
                <c:pt idx="96">
                  <c:v>0.3322916666666666</c:v>
                </c:pt>
                <c:pt idx="97">
                  <c:v>0.53917525773195862</c:v>
                </c:pt>
                <c:pt idx="98">
                  <c:v>0.14285714285714279</c:v>
                </c:pt>
                <c:pt idx="99">
                  <c:v>0.21616161616161608</c:v>
                </c:pt>
                <c:pt idx="100">
                  <c:v>-5.400000000000009E-2</c:v>
                </c:pt>
                <c:pt idx="101">
                  <c:v>-0.25346534653465352</c:v>
                </c:pt>
                <c:pt idx="102">
                  <c:v>0.3156862745098038</c:v>
                </c:pt>
                <c:pt idx="103">
                  <c:v>0.26893203883495137</c:v>
                </c:pt>
                <c:pt idx="104">
                  <c:v>0.44038461538461526</c:v>
                </c:pt>
                <c:pt idx="105">
                  <c:v>1.1638095238095236</c:v>
                </c:pt>
                <c:pt idx="106">
                  <c:v>0.81415094339622629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78159708730108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まっつん2!$D$3:$D$109</c:f>
              <c:numCache>
                <c:formatCode>0.00\ "位"</c:formatCode>
                <c:ptCount val="107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2.0975609756097562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2.0909090909090908</c:v>
                </c:pt>
                <c:pt idx="45">
                  <c:v>2.0666666666666669</c:v>
                </c:pt>
                <c:pt idx="46">
                  <c:v>2.0869565217391304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2.06</c:v>
                </c:pt>
                <c:pt idx="51">
                  <c:v>2.0588235294117645</c:v>
                </c:pt>
                <c:pt idx="52">
                  <c:v>2.0576923076923075</c:v>
                </c:pt>
                <c:pt idx="53">
                  <c:v>2.0566037735849059</c:v>
                </c:pt>
                <c:pt idx="54">
                  <c:v>2.0555555555555554</c:v>
                </c:pt>
                <c:pt idx="55">
                  <c:v>2.0727272727272728</c:v>
                </c:pt>
                <c:pt idx="56">
                  <c:v>2.0535714285714284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2.0166666666666666</c:v>
                </c:pt>
                <c:pt idx="61">
                  <c:v>2.0327868852459017</c:v>
                </c:pt>
                <c:pt idx="62">
                  <c:v>2.032258064516129</c:v>
                </c:pt>
                <c:pt idx="63">
                  <c:v>2.0476190476190474</c:v>
                </c:pt>
                <c:pt idx="64">
                  <c:v>2.03125</c:v>
                </c:pt>
                <c:pt idx="65">
                  <c:v>2.0307692307692307</c:v>
                </c:pt>
                <c:pt idx="66">
                  <c:v>2.0454545454545454</c:v>
                </c:pt>
                <c:pt idx="67">
                  <c:v>2.0597014925373136</c:v>
                </c:pt>
                <c:pt idx="68">
                  <c:v>2.0588235294117645</c:v>
                </c:pt>
                <c:pt idx="69">
                  <c:v>2.0579710144927534</c:v>
                </c:pt>
                <c:pt idx="70">
                  <c:v>2.0714285714285716</c:v>
                </c:pt>
                <c:pt idx="71">
                  <c:v>2.0704225352112675</c:v>
                </c:pt>
                <c:pt idx="72">
                  <c:v>2.0694444444444446</c:v>
                </c:pt>
                <c:pt idx="73">
                  <c:v>2.0684931506849313</c:v>
                </c:pt>
                <c:pt idx="74">
                  <c:v>2.0675675675675675</c:v>
                </c:pt>
                <c:pt idx="75">
                  <c:v>2.0533333333333332</c:v>
                </c:pt>
                <c:pt idx="76">
                  <c:v>2.0526315789473686</c:v>
                </c:pt>
                <c:pt idx="77">
                  <c:v>2.051948051948052</c:v>
                </c:pt>
                <c:pt idx="78">
                  <c:v>2.0641025641025643</c:v>
                </c:pt>
                <c:pt idx="79">
                  <c:v>2.0759493670886076</c:v>
                </c:pt>
                <c:pt idx="80">
                  <c:v>2.0874999999999999</c:v>
                </c:pt>
                <c:pt idx="81">
                  <c:v>2.0864197530864197</c:v>
                </c:pt>
                <c:pt idx="82">
                  <c:v>2.0731707317073171</c:v>
                </c:pt>
                <c:pt idx="83">
                  <c:v>2.072289156626506</c:v>
                </c:pt>
                <c:pt idx="84">
                  <c:v>2.0714285714285716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2.0340909090909092</c:v>
                </c:pt>
                <c:pt idx="89">
                  <c:v>2.0337078651685392</c:v>
                </c:pt>
                <c:pt idx="90">
                  <c:v>2.0444444444444443</c:v>
                </c:pt>
                <c:pt idx="91">
                  <c:v>2.0329670329670328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2.0106382978723403</c:v>
                </c:pt>
                <c:pt idx="95">
                  <c:v>2.0105263157894737</c:v>
                </c:pt>
                <c:pt idx="96">
                  <c:v>2</c:v>
                </c:pt>
                <c:pt idx="97">
                  <c:v>2</c:v>
                </c:pt>
                <c:pt idx="98">
                  <c:v>2.010204081632653</c:v>
                </c:pt>
                <c:pt idx="99">
                  <c:v>2.0101010101010099</c:v>
                </c:pt>
                <c:pt idx="100">
                  <c:v>2.02</c:v>
                </c:pt>
                <c:pt idx="101">
                  <c:v>2.0297029702970297</c:v>
                </c:pt>
                <c:pt idx="102">
                  <c:v>2.0196078431372548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</c:v>
                </c:pt>
                <c:pt idx="106">
                  <c:v>2.0094339622641511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454545454545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まっつん2!$E$3:$E$109</c:f>
              <c:numCache>
                <c:formatCode>0.0%</c:formatCode>
                <c:ptCount val="10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0.23684210526315788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0.22222222222222221</c:v>
                </c:pt>
                <c:pt idx="46">
                  <c:v>0.21739130434782608</c:v>
                </c:pt>
                <c:pt idx="47">
                  <c:v>0.21276595744680851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0.21428571428571427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0.25</c:v>
                </c:pt>
                <c:pt idx="61">
                  <c:v>0.24590163934426229</c:v>
                </c:pt>
                <c:pt idx="62">
                  <c:v>0.24193548387096775</c:v>
                </c:pt>
                <c:pt idx="63">
                  <c:v>0.23809523809523808</c:v>
                </c:pt>
                <c:pt idx="64">
                  <c:v>0.25</c:v>
                </c:pt>
                <c:pt idx="65">
                  <c:v>0.24615384615384617</c:v>
                </c:pt>
                <c:pt idx="66">
                  <c:v>0.24242424242424243</c:v>
                </c:pt>
                <c:pt idx="67">
                  <c:v>0.23880597014925373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0.22666666666666666</c:v>
                </c:pt>
                <c:pt idx="76">
                  <c:v>0.22368421052631579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0.21951219512195122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0.23863636363636365</c:v>
                </c:pt>
                <c:pt idx="89">
                  <c:v>0.23595505617977527</c:v>
                </c:pt>
                <c:pt idx="90">
                  <c:v>0.23333333333333334</c:v>
                </c:pt>
                <c:pt idx="91">
                  <c:v>0.24175824175824176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0.25531914893617019</c:v>
                </c:pt>
                <c:pt idx="95">
                  <c:v>0.25263157894736843</c:v>
                </c:pt>
                <c:pt idx="96">
                  <c:v>0.26041666666666669</c:v>
                </c:pt>
                <c:pt idx="97">
                  <c:v>0.25773195876288657</c:v>
                </c:pt>
                <c:pt idx="98">
                  <c:v>0.25510204081632654</c:v>
                </c:pt>
                <c:pt idx="99">
                  <c:v>0.25252525252525254</c:v>
                </c:pt>
                <c:pt idx="100">
                  <c:v>0.25</c:v>
                </c:pt>
                <c:pt idx="101">
                  <c:v>0.24752475247524752</c:v>
                </c:pt>
                <c:pt idx="102">
                  <c:v>0.25490196078431371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0.26666666666666666</c:v>
                </c:pt>
                <c:pt idx="106">
                  <c:v>0.26415094339622641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6363636363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まっつん2!$F$3:$F$109</c:f>
              <c:numCache>
                <c:formatCode>0.0%</c:formatCode>
                <c:ptCount val="10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0.28888888888888886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0.25925925925925924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0.26666666666666666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0.27272727272727271</c:v>
                </c:pt>
                <c:pt idx="78">
                  <c:v>0.28205128205128205</c:v>
                </c:pt>
                <c:pt idx="79">
                  <c:v>0.29113924050632911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0.2696629213483146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0.25773195876288657</c:v>
                </c:pt>
                <c:pt idx="98">
                  <c:v>0.26530612244897961</c:v>
                </c:pt>
                <c:pt idx="99">
                  <c:v>0.26262626262626265</c:v>
                </c:pt>
                <c:pt idx="100">
                  <c:v>0.27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0.26666666666666666</c:v>
                </c:pt>
                <c:pt idx="106">
                  <c:v>0.27358490566037735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1818181818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まっつん2!$G$3:$G$109</c:f>
              <c:numCache>
                <c:formatCode>0.0%</c:formatCode>
                <c:ptCount val="107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0.28052805280528054</c:v>
                </c:pt>
                <c:pt idx="39">
                  <c:v>0.27795527156549521</c:v>
                </c:pt>
                <c:pt idx="40">
                  <c:v>0.27500000000000002</c:v>
                </c:pt>
                <c:pt idx="41">
                  <c:v>0.27522935779816515</c:v>
                </c:pt>
                <c:pt idx="42">
                  <c:v>0.27844311377245506</c:v>
                </c:pt>
                <c:pt idx="43">
                  <c:v>0.28279883381924198</c:v>
                </c:pt>
                <c:pt idx="44">
                  <c:v>0.28285714285714286</c:v>
                </c:pt>
                <c:pt idx="45">
                  <c:v>0.28732394366197184</c:v>
                </c:pt>
                <c:pt idx="46">
                  <c:v>0.28415300546448086</c:v>
                </c:pt>
                <c:pt idx="47">
                  <c:v>0.28301886792452829</c:v>
                </c:pt>
                <c:pt idx="48">
                  <c:v>0.28238341968911918</c:v>
                </c:pt>
                <c:pt idx="49">
                  <c:v>0.28498727735368956</c:v>
                </c:pt>
                <c:pt idx="50">
                  <c:v>0.28499999999999998</c:v>
                </c:pt>
                <c:pt idx="51">
                  <c:v>0.28186274509803921</c:v>
                </c:pt>
                <c:pt idx="52">
                  <c:v>0.27751196172248804</c:v>
                </c:pt>
                <c:pt idx="53">
                  <c:v>0.28000000000000003</c:v>
                </c:pt>
                <c:pt idx="54">
                  <c:v>0.28175519630484991</c:v>
                </c:pt>
                <c:pt idx="55">
                  <c:v>0.28018223234624146</c:v>
                </c:pt>
                <c:pt idx="56">
                  <c:v>0.28442437923250563</c:v>
                </c:pt>
                <c:pt idx="57">
                  <c:v>0.2807017543859649</c:v>
                </c:pt>
                <c:pt idx="58">
                  <c:v>0.2832618025751073</c:v>
                </c:pt>
                <c:pt idx="59">
                  <c:v>0.28361344537815125</c:v>
                </c:pt>
                <c:pt idx="60">
                  <c:v>0.28985507246376813</c:v>
                </c:pt>
                <c:pt idx="61">
                  <c:v>0.28888888888888886</c:v>
                </c:pt>
                <c:pt idx="62">
                  <c:v>0.28769841269841268</c:v>
                </c:pt>
                <c:pt idx="63">
                  <c:v>0.287109375</c:v>
                </c:pt>
                <c:pt idx="64">
                  <c:v>0.28875968992248063</c:v>
                </c:pt>
                <c:pt idx="65">
                  <c:v>0.28927203065134099</c:v>
                </c:pt>
                <c:pt idx="66">
                  <c:v>0.28625235404896421</c:v>
                </c:pt>
                <c:pt idx="67">
                  <c:v>0.28491620111731841</c:v>
                </c:pt>
                <c:pt idx="68">
                  <c:v>0.28623853211009176</c:v>
                </c:pt>
                <c:pt idx="69">
                  <c:v>0.28442028985507245</c:v>
                </c:pt>
                <c:pt idx="70">
                  <c:v>0.28264758497316639</c:v>
                </c:pt>
                <c:pt idx="71">
                  <c:v>0.28368794326241137</c:v>
                </c:pt>
                <c:pt idx="72">
                  <c:v>0.28196147110332748</c:v>
                </c:pt>
                <c:pt idx="73">
                  <c:v>0.28151986183074268</c:v>
                </c:pt>
                <c:pt idx="74">
                  <c:v>0.28034188034188035</c:v>
                </c:pt>
                <c:pt idx="75">
                  <c:v>0.28499156829679595</c:v>
                </c:pt>
                <c:pt idx="76">
                  <c:v>0.28499999999999998</c:v>
                </c:pt>
                <c:pt idx="77">
                  <c:v>0.28547854785478549</c:v>
                </c:pt>
                <c:pt idx="78">
                  <c:v>0.28038897893030795</c:v>
                </c:pt>
                <c:pt idx="79">
                  <c:v>0.27768860353130015</c:v>
                </c:pt>
                <c:pt idx="80">
                  <c:v>0.27760252365930599</c:v>
                </c:pt>
                <c:pt idx="81">
                  <c:v>0.27856025039123633</c:v>
                </c:pt>
                <c:pt idx="82">
                  <c:v>0.28328173374613003</c:v>
                </c:pt>
                <c:pt idx="83">
                  <c:v>0.28287461773700306</c:v>
                </c:pt>
                <c:pt idx="84">
                  <c:v>0.27987897125567324</c:v>
                </c:pt>
                <c:pt idx="85">
                  <c:v>0.28035982008995503</c:v>
                </c:pt>
                <c:pt idx="86">
                  <c:v>0.28041543026706234</c:v>
                </c:pt>
                <c:pt idx="87">
                  <c:v>0.28111273792093705</c:v>
                </c:pt>
                <c:pt idx="88">
                  <c:v>0.28260869565217389</c:v>
                </c:pt>
                <c:pt idx="89">
                  <c:v>0.28307254623044098</c:v>
                </c:pt>
                <c:pt idx="90">
                  <c:v>0.28212290502793297</c:v>
                </c:pt>
                <c:pt idx="91">
                  <c:v>0.28393351800554018</c:v>
                </c:pt>
                <c:pt idx="92">
                  <c:v>0.28434065934065933</c:v>
                </c:pt>
                <c:pt idx="93">
                  <c:v>0.2857142857142857</c:v>
                </c:pt>
                <c:pt idx="94">
                  <c:v>0.28936742934051146</c:v>
                </c:pt>
                <c:pt idx="95">
                  <c:v>0.28894806924101196</c:v>
                </c:pt>
                <c:pt idx="96">
                  <c:v>0.28912466843501328</c:v>
                </c:pt>
                <c:pt idx="97">
                  <c:v>0.29040735873850199</c:v>
                </c:pt>
                <c:pt idx="98">
                  <c:v>0.28793774319066145</c:v>
                </c:pt>
                <c:pt idx="99">
                  <c:v>0.28937259923175418</c:v>
                </c:pt>
                <c:pt idx="100">
                  <c:v>0.2878787878787879</c:v>
                </c:pt>
                <c:pt idx="101">
                  <c:v>0.28714107365792757</c:v>
                </c:pt>
                <c:pt idx="102">
                  <c:v>0.28888888888888886</c:v>
                </c:pt>
                <c:pt idx="103">
                  <c:v>0.28886168910648713</c:v>
                </c:pt>
                <c:pt idx="104">
                  <c:v>0.28950542822677927</c:v>
                </c:pt>
                <c:pt idx="105">
                  <c:v>0.2930622009569378</c:v>
                </c:pt>
                <c:pt idx="106">
                  <c:v>0.29078014184397161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03347889374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まっつん2!$H$3:$H$109</c:f>
              <c:numCache>
                <c:formatCode>0.0%</c:formatCode>
                <c:ptCount val="107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0.14191419141914191</c:v>
                </c:pt>
                <c:pt idx="39">
                  <c:v>0.14376996805111822</c:v>
                </c:pt>
                <c:pt idx="40">
                  <c:v>0.14374999999999999</c:v>
                </c:pt>
                <c:pt idx="41">
                  <c:v>0.14678899082568808</c:v>
                </c:pt>
                <c:pt idx="42">
                  <c:v>0.1497005988023952</c:v>
                </c:pt>
                <c:pt idx="43">
                  <c:v>0.14868804664723032</c:v>
                </c:pt>
                <c:pt idx="44">
                  <c:v>0.14857142857142858</c:v>
                </c:pt>
                <c:pt idx="45">
                  <c:v>0.14647887323943662</c:v>
                </c:pt>
                <c:pt idx="46">
                  <c:v>0.1448087431693989</c:v>
                </c:pt>
                <c:pt idx="47">
                  <c:v>0.14285714285714285</c:v>
                </c:pt>
                <c:pt idx="48">
                  <c:v>0.14248704663212436</c:v>
                </c:pt>
                <c:pt idx="49">
                  <c:v>0.13994910941475827</c:v>
                </c:pt>
                <c:pt idx="50">
                  <c:v>0.14000000000000001</c:v>
                </c:pt>
                <c:pt idx="51">
                  <c:v>0.13970588235294118</c:v>
                </c:pt>
                <c:pt idx="52">
                  <c:v>0.13636363636363635</c:v>
                </c:pt>
                <c:pt idx="53">
                  <c:v>0.13411764705882354</c:v>
                </c:pt>
                <c:pt idx="54">
                  <c:v>0.13163972286374134</c:v>
                </c:pt>
                <c:pt idx="55">
                  <c:v>0.12984054669703873</c:v>
                </c:pt>
                <c:pt idx="56">
                  <c:v>0.12866817155756208</c:v>
                </c:pt>
                <c:pt idx="57">
                  <c:v>0.1337719298245614</c:v>
                </c:pt>
                <c:pt idx="58">
                  <c:v>0.13304721030042918</c:v>
                </c:pt>
                <c:pt idx="59">
                  <c:v>0.13025210084033614</c:v>
                </c:pt>
                <c:pt idx="60">
                  <c:v>0.13043478260869565</c:v>
                </c:pt>
                <c:pt idx="61">
                  <c:v>0.13333333333333333</c:v>
                </c:pt>
                <c:pt idx="62">
                  <c:v>0.13095238095238096</c:v>
                </c:pt>
                <c:pt idx="63">
                  <c:v>0.130859375</c:v>
                </c:pt>
                <c:pt idx="64">
                  <c:v>0.12984496124031009</c:v>
                </c:pt>
                <c:pt idx="65">
                  <c:v>0.13026819923371646</c:v>
                </c:pt>
                <c:pt idx="66">
                  <c:v>0.128060263653484</c:v>
                </c:pt>
                <c:pt idx="67">
                  <c:v>0.1266294227188082</c:v>
                </c:pt>
                <c:pt idx="68">
                  <c:v>0.12477064220183487</c:v>
                </c:pt>
                <c:pt idx="69">
                  <c:v>0.125</c:v>
                </c:pt>
                <c:pt idx="70">
                  <c:v>0.12701252236135957</c:v>
                </c:pt>
                <c:pt idx="71">
                  <c:v>0.12588652482269502</c:v>
                </c:pt>
                <c:pt idx="72">
                  <c:v>0.12784588441330999</c:v>
                </c:pt>
                <c:pt idx="73">
                  <c:v>0.12780656303972365</c:v>
                </c:pt>
                <c:pt idx="74">
                  <c:v>0.12820512820512819</c:v>
                </c:pt>
                <c:pt idx="75">
                  <c:v>0.12816188870151771</c:v>
                </c:pt>
                <c:pt idx="76">
                  <c:v>0.13</c:v>
                </c:pt>
                <c:pt idx="77">
                  <c:v>0.132013201320132</c:v>
                </c:pt>
                <c:pt idx="78">
                  <c:v>0.13452188006482982</c:v>
                </c:pt>
                <c:pt idx="79">
                  <c:v>0.13643659711075443</c:v>
                </c:pt>
                <c:pt idx="80">
                  <c:v>0.13880126182965299</c:v>
                </c:pt>
                <c:pt idx="81">
                  <c:v>0.13771517996870108</c:v>
                </c:pt>
                <c:pt idx="82">
                  <c:v>0.13777089783281735</c:v>
                </c:pt>
                <c:pt idx="83">
                  <c:v>0.13608562691131498</c:v>
                </c:pt>
                <c:pt idx="84">
                  <c:v>0.13615733736762481</c:v>
                </c:pt>
                <c:pt idx="85">
                  <c:v>0.13493253373313344</c:v>
                </c:pt>
                <c:pt idx="86">
                  <c:v>0.13649851632047477</c:v>
                </c:pt>
                <c:pt idx="87">
                  <c:v>0.13469985358711567</c:v>
                </c:pt>
                <c:pt idx="88">
                  <c:v>0.13333333333333333</c:v>
                </c:pt>
                <c:pt idx="89">
                  <c:v>0.1337126600284495</c:v>
                </c:pt>
                <c:pt idx="90">
                  <c:v>0.13547486033519554</c:v>
                </c:pt>
                <c:pt idx="91">
                  <c:v>0.13434903047091412</c:v>
                </c:pt>
                <c:pt idx="92">
                  <c:v>0.13461538461538461</c:v>
                </c:pt>
                <c:pt idx="93">
                  <c:v>0.13469387755102041</c:v>
                </c:pt>
                <c:pt idx="94">
                  <c:v>0.13458950201884254</c:v>
                </c:pt>
                <c:pt idx="95">
                  <c:v>0.13448735019973368</c:v>
                </c:pt>
                <c:pt idx="96">
                  <c:v>0.13395225464190982</c:v>
                </c:pt>
                <c:pt idx="97">
                  <c:v>0.13403416557161629</c:v>
                </c:pt>
                <c:pt idx="98">
                  <c:v>0.13618677042801555</c:v>
                </c:pt>
                <c:pt idx="99">
                  <c:v>0.13444302176696543</c:v>
                </c:pt>
                <c:pt idx="100">
                  <c:v>0.13636363636363635</c:v>
                </c:pt>
                <c:pt idx="101">
                  <c:v>0.13732833957553059</c:v>
                </c:pt>
                <c:pt idx="102">
                  <c:v>0.13580246913580246</c:v>
                </c:pt>
                <c:pt idx="103">
                  <c:v>0.13586291309669524</c:v>
                </c:pt>
                <c:pt idx="104">
                  <c:v>0.13751507840772015</c:v>
                </c:pt>
                <c:pt idx="105">
                  <c:v>0.13755980861244019</c:v>
                </c:pt>
                <c:pt idx="106">
                  <c:v>0.13593380614657211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55458515283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まっつん2!$I$3:$I$109</c:f>
              <c:numCache>
                <c:formatCode>0</c:formatCode>
                <c:ptCount val="107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8100</c:v>
                </c:pt>
                <c:pt idx="39">
                  <c:v>8111.4942528735628</c:v>
                </c:pt>
                <c:pt idx="40">
                  <c:v>8063.636363636364</c:v>
                </c:pt>
                <c:pt idx="41">
                  <c:v>8151.1111111111113</c:v>
                </c:pt>
                <c:pt idx="42">
                  <c:v>8081.7204301075271</c:v>
                </c:pt>
                <c:pt idx="43">
                  <c:v>8176.2886597938141</c:v>
                </c:pt>
                <c:pt idx="44">
                  <c:v>8213.1313131313127</c:v>
                </c:pt>
                <c:pt idx="45">
                  <c:v>8383.3333333333339</c:v>
                </c:pt>
                <c:pt idx="46">
                  <c:v>8318.2692307692305</c:v>
                </c:pt>
                <c:pt idx="47">
                  <c:v>8353.3333333333339</c:v>
                </c:pt>
                <c:pt idx="48">
                  <c:v>8305.5045871559632</c:v>
                </c:pt>
                <c:pt idx="49">
                  <c:v>8366.0714285714294</c:v>
                </c:pt>
                <c:pt idx="50">
                  <c:v>8429.8245614035095</c:v>
                </c:pt>
                <c:pt idx="51">
                  <c:v>8460.8695652173919</c:v>
                </c:pt>
                <c:pt idx="52">
                  <c:v>8543.1034482758623</c:v>
                </c:pt>
                <c:pt idx="53">
                  <c:v>8626.8907563025205</c:v>
                </c:pt>
                <c:pt idx="54">
                  <c:v>8558.1967213114749</c:v>
                </c:pt>
                <c:pt idx="55">
                  <c:v>8553.6585365853662</c:v>
                </c:pt>
                <c:pt idx="56">
                  <c:v>8650.7936507936502</c:v>
                </c:pt>
                <c:pt idx="57">
                  <c:v>8638.28125</c:v>
                </c:pt>
                <c:pt idx="58">
                  <c:v>8578.0303030303039</c:v>
                </c:pt>
                <c:pt idx="59">
                  <c:v>8562.2222222222226</c:v>
                </c:pt>
                <c:pt idx="60">
                  <c:v>8480.7142857142862</c:v>
                </c:pt>
                <c:pt idx="61">
                  <c:v>8379.720279720279</c:v>
                </c:pt>
                <c:pt idx="62">
                  <c:v>8366.8965517241377</c:v>
                </c:pt>
                <c:pt idx="63">
                  <c:v>8375.5102040816328</c:v>
                </c:pt>
                <c:pt idx="64">
                  <c:v>8461.7449664429532</c:v>
                </c:pt>
                <c:pt idx="65">
                  <c:v>8508.6092715231789</c:v>
                </c:pt>
                <c:pt idx="66">
                  <c:v>8490.78947368421</c:v>
                </c:pt>
                <c:pt idx="67">
                  <c:v>8461.4379084967313</c:v>
                </c:pt>
                <c:pt idx="68">
                  <c:v>8463.461538461539</c:v>
                </c:pt>
                <c:pt idx="69">
                  <c:v>8428.6624203821648</c:v>
                </c:pt>
                <c:pt idx="70">
                  <c:v>8400</c:v>
                </c:pt>
                <c:pt idx="71">
                  <c:v>8493.75</c:v>
                </c:pt>
                <c:pt idx="72">
                  <c:v>8490.6832298136651</c:v>
                </c:pt>
                <c:pt idx="73">
                  <c:v>8430.6748466257668</c:v>
                </c:pt>
                <c:pt idx="74">
                  <c:v>8476.8292682926822</c:v>
                </c:pt>
                <c:pt idx="75">
                  <c:v>8431.9526627218929</c:v>
                </c:pt>
                <c:pt idx="76">
                  <c:v>8415.78947368421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8409.2485549132944</c:v>
                </c:pt>
                <c:pt idx="80">
                  <c:v>8336.931818181818</c:v>
                </c:pt>
                <c:pt idx="81">
                  <c:v>8320.2247191011229</c:v>
                </c:pt>
                <c:pt idx="82">
                  <c:v>8359.5628415300544</c:v>
                </c:pt>
                <c:pt idx="83">
                  <c:v>8345.405405405405</c:v>
                </c:pt>
                <c:pt idx="84">
                  <c:v>8345.405405405405</c:v>
                </c:pt>
                <c:pt idx="85">
                  <c:v>8304.8128342245982</c:v>
                </c:pt>
                <c:pt idx="86">
                  <c:v>8407.4074074074069</c:v>
                </c:pt>
                <c:pt idx="87">
                  <c:v>8382.2916666666661</c:v>
                </c:pt>
                <c:pt idx="88">
                  <c:v>8352.8205128205136</c:v>
                </c:pt>
                <c:pt idx="89">
                  <c:v>8317.5879396984928</c:v>
                </c:pt>
                <c:pt idx="90">
                  <c:v>8315.8415841584156</c:v>
                </c:pt>
                <c:pt idx="91">
                  <c:v>8426.3414634146338</c:v>
                </c:pt>
                <c:pt idx="92">
                  <c:v>8408.6956521739139</c:v>
                </c:pt>
                <c:pt idx="93">
                  <c:v>8431.9047619047615</c:v>
                </c:pt>
                <c:pt idx="94">
                  <c:v>8365.1162790697672</c:v>
                </c:pt>
                <c:pt idx="95">
                  <c:v>8335.9447004608301</c:v>
                </c:pt>
                <c:pt idx="96">
                  <c:v>8407.798165137614</c:v>
                </c:pt>
                <c:pt idx="97">
                  <c:v>8432.1266968325799</c:v>
                </c:pt>
                <c:pt idx="98">
                  <c:v>8403.6036036036039</c:v>
                </c:pt>
                <c:pt idx="99">
                  <c:v>8381.858407079646</c:v>
                </c:pt>
                <c:pt idx="100">
                  <c:v>8326.3157894736851</c:v>
                </c:pt>
                <c:pt idx="101">
                  <c:v>8340.8695652173919</c:v>
                </c:pt>
                <c:pt idx="102">
                  <c:v>8434.6153846153848</c:v>
                </c:pt>
                <c:pt idx="103">
                  <c:v>8447.8813559322025</c:v>
                </c:pt>
                <c:pt idx="104">
                  <c:v>8495</c:v>
                </c:pt>
                <c:pt idx="105">
                  <c:v>8576.7346938775518</c:v>
                </c:pt>
                <c:pt idx="106">
                  <c:v>8552.4390243902435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02.45851259987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まっつん2!$J$3:$J$109</c:f>
              <c:numCache>
                <c:formatCode>0</c:formatCode>
                <c:ptCount val="107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-7476.7441860465115</c:v>
                </c:pt>
                <c:pt idx="39">
                  <c:v>-7408.8888888888887</c:v>
                </c:pt>
                <c:pt idx="40">
                  <c:v>-7415.217391304348</c:v>
                </c:pt>
                <c:pt idx="41">
                  <c:v>-7381.25</c:v>
                </c:pt>
                <c:pt idx="42">
                  <c:v>-7318</c:v>
                </c:pt>
                <c:pt idx="43">
                  <c:v>-7801.9607843137255</c:v>
                </c:pt>
                <c:pt idx="44">
                  <c:v>-7682.6923076923076</c:v>
                </c:pt>
                <c:pt idx="45">
                  <c:v>-7682.6923076923076</c:v>
                </c:pt>
                <c:pt idx="46">
                  <c:v>-7688.6792452830186</c:v>
                </c:pt>
                <c:pt idx="47">
                  <c:v>-7688.6792452830186</c:v>
                </c:pt>
                <c:pt idx="48">
                  <c:v>-7827.272727272727</c:v>
                </c:pt>
                <c:pt idx="49">
                  <c:v>-7827.272727272727</c:v>
                </c:pt>
                <c:pt idx="50">
                  <c:v>-7757.1428571428569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-7705.2631578947367</c:v>
                </c:pt>
                <c:pt idx="57">
                  <c:v>-7642.622950819672</c:v>
                </c:pt>
                <c:pt idx="58">
                  <c:v>-7777.4193548387093</c:v>
                </c:pt>
                <c:pt idx="59">
                  <c:v>-7777.4193548387093</c:v>
                </c:pt>
                <c:pt idx="60">
                  <c:v>-7695.2380952380954</c:v>
                </c:pt>
                <c:pt idx="61">
                  <c:v>-7790.909090909091</c:v>
                </c:pt>
                <c:pt idx="62">
                  <c:v>-7790.909090909091</c:v>
                </c:pt>
                <c:pt idx="63">
                  <c:v>-7943.2835820895525</c:v>
                </c:pt>
                <c:pt idx="64">
                  <c:v>-7943.2835820895525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-8179.411764705882</c:v>
                </c:pt>
                <c:pt idx="69">
                  <c:v>-8321.7391304347821</c:v>
                </c:pt>
                <c:pt idx="70">
                  <c:v>-8270.422535211268</c:v>
                </c:pt>
                <c:pt idx="71">
                  <c:v>-8270.422535211268</c:v>
                </c:pt>
                <c:pt idx="72">
                  <c:v>-8079.4520547945203</c:v>
                </c:pt>
                <c:pt idx="73">
                  <c:v>-8078.3783783783783</c:v>
                </c:pt>
                <c:pt idx="74">
                  <c:v>-7997.333333333333</c:v>
                </c:pt>
                <c:pt idx="75">
                  <c:v>-7993.4210526315792</c:v>
                </c:pt>
                <c:pt idx="76">
                  <c:v>-7903.8461538461543</c:v>
                </c:pt>
                <c:pt idx="77">
                  <c:v>-7811.25</c:v>
                </c:pt>
                <c:pt idx="78">
                  <c:v>-8059.0361445783128</c:v>
                </c:pt>
                <c:pt idx="79">
                  <c:v>-7997.6470588235297</c:v>
                </c:pt>
                <c:pt idx="80">
                  <c:v>-7967.045454545455</c:v>
                </c:pt>
                <c:pt idx="81">
                  <c:v>-7967.045454545455</c:v>
                </c:pt>
                <c:pt idx="82">
                  <c:v>-7967.4157303370785</c:v>
                </c:pt>
                <c:pt idx="83">
                  <c:v>-7967.4157303370785</c:v>
                </c:pt>
                <c:pt idx="84">
                  <c:v>-7911.1111111111113</c:v>
                </c:pt>
                <c:pt idx="85">
                  <c:v>-7911.1111111111113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-7886.95652173913</c:v>
                </c:pt>
                <c:pt idx="89">
                  <c:v>-7886.1702127659573</c:v>
                </c:pt>
                <c:pt idx="90">
                  <c:v>-8062.8865979381444</c:v>
                </c:pt>
                <c:pt idx="91">
                  <c:v>-8062.8865979381444</c:v>
                </c:pt>
                <c:pt idx="92">
                  <c:v>-7990.8163265306121</c:v>
                </c:pt>
                <c:pt idx="93">
                  <c:v>-7936.363636363636</c:v>
                </c:pt>
                <c:pt idx="94">
                  <c:v>-7896</c:v>
                </c:pt>
                <c:pt idx="95">
                  <c:v>-7936.6336633663368</c:v>
                </c:pt>
                <c:pt idx="96">
                  <c:v>-7936.6336633663368</c:v>
                </c:pt>
                <c:pt idx="97">
                  <c:v>-7909.8039215686276</c:v>
                </c:pt>
                <c:pt idx="98">
                  <c:v>-7902.8571428571431</c:v>
                </c:pt>
                <c:pt idx="99">
                  <c:v>-7902.8571428571431</c:v>
                </c:pt>
                <c:pt idx="100">
                  <c:v>-7774.0740740740739</c:v>
                </c:pt>
                <c:pt idx="101">
                  <c:v>-7714.545454545455</c:v>
                </c:pt>
                <c:pt idx="102">
                  <c:v>-7714.545454545455</c:v>
                </c:pt>
                <c:pt idx="103">
                  <c:v>-7671.1711711711714</c:v>
                </c:pt>
                <c:pt idx="104">
                  <c:v>-7662.2807017543855</c:v>
                </c:pt>
                <c:pt idx="105">
                  <c:v>-7618.260869565217</c:v>
                </c:pt>
                <c:pt idx="106">
                  <c:v>-7618.260869565217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9.8888888888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まっつん2!$K$3:$K$109</c:f>
              <c:numCache>
                <c:formatCode>0.0%</c:formatCode>
                <c:ptCount val="10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6.6666666666666666E-2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6.4935064935064929E-2</c:v>
                </c:pt>
                <c:pt idx="78">
                  <c:v>7.6923076923076927E-2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48484848484848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まっつん2!$L$3:$L$109</c:f>
              <c:numCache>
                <c:formatCode>0.0%</c:formatCode>
                <c:ptCount val="107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0.24092409240924093</c:v>
                </c:pt>
                <c:pt idx="39">
                  <c:v>0.24600638977635783</c:v>
                </c:pt>
                <c:pt idx="40">
                  <c:v>0.24374999999999999</c:v>
                </c:pt>
                <c:pt idx="41">
                  <c:v>0.24464831804281345</c:v>
                </c:pt>
                <c:pt idx="42">
                  <c:v>0.24850299401197604</c:v>
                </c:pt>
                <c:pt idx="43">
                  <c:v>0.25072886297376096</c:v>
                </c:pt>
                <c:pt idx="44">
                  <c:v>0.25714285714285712</c:v>
                </c:pt>
                <c:pt idx="45">
                  <c:v>0.26197183098591548</c:v>
                </c:pt>
                <c:pt idx="46">
                  <c:v>0.25683060109289618</c:v>
                </c:pt>
                <c:pt idx="47">
                  <c:v>0.25336927223719674</c:v>
                </c:pt>
                <c:pt idx="48">
                  <c:v>0.25129533678756477</c:v>
                </c:pt>
                <c:pt idx="49">
                  <c:v>0.25190839694656486</c:v>
                </c:pt>
                <c:pt idx="50">
                  <c:v>0.2525</c:v>
                </c:pt>
                <c:pt idx="51">
                  <c:v>0.25245098039215685</c:v>
                </c:pt>
                <c:pt idx="52">
                  <c:v>0.25358851674641147</c:v>
                </c:pt>
                <c:pt idx="53">
                  <c:v>0.2541176470588235</c:v>
                </c:pt>
                <c:pt idx="54">
                  <c:v>0.25635103926096997</c:v>
                </c:pt>
                <c:pt idx="55">
                  <c:v>0.25740318906605925</c:v>
                </c:pt>
                <c:pt idx="56">
                  <c:v>0.25733634311512416</c:v>
                </c:pt>
                <c:pt idx="57">
                  <c:v>0.26096491228070173</c:v>
                </c:pt>
                <c:pt idx="58">
                  <c:v>0.25751072961373389</c:v>
                </c:pt>
                <c:pt idx="59">
                  <c:v>0.25420168067226889</c:v>
                </c:pt>
                <c:pt idx="60">
                  <c:v>0.25465838509316768</c:v>
                </c:pt>
                <c:pt idx="61">
                  <c:v>0.25454545454545452</c:v>
                </c:pt>
                <c:pt idx="62">
                  <c:v>0.25595238095238093</c:v>
                </c:pt>
                <c:pt idx="63">
                  <c:v>0.255859375</c:v>
                </c:pt>
                <c:pt idx="64">
                  <c:v>0.2558139534883721</c:v>
                </c:pt>
                <c:pt idx="65">
                  <c:v>0.25478927203065133</c:v>
                </c:pt>
                <c:pt idx="66">
                  <c:v>0.25235404896421848</c:v>
                </c:pt>
                <c:pt idx="67">
                  <c:v>0.25139664804469275</c:v>
                </c:pt>
                <c:pt idx="68">
                  <c:v>0.25504587155963304</c:v>
                </c:pt>
                <c:pt idx="69">
                  <c:v>0.25362318840579712</c:v>
                </c:pt>
                <c:pt idx="70">
                  <c:v>0.25223613595706618</c:v>
                </c:pt>
                <c:pt idx="71">
                  <c:v>0.25354609929078015</c:v>
                </c:pt>
                <c:pt idx="72">
                  <c:v>0.25043782837127848</c:v>
                </c:pt>
                <c:pt idx="73">
                  <c:v>0.25043177892918828</c:v>
                </c:pt>
                <c:pt idx="74">
                  <c:v>0.24957264957264957</c:v>
                </c:pt>
                <c:pt idx="75">
                  <c:v>0.25126475548060706</c:v>
                </c:pt>
                <c:pt idx="76">
                  <c:v>0.25666666666666665</c:v>
                </c:pt>
                <c:pt idx="77">
                  <c:v>0.25577557755775576</c:v>
                </c:pt>
                <c:pt idx="78">
                  <c:v>0.25283630470016205</c:v>
                </c:pt>
                <c:pt idx="79">
                  <c:v>0.2504012841091493</c:v>
                </c:pt>
                <c:pt idx="80">
                  <c:v>0.25078864353312302</c:v>
                </c:pt>
                <c:pt idx="81">
                  <c:v>0.25039123630672927</c:v>
                </c:pt>
                <c:pt idx="82">
                  <c:v>0.25386996904024767</c:v>
                </c:pt>
                <c:pt idx="83">
                  <c:v>0.25229357798165136</c:v>
                </c:pt>
                <c:pt idx="84">
                  <c:v>0.25264750378214829</c:v>
                </c:pt>
                <c:pt idx="85">
                  <c:v>0.25337331334332835</c:v>
                </c:pt>
                <c:pt idx="86">
                  <c:v>0.25370919881305637</c:v>
                </c:pt>
                <c:pt idx="87">
                  <c:v>0.25768667642752563</c:v>
                </c:pt>
                <c:pt idx="88">
                  <c:v>0.2608695652173913</c:v>
                </c:pt>
                <c:pt idx="89">
                  <c:v>0.26315789473684209</c:v>
                </c:pt>
                <c:pt idx="90">
                  <c:v>0.26396648044692739</c:v>
                </c:pt>
                <c:pt idx="91">
                  <c:v>0.26592797783933519</c:v>
                </c:pt>
                <c:pt idx="92">
                  <c:v>0.26648351648351648</c:v>
                </c:pt>
                <c:pt idx="93">
                  <c:v>0.26666666666666666</c:v>
                </c:pt>
                <c:pt idx="94">
                  <c:v>0.27052489905787347</c:v>
                </c:pt>
                <c:pt idx="95">
                  <c:v>0.27030625832223704</c:v>
                </c:pt>
                <c:pt idx="96">
                  <c:v>0.27055702917771884</c:v>
                </c:pt>
                <c:pt idx="97">
                  <c:v>0.26938239159001315</c:v>
                </c:pt>
                <c:pt idx="98">
                  <c:v>0.26848249027237353</c:v>
                </c:pt>
                <c:pt idx="99">
                  <c:v>0.26632522407170295</c:v>
                </c:pt>
                <c:pt idx="100">
                  <c:v>0.26767676767676768</c:v>
                </c:pt>
                <c:pt idx="101">
                  <c:v>0.26716604244694131</c:v>
                </c:pt>
                <c:pt idx="102">
                  <c:v>0.26790123456790121</c:v>
                </c:pt>
                <c:pt idx="103">
                  <c:v>0.27050183598531213</c:v>
                </c:pt>
                <c:pt idx="104">
                  <c:v>0.27020506634499397</c:v>
                </c:pt>
                <c:pt idx="105">
                  <c:v>0.27272727272727271</c:v>
                </c:pt>
                <c:pt idx="106">
                  <c:v>0.27304964539007093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00291120815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まっつん2!$M$3:$M$109</c:f>
              <c:numCache>
                <c:formatCode>0.0%</c:formatCode>
                <c:ptCount val="107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0.28382838283828382</c:v>
                </c:pt>
                <c:pt idx="39">
                  <c:v>0.27795527156549521</c:v>
                </c:pt>
                <c:pt idx="40">
                  <c:v>0.27500000000000002</c:v>
                </c:pt>
                <c:pt idx="41">
                  <c:v>0.27217125382262997</c:v>
                </c:pt>
                <c:pt idx="42">
                  <c:v>0.26946107784431139</c:v>
                </c:pt>
                <c:pt idx="43">
                  <c:v>0.26822157434402333</c:v>
                </c:pt>
                <c:pt idx="44">
                  <c:v>0.26285714285714284</c:v>
                </c:pt>
                <c:pt idx="45">
                  <c:v>0.25915492957746478</c:v>
                </c:pt>
                <c:pt idx="46">
                  <c:v>0.25683060109289618</c:v>
                </c:pt>
                <c:pt idx="47">
                  <c:v>0.2587601078167116</c:v>
                </c:pt>
                <c:pt idx="48">
                  <c:v>0.25647668393782386</c:v>
                </c:pt>
                <c:pt idx="49">
                  <c:v>0.2544529262086514</c:v>
                </c:pt>
                <c:pt idx="50">
                  <c:v>0.255</c:v>
                </c:pt>
                <c:pt idx="51">
                  <c:v>0.25</c:v>
                </c:pt>
                <c:pt idx="52">
                  <c:v>0.25119617224880381</c:v>
                </c:pt>
                <c:pt idx="53">
                  <c:v>0.25176470588235295</c:v>
                </c:pt>
                <c:pt idx="54">
                  <c:v>0.24942263279445728</c:v>
                </c:pt>
                <c:pt idx="55">
                  <c:v>0.24601366742596811</c:v>
                </c:pt>
                <c:pt idx="56">
                  <c:v>0.24830699774266365</c:v>
                </c:pt>
                <c:pt idx="57">
                  <c:v>0.24561403508771928</c:v>
                </c:pt>
                <c:pt idx="58">
                  <c:v>0.24678111587982832</c:v>
                </c:pt>
                <c:pt idx="59">
                  <c:v>0.24789915966386555</c:v>
                </c:pt>
                <c:pt idx="60">
                  <c:v>0.2484472049689441</c:v>
                </c:pt>
                <c:pt idx="61">
                  <c:v>0.25050505050505051</c:v>
                </c:pt>
                <c:pt idx="62">
                  <c:v>0.25198412698412698</c:v>
                </c:pt>
                <c:pt idx="63">
                  <c:v>0.251953125</c:v>
                </c:pt>
                <c:pt idx="64">
                  <c:v>0.25193798449612403</c:v>
                </c:pt>
                <c:pt idx="65">
                  <c:v>0.25287356321839083</c:v>
                </c:pt>
                <c:pt idx="66">
                  <c:v>0.25235404896421848</c:v>
                </c:pt>
                <c:pt idx="67">
                  <c:v>0.25139664804469275</c:v>
                </c:pt>
                <c:pt idx="68">
                  <c:v>0.25321100917431194</c:v>
                </c:pt>
                <c:pt idx="69">
                  <c:v>0.25362318840579712</c:v>
                </c:pt>
                <c:pt idx="70">
                  <c:v>0.25223613595706618</c:v>
                </c:pt>
                <c:pt idx="71">
                  <c:v>0.25177304964539005</c:v>
                </c:pt>
                <c:pt idx="72">
                  <c:v>0.24868651488616461</c:v>
                </c:pt>
                <c:pt idx="73">
                  <c:v>0.24525043177892919</c:v>
                </c:pt>
                <c:pt idx="74">
                  <c:v>0.24615384615384617</c:v>
                </c:pt>
                <c:pt idx="75">
                  <c:v>0.24283305227655985</c:v>
                </c:pt>
                <c:pt idx="76">
                  <c:v>0.24166666666666667</c:v>
                </c:pt>
                <c:pt idx="77">
                  <c:v>0.24092409240924093</c:v>
                </c:pt>
                <c:pt idx="78">
                  <c:v>0.23824959481361427</c:v>
                </c:pt>
                <c:pt idx="79">
                  <c:v>0.23595505617977527</c:v>
                </c:pt>
                <c:pt idx="80">
                  <c:v>0.23501577287066247</c:v>
                </c:pt>
                <c:pt idx="81">
                  <c:v>0.23630672926447574</c:v>
                </c:pt>
                <c:pt idx="82">
                  <c:v>0.23529411764705882</c:v>
                </c:pt>
                <c:pt idx="83">
                  <c:v>0.23547400611620795</c:v>
                </c:pt>
                <c:pt idx="84">
                  <c:v>0.2329803328290469</c:v>
                </c:pt>
                <c:pt idx="85">
                  <c:v>0.23088455772113944</c:v>
                </c:pt>
                <c:pt idx="86">
                  <c:v>0.2314540059347181</c:v>
                </c:pt>
                <c:pt idx="87">
                  <c:v>0.22986822840409957</c:v>
                </c:pt>
                <c:pt idx="88">
                  <c:v>0.22898550724637681</c:v>
                </c:pt>
                <c:pt idx="89">
                  <c:v>0.22759601706970128</c:v>
                </c:pt>
                <c:pt idx="90">
                  <c:v>0.22346368715083798</c:v>
                </c:pt>
                <c:pt idx="91">
                  <c:v>0.22160664819944598</c:v>
                </c:pt>
                <c:pt idx="92">
                  <c:v>0.22115384615384615</c:v>
                </c:pt>
                <c:pt idx="93">
                  <c:v>0.22040816326530613</c:v>
                </c:pt>
                <c:pt idx="94">
                  <c:v>0.21938088829071331</c:v>
                </c:pt>
                <c:pt idx="95">
                  <c:v>0.21970705725699069</c:v>
                </c:pt>
                <c:pt idx="96">
                  <c:v>0.21883289124668434</c:v>
                </c:pt>
                <c:pt idx="97">
                  <c:v>0.21944809461235218</c:v>
                </c:pt>
                <c:pt idx="98">
                  <c:v>0.21789883268482491</c:v>
                </c:pt>
                <c:pt idx="99">
                  <c:v>0.22023047375160051</c:v>
                </c:pt>
                <c:pt idx="100">
                  <c:v>0.2196969696969697</c:v>
                </c:pt>
                <c:pt idx="101">
                  <c:v>0.22097378277153559</c:v>
                </c:pt>
                <c:pt idx="102">
                  <c:v>0.21975308641975308</c:v>
                </c:pt>
                <c:pt idx="103">
                  <c:v>0.21787025703794369</c:v>
                </c:pt>
                <c:pt idx="104">
                  <c:v>0.21833534378769601</c:v>
                </c:pt>
                <c:pt idx="105">
                  <c:v>0.21770334928229665</c:v>
                </c:pt>
                <c:pt idx="106">
                  <c:v>0.21631205673758866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075691411935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まっつん2!$N$3:$N$109</c:f>
              <c:numCache>
                <c:formatCode>0.0%</c:formatCode>
                <c:ptCount val="107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0.54794520547945202</c:v>
                </c:pt>
                <c:pt idx="39">
                  <c:v>0.53246753246753242</c:v>
                </c:pt>
                <c:pt idx="40">
                  <c:v>0.52564102564102566</c:v>
                </c:pt>
                <c:pt idx="41">
                  <c:v>0.53749999999999998</c:v>
                </c:pt>
                <c:pt idx="42">
                  <c:v>0.54216867469879515</c:v>
                </c:pt>
                <c:pt idx="43">
                  <c:v>0.55813953488372092</c:v>
                </c:pt>
                <c:pt idx="44">
                  <c:v>0.55555555555555558</c:v>
                </c:pt>
                <c:pt idx="45">
                  <c:v>0.56989247311827962</c:v>
                </c:pt>
                <c:pt idx="46">
                  <c:v>0.57446808510638303</c:v>
                </c:pt>
                <c:pt idx="47">
                  <c:v>0.57446808510638303</c:v>
                </c:pt>
                <c:pt idx="48">
                  <c:v>0.57731958762886593</c:v>
                </c:pt>
                <c:pt idx="49">
                  <c:v>0.58585858585858586</c:v>
                </c:pt>
                <c:pt idx="50">
                  <c:v>0.59405940594059403</c:v>
                </c:pt>
                <c:pt idx="51">
                  <c:v>0.59223300970873782</c:v>
                </c:pt>
                <c:pt idx="52">
                  <c:v>0.58490566037735847</c:v>
                </c:pt>
                <c:pt idx="53">
                  <c:v>0.59259259259259256</c:v>
                </c:pt>
                <c:pt idx="54">
                  <c:v>0.5855855855855856</c:v>
                </c:pt>
                <c:pt idx="55">
                  <c:v>0.58407079646017701</c:v>
                </c:pt>
                <c:pt idx="56">
                  <c:v>0.58771929824561409</c:v>
                </c:pt>
                <c:pt idx="57">
                  <c:v>0.5714285714285714</c:v>
                </c:pt>
                <c:pt idx="58">
                  <c:v>0.57499999999999996</c:v>
                </c:pt>
                <c:pt idx="59">
                  <c:v>0.57851239669421484</c:v>
                </c:pt>
                <c:pt idx="60">
                  <c:v>0.58536585365853655</c:v>
                </c:pt>
                <c:pt idx="61">
                  <c:v>0.57936507936507942</c:v>
                </c:pt>
                <c:pt idx="62">
                  <c:v>0.5736434108527132</c:v>
                </c:pt>
                <c:pt idx="63">
                  <c:v>0.58015267175572516</c:v>
                </c:pt>
                <c:pt idx="64">
                  <c:v>0.58333333333333337</c:v>
                </c:pt>
                <c:pt idx="65">
                  <c:v>0.5864661654135338</c:v>
                </c:pt>
                <c:pt idx="66">
                  <c:v>0.58208955223880599</c:v>
                </c:pt>
                <c:pt idx="67">
                  <c:v>0.58518518518518514</c:v>
                </c:pt>
                <c:pt idx="68">
                  <c:v>0.58273381294964033</c:v>
                </c:pt>
                <c:pt idx="69">
                  <c:v>0.57857142857142863</c:v>
                </c:pt>
                <c:pt idx="70">
                  <c:v>0.57446808510638303</c:v>
                </c:pt>
                <c:pt idx="71">
                  <c:v>0.57342657342657344</c:v>
                </c:pt>
                <c:pt idx="72">
                  <c:v>0.57342657342657344</c:v>
                </c:pt>
                <c:pt idx="73">
                  <c:v>0.57241379310344831</c:v>
                </c:pt>
                <c:pt idx="74">
                  <c:v>0.57534246575342463</c:v>
                </c:pt>
                <c:pt idx="75">
                  <c:v>0.57718120805369133</c:v>
                </c:pt>
                <c:pt idx="76">
                  <c:v>0.5714285714285714</c:v>
                </c:pt>
                <c:pt idx="77">
                  <c:v>0.5741935483870968</c:v>
                </c:pt>
                <c:pt idx="78">
                  <c:v>0.57051282051282048</c:v>
                </c:pt>
                <c:pt idx="79">
                  <c:v>0.57051282051282048</c:v>
                </c:pt>
                <c:pt idx="80">
                  <c:v>0.55974842767295596</c:v>
                </c:pt>
                <c:pt idx="81">
                  <c:v>0.5625</c:v>
                </c:pt>
                <c:pt idx="82">
                  <c:v>0.56707317073170727</c:v>
                </c:pt>
                <c:pt idx="83">
                  <c:v>0.5696969696969697</c:v>
                </c:pt>
                <c:pt idx="84">
                  <c:v>0.56287425149700598</c:v>
                </c:pt>
                <c:pt idx="85">
                  <c:v>0.56804733727810652</c:v>
                </c:pt>
                <c:pt idx="86">
                  <c:v>0.56140350877192979</c:v>
                </c:pt>
                <c:pt idx="87">
                  <c:v>0.55681818181818177</c:v>
                </c:pt>
                <c:pt idx="88">
                  <c:v>0.56111111111111112</c:v>
                </c:pt>
                <c:pt idx="89">
                  <c:v>0.56216216216216219</c:v>
                </c:pt>
                <c:pt idx="90">
                  <c:v>0.56084656084656082</c:v>
                </c:pt>
                <c:pt idx="91">
                  <c:v>0.56770833333333337</c:v>
                </c:pt>
                <c:pt idx="92">
                  <c:v>0.57216494845360821</c:v>
                </c:pt>
                <c:pt idx="93">
                  <c:v>0.57653061224489799</c:v>
                </c:pt>
                <c:pt idx="94">
                  <c:v>0.58208955223880599</c:v>
                </c:pt>
                <c:pt idx="95">
                  <c:v>0.58128078817733986</c:v>
                </c:pt>
                <c:pt idx="96">
                  <c:v>0.58333333333333337</c:v>
                </c:pt>
                <c:pt idx="97">
                  <c:v>0.58536585365853655</c:v>
                </c:pt>
                <c:pt idx="98">
                  <c:v>0.57971014492753625</c:v>
                </c:pt>
                <c:pt idx="99">
                  <c:v>0.58173076923076927</c:v>
                </c:pt>
                <c:pt idx="100">
                  <c:v>0.57075471698113212</c:v>
                </c:pt>
                <c:pt idx="101">
                  <c:v>0.57009345794392519</c:v>
                </c:pt>
                <c:pt idx="102">
                  <c:v>0.57603686635944695</c:v>
                </c:pt>
                <c:pt idx="103">
                  <c:v>0.57466063348416285</c:v>
                </c:pt>
                <c:pt idx="104">
                  <c:v>0.5758928571428571</c:v>
                </c:pt>
                <c:pt idx="105">
                  <c:v>0.58333333333333337</c:v>
                </c:pt>
                <c:pt idx="106">
                  <c:v>0.58008658008658009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59025787965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まっつん2!$O$3:$O$109</c:f>
              <c:numCache>
                <c:formatCode>0.0%</c:formatCode>
                <c:ptCount val="107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0.39534883720930231</c:v>
                </c:pt>
                <c:pt idx="39">
                  <c:v>0.39080459770114945</c:v>
                </c:pt>
                <c:pt idx="40">
                  <c:v>0.38636363636363635</c:v>
                </c:pt>
                <c:pt idx="41">
                  <c:v>0.38202247191011235</c:v>
                </c:pt>
                <c:pt idx="42">
                  <c:v>0.3888888888888889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0.39130434782608697</c:v>
                </c:pt>
                <c:pt idx="46">
                  <c:v>0.39361702127659576</c:v>
                </c:pt>
                <c:pt idx="47">
                  <c:v>0.38541666666666669</c:v>
                </c:pt>
                <c:pt idx="48">
                  <c:v>0.39393939393939392</c:v>
                </c:pt>
                <c:pt idx="49">
                  <c:v>0.4</c:v>
                </c:pt>
                <c:pt idx="50">
                  <c:v>0.39215686274509803</c:v>
                </c:pt>
                <c:pt idx="51">
                  <c:v>0.39215686274509803</c:v>
                </c:pt>
                <c:pt idx="52">
                  <c:v>0.38095238095238093</c:v>
                </c:pt>
                <c:pt idx="53">
                  <c:v>0.38317757009345793</c:v>
                </c:pt>
                <c:pt idx="54">
                  <c:v>0.3888888888888889</c:v>
                </c:pt>
                <c:pt idx="55">
                  <c:v>0.3888888888888889</c:v>
                </c:pt>
                <c:pt idx="56">
                  <c:v>0.4</c:v>
                </c:pt>
                <c:pt idx="57">
                  <c:v>0.39285714285714285</c:v>
                </c:pt>
                <c:pt idx="58">
                  <c:v>0.40869565217391307</c:v>
                </c:pt>
                <c:pt idx="59">
                  <c:v>0.4152542372881356</c:v>
                </c:pt>
                <c:pt idx="60">
                  <c:v>0.42499999999999999</c:v>
                </c:pt>
                <c:pt idx="61">
                  <c:v>0.41935483870967744</c:v>
                </c:pt>
                <c:pt idx="62">
                  <c:v>0.41732283464566927</c:v>
                </c:pt>
                <c:pt idx="63">
                  <c:v>0.41085271317829458</c:v>
                </c:pt>
                <c:pt idx="64">
                  <c:v>0.41538461538461541</c:v>
                </c:pt>
                <c:pt idx="65">
                  <c:v>0.40909090909090912</c:v>
                </c:pt>
                <c:pt idx="66">
                  <c:v>0.41044776119402987</c:v>
                </c:pt>
                <c:pt idx="67">
                  <c:v>0.40740740740740738</c:v>
                </c:pt>
                <c:pt idx="68">
                  <c:v>0.40579710144927539</c:v>
                </c:pt>
                <c:pt idx="69">
                  <c:v>0.4</c:v>
                </c:pt>
                <c:pt idx="70">
                  <c:v>0.40425531914893614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0.40845070422535212</c:v>
                </c:pt>
                <c:pt idx="74">
                  <c:v>0.40277777777777779</c:v>
                </c:pt>
                <c:pt idx="75">
                  <c:v>0.40277777777777779</c:v>
                </c:pt>
                <c:pt idx="76">
                  <c:v>0.4</c:v>
                </c:pt>
                <c:pt idx="77">
                  <c:v>0.4041095890410959</c:v>
                </c:pt>
                <c:pt idx="78">
                  <c:v>0.40136054421768708</c:v>
                </c:pt>
                <c:pt idx="79">
                  <c:v>0.40136054421768708</c:v>
                </c:pt>
                <c:pt idx="80">
                  <c:v>0.40268456375838924</c:v>
                </c:pt>
                <c:pt idx="81">
                  <c:v>0.40397350993377484</c:v>
                </c:pt>
                <c:pt idx="82">
                  <c:v>0.40789473684210525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0.40909090909090912</c:v>
                </c:pt>
                <c:pt idx="86">
                  <c:v>0.41025641025641024</c:v>
                </c:pt>
                <c:pt idx="87">
                  <c:v>0.4140127388535032</c:v>
                </c:pt>
                <c:pt idx="88">
                  <c:v>0.41139240506329117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0.41249999999999998</c:v>
                </c:pt>
                <c:pt idx="92">
                  <c:v>0.40993788819875776</c:v>
                </c:pt>
                <c:pt idx="93">
                  <c:v>0.41358024691358025</c:v>
                </c:pt>
                <c:pt idx="94">
                  <c:v>0.41717791411042943</c:v>
                </c:pt>
                <c:pt idx="95">
                  <c:v>0.41212121212121211</c:v>
                </c:pt>
                <c:pt idx="96">
                  <c:v>0.41212121212121211</c:v>
                </c:pt>
                <c:pt idx="97">
                  <c:v>0.41317365269461076</c:v>
                </c:pt>
                <c:pt idx="98">
                  <c:v>0.4107142857142857</c:v>
                </c:pt>
                <c:pt idx="99">
                  <c:v>0.41860465116279072</c:v>
                </c:pt>
                <c:pt idx="100">
                  <c:v>0.42528735632183906</c:v>
                </c:pt>
                <c:pt idx="101">
                  <c:v>0.42372881355932202</c:v>
                </c:pt>
                <c:pt idx="102">
                  <c:v>0.42696629213483145</c:v>
                </c:pt>
                <c:pt idx="103">
                  <c:v>0.42696629213483145</c:v>
                </c:pt>
                <c:pt idx="104">
                  <c:v>0.43093922651933703</c:v>
                </c:pt>
                <c:pt idx="105">
                  <c:v>0.43406593406593408</c:v>
                </c:pt>
                <c:pt idx="106">
                  <c:v>0.43169398907103823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58617950754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まっつん2!$A$3:$A$109</c:f>
              <c:numCache>
                <c:formatCode>0\ "回"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まっつん2!$P$3:$P$109</c:f>
              <c:numCache>
                <c:formatCode>0.0%</c:formatCode>
                <c:ptCount val="107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</c:v>
                </c:pt>
                <c:pt idx="39">
                  <c:v>0.40229885057471265</c:v>
                </c:pt>
                <c:pt idx="40">
                  <c:v>0.39772727272727271</c:v>
                </c:pt>
                <c:pt idx="41">
                  <c:v>0.3888888888888889</c:v>
                </c:pt>
                <c:pt idx="42">
                  <c:v>0.39784946236559138</c:v>
                </c:pt>
                <c:pt idx="43">
                  <c:v>0.40206185567010311</c:v>
                </c:pt>
                <c:pt idx="44">
                  <c:v>0.41414141414141414</c:v>
                </c:pt>
                <c:pt idx="45">
                  <c:v>0.42156862745098039</c:v>
                </c:pt>
                <c:pt idx="46">
                  <c:v>0.41346153846153844</c:v>
                </c:pt>
                <c:pt idx="47">
                  <c:v>0.41904761904761906</c:v>
                </c:pt>
                <c:pt idx="48">
                  <c:v>0.42201834862385323</c:v>
                </c:pt>
                <c:pt idx="49">
                  <c:v>0.41964285714285715</c:v>
                </c:pt>
                <c:pt idx="50">
                  <c:v>0.42982456140350878</c:v>
                </c:pt>
                <c:pt idx="51">
                  <c:v>0.43478260869565216</c:v>
                </c:pt>
                <c:pt idx="52">
                  <c:v>0.43965517241379309</c:v>
                </c:pt>
                <c:pt idx="53">
                  <c:v>0.43697478991596639</c:v>
                </c:pt>
                <c:pt idx="54">
                  <c:v>0.4344262295081967</c:v>
                </c:pt>
                <c:pt idx="55">
                  <c:v>0.43089430894308944</c:v>
                </c:pt>
                <c:pt idx="56">
                  <c:v>0.42063492063492064</c:v>
                </c:pt>
                <c:pt idx="57">
                  <c:v>0.421875</c:v>
                </c:pt>
                <c:pt idx="58">
                  <c:v>0.41666666666666669</c:v>
                </c:pt>
                <c:pt idx="59">
                  <c:v>0.42222222222222222</c:v>
                </c:pt>
                <c:pt idx="60">
                  <c:v>0.44285714285714284</c:v>
                </c:pt>
                <c:pt idx="61">
                  <c:v>0.44055944055944057</c:v>
                </c:pt>
                <c:pt idx="62">
                  <c:v>0.43448275862068964</c:v>
                </c:pt>
                <c:pt idx="63">
                  <c:v>0.44217687074829931</c:v>
                </c:pt>
                <c:pt idx="64">
                  <c:v>0.44295302013422821</c:v>
                </c:pt>
                <c:pt idx="65">
                  <c:v>0.44370860927152317</c:v>
                </c:pt>
                <c:pt idx="66">
                  <c:v>0.44078947368421051</c:v>
                </c:pt>
                <c:pt idx="67">
                  <c:v>0.44444444444444442</c:v>
                </c:pt>
                <c:pt idx="68">
                  <c:v>0.44871794871794873</c:v>
                </c:pt>
                <c:pt idx="69">
                  <c:v>0.45222929936305734</c:v>
                </c:pt>
                <c:pt idx="70">
                  <c:v>0.44936708860759494</c:v>
                </c:pt>
                <c:pt idx="71">
                  <c:v>0.45624999999999999</c:v>
                </c:pt>
                <c:pt idx="72">
                  <c:v>0.453416149068323</c:v>
                </c:pt>
                <c:pt idx="73">
                  <c:v>0.46012269938650308</c:v>
                </c:pt>
                <c:pt idx="74">
                  <c:v>0.46341463414634149</c:v>
                </c:pt>
                <c:pt idx="75">
                  <c:v>0.44970414201183434</c:v>
                </c:pt>
                <c:pt idx="76">
                  <c:v>0.45029239766081869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0.45086705202312138</c:v>
                </c:pt>
                <c:pt idx="80">
                  <c:v>0.44886363636363635</c:v>
                </c:pt>
                <c:pt idx="81">
                  <c:v>0.449438202247191</c:v>
                </c:pt>
                <c:pt idx="82">
                  <c:v>0.44808743169398907</c:v>
                </c:pt>
                <c:pt idx="83">
                  <c:v>0.44864864864864867</c:v>
                </c:pt>
                <c:pt idx="84">
                  <c:v>0.44864864864864867</c:v>
                </c:pt>
                <c:pt idx="85">
                  <c:v>0.44385026737967914</c:v>
                </c:pt>
                <c:pt idx="86">
                  <c:v>0.44973544973544971</c:v>
                </c:pt>
                <c:pt idx="87">
                  <c:v>0.44791666666666669</c:v>
                </c:pt>
                <c:pt idx="88">
                  <c:v>0.44615384615384618</c:v>
                </c:pt>
                <c:pt idx="89">
                  <c:v>0.44221105527638194</c:v>
                </c:pt>
                <c:pt idx="90">
                  <c:v>0.4405940594059406</c:v>
                </c:pt>
                <c:pt idx="91">
                  <c:v>0.44878048780487806</c:v>
                </c:pt>
                <c:pt idx="92">
                  <c:v>0.44927536231884058</c:v>
                </c:pt>
                <c:pt idx="93">
                  <c:v>0.45714285714285713</c:v>
                </c:pt>
                <c:pt idx="94">
                  <c:v>0.46046511627906977</c:v>
                </c:pt>
                <c:pt idx="95">
                  <c:v>0.45622119815668205</c:v>
                </c:pt>
                <c:pt idx="96">
                  <c:v>0.45412844036697247</c:v>
                </c:pt>
                <c:pt idx="97">
                  <c:v>0.45248868778280543</c:v>
                </c:pt>
                <c:pt idx="98">
                  <c:v>0.45495495495495497</c:v>
                </c:pt>
                <c:pt idx="99">
                  <c:v>0.44690265486725661</c:v>
                </c:pt>
                <c:pt idx="100">
                  <c:v>0.44736842105263158</c:v>
                </c:pt>
                <c:pt idx="101">
                  <c:v>0.45217391304347826</c:v>
                </c:pt>
                <c:pt idx="102">
                  <c:v>0.45299145299145299</c:v>
                </c:pt>
                <c:pt idx="103">
                  <c:v>0.45338983050847459</c:v>
                </c:pt>
                <c:pt idx="104">
                  <c:v>0.44583333333333336</c:v>
                </c:pt>
                <c:pt idx="105">
                  <c:v>0.44897959183673469</c:v>
                </c:pt>
                <c:pt idx="106">
                  <c:v>0.44715447154471544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91763982790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7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198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199</v>
      </c>
      <c r="B3" s="29">
        <v>43737.532500000001</v>
      </c>
      <c r="C3" s="28" t="s">
        <v>128</v>
      </c>
    </row>
    <row r="4" spans="1:12" x14ac:dyDescent="0.45">
      <c r="A4" s="28" t="s">
        <v>200</v>
      </c>
      <c r="B4" s="29">
        <v>43737.532500000001</v>
      </c>
      <c r="C4" s="28" t="s">
        <v>128</v>
      </c>
    </row>
    <row r="5" spans="1:12" x14ac:dyDescent="0.45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5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206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5">
      <c r="A8" s="28" t="s">
        <v>211</v>
      </c>
      <c r="B8" s="29">
        <v>43740.96733796296</v>
      </c>
      <c r="C8" s="28" t="s">
        <v>128</v>
      </c>
    </row>
    <row r="9" spans="1:12" x14ac:dyDescent="0.45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5">
      <c r="A11" s="28" t="s">
        <v>215</v>
      </c>
      <c r="B11" s="29">
        <v>43741.028969907406</v>
      </c>
      <c r="C11" s="28" t="s">
        <v>128</v>
      </c>
    </row>
    <row r="12" spans="1:12" x14ac:dyDescent="0.45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222</v>
      </c>
      <c r="B18" s="29">
        <v>43745.374525462961</v>
      </c>
      <c r="C18" s="28" t="s">
        <v>128</v>
      </c>
    </row>
    <row r="19" spans="1:12" x14ac:dyDescent="0.45">
      <c r="A19" s="28" t="s">
        <v>223</v>
      </c>
      <c r="B19" s="29">
        <v>43750.963090277779</v>
      </c>
      <c r="C19" s="28" t="s">
        <v>128</v>
      </c>
    </row>
    <row r="20" spans="1:12" x14ac:dyDescent="0.45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225</v>
      </c>
      <c r="B21" s="29">
        <v>43750.963090277779</v>
      </c>
      <c r="C21" s="28" t="s">
        <v>128</v>
      </c>
    </row>
    <row r="22" spans="1:12" x14ac:dyDescent="0.45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227</v>
      </c>
      <c r="B23" s="29">
        <v>43750.963090277779</v>
      </c>
      <c r="C23" s="28" t="s">
        <v>128</v>
      </c>
    </row>
    <row r="24" spans="1:12" x14ac:dyDescent="0.45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5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5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5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5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5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5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246</v>
      </c>
      <c r="B41" s="29">
        <v>43766.037835648145</v>
      </c>
      <c r="C41" s="28" t="s">
        <v>128</v>
      </c>
    </row>
    <row r="42" spans="1:9" x14ac:dyDescent="0.45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5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252</v>
      </c>
      <c r="B47" s="29">
        <v>43770.815983796296</v>
      </c>
      <c r="C47" s="28" t="s">
        <v>128</v>
      </c>
    </row>
    <row r="48" spans="1:9" x14ac:dyDescent="0.45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5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255</v>
      </c>
      <c r="B50" s="29">
        <v>43773.722453703704</v>
      </c>
      <c r="C50" s="28" t="s">
        <v>128</v>
      </c>
    </row>
    <row r="51" spans="1:9" x14ac:dyDescent="0.45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258</v>
      </c>
      <c r="B53" s="29">
        <v>43781.637499999997</v>
      </c>
      <c r="C53" s="28" t="s">
        <v>128</v>
      </c>
    </row>
    <row r="54" spans="1:9" x14ac:dyDescent="0.45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261</v>
      </c>
      <c r="B56" s="29">
        <v>43783.744745370372</v>
      </c>
      <c r="C56" s="28" t="s">
        <v>128</v>
      </c>
    </row>
    <row r="57" spans="1:9" x14ac:dyDescent="0.45">
      <c r="A57" s="28" t="s">
        <v>262</v>
      </c>
      <c r="B57" s="29">
        <v>43784.974247685182</v>
      </c>
      <c r="C57" s="28" t="s">
        <v>128</v>
      </c>
    </row>
    <row r="58" spans="1:9" x14ac:dyDescent="0.45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5">
      <c r="A60" s="28" t="s">
        <v>179</v>
      </c>
      <c r="B60" s="29">
        <v>43787.745706018519</v>
      </c>
      <c r="C60" s="28" t="s">
        <v>128</v>
      </c>
    </row>
    <row r="61" spans="1:9" x14ac:dyDescent="0.45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7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7" x14ac:dyDescent="0.45">
      <c r="A66" s="28" t="s">
        <v>269</v>
      </c>
      <c r="B66" s="29">
        <v>43795.03466435185</v>
      </c>
      <c r="C66" s="28" t="s">
        <v>128</v>
      </c>
    </row>
    <row r="67" spans="1:7" x14ac:dyDescent="0.45">
      <c r="A67" s="28" t="s">
        <v>270</v>
      </c>
      <c r="B67" s="29">
        <v>43798.738437499997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660</v>
      </c>
    </row>
    <row r="2" spans="1:2" x14ac:dyDescent="0.45">
      <c r="A2" t="s">
        <v>161</v>
      </c>
      <c r="B2">
        <v>59</v>
      </c>
    </row>
    <row r="3" spans="1:2" x14ac:dyDescent="0.45">
      <c r="A3" t="s">
        <v>126</v>
      </c>
      <c r="B3">
        <v>137</v>
      </c>
    </row>
    <row r="4" spans="1:2" x14ac:dyDescent="0.45">
      <c r="A4" t="s">
        <v>127</v>
      </c>
      <c r="B4">
        <v>123</v>
      </c>
    </row>
    <row r="5" spans="1:2" x14ac:dyDescent="0.45">
      <c r="A5" t="s">
        <v>172</v>
      </c>
      <c r="B5">
        <v>75</v>
      </c>
    </row>
    <row r="6" spans="1:2" x14ac:dyDescent="0.45">
      <c r="A6" t="s">
        <v>170</v>
      </c>
      <c r="B6">
        <v>85</v>
      </c>
    </row>
    <row r="7" spans="1:2" x14ac:dyDescent="0.45">
      <c r="A7" t="s">
        <v>171</v>
      </c>
      <c r="B7">
        <v>106</v>
      </c>
    </row>
    <row r="8" spans="1:2" x14ac:dyDescent="0.45">
      <c r="A8" t="s">
        <v>202</v>
      </c>
      <c r="B8">
        <v>42</v>
      </c>
    </row>
    <row r="9" spans="1:2" x14ac:dyDescent="0.45">
      <c r="A9" t="s">
        <v>201</v>
      </c>
      <c r="B9">
        <v>24</v>
      </c>
    </row>
    <row r="10" spans="1:2" x14ac:dyDescent="0.45">
      <c r="A10" t="s">
        <v>212</v>
      </c>
      <c r="B10">
        <v>7</v>
      </c>
    </row>
    <row r="11" spans="1:2" x14ac:dyDescent="0.45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194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0.99380022007477198</v>
      </c>
      <c r="G2" s="167"/>
      <c r="H2" s="166">
        <v>0.87783022595224125</v>
      </c>
      <c r="I2" s="167"/>
      <c r="J2" s="166">
        <v>0.92841843349637554</v>
      </c>
      <c r="K2" s="167"/>
      <c r="L2" s="166">
        <v>0.83277216155497513</v>
      </c>
      <c r="M2" s="167"/>
      <c r="N2" s="166">
        <v>0.53747449623281551</v>
      </c>
      <c r="O2" s="167"/>
      <c r="P2" s="166">
        <v>0.46732487228152719</v>
      </c>
      <c r="Q2" s="167"/>
      <c r="R2" s="166">
        <v>0.14021209063819431</v>
      </c>
      <c r="S2" s="167"/>
      <c r="T2" s="166">
        <v>0.56658979711072821</v>
      </c>
      <c r="U2" s="167"/>
      <c r="V2" s="166">
        <v>0.51533942095684726</v>
      </c>
      <c r="W2" s="167"/>
      <c r="X2" s="166">
        <v>9.3280390293978051E-3</v>
      </c>
      <c r="Y2" s="167"/>
      <c r="Z2" s="166">
        <v>0.43095452316237298</v>
      </c>
      <c r="AA2" s="167"/>
      <c r="AB2" s="166">
        <v>0.29337969077044163</v>
      </c>
      <c r="AC2" s="167"/>
      <c r="AD2" s="166">
        <v>-2.8692923205660753E-3</v>
      </c>
      <c r="AE2" s="167"/>
      <c r="AF2" s="166">
        <v>0.78164238177211609</v>
      </c>
      <c r="AG2" s="167"/>
    </row>
    <row r="3" spans="1:33" x14ac:dyDescent="0.45">
      <c r="A3" s="70">
        <v>1</v>
      </c>
      <c r="B3" s="71" t="s">
        <v>126</v>
      </c>
      <c r="C3" s="72">
        <v>1129.8000000000004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10893.229166666666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0.31304347826086959</v>
      </c>
      <c r="X3" s="73" t="s">
        <v>212</v>
      </c>
      <c r="Y3" s="76">
        <v>0.35483870967741937</v>
      </c>
      <c r="Z3" s="73" t="s">
        <v>126</v>
      </c>
      <c r="AA3" s="76">
        <v>0.59333333333333338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200.20000000000013</v>
      </c>
      <c r="D4" s="81" t="s">
        <v>126</v>
      </c>
      <c r="E4" s="93">
        <v>8.2467153284671557</v>
      </c>
      <c r="F4" s="81" t="s">
        <v>126</v>
      </c>
      <c r="G4" s="82">
        <v>1.7883211678832116</v>
      </c>
      <c r="H4" s="81" t="s">
        <v>126</v>
      </c>
      <c r="I4" s="83">
        <v>0.45985401459854014</v>
      </c>
      <c r="J4" s="81" t="s">
        <v>126</v>
      </c>
      <c r="K4" s="83">
        <v>0.24817518248175183</v>
      </c>
      <c r="L4" s="81" t="s">
        <v>126</v>
      </c>
      <c r="M4" s="84">
        <v>0.3399103139013453</v>
      </c>
      <c r="N4" s="81" t="s">
        <v>126</v>
      </c>
      <c r="O4" s="84">
        <v>0.13183856502242153</v>
      </c>
      <c r="P4" s="81" t="s">
        <v>171</v>
      </c>
      <c r="Q4" s="85">
        <v>8552.4390243902435</v>
      </c>
      <c r="R4" s="81" t="s">
        <v>172</v>
      </c>
      <c r="S4" s="85">
        <v>-7576.1904761904761</v>
      </c>
      <c r="T4" s="81" t="s">
        <v>126</v>
      </c>
      <c r="U4" s="83">
        <v>4.3795620437956206E-2</v>
      </c>
      <c r="V4" s="81" t="s">
        <v>172</v>
      </c>
      <c r="W4" s="84">
        <v>0.28526148969889065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0.47983870967741937</v>
      </c>
      <c r="AD4" s="81" t="s">
        <v>170</v>
      </c>
      <c r="AE4" s="84">
        <v>0.50520833333333337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127</v>
      </c>
      <c r="C5" s="80">
        <v>154.4999999999998</v>
      </c>
      <c r="D5" s="81" t="s">
        <v>170</v>
      </c>
      <c r="E5" s="93">
        <v>2.3552941176470603</v>
      </c>
      <c r="F5" s="81" t="s">
        <v>127</v>
      </c>
      <c r="G5" s="82">
        <v>1.934959349593496</v>
      </c>
      <c r="H5" s="81" t="s">
        <v>212</v>
      </c>
      <c r="I5" s="83">
        <v>0.42857142857142855</v>
      </c>
      <c r="J5" s="81" t="s">
        <v>171</v>
      </c>
      <c r="K5" s="83">
        <v>0.27358490566037735</v>
      </c>
      <c r="L5" s="81" t="s">
        <v>127</v>
      </c>
      <c r="M5" s="84">
        <v>0.30984555984555984</v>
      </c>
      <c r="N5" s="81" t="s">
        <v>171</v>
      </c>
      <c r="O5" s="84">
        <v>0.13593380614657211</v>
      </c>
      <c r="P5" s="81" t="s">
        <v>141</v>
      </c>
      <c r="Q5" s="85">
        <v>8502.4585125998765</v>
      </c>
      <c r="R5" s="81" t="s">
        <v>171</v>
      </c>
      <c r="S5" s="85">
        <v>-7618.260869565217</v>
      </c>
      <c r="T5" s="81" t="s">
        <v>161</v>
      </c>
      <c r="U5" s="83">
        <v>5.0847457627118647E-2</v>
      </c>
      <c r="V5" s="81" t="s">
        <v>171</v>
      </c>
      <c r="W5" s="84">
        <v>0.27304964539007093</v>
      </c>
      <c r="X5" s="81" t="s">
        <v>127</v>
      </c>
      <c r="Y5" s="84">
        <v>0.31274131274131273</v>
      </c>
      <c r="Z5" s="81" t="s">
        <v>171</v>
      </c>
      <c r="AA5" s="84">
        <v>0.58008658008658009</v>
      </c>
      <c r="AB5" s="81" t="s">
        <v>171</v>
      </c>
      <c r="AC5" s="84">
        <v>0.43169398907103823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171</v>
      </c>
      <c r="C6" s="80">
        <v>86.299999999999983</v>
      </c>
      <c r="D6" s="81" t="s">
        <v>127</v>
      </c>
      <c r="E6" s="93">
        <v>1.2560975609756082</v>
      </c>
      <c r="F6" s="81" t="s">
        <v>170</v>
      </c>
      <c r="G6" s="82">
        <v>1.9529411764705882</v>
      </c>
      <c r="H6" s="81" t="s">
        <v>170</v>
      </c>
      <c r="I6" s="83">
        <v>0.37647058823529411</v>
      </c>
      <c r="J6" s="81" t="s">
        <v>127</v>
      </c>
      <c r="K6" s="83">
        <v>0.28455284552845528</v>
      </c>
      <c r="L6" s="81" t="s">
        <v>141</v>
      </c>
      <c r="M6" s="84">
        <v>0.29603347889374088</v>
      </c>
      <c r="N6" s="81" t="s">
        <v>161</v>
      </c>
      <c r="O6" s="84">
        <v>0.15370018975332067</v>
      </c>
      <c r="P6" s="81" t="s">
        <v>201</v>
      </c>
      <c r="Q6" s="85">
        <v>8456.4516129032254</v>
      </c>
      <c r="R6" s="81" t="s">
        <v>161</v>
      </c>
      <c r="S6" s="85">
        <v>-7661.7283950617284</v>
      </c>
      <c r="T6" s="81" t="s">
        <v>171</v>
      </c>
      <c r="U6" s="83">
        <v>7.5471698113207544E-2</v>
      </c>
      <c r="V6" s="81" t="s">
        <v>126</v>
      </c>
      <c r="W6" s="84">
        <v>0.26905829596412556</v>
      </c>
      <c r="X6" s="81" t="s">
        <v>161</v>
      </c>
      <c r="Y6" s="84">
        <v>0.23908918406072105</v>
      </c>
      <c r="Z6" s="81" t="s">
        <v>172</v>
      </c>
      <c r="AA6" s="84">
        <v>0.57222222222222219</v>
      </c>
      <c r="AB6" s="81" t="s">
        <v>141</v>
      </c>
      <c r="AC6" s="84">
        <v>0.41858617950754567</v>
      </c>
      <c r="AD6" s="81" t="s">
        <v>172</v>
      </c>
      <c r="AE6" s="84">
        <v>0.46590909090909088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236</v>
      </c>
      <c r="C7" s="80">
        <v>26.2</v>
      </c>
      <c r="D7" s="81" t="s">
        <v>171</v>
      </c>
      <c r="E7" s="93">
        <v>0.81415094339622629</v>
      </c>
      <c r="F7" s="81" t="s">
        <v>141</v>
      </c>
      <c r="G7" s="82">
        <v>1.9954545454545454</v>
      </c>
      <c r="H7" s="81" t="s">
        <v>201</v>
      </c>
      <c r="I7" s="83">
        <v>0.375</v>
      </c>
      <c r="J7" s="81" t="s">
        <v>170</v>
      </c>
      <c r="K7" s="83">
        <v>0.32941176470588235</v>
      </c>
      <c r="L7" s="81" t="s">
        <v>171</v>
      </c>
      <c r="M7" s="84">
        <v>0.29078014184397161</v>
      </c>
      <c r="N7" s="81" t="s">
        <v>141</v>
      </c>
      <c r="O7" s="84">
        <v>0.16375545851528384</v>
      </c>
      <c r="P7" s="81" t="s">
        <v>127</v>
      </c>
      <c r="Q7" s="85">
        <v>8423.0529595015578</v>
      </c>
      <c r="R7" s="81" t="s">
        <v>126</v>
      </c>
      <c r="S7" s="85">
        <v>-7783.6734693877552</v>
      </c>
      <c r="T7" s="81" t="s">
        <v>172</v>
      </c>
      <c r="U7" s="83">
        <v>0.08</v>
      </c>
      <c r="V7" s="81" t="s">
        <v>236</v>
      </c>
      <c r="W7" s="84">
        <v>0.26666666666666666</v>
      </c>
      <c r="X7" s="81" t="s">
        <v>141</v>
      </c>
      <c r="Y7" s="84">
        <v>0.22907569141193596</v>
      </c>
      <c r="Z7" s="81" t="s">
        <v>141</v>
      </c>
      <c r="AA7" s="84">
        <v>0.55659025787965621</v>
      </c>
      <c r="AB7" s="81" t="s">
        <v>202</v>
      </c>
      <c r="AC7" s="84">
        <v>0.41333333333333333</v>
      </c>
      <c r="AD7" s="81" t="s">
        <v>171</v>
      </c>
      <c r="AE7" s="84">
        <v>0.44715447154471544</v>
      </c>
      <c r="AF7" s="81" t="s">
        <v>201</v>
      </c>
      <c r="AG7" s="88">
        <v>95200</v>
      </c>
    </row>
    <row r="8" spans="1:33" x14ac:dyDescent="0.45">
      <c r="A8" s="78">
        <v>6</v>
      </c>
      <c r="B8" s="79" t="s">
        <v>201</v>
      </c>
      <c r="C8" s="80">
        <v>2.1999999999999957</v>
      </c>
      <c r="D8" s="81" t="s">
        <v>201</v>
      </c>
      <c r="E8" s="93">
        <v>9.1666666666666494E-2</v>
      </c>
      <c r="F8" s="81" t="s">
        <v>201</v>
      </c>
      <c r="G8" s="82">
        <v>2</v>
      </c>
      <c r="H8" s="81" t="s">
        <v>127</v>
      </c>
      <c r="I8" s="83">
        <v>0.34959349593495936</v>
      </c>
      <c r="J8" s="81" t="s">
        <v>141</v>
      </c>
      <c r="K8" s="83">
        <v>0.33181818181818185</v>
      </c>
      <c r="L8" s="81" t="s">
        <v>172</v>
      </c>
      <c r="M8" s="84">
        <v>0.27892234548335976</v>
      </c>
      <c r="N8" s="81" t="s">
        <v>201</v>
      </c>
      <c r="O8" s="84">
        <v>0.16593886462882096</v>
      </c>
      <c r="P8" s="81" t="s">
        <v>126</v>
      </c>
      <c r="Q8" s="85">
        <v>8282.0580474934031</v>
      </c>
      <c r="R8" s="81" t="s">
        <v>141</v>
      </c>
      <c r="S8" s="85">
        <v>-7859.8888888888887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0.22242152466367712</v>
      </c>
      <c r="Z8" s="81" t="s">
        <v>170</v>
      </c>
      <c r="AA8" s="84">
        <v>0.55092592592592593</v>
      </c>
      <c r="AB8" s="81" t="s">
        <v>170</v>
      </c>
      <c r="AC8" s="84">
        <v>0.40677966101694918</v>
      </c>
      <c r="AD8" s="81" t="s">
        <v>141</v>
      </c>
      <c r="AE8" s="84">
        <v>0.44191763982790411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-4.4075854077618715E-14</v>
      </c>
      <c r="D9" s="81" t="s">
        <v>141</v>
      </c>
      <c r="E9" s="93">
        <v>-6.6781597087301088E-17</v>
      </c>
      <c r="F9" s="81" t="s">
        <v>171</v>
      </c>
      <c r="G9" s="82">
        <v>2.0094339622641511</v>
      </c>
      <c r="H9" s="81" t="s">
        <v>141</v>
      </c>
      <c r="I9" s="83">
        <v>0.33636363636363636</v>
      </c>
      <c r="J9" s="81" t="s">
        <v>201</v>
      </c>
      <c r="K9" s="83">
        <v>0.375</v>
      </c>
      <c r="L9" s="81" t="s">
        <v>170</v>
      </c>
      <c r="M9" s="84">
        <v>0.27826086956521739</v>
      </c>
      <c r="N9" s="81" t="s">
        <v>170</v>
      </c>
      <c r="O9" s="84">
        <v>0.17826086956521739</v>
      </c>
      <c r="P9" s="81" t="s">
        <v>172</v>
      </c>
      <c r="Q9" s="85">
        <v>8047.727272727273</v>
      </c>
      <c r="R9" s="81" t="s">
        <v>127</v>
      </c>
      <c r="S9" s="85">
        <v>-7989.6373056994817</v>
      </c>
      <c r="T9" s="81" t="s">
        <v>141</v>
      </c>
      <c r="U9" s="83">
        <v>9.8484848484848481E-2</v>
      </c>
      <c r="V9" s="81" t="s">
        <v>141</v>
      </c>
      <c r="W9" s="84">
        <v>0.25400291120815138</v>
      </c>
      <c r="X9" s="81" t="s">
        <v>202</v>
      </c>
      <c r="Y9" s="84">
        <v>0.21739130434782608</v>
      </c>
      <c r="Z9" s="81" t="s">
        <v>202</v>
      </c>
      <c r="AA9" s="84">
        <v>0.53424657534246578</v>
      </c>
      <c r="AB9" s="81" t="s">
        <v>172</v>
      </c>
      <c r="AC9" s="84">
        <v>0.4065040650406504</v>
      </c>
      <c r="AD9" s="81" t="s">
        <v>126</v>
      </c>
      <c r="AE9" s="84">
        <v>0.42744063324538256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212</v>
      </c>
      <c r="C10" s="80">
        <v>-104.80000000000001</v>
      </c>
      <c r="D10" s="81" t="s">
        <v>172</v>
      </c>
      <c r="E10" s="93">
        <v>-6.5386666666666668</v>
      </c>
      <c r="F10" s="81" t="s">
        <v>212</v>
      </c>
      <c r="G10" s="82">
        <v>2.1428571428571428</v>
      </c>
      <c r="H10" s="81" t="s">
        <v>161</v>
      </c>
      <c r="I10" s="83">
        <v>0.32203389830508472</v>
      </c>
      <c r="J10" s="81" t="s">
        <v>172</v>
      </c>
      <c r="K10" s="83">
        <v>0.38666666666666666</v>
      </c>
      <c r="L10" s="81" t="s">
        <v>161</v>
      </c>
      <c r="M10" s="84">
        <v>0.27134724857685011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236</v>
      </c>
      <c r="S10" s="85">
        <v>-8000</v>
      </c>
      <c r="T10" s="81" t="s">
        <v>170</v>
      </c>
      <c r="U10" s="83">
        <v>0.12941176470588237</v>
      </c>
      <c r="V10" s="81" t="s">
        <v>212</v>
      </c>
      <c r="W10" s="84">
        <v>0.24193548387096775</v>
      </c>
      <c r="X10" s="81" t="s">
        <v>171</v>
      </c>
      <c r="Y10" s="84">
        <v>0.21631205673758866</v>
      </c>
      <c r="Z10" s="81" t="s">
        <v>212</v>
      </c>
      <c r="AA10" s="84">
        <v>0.53333333333333333</v>
      </c>
      <c r="AB10" s="81" t="s">
        <v>161</v>
      </c>
      <c r="AC10" s="84">
        <v>0.40476190476190477</v>
      </c>
      <c r="AD10" s="81" t="s">
        <v>127</v>
      </c>
      <c r="AE10" s="84">
        <v>0.40498442367601245</v>
      </c>
      <c r="AF10" s="81" t="s">
        <v>202</v>
      </c>
      <c r="AG10" s="88">
        <v>85100</v>
      </c>
    </row>
    <row r="11" spans="1:33" x14ac:dyDescent="0.45">
      <c r="A11" s="78">
        <v>9</v>
      </c>
      <c r="B11" s="79" t="s">
        <v>161</v>
      </c>
      <c r="C11" s="80">
        <v>-399.2000000000001</v>
      </c>
      <c r="D11" s="81" t="s">
        <v>161</v>
      </c>
      <c r="E11" s="93">
        <v>-6.7661016949152559</v>
      </c>
      <c r="F11" s="81" t="s">
        <v>161</v>
      </c>
      <c r="G11" s="82">
        <v>2.152542372881356</v>
      </c>
      <c r="H11" s="81" t="s">
        <v>171</v>
      </c>
      <c r="I11" s="83">
        <v>0.26415094339622641</v>
      </c>
      <c r="J11" s="81" t="s">
        <v>161</v>
      </c>
      <c r="K11" s="83">
        <v>0.47457627118644069</v>
      </c>
      <c r="L11" s="81" t="s">
        <v>201</v>
      </c>
      <c r="M11" s="84">
        <v>0.27074235807860264</v>
      </c>
      <c r="N11" s="81" t="s">
        <v>127</v>
      </c>
      <c r="O11" s="84">
        <v>0.18629343629343628</v>
      </c>
      <c r="P11" s="81" t="s">
        <v>212</v>
      </c>
      <c r="Q11" s="85">
        <v>7473.333333333333</v>
      </c>
      <c r="R11" s="81" t="s">
        <v>202</v>
      </c>
      <c r="S11" s="85">
        <v>-8243.75</v>
      </c>
      <c r="T11" s="81" t="s">
        <v>127</v>
      </c>
      <c r="U11" s="83">
        <v>0.13008130081300814</v>
      </c>
      <c r="V11" s="81" t="s">
        <v>127</v>
      </c>
      <c r="W11" s="84">
        <v>0.22876447876447875</v>
      </c>
      <c r="X11" s="81" t="s">
        <v>172</v>
      </c>
      <c r="Y11" s="84">
        <v>0.19492868462757529</v>
      </c>
      <c r="Z11" s="81" t="s">
        <v>127</v>
      </c>
      <c r="AA11" s="84">
        <v>0.50210970464135019</v>
      </c>
      <c r="AB11" s="81" t="s">
        <v>127</v>
      </c>
      <c r="AC11" s="84">
        <v>0.3888888888888889</v>
      </c>
      <c r="AD11" s="81" t="s">
        <v>161</v>
      </c>
      <c r="AE11" s="84">
        <v>0.38461538461538464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-490.40000000000003</v>
      </c>
      <c r="D12" s="81" t="s">
        <v>202</v>
      </c>
      <c r="E12" s="93">
        <v>-14.400000000000002</v>
      </c>
      <c r="F12" s="81" t="s">
        <v>172</v>
      </c>
      <c r="G12" s="82">
        <v>2.16</v>
      </c>
      <c r="H12" s="81" t="s">
        <v>172</v>
      </c>
      <c r="I12" s="83">
        <v>0.22666666666666666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170</v>
      </c>
      <c r="S12" s="85">
        <v>-8391.0569105691065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0.17101449275362318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5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0.19968304278922344</v>
      </c>
      <c r="P13" s="81" t="s">
        <v>161</v>
      </c>
      <c r="Q13" s="85">
        <v>7116.0839160839159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0.14990512333965844</v>
      </c>
      <c r="X13" s="81" t="s">
        <v>201</v>
      </c>
      <c r="Y13" s="84">
        <v>0.15283842794759825</v>
      </c>
      <c r="Z13" s="81" t="s">
        <v>161</v>
      </c>
      <c r="AA13" s="84">
        <v>0.49367088607594939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6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660</v>
      </c>
      <c r="C2" s="155"/>
      <c r="E2" s="58" t="s">
        <v>66</v>
      </c>
      <c r="F2" s="55" t="s">
        <v>22</v>
      </c>
      <c r="G2" s="43">
        <v>1243</v>
      </c>
      <c r="H2" s="128">
        <f>IF(B$15=0,0,G2/B$15)</f>
        <v>0.76398279041180084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-22.935779816513762</v>
      </c>
      <c r="P2" s="114">
        <v>654</v>
      </c>
      <c r="Q2" s="98">
        <v>-15000</v>
      </c>
    </row>
    <row r="3" spans="1:17" x14ac:dyDescent="0.45">
      <c r="A3" s="51" t="s">
        <v>8</v>
      </c>
      <c r="B3" s="156">
        <v>5496</v>
      </c>
      <c r="C3" s="157"/>
      <c r="E3" s="59" t="s">
        <v>72</v>
      </c>
      <c r="F3" s="56" t="s">
        <v>27</v>
      </c>
      <c r="G3" s="44">
        <v>878</v>
      </c>
      <c r="H3" s="129">
        <f>IF(B$15=0,0,G3/B$15)</f>
        <v>0.53964351567301783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9.3457943925233646</v>
      </c>
      <c r="P3" s="115">
        <v>642</v>
      </c>
      <c r="Q3" s="99">
        <v>6000</v>
      </c>
    </row>
    <row r="4" spans="1:17" x14ac:dyDescent="0.45">
      <c r="A4" s="51" t="s">
        <v>6</v>
      </c>
      <c r="B4" s="158">
        <v>-4.4075854077618715E-14</v>
      </c>
      <c r="C4" s="159"/>
      <c r="E4" s="59" t="s">
        <v>64</v>
      </c>
      <c r="F4" s="56" t="s">
        <v>20</v>
      </c>
      <c r="G4" s="44">
        <v>745</v>
      </c>
      <c r="H4" s="129">
        <f>IF(B$15=0,0,G4/B$15)</f>
        <v>0.45789797172710511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-13.333333333333334</v>
      </c>
      <c r="P4" s="115">
        <v>600</v>
      </c>
      <c r="Q4" s="99">
        <v>-8000</v>
      </c>
    </row>
    <row r="5" spans="1:17" x14ac:dyDescent="0.45">
      <c r="A5" s="51" t="s">
        <v>7</v>
      </c>
      <c r="B5" s="160">
        <f>IF(B$2=0,0,B$4/B$2)</f>
        <v>-6.6781597087301088E-17</v>
      </c>
      <c r="C5" s="161"/>
      <c r="E5" s="59" t="s">
        <v>166</v>
      </c>
      <c r="F5" s="56" t="s">
        <v>167</v>
      </c>
      <c r="G5" s="44">
        <v>659</v>
      </c>
      <c r="H5" s="129">
        <f>IF(B$15=0,0,G5/B$15)</f>
        <v>0.40503995082974803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8.7719298245614041</v>
      </c>
      <c r="P5" s="115">
        <v>570</v>
      </c>
      <c r="Q5" s="99">
        <v>5000</v>
      </c>
    </row>
    <row r="6" spans="1:17" x14ac:dyDescent="0.45">
      <c r="A6" s="51" t="s">
        <v>1</v>
      </c>
      <c r="B6" s="150">
        <f>IF(B$2=0,0,(B$7*1+B$8*2+B$9*3)/B$2)</f>
        <v>1.9954545454545454</v>
      </c>
      <c r="C6" s="151"/>
      <c r="E6" s="59" t="s">
        <v>68</v>
      </c>
      <c r="F6" s="56" t="s">
        <v>12</v>
      </c>
      <c r="G6" s="44">
        <v>510</v>
      </c>
      <c r="H6" s="129">
        <f>IF(B$15=0,0,G6/B$15)</f>
        <v>0.31346035648432696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11.494252873563218</v>
      </c>
      <c r="P6" s="115">
        <v>522</v>
      </c>
      <c r="Q6" s="99">
        <v>6000</v>
      </c>
    </row>
    <row r="7" spans="1:17" x14ac:dyDescent="0.45">
      <c r="A7" s="51" t="s">
        <v>2</v>
      </c>
      <c r="B7" s="44">
        <v>222</v>
      </c>
      <c r="C7" s="37">
        <f t="shared" ref="C7:C10" si="1">IF(B$2=0,0,B7/B$2)</f>
        <v>0.33636363636363636</v>
      </c>
      <c r="E7" s="59" t="s">
        <v>67</v>
      </c>
      <c r="F7" s="56" t="s">
        <v>23</v>
      </c>
      <c r="G7" s="44">
        <v>465</v>
      </c>
      <c r="H7" s="129">
        <f>IF(B$15=0,0,G7/B$15)</f>
        <v>0.28580208973570992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13.698630136986301</v>
      </c>
      <c r="P7" s="116">
        <v>438</v>
      </c>
      <c r="Q7" s="100">
        <v>6000</v>
      </c>
    </row>
    <row r="8" spans="1:17" x14ac:dyDescent="0.45">
      <c r="A8" s="51" t="s">
        <v>3</v>
      </c>
      <c r="B8" s="44">
        <v>219</v>
      </c>
      <c r="C8" s="37">
        <f t="shared" si="1"/>
        <v>0.33181818181818185</v>
      </c>
      <c r="E8" s="59" t="s">
        <v>69</v>
      </c>
      <c r="F8" s="56" t="s">
        <v>24</v>
      </c>
      <c r="G8" s="44">
        <v>240</v>
      </c>
      <c r="H8" s="129">
        <f>IF(B$15=0,0,G8/B$15)</f>
        <v>0.14751075599262448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219</v>
      </c>
      <c r="C9" s="38">
        <f t="shared" si="1"/>
        <v>0.33181818181818185</v>
      </c>
      <c r="E9" s="59" t="s">
        <v>89</v>
      </c>
      <c r="F9" s="56" t="s">
        <v>44</v>
      </c>
      <c r="G9" s="44">
        <v>218</v>
      </c>
      <c r="H9" s="129">
        <f>IF(B$15=0,0,G9/B$15)</f>
        <v>0.13398893669330056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65</v>
      </c>
      <c r="C10" s="40">
        <f t="shared" si="1"/>
        <v>9.8484848484848481E-2</v>
      </c>
      <c r="E10" s="59" t="s">
        <v>65</v>
      </c>
      <c r="F10" s="56" t="s">
        <v>21</v>
      </c>
      <c r="G10" s="44">
        <v>170</v>
      </c>
      <c r="H10" s="129">
        <f>IF(B$15=0,0,G10/B$15)</f>
        <v>0.10448678549477566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-1.5260273972602747</v>
      </c>
      <c r="P10" s="114">
        <v>219</v>
      </c>
      <c r="Q10" s="102">
        <v>-334.20000000000016</v>
      </c>
    </row>
    <row r="11" spans="1:17" x14ac:dyDescent="0.45">
      <c r="A11" s="54" t="s">
        <v>121</v>
      </c>
      <c r="B11" s="47">
        <v>1396</v>
      </c>
      <c r="C11" s="42">
        <f>IF(B$3=0,0,B11/B$3)</f>
        <v>0.25400291120815138</v>
      </c>
      <c r="E11" s="59" t="s">
        <v>70</v>
      </c>
      <c r="F11" s="56" t="s">
        <v>25</v>
      </c>
      <c r="G11" s="44">
        <v>150</v>
      </c>
      <c r="H11" s="129">
        <f>IF(B$15=0,0,G11/B$15)</f>
        <v>9.2194222495390291E-2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1.8013698630136983</v>
      </c>
      <c r="P11" s="115">
        <v>219</v>
      </c>
      <c r="Q11" s="103">
        <v>394.49999999999994</v>
      </c>
    </row>
    <row r="12" spans="1:17" x14ac:dyDescent="0.45">
      <c r="A12" s="51" t="s">
        <v>118</v>
      </c>
      <c r="B12" s="44">
        <v>1259</v>
      </c>
      <c r="C12" s="37">
        <f>IF(B$3=0,0,B12/B$3)</f>
        <v>0.22907569141193596</v>
      </c>
      <c r="E12" s="59" t="s">
        <v>71</v>
      </c>
      <c r="F12" s="56" t="s">
        <v>26</v>
      </c>
      <c r="G12" s="44">
        <v>125</v>
      </c>
      <c r="H12" s="129">
        <f>IF(B$15=0,0,G12/B$15)</f>
        <v>7.6828518746158578E-2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-0.2753424657534253</v>
      </c>
      <c r="P12" s="116">
        <v>219</v>
      </c>
      <c r="Q12" s="104">
        <v>-60.300000000000139</v>
      </c>
    </row>
    <row r="13" spans="1:17" x14ac:dyDescent="0.45">
      <c r="A13" s="50" t="s">
        <v>123</v>
      </c>
      <c r="B13" s="43">
        <f>B19</f>
        <v>777</v>
      </c>
      <c r="C13" s="35">
        <f>IF(B$11=0,0,B13/B$11)</f>
        <v>0.55659025787965621</v>
      </c>
      <c r="E13" s="59" t="s">
        <v>86</v>
      </c>
      <c r="F13" s="56" t="s">
        <v>41</v>
      </c>
      <c r="G13" s="44">
        <v>86</v>
      </c>
      <c r="H13" s="129">
        <f>IF(B$15=0,0,G13/B$15)</f>
        <v>5.2858020897357097E-2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527</v>
      </c>
      <c r="C14" s="35">
        <f>IF(B$12=0,0,B14/B$12)</f>
        <v>0.41858617950754567</v>
      </c>
      <c r="E14" s="59" t="s">
        <v>83</v>
      </c>
      <c r="F14" s="56" t="s">
        <v>38</v>
      </c>
      <c r="G14" s="44">
        <v>84</v>
      </c>
      <c r="H14" s="129">
        <f>IF(B$15=0,0,G14/B$15)</f>
        <v>5.162876459741856E-2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1627</v>
      </c>
      <c r="C15" s="35">
        <f>IF(B$3=0,0,B15/B$3)</f>
        <v>0.29603347889374088</v>
      </c>
      <c r="E15" s="59" t="s">
        <v>162</v>
      </c>
      <c r="F15" s="56" t="s">
        <v>163</v>
      </c>
      <c r="G15" s="44">
        <v>41</v>
      </c>
      <c r="H15" s="129">
        <f>IF(B$15=0,0,G15/B$15)</f>
        <v>2.5199754148740011E-2</v>
      </c>
      <c r="I15" s="90">
        <v>3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900</v>
      </c>
      <c r="C16" s="37">
        <f>IF(B$3=0,0,B16/B$3)</f>
        <v>0.16375545851528384</v>
      </c>
      <c r="E16" s="59" t="s">
        <v>78</v>
      </c>
      <c r="F16" s="56" t="s">
        <v>33</v>
      </c>
      <c r="G16" s="44">
        <v>38</v>
      </c>
      <c r="H16" s="129">
        <f>IF(B$15=0,0,G16/B$15)</f>
        <v>2.3355869698832205E-2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5">
      <c r="A17" s="51" t="s">
        <v>12</v>
      </c>
      <c r="B17" s="44">
        <v>719</v>
      </c>
      <c r="C17" s="37">
        <f>IF(B$15=0,0,B17/B$15)</f>
        <v>0.44191763982790411</v>
      </c>
      <c r="E17" s="59" t="s">
        <v>81</v>
      </c>
      <c r="F17" s="56" t="s">
        <v>36</v>
      </c>
      <c r="G17" s="44">
        <v>29</v>
      </c>
      <c r="H17" s="129">
        <f>IF(B$15=0,0,G17/B$15)</f>
        <v>1.7824216349108791E-2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10.149152542372878</v>
      </c>
      <c r="P17" s="115">
        <v>118</v>
      </c>
      <c r="Q17" s="103">
        <v>1197.5999999999997</v>
      </c>
    </row>
    <row r="18" spans="1:17" x14ac:dyDescent="0.45">
      <c r="A18" s="51" t="s">
        <v>11</v>
      </c>
      <c r="B18" s="44">
        <v>908</v>
      </c>
      <c r="C18" s="37">
        <f>IF(B$15=0,0,B18/B$15)</f>
        <v>0.55808236017209589</v>
      </c>
      <c r="E18" s="59" t="s">
        <v>91</v>
      </c>
      <c r="F18" s="56" t="s">
        <v>46</v>
      </c>
      <c r="G18" s="44">
        <v>23</v>
      </c>
      <c r="H18" s="129">
        <f>IF(B$15=0,0,G18/B$15)</f>
        <v>1.4136447449293177E-2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9.8079999999999981</v>
      </c>
      <c r="P18" s="115">
        <v>150</v>
      </c>
      <c r="Q18" s="103">
        <v>1471.1999999999998</v>
      </c>
    </row>
    <row r="19" spans="1:17" x14ac:dyDescent="0.45">
      <c r="A19" s="51" t="s">
        <v>197</v>
      </c>
      <c r="B19" s="44">
        <v>777</v>
      </c>
      <c r="C19" s="37">
        <f>IF(B$15=0,0,B19/B$15)</f>
        <v>0.47756607252612171</v>
      </c>
      <c r="E19" s="59" t="s">
        <v>79</v>
      </c>
      <c r="F19" s="56" t="s">
        <v>34</v>
      </c>
      <c r="G19" s="44">
        <v>20</v>
      </c>
      <c r="H19" s="129">
        <f>IF(B$15=0,0,G19/B$15)</f>
        <v>1.2292562999385371E-2</v>
      </c>
      <c r="I19" s="90">
        <v>5</v>
      </c>
      <c r="K19" s="36">
        <v>17</v>
      </c>
      <c r="L19" s="95">
        <v>-20.5</v>
      </c>
      <c r="N19" s="111" t="s">
        <v>201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195</v>
      </c>
      <c r="B20" s="44">
        <v>527</v>
      </c>
      <c r="C20" s="37">
        <f>IF(B$15=0,0,B20/B$15)</f>
        <v>0.32390903503380453</v>
      </c>
      <c r="E20" s="59" t="s">
        <v>75</v>
      </c>
      <c r="F20" s="56" t="s">
        <v>30</v>
      </c>
      <c r="G20" s="44">
        <v>12</v>
      </c>
      <c r="H20" s="129">
        <f>IF(B$15=0,0,G20/B$15)</f>
        <v>7.3755377996312229E-3</v>
      </c>
      <c r="I20" s="90">
        <v>4</v>
      </c>
      <c r="K20" s="36">
        <v>18</v>
      </c>
      <c r="L20" s="95">
        <v>0</v>
      </c>
      <c r="N20" s="111" t="s">
        <v>171</v>
      </c>
      <c r="O20" s="121">
        <f>IF(P20=0,0,Q20/P20)</f>
        <v>-1.2212264150943408</v>
      </c>
      <c r="P20" s="115">
        <v>212</v>
      </c>
      <c r="Q20" s="103">
        <v>-258.90000000000026</v>
      </c>
    </row>
    <row r="21" spans="1:17" x14ac:dyDescent="0.45">
      <c r="A21" s="51" t="s">
        <v>196</v>
      </c>
      <c r="B21" s="44">
        <v>323</v>
      </c>
      <c r="C21" s="37">
        <f>IF(B$15=0,0,B21/B$15)</f>
        <v>0.19852489244007376</v>
      </c>
      <c r="E21" s="59" t="s">
        <v>92</v>
      </c>
      <c r="F21" s="56" t="s">
        <v>47</v>
      </c>
      <c r="G21" s="44">
        <v>10</v>
      </c>
      <c r="H21" s="129">
        <f>IF(B$15=0,0,G21/B$15)</f>
        <v>6.1462814996926856E-3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-1.8841463414634201</v>
      </c>
      <c r="P21" s="115">
        <v>246</v>
      </c>
      <c r="Q21" s="103">
        <v>-463.50000000000136</v>
      </c>
    </row>
    <row r="22" spans="1:17" x14ac:dyDescent="0.45">
      <c r="A22" s="51" t="s">
        <v>5</v>
      </c>
      <c r="B22" s="48">
        <f>IF(B$15=0,0,C22/B$15)</f>
        <v>8502.4585125998765</v>
      </c>
      <c r="C22" s="39">
        <v>13833500</v>
      </c>
      <c r="E22" s="59" t="s">
        <v>73</v>
      </c>
      <c r="F22" s="56" t="s">
        <v>28</v>
      </c>
      <c r="G22" s="44">
        <v>7</v>
      </c>
      <c r="H22" s="129">
        <f>IF(B$15=0,0,G22/B$15)</f>
        <v>4.3023970497848806E-3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-3.5329411764705831</v>
      </c>
      <c r="P22" s="115">
        <v>170</v>
      </c>
      <c r="Q22" s="103">
        <v>-600.59999999999911</v>
      </c>
    </row>
    <row r="23" spans="1:17" x14ac:dyDescent="0.45">
      <c r="A23" s="52" t="s">
        <v>177</v>
      </c>
      <c r="B23" s="136">
        <f>IF($B$15-B$14=0,0,C23/($B$15-B$14))</f>
        <v>9072.181818181818</v>
      </c>
      <c r="C23" s="137">
        <v>9979400</v>
      </c>
      <c r="E23" s="59" t="s">
        <v>74</v>
      </c>
      <c r="F23" s="56" t="s">
        <v>29</v>
      </c>
      <c r="G23" s="44">
        <v>6</v>
      </c>
      <c r="H23" s="129">
        <f>IF(B$15=0,0,G23/B$15)</f>
        <v>3.6877688998156115E-3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-12.37007299270072</v>
      </c>
      <c r="P23" s="115">
        <v>274</v>
      </c>
      <c r="Q23" s="103">
        <v>-3389.3999999999974</v>
      </c>
    </row>
    <row r="24" spans="1:17" x14ac:dyDescent="0.45">
      <c r="A24" s="52" t="s">
        <v>178</v>
      </c>
      <c r="B24" s="136">
        <f>IF(B$14=0,0,C24/B$14)</f>
        <v>7313.2827324478176</v>
      </c>
      <c r="C24" s="137">
        <v>3854100</v>
      </c>
      <c r="E24" s="59" t="s">
        <v>85</v>
      </c>
      <c r="F24" s="56" t="s">
        <v>40</v>
      </c>
      <c r="G24" s="44">
        <v>6</v>
      </c>
      <c r="H24" s="129">
        <f>IF(B$15=0,0,G24/B$15)</f>
        <v>3.6877688998156115E-3</v>
      </c>
      <c r="I24" s="90">
        <v>5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-7859.8888888888887</v>
      </c>
      <c r="C25" s="137">
        <v>-7073900</v>
      </c>
      <c r="E25" s="59" t="s">
        <v>77</v>
      </c>
      <c r="F25" s="56" t="s">
        <v>32</v>
      </c>
      <c r="G25" s="44">
        <v>5</v>
      </c>
      <c r="H25" s="129">
        <f>IF(B$15=0,0,G25/B$15)</f>
        <v>3.0731407498463428E-3</v>
      </c>
      <c r="I25" s="90">
        <v>4</v>
      </c>
      <c r="K25" s="36">
        <v>23</v>
      </c>
      <c r="L25" s="95">
        <v>-26.799999999999994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5</v>
      </c>
      <c r="H26" s="129">
        <f>IF(B$15=0,0,G26/B$15)</f>
        <v>3.0731407498463428E-3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3.0731407498463428E-3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4</v>
      </c>
      <c r="H28" s="129">
        <f>IF(B$15=0,0,G28/B$15)</f>
        <v>2.4585125998770742E-3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194</v>
      </c>
      <c r="B29" s="146">
        <v>149100</v>
      </c>
      <c r="C29" s="147"/>
      <c r="E29" s="59" t="s">
        <v>90</v>
      </c>
      <c r="F29" s="56" t="s">
        <v>45</v>
      </c>
      <c r="G29" s="44">
        <v>3</v>
      </c>
      <c r="H29" s="129">
        <f>IF(B$15=0,0,G29/B$15)</f>
        <v>1.8438844499078057E-3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15</v>
      </c>
      <c r="C30" s="40">
        <f>IF(B$3=0,0,B30/B$3)</f>
        <v>2.7292576419213972E-3</v>
      </c>
      <c r="E30" s="59" t="s">
        <v>93</v>
      </c>
      <c r="F30" s="56" t="s">
        <v>48</v>
      </c>
      <c r="G30" s="44">
        <v>3</v>
      </c>
      <c r="H30" s="129">
        <f>IF(B$15=0,0,G30/B$15)</f>
        <v>1.8438844499078057E-3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1.2292562999385371E-3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185</v>
      </c>
      <c r="B32" s="144">
        <v>120</v>
      </c>
      <c r="C32" s="141">
        <f>IF(B$15=0,0,B32/B$15)</f>
        <v>7.3755377996312238E-2</v>
      </c>
      <c r="E32" s="59" t="s">
        <v>97</v>
      </c>
      <c r="F32" s="56" t="s">
        <v>52</v>
      </c>
      <c r="G32" s="44">
        <v>1</v>
      </c>
      <c r="H32" s="129">
        <f>IF(B$15=0,0,G32/B$15)</f>
        <v>6.1462814996926854E-4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181</v>
      </c>
      <c r="B33" s="44">
        <v>266</v>
      </c>
      <c r="C33" s="37">
        <f t="shared" ref="C33:C44" si="2">IF(B$15=0,0,B33/B$15)</f>
        <v>0.16349108789182545</v>
      </c>
      <c r="E33" s="59" t="s">
        <v>101</v>
      </c>
      <c r="F33" s="56" t="s">
        <v>56</v>
      </c>
      <c r="G33" s="44">
        <v>1</v>
      </c>
      <c r="H33" s="129">
        <f>IF(B$15=0,0,G33/B$15)</f>
        <v>6.1462814996926854E-4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182</v>
      </c>
      <c r="B34" s="145">
        <v>330</v>
      </c>
      <c r="C34" s="37">
        <f>IF(B$15=0,0,B34/B$15)</f>
        <v>0.20282728948985865</v>
      </c>
      <c r="E34" s="59" t="s">
        <v>106</v>
      </c>
      <c r="F34" s="56" t="s">
        <v>113</v>
      </c>
      <c r="G34" s="44">
        <v>1</v>
      </c>
      <c r="H34" s="129">
        <f>IF(B$15=0,0,G34/B$15)</f>
        <v>6.1462814996926854E-4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183</v>
      </c>
      <c r="B35" s="145">
        <v>289</v>
      </c>
      <c r="C35" s="37">
        <f t="shared" si="2"/>
        <v>0.17762753534111864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184</v>
      </c>
      <c r="B36" s="145">
        <v>260</v>
      </c>
      <c r="C36" s="37">
        <f t="shared" si="2"/>
        <v>0.15980331899200984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186</v>
      </c>
      <c r="B37" s="145">
        <v>170</v>
      </c>
      <c r="C37" s="37">
        <f t="shared" si="2"/>
        <v>0.10448678549477566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187</v>
      </c>
      <c r="B38" s="145">
        <v>87</v>
      </c>
      <c r="C38" s="37">
        <f t="shared" si="2"/>
        <v>5.3472649047326369E-2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188</v>
      </c>
      <c r="B39" s="145">
        <v>49</v>
      </c>
      <c r="C39" s="37">
        <f t="shared" si="2"/>
        <v>3.011677934849416E-2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189</v>
      </c>
      <c r="B40" s="145">
        <v>18</v>
      </c>
      <c r="C40" s="37">
        <f t="shared" si="2"/>
        <v>1.1063306699446834E-2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190</v>
      </c>
      <c r="B41" s="145">
        <v>7</v>
      </c>
      <c r="C41" s="37">
        <f t="shared" si="2"/>
        <v>4.3023970497848806E-3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191</v>
      </c>
      <c r="B42" s="145">
        <v>5</v>
      </c>
      <c r="C42" s="37">
        <f t="shared" si="2"/>
        <v>3.0731407498463428E-3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192</v>
      </c>
      <c r="B43" s="145">
        <v>6</v>
      </c>
      <c r="C43" s="37">
        <f t="shared" si="2"/>
        <v>3.6877688998156115E-3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193</v>
      </c>
      <c r="B44" s="140">
        <v>20</v>
      </c>
      <c r="C44" s="40">
        <f t="shared" si="2"/>
        <v>1.2292562999385371E-2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-1.4210854715202004E-14</v>
      </c>
    </row>
    <row r="289" spans="11:12" x14ac:dyDescent="0.45">
      <c r="K289" s="36">
        <v>287</v>
      </c>
      <c r="L289" s="95">
        <v>-1.4210854715202004E-14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6.7999999999999856</v>
      </c>
    </row>
    <row r="292" spans="11:12" x14ac:dyDescent="0.45">
      <c r="K292" s="36">
        <v>290</v>
      </c>
      <c r="L292" s="95">
        <v>31.599999999999987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-16.100000000000016</v>
      </c>
    </row>
    <row r="295" spans="11:12" x14ac:dyDescent="0.45">
      <c r="K295" s="36">
        <v>293</v>
      </c>
      <c r="L295" s="95">
        <v>26.899999999999984</v>
      </c>
    </row>
    <row r="296" spans="11:12" x14ac:dyDescent="0.45">
      <c r="K296" s="36">
        <v>294</v>
      </c>
      <c r="L296" s="95">
        <v>-1.4210854715202004E-14</v>
      </c>
    </row>
    <row r="297" spans="11:12" x14ac:dyDescent="0.45">
      <c r="K297" s="36">
        <v>295</v>
      </c>
      <c r="L297" s="95">
        <v>6.5999999999999854</v>
      </c>
    </row>
    <row r="298" spans="11:12" x14ac:dyDescent="0.45">
      <c r="K298" s="36">
        <v>296</v>
      </c>
      <c r="L298" s="95">
        <v>28.799999999999983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4.3999999999999826</v>
      </c>
    </row>
    <row r="301" spans="11:12" x14ac:dyDescent="0.45">
      <c r="K301" s="36">
        <v>299</v>
      </c>
      <c r="L301" s="95">
        <v>20.299999999999983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18.299999999999983</v>
      </c>
    </row>
    <row r="304" spans="11:12" x14ac:dyDescent="0.45">
      <c r="K304" s="36">
        <v>302</v>
      </c>
      <c r="L304" s="95">
        <v>16.699999999999982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19.199999999999982</v>
      </c>
    </row>
    <row r="307" spans="11:12" x14ac:dyDescent="0.45">
      <c r="K307" s="36">
        <v>305</v>
      </c>
      <c r="L307" s="95">
        <v>27.799999999999983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12.399999999999983</v>
      </c>
    </row>
    <row r="310" spans="11:12" x14ac:dyDescent="0.45">
      <c r="K310" s="36">
        <v>308</v>
      </c>
      <c r="L310" s="95">
        <v>12.999999999999982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61.499999999999986</v>
      </c>
    </row>
    <row r="313" spans="11:12" x14ac:dyDescent="0.45">
      <c r="K313" s="36">
        <v>311</v>
      </c>
      <c r="L313" s="95">
        <v>8.7999999999999829</v>
      </c>
    </row>
    <row r="314" spans="11:12" x14ac:dyDescent="0.45">
      <c r="K314" s="36">
        <v>312</v>
      </c>
      <c r="L314" s="95">
        <v>-1.7763568394002505E-14</v>
      </c>
    </row>
    <row r="315" spans="11:12" x14ac:dyDescent="0.45">
      <c r="K315" s="36">
        <v>313</v>
      </c>
      <c r="L315" s="95">
        <v>-2.0000000000000178</v>
      </c>
    </row>
    <row r="316" spans="11:12" x14ac:dyDescent="0.45">
      <c r="K316" s="36">
        <v>314</v>
      </c>
      <c r="L316" s="95">
        <v>35.199999999999989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30.499999999999986</v>
      </c>
    </row>
    <row r="319" spans="11:12" x14ac:dyDescent="0.45">
      <c r="K319" s="36">
        <v>317</v>
      </c>
      <c r="L319" s="95">
        <v>34.899999999999984</v>
      </c>
    </row>
    <row r="320" spans="11:12" x14ac:dyDescent="0.45">
      <c r="K320" s="36">
        <v>318</v>
      </c>
      <c r="L320" s="95">
        <v>-1.4210854715202004E-14</v>
      </c>
    </row>
    <row r="321" spans="11:12" x14ac:dyDescent="0.45">
      <c r="K321" s="36">
        <v>319</v>
      </c>
      <c r="L321" s="95">
        <v>12.199999999999985</v>
      </c>
    </row>
    <row r="322" spans="11:12" x14ac:dyDescent="0.45">
      <c r="K322" s="36">
        <v>320</v>
      </c>
      <c r="L322" s="95">
        <v>-40.600000000000009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32.399999999999991</v>
      </c>
    </row>
    <row r="325" spans="11:12" x14ac:dyDescent="0.45">
      <c r="K325" s="36">
        <v>323</v>
      </c>
      <c r="L325" s="95">
        <v>47.999999999999993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55.099999999999994</v>
      </c>
    </row>
    <row r="328" spans="11:12" x14ac:dyDescent="0.45">
      <c r="K328" s="36">
        <v>326</v>
      </c>
      <c r="L328" s="95">
        <v>35.099999999999994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40.899999999999991</v>
      </c>
    </row>
    <row r="331" spans="11:12" x14ac:dyDescent="0.45">
      <c r="K331" s="36">
        <v>329</v>
      </c>
      <c r="L331" s="95">
        <v>31.699999999999992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-1.400000000000007</v>
      </c>
    </row>
    <row r="334" spans="11:12" x14ac:dyDescent="0.45">
      <c r="K334" s="36">
        <v>332</v>
      </c>
      <c r="L334" s="95">
        <v>-18.400000000000006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-8.7000000000000064</v>
      </c>
    </row>
    <row r="337" spans="11:12" x14ac:dyDescent="0.45">
      <c r="K337" s="36">
        <v>335</v>
      </c>
      <c r="L337" s="95">
        <v>-35.500000000000007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28.799999999999994</v>
      </c>
    </row>
    <row r="340" spans="11:12" x14ac:dyDescent="0.45">
      <c r="K340" s="36">
        <v>338</v>
      </c>
      <c r="L340" s="95">
        <v>41.399999999999991</v>
      </c>
    </row>
    <row r="341" spans="11:12" x14ac:dyDescent="0.45">
      <c r="K341" s="36">
        <v>339</v>
      </c>
      <c r="L341" s="95">
        <v>-7.1054273576010019E-15</v>
      </c>
    </row>
    <row r="342" spans="11:12" x14ac:dyDescent="0.45">
      <c r="K342" s="36">
        <v>340</v>
      </c>
      <c r="L342" s="95">
        <v>12.599999999999993</v>
      </c>
    </row>
    <row r="343" spans="11:12" x14ac:dyDescent="0.45">
      <c r="K343" s="36">
        <v>341</v>
      </c>
      <c r="L343" s="95">
        <v>-28.700000000000003</v>
      </c>
    </row>
    <row r="344" spans="11:12" x14ac:dyDescent="0.45">
      <c r="K344" s="36">
        <v>342</v>
      </c>
      <c r="L344" s="95">
        <v>-3.5527136788005009E-15</v>
      </c>
    </row>
    <row r="345" spans="11:12" x14ac:dyDescent="0.45">
      <c r="K345" s="36">
        <v>343</v>
      </c>
      <c r="L345" s="95">
        <v>14.899999999999997</v>
      </c>
    </row>
    <row r="346" spans="11:12" x14ac:dyDescent="0.45">
      <c r="K346" s="36">
        <v>344</v>
      </c>
      <c r="L346" s="95">
        <v>42.699999999999996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-24.000000000000007</v>
      </c>
    </row>
    <row r="349" spans="11:12" x14ac:dyDescent="0.45">
      <c r="K349" s="36">
        <v>347</v>
      </c>
      <c r="L349" s="95">
        <v>-25.600000000000009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3.9999999999999929</v>
      </c>
    </row>
    <row r="352" spans="11:12" x14ac:dyDescent="0.45">
      <c r="K352" s="36">
        <v>350</v>
      </c>
      <c r="L352" s="95">
        <v>-24.100000000000009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-4.5000000000000071</v>
      </c>
    </row>
    <row r="355" spans="11:12" x14ac:dyDescent="0.45">
      <c r="K355" s="36">
        <v>353</v>
      </c>
      <c r="L355" s="95">
        <v>-34.500000000000007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-30.500000000000007</v>
      </c>
    </row>
    <row r="358" spans="11:12" x14ac:dyDescent="0.45">
      <c r="K358" s="36">
        <v>356</v>
      </c>
      <c r="L358" s="95">
        <v>-33.800000000000004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-31.300000000000008</v>
      </c>
    </row>
    <row r="361" spans="11:12" x14ac:dyDescent="0.45">
      <c r="K361" s="36">
        <v>359</v>
      </c>
      <c r="L361" s="95">
        <v>-6.5000000000000071</v>
      </c>
    </row>
    <row r="362" spans="11:12" x14ac:dyDescent="0.45">
      <c r="K362" s="36">
        <v>360</v>
      </c>
      <c r="L362" s="95">
        <v>-7.1054273576010019E-15</v>
      </c>
    </row>
    <row r="363" spans="11:12" x14ac:dyDescent="0.45">
      <c r="K363" s="36">
        <v>361</v>
      </c>
      <c r="L363" s="95">
        <v>-22.400000000000006</v>
      </c>
    </row>
    <row r="364" spans="11:12" x14ac:dyDescent="0.45">
      <c r="K364" s="36">
        <v>362</v>
      </c>
      <c r="L364" s="95">
        <v>3.0999999999999943</v>
      </c>
    </row>
    <row r="365" spans="11:12" x14ac:dyDescent="0.45">
      <c r="K365" s="36">
        <v>363</v>
      </c>
      <c r="L365" s="95">
        <v>-5.773159728050814E-15</v>
      </c>
    </row>
    <row r="366" spans="11:12" x14ac:dyDescent="0.45">
      <c r="K366" s="36">
        <v>364</v>
      </c>
      <c r="L366" s="95">
        <v>1.2999999999999943</v>
      </c>
    </row>
    <row r="367" spans="11:12" x14ac:dyDescent="0.45">
      <c r="K367" s="36">
        <v>365</v>
      </c>
      <c r="L367" s="95">
        <v>26.099999999999994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5.5999999999999925</v>
      </c>
    </row>
    <row r="370" spans="11:12" x14ac:dyDescent="0.45">
      <c r="K370" s="36">
        <v>368</v>
      </c>
      <c r="L370" s="95">
        <v>-19.400000000000006</v>
      </c>
    </row>
    <row r="371" spans="11:12" x14ac:dyDescent="0.45">
      <c r="K371" s="36">
        <v>369</v>
      </c>
      <c r="L371" s="95">
        <v>-7.1054273576010019E-15</v>
      </c>
    </row>
    <row r="372" spans="11:12" x14ac:dyDescent="0.45">
      <c r="K372" s="36">
        <v>370</v>
      </c>
      <c r="L372" s="95">
        <v>14.799999999999994</v>
      </c>
    </row>
    <row r="373" spans="11:12" x14ac:dyDescent="0.45">
      <c r="K373" s="36">
        <v>371</v>
      </c>
      <c r="L373" s="95">
        <v>14.199999999999994</v>
      </c>
    </row>
    <row r="374" spans="11:12" x14ac:dyDescent="0.45">
      <c r="K374" s="36">
        <v>372</v>
      </c>
      <c r="L374" s="95">
        <v>-5.3290705182007514E-15</v>
      </c>
    </row>
    <row r="375" spans="11:12" x14ac:dyDescent="0.45">
      <c r="K375" s="36">
        <v>373</v>
      </c>
      <c r="L375" s="95">
        <v>-42.300000000000004</v>
      </c>
    </row>
    <row r="376" spans="11:12" x14ac:dyDescent="0.45">
      <c r="K376" s="36">
        <v>374</v>
      </c>
      <c r="L376" s="95">
        <v>-49.1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11.4</v>
      </c>
    </row>
    <row r="379" spans="11:12" x14ac:dyDescent="0.45">
      <c r="K379" s="36">
        <v>377</v>
      </c>
      <c r="L379" s="95">
        <v>53.4</v>
      </c>
    </row>
    <row r="380" spans="11:12" x14ac:dyDescent="0.45">
      <c r="K380" s="36">
        <v>378</v>
      </c>
      <c r="L380" s="95">
        <v>0</v>
      </c>
    </row>
    <row r="381" spans="11:12" x14ac:dyDescent="0.45">
      <c r="K381" s="36">
        <v>379</v>
      </c>
      <c r="L381" s="95">
        <v>22.2</v>
      </c>
    </row>
    <row r="382" spans="11:12" x14ac:dyDescent="0.45">
      <c r="K382" s="36">
        <v>380</v>
      </c>
      <c r="L382" s="95">
        <v>-9.4000000000000021</v>
      </c>
    </row>
    <row r="383" spans="11:12" x14ac:dyDescent="0.45">
      <c r="K383" s="36">
        <v>381</v>
      </c>
      <c r="L383" s="95">
        <v>-1.7763568394002505E-15</v>
      </c>
    </row>
    <row r="384" spans="11:12" x14ac:dyDescent="0.45">
      <c r="K384" s="36">
        <v>382</v>
      </c>
      <c r="L384" s="95">
        <v>9.0999999999999979</v>
      </c>
    </row>
    <row r="385" spans="11:12" x14ac:dyDescent="0.45">
      <c r="K385" s="36">
        <v>383</v>
      </c>
      <c r="L385" s="95">
        <v>-20.400000000000002</v>
      </c>
    </row>
    <row r="386" spans="11:12" x14ac:dyDescent="0.45">
      <c r="K386" s="36">
        <v>384</v>
      </c>
      <c r="L386" s="95">
        <v>-3.5527136788005009E-15</v>
      </c>
    </row>
    <row r="387" spans="11:12" x14ac:dyDescent="0.45">
      <c r="K387" s="36">
        <v>385</v>
      </c>
      <c r="L387" s="95">
        <v>-36.100000000000009</v>
      </c>
    </row>
    <row r="388" spans="11:12" x14ac:dyDescent="0.45">
      <c r="K388" s="36">
        <v>386</v>
      </c>
      <c r="L388" s="95">
        <v>-7.3000000000000078</v>
      </c>
    </row>
    <row r="389" spans="11:12" x14ac:dyDescent="0.45">
      <c r="K389" s="36">
        <v>387</v>
      </c>
      <c r="L389" s="95">
        <v>-7.9936057773011271E-15</v>
      </c>
    </row>
    <row r="390" spans="11:12" x14ac:dyDescent="0.45">
      <c r="K390" s="36">
        <v>388</v>
      </c>
      <c r="L390" s="95">
        <v>-3.000000000000008</v>
      </c>
    </row>
    <row r="391" spans="11:12" x14ac:dyDescent="0.45">
      <c r="K391" s="36">
        <v>389</v>
      </c>
      <c r="L391" s="95">
        <v>-31.500000000000007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32.499999999999993</v>
      </c>
    </row>
    <row r="394" spans="11:12" x14ac:dyDescent="0.45">
      <c r="K394" s="36">
        <v>392</v>
      </c>
      <c r="L394" s="95">
        <v>21.299999999999994</v>
      </c>
    </row>
    <row r="395" spans="11:12" x14ac:dyDescent="0.45">
      <c r="K395" s="36">
        <v>393</v>
      </c>
      <c r="L395" s="95">
        <v>-7.1054273576010019E-15</v>
      </c>
    </row>
    <row r="396" spans="11:12" x14ac:dyDescent="0.45">
      <c r="K396" s="36">
        <v>394</v>
      </c>
      <c r="L396" s="95">
        <v>-22.400000000000006</v>
      </c>
    </row>
    <row r="397" spans="11:12" x14ac:dyDescent="0.45">
      <c r="K397" s="36">
        <v>395</v>
      </c>
      <c r="L397" s="95">
        <v>-69.100000000000009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15.199999999999985</v>
      </c>
    </row>
    <row r="400" spans="11:12" x14ac:dyDescent="0.45">
      <c r="K400" s="36">
        <v>398</v>
      </c>
      <c r="L400" s="95">
        <v>18.299999999999986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1.5999999999999859</v>
      </c>
    </row>
    <row r="403" spans="11:12" x14ac:dyDescent="0.45">
      <c r="K403" s="36">
        <v>401</v>
      </c>
      <c r="L403" s="95">
        <v>-48.900000000000013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26.799999999999986</v>
      </c>
    </row>
    <row r="406" spans="11:12" x14ac:dyDescent="0.45">
      <c r="K406" s="36">
        <v>404</v>
      </c>
      <c r="L406" s="95">
        <v>40.099999999999987</v>
      </c>
    </row>
    <row r="407" spans="11:12" x14ac:dyDescent="0.45">
      <c r="K407" s="36">
        <v>405</v>
      </c>
      <c r="L407" s="95">
        <v>-1.4210854715202004E-14</v>
      </c>
    </row>
    <row r="408" spans="11:12" x14ac:dyDescent="0.45">
      <c r="K408" s="36">
        <v>406</v>
      </c>
      <c r="L408" s="95">
        <v>-21.300000000000015</v>
      </c>
    </row>
    <row r="409" spans="11:12" x14ac:dyDescent="0.45">
      <c r="K409" s="36">
        <v>407</v>
      </c>
      <c r="L409" s="95">
        <v>-4.7000000000000135</v>
      </c>
    </row>
    <row r="410" spans="11:12" x14ac:dyDescent="0.45">
      <c r="K410" s="36">
        <v>408</v>
      </c>
      <c r="L410" s="95">
        <v>-1.3322676295501878E-14</v>
      </c>
    </row>
    <row r="411" spans="11:12" x14ac:dyDescent="0.45">
      <c r="K411" s="36">
        <v>409</v>
      </c>
      <c r="L411" s="95">
        <v>-29.900000000000013</v>
      </c>
    </row>
    <row r="412" spans="11:12" x14ac:dyDescent="0.45">
      <c r="K412" s="36">
        <v>410</v>
      </c>
      <c r="L412" s="95">
        <v>-5.1000000000000121</v>
      </c>
    </row>
    <row r="413" spans="11:12" x14ac:dyDescent="0.45">
      <c r="K413" s="36">
        <v>411</v>
      </c>
      <c r="L413" s="95">
        <v>-1.2434497875801753E-14</v>
      </c>
    </row>
    <row r="414" spans="11:12" x14ac:dyDescent="0.45">
      <c r="K414" s="36">
        <v>412</v>
      </c>
      <c r="L414" s="95">
        <v>-13.800000000000013</v>
      </c>
    </row>
    <row r="415" spans="11:12" x14ac:dyDescent="0.45">
      <c r="K415" s="36">
        <v>413</v>
      </c>
      <c r="L415" s="95">
        <v>-39.300000000000011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10.899999999999986</v>
      </c>
    </row>
    <row r="418" spans="11:12" x14ac:dyDescent="0.45">
      <c r="K418" s="36">
        <v>416</v>
      </c>
      <c r="L418" s="95">
        <v>55.899999999999984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5.9999999999999858</v>
      </c>
    </row>
    <row r="421" spans="11:12" x14ac:dyDescent="0.45">
      <c r="K421" s="36">
        <v>419</v>
      </c>
      <c r="L421" s="95">
        <v>-23.600000000000016</v>
      </c>
    </row>
    <row r="422" spans="11:12" x14ac:dyDescent="0.45">
      <c r="K422" s="36">
        <v>420</v>
      </c>
      <c r="L422" s="95">
        <v>-1.4210854715202004E-14</v>
      </c>
    </row>
    <row r="423" spans="11:12" x14ac:dyDescent="0.45">
      <c r="K423" s="36">
        <v>421</v>
      </c>
      <c r="L423" s="95">
        <v>-15.300000000000015</v>
      </c>
    </row>
    <row r="424" spans="11:12" x14ac:dyDescent="0.45">
      <c r="K424" s="36">
        <v>422</v>
      </c>
      <c r="L424" s="95">
        <v>1.7999999999999865</v>
      </c>
    </row>
    <row r="425" spans="11:12" x14ac:dyDescent="0.45">
      <c r="K425" s="36">
        <v>423</v>
      </c>
      <c r="L425" s="95">
        <v>-1.354472090042691E-14</v>
      </c>
    </row>
    <row r="426" spans="11:12" x14ac:dyDescent="0.45">
      <c r="K426" s="36">
        <v>424</v>
      </c>
      <c r="L426" s="95">
        <v>34.599999999999987</v>
      </c>
    </row>
    <row r="427" spans="11:12" x14ac:dyDescent="0.45">
      <c r="K427" s="36">
        <v>425</v>
      </c>
      <c r="L427" s="95">
        <v>-19.900000000000013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-6.5000000000000142</v>
      </c>
    </row>
    <row r="430" spans="11:12" x14ac:dyDescent="0.45">
      <c r="K430" s="36">
        <v>428</v>
      </c>
      <c r="L430" s="95">
        <v>36.699999999999989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-25.300000000000015</v>
      </c>
    </row>
    <row r="433" spans="11:12" x14ac:dyDescent="0.45">
      <c r="K433" s="36">
        <v>431</v>
      </c>
      <c r="L433" s="95">
        <v>-20.600000000000016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-20.900000000000013</v>
      </c>
    </row>
    <row r="436" spans="11:12" x14ac:dyDescent="0.45">
      <c r="K436" s="36">
        <v>434</v>
      </c>
      <c r="L436" s="95">
        <v>-4.0000000000000142</v>
      </c>
    </row>
    <row r="437" spans="11:12" x14ac:dyDescent="0.45">
      <c r="K437" s="36">
        <v>435</v>
      </c>
      <c r="L437" s="95">
        <v>-1.4210854715202004E-14</v>
      </c>
    </row>
    <row r="438" spans="11:12" x14ac:dyDescent="0.45">
      <c r="K438" s="36">
        <v>436</v>
      </c>
      <c r="L438" s="95">
        <v>16.499999999999986</v>
      </c>
    </row>
    <row r="439" spans="11:12" x14ac:dyDescent="0.45">
      <c r="K439" s="36">
        <v>437</v>
      </c>
      <c r="L439" s="95">
        <v>0.59999999999998543</v>
      </c>
    </row>
    <row r="440" spans="11:12" x14ac:dyDescent="0.45">
      <c r="K440" s="36">
        <v>438</v>
      </c>
      <c r="L440" s="95">
        <v>-1.4543921622589551E-14</v>
      </c>
    </row>
    <row r="441" spans="11:12" x14ac:dyDescent="0.45">
      <c r="K441" s="36">
        <v>439</v>
      </c>
      <c r="L441" s="95">
        <v>3.4999999999999853</v>
      </c>
    </row>
    <row r="442" spans="11:12" x14ac:dyDescent="0.45">
      <c r="K442" s="36">
        <v>440</v>
      </c>
      <c r="L442" s="95">
        <v>38.999999999999986</v>
      </c>
    </row>
    <row r="443" spans="11:12" x14ac:dyDescent="0.45">
      <c r="K443" s="36">
        <v>441</v>
      </c>
      <c r="L443" s="95">
        <v>-1.4210854715202004E-14</v>
      </c>
    </row>
    <row r="444" spans="11:12" x14ac:dyDescent="0.45">
      <c r="K444" s="36">
        <v>442</v>
      </c>
      <c r="L444" s="95">
        <v>-33.000000000000014</v>
      </c>
    </row>
    <row r="445" spans="11:12" x14ac:dyDescent="0.45">
      <c r="K445" s="36">
        <v>443</v>
      </c>
      <c r="L445" s="95">
        <v>45.59999999999998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-24.100000000000023</v>
      </c>
    </row>
    <row r="448" spans="11:12" x14ac:dyDescent="0.45">
      <c r="K448" s="36">
        <v>446</v>
      </c>
      <c r="L448" s="95">
        <v>-23.800000000000022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10.299999999999979</v>
      </c>
    </row>
    <row r="451" spans="11:12" x14ac:dyDescent="0.45">
      <c r="K451" s="36">
        <v>449</v>
      </c>
      <c r="L451" s="95">
        <v>45.399999999999977</v>
      </c>
    </row>
    <row r="452" spans="11:12" x14ac:dyDescent="0.45">
      <c r="K452" s="36">
        <v>450</v>
      </c>
      <c r="L452" s="95">
        <v>-2.1316282072803006E-14</v>
      </c>
    </row>
    <row r="453" spans="11:12" x14ac:dyDescent="0.45">
      <c r="K453" s="36">
        <v>451</v>
      </c>
      <c r="L453" s="95">
        <v>26.699999999999978</v>
      </c>
    </row>
    <row r="454" spans="11:12" x14ac:dyDescent="0.45">
      <c r="K454" s="36">
        <v>452</v>
      </c>
      <c r="L454" s="95">
        <v>22.299999999999976</v>
      </c>
    </row>
    <row r="455" spans="11:12" x14ac:dyDescent="0.45">
      <c r="K455" s="36">
        <v>453</v>
      </c>
      <c r="L455" s="95">
        <v>-2.4868995751603507E-14</v>
      </c>
    </row>
    <row r="456" spans="11:12" x14ac:dyDescent="0.45">
      <c r="K456" s="36">
        <v>454</v>
      </c>
      <c r="L456" s="95">
        <v>-28.900000000000023</v>
      </c>
    </row>
    <row r="457" spans="11:12" x14ac:dyDescent="0.45">
      <c r="K457" s="36">
        <v>455</v>
      </c>
      <c r="L457" s="95">
        <v>-43.100000000000023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21.499999999999979</v>
      </c>
    </row>
    <row r="460" spans="11:12" x14ac:dyDescent="0.45">
      <c r="K460" s="36">
        <v>458</v>
      </c>
      <c r="L460" s="95">
        <v>23.999999999999979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-25.100000000000023</v>
      </c>
    </row>
    <row r="463" spans="11:12" x14ac:dyDescent="0.45">
      <c r="K463" s="36">
        <v>461</v>
      </c>
      <c r="L463" s="95">
        <v>4.9999999999999787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2.9999999999999787</v>
      </c>
    </row>
    <row r="466" spans="11:12" x14ac:dyDescent="0.45">
      <c r="K466" s="36">
        <v>464</v>
      </c>
      <c r="L466" s="95">
        <v>37.09999999999998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-1.9000000000000212</v>
      </c>
    </row>
    <row r="469" spans="11:12" x14ac:dyDescent="0.45">
      <c r="K469" s="36">
        <v>467</v>
      </c>
      <c r="L469" s="95">
        <v>-27.700000000000021</v>
      </c>
    </row>
    <row r="470" spans="11:12" x14ac:dyDescent="0.45">
      <c r="K470" s="36">
        <v>468</v>
      </c>
      <c r="L470" s="95">
        <v>-2.1316282072803006E-14</v>
      </c>
    </row>
    <row r="471" spans="11:12" x14ac:dyDescent="0.45">
      <c r="K471" s="36">
        <v>469</v>
      </c>
      <c r="L471" s="95">
        <v>35.899999999999977</v>
      </c>
    </row>
    <row r="472" spans="11:12" x14ac:dyDescent="0.45">
      <c r="K472" s="36">
        <v>470</v>
      </c>
      <c r="L472" s="95">
        <v>45.199999999999974</v>
      </c>
    </row>
    <row r="473" spans="11:12" x14ac:dyDescent="0.45">
      <c r="K473" s="36">
        <v>471</v>
      </c>
      <c r="L473" s="95">
        <v>-2.8421709430404007E-14</v>
      </c>
    </row>
    <row r="474" spans="11:12" x14ac:dyDescent="0.45">
      <c r="K474" s="36">
        <v>472</v>
      </c>
      <c r="L474" s="95">
        <v>37.39999999999997</v>
      </c>
    </row>
    <row r="475" spans="11:12" x14ac:dyDescent="0.45">
      <c r="K475" s="36">
        <v>473</v>
      </c>
      <c r="L475" s="95">
        <v>59.099999999999966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-3.5000000000000355</v>
      </c>
    </row>
    <row r="478" spans="11:12" x14ac:dyDescent="0.45">
      <c r="K478" s="36">
        <v>476</v>
      </c>
      <c r="L478" s="95">
        <v>15.999999999999964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28.099999999999966</v>
      </c>
    </row>
    <row r="481" spans="11:12" x14ac:dyDescent="0.45">
      <c r="K481" s="36">
        <v>479</v>
      </c>
      <c r="L481" s="95">
        <v>41.699999999999967</v>
      </c>
    </row>
    <row r="482" spans="11:12" x14ac:dyDescent="0.45">
      <c r="K482" s="36">
        <v>480</v>
      </c>
      <c r="L482" s="95">
        <v>-3.5527136788005009E-14</v>
      </c>
    </row>
    <row r="483" spans="11:12" x14ac:dyDescent="0.45">
      <c r="K483" s="36">
        <v>481</v>
      </c>
      <c r="L483" s="95">
        <v>51.899999999999963</v>
      </c>
    </row>
    <row r="484" spans="11:12" x14ac:dyDescent="0.45">
      <c r="K484" s="36">
        <v>482</v>
      </c>
      <c r="L484" s="95">
        <v>2.3999999999999631</v>
      </c>
    </row>
    <row r="485" spans="11:12" x14ac:dyDescent="0.45">
      <c r="K485" s="36">
        <v>483</v>
      </c>
      <c r="L485" s="95">
        <v>-3.6859404417555197E-14</v>
      </c>
    </row>
    <row r="486" spans="11:12" x14ac:dyDescent="0.45">
      <c r="K486" s="36">
        <v>484</v>
      </c>
      <c r="L486" s="95">
        <v>-17.100000000000037</v>
      </c>
    </row>
    <row r="487" spans="11:12" x14ac:dyDescent="0.45">
      <c r="K487" s="36">
        <v>485</v>
      </c>
      <c r="L487" s="95">
        <v>-21.900000000000038</v>
      </c>
    </row>
    <row r="488" spans="11:12" x14ac:dyDescent="0.45">
      <c r="K488" s="36">
        <v>486</v>
      </c>
      <c r="L488" s="95">
        <v>-3.907985046680551E-14</v>
      </c>
    </row>
    <row r="489" spans="11:12" x14ac:dyDescent="0.45">
      <c r="K489" s="36">
        <v>487</v>
      </c>
      <c r="L489" s="95">
        <v>-46.100000000000037</v>
      </c>
    </row>
    <row r="490" spans="11:12" x14ac:dyDescent="0.45">
      <c r="K490" s="36">
        <v>488</v>
      </c>
      <c r="L490" s="95">
        <v>-41.900000000000034</v>
      </c>
    </row>
    <row r="491" spans="11:12" x14ac:dyDescent="0.45">
      <c r="K491" s="36">
        <v>489</v>
      </c>
      <c r="L491" s="95">
        <v>-3.5527136788005009E-14</v>
      </c>
    </row>
    <row r="492" spans="11:12" x14ac:dyDescent="0.45">
      <c r="K492" s="36">
        <v>490</v>
      </c>
      <c r="L492" s="95">
        <v>-30.300000000000036</v>
      </c>
    </row>
    <row r="493" spans="11:12" x14ac:dyDescent="0.45">
      <c r="K493" s="36">
        <v>491</v>
      </c>
      <c r="L493" s="95">
        <v>16.499999999999961</v>
      </c>
    </row>
    <row r="494" spans="11:12" x14ac:dyDescent="0.45">
      <c r="K494" s="36">
        <v>492</v>
      </c>
      <c r="L494" s="95">
        <v>-3.907985046680551E-14</v>
      </c>
    </row>
    <row r="495" spans="11:12" x14ac:dyDescent="0.45">
      <c r="K495" s="36">
        <v>493</v>
      </c>
      <c r="L495" s="95">
        <v>-36.600000000000037</v>
      </c>
    </row>
    <row r="496" spans="11:12" x14ac:dyDescent="0.45">
      <c r="K496" s="36">
        <v>494</v>
      </c>
      <c r="L496" s="95">
        <v>-49.000000000000036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-48.600000000000037</v>
      </c>
    </row>
    <row r="499" spans="11:12" x14ac:dyDescent="0.45">
      <c r="K499" s="36">
        <v>497</v>
      </c>
      <c r="L499" s="95">
        <v>-44.400000000000034</v>
      </c>
    </row>
    <row r="500" spans="11:12" x14ac:dyDescent="0.45">
      <c r="K500" s="36">
        <v>498</v>
      </c>
      <c r="L500" s="95">
        <v>-3.5527136788005009E-14</v>
      </c>
    </row>
    <row r="501" spans="11:12" x14ac:dyDescent="0.45">
      <c r="K501" s="36">
        <v>499</v>
      </c>
      <c r="L501" s="95">
        <v>-9.6000000000000352</v>
      </c>
    </row>
    <row r="502" spans="11:12" x14ac:dyDescent="0.45">
      <c r="K502" s="36">
        <v>500</v>
      </c>
      <c r="L502" s="95">
        <v>40.19999999999996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-48.80000000000004</v>
      </c>
    </row>
    <row r="505" spans="11:12" x14ac:dyDescent="0.45">
      <c r="K505" s="36">
        <v>503</v>
      </c>
      <c r="L505" s="95">
        <v>-50.000000000000043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-11.400000000000043</v>
      </c>
    </row>
    <row r="508" spans="11:12" x14ac:dyDescent="0.45">
      <c r="K508" s="36">
        <v>506</v>
      </c>
      <c r="L508" s="95">
        <v>33.69999999999996</v>
      </c>
    </row>
    <row r="509" spans="11:12" x14ac:dyDescent="0.45">
      <c r="K509" s="36">
        <v>507</v>
      </c>
      <c r="L509" s="95">
        <v>-4.2632564145606011E-14</v>
      </c>
    </row>
    <row r="510" spans="11:12" x14ac:dyDescent="0.45">
      <c r="K510" s="36">
        <v>508</v>
      </c>
      <c r="L510" s="95">
        <v>124.09999999999995</v>
      </c>
    </row>
    <row r="511" spans="11:12" x14ac:dyDescent="0.45">
      <c r="K511" s="36">
        <v>509</v>
      </c>
      <c r="L511" s="95">
        <v>132.89999999999995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22.399999999999942</v>
      </c>
    </row>
    <row r="514" spans="11:12" x14ac:dyDescent="0.45">
      <c r="K514" s="36">
        <v>512</v>
      </c>
      <c r="L514" s="95">
        <v>29.399999999999942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13.599999999999943</v>
      </c>
    </row>
    <row r="517" spans="11:12" x14ac:dyDescent="0.45">
      <c r="K517" s="36">
        <v>515</v>
      </c>
      <c r="L517" s="95">
        <v>-0.50000000000005684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-48.20000000000006</v>
      </c>
    </row>
    <row r="520" spans="11:12" x14ac:dyDescent="0.45">
      <c r="K520" s="36">
        <v>518</v>
      </c>
      <c r="L520" s="95">
        <v>-70.600000000000051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44.499999999999943</v>
      </c>
    </row>
    <row r="523" spans="11:12" x14ac:dyDescent="0.45">
      <c r="K523" s="36">
        <v>521</v>
      </c>
      <c r="L523" s="95">
        <v>30.999999999999943</v>
      </c>
    </row>
    <row r="524" spans="11:12" x14ac:dyDescent="0.45">
      <c r="K524" s="36">
        <v>522</v>
      </c>
      <c r="L524" s="95">
        <v>-5.6843418860808015E-14</v>
      </c>
    </row>
    <row r="525" spans="11:12" x14ac:dyDescent="0.45">
      <c r="K525" s="36">
        <v>523</v>
      </c>
      <c r="L525" s="95">
        <v>16.999999999999943</v>
      </c>
    </row>
    <row r="526" spans="11:12" x14ac:dyDescent="0.45">
      <c r="K526" s="36">
        <v>524</v>
      </c>
      <c r="L526" s="95">
        <v>-6.6000000000000583</v>
      </c>
    </row>
    <row r="527" spans="11:12" x14ac:dyDescent="0.45">
      <c r="K527" s="36">
        <v>525</v>
      </c>
      <c r="L527" s="95">
        <v>-5.8619775700208265E-14</v>
      </c>
    </row>
    <row r="528" spans="11:12" x14ac:dyDescent="0.45">
      <c r="K528" s="36">
        <v>526</v>
      </c>
      <c r="L528" s="95">
        <v>3.1999999999999416</v>
      </c>
    </row>
    <row r="529" spans="11:12" x14ac:dyDescent="0.45">
      <c r="K529" s="36">
        <v>527</v>
      </c>
      <c r="L529" s="95">
        <v>-26.400000000000059</v>
      </c>
    </row>
    <row r="530" spans="11:12" x14ac:dyDescent="0.45">
      <c r="K530" s="36">
        <v>528</v>
      </c>
      <c r="L530" s="95">
        <v>-6.0396132539608516E-14</v>
      </c>
    </row>
    <row r="531" spans="11:12" x14ac:dyDescent="0.45">
      <c r="K531" s="36">
        <v>529</v>
      </c>
      <c r="L531" s="95">
        <v>-52.300000000000054</v>
      </c>
    </row>
    <row r="532" spans="11:12" x14ac:dyDescent="0.45">
      <c r="K532" s="36">
        <v>530</v>
      </c>
      <c r="L532" s="95">
        <v>-11.500000000000057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-22.800000000000058</v>
      </c>
    </row>
    <row r="535" spans="11:12" x14ac:dyDescent="0.45">
      <c r="K535" s="36">
        <v>533</v>
      </c>
      <c r="L535" s="95">
        <v>-70.600000000000051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5.799999999999943</v>
      </c>
    </row>
    <row r="538" spans="11:12" x14ac:dyDescent="0.45">
      <c r="K538" s="36">
        <v>536</v>
      </c>
      <c r="L538" s="95">
        <v>-16.300000000000058</v>
      </c>
    </row>
    <row r="539" spans="11:12" x14ac:dyDescent="0.45">
      <c r="K539" s="36">
        <v>537</v>
      </c>
      <c r="L539" s="95">
        <v>-5.6843418860808015E-14</v>
      </c>
    </row>
    <row r="540" spans="11:12" x14ac:dyDescent="0.45">
      <c r="K540" s="36">
        <v>538</v>
      </c>
      <c r="L540" s="95">
        <v>-41.100000000000058</v>
      </c>
    </row>
    <row r="541" spans="11:12" x14ac:dyDescent="0.45">
      <c r="K541" s="36">
        <v>539</v>
      </c>
      <c r="L541" s="95">
        <v>5.7999999999999403</v>
      </c>
    </row>
    <row r="542" spans="11:12" x14ac:dyDescent="0.45">
      <c r="K542" s="36">
        <v>540</v>
      </c>
      <c r="L542" s="95">
        <v>-5.9507954119908391E-14</v>
      </c>
    </row>
    <row r="543" spans="11:12" x14ac:dyDescent="0.45">
      <c r="K543" s="36">
        <v>541</v>
      </c>
      <c r="L543" s="95">
        <v>-56.400000000000055</v>
      </c>
    </row>
    <row r="544" spans="11:12" x14ac:dyDescent="0.45">
      <c r="K544" s="36">
        <v>542</v>
      </c>
      <c r="L544" s="95">
        <v>-7.4000000000000554</v>
      </c>
    </row>
    <row r="545" spans="11:12" x14ac:dyDescent="0.45">
      <c r="K545" s="36">
        <v>543</v>
      </c>
      <c r="L545" s="95">
        <v>-5.5067062021407764E-14</v>
      </c>
    </row>
    <row r="546" spans="11:12" x14ac:dyDescent="0.45">
      <c r="K546" s="36">
        <v>544</v>
      </c>
      <c r="L546" s="95">
        <v>36.199999999999946</v>
      </c>
    </row>
    <row r="547" spans="11:12" x14ac:dyDescent="0.45">
      <c r="K547" s="36">
        <v>545</v>
      </c>
      <c r="L547" s="95">
        <v>43.299999999999947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-26.400000000000048</v>
      </c>
    </row>
    <row r="550" spans="11:12" x14ac:dyDescent="0.45">
      <c r="K550" s="36">
        <v>548</v>
      </c>
      <c r="L550" s="95">
        <v>-25.00000000000005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-13.100000000000049</v>
      </c>
    </row>
    <row r="553" spans="11:12" x14ac:dyDescent="0.45">
      <c r="K553" s="36">
        <v>551</v>
      </c>
      <c r="L553" s="95">
        <v>36.099999999999952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-3.9000000000000496</v>
      </c>
    </row>
    <row r="556" spans="11:12" x14ac:dyDescent="0.45">
      <c r="K556" s="36">
        <v>554</v>
      </c>
      <c r="L556" s="95">
        <v>-19.200000000000049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-49.00000000000005</v>
      </c>
    </row>
    <row r="559" spans="11:12" x14ac:dyDescent="0.45">
      <c r="K559" s="36">
        <v>557</v>
      </c>
      <c r="L559" s="95">
        <v>12.99999999999995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-19.50000000000005</v>
      </c>
    </row>
    <row r="562" spans="11:12" x14ac:dyDescent="0.45">
      <c r="K562" s="36">
        <v>560</v>
      </c>
      <c r="L562" s="95">
        <v>-16.80000000000005</v>
      </c>
    </row>
    <row r="563" spans="11:12" x14ac:dyDescent="0.45">
      <c r="K563" s="36">
        <v>561</v>
      </c>
      <c r="L563" s="95">
        <v>-4.9737991503207013E-14</v>
      </c>
    </row>
    <row r="564" spans="11:12" x14ac:dyDescent="0.45">
      <c r="K564" s="36">
        <v>562</v>
      </c>
      <c r="L564" s="95">
        <v>37.799999999999947</v>
      </c>
    </row>
    <row r="565" spans="11:12" x14ac:dyDescent="0.45">
      <c r="K565" s="36">
        <v>563</v>
      </c>
      <c r="L565" s="95">
        <v>-7.7000000000000526</v>
      </c>
    </row>
    <row r="566" spans="11:12" x14ac:dyDescent="0.45">
      <c r="K566" s="36">
        <v>564</v>
      </c>
      <c r="L566" s="95">
        <v>-5.2402526762307389E-14</v>
      </c>
    </row>
    <row r="567" spans="11:12" x14ac:dyDescent="0.45">
      <c r="K567" s="36">
        <v>565</v>
      </c>
      <c r="L567" s="95">
        <v>-18.400000000000052</v>
      </c>
    </row>
    <row r="568" spans="11:12" x14ac:dyDescent="0.45">
      <c r="K568" s="36">
        <v>566</v>
      </c>
      <c r="L568" s="95">
        <v>-59.200000000000045</v>
      </c>
    </row>
    <row r="569" spans="11:12" x14ac:dyDescent="0.45">
      <c r="K569" s="36">
        <v>567</v>
      </c>
      <c r="L569" s="95">
        <v>-4.2632564145606011E-14</v>
      </c>
    </row>
    <row r="570" spans="11:12" x14ac:dyDescent="0.45">
      <c r="K570" s="36">
        <v>568</v>
      </c>
      <c r="L570" s="95">
        <v>1.0999999999999575</v>
      </c>
    </row>
    <row r="571" spans="11:12" x14ac:dyDescent="0.45">
      <c r="K571" s="36">
        <v>569</v>
      </c>
      <c r="L571" s="95">
        <v>44.799999999999962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1.0999999999999646</v>
      </c>
    </row>
    <row r="574" spans="11:12" x14ac:dyDescent="0.45">
      <c r="K574" s="36">
        <v>572</v>
      </c>
      <c r="L574" s="95">
        <v>25.099999999999966</v>
      </c>
    </row>
    <row r="575" spans="11:12" x14ac:dyDescent="0.45">
      <c r="K575" s="36">
        <v>573</v>
      </c>
      <c r="L575" s="95">
        <v>-3.5527136788005009E-14</v>
      </c>
    </row>
    <row r="576" spans="11:12" x14ac:dyDescent="0.45">
      <c r="K576" s="36">
        <v>574</v>
      </c>
      <c r="L576" s="95">
        <v>-0.10000000000003553</v>
      </c>
    </row>
    <row r="577" spans="11:12" x14ac:dyDescent="0.45">
      <c r="K577" s="36">
        <v>575</v>
      </c>
      <c r="L577" s="95">
        <v>-35.80000000000004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-22.500000000000043</v>
      </c>
    </row>
    <row r="580" spans="11:12" x14ac:dyDescent="0.45">
      <c r="K580" s="36">
        <v>578</v>
      </c>
      <c r="L580" s="95">
        <v>-30.400000000000041</v>
      </c>
    </row>
    <row r="581" spans="11:12" x14ac:dyDescent="0.45">
      <c r="K581" s="36">
        <v>579</v>
      </c>
      <c r="L581" s="95">
        <v>-4.2632564145606011E-14</v>
      </c>
    </row>
    <row r="582" spans="11:12" x14ac:dyDescent="0.45">
      <c r="K582" s="36">
        <v>580</v>
      </c>
      <c r="L582" s="95">
        <v>-87.400000000000048</v>
      </c>
    </row>
    <row r="583" spans="11:12" x14ac:dyDescent="0.45">
      <c r="K583" s="36">
        <v>581</v>
      </c>
      <c r="L583" s="95">
        <v>9.699999999999946</v>
      </c>
    </row>
    <row r="584" spans="11:12" x14ac:dyDescent="0.45">
      <c r="K584" s="36">
        <v>582</v>
      </c>
      <c r="L584" s="95">
        <v>-5.3290705182007514E-14</v>
      </c>
    </row>
    <row r="585" spans="11:12" x14ac:dyDescent="0.45">
      <c r="K585" s="36">
        <v>583</v>
      </c>
      <c r="L585" s="95">
        <v>25.899999999999945</v>
      </c>
    </row>
    <row r="586" spans="11:12" x14ac:dyDescent="0.45">
      <c r="K586" s="36">
        <v>584</v>
      </c>
      <c r="L586" s="95">
        <v>2.7999999999999439</v>
      </c>
    </row>
    <row r="587" spans="11:12" x14ac:dyDescent="0.45">
      <c r="K587" s="36">
        <v>585</v>
      </c>
      <c r="L587" s="95">
        <v>-5.595524044110789E-14</v>
      </c>
    </row>
    <row r="588" spans="11:12" x14ac:dyDescent="0.45">
      <c r="K588" s="36">
        <v>586</v>
      </c>
      <c r="L588" s="95">
        <v>-12.900000000000055</v>
      </c>
    </row>
    <row r="589" spans="11:12" x14ac:dyDescent="0.45">
      <c r="K589" s="36">
        <v>587</v>
      </c>
      <c r="L589" s="95">
        <v>32.299999999999947</v>
      </c>
    </row>
    <row r="590" spans="11:12" x14ac:dyDescent="0.45">
      <c r="K590" s="36">
        <v>588</v>
      </c>
      <c r="L590" s="95">
        <v>-4.9737991503207013E-14</v>
      </c>
    </row>
    <row r="591" spans="11:12" x14ac:dyDescent="0.45">
      <c r="K591" s="36">
        <v>589</v>
      </c>
      <c r="L591" s="95">
        <v>35.99999999999995</v>
      </c>
    </row>
    <row r="592" spans="11:12" x14ac:dyDescent="0.45">
      <c r="K592" s="36">
        <v>590</v>
      </c>
      <c r="L592" s="95">
        <v>-12.800000000000047</v>
      </c>
    </row>
    <row r="593" spans="11:12" x14ac:dyDescent="0.45">
      <c r="K593" s="36">
        <v>591</v>
      </c>
      <c r="L593" s="95">
        <v>-4.6185277824406512E-14</v>
      </c>
    </row>
    <row r="594" spans="11:12" x14ac:dyDescent="0.45">
      <c r="K594" s="36">
        <v>592</v>
      </c>
      <c r="L594" s="95">
        <v>20.399999999999952</v>
      </c>
    </row>
    <row r="595" spans="11:12" x14ac:dyDescent="0.45">
      <c r="K595" s="36">
        <v>593</v>
      </c>
      <c r="L595" s="95">
        <v>-30.700000000000049</v>
      </c>
    </row>
    <row r="596" spans="11:12" x14ac:dyDescent="0.45">
      <c r="K596" s="36">
        <v>594</v>
      </c>
      <c r="L596" s="95">
        <v>-4.9737991503207013E-14</v>
      </c>
    </row>
    <row r="597" spans="11:12" x14ac:dyDescent="0.45">
      <c r="K597" s="36">
        <v>595</v>
      </c>
      <c r="L597" s="95">
        <v>-60.300000000000047</v>
      </c>
    </row>
    <row r="598" spans="11:12" x14ac:dyDescent="0.45">
      <c r="K598" s="36">
        <v>596</v>
      </c>
      <c r="L598" s="95">
        <v>-0.3000000000000469</v>
      </c>
    </row>
    <row r="599" spans="11:12" x14ac:dyDescent="0.45">
      <c r="K599" s="36">
        <v>597</v>
      </c>
      <c r="L599" s="95">
        <v>-4.6906922790412864E-14</v>
      </c>
    </row>
    <row r="600" spans="11:12" x14ac:dyDescent="0.45">
      <c r="K600" s="36">
        <v>598</v>
      </c>
      <c r="L600" s="95">
        <v>-45.600000000000051</v>
      </c>
    </row>
    <row r="601" spans="11:12" x14ac:dyDescent="0.45">
      <c r="K601" s="36">
        <v>599</v>
      </c>
      <c r="L601" s="95">
        <v>9.5999999999999517</v>
      </c>
    </row>
    <row r="602" spans="11:12" x14ac:dyDescent="0.45">
      <c r="K602" s="36">
        <v>600</v>
      </c>
      <c r="L602" s="95">
        <v>-4.7961634663806763E-14</v>
      </c>
    </row>
    <row r="603" spans="11:12" x14ac:dyDescent="0.45">
      <c r="K603" s="36">
        <v>601</v>
      </c>
      <c r="L603" s="95">
        <v>28.899999999999949</v>
      </c>
    </row>
    <row r="604" spans="11:12" x14ac:dyDescent="0.45">
      <c r="K604" s="36">
        <v>602</v>
      </c>
      <c r="L604" s="95">
        <v>27.899999999999949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-31.50000000000005</v>
      </c>
    </row>
    <row r="607" spans="11:12" x14ac:dyDescent="0.45">
      <c r="K607" s="36">
        <v>605</v>
      </c>
      <c r="L607" s="95">
        <v>-38.400000000000048</v>
      </c>
    </row>
    <row r="608" spans="11:12" x14ac:dyDescent="0.45">
      <c r="K608" s="36">
        <v>606</v>
      </c>
      <c r="L608" s="95">
        <v>-4.9737991503207013E-14</v>
      </c>
    </row>
    <row r="609" spans="11:12" x14ac:dyDescent="0.45">
      <c r="K609" s="36">
        <v>607</v>
      </c>
      <c r="L609" s="95">
        <v>33.49999999999995</v>
      </c>
    </row>
    <row r="610" spans="11:12" x14ac:dyDescent="0.45">
      <c r="K610" s="36">
        <v>608</v>
      </c>
      <c r="L610" s="95">
        <v>0.6999999999999531</v>
      </c>
    </row>
    <row r="611" spans="11:12" x14ac:dyDescent="0.45">
      <c r="K611" s="36">
        <v>609</v>
      </c>
      <c r="L611" s="95">
        <v>-4.6851411639181606E-14</v>
      </c>
    </row>
    <row r="612" spans="11:12" x14ac:dyDescent="0.45">
      <c r="K612" s="36">
        <v>610</v>
      </c>
      <c r="L612" s="95">
        <v>11.999999999999954</v>
      </c>
    </row>
    <row r="613" spans="11:12" x14ac:dyDescent="0.45">
      <c r="K613" s="36">
        <v>611</v>
      </c>
      <c r="L613" s="95">
        <v>38.299999999999955</v>
      </c>
    </row>
    <row r="614" spans="11:12" x14ac:dyDescent="0.45">
      <c r="K614" s="36">
        <v>612</v>
      </c>
      <c r="L614" s="95">
        <v>-4.2632564145606011E-14</v>
      </c>
    </row>
    <row r="615" spans="11:12" x14ac:dyDescent="0.45">
      <c r="K615" s="36">
        <v>613</v>
      </c>
      <c r="L615" s="95">
        <v>7.3999999999999577</v>
      </c>
    </row>
    <row r="616" spans="11:12" x14ac:dyDescent="0.45">
      <c r="K616" s="36">
        <v>614</v>
      </c>
      <c r="L616" s="95">
        <v>26.799999999999955</v>
      </c>
    </row>
    <row r="617" spans="11:12" x14ac:dyDescent="0.45">
      <c r="K617" s="36">
        <v>615</v>
      </c>
      <c r="L617" s="95">
        <v>-4.6185277824406512E-14</v>
      </c>
    </row>
    <row r="618" spans="11:12" x14ac:dyDescent="0.45">
      <c r="K618" s="36">
        <v>616</v>
      </c>
      <c r="L618" s="95">
        <v>-26.800000000000047</v>
      </c>
    </row>
    <row r="619" spans="11:12" x14ac:dyDescent="0.45">
      <c r="K619" s="36">
        <v>617</v>
      </c>
      <c r="L619" s="95">
        <v>-5.3000000000000469</v>
      </c>
    </row>
    <row r="620" spans="11:12" x14ac:dyDescent="0.45">
      <c r="K620" s="36">
        <v>618</v>
      </c>
      <c r="L620" s="95">
        <v>-4.7073456244106637E-14</v>
      </c>
    </row>
    <row r="621" spans="11:12" x14ac:dyDescent="0.45">
      <c r="K621" s="36">
        <v>619</v>
      </c>
      <c r="L621" s="95">
        <v>-20.200000000000045</v>
      </c>
    </row>
    <row r="622" spans="11:12" x14ac:dyDescent="0.45">
      <c r="K622" s="36">
        <v>620</v>
      </c>
      <c r="L622" s="95">
        <v>-28.900000000000045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-22.600000000000048</v>
      </c>
    </row>
    <row r="625" spans="11:12" x14ac:dyDescent="0.45">
      <c r="K625" s="36">
        <v>623</v>
      </c>
      <c r="L625" s="95">
        <v>-20.000000000000046</v>
      </c>
    </row>
    <row r="626" spans="11:12" x14ac:dyDescent="0.45">
      <c r="K626" s="36">
        <v>624</v>
      </c>
      <c r="L626" s="95">
        <v>-4.6185277824406512E-14</v>
      </c>
    </row>
    <row r="627" spans="11:12" x14ac:dyDescent="0.45">
      <c r="K627" s="36">
        <v>625</v>
      </c>
      <c r="L627" s="95">
        <v>42.299999999999955</v>
      </c>
    </row>
    <row r="628" spans="11:12" x14ac:dyDescent="0.45">
      <c r="K628" s="36">
        <v>626</v>
      </c>
      <c r="L628" s="95">
        <v>46.999999999999957</v>
      </c>
    </row>
    <row r="629" spans="11:12" x14ac:dyDescent="0.45">
      <c r="K629" s="36">
        <v>627</v>
      </c>
      <c r="L629" s="95">
        <v>-4.2632564145606011E-14</v>
      </c>
    </row>
    <row r="630" spans="11:12" x14ac:dyDescent="0.45">
      <c r="K630" s="36">
        <v>628</v>
      </c>
      <c r="L630" s="95">
        <v>-21.600000000000044</v>
      </c>
    </row>
    <row r="631" spans="11:12" x14ac:dyDescent="0.45">
      <c r="K631" s="36">
        <v>629</v>
      </c>
      <c r="L631" s="95">
        <v>0.59999999999995524</v>
      </c>
    </row>
    <row r="632" spans="11:12" x14ac:dyDescent="0.45">
      <c r="K632" s="36">
        <v>630</v>
      </c>
      <c r="L632" s="95">
        <v>-4.4741987892393809E-14</v>
      </c>
    </row>
    <row r="633" spans="11:12" x14ac:dyDescent="0.45">
      <c r="K633" s="36">
        <v>631</v>
      </c>
      <c r="L633" s="95">
        <v>1.0999999999999552</v>
      </c>
    </row>
    <row r="634" spans="11:12" x14ac:dyDescent="0.45">
      <c r="K634" s="36">
        <v>632</v>
      </c>
      <c r="L634" s="95">
        <v>-47.400000000000048</v>
      </c>
    </row>
    <row r="635" spans="11:12" x14ac:dyDescent="0.45">
      <c r="K635" s="36">
        <v>633</v>
      </c>
      <c r="L635" s="95">
        <v>-4.9737991503207013E-14</v>
      </c>
    </row>
    <row r="636" spans="11:12" x14ac:dyDescent="0.45">
      <c r="K636" s="36">
        <v>634</v>
      </c>
      <c r="L636" s="95">
        <v>-55.50000000000005</v>
      </c>
    </row>
    <row r="637" spans="11:12" x14ac:dyDescent="0.45">
      <c r="K637" s="36">
        <v>635</v>
      </c>
      <c r="L637" s="95">
        <v>-66.200000000000045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54.19999999999996</v>
      </c>
    </row>
    <row r="640" spans="11:12" x14ac:dyDescent="0.45">
      <c r="K640" s="36">
        <v>638</v>
      </c>
      <c r="L640" s="95">
        <v>48.69999999999996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15.699999999999957</v>
      </c>
    </row>
    <row r="643" spans="11:12" x14ac:dyDescent="0.45">
      <c r="K643" s="36">
        <v>641</v>
      </c>
      <c r="L643" s="95">
        <v>18.299999999999958</v>
      </c>
    </row>
    <row r="644" spans="11:12" x14ac:dyDescent="0.45">
      <c r="K644" s="36">
        <v>642</v>
      </c>
      <c r="L644" s="95">
        <v>-4.2632564145606011E-14</v>
      </c>
    </row>
    <row r="645" spans="11:12" x14ac:dyDescent="0.45">
      <c r="K645" s="36">
        <v>643</v>
      </c>
      <c r="L645" s="95">
        <v>26.799999999999958</v>
      </c>
    </row>
    <row r="646" spans="11:12" x14ac:dyDescent="0.45">
      <c r="K646" s="36">
        <v>644</v>
      </c>
      <c r="L646" s="95">
        <v>-14.900000000000045</v>
      </c>
    </row>
    <row r="647" spans="11:12" x14ac:dyDescent="0.45">
      <c r="K647" s="36">
        <v>645</v>
      </c>
      <c r="L647" s="95">
        <v>-4.4408920985006262E-14</v>
      </c>
    </row>
    <row r="648" spans="11:12" x14ac:dyDescent="0.45">
      <c r="K648" s="36">
        <v>646</v>
      </c>
      <c r="L648" s="95">
        <v>57.799999999999955</v>
      </c>
    </row>
    <row r="649" spans="11:12" x14ac:dyDescent="0.45">
      <c r="K649" s="36">
        <v>647</v>
      </c>
      <c r="L649" s="95">
        <v>45.199999999999953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-4.5000000000000497</v>
      </c>
    </row>
    <row r="652" spans="11:12" x14ac:dyDescent="0.45">
      <c r="K652" s="36">
        <v>650</v>
      </c>
      <c r="L652" s="95">
        <v>-28.80000000000005</v>
      </c>
    </row>
    <row r="653" spans="11:12" x14ac:dyDescent="0.45">
      <c r="K653" s="36">
        <v>651</v>
      </c>
      <c r="L653" s="95">
        <v>-4.9737991503207013E-14</v>
      </c>
    </row>
    <row r="654" spans="11:12" x14ac:dyDescent="0.45">
      <c r="K654" s="36">
        <v>652</v>
      </c>
      <c r="L654" s="95">
        <v>-19.700000000000049</v>
      </c>
    </row>
    <row r="655" spans="11:12" x14ac:dyDescent="0.45">
      <c r="K655" s="36">
        <v>653</v>
      </c>
      <c r="L655" s="95">
        <v>-1.6000000000000476</v>
      </c>
    </row>
    <row r="656" spans="11:12" x14ac:dyDescent="0.45">
      <c r="K656" s="36">
        <v>654</v>
      </c>
      <c r="L656" s="95">
        <v>-4.75175454539567E-14</v>
      </c>
    </row>
    <row r="657" spans="11:12" x14ac:dyDescent="0.45">
      <c r="K657" s="36">
        <v>655</v>
      </c>
      <c r="L657" s="95">
        <v>-46.800000000000047</v>
      </c>
    </row>
    <row r="658" spans="11:12" x14ac:dyDescent="0.45">
      <c r="K658" s="36">
        <v>656</v>
      </c>
      <c r="L658" s="95">
        <v>29.599999999999959</v>
      </c>
    </row>
    <row r="659" spans="11:12" x14ac:dyDescent="0.45">
      <c r="K659" s="36">
        <v>657</v>
      </c>
      <c r="L659" s="95">
        <v>-4.2632564145606011E-14</v>
      </c>
    </row>
    <row r="660" spans="11:12" x14ac:dyDescent="0.45">
      <c r="K660" s="36">
        <v>658</v>
      </c>
      <c r="L660" s="95">
        <v>36.799999999999955</v>
      </c>
    </row>
    <row r="661" spans="11:12" x14ac:dyDescent="0.45">
      <c r="K661" s="36">
        <v>659</v>
      </c>
      <c r="L661" s="95">
        <v>0.89999999999995595</v>
      </c>
    </row>
    <row r="662" spans="11:12" x14ac:dyDescent="0.45">
      <c r="K662" s="36">
        <v>660</v>
      </c>
      <c r="L662" s="95">
        <v>-4.4075854077618715E-14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61"/>
  <sheetViews>
    <sheetView showGridLines="0" topLeftCell="C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108</v>
      </c>
      <c r="H2" s="128">
        <f>IF(B$15=0,0,G2/B$15)</f>
        <v>0.75524475524475521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1449.1525423728813</v>
      </c>
      <c r="P2" s="114">
        <v>59</v>
      </c>
      <c r="Q2" s="98">
        <v>85500</v>
      </c>
    </row>
    <row r="3" spans="1:17" x14ac:dyDescent="0.45">
      <c r="A3" s="51" t="s">
        <v>8</v>
      </c>
      <c r="B3" s="156">
        <v>527</v>
      </c>
      <c r="C3" s="157"/>
      <c r="E3" s="59" t="s">
        <v>72</v>
      </c>
      <c r="F3" s="56" t="s">
        <v>27</v>
      </c>
      <c r="G3" s="44">
        <v>79</v>
      </c>
      <c r="H3" s="129">
        <f>IF(B$15=0,0,G3/B$15)</f>
        <v>0.55244755244755239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-1387.9310344827586</v>
      </c>
      <c r="P3" s="115">
        <v>58</v>
      </c>
      <c r="Q3" s="99">
        <v>-80500</v>
      </c>
    </row>
    <row r="4" spans="1:17" x14ac:dyDescent="0.45">
      <c r="A4" s="51" t="s">
        <v>6</v>
      </c>
      <c r="B4" s="158">
        <v>-399.2000000000001</v>
      </c>
      <c r="C4" s="159"/>
      <c r="E4" s="59" t="s">
        <v>166</v>
      </c>
      <c r="F4" s="56" t="s">
        <v>167</v>
      </c>
      <c r="G4" s="44">
        <v>60</v>
      </c>
      <c r="H4" s="129">
        <f>IF(B$15=0,0,G4/B$15)</f>
        <v>0.41958041958041958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-992.72727272727275</v>
      </c>
      <c r="P4" s="115">
        <v>55</v>
      </c>
      <c r="Q4" s="99">
        <v>-54600</v>
      </c>
    </row>
    <row r="5" spans="1:17" x14ac:dyDescent="0.45">
      <c r="A5" s="51" t="s">
        <v>7</v>
      </c>
      <c r="B5" s="160">
        <f>IF(B$2=0,0,B$4/B$2)</f>
        <v>-6.7661016949152559</v>
      </c>
      <c r="C5" s="161"/>
      <c r="E5" s="59" t="s">
        <v>64</v>
      </c>
      <c r="F5" s="56" t="s">
        <v>20</v>
      </c>
      <c r="G5" s="44">
        <v>38</v>
      </c>
      <c r="H5" s="129">
        <f>IF(B$15=0,0,G5/B$15)</f>
        <v>0.26573426573426573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-892.59259259259261</v>
      </c>
      <c r="P5" s="115">
        <v>54</v>
      </c>
      <c r="Q5" s="99">
        <v>-48200</v>
      </c>
    </row>
    <row r="6" spans="1:17" x14ac:dyDescent="0.45">
      <c r="A6" s="51" t="s">
        <v>1</v>
      </c>
      <c r="B6" s="150">
        <f>IF(B$2=0,0,(B$7*1+B$8*2+B$9*3)/B$2)</f>
        <v>2.152542372881356</v>
      </c>
      <c r="C6" s="151"/>
      <c r="E6" s="59" t="s">
        <v>68</v>
      </c>
      <c r="F6" s="56" t="s">
        <v>12</v>
      </c>
      <c r="G6" s="44">
        <v>37</v>
      </c>
      <c r="H6" s="129">
        <f>IF(B$15=0,0,G6/B$15)</f>
        <v>0.25874125874125875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-496.22641509433964</v>
      </c>
      <c r="P6" s="115">
        <v>53</v>
      </c>
      <c r="Q6" s="99">
        <v>-26300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0.32203389830508472</v>
      </c>
      <c r="E7" s="59" t="s">
        <v>69</v>
      </c>
      <c r="F7" s="56" t="s">
        <v>24</v>
      </c>
      <c r="G7" s="44">
        <v>28</v>
      </c>
      <c r="H7" s="129">
        <f>IF(B$15=0,0,G7/B$15)</f>
        <v>0.19580419580419581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-1915.2173913043478</v>
      </c>
      <c r="P7" s="116">
        <v>46</v>
      </c>
      <c r="Q7" s="100">
        <v>-88100</v>
      </c>
    </row>
    <row r="8" spans="1:17" x14ac:dyDescent="0.45">
      <c r="A8" s="51" t="s">
        <v>3</v>
      </c>
      <c r="B8" s="44">
        <v>12</v>
      </c>
      <c r="C8" s="37">
        <f t="shared" si="1"/>
        <v>0.20338983050847459</v>
      </c>
      <c r="E8" s="59" t="s">
        <v>67</v>
      </c>
      <c r="F8" s="56" t="s">
        <v>23</v>
      </c>
      <c r="G8" s="44">
        <v>21</v>
      </c>
      <c r="H8" s="129">
        <f>IF(B$15=0,0,G8/B$15)</f>
        <v>0.14685314685314685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0.47457627118644069</v>
      </c>
      <c r="E9" s="59" t="s">
        <v>70</v>
      </c>
      <c r="F9" s="56" t="s">
        <v>25</v>
      </c>
      <c r="G9" s="44">
        <v>19</v>
      </c>
      <c r="H9" s="129">
        <f>IF(B$15=0,0,G9/B$15)</f>
        <v>0.13286713286713286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5.0847457627118647E-2</v>
      </c>
      <c r="E10" s="59" t="s">
        <v>71</v>
      </c>
      <c r="F10" s="56" t="s">
        <v>26</v>
      </c>
      <c r="G10" s="44">
        <v>16</v>
      </c>
      <c r="H10" s="129">
        <f>IF(B$15=0,0,G10/B$15)</f>
        <v>0.11188811188811189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-12.680952380952379</v>
      </c>
      <c r="P10" s="114">
        <v>21</v>
      </c>
      <c r="Q10" s="102">
        <v>-266.29999999999995</v>
      </c>
    </row>
    <row r="11" spans="1:17" x14ac:dyDescent="0.45">
      <c r="A11" s="54" t="s">
        <v>121</v>
      </c>
      <c r="B11" s="47">
        <v>79</v>
      </c>
      <c r="C11" s="42">
        <f>IF(B$3=0,0,B11/B$3)</f>
        <v>0.14990512333965844</v>
      </c>
      <c r="E11" s="59" t="s">
        <v>83</v>
      </c>
      <c r="F11" s="56" t="s">
        <v>38</v>
      </c>
      <c r="G11" s="44">
        <v>12</v>
      </c>
      <c r="H11" s="129">
        <f>IF(B$15=0,0,G11/B$15)</f>
        <v>8.3916083916083919E-2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-5.011764705882352</v>
      </c>
      <c r="P11" s="115">
        <v>17</v>
      </c>
      <c r="Q11" s="103">
        <v>-85.199999999999989</v>
      </c>
    </row>
    <row r="12" spans="1:17" x14ac:dyDescent="0.45">
      <c r="A12" s="51" t="s">
        <v>118</v>
      </c>
      <c r="B12" s="44">
        <v>126</v>
      </c>
      <c r="C12" s="37">
        <f>IF(B$3=0,0,B12/B$3)</f>
        <v>0.23908918406072105</v>
      </c>
      <c r="E12" s="59" t="s">
        <v>65</v>
      </c>
      <c r="F12" s="56" t="s">
        <v>21</v>
      </c>
      <c r="G12" s="44">
        <v>9</v>
      </c>
      <c r="H12" s="129">
        <f>IF(B$15=0,0,G12/B$15)</f>
        <v>6.2937062937062943E-2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0.49367088607594939</v>
      </c>
      <c r="E13" s="59" t="s">
        <v>89</v>
      </c>
      <c r="F13" s="56" t="s">
        <v>44</v>
      </c>
      <c r="G13" s="44">
        <v>9</v>
      </c>
      <c r="H13" s="129">
        <f>IF(B$15=0,0,G13/B$15)</f>
        <v>6.2937062937062943E-2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0.40476190476190477</v>
      </c>
      <c r="E14" s="59" t="s">
        <v>86</v>
      </c>
      <c r="F14" s="56" t="s">
        <v>41</v>
      </c>
      <c r="G14" s="44">
        <v>5</v>
      </c>
      <c r="H14" s="129">
        <f>IF(B$15=0,0,G14/B$15)</f>
        <v>3.4965034965034968E-2</v>
      </c>
      <c r="I14" s="90">
        <v>8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143</v>
      </c>
      <c r="C15" s="35">
        <f>IF(B$3=0,0,B15/B$3)</f>
        <v>0.27134724857685011</v>
      </c>
      <c r="E15" s="59" t="s">
        <v>81</v>
      </c>
      <c r="F15" s="56" t="s">
        <v>36</v>
      </c>
      <c r="G15" s="44">
        <v>4</v>
      </c>
      <c r="H15" s="129">
        <f>IF(B$15=0,0,G15/B$15)</f>
        <v>2.7972027972027972E-2</v>
      </c>
      <c r="I15" s="90">
        <v>1</v>
      </c>
      <c r="K15" s="36">
        <v>13</v>
      </c>
      <c r="L15" s="95">
        <v>-66.2</v>
      </c>
      <c r="N15" s="110" t="s">
        <v>201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81</v>
      </c>
      <c r="C16" s="37">
        <f>IF(B$3=0,0,B16/B$3)</f>
        <v>0.15370018975332067</v>
      </c>
      <c r="E16" s="59" t="s">
        <v>91</v>
      </c>
      <c r="F16" s="56" t="s">
        <v>46</v>
      </c>
      <c r="G16" s="44">
        <v>3</v>
      </c>
      <c r="H16" s="129">
        <f>IF(B$15=0,0,G16/B$15)</f>
        <v>2.097902097902098E-2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>IF(P16=0,0,Q16/P16)</f>
        <v>-5.3548387096774208</v>
      </c>
      <c r="P16" s="115">
        <v>31</v>
      </c>
      <c r="Q16" s="103">
        <v>-166.00000000000006</v>
      </c>
    </row>
    <row r="17" spans="1:17" x14ac:dyDescent="0.45">
      <c r="A17" s="51" t="s">
        <v>12</v>
      </c>
      <c r="B17" s="44">
        <v>55</v>
      </c>
      <c r="C17" s="37">
        <f>IF(B$15=0,0,B17/B$15)</f>
        <v>0.38461538461538464</v>
      </c>
      <c r="E17" s="59" t="s">
        <v>79</v>
      </c>
      <c r="F17" s="56" t="s">
        <v>34</v>
      </c>
      <c r="G17" s="44">
        <v>2</v>
      </c>
      <c r="H17" s="129">
        <f>IF(B$15=0,0,G17/B$15)</f>
        <v>1.3986013986013986E-2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>IF(P17=0,0,Q17/P17)</f>
        <v>-5.6476190476190471</v>
      </c>
      <c r="P17" s="115">
        <v>21</v>
      </c>
      <c r="Q17" s="103">
        <v>-118.6</v>
      </c>
    </row>
    <row r="18" spans="1:17" x14ac:dyDescent="0.45">
      <c r="A18" s="51" t="s">
        <v>11</v>
      </c>
      <c r="B18" s="44">
        <v>88</v>
      </c>
      <c r="C18" s="37">
        <f>IF(B$15=0,0,B18/B$15)</f>
        <v>0.61538461538461542</v>
      </c>
      <c r="E18" s="59" t="s">
        <v>88</v>
      </c>
      <c r="F18" s="56" t="s">
        <v>43</v>
      </c>
      <c r="G18" s="44">
        <v>2</v>
      </c>
      <c r="H18" s="129">
        <f>IF(B$15=0,0,G18/B$15)</f>
        <v>1.3986013986013986E-2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5">
      <c r="A19" s="51" t="s">
        <v>197</v>
      </c>
      <c r="B19" s="44">
        <v>39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6.993006993006993E-3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195</v>
      </c>
      <c r="B20" s="44">
        <v>51</v>
      </c>
      <c r="C20" s="37">
        <f>IF(B$15=0,0,B20/B$15)</f>
        <v>0.35664335664335667</v>
      </c>
      <c r="E20" s="59" t="s">
        <v>75</v>
      </c>
      <c r="F20" s="56" t="s">
        <v>30</v>
      </c>
      <c r="G20" s="44">
        <v>1</v>
      </c>
      <c r="H20" s="129">
        <f>IF(B$15=0,0,G20/B$15)</f>
        <v>6.993006993006993E-3</v>
      </c>
      <c r="I20" s="90">
        <v>5</v>
      </c>
      <c r="K20" s="36">
        <v>18</v>
      </c>
      <c r="L20" s="95">
        <v>-80.2</v>
      </c>
      <c r="N20" s="111" t="s">
        <v>202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5">
      <c r="A21" s="51" t="s">
        <v>196</v>
      </c>
      <c r="B21" s="44">
        <v>53</v>
      </c>
      <c r="C21" s="37">
        <f>IF(B$15=0,0,B21/B$15)</f>
        <v>0.37062937062937062</v>
      </c>
      <c r="E21" s="59" t="s">
        <v>77</v>
      </c>
      <c r="F21" s="56" t="s">
        <v>32</v>
      </c>
      <c r="G21" s="44">
        <v>1</v>
      </c>
      <c r="H21" s="129">
        <f>IF(B$15=0,0,G21/B$15)</f>
        <v>6.993006993006993E-3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>IF(P21=0,0,Q21/P21)</f>
        <v>-31.246666666666666</v>
      </c>
      <c r="P21" s="115">
        <v>15</v>
      </c>
      <c r="Q21" s="103">
        <v>-468.7</v>
      </c>
    </row>
    <row r="22" spans="1:17" x14ac:dyDescent="0.45">
      <c r="A22" s="51" t="s">
        <v>5</v>
      </c>
      <c r="B22" s="48">
        <f>IF(B$15=0,0,C22/B$15)</f>
        <v>7116.0839160839159</v>
      </c>
      <c r="C22" s="39">
        <v>1017600</v>
      </c>
      <c r="E22" s="59" t="s">
        <v>93</v>
      </c>
      <c r="F22" s="56" t="s">
        <v>48</v>
      </c>
      <c r="G22" s="44">
        <v>1</v>
      </c>
      <c r="H22" s="129">
        <f>IF(B$15=0,0,G22/B$15)</f>
        <v>6.993006993006993E-3</v>
      </c>
      <c r="I22" s="90">
        <v>1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7379.347826086957</v>
      </c>
      <c r="C23" s="137">
        <v>678900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6641.1764705882351</v>
      </c>
      <c r="C24" s="137">
        <v>338700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-7661.7283950617284</v>
      </c>
      <c r="C25" s="137">
        <v>-620600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5</v>
      </c>
      <c r="K28" s="36">
        <v>26</v>
      </c>
      <c r="L28" s="95">
        <v>-123.10000000000002</v>
      </c>
    </row>
    <row r="29" spans="1:17" x14ac:dyDescent="0.45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3.7950664136622392E-3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185</v>
      </c>
      <c r="B32" s="144">
        <v>19</v>
      </c>
      <c r="C32" s="141">
        <f>IF(B$15=0,0,B32/B$15)</f>
        <v>0.13286713286713286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5">
      <c r="A33" s="51" t="s">
        <v>181</v>
      </c>
      <c r="B33" s="44">
        <v>28</v>
      </c>
      <c r="C33" s="37">
        <f t="shared" ref="C33:C44" si="2">IF(B$15=0,0,B33/B$15)</f>
        <v>0.19580419580419581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182</v>
      </c>
      <c r="B34" s="145">
        <v>31</v>
      </c>
      <c r="C34" s="37">
        <f>IF(B$15=0,0,B34/B$15)</f>
        <v>0.21678321678321677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183</v>
      </c>
      <c r="B35" s="145">
        <v>23</v>
      </c>
      <c r="C35" s="37">
        <f t="shared" si="2"/>
        <v>0.16083916083916083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184</v>
      </c>
      <c r="B36" s="145">
        <v>17</v>
      </c>
      <c r="C36" s="37">
        <f t="shared" si="2"/>
        <v>0.11888111888111888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186</v>
      </c>
      <c r="B37" s="145">
        <v>11</v>
      </c>
      <c r="C37" s="37">
        <f t="shared" si="2"/>
        <v>7.6923076923076927E-2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187</v>
      </c>
      <c r="B38" s="145">
        <v>8</v>
      </c>
      <c r="C38" s="37">
        <f t="shared" si="2"/>
        <v>5.5944055944055944E-2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188</v>
      </c>
      <c r="B39" s="145">
        <v>5</v>
      </c>
      <c r="C39" s="37">
        <f t="shared" si="2"/>
        <v>3.4965034965034968E-2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193</v>
      </c>
      <c r="B44" s="140">
        <v>1</v>
      </c>
      <c r="C44" s="40">
        <f t="shared" si="2"/>
        <v>6.993006993006993E-3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3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137</v>
      </c>
      <c r="C2" s="155"/>
      <c r="E2" s="58" t="s">
        <v>66</v>
      </c>
      <c r="F2" s="55" t="s">
        <v>22</v>
      </c>
      <c r="G2" s="43">
        <v>253</v>
      </c>
      <c r="H2" s="128">
        <f>IF(B$15=0,0,G2/B$15)</f>
        <v>0.66754617414248019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980</v>
      </c>
      <c r="P2" s="114">
        <v>135</v>
      </c>
      <c r="Q2" s="98">
        <v>132300</v>
      </c>
    </row>
    <row r="3" spans="1:17" x14ac:dyDescent="0.45">
      <c r="A3" s="51" t="s">
        <v>8</v>
      </c>
      <c r="B3" s="156">
        <v>1115</v>
      </c>
      <c r="C3" s="157"/>
      <c r="E3" s="59" t="s">
        <v>72</v>
      </c>
      <c r="F3" s="56" t="s">
        <v>27</v>
      </c>
      <c r="G3" s="44">
        <v>188</v>
      </c>
      <c r="H3" s="129">
        <f>IF(B$15=0,0,G3/B$15)</f>
        <v>0.49604221635883905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659.84848484848487</v>
      </c>
      <c r="P3" s="115">
        <v>132</v>
      </c>
      <c r="Q3" s="99">
        <v>87100</v>
      </c>
    </row>
    <row r="4" spans="1:17" x14ac:dyDescent="0.45">
      <c r="A4" s="51" t="s">
        <v>6</v>
      </c>
      <c r="B4" s="158">
        <v>1129.8000000000004</v>
      </c>
      <c r="C4" s="159"/>
      <c r="E4" s="59" t="s">
        <v>64</v>
      </c>
      <c r="F4" s="56" t="s">
        <v>20</v>
      </c>
      <c r="G4" s="44">
        <v>168</v>
      </c>
      <c r="H4" s="129">
        <f>IF(B$15=0,0,G4/B$15)</f>
        <v>0.44327176781002636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1094.4444444444443</v>
      </c>
      <c r="P4" s="115">
        <v>126</v>
      </c>
      <c r="Q4" s="99">
        <v>137900</v>
      </c>
    </row>
    <row r="5" spans="1:17" x14ac:dyDescent="0.45">
      <c r="A5" s="51" t="s">
        <v>7</v>
      </c>
      <c r="B5" s="160">
        <f>IF(B$2=0,0,B$4/B$2)</f>
        <v>8.2467153284671557</v>
      </c>
      <c r="C5" s="161"/>
      <c r="E5" s="59" t="s">
        <v>166</v>
      </c>
      <c r="F5" s="56" t="s">
        <v>167</v>
      </c>
      <c r="G5" s="44">
        <v>144</v>
      </c>
      <c r="H5" s="129">
        <f>IF(B$15=0,0,G5/B$15)</f>
        <v>0.37994722955145116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182.20338983050848</v>
      </c>
      <c r="P5" s="115">
        <v>118</v>
      </c>
      <c r="Q5" s="99">
        <v>21500</v>
      </c>
    </row>
    <row r="6" spans="1:17" x14ac:dyDescent="0.45">
      <c r="A6" s="51" t="s">
        <v>1</v>
      </c>
      <c r="B6" s="150">
        <f>IF(B$2=0,0,(B$7*1+B$8*2+B$9*3)/B$2)</f>
        <v>1.7883211678832116</v>
      </c>
      <c r="C6" s="151"/>
      <c r="E6" s="59" t="s">
        <v>68</v>
      </c>
      <c r="F6" s="56" t="s">
        <v>12</v>
      </c>
      <c r="G6" s="44">
        <v>112</v>
      </c>
      <c r="H6" s="129">
        <f>IF(B$15=0,0,G6/B$15)</f>
        <v>0.29551451187335093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2116.5137614678897</v>
      </c>
      <c r="P6" s="115">
        <v>109</v>
      </c>
      <c r="Q6" s="99">
        <v>230700</v>
      </c>
    </row>
    <row r="7" spans="1:17" x14ac:dyDescent="0.45">
      <c r="A7" s="51" t="s">
        <v>2</v>
      </c>
      <c r="B7" s="44">
        <v>63</v>
      </c>
      <c r="C7" s="37">
        <f t="shared" ref="C7:C10" si="1">IF(B$2=0,0,B7/B$2)</f>
        <v>0.45985401459854014</v>
      </c>
      <c r="E7" s="59" t="s">
        <v>67</v>
      </c>
      <c r="F7" s="56" t="s">
        <v>23</v>
      </c>
      <c r="G7" s="44">
        <v>99</v>
      </c>
      <c r="H7" s="129">
        <f>IF(B$15=0,0,G7/B$15)</f>
        <v>0.26121372031662271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2238.2022471910113</v>
      </c>
      <c r="P7" s="116">
        <v>89</v>
      </c>
      <c r="Q7" s="100">
        <v>199200</v>
      </c>
    </row>
    <row r="8" spans="1:17" x14ac:dyDescent="0.45">
      <c r="A8" s="51" t="s">
        <v>3</v>
      </c>
      <c r="B8" s="44">
        <v>40</v>
      </c>
      <c r="C8" s="37">
        <f t="shared" si="1"/>
        <v>0.29197080291970801</v>
      </c>
      <c r="E8" s="59" t="s">
        <v>89</v>
      </c>
      <c r="F8" s="56" t="s">
        <v>44</v>
      </c>
      <c r="G8" s="44">
        <v>57</v>
      </c>
      <c r="H8" s="129">
        <f>IF(B$15=0,0,G8/B$15)</f>
        <v>0.15039577836411611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0.24817518248175183</v>
      </c>
      <c r="E9" s="59" t="s">
        <v>69</v>
      </c>
      <c r="F9" s="56" t="s">
        <v>24</v>
      </c>
      <c r="G9" s="44">
        <v>54</v>
      </c>
      <c r="H9" s="129">
        <f>IF(B$15=0,0,G9/B$15)</f>
        <v>0.14248021108179421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4.3795620437956206E-2</v>
      </c>
      <c r="E10" s="59" t="s">
        <v>65</v>
      </c>
      <c r="F10" s="56" t="s">
        <v>21</v>
      </c>
      <c r="G10" s="44">
        <v>43</v>
      </c>
      <c r="H10" s="129">
        <f>IF(B$15=0,0,G10/B$15)</f>
        <v>0.11345646437994723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5">
      <c r="A11" s="54" t="s">
        <v>121</v>
      </c>
      <c r="B11" s="47">
        <v>300</v>
      </c>
      <c r="C11" s="42">
        <f>IF(B$3=0,0,B11/B$3)</f>
        <v>0.26905829596412556</v>
      </c>
      <c r="E11" s="59" t="s">
        <v>86</v>
      </c>
      <c r="F11" s="56" t="s">
        <v>41</v>
      </c>
      <c r="G11" s="44">
        <v>26</v>
      </c>
      <c r="H11" s="129">
        <f>IF(B$15=0,0,G11/B$15)</f>
        <v>6.860158311345646E-2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3.4978723404255314</v>
      </c>
      <c r="P11" s="115">
        <v>47</v>
      </c>
      <c r="Q11" s="103">
        <v>164.39999999999998</v>
      </c>
    </row>
    <row r="12" spans="1:17" x14ac:dyDescent="0.45">
      <c r="A12" s="51" t="s">
        <v>118</v>
      </c>
      <c r="B12" s="44">
        <v>248</v>
      </c>
      <c r="C12" s="37">
        <f>IF(B$3=0,0,B12/B$3)</f>
        <v>0.22242152466367712</v>
      </c>
      <c r="E12" s="59" t="s">
        <v>71</v>
      </c>
      <c r="F12" s="56" t="s">
        <v>26</v>
      </c>
      <c r="G12" s="44">
        <v>25</v>
      </c>
      <c r="H12" s="129">
        <f>IF(B$15=0,0,G12/B$15)</f>
        <v>6.5963060686015831E-2</v>
      </c>
      <c r="I12" s="90">
        <v>9</v>
      </c>
      <c r="K12" s="36">
        <v>10</v>
      </c>
      <c r="L12" s="95">
        <v>158.19999999999999</v>
      </c>
      <c r="N12" s="112" t="s">
        <v>159</v>
      </c>
      <c r="O12" s="122">
        <f>IF(P12=0,0,Q12/P12)</f>
        <v>9.5639999999999983</v>
      </c>
      <c r="P12" s="116">
        <v>50</v>
      </c>
      <c r="Q12" s="104">
        <v>478.19999999999987</v>
      </c>
    </row>
    <row r="13" spans="1:17" x14ac:dyDescent="0.45">
      <c r="A13" s="50" t="s">
        <v>123</v>
      </c>
      <c r="B13" s="43">
        <f>B19</f>
        <v>178</v>
      </c>
      <c r="C13" s="35">
        <f>IF(B$11=0,0,B13/B$11)</f>
        <v>0.59333333333333338</v>
      </c>
      <c r="E13" s="59" t="s">
        <v>70</v>
      </c>
      <c r="F13" s="56" t="s">
        <v>25</v>
      </c>
      <c r="G13" s="44">
        <v>20</v>
      </c>
      <c r="H13" s="129">
        <f>IF(B$15=0,0,G13/B$15)</f>
        <v>5.2770448548812667E-2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119</v>
      </c>
      <c r="C14" s="35">
        <f>IF(B$12=0,0,B14/B$12)</f>
        <v>0.47983870967741937</v>
      </c>
      <c r="E14" s="59" t="s">
        <v>83</v>
      </c>
      <c r="F14" s="56" t="s">
        <v>38</v>
      </c>
      <c r="G14" s="44">
        <v>16</v>
      </c>
      <c r="H14" s="129">
        <f>IF(B$15=0,0,G14/B$15)</f>
        <v>4.221635883905013E-2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379</v>
      </c>
      <c r="C15" s="35">
        <f>IF(B$3=0,0,B15/B$3)</f>
        <v>0.3399103139013453</v>
      </c>
      <c r="E15" s="59" t="s">
        <v>78</v>
      </c>
      <c r="F15" s="56" t="s">
        <v>33</v>
      </c>
      <c r="G15" s="44">
        <v>14</v>
      </c>
      <c r="H15" s="129">
        <f>IF(B$15=0,0,G15/B$15)</f>
        <v>3.6939313984168866E-2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147</v>
      </c>
      <c r="C16" s="37">
        <f>IF(B$3=0,0,B16/B$3)</f>
        <v>0.13183856502242153</v>
      </c>
      <c r="E16" s="59" t="s">
        <v>162</v>
      </c>
      <c r="F16" s="56" t="s">
        <v>163</v>
      </c>
      <c r="G16" s="44">
        <v>13</v>
      </c>
      <c r="H16" s="129">
        <f>IF(B$15=0,0,G16/B$15)</f>
        <v>3.430079155672823E-2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5">
      <c r="A17" s="51" t="s">
        <v>12</v>
      </c>
      <c r="B17" s="44">
        <v>162</v>
      </c>
      <c r="C17" s="37">
        <f>IF(B$15=0,0,B17/B$15)</f>
        <v>0.42744063324538256</v>
      </c>
      <c r="E17" s="59" t="s">
        <v>75</v>
      </c>
      <c r="F17" s="56" t="s">
        <v>30</v>
      </c>
      <c r="G17" s="44">
        <v>4</v>
      </c>
      <c r="H17" s="129">
        <f>IF(B$15=0,0,G17/B$15)</f>
        <v>1.0554089709762533E-2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15.290384615384616</v>
      </c>
      <c r="P17" s="115">
        <v>52</v>
      </c>
      <c r="Q17" s="103">
        <v>795.1</v>
      </c>
    </row>
    <row r="18" spans="1:17" x14ac:dyDescent="0.45">
      <c r="A18" s="51" t="s">
        <v>11</v>
      </c>
      <c r="B18" s="44">
        <v>217</v>
      </c>
      <c r="C18" s="37">
        <f>IF(B$15=0,0,B18/B$15)</f>
        <v>0.57255936675461738</v>
      </c>
      <c r="E18" s="59" t="s">
        <v>77</v>
      </c>
      <c r="F18" s="56" t="s">
        <v>32</v>
      </c>
      <c r="G18" s="44">
        <v>3</v>
      </c>
      <c r="H18" s="129">
        <f>IF(B$15=0,0,G18/B$15)</f>
        <v>7.9155672823219003E-3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14.924489795918371</v>
      </c>
      <c r="P18" s="115">
        <v>49</v>
      </c>
      <c r="Q18" s="103">
        <v>731.30000000000018</v>
      </c>
    </row>
    <row r="19" spans="1:17" x14ac:dyDescent="0.45">
      <c r="A19" s="51" t="s">
        <v>197</v>
      </c>
      <c r="B19" s="44">
        <v>178</v>
      </c>
      <c r="C19" s="37">
        <f>IF(B$15=0,0,B19/B$15)</f>
        <v>0.46965699208443273</v>
      </c>
      <c r="E19" s="59" t="s">
        <v>81</v>
      </c>
      <c r="F19" s="56" t="s">
        <v>36</v>
      </c>
      <c r="G19" s="44">
        <v>3</v>
      </c>
      <c r="H19" s="129">
        <f>IF(B$15=0,0,G19/B$15)</f>
        <v>7.9155672823219003E-3</v>
      </c>
      <c r="I19" s="90">
        <v>9</v>
      </c>
      <c r="K19" s="36">
        <v>17</v>
      </c>
      <c r="L19" s="95">
        <v>359.09999999999991</v>
      </c>
      <c r="N19" s="111" t="s">
        <v>127</v>
      </c>
      <c r="O19" s="121">
        <f>IF(P19=0,0,Q19/P19)</f>
        <v>13.109411764705888</v>
      </c>
      <c r="P19" s="115">
        <v>85</v>
      </c>
      <c r="Q19" s="103">
        <v>1114.3000000000004</v>
      </c>
    </row>
    <row r="20" spans="1:17" x14ac:dyDescent="0.45">
      <c r="A20" s="51" t="s">
        <v>195</v>
      </c>
      <c r="B20" s="44">
        <v>119</v>
      </c>
      <c r="C20" s="37">
        <f>IF(B$15=0,0,B20/B$15)</f>
        <v>0.31398416886543534</v>
      </c>
      <c r="E20" s="59" t="s">
        <v>84</v>
      </c>
      <c r="F20" s="56" t="s">
        <v>39</v>
      </c>
      <c r="G20" s="44">
        <v>3</v>
      </c>
      <c r="H20" s="129">
        <f>IF(B$15=0,0,G20/B$15)</f>
        <v>7.9155672823219003E-3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5">
      <c r="A21" s="51" t="s">
        <v>196</v>
      </c>
      <c r="B21" s="44">
        <v>82</v>
      </c>
      <c r="C21" s="37">
        <f>IF(B$15=0,0,B21/B$15)</f>
        <v>0.21635883905013192</v>
      </c>
      <c r="E21" s="59" t="s">
        <v>91</v>
      </c>
      <c r="F21" s="56" t="s">
        <v>46</v>
      </c>
      <c r="G21" s="44">
        <v>3</v>
      </c>
      <c r="H21" s="129">
        <f>IF(B$15=0,0,G21/B$15)</f>
        <v>7.9155672823219003E-3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0.81176470588235272</v>
      </c>
      <c r="P21" s="115">
        <v>34</v>
      </c>
      <c r="Q21" s="103">
        <v>27.599999999999991</v>
      </c>
    </row>
    <row r="22" spans="1:17" x14ac:dyDescent="0.45">
      <c r="A22" s="51" t="s">
        <v>5</v>
      </c>
      <c r="B22" s="48">
        <f>IF(B$15=0,0,C22/B$15)</f>
        <v>8282.0580474934031</v>
      </c>
      <c r="C22" s="39">
        <v>3138900</v>
      </c>
      <c r="E22" s="59" t="s">
        <v>92</v>
      </c>
      <c r="F22" s="56" t="s">
        <v>47</v>
      </c>
      <c r="G22" s="44">
        <v>3</v>
      </c>
      <c r="H22" s="129">
        <f>IF(B$15=0,0,G22/B$15)</f>
        <v>7.9155672823219003E-3</v>
      </c>
      <c r="I22" s="90">
        <v>3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8556.538461538461</v>
      </c>
      <c r="C23" s="137">
        <v>2224700</v>
      </c>
      <c r="E23" s="59" t="s">
        <v>79</v>
      </c>
      <c r="F23" s="56" t="s">
        <v>34</v>
      </c>
      <c r="G23" s="44">
        <v>2</v>
      </c>
      <c r="H23" s="129">
        <f>IF(B$15=0,0,G23/B$15)</f>
        <v>5.2770448548812663E-3</v>
      </c>
      <c r="I23" s="90">
        <v>7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7682.3529411764703</v>
      </c>
      <c r="C24" s="137">
        <v>914200</v>
      </c>
      <c r="E24" s="59" t="s">
        <v>85</v>
      </c>
      <c r="F24" s="56" t="s">
        <v>40</v>
      </c>
      <c r="G24" s="44">
        <v>2</v>
      </c>
      <c r="H24" s="129">
        <f>IF(B$15=0,0,G24/B$15)</f>
        <v>5.2770448548812663E-3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-7783.6734693877552</v>
      </c>
      <c r="C25" s="137">
        <v>-1144200</v>
      </c>
      <c r="E25" s="59" t="s">
        <v>88</v>
      </c>
      <c r="F25" s="56" t="s">
        <v>43</v>
      </c>
      <c r="G25" s="44">
        <v>2</v>
      </c>
      <c r="H25" s="129">
        <f>IF(B$15=0,0,G25/B$15)</f>
        <v>5.2770448548812663E-3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5.2770448548812663E-3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9</v>
      </c>
      <c r="E27" s="59" t="s">
        <v>74</v>
      </c>
      <c r="F27" s="56" t="s">
        <v>29</v>
      </c>
      <c r="G27" s="44">
        <v>1</v>
      </c>
      <c r="H27" s="129">
        <f>IF(B$15=0,0,G27/B$15)</f>
        <v>2.6385224274406332E-3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2.6385224274406332E-3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2.6385224274406332E-3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8.9686098654708521E-4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185</v>
      </c>
      <c r="B32" s="144">
        <v>32</v>
      </c>
      <c r="C32" s="141">
        <f>IF(B$15=0,0,B32/B$15)</f>
        <v>8.4432717678100261E-2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181</v>
      </c>
      <c r="B33" s="44">
        <v>64</v>
      </c>
      <c r="C33" s="37">
        <f t="shared" ref="C33:C44" si="2">IF(B$15=0,0,B33/B$15)</f>
        <v>0.16886543535620052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182</v>
      </c>
      <c r="B34" s="145">
        <v>84</v>
      </c>
      <c r="C34" s="37">
        <f>IF(B$15=0,0,B34/B$15)</f>
        <v>0.22163588390501318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183</v>
      </c>
      <c r="B35" s="145">
        <v>72</v>
      </c>
      <c r="C35" s="37">
        <f t="shared" si="2"/>
        <v>0.18997361477572558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184</v>
      </c>
      <c r="B36" s="145">
        <v>54</v>
      </c>
      <c r="C36" s="37">
        <f t="shared" si="2"/>
        <v>0.14248021108179421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186</v>
      </c>
      <c r="B37" s="145">
        <v>37</v>
      </c>
      <c r="C37" s="37">
        <f t="shared" si="2"/>
        <v>9.7625329815303433E-2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187</v>
      </c>
      <c r="B38" s="145">
        <v>17</v>
      </c>
      <c r="C38" s="37">
        <f t="shared" si="2"/>
        <v>4.4854881266490766E-2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188</v>
      </c>
      <c r="B39" s="145">
        <v>5</v>
      </c>
      <c r="C39" s="37">
        <f t="shared" si="2"/>
        <v>1.3192612137203167E-2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189</v>
      </c>
      <c r="B40" s="145">
        <v>7</v>
      </c>
      <c r="C40" s="37">
        <f t="shared" si="2"/>
        <v>1.8469656992084433E-2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192</v>
      </c>
      <c r="B43" s="145">
        <v>1</v>
      </c>
      <c r="C43" s="37">
        <f t="shared" si="2"/>
        <v>2.6385224274406332E-3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193</v>
      </c>
      <c r="B44" s="140">
        <v>6</v>
      </c>
      <c r="C44" s="40">
        <f t="shared" si="2"/>
        <v>1.5831134564643801E-2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500.59999999999997</v>
      </c>
    </row>
    <row r="67" spans="11:12" x14ac:dyDescent="0.45">
      <c r="K67" s="36">
        <v>65</v>
      </c>
      <c r="L67" s="95">
        <v>518.9</v>
      </c>
    </row>
    <row r="68" spans="11:12" x14ac:dyDescent="0.45">
      <c r="K68" s="36">
        <v>66</v>
      </c>
      <c r="L68" s="95">
        <v>538.1</v>
      </c>
    </row>
    <row r="69" spans="11:12" x14ac:dyDescent="0.45">
      <c r="K69" s="36">
        <v>67</v>
      </c>
      <c r="L69" s="95">
        <v>538.70000000000005</v>
      </c>
    </row>
    <row r="70" spans="11:12" x14ac:dyDescent="0.45">
      <c r="K70" s="36">
        <v>68</v>
      </c>
      <c r="L70" s="95">
        <v>503.50000000000006</v>
      </c>
    </row>
    <row r="71" spans="11:12" x14ac:dyDescent="0.45">
      <c r="K71" s="36">
        <v>69</v>
      </c>
      <c r="L71" s="95">
        <v>544.1</v>
      </c>
    </row>
    <row r="72" spans="11:12" x14ac:dyDescent="0.45">
      <c r="K72" s="36">
        <v>70</v>
      </c>
      <c r="L72" s="95">
        <v>576.5</v>
      </c>
    </row>
    <row r="73" spans="11:12" x14ac:dyDescent="0.45">
      <c r="K73" s="36">
        <v>71</v>
      </c>
      <c r="L73" s="95">
        <v>544.79999999999995</v>
      </c>
    </row>
    <row r="74" spans="11:12" x14ac:dyDescent="0.45">
      <c r="K74" s="36">
        <v>72</v>
      </c>
      <c r="L74" s="95">
        <v>502.09999999999997</v>
      </c>
    </row>
    <row r="75" spans="11:12" x14ac:dyDescent="0.45">
      <c r="K75" s="36">
        <v>73</v>
      </c>
      <c r="L75" s="95">
        <v>526.19999999999993</v>
      </c>
    </row>
    <row r="76" spans="11:12" x14ac:dyDescent="0.45">
      <c r="K76" s="36">
        <v>74</v>
      </c>
      <c r="L76" s="95">
        <v>550.99999999999989</v>
      </c>
    </row>
    <row r="77" spans="11:12" x14ac:dyDescent="0.45">
      <c r="K77" s="36">
        <v>75</v>
      </c>
      <c r="L77" s="95">
        <v>576.49999999999989</v>
      </c>
    </row>
    <row r="78" spans="11:12" x14ac:dyDescent="0.45">
      <c r="K78" s="36">
        <v>76</v>
      </c>
      <c r="L78" s="95">
        <v>601.29999999999984</v>
      </c>
    </row>
    <row r="79" spans="11:12" x14ac:dyDescent="0.45">
      <c r="K79" s="36">
        <v>77</v>
      </c>
      <c r="L79" s="95">
        <v>576.29999999999984</v>
      </c>
    </row>
    <row r="80" spans="11:12" x14ac:dyDescent="0.45">
      <c r="K80" s="36">
        <v>78</v>
      </c>
      <c r="L80" s="95">
        <v>546.79999999999984</v>
      </c>
    </row>
    <row r="81" spans="11:12" x14ac:dyDescent="0.45">
      <c r="K81" s="36">
        <v>79</v>
      </c>
      <c r="L81" s="95">
        <v>579.29999999999984</v>
      </c>
    </row>
    <row r="82" spans="11:12" x14ac:dyDescent="0.45">
      <c r="K82" s="36">
        <v>80</v>
      </c>
      <c r="L82" s="95">
        <v>556.89999999999986</v>
      </c>
    </row>
    <row r="83" spans="11:12" x14ac:dyDescent="0.45">
      <c r="K83" s="36">
        <v>81</v>
      </c>
      <c r="L83" s="95">
        <v>572.09999999999991</v>
      </c>
    </row>
    <row r="84" spans="11:12" x14ac:dyDescent="0.45">
      <c r="K84" s="36">
        <v>82</v>
      </c>
      <c r="L84" s="95">
        <v>521.59999999999991</v>
      </c>
    </row>
    <row r="85" spans="11:12" x14ac:dyDescent="0.45">
      <c r="K85" s="36">
        <v>83</v>
      </c>
      <c r="L85" s="95">
        <v>548.39999999999986</v>
      </c>
    </row>
    <row r="86" spans="11:12" x14ac:dyDescent="0.45">
      <c r="K86" s="36">
        <v>84</v>
      </c>
      <c r="L86" s="95">
        <v>546.59999999999991</v>
      </c>
    </row>
    <row r="87" spans="11:12" x14ac:dyDescent="0.45">
      <c r="K87" s="36">
        <v>85</v>
      </c>
      <c r="L87" s="95">
        <v>566.49999999999989</v>
      </c>
    </row>
    <row r="88" spans="11:12" x14ac:dyDescent="0.45">
      <c r="K88" s="36">
        <v>86</v>
      </c>
      <c r="L88" s="95">
        <v>529.79999999999984</v>
      </c>
    </row>
    <row r="89" spans="11:12" x14ac:dyDescent="0.45">
      <c r="K89" s="36">
        <v>87</v>
      </c>
      <c r="L89" s="95">
        <v>550.39999999999986</v>
      </c>
    </row>
    <row r="90" spans="11:12" x14ac:dyDescent="0.45">
      <c r="K90" s="36">
        <v>88</v>
      </c>
      <c r="L90" s="95">
        <v>554.39999999999986</v>
      </c>
    </row>
    <row r="91" spans="11:12" x14ac:dyDescent="0.45">
      <c r="K91" s="36">
        <v>89</v>
      </c>
      <c r="L91" s="95">
        <v>570.89999999999986</v>
      </c>
    </row>
    <row r="92" spans="11:12" x14ac:dyDescent="0.45">
      <c r="K92" s="36">
        <v>90</v>
      </c>
      <c r="L92" s="95">
        <v>531.89999999999986</v>
      </c>
    </row>
    <row r="93" spans="11:12" x14ac:dyDescent="0.45">
      <c r="K93" s="36">
        <v>91</v>
      </c>
      <c r="L93" s="95">
        <v>486.29999999999984</v>
      </c>
    </row>
    <row r="94" spans="11:12" x14ac:dyDescent="0.45">
      <c r="K94" s="36">
        <v>92</v>
      </c>
      <c r="L94" s="95">
        <v>520.39999999999986</v>
      </c>
    </row>
    <row r="95" spans="11:12" x14ac:dyDescent="0.45">
      <c r="K95" s="36">
        <v>93</v>
      </c>
      <c r="L95" s="95">
        <v>548.09999999999991</v>
      </c>
    </row>
    <row r="96" spans="11:12" x14ac:dyDescent="0.45">
      <c r="K96" s="36">
        <v>94</v>
      </c>
      <c r="L96" s="95">
        <v>583.99999999999989</v>
      </c>
    </row>
    <row r="97" spans="11:12" x14ac:dyDescent="0.45">
      <c r="K97" s="36">
        <v>95</v>
      </c>
      <c r="L97" s="95">
        <v>605.69999999999993</v>
      </c>
    </row>
    <row r="98" spans="11:12" x14ac:dyDescent="0.45">
      <c r="K98" s="36">
        <v>96</v>
      </c>
      <c r="L98" s="95">
        <v>625.19999999999993</v>
      </c>
    </row>
    <row r="99" spans="11:12" x14ac:dyDescent="0.45">
      <c r="K99" s="36">
        <v>97</v>
      </c>
      <c r="L99" s="95">
        <v>638.79999999999995</v>
      </c>
    </row>
    <row r="100" spans="11:12" x14ac:dyDescent="0.45">
      <c r="K100" s="36">
        <v>98</v>
      </c>
      <c r="L100" s="95">
        <v>680.69999999999993</v>
      </c>
    </row>
    <row r="101" spans="11:12" x14ac:dyDescent="0.45">
      <c r="K101" s="36">
        <v>99</v>
      </c>
      <c r="L101" s="95">
        <v>664.19999999999993</v>
      </c>
    </row>
    <row r="102" spans="11:12" x14ac:dyDescent="0.45">
      <c r="K102" s="36">
        <v>100</v>
      </c>
      <c r="L102" s="95">
        <v>713.19999999999993</v>
      </c>
    </row>
    <row r="103" spans="11:12" x14ac:dyDescent="0.45">
      <c r="K103" s="36">
        <v>101</v>
      </c>
      <c r="L103" s="95">
        <v>757.59999999999991</v>
      </c>
    </row>
    <row r="104" spans="11:12" x14ac:dyDescent="0.45">
      <c r="K104" s="36">
        <v>102</v>
      </c>
      <c r="L104" s="95">
        <v>717.39999999999986</v>
      </c>
    </row>
    <row r="105" spans="11:12" x14ac:dyDescent="0.45">
      <c r="K105" s="36">
        <v>103</v>
      </c>
      <c r="L105" s="95">
        <v>767.39999999999986</v>
      </c>
    </row>
    <row r="106" spans="11:12" x14ac:dyDescent="0.45">
      <c r="K106" s="36">
        <v>104</v>
      </c>
      <c r="L106" s="95">
        <v>891.49999999999989</v>
      </c>
    </row>
    <row r="107" spans="11:12" x14ac:dyDescent="0.45">
      <c r="K107" s="36">
        <v>105</v>
      </c>
      <c r="L107" s="95">
        <v>898.49999999999989</v>
      </c>
    </row>
    <row r="108" spans="11:12" x14ac:dyDescent="0.45">
      <c r="K108" s="36">
        <v>106</v>
      </c>
      <c r="L108" s="95">
        <v>884.39999999999986</v>
      </c>
    </row>
    <row r="109" spans="11:12" x14ac:dyDescent="0.45">
      <c r="K109" s="36">
        <v>107</v>
      </c>
      <c r="L109" s="95">
        <v>954.99999999999989</v>
      </c>
    </row>
    <row r="110" spans="11:12" x14ac:dyDescent="0.45">
      <c r="K110" s="36">
        <v>108</v>
      </c>
      <c r="L110" s="95">
        <v>923.99999999999989</v>
      </c>
    </row>
    <row r="111" spans="11:12" x14ac:dyDescent="0.45">
      <c r="K111" s="36">
        <v>109</v>
      </c>
      <c r="L111" s="95">
        <v>900.39999999999986</v>
      </c>
    </row>
    <row r="112" spans="11:12" x14ac:dyDescent="0.45">
      <c r="K112" s="36">
        <v>110</v>
      </c>
      <c r="L112" s="95">
        <v>903.59999999999991</v>
      </c>
    </row>
    <row r="113" spans="11:12" x14ac:dyDescent="0.45">
      <c r="K113" s="36">
        <v>111</v>
      </c>
      <c r="L113" s="95">
        <v>915.09999999999991</v>
      </c>
    </row>
    <row r="114" spans="11:12" x14ac:dyDescent="0.45">
      <c r="K114" s="36">
        <v>112</v>
      </c>
      <c r="L114" s="95">
        <v>985.69999999999993</v>
      </c>
    </row>
    <row r="115" spans="11:12" x14ac:dyDescent="0.45">
      <c r="K115" s="36">
        <v>113</v>
      </c>
      <c r="L115" s="95">
        <v>991.49999999999989</v>
      </c>
    </row>
    <row r="116" spans="11:12" x14ac:dyDescent="0.45">
      <c r="K116" s="36">
        <v>114</v>
      </c>
      <c r="L116" s="95">
        <v>1038.3999999999999</v>
      </c>
    </row>
    <row r="117" spans="11:12" x14ac:dyDescent="0.45">
      <c r="K117" s="36">
        <v>115</v>
      </c>
      <c r="L117" s="95">
        <v>1045.8</v>
      </c>
    </row>
    <row r="118" spans="11:12" x14ac:dyDescent="0.45">
      <c r="K118" s="36">
        <v>116</v>
      </c>
      <c r="L118" s="95">
        <v>1047.2</v>
      </c>
    </row>
    <row r="119" spans="11:12" x14ac:dyDescent="0.45">
      <c r="K119" s="36">
        <v>117</v>
      </c>
      <c r="L119" s="95">
        <v>1043.3</v>
      </c>
    </row>
    <row r="120" spans="11:12" x14ac:dyDescent="0.45">
      <c r="K120" s="36">
        <v>118</v>
      </c>
      <c r="L120" s="95">
        <v>1060.0999999999999</v>
      </c>
    </row>
    <row r="121" spans="11:12" x14ac:dyDescent="0.45">
      <c r="K121" s="36">
        <v>119</v>
      </c>
      <c r="L121" s="95">
        <v>1067.8</v>
      </c>
    </row>
    <row r="122" spans="11:12" x14ac:dyDescent="0.45">
      <c r="K122" s="36">
        <v>120</v>
      </c>
      <c r="L122" s="95">
        <v>1027</v>
      </c>
    </row>
    <row r="123" spans="11:12" x14ac:dyDescent="0.45">
      <c r="K123" s="36">
        <v>121</v>
      </c>
      <c r="L123" s="95">
        <v>1070.7</v>
      </c>
    </row>
    <row r="124" spans="11:12" x14ac:dyDescent="0.45">
      <c r="K124" s="36">
        <v>122</v>
      </c>
      <c r="L124" s="95">
        <v>1071.8</v>
      </c>
    </row>
    <row r="125" spans="11:12" x14ac:dyDescent="0.45">
      <c r="K125" s="36">
        <v>123</v>
      </c>
      <c r="L125" s="95">
        <v>1110.2</v>
      </c>
    </row>
    <row r="126" spans="11:12" x14ac:dyDescent="0.45">
      <c r="K126" s="36">
        <v>124</v>
      </c>
      <c r="L126" s="95">
        <v>1077.4000000000001</v>
      </c>
    </row>
    <row r="127" spans="11:12" x14ac:dyDescent="0.45">
      <c r="K127" s="36">
        <v>125</v>
      </c>
      <c r="L127" s="95">
        <v>1103.7</v>
      </c>
    </row>
    <row r="128" spans="11:12" x14ac:dyDescent="0.45">
      <c r="K128" s="36">
        <v>126</v>
      </c>
      <c r="L128" s="95">
        <v>1125.2</v>
      </c>
    </row>
    <row r="129" spans="11:12" x14ac:dyDescent="0.45">
      <c r="K129" s="36">
        <v>127</v>
      </c>
      <c r="L129" s="95">
        <v>1116.5</v>
      </c>
    </row>
    <row r="130" spans="11:12" x14ac:dyDescent="0.45">
      <c r="K130" s="36">
        <v>128</v>
      </c>
      <c r="L130" s="95">
        <v>1093.9000000000001</v>
      </c>
    </row>
    <row r="131" spans="11:12" x14ac:dyDescent="0.45">
      <c r="K131" s="36">
        <v>129</v>
      </c>
      <c r="L131" s="95">
        <v>1098.6000000000001</v>
      </c>
    </row>
    <row r="132" spans="11:12" x14ac:dyDescent="0.45">
      <c r="K132" s="36">
        <v>130</v>
      </c>
      <c r="L132" s="95">
        <v>1120.8000000000002</v>
      </c>
    </row>
    <row r="133" spans="11:12" x14ac:dyDescent="0.45">
      <c r="K133" s="36">
        <v>131</v>
      </c>
      <c r="L133" s="95">
        <v>1072.3000000000002</v>
      </c>
    </row>
    <row r="134" spans="11:12" x14ac:dyDescent="0.45">
      <c r="K134" s="36">
        <v>132</v>
      </c>
      <c r="L134" s="95">
        <v>1138.5000000000002</v>
      </c>
    </row>
    <row r="135" spans="11:12" x14ac:dyDescent="0.45">
      <c r="K135" s="36">
        <v>133</v>
      </c>
      <c r="L135" s="95">
        <v>1192.7000000000003</v>
      </c>
    </row>
    <row r="136" spans="11:12" x14ac:dyDescent="0.45">
      <c r="K136" s="36">
        <v>134</v>
      </c>
      <c r="L136" s="95">
        <v>1208.4000000000003</v>
      </c>
    </row>
    <row r="137" spans="11:12" x14ac:dyDescent="0.45">
      <c r="K137" s="36">
        <v>135</v>
      </c>
      <c r="L137" s="95">
        <v>1166.7000000000003</v>
      </c>
    </row>
    <row r="138" spans="11:12" x14ac:dyDescent="0.45">
      <c r="K138" s="36">
        <v>136</v>
      </c>
      <c r="L138" s="95">
        <v>1154.1000000000004</v>
      </c>
    </row>
    <row r="139" spans="11:12" x14ac:dyDescent="0.45">
      <c r="K139" s="36">
        <v>137</v>
      </c>
      <c r="L139" s="95">
        <v>1129.8000000000004</v>
      </c>
    </row>
  </sheetData>
  <sortState xmlns:xlrd2="http://schemas.microsoft.com/office/spreadsheetml/2017/richdata2" ref="E2:I14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123</v>
      </c>
      <c r="C2" s="155"/>
      <c r="E2" s="58" t="s">
        <v>66</v>
      </c>
      <c r="F2" s="55" t="s">
        <v>22</v>
      </c>
      <c r="G2" s="43">
        <v>266</v>
      </c>
      <c r="H2" s="128">
        <f>IF(B$15=0,0,G2/B$15)</f>
        <v>0.82866043613707163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-1254.0983606557377</v>
      </c>
      <c r="P2" s="114">
        <v>122</v>
      </c>
      <c r="Q2" s="98">
        <v>-153000</v>
      </c>
    </row>
    <row r="3" spans="1:17" x14ac:dyDescent="0.45">
      <c r="A3" s="51" t="s">
        <v>8</v>
      </c>
      <c r="B3" s="156">
        <v>1036</v>
      </c>
      <c r="C3" s="157"/>
      <c r="E3" s="59" t="s">
        <v>72</v>
      </c>
      <c r="F3" s="56" t="s">
        <v>27</v>
      </c>
      <c r="G3" s="44">
        <v>189</v>
      </c>
      <c r="H3" s="129">
        <f>IF(B$15=0,0,G3/B$15)</f>
        <v>0.58878504672897192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1695.8333333333333</v>
      </c>
      <c r="P3" s="115">
        <v>120</v>
      </c>
      <c r="Q3" s="99">
        <v>203500</v>
      </c>
    </row>
    <row r="4" spans="1:17" x14ac:dyDescent="0.45">
      <c r="A4" s="51" t="s">
        <v>6</v>
      </c>
      <c r="B4" s="158">
        <v>154.4999999999998</v>
      </c>
      <c r="C4" s="159"/>
      <c r="E4" s="59" t="s">
        <v>166</v>
      </c>
      <c r="F4" s="56" t="s">
        <v>167</v>
      </c>
      <c r="G4" s="44">
        <v>128</v>
      </c>
      <c r="H4" s="129">
        <f>IF(B$15=0,0,G4/B$15)</f>
        <v>0.39875389408099687</v>
      </c>
      <c r="I4" s="90">
        <v>6</v>
      </c>
      <c r="K4" s="36">
        <v>2</v>
      </c>
      <c r="L4" s="95">
        <v>-34.299999999999997</v>
      </c>
      <c r="N4" s="111" t="s">
        <v>132</v>
      </c>
      <c r="O4" s="118">
        <f t="shared" si="0"/>
        <v>-16.363636363636363</v>
      </c>
      <c r="P4" s="115">
        <v>110</v>
      </c>
      <c r="Q4" s="99">
        <v>-1800</v>
      </c>
    </row>
    <row r="5" spans="1:17" x14ac:dyDescent="0.45">
      <c r="A5" s="51" t="s">
        <v>7</v>
      </c>
      <c r="B5" s="160">
        <f>IF(B$2=0,0,B$4/B$2)</f>
        <v>1.2560975609756082</v>
      </c>
      <c r="C5" s="161"/>
      <c r="E5" s="59" t="s">
        <v>64</v>
      </c>
      <c r="F5" s="56" t="s">
        <v>20</v>
      </c>
      <c r="G5" s="44">
        <v>121</v>
      </c>
      <c r="H5" s="129">
        <f>IF(B$15=0,0,G5/B$15)</f>
        <v>0.37694704049844235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514.28571428571433</v>
      </c>
      <c r="P5" s="115">
        <v>105</v>
      </c>
      <c r="Q5" s="99">
        <v>54000</v>
      </c>
    </row>
    <row r="6" spans="1:17" x14ac:dyDescent="0.45">
      <c r="A6" s="51" t="s">
        <v>1</v>
      </c>
      <c r="B6" s="150">
        <f>IF(B$2=0,0,(B$7*1+B$8*2+B$9*3)/B$2)</f>
        <v>1.934959349593496</v>
      </c>
      <c r="C6" s="151"/>
      <c r="E6" s="59" t="s">
        <v>68</v>
      </c>
      <c r="F6" s="56" t="s">
        <v>12</v>
      </c>
      <c r="G6" s="44">
        <v>85</v>
      </c>
      <c r="H6" s="129">
        <f>IF(B$15=0,0,G6/B$15)</f>
        <v>0.26479750778816197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-940.625</v>
      </c>
      <c r="P6" s="115">
        <v>96</v>
      </c>
      <c r="Q6" s="99">
        <v>-90300</v>
      </c>
    </row>
    <row r="7" spans="1:17" x14ac:dyDescent="0.45">
      <c r="A7" s="51" t="s">
        <v>2</v>
      </c>
      <c r="B7" s="44">
        <v>43</v>
      </c>
      <c r="C7" s="37">
        <f t="shared" ref="C7:C10" si="1">IF(B$2=0,0,B7/B$2)</f>
        <v>0.34959349593495936</v>
      </c>
      <c r="E7" s="59" t="s">
        <v>67</v>
      </c>
      <c r="F7" s="56" t="s">
        <v>23</v>
      </c>
      <c r="G7" s="44">
        <v>69</v>
      </c>
      <c r="H7" s="129">
        <f>IF(B$15=0,0,G7/B$15)</f>
        <v>0.21495327102803738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1480.4878048780488</v>
      </c>
      <c r="P7" s="116">
        <v>82</v>
      </c>
      <c r="Q7" s="100">
        <v>121400</v>
      </c>
    </row>
    <row r="8" spans="1:17" x14ac:dyDescent="0.45">
      <c r="A8" s="51" t="s">
        <v>3</v>
      </c>
      <c r="B8" s="44">
        <v>45</v>
      </c>
      <c r="C8" s="37">
        <f t="shared" si="1"/>
        <v>0.36585365853658536</v>
      </c>
      <c r="E8" s="59" t="s">
        <v>89</v>
      </c>
      <c r="F8" s="56" t="s">
        <v>44</v>
      </c>
      <c r="G8" s="44">
        <v>40</v>
      </c>
      <c r="H8" s="129">
        <f>IF(B$15=0,0,G8/B$15)</f>
        <v>0.12461059190031153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0.28455284552845528</v>
      </c>
      <c r="E9" s="59" t="s">
        <v>69</v>
      </c>
      <c r="F9" s="56" t="s">
        <v>24</v>
      </c>
      <c r="G9" s="44">
        <v>37</v>
      </c>
      <c r="H9" s="129">
        <f>IF(B$15=0,0,G9/B$15)</f>
        <v>0.11526479750778816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16</v>
      </c>
      <c r="C10" s="40">
        <f t="shared" si="1"/>
        <v>0.13008130081300814</v>
      </c>
      <c r="E10" s="59" t="s">
        <v>71</v>
      </c>
      <c r="F10" s="56" t="s">
        <v>26</v>
      </c>
      <c r="G10" s="44">
        <v>29</v>
      </c>
      <c r="H10" s="129">
        <f>IF(B$15=0,0,G10/B$15)</f>
        <v>9.0342679127725853E-2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1.3593750000000007</v>
      </c>
      <c r="P10" s="114">
        <v>32</v>
      </c>
      <c r="Q10" s="102">
        <v>43.500000000000021</v>
      </c>
    </row>
    <row r="11" spans="1:17" x14ac:dyDescent="0.45">
      <c r="A11" s="54" t="s">
        <v>121</v>
      </c>
      <c r="B11" s="47">
        <v>237</v>
      </c>
      <c r="C11" s="42">
        <f>IF(B$3=0,0,B11/B$3)</f>
        <v>0.22876447876447875</v>
      </c>
      <c r="E11" s="59" t="s">
        <v>65</v>
      </c>
      <c r="F11" s="56" t="s">
        <v>21</v>
      </c>
      <c r="G11" s="44">
        <v>27</v>
      </c>
      <c r="H11" s="129">
        <f>IF(B$15=0,0,G11/B$15)</f>
        <v>8.4112149532710276E-2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7.9650000000000016</v>
      </c>
      <c r="P11" s="115">
        <v>40</v>
      </c>
      <c r="Q11" s="103">
        <v>318.60000000000008</v>
      </c>
    </row>
    <row r="12" spans="1:17" x14ac:dyDescent="0.45">
      <c r="A12" s="51" t="s">
        <v>118</v>
      </c>
      <c r="B12" s="44">
        <v>324</v>
      </c>
      <c r="C12" s="37">
        <f>IF(B$3=0,0,B12/B$3)</f>
        <v>0.31274131274131273</v>
      </c>
      <c r="E12" s="59" t="s">
        <v>70</v>
      </c>
      <c r="F12" s="56" t="s">
        <v>25</v>
      </c>
      <c r="G12" s="44">
        <v>27</v>
      </c>
      <c r="H12" s="129">
        <f>IF(B$15=0,0,G12/B$15)</f>
        <v>8.4112149532710276E-2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119</v>
      </c>
      <c r="C13" s="35">
        <f>IF(B$11=0,0,B13/B$11)</f>
        <v>0.50210970464135019</v>
      </c>
      <c r="E13" s="59" t="s">
        <v>86</v>
      </c>
      <c r="F13" s="56" t="s">
        <v>41</v>
      </c>
      <c r="G13" s="44">
        <v>21</v>
      </c>
      <c r="H13" s="129">
        <f>IF(B$15=0,0,G13/B$15)</f>
        <v>6.5420560747663545E-2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0.3888888888888889</v>
      </c>
      <c r="E14" s="59" t="s">
        <v>83</v>
      </c>
      <c r="F14" s="56" t="s">
        <v>38</v>
      </c>
      <c r="G14" s="44">
        <v>19</v>
      </c>
      <c r="H14" s="129">
        <f>IF(B$15=0,0,G14/B$15)</f>
        <v>5.9190031152647975E-2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321</v>
      </c>
      <c r="C15" s="35">
        <f>IF(B$3=0,0,B15/B$3)</f>
        <v>0.30984555984555984</v>
      </c>
      <c r="E15" s="59" t="s">
        <v>78</v>
      </c>
      <c r="F15" s="56" t="s">
        <v>33</v>
      </c>
      <c r="G15" s="44">
        <v>9</v>
      </c>
      <c r="H15" s="129">
        <f>IF(B$15=0,0,G15/B$15)</f>
        <v>2.8037383177570093E-2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193</v>
      </c>
      <c r="C16" s="37">
        <f>IF(B$3=0,0,B16/B$3)</f>
        <v>0.18629343629343628</v>
      </c>
      <c r="E16" s="59" t="s">
        <v>91</v>
      </c>
      <c r="F16" s="56" t="s">
        <v>46</v>
      </c>
      <c r="G16" s="44">
        <v>9</v>
      </c>
      <c r="H16" s="129">
        <f>IF(B$15=0,0,G16/B$15)</f>
        <v>2.8037383177570093E-2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 t="shared" si="2"/>
        <v>22.276923076923079</v>
      </c>
      <c r="P16" s="115">
        <v>13</v>
      </c>
      <c r="Q16" s="103">
        <v>289.60000000000002</v>
      </c>
    </row>
    <row r="17" spans="1:17" x14ac:dyDescent="0.45">
      <c r="A17" s="51" t="s">
        <v>12</v>
      </c>
      <c r="B17" s="44">
        <v>130</v>
      </c>
      <c r="C17" s="37">
        <f>IF(B$15=0,0,B17/B$15)</f>
        <v>0.40498442367601245</v>
      </c>
      <c r="E17" s="59" t="s">
        <v>81</v>
      </c>
      <c r="F17" s="56" t="s">
        <v>36</v>
      </c>
      <c r="G17" s="44">
        <v>8</v>
      </c>
      <c r="H17" s="129">
        <f>IF(B$15=0,0,G17/B$15)</f>
        <v>2.4922118380062305E-2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2"/>
        <v>16.349999999999994</v>
      </c>
      <c r="P17" s="115">
        <v>40</v>
      </c>
      <c r="Q17" s="103">
        <v>653.99999999999977</v>
      </c>
    </row>
    <row r="18" spans="1:17" x14ac:dyDescent="0.45">
      <c r="A18" s="51" t="s">
        <v>11</v>
      </c>
      <c r="B18" s="44">
        <v>191</v>
      </c>
      <c r="C18" s="37">
        <f>IF(B$15=0,0,B18/B$15)</f>
        <v>0.59501557632398749</v>
      </c>
      <c r="E18" s="59" t="s">
        <v>79</v>
      </c>
      <c r="F18" s="56" t="s">
        <v>34</v>
      </c>
      <c r="G18" s="44">
        <v>6</v>
      </c>
      <c r="H18" s="129">
        <f>IF(B$15=0,0,G18/B$15)</f>
        <v>1.8691588785046728E-2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197</v>
      </c>
      <c r="B19" s="44">
        <v>119</v>
      </c>
      <c r="C19" s="37">
        <f>IF(B$15=0,0,B19/B$15)</f>
        <v>0.37071651090342678</v>
      </c>
      <c r="E19" s="59" t="s">
        <v>92</v>
      </c>
      <c r="F19" s="56" t="s">
        <v>47</v>
      </c>
      <c r="G19" s="44">
        <v>3</v>
      </c>
      <c r="H19" s="129">
        <f>IF(B$15=0,0,G19/B$15)</f>
        <v>9.3457943925233638E-3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 t="shared" si="2"/>
        <v>7.6833333333333389</v>
      </c>
      <c r="P19" s="115">
        <v>36</v>
      </c>
      <c r="Q19" s="103">
        <v>276.60000000000019</v>
      </c>
    </row>
    <row r="20" spans="1:17" x14ac:dyDescent="0.45">
      <c r="A20" s="51" t="s">
        <v>195</v>
      </c>
      <c r="B20" s="44">
        <v>126</v>
      </c>
      <c r="C20" s="37">
        <f>IF(B$15=0,0,B20/B$15)</f>
        <v>0.3925233644859813</v>
      </c>
      <c r="E20" s="59" t="s">
        <v>162</v>
      </c>
      <c r="F20" s="56" t="s">
        <v>163</v>
      </c>
      <c r="G20" s="44">
        <v>3</v>
      </c>
      <c r="H20" s="129">
        <f>IF(B$15=0,0,G20/B$15)</f>
        <v>9.3457943925233638E-3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 t="shared" si="2"/>
        <v>6.1159999999999988</v>
      </c>
      <c r="P20" s="115">
        <v>25</v>
      </c>
      <c r="Q20" s="103">
        <v>152.89999999999998</v>
      </c>
    </row>
    <row r="21" spans="1:17" x14ac:dyDescent="0.45">
      <c r="A21" s="51" t="s">
        <v>196</v>
      </c>
      <c r="B21" s="44">
        <v>76</v>
      </c>
      <c r="C21" s="37">
        <f>IF(B$15=0,0,B21/B$15)</f>
        <v>0.2367601246105919</v>
      </c>
      <c r="E21" s="59" t="s">
        <v>74</v>
      </c>
      <c r="F21" s="56" t="s">
        <v>29</v>
      </c>
      <c r="G21" s="44">
        <v>2</v>
      </c>
      <c r="H21" s="129">
        <f>IF(B$15=0,0,G21/B$15)</f>
        <v>6.2305295950155761E-3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8423.0529595015578</v>
      </c>
      <c r="C22" s="39">
        <v>2703800</v>
      </c>
      <c r="E22" s="59" t="s">
        <v>75</v>
      </c>
      <c r="F22" s="56" t="s">
        <v>30</v>
      </c>
      <c r="G22" s="44">
        <v>2</v>
      </c>
      <c r="H22" s="129">
        <f>IF(B$15=0,0,G22/B$15)</f>
        <v>6.2305295950155761E-3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2"/>
        <v>-13.109411764705888</v>
      </c>
      <c r="P22" s="115">
        <v>85</v>
      </c>
      <c r="Q22" s="103">
        <v>-1114.3000000000004</v>
      </c>
    </row>
    <row r="23" spans="1:17" x14ac:dyDescent="0.45">
      <c r="A23" s="52" t="s">
        <v>177</v>
      </c>
      <c r="B23" s="136">
        <f>IF($B$15-B$14=0,0,C23/($B$15-B$14))</f>
        <v>9086.1538461538457</v>
      </c>
      <c r="C23" s="137">
        <v>1771800</v>
      </c>
      <c r="E23" s="59" t="s">
        <v>73</v>
      </c>
      <c r="F23" s="56" t="s">
        <v>28</v>
      </c>
      <c r="G23" s="44">
        <v>1</v>
      </c>
      <c r="H23" s="129">
        <f>IF(B$15=0,0,G23/B$15)</f>
        <v>3.1152647975077881E-3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7396.8253968253966</v>
      </c>
      <c r="C24" s="137">
        <v>932000</v>
      </c>
      <c r="E24" s="59" t="s">
        <v>77</v>
      </c>
      <c r="F24" s="56" t="s">
        <v>32</v>
      </c>
      <c r="G24" s="44">
        <v>1</v>
      </c>
      <c r="H24" s="129">
        <f>IF(B$15=0,0,G24/B$15)</f>
        <v>3.1152647975077881E-3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-7989.6373056994817</v>
      </c>
      <c r="C25" s="137">
        <v>-1542000</v>
      </c>
      <c r="E25" s="59" t="s">
        <v>84</v>
      </c>
      <c r="F25" s="56" t="s">
        <v>39</v>
      </c>
      <c r="G25" s="44">
        <v>1</v>
      </c>
      <c r="H25" s="129">
        <f>IF(B$15=0,0,G25/B$15)</f>
        <v>3.1152647975077881E-3</v>
      </c>
      <c r="I25" s="90">
        <v>3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3.1152647975077881E-3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3.1152647975077881E-3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194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3.8610038610038611E-3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185</v>
      </c>
      <c r="B32" s="144">
        <v>22</v>
      </c>
      <c r="C32" s="141">
        <f>IF(B$15=0,0,B32/B$15)</f>
        <v>6.8535825545171333E-2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181</v>
      </c>
      <c r="B33" s="44">
        <v>50</v>
      </c>
      <c r="C33" s="37">
        <f t="shared" ref="C33:C44" si="3">IF(B$15=0,0,B33/B$15)</f>
        <v>0.1557632398753894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182</v>
      </c>
      <c r="B34" s="145">
        <v>69</v>
      </c>
      <c r="C34" s="37">
        <f>IF(B$15=0,0,B34/B$15)</f>
        <v>0.21495327102803738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183</v>
      </c>
      <c r="B35" s="145">
        <v>66</v>
      </c>
      <c r="C35" s="37">
        <f t="shared" si="3"/>
        <v>0.20560747663551401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184</v>
      </c>
      <c r="B36" s="145">
        <v>49</v>
      </c>
      <c r="C36" s="37">
        <f t="shared" si="3"/>
        <v>0.15264797507788161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186</v>
      </c>
      <c r="B37" s="145">
        <v>35</v>
      </c>
      <c r="C37" s="37">
        <f t="shared" si="3"/>
        <v>0.10903426791277258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187</v>
      </c>
      <c r="B38" s="145">
        <v>10</v>
      </c>
      <c r="C38" s="37">
        <f t="shared" si="3"/>
        <v>3.1152647975077882E-2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188</v>
      </c>
      <c r="B39" s="145">
        <v>8</v>
      </c>
      <c r="C39" s="37">
        <f t="shared" si="3"/>
        <v>2.4922118380062305E-2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189</v>
      </c>
      <c r="B40" s="145">
        <v>5</v>
      </c>
      <c r="C40" s="37">
        <f t="shared" si="3"/>
        <v>1.5576323987538941E-2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190</v>
      </c>
      <c r="B41" s="145">
        <v>1</v>
      </c>
      <c r="C41" s="37">
        <f t="shared" si="3"/>
        <v>3.1152647975077881E-3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191</v>
      </c>
      <c r="B42" s="145">
        <v>2</v>
      </c>
      <c r="C42" s="37">
        <f t="shared" si="3"/>
        <v>6.2305295950155761E-3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193</v>
      </c>
      <c r="B44" s="140">
        <v>4</v>
      </c>
      <c r="C44" s="40">
        <f t="shared" si="3"/>
        <v>1.2461059190031152E-2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</sheetData>
  <sortState xmlns:xlrd2="http://schemas.microsoft.com/office/spreadsheetml/2017/richdata2" ref="E2:I12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7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75</v>
      </c>
      <c r="C2" s="155"/>
      <c r="E2" s="58" t="s">
        <v>66</v>
      </c>
      <c r="F2" s="55" t="s">
        <v>22</v>
      </c>
      <c r="G2" s="43">
        <v>136</v>
      </c>
      <c r="H2" s="128">
        <f>IF(B$15=0,0,G2/B$15)</f>
        <v>0.77272727272727271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-349.3150684931507</v>
      </c>
      <c r="P2" s="114">
        <v>73</v>
      </c>
      <c r="Q2" s="98">
        <v>-25500</v>
      </c>
    </row>
    <row r="3" spans="1:17" x14ac:dyDescent="0.45">
      <c r="A3" s="51" t="s">
        <v>8</v>
      </c>
      <c r="B3" s="156">
        <v>631</v>
      </c>
      <c r="C3" s="157"/>
      <c r="E3" s="59" t="s">
        <v>64</v>
      </c>
      <c r="F3" s="56" t="s">
        <v>20</v>
      </c>
      <c r="G3" s="44">
        <v>102</v>
      </c>
      <c r="H3" s="129">
        <f>IF(B$15=0,0,G3/B$15)</f>
        <v>0.57954545454545459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-1293.1506849315069</v>
      </c>
      <c r="P3" s="115">
        <v>73</v>
      </c>
      <c r="Q3" s="99">
        <v>-94400</v>
      </c>
    </row>
    <row r="4" spans="1:17" x14ac:dyDescent="0.45">
      <c r="A4" s="51" t="s">
        <v>6</v>
      </c>
      <c r="B4" s="158">
        <v>-490.40000000000003</v>
      </c>
      <c r="C4" s="159"/>
      <c r="E4" s="59" t="s">
        <v>72</v>
      </c>
      <c r="F4" s="56" t="s">
        <v>27</v>
      </c>
      <c r="G4" s="44">
        <v>90</v>
      </c>
      <c r="H4" s="129">
        <f>IF(B$15=0,0,G4/B$15)</f>
        <v>0.51136363636363635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1020.8955223880597</v>
      </c>
      <c r="P4" s="115">
        <v>67</v>
      </c>
      <c r="Q4" s="99">
        <v>68400</v>
      </c>
    </row>
    <row r="5" spans="1:17" x14ac:dyDescent="0.45">
      <c r="A5" s="51" t="s">
        <v>7</v>
      </c>
      <c r="B5" s="160">
        <f>IF(B$2=0,0,B$4/B$2)</f>
        <v>-6.5386666666666668</v>
      </c>
      <c r="C5" s="161"/>
      <c r="E5" s="59" t="s">
        <v>166</v>
      </c>
      <c r="F5" s="56" t="s">
        <v>167</v>
      </c>
      <c r="G5" s="44">
        <v>76</v>
      </c>
      <c r="H5" s="129">
        <f>IF(B$15=0,0,G5/B$15)</f>
        <v>0.43181818181818182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-636.36363636363637</v>
      </c>
      <c r="P5" s="115">
        <v>66</v>
      </c>
      <c r="Q5" s="99">
        <v>-42000</v>
      </c>
    </row>
    <row r="6" spans="1:17" x14ac:dyDescent="0.45">
      <c r="A6" s="51" t="s">
        <v>1</v>
      </c>
      <c r="B6" s="150">
        <f>IF(B$2=0,0,(B$7*1+B$8*2+B$9*3)/B$2)</f>
        <v>2.16</v>
      </c>
      <c r="C6" s="151"/>
      <c r="E6" s="59" t="s">
        <v>68</v>
      </c>
      <c r="F6" s="56" t="s">
        <v>12</v>
      </c>
      <c r="G6" s="44">
        <v>63</v>
      </c>
      <c r="H6" s="129">
        <f>IF(B$15=0,0,G6/B$15)</f>
        <v>0.35795454545454547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-3209.6774193548385</v>
      </c>
      <c r="P6" s="115">
        <v>62</v>
      </c>
      <c r="Q6" s="99">
        <v>-199000</v>
      </c>
    </row>
    <row r="7" spans="1:17" x14ac:dyDescent="0.45">
      <c r="A7" s="51" t="s">
        <v>2</v>
      </c>
      <c r="B7" s="44">
        <v>17</v>
      </c>
      <c r="C7" s="37">
        <f t="shared" ref="C7:C10" si="1">IF(B$2=0,0,B7/B$2)</f>
        <v>0.22666666666666666</v>
      </c>
      <c r="E7" s="59" t="s">
        <v>67</v>
      </c>
      <c r="F7" s="56" t="s">
        <v>23</v>
      </c>
      <c r="G7" s="44">
        <v>51</v>
      </c>
      <c r="H7" s="129">
        <f>IF(B$15=0,0,G7/B$15)</f>
        <v>0.28977272727272729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-1537.037037037037</v>
      </c>
      <c r="P7" s="116">
        <v>54</v>
      </c>
      <c r="Q7" s="100">
        <v>-83000</v>
      </c>
    </row>
    <row r="8" spans="1:17" x14ac:dyDescent="0.45">
      <c r="A8" s="51" t="s">
        <v>3</v>
      </c>
      <c r="B8" s="44">
        <v>29</v>
      </c>
      <c r="C8" s="37">
        <f t="shared" si="1"/>
        <v>0.38666666666666666</v>
      </c>
      <c r="E8" s="59" t="s">
        <v>69</v>
      </c>
      <c r="F8" s="56" t="s">
        <v>24</v>
      </c>
      <c r="G8" s="44">
        <v>26</v>
      </c>
      <c r="H8" s="129">
        <f>IF(B$15=0,0,G8/B$15)</f>
        <v>0.14772727272727273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0.38666666666666666</v>
      </c>
      <c r="E9" s="59" t="s">
        <v>70</v>
      </c>
      <c r="F9" s="56" t="s">
        <v>25</v>
      </c>
      <c r="G9" s="44">
        <v>25</v>
      </c>
      <c r="H9" s="129">
        <f>IF(B$15=0,0,G9/B$15)</f>
        <v>0.14204545454545456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0.08</v>
      </c>
      <c r="E10" s="59" t="s">
        <v>65</v>
      </c>
      <c r="F10" s="56" t="s">
        <v>21</v>
      </c>
      <c r="G10" s="44">
        <v>21</v>
      </c>
      <c r="H10" s="129">
        <f>IF(B$15=0,0,G10/B$15)</f>
        <v>0.11931818181818182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-3.7620689655172423</v>
      </c>
      <c r="P10" s="114">
        <v>29</v>
      </c>
      <c r="Q10" s="102">
        <v>-109.10000000000002</v>
      </c>
    </row>
    <row r="11" spans="1:17" x14ac:dyDescent="0.45">
      <c r="A11" s="54" t="s">
        <v>121</v>
      </c>
      <c r="B11" s="47">
        <v>180</v>
      </c>
      <c r="C11" s="42">
        <f>IF(B$3=0,0,B11/B$3)</f>
        <v>0.28526148969889065</v>
      </c>
      <c r="E11" s="59" t="s">
        <v>89</v>
      </c>
      <c r="F11" s="56" t="s">
        <v>44</v>
      </c>
      <c r="G11" s="44">
        <v>21</v>
      </c>
      <c r="H11" s="129">
        <f>IF(B$15=0,0,G11/B$15)</f>
        <v>0.11931818181818182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123</v>
      </c>
      <c r="C12" s="37">
        <f>IF(B$3=0,0,B12/B$3)</f>
        <v>0.19492868462757529</v>
      </c>
      <c r="E12" s="59" t="s">
        <v>83</v>
      </c>
      <c r="F12" s="56" t="s">
        <v>38</v>
      </c>
      <c r="G12" s="44">
        <v>10</v>
      </c>
      <c r="H12" s="129">
        <f>IF(B$15=0,0,G12/B$15)</f>
        <v>5.6818181818181816E-2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5">
      <c r="A13" s="50" t="s">
        <v>123</v>
      </c>
      <c r="B13" s="43">
        <f>B19</f>
        <v>103</v>
      </c>
      <c r="C13" s="35">
        <f>IF(B$11=0,0,B13/B$11)</f>
        <v>0.57222222222222219</v>
      </c>
      <c r="E13" s="59" t="s">
        <v>71</v>
      </c>
      <c r="F13" s="56" t="s">
        <v>26</v>
      </c>
      <c r="G13" s="44">
        <v>7</v>
      </c>
      <c r="H13" s="129">
        <f>IF(B$15=0,0,G13/B$15)</f>
        <v>3.9772727272727272E-2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0.4065040650406504</v>
      </c>
      <c r="E14" s="59" t="s">
        <v>78</v>
      </c>
      <c r="F14" s="56" t="s">
        <v>33</v>
      </c>
      <c r="G14" s="44">
        <v>6</v>
      </c>
      <c r="H14" s="129">
        <f>IF(B$15=0,0,G14/B$15)</f>
        <v>3.4090909090909088E-2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176</v>
      </c>
      <c r="C15" s="35">
        <f>IF(B$3=0,0,B15/B$3)</f>
        <v>0.27892234548335976</v>
      </c>
      <c r="E15" s="59" t="s">
        <v>86</v>
      </c>
      <c r="F15" s="56" t="s">
        <v>41</v>
      </c>
      <c r="G15" s="44">
        <v>5</v>
      </c>
      <c r="H15" s="129">
        <f>IF(B$15=0,0,G15/B$15)</f>
        <v>2.8409090909090908E-2</v>
      </c>
      <c r="I15" s="90">
        <v>9</v>
      </c>
      <c r="K15" s="36">
        <v>13</v>
      </c>
      <c r="L15" s="95">
        <v>-207.3</v>
      </c>
      <c r="N15" s="110" t="s">
        <v>202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5">
      <c r="A16" s="51" t="s">
        <v>13</v>
      </c>
      <c r="B16" s="44">
        <v>126</v>
      </c>
      <c r="C16" s="37">
        <f>IF(B$3=0,0,B16/B$3)</f>
        <v>0.19968304278922344</v>
      </c>
      <c r="E16" s="59" t="s">
        <v>81</v>
      </c>
      <c r="F16" s="56" t="s">
        <v>36</v>
      </c>
      <c r="G16" s="44">
        <v>3</v>
      </c>
      <c r="H16" s="129">
        <f>IF(B$15=0,0,G16/B$15)</f>
        <v>1.7045454545454544E-2</v>
      </c>
      <c r="I16" s="90">
        <v>6</v>
      </c>
      <c r="K16" s="36">
        <v>14</v>
      </c>
      <c r="L16" s="95">
        <v>-204.8</v>
      </c>
      <c r="N16" s="111" t="s">
        <v>161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5">
      <c r="A17" s="51" t="s">
        <v>12</v>
      </c>
      <c r="B17" s="44">
        <v>82</v>
      </c>
      <c r="C17" s="37">
        <f>IF(B$15=0,0,B17/B$15)</f>
        <v>0.46590909090909088</v>
      </c>
      <c r="E17" s="59" t="s">
        <v>162</v>
      </c>
      <c r="F17" s="56" t="s">
        <v>163</v>
      </c>
      <c r="G17" s="44">
        <v>3</v>
      </c>
      <c r="H17" s="129">
        <f>IF(B$15=0,0,G17/B$15)</f>
        <v>1.7045454545454544E-2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2"/>
        <v>3.6714285714285717</v>
      </c>
      <c r="P17" s="115">
        <v>14</v>
      </c>
      <c r="Q17" s="103">
        <v>51.400000000000006</v>
      </c>
    </row>
    <row r="18" spans="1:17" x14ac:dyDescent="0.45">
      <c r="A18" s="51" t="s">
        <v>11</v>
      </c>
      <c r="B18" s="44">
        <v>94</v>
      </c>
      <c r="C18" s="37">
        <f>IF(B$15=0,0,B18/B$15)</f>
        <v>0.53409090909090906</v>
      </c>
      <c r="E18" s="59" t="s">
        <v>75</v>
      </c>
      <c r="F18" s="56" t="s">
        <v>30</v>
      </c>
      <c r="G18" s="44">
        <v>2</v>
      </c>
      <c r="H18" s="129">
        <f>IF(B$15=0,0,G18/B$15)</f>
        <v>1.1363636363636364E-2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197</v>
      </c>
      <c r="B19" s="44">
        <v>103</v>
      </c>
      <c r="C19" s="37">
        <f>IF(B$15=0,0,B19/B$15)</f>
        <v>0.58522727272727271</v>
      </c>
      <c r="E19" s="59" t="s">
        <v>79</v>
      </c>
      <c r="F19" s="56" t="s">
        <v>34</v>
      </c>
      <c r="G19" s="44">
        <v>2</v>
      </c>
      <c r="H19" s="129">
        <f>IF(B$15=0,0,G19/B$15)</f>
        <v>1.1363636363636364E-2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 t="shared" si="2"/>
        <v>-13.3</v>
      </c>
      <c r="P19" s="115">
        <v>21</v>
      </c>
      <c r="Q19" s="103">
        <v>-279.3</v>
      </c>
    </row>
    <row r="20" spans="1:17" x14ac:dyDescent="0.45">
      <c r="A20" s="51" t="s">
        <v>195</v>
      </c>
      <c r="B20" s="44">
        <v>50</v>
      </c>
      <c r="C20" s="37">
        <f>IF(B$15=0,0,B20/B$15)</f>
        <v>0.28409090909090912</v>
      </c>
      <c r="E20" s="59" t="s">
        <v>91</v>
      </c>
      <c r="F20" s="56" t="s">
        <v>46</v>
      </c>
      <c r="G20" s="44">
        <v>1</v>
      </c>
      <c r="H20" s="129">
        <f>IF(B$15=0,0,G20/B$15)</f>
        <v>5.681818181818182E-3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 t="shared" si="2"/>
        <v>-14.924489795918374</v>
      </c>
      <c r="P20" s="115">
        <v>49</v>
      </c>
      <c r="Q20" s="103">
        <v>-731.3000000000003</v>
      </c>
    </row>
    <row r="21" spans="1:17" x14ac:dyDescent="0.45">
      <c r="A21" s="51" t="s">
        <v>196</v>
      </c>
      <c r="B21" s="44">
        <v>23</v>
      </c>
      <c r="C21" s="37">
        <f>IF(B$15=0,0,B21/B$15)</f>
        <v>0.13068181818181818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-16.349999999999994</v>
      </c>
      <c r="P21" s="115">
        <v>40</v>
      </c>
      <c r="Q21" s="103">
        <v>-653.99999999999977</v>
      </c>
    </row>
    <row r="22" spans="1:17" x14ac:dyDescent="0.45">
      <c r="A22" s="51" t="s">
        <v>5</v>
      </c>
      <c r="B22" s="48">
        <f>IF(B$15=0,0,C22/B$15)</f>
        <v>8047.727272727273</v>
      </c>
      <c r="C22" s="39">
        <v>1416400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2"/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8507.936507936507</v>
      </c>
      <c r="C23" s="137">
        <v>1072000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6888</v>
      </c>
      <c r="C24" s="137">
        <v>344400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-7576.1904761904761</v>
      </c>
      <c r="C25" s="137">
        <v>-954600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5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4.7543581616481777E-3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185</v>
      </c>
      <c r="B32" s="144">
        <v>12</v>
      </c>
      <c r="C32" s="141">
        <f>IF(B$15=0,0,B32/B$15)</f>
        <v>6.8181818181818177E-2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5">
      <c r="A33" s="51" t="s">
        <v>181</v>
      </c>
      <c r="B33" s="44">
        <v>29</v>
      </c>
      <c r="C33" s="37">
        <f t="shared" ref="C33:C44" si="3">IF(B$15=0,0,B33/B$15)</f>
        <v>0.16477272727272727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182</v>
      </c>
      <c r="B34" s="145">
        <v>41</v>
      </c>
      <c r="C34" s="37">
        <f>IF(B$15=0,0,B34/B$15)</f>
        <v>0.23295454545454544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183</v>
      </c>
      <c r="B35" s="145">
        <v>28</v>
      </c>
      <c r="C35" s="37">
        <f t="shared" si="3"/>
        <v>0.15909090909090909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184</v>
      </c>
      <c r="B36" s="145">
        <v>29</v>
      </c>
      <c r="C36" s="37">
        <f t="shared" si="3"/>
        <v>0.16477272727272727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186</v>
      </c>
      <c r="B37" s="145">
        <v>19</v>
      </c>
      <c r="C37" s="37">
        <f t="shared" si="3"/>
        <v>0.10795454545454546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5">
      <c r="A38" s="51" t="s">
        <v>187</v>
      </c>
      <c r="B38" s="145">
        <v>11</v>
      </c>
      <c r="C38" s="37">
        <f t="shared" si="3"/>
        <v>6.25E-2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5">
      <c r="A39" s="51" t="s">
        <v>188</v>
      </c>
      <c r="B39" s="145">
        <v>4</v>
      </c>
      <c r="C39" s="37">
        <f t="shared" si="3"/>
        <v>2.2727272727272728E-2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5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5">
      <c r="A41" s="51" t="s">
        <v>190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5">
      <c r="A42" s="51" t="s">
        <v>191</v>
      </c>
      <c r="B42" s="145">
        <v>1</v>
      </c>
      <c r="C42" s="37">
        <f t="shared" si="3"/>
        <v>5.681818181818182E-3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5">
      <c r="A43" s="51" t="s">
        <v>192</v>
      </c>
      <c r="B43" s="145">
        <v>2</v>
      </c>
      <c r="C43" s="37">
        <f t="shared" si="3"/>
        <v>1.1363636363636364E-2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5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5">
      <c r="K53" s="36">
        <v>51</v>
      </c>
      <c r="L53" s="95">
        <v>-400.99999999999989</v>
      </c>
    </row>
    <row r="54" spans="5:12" x14ac:dyDescent="0.45">
      <c r="K54" s="36">
        <v>52</v>
      </c>
      <c r="L54" s="95">
        <v>-414.7999999999999</v>
      </c>
    </row>
    <row r="55" spans="5:12" x14ac:dyDescent="0.45">
      <c r="K55" s="36">
        <v>53</v>
      </c>
      <c r="L55" s="95">
        <v>-403.89999999999992</v>
      </c>
    </row>
    <row r="56" spans="5:12" x14ac:dyDescent="0.45">
      <c r="K56" s="36">
        <v>54</v>
      </c>
      <c r="L56" s="95">
        <v>-386.7999999999999</v>
      </c>
    </row>
    <row r="57" spans="5:12" x14ac:dyDescent="0.45">
      <c r="K57" s="36">
        <v>55</v>
      </c>
      <c r="L57" s="95">
        <v>-441.2999999999999</v>
      </c>
    </row>
    <row r="58" spans="5:12" x14ac:dyDescent="0.45">
      <c r="K58" s="36">
        <v>56</v>
      </c>
      <c r="L58" s="95">
        <v>-398.09999999999991</v>
      </c>
    </row>
    <row r="59" spans="5:12" x14ac:dyDescent="0.45">
      <c r="K59" s="36">
        <v>57</v>
      </c>
      <c r="L59" s="95">
        <v>-393.39999999999992</v>
      </c>
    </row>
    <row r="60" spans="5:12" x14ac:dyDescent="0.45">
      <c r="K60" s="36">
        <v>58</v>
      </c>
      <c r="L60" s="95">
        <v>-376.49999999999994</v>
      </c>
    </row>
    <row r="61" spans="5:12" x14ac:dyDescent="0.45">
      <c r="K61" s="36">
        <v>59</v>
      </c>
      <c r="L61" s="95">
        <v>-373.49999999999994</v>
      </c>
    </row>
    <row r="62" spans="5:12" x14ac:dyDescent="0.45">
      <c r="K62" s="36">
        <v>60</v>
      </c>
      <c r="L62" s="95">
        <v>-399.29999999999995</v>
      </c>
    </row>
    <row r="63" spans="5:12" x14ac:dyDescent="0.45">
      <c r="K63" s="36">
        <v>61</v>
      </c>
      <c r="L63" s="95">
        <v>-448.79999999999995</v>
      </c>
    </row>
    <row r="64" spans="5:12" x14ac:dyDescent="0.45">
      <c r="K64" s="36">
        <v>62</v>
      </c>
      <c r="L64" s="95">
        <v>-453.59999999999997</v>
      </c>
    </row>
    <row r="65" spans="11:12" x14ac:dyDescent="0.45">
      <c r="K65" s="36">
        <v>63</v>
      </c>
      <c r="L65" s="95">
        <v>-501.79999999999995</v>
      </c>
    </row>
    <row r="66" spans="11:12" x14ac:dyDescent="0.45">
      <c r="K66" s="36">
        <v>64</v>
      </c>
      <c r="L66" s="95">
        <v>-457.29999999999995</v>
      </c>
    </row>
    <row r="67" spans="11:12" x14ac:dyDescent="0.45">
      <c r="K67" s="36">
        <v>65</v>
      </c>
      <c r="L67" s="95">
        <v>-421.09999999999997</v>
      </c>
    </row>
    <row r="68" spans="11:12" x14ac:dyDescent="0.45">
      <c r="K68" s="36">
        <v>66</v>
      </c>
      <c r="L68" s="95">
        <v>-465.9</v>
      </c>
    </row>
    <row r="69" spans="11:12" x14ac:dyDescent="0.45">
      <c r="K69" s="36">
        <v>67</v>
      </c>
      <c r="L69" s="95">
        <v>-441.9</v>
      </c>
    </row>
    <row r="70" spans="11:12" x14ac:dyDescent="0.45">
      <c r="K70" s="36">
        <v>68</v>
      </c>
      <c r="L70" s="95">
        <v>-477.59999999999997</v>
      </c>
    </row>
    <row r="71" spans="11:12" x14ac:dyDescent="0.45">
      <c r="K71" s="36">
        <v>69</v>
      </c>
      <c r="L71" s="95">
        <v>-477.29999999999995</v>
      </c>
    </row>
    <row r="72" spans="11:12" x14ac:dyDescent="0.45">
      <c r="K72" s="36">
        <v>70</v>
      </c>
      <c r="L72" s="95">
        <v>-486.9</v>
      </c>
    </row>
    <row r="73" spans="11:12" x14ac:dyDescent="0.45">
      <c r="K73" s="36">
        <v>71</v>
      </c>
      <c r="L73" s="95">
        <v>-458</v>
      </c>
    </row>
    <row r="74" spans="11:12" x14ac:dyDescent="0.45">
      <c r="K74" s="36">
        <v>72</v>
      </c>
      <c r="L74" s="95">
        <v>-484.8</v>
      </c>
    </row>
    <row r="75" spans="11:12" x14ac:dyDescent="0.45">
      <c r="K75" s="36">
        <v>73</v>
      </c>
      <c r="L75" s="95">
        <v>-506.40000000000003</v>
      </c>
    </row>
    <row r="76" spans="11:12" x14ac:dyDescent="0.45">
      <c r="K76" s="36">
        <v>74</v>
      </c>
      <c r="L76" s="95">
        <v>-505.3</v>
      </c>
    </row>
    <row r="77" spans="11:12" x14ac:dyDescent="0.45">
      <c r="K77" s="36">
        <v>75</v>
      </c>
      <c r="L77" s="95">
        <v>-490.40000000000003</v>
      </c>
    </row>
  </sheetData>
  <sortState xmlns:xlrd2="http://schemas.microsoft.com/office/spreadsheetml/2017/richdata2" ref="E2:I7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87"/>
  <sheetViews>
    <sheetView showGridLines="0" topLeftCell="C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85</v>
      </c>
      <c r="C2" s="155"/>
      <c r="E2" s="58" t="s">
        <v>66</v>
      </c>
      <c r="F2" s="55" t="s">
        <v>22</v>
      </c>
      <c r="G2" s="43">
        <v>157</v>
      </c>
      <c r="H2" s="128">
        <f>IF(B$15=0,0,G2/B$15)</f>
        <v>0.81770833333333337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1137.6470588235295</v>
      </c>
      <c r="P2" s="114">
        <v>85</v>
      </c>
      <c r="Q2" s="98">
        <v>96700</v>
      </c>
    </row>
    <row r="3" spans="1:17" x14ac:dyDescent="0.45">
      <c r="A3" s="51" t="s">
        <v>8</v>
      </c>
      <c r="B3" s="156">
        <v>690</v>
      </c>
      <c r="C3" s="157"/>
      <c r="E3" s="59" t="s">
        <v>72</v>
      </c>
      <c r="F3" s="56" t="s">
        <v>27</v>
      </c>
      <c r="G3" s="44">
        <v>107</v>
      </c>
      <c r="H3" s="129">
        <f>IF(B$15=0,0,G3/B$15)</f>
        <v>0.55729166666666663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-1449.3975903614457</v>
      </c>
      <c r="P3" s="115">
        <v>83</v>
      </c>
      <c r="Q3" s="99">
        <v>-120300</v>
      </c>
    </row>
    <row r="4" spans="1:17" x14ac:dyDescent="0.45">
      <c r="A4" s="51" t="s">
        <v>6</v>
      </c>
      <c r="B4" s="158">
        <v>200.20000000000013</v>
      </c>
      <c r="C4" s="159"/>
      <c r="E4" s="59" t="s">
        <v>64</v>
      </c>
      <c r="F4" s="56" t="s">
        <v>20</v>
      </c>
      <c r="G4" s="44">
        <v>105</v>
      </c>
      <c r="H4" s="129">
        <f>IF(B$15=0,0,G4/B$15)</f>
        <v>0.546875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-401.35135135135135</v>
      </c>
      <c r="P4" s="115">
        <v>74</v>
      </c>
      <c r="Q4" s="99">
        <v>-29700</v>
      </c>
    </row>
    <row r="5" spans="1:17" x14ac:dyDescent="0.45">
      <c r="A5" s="51" t="s">
        <v>7</v>
      </c>
      <c r="B5" s="160">
        <f>IF(B$2=0,0,B$4/B$2)</f>
        <v>2.3552941176470603</v>
      </c>
      <c r="C5" s="161"/>
      <c r="E5" s="59" t="s">
        <v>67</v>
      </c>
      <c r="F5" s="56" t="s">
        <v>23</v>
      </c>
      <c r="G5" s="44">
        <v>81</v>
      </c>
      <c r="H5" s="129">
        <f>IF(B$15=0,0,G5/B$15)</f>
        <v>0.421875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2309.8591549295775</v>
      </c>
      <c r="P5" s="115">
        <v>71</v>
      </c>
      <c r="Q5" s="99">
        <v>164000</v>
      </c>
    </row>
    <row r="6" spans="1:17" x14ac:dyDescent="0.45">
      <c r="A6" s="51" t="s">
        <v>1</v>
      </c>
      <c r="B6" s="150">
        <f>IF(B$2=0,0,(B$7*1+B$8*2+B$9*3)/B$2)</f>
        <v>1.9529411764705882</v>
      </c>
      <c r="C6" s="151"/>
      <c r="E6" s="59" t="s">
        <v>166</v>
      </c>
      <c r="F6" s="56" t="s">
        <v>167</v>
      </c>
      <c r="G6" s="44">
        <v>77</v>
      </c>
      <c r="H6" s="129">
        <f>IF(B$15=0,0,G6/B$15)</f>
        <v>0.40104166666666669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330.15873015873018</v>
      </c>
      <c r="P6" s="115">
        <v>63</v>
      </c>
      <c r="Q6" s="99">
        <v>20800</v>
      </c>
    </row>
    <row r="7" spans="1:17" x14ac:dyDescent="0.45">
      <c r="A7" s="51" t="s">
        <v>2</v>
      </c>
      <c r="B7" s="44">
        <v>32</v>
      </c>
      <c r="C7" s="37">
        <f t="shared" ref="C7:C10" si="1">IF(B$2=0,0,B7/B$2)</f>
        <v>0.37647058823529411</v>
      </c>
      <c r="E7" s="59" t="s">
        <v>68</v>
      </c>
      <c r="F7" s="56" t="s">
        <v>12</v>
      </c>
      <c r="G7" s="44">
        <v>74</v>
      </c>
      <c r="H7" s="129">
        <f>IF(B$15=0,0,G7/B$15)</f>
        <v>0.38541666666666669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146</v>
      </c>
      <c r="P7" s="116">
        <v>50</v>
      </c>
      <c r="Q7" s="100">
        <v>7300</v>
      </c>
    </row>
    <row r="8" spans="1:17" x14ac:dyDescent="0.45">
      <c r="A8" s="51" t="s">
        <v>3</v>
      </c>
      <c r="B8" s="44">
        <v>25</v>
      </c>
      <c r="C8" s="37">
        <f t="shared" si="1"/>
        <v>0.29411764705882354</v>
      </c>
      <c r="E8" s="59" t="s">
        <v>89</v>
      </c>
      <c r="F8" s="56" t="s">
        <v>44</v>
      </c>
      <c r="G8" s="44">
        <v>43</v>
      </c>
      <c r="H8" s="129">
        <f>IF(B$15=0,0,G8/B$15)</f>
        <v>0.22395833333333334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0.32941176470588235</v>
      </c>
      <c r="E9" s="59" t="s">
        <v>69</v>
      </c>
      <c r="F9" s="56" t="s">
        <v>24</v>
      </c>
      <c r="G9" s="44">
        <v>40</v>
      </c>
      <c r="H9" s="129">
        <f>IF(B$15=0,0,G9/B$15)</f>
        <v>0.20833333333333334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0.12941176470588237</v>
      </c>
      <c r="E10" s="59" t="s">
        <v>65</v>
      </c>
      <c r="F10" s="56" t="s">
        <v>21</v>
      </c>
      <c r="G10" s="44">
        <v>29</v>
      </c>
      <c r="H10" s="129">
        <f>IF(B$15=0,0,G10/B$15)</f>
        <v>0.15104166666666666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1</v>
      </c>
      <c r="P10" s="114">
        <v>24</v>
      </c>
      <c r="Q10" s="102">
        <v>24</v>
      </c>
    </row>
    <row r="11" spans="1:17" x14ac:dyDescent="0.45">
      <c r="A11" s="54" t="s">
        <v>121</v>
      </c>
      <c r="B11" s="47">
        <v>216</v>
      </c>
      <c r="C11" s="42">
        <f>IF(B$3=0,0,B11/B$3)</f>
        <v>0.31304347826086959</v>
      </c>
      <c r="E11" s="59" t="s">
        <v>70</v>
      </c>
      <c r="F11" s="56" t="s">
        <v>25</v>
      </c>
      <c r="G11" s="44">
        <v>23</v>
      </c>
      <c r="H11" s="129">
        <f>IF(B$15=0,0,G11/B$15)</f>
        <v>0.11979166666666667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5.4648648648648637</v>
      </c>
      <c r="P11" s="115">
        <v>37</v>
      </c>
      <c r="Q11" s="103">
        <v>202.19999999999996</v>
      </c>
    </row>
    <row r="12" spans="1:17" x14ac:dyDescent="0.45">
      <c r="A12" s="51" t="s">
        <v>118</v>
      </c>
      <c r="B12" s="44">
        <v>118</v>
      </c>
      <c r="C12" s="37">
        <f>IF(B$3=0,0,B12/B$3)</f>
        <v>0.17101449275362318</v>
      </c>
      <c r="E12" s="59" t="s">
        <v>162</v>
      </c>
      <c r="F12" s="56" t="s">
        <v>163</v>
      </c>
      <c r="G12" s="44">
        <v>15</v>
      </c>
      <c r="H12" s="129">
        <f>IF(B$15=0,0,G12/B$15)</f>
        <v>7.8125E-2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-1.0833333333333328</v>
      </c>
      <c r="P12" s="116">
        <v>24</v>
      </c>
      <c r="Q12" s="104">
        <v>-25.999999999999989</v>
      </c>
    </row>
    <row r="13" spans="1:17" x14ac:dyDescent="0.45">
      <c r="A13" s="50" t="s">
        <v>123</v>
      </c>
      <c r="B13" s="43">
        <f>B19</f>
        <v>119</v>
      </c>
      <c r="C13" s="35">
        <f>IF(B$11=0,0,B13/B$11)</f>
        <v>0.55092592592592593</v>
      </c>
      <c r="E13" s="59" t="s">
        <v>71</v>
      </c>
      <c r="F13" s="56" t="s">
        <v>26</v>
      </c>
      <c r="G13" s="44">
        <v>10</v>
      </c>
      <c r="H13" s="129">
        <f>IF(B$15=0,0,G13/B$15)</f>
        <v>5.2083333333333336E-2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48</v>
      </c>
      <c r="C14" s="35">
        <f>IF(B$12=0,0,B14/B$12)</f>
        <v>0.40677966101694918</v>
      </c>
      <c r="E14" s="59" t="s">
        <v>83</v>
      </c>
      <c r="F14" s="56" t="s">
        <v>38</v>
      </c>
      <c r="G14" s="44">
        <v>7</v>
      </c>
      <c r="H14" s="129">
        <f>IF(B$15=0,0,G14/B$15)</f>
        <v>3.6458333333333336E-2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192</v>
      </c>
      <c r="C15" s="35">
        <f>IF(B$3=0,0,B15/B$3)</f>
        <v>0.27826086956521739</v>
      </c>
      <c r="E15" s="59" t="s">
        <v>86</v>
      </c>
      <c r="F15" s="56" t="s">
        <v>41</v>
      </c>
      <c r="G15" s="44">
        <v>5</v>
      </c>
      <c r="H15" s="129">
        <f>IF(B$15=0,0,G15/B$15)</f>
        <v>2.6041666666666668E-2</v>
      </c>
      <c r="I15" s="90">
        <v>10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123</v>
      </c>
      <c r="C16" s="37">
        <f>IF(B$3=0,0,B16/B$3)</f>
        <v>0.17826086956521739</v>
      </c>
      <c r="E16" s="59" t="s">
        <v>81</v>
      </c>
      <c r="F16" s="56" t="s">
        <v>36</v>
      </c>
      <c r="G16" s="44">
        <v>4</v>
      </c>
      <c r="H16" s="129">
        <f>IF(B$15=0,0,G16/B$15)</f>
        <v>2.0833333333333332E-2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31.246666666666666</v>
      </c>
      <c r="P16" s="115">
        <v>15</v>
      </c>
      <c r="Q16" s="103">
        <v>468.7</v>
      </c>
    </row>
    <row r="17" spans="1:17" x14ac:dyDescent="0.45">
      <c r="A17" s="51" t="s">
        <v>12</v>
      </c>
      <c r="B17" s="44">
        <v>97</v>
      </c>
      <c r="C17" s="37">
        <f>IF(B$15=0,0,B17/B$15)</f>
        <v>0.50520833333333337</v>
      </c>
      <c r="E17" s="59" t="s">
        <v>91</v>
      </c>
      <c r="F17" s="56" t="s">
        <v>46</v>
      </c>
      <c r="G17" s="44">
        <v>4</v>
      </c>
      <c r="H17" s="129">
        <f>IF(B$15=0,0,G17/B$15)</f>
        <v>2.0833333333333332E-2</v>
      </c>
      <c r="I17" s="90">
        <v>3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5">
      <c r="A18" s="51" t="s">
        <v>11</v>
      </c>
      <c r="B18" s="44">
        <v>95</v>
      </c>
      <c r="C18" s="37">
        <f>IF(B$15=0,0,B18/B$15)</f>
        <v>0.49479166666666669</v>
      </c>
      <c r="E18" s="59" t="s">
        <v>92</v>
      </c>
      <c r="F18" s="56" t="s">
        <v>47</v>
      </c>
      <c r="G18" s="44">
        <v>4</v>
      </c>
      <c r="H18" s="129">
        <f>IF(B$15=0,0,G18/B$15)</f>
        <v>2.0833333333333332E-2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5.8249999999999975</v>
      </c>
      <c r="P18" s="115">
        <v>44</v>
      </c>
      <c r="Q18" s="103">
        <v>256.2999999999999</v>
      </c>
    </row>
    <row r="19" spans="1:17" x14ac:dyDescent="0.45">
      <c r="A19" s="51" t="s">
        <v>197</v>
      </c>
      <c r="B19" s="44">
        <v>119</v>
      </c>
      <c r="C19" s="37">
        <f>IF(B$15=0,0,B19/B$15)</f>
        <v>0.61979166666666663</v>
      </c>
      <c r="E19" s="59" t="s">
        <v>73</v>
      </c>
      <c r="F19" s="56" t="s">
        <v>28</v>
      </c>
      <c r="G19" s="44">
        <v>2</v>
      </c>
      <c r="H19" s="129">
        <f>IF(B$15=0,0,G19/B$15)</f>
        <v>1.0416666666666666E-2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-0.81176470588235516</v>
      </c>
      <c r="P19" s="115">
        <v>34</v>
      </c>
      <c r="Q19" s="103">
        <v>-27.600000000000076</v>
      </c>
    </row>
    <row r="20" spans="1:17" x14ac:dyDescent="0.45">
      <c r="A20" s="51" t="s">
        <v>195</v>
      </c>
      <c r="B20" s="44">
        <v>48</v>
      </c>
      <c r="C20" s="37">
        <f>IF(B$15=0,0,B20/B$15)</f>
        <v>0.25</v>
      </c>
      <c r="E20" s="59" t="s">
        <v>78</v>
      </c>
      <c r="F20" s="56" t="s">
        <v>33</v>
      </c>
      <c r="G20" s="44">
        <v>2</v>
      </c>
      <c r="H20" s="129">
        <f>IF(B$15=0,0,G20/B$15)</f>
        <v>1.0416666666666666E-2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5">
      <c r="A21" s="51" t="s">
        <v>196</v>
      </c>
      <c r="B21" s="44">
        <v>25</v>
      </c>
      <c r="C21" s="37">
        <f>IF(B$15=0,0,B21/B$15)</f>
        <v>0.13020833333333334</v>
      </c>
      <c r="E21" s="59" t="s">
        <v>75</v>
      </c>
      <c r="F21" s="56" t="s">
        <v>30</v>
      </c>
      <c r="G21" s="44">
        <v>1</v>
      </c>
      <c r="H21" s="129">
        <f>IF(B$15=0,0,G21/B$15)</f>
        <v>5.208333333333333E-3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5">
      <c r="A22" s="51" t="s">
        <v>5</v>
      </c>
      <c r="B22" s="48">
        <f>IF(B$15=0,0,C22/B$15)</f>
        <v>10893.229166666666</v>
      </c>
      <c r="C22" s="39">
        <v>2091500</v>
      </c>
      <c r="E22" s="59" t="s">
        <v>79</v>
      </c>
      <c r="F22" s="56" t="s">
        <v>34</v>
      </c>
      <c r="G22" s="44">
        <v>1</v>
      </c>
      <c r="H22" s="129">
        <f>IF(B$15=0,0,G22/B$15)</f>
        <v>5.208333333333333E-3</v>
      </c>
      <c r="I22" s="90">
        <v>8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11647.222222222223</v>
      </c>
      <c r="C23" s="137">
        <v>1677200</v>
      </c>
      <c r="E23" s="59" t="s">
        <v>84</v>
      </c>
      <c r="F23" s="56" t="s">
        <v>39</v>
      </c>
      <c r="G23" s="44">
        <v>1</v>
      </c>
      <c r="H23" s="129">
        <f>IF(B$15=0,0,G23/B$15)</f>
        <v>5.208333333333333E-3</v>
      </c>
      <c r="I23" s="90">
        <v>2</v>
      </c>
      <c r="K23" s="36">
        <v>21</v>
      </c>
      <c r="L23" s="95">
        <v>-59.89999999999997</v>
      </c>
    </row>
    <row r="24" spans="1:17" x14ac:dyDescent="0.45">
      <c r="A24" s="52" t="s">
        <v>178</v>
      </c>
      <c r="B24" s="136">
        <f>IF(B$14=0,0,C24/B$14)</f>
        <v>8631.25</v>
      </c>
      <c r="C24" s="137">
        <v>414300</v>
      </c>
      <c r="E24" s="59" t="s">
        <v>85</v>
      </c>
      <c r="F24" s="56" t="s">
        <v>40</v>
      </c>
      <c r="G24" s="44">
        <v>1</v>
      </c>
      <c r="H24" s="129">
        <f>IF(B$15=0,0,G24/B$15)</f>
        <v>5.208333333333333E-3</v>
      </c>
      <c r="I24" s="90">
        <v>4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-8391.0569105691065</v>
      </c>
      <c r="C25" s="137">
        <v>-1032100</v>
      </c>
      <c r="E25" s="59" t="s">
        <v>90</v>
      </c>
      <c r="F25" s="56" t="s">
        <v>45</v>
      </c>
      <c r="G25" s="44">
        <v>1</v>
      </c>
      <c r="H25" s="129">
        <f>IF(B$15=0,0,G25/B$15)</f>
        <v>5.208333333333333E-3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5.208333333333333E-3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2</v>
      </c>
      <c r="E27" s="59" t="s">
        <v>97</v>
      </c>
      <c r="F27" s="56" t="s">
        <v>52</v>
      </c>
      <c r="G27" s="44">
        <v>1</v>
      </c>
      <c r="H27" s="129">
        <f>IF(B$15=0,0,G27/B$15)</f>
        <v>5.208333333333333E-3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194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185</v>
      </c>
      <c r="B32" s="144">
        <v>5</v>
      </c>
      <c r="C32" s="141">
        <f>IF(B$15=0,0,B32/B$15)</f>
        <v>2.6041666666666668E-2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181</v>
      </c>
      <c r="B33" s="44">
        <v>17</v>
      </c>
      <c r="C33" s="37">
        <f t="shared" ref="C33:C44" si="2">IF(B$15=0,0,B33/B$15)</f>
        <v>8.8541666666666671E-2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182</v>
      </c>
      <c r="B34" s="145">
        <v>24</v>
      </c>
      <c r="C34" s="37">
        <f>IF(B$15=0,0,B34/B$15)</f>
        <v>0.125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183</v>
      </c>
      <c r="B35" s="145">
        <v>35</v>
      </c>
      <c r="C35" s="37">
        <f t="shared" si="2"/>
        <v>0.18229166666666666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184</v>
      </c>
      <c r="B36" s="145">
        <v>48</v>
      </c>
      <c r="C36" s="37">
        <f t="shared" si="2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186</v>
      </c>
      <c r="B37" s="145">
        <v>19</v>
      </c>
      <c r="C37" s="37">
        <f t="shared" si="2"/>
        <v>9.8958333333333329E-2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187</v>
      </c>
      <c r="B38" s="145">
        <v>18</v>
      </c>
      <c r="C38" s="37">
        <f t="shared" si="2"/>
        <v>9.375E-2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188</v>
      </c>
      <c r="B39" s="145">
        <v>13</v>
      </c>
      <c r="C39" s="37">
        <f t="shared" si="2"/>
        <v>6.7708333333333329E-2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189</v>
      </c>
      <c r="B40" s="145">
        <v>3</v>
      </c>
      <c r="C40" s="37">
        <f t="shared" si="2"/>
        <v>1.5625E-2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190</v>
      </c>
      <c r="B41" s="145">
        <v>2</v>
      </c>
      <c r="C41" s="37">
        <f t="shared" si="2"/>
        <v>1.0416666666666666E-2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191</v>
      </c>
      <c r="B42" s="145">
        <v>1</v>
      </c>
      <c r="C42" s="37">
        <f t="shared" si="2"/>
        <v>5.208333333333333E-3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192</v>
      </c>
      <c r="B43" s="145">
        <v>1</v>
      </c>
      <c r="C43" s="37">
        <f t="shared" si="2"/>
        <v>5.208333333333333E-3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193</v>
      </c>
      <c r="B44" s="140">
        <v>6</v>
      </c>
      <c r="C44" s="40">
        <f t="shared" si="2"/>
        <v>3.125E-2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8"/>
  <sheetViews>
    <sheetView showGridLines="0" topLeftCell="B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106</v>
      </c>
      <c r="C2" s="155"/>
      <c r="E2" s="58" t="s">
        <v>66</v>
      </c>
      <c r="F2" s="55" t="s">
        <v>22</v>
      </c>
      <c r="G2" s="43">
        <v>190</v>
      </c>
      <c r="H2" s="128">
        <f>IF(B$15=0,0,G2/B$15)</f>
        <v>0.77235772357723576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570.47619047619048</v>
      </c>
      <c r="P2" s="114">
        <v>105</v>
      </c>
      <c r="Q2" s="98">
        <v>59900</v>
      </c>
    </row>
    <row r="3" spans="1:17" x14ac:dyDescent="0.45">
      <c r="A3" s="51" t="s">
        <v>8</v>
      </c>
      <c r="B3" s="156">
        <v>846</v>
      </c>
      <c r="C3" s="157"/>
      <c r="E3" s="59" t="s">
        <v>72</v>
      </c>
      <c r="F3" s="56" t="s">
        <v>27</v>
      </c>
      <c r="G3" s="44">
        <v>139</v>
      </c>
      <c r="H3" s="129">
        <f>IF(B$15=0,0,G3/B$15)</f>
        <v>0.56504065040650409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518.62745098039215</v>
      </c>
      <c r="P3" s="115">
        <v>102</v>
      </c>
      <c r="Q3" s="99">
        <v>52900</v>
      </c>
    </row>
    <row r="4" spans="1:17" x14ac:dyDescent="0.45">
      <c r="A4" s="51" t="s">
        <v>6</v>
      </c>
      <c r="B4" s="158">
        <v>86.299999999999983</v>
      </c>
      <c r="C4" s="159"/>
      <c r="E4" s="59" t="s">
        <v>64</v>
      </c>
      <c r="F4" s="56" t="s">
        <v>20</v>
      </c>
      <c r="G4" s="44">
        <v>127</v>
      </c>
      <c r="H4" s="129">
        <f>IF(B$15=0,0,G4/B$15)</f>
        <v>0.51626016260162599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-538.9473684210526</v>
      </c>
      <c r="P4" s="115">
        <v>95</v>
      </c>
      <c r="Q4" s="99">
        <v>-51200</v>
      </c>
    </row>
    <row r="5" spans="1:17" x14ac:dyDescent="0.45">
      <c r="A5" s="51" t="s">
        <v>7</v>
      </c>
      <c r="B5" s="160">
        <f>IF(B$2=0,0,B$4/B$2)</f>
        <v>0.81415094339622629</v>
      </c>
      <c r="C5" s="161"/>
      <c r="E5" s="59" t="s">
        <v>166</v>
      </c>
      <c r="F5" s="56" t="s">
        <v>167</v>
      </c>
      <c r="G5" s="44">
        <v>113</v>
      </c>
      <c r="H5" s="129">
        <f>IF(B$15=0,0,G5/B$15)</f>
        <v>0.45934959349593496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335.63218390804599</v>
      </c>
      <c r="P5" s="115">
        <v>87</v>
      </c>
      <c r="Q5" s="99">
        <v>29200</v>
      </c>
    </row>
    <row r="6" spans="1:17" x14ac:dyDescent="0.45">
      <c r="A6" s="51" t="s">
        <v>1</v>
      </c>
      <c r="B6" s="150">
        <f>IF(B$2=0,0,(B$7*1+B$8*2+B$9*3)/B$2)</f>
        <v>2.0094339622641511</v>
      </c>
      <c r="C6" s="151"/>
      <c r="E6" s="59" t="s">
        <v>67</v>
      </c>
      <c r="F6" s="56" t="s">
        <v>23</v>
      </c>
      <c r="G6" s="44">
        <v>95</v>
      </c>
      <c r="H6" s="129">
        <f>IF(B$15=0,0,G6/B$15)</f>
        <v>0.38617886178861788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-368.83116883116884</v>
      </c>
      <c r="P6" s="115">
        <v>77</v>
      </c>
      <c r="Q6" s="99">
        <v>-28400</v>
      </c>
    </row>
    <row r="7" spans="1:17" x14ac:dyDescent="0.45">
      <c r="A7" s="51" t="s">
        <v>2</v>
      </c>
      <c r="B7" s="44">
        <v>28</v>
      </c>
      <c r="C7" s="37">
        <f t="shared" ref="C7:C10" si="1">IF(B$2=0,0,B7/B$2)</f>
        <v>0.26415094339622641</v>
      </c>
      <c r="E7" s="59" t="s">
        <v>68</v>
      </c>
      <c r="F7" s="56" t="s">
        <v>12</v>
      </c>
      <c r="G7" s="44">
        <v>82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-896.969696969697</v>
      </c>
      <c r="P7" s="116">
        <v>66</v>
      </c>
      <c r="Q7" s="100">
        <v>-59200</v>
      </c>
    </row>
    <row r="8" spans="1:17" x14ac:dyDescent="0.45">
      <c r="A8" s="51" t="s">
        <v>3</v>
      </c>
      <c r="B8" s="44">
        <v>49</v>
      </c>
      <c r="C8" s="37">
        <f t="shared" si="1"/>
        <v>0.46226415094339623</v>
      </c>
      <c r="E8" s="59" t="s">
        <v>69</v>
      </c>
      <c r="F8" s="56" t="s">
        <v>24</v>
      </c>
      <c r="G8" s="44">
        <v>35</v>
      </c>
      <c r="H8" s="129">
        <f>IF(B$15=0,0,G8/B$15)</f>
        <v>0.14227642276422764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0.27358490566037735</v>
      </c>
      <c r="E9" s="59" t="s">
        <v>89</v>
      </c>
      <c r="F9" s="56" t="s">
        <v>44</v>
      </c>
      <c r="G9" s="44">
        <v>26</v>
      </c>
      <c r="H9" s="129">
        <f>IF(B$15=0,0,G9/B$15)</f>
        <v>0.10569105691056911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7.5471698113207544E-2</v>
      </c>
      <c r="E10" s="59" t="s">
        <v>71</v>
      </c>
      <c r="F10" s="56" t="s">
        <v>26</v>
      </c>
      <c r="G10" s="44">
        <v>22</v>
      </c>
      <c r="H10" s="129">
        <f>IF(B$15=0,0,G10/B$15)</f>
        <v>8.943089430894309E-2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0.21333333333333321</v>
      </c>
      <c r="P10" s="114">
        <v>45</v>
      </c>
      <c r="Q10" s="102">
        <v>9.5999999999999943</v>
      </c>
    </row>
    <row r="11" spans="1:17" x14ac:dyDescent="0.45">
      <c r="A11" s="54" t="s">
        <v>121</v>
      </c>
      <c r="B11" s="47">
        <v>231</v>
      </c>
      <c r="C11" s="42">
        <f>IF(B$3=0,0,B11/B$3)</f>
        <v>0.27304964539007093</v>
      </c>
      <c r="E11" s="59" t="s">
        <v>65</v>
      </c>
      <c r="F11" s="56" t="s">
        <v>21</v>
      </c>
      <c r="G11" s="44">
        <v>19</v>
      </c>
      <c r="H11" s="129">
        <f>IF(B$15=0,0,G11/B$15)</f>
        <v>7.7235772357723581E-2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183</v>
      </c>
      <c r="C12" s="37">
        <f>IF(B$3=0,0,B12/B$3)</f>
        <v>0.21631205673758866</v>
      </c>
      <c r="E12" s="59" t="s">
        <v>70</v>
      </c>
      <c r="F12" s="56" t="s">
        <v>25</v>
      </c>
      <c r="G12" s="44">
        <v>18</v>
      </c>
      <c r="H12" s="129">
        <f>IF(B$15=0,0,G12/B$15)</f>
        <v>7.3170731707317069E-2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0.58008658008658009</v>
      </c>
      <c r="E13" s="59" t="s">
        <v>86</v>
      </c>
      <c r="F13" s="56" t="s">
        <v>41</v>
      </c>
      <c r="G13" s="44">
        <v>13</v>
      </c>
      <c r="H13" s="129">
        <f>IF(B$15=0,0,G13/B$15)</f>
        <v>5.2845528455284556E-2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79</v>
      </c>
      <c r="C14" s="35">
        <f>IF(B$12=0,0,B14/B$12)</f>
        <v>0.43169398907103823</v>
      </c>
      <c r="E14" s="59" t="s">
        <v>83</v>
      </c>
      <c r="F14" s="56" t="s">
        <v>38</v>
      </c>
      <c r="G14" s="44">
        <v>9</v>
      </c>
      <c r="H14" s="129">
        <f>IF(B$15=0,0,G14/B$15)</f>
        <v>3.6585365853658534E-2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246</v>
      </c>
      <c r="C15" s="35">
        <f>IF(B$3=0,0,B15/B$3)</f>
        <v>0.29078014184397161</v>
      </c>
      <c r="E15" s="59" t="s">
        <v>79</v>
      </c>
      <c r="F15" s="56" t="s">
        <v>34</v>
      </c>
      <c r="G15" s="44">
        <v>6</v>
      </c>
      <c r="H15" s="129">
        <f>IF(B$15=0,0,G15/B$15)</f>
        <v>2.4390243902439025E-2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115</v>
      </c>
      <c r="C16" s="37">
        <f>IF(B$3=0,0,B16/B$3)</f>
        <v>0.13593380614657211</v>
      </c>
      <c r="E16" s="59" t="s">
        <v>162</v>
      </c>
      <c r="F16" s="56" t="s">
        <v>163</v>
      </c>
      <c r="G16" s="44">
        <v>6</v>
      </c>
      <c r="H16" s="129">
        <f>IF(B$15=0,0,G16/B$15)</f>
        <v>2.4390243902439025E-2</v>
      </c>
      <c r="I16" s="90">
        <v>4</v>
      </c>
      <c r="K16" s="36">
        <v>14</v>
      </c>
      <c r="L16" s="95">
        <v>-25.79999999999999</v>
      </c>
      <c r="N16" s="111" t="s">
        <v>236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110</v>
      </c>
      <c r="C17" s="37">
        <f>IF(B$15=0,0,B17/B$15)</f>
        <v>0.44715447154471544</v>
      </c>
      <c r="E17" s="59" t="s">
        <v>73</v>
      </c>
      <c r="F17" s="56" t="s">
        <v>28</v>
      </c>
      <c r="G17" s="44">
        <v>4</v>
      </c>
      <c r="H17" s="129">
        <f>IF(B$15=0,0,G17/B$15)</f>
        <v>1.6260162601626018E-2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136</v>
      </c>
      <c r="C18" s="37">
        <f>IF(B$15=0,0,B18/B$15)</f>
        <v>0.55284552845528456</v>
      </c>
      <c r="E18" s="59" t="s">
        <v>81</v>
      </c>
      <c r="F18" s="56" t="s">
        <v>36</v>
      </c>
      <c r="G18" s="44">
        <v>4</v>
      </c>
      <c r="H18" s="129">
        <f>IF(B$15=0,0,G18/B$15)</f>
        <v>1.6260162601626018E-2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13.300000000000002</v>
      </c>
      <c r="P18" s="115">
        <v>21</v>
      </c>
      <c r="Q18" s="103">
        <v>279.30000000000007</v>
      </c>
    </row>
    <row r="19" spans="1:17" x14ac:dyDescent="0.45">
      <c r="A19" s="51" t="s">
        <v>197</v>
      </c>
      <c r="B19" s="44">
        <v>134</v>
      </c>
      <c r="C19" s="37">
        <f>IF(B$15=0,0,B19/B$15)</f>
        <v>0.54471544715447151</v>
      </c>
      <c r="E19" s="59" t="s">
        <v>78</v>
      </c>
      <c r="F19" s="56" t="s">
        <v>33</v>
      </c>
      <c r="G19" s="44">
        <v>3</v>
      </c>
      <c r="H19" s="129">
        <f>IF(B$15=0,0,G19/B$15)</f>
        <v>1.2195121951219513E-2</v>
      </c>
      <c r="I19" s="90">
        <v>6</v>
      </c>
      <c r="K19" s="36">
        <v>17</v>
      </c>
      <c r="L19" s="95">
        <v>-29.799999999999986</v>
      </c>
      <c r="N19" s="111" t="s">
        <v>201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195</v>
      </c>
      <c r="B20" s="44">
        <v>79</v>
      </c>
      <c r="C20" s="37">
        <f>IF(B$15=0,0,B20/B$15)</f>
        <v>0.32113821138211385</v>
      </c>
      <c r="E20" s="59" t="s">
        <v>85</v>
      </c>
      <c r="F20" s="56" t="s">
        <v>40</v>
      </c>
      <c r="G20" s="44">
        <v>2</v>
      </c>
      <c r="H20" s="129">
        <f>IF(B$15=0,0,G20/B$15)</f>
        <v>8.130081300813009E-3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>IF(P20=0,0,Q20/P20)</f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196</v>
      </c>
      <c r="B21" s="44">
        <v>33</v>
      </c>
      <c r="C21" s="37">
        <f>IF(B$15=0,0,B21/B$15)</f>
        <v>0.13414634146341464</v>
      </c>
      <c r="E21" s="59" t="s">
        <v>91</v>
      </c>
      <c r="F21" s="56" t="s">
        <v>46</v>
      </c>
      <c r="G21" s="44">
        <v>2</v>
      </c>
      <c r="H21" s="129">
        <f>IF(B$15=0,0,G21/B$15)</f>
        <v>8.130081300813009E-3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8552.4390243902435</v>
      </c>
      <c r="C22" s="39">
        <v>2103900</v>
      </c>
      <c r="E22" s="59" t="s">
        <v>74</v>
      </c>
      <c r="F22" s="56" t="s">
        <v>29</v>
      </c>
      <c r="G22" s="44">
        <v>1</v>
      </c>
      <c r="H22" s="129">
        <f>IF(B$15=0,0,G22/B$15)</f>
        <v>4.0650406504065045E-3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>IF(P22=0,0,Q22/P22)</f>
        <v>-5.8250000000000002</v>
      </c>
      <c r="P22" s="115">
        <v>44</v>
      </c>
      <c r="Q22" s="103">
        <v>-256.3</v>
      </c>
    </row>
    <row r="23" spans="1:17" x14ac:dyDescent="0.45">
      <c r="A23" s="52" t="s">
        <v>177</v>
      </c>
      <c r="B23" s="136">
        <f>IF($B$15-B$14=0,0,C23/($B$15-B$14))</f>
        <v>9426.3473053892212</v>
      </c>
      <c r="C23" s="137">
        <v>1574200</v>
      </c>
      <c r="E23" s="59" t="s">
        <v>75</v>
      </c>
      <c r="F23" s="56" t="s">
        <v>30</v>
      </c>
      <c r="G23" s="44">
        <v>1</v>
      </c>
      <c r="H23" s="129">
        <f>IF(B$15=0,0,G23/B$15)</f>
        <v>4.0650406504065045E-3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>IF(P23=0,0,Q23/P23)</f>
        <v>-15.290384615384616</v>
      </c>
      <c r="P23" s="115">
        <v>52</v>
      </c>
      <c r="Q23" s="103">
        <v>-795.1</v>
      </c>
    </row>
    <row r="24" spans="1:17" x14ac:dyDescent="0.45">
      <c r="A24" s="52" t="s">
        <v>178</v>
      </c>
      <c r="B24" s="136">
        <f>IF(B$14=0,0,C24/B$14)</f>
        <v>6705.0632911392404</v>
      </c>
      <c r="C24" s="137">
        <v>529700</v>
      </c>
      <c r="E24" s="59" t="s">
        <v>87</v>
      </c>
      <c r="F24" s="56" t="s">
        <v>42</v>
      </c>
      <c r="G24" s="44">
        <v>1</v>
      </c>
      <c r="H24" s="129">
        <f>IF(B$15=0,0,G24/B$15)</f>
        <v>4.0650406504065045E-3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-7618.260869565217</v>
      </c>
      <c r="C25" s="137">
        <v>-876100</v>
      </c>
      <c r="E25" s="59" t="s">
        <v>88</v>
      </c>
      <c r="F25" s="56" t="s">
        <v>43</v>
      </c>
      <c r="G25" s="44">
        <v>1</v>
      </c>
      <c r="H25" s="129">
        <f>IF(B$15=0,0,G25/B$15)</f>
        <v>4.0650406504065045E-3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4.0650406504065045E-3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16</v>
      </c>
      <c r="E27" s="59" t="s">
        <v>101</v>
      </c>
      <c r="F27" s="56" t="s">
        <v>56</v>
      </c>
      <c r="G27" s="44">
        <v>1</v>
      </c>
      <c r="H27" s="129">
        <f>IF(B$15=0,0,G27/B$15)</f>
        <v>4.0650406504065045E-3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194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2.3640661938534278E-3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185</v>
      </c>
      <c r="B32" s="144">
        <v>14</v>
      </c>
      <c r="C32" s="141">
        <f>IF(B$15=0,0,B32/B$15)</f>
        <v>5.6910569105691054E-2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-107.29999999999998</v>
      </c>
    </row>
    <row r="33" spans="1:12" x14ac:dyDescent="0.45">
      <c r="A33" s="51" t="s">
        <v>181</v>
      </c>
      <c r="B33" s="44">
        <v>46</v>
      </c>
      <c r="C33" s="37">
        <f t="shared" ref="C33:C44" si="2">IF(B$15=0,0,B33/B$15)</f>
        <v>0.18699186991869918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182</v>
      </c>
      <c r="B34" s="145">
        <v>49</v>
      </c>
      <c r="C34" s="37">
        <f>IF(B$15=0,0,B34/B$15)</f>
        <v>0.1991869918699187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183</v>
      </c>
      <c r="B35" s="145">
        <v>41</v>
      </c>
      <c r="C35" s="37">
        <f t="shared" si="2"/>
        <v>0.16666666666666666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184</v>
      </c>
      <c r="B36" s="145">
        <v>38</v>
      </c>
      <c r="C36" s="37">
        <f t="shared" si="2"/>
        <v>0.15447154471544716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186</v>
      </c>
      <c r="B37" s="145">
        <v>29</v>
      </c>
      <c r="C37" s="37">
        <f t="shared" si="2"/>
        <v>0.11788617886178862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187</v>
      </c>
      <c r="B38" s="145">
        <v>12</v>
      </c>
      <c r="C38" s="37">
        <f t="shared" si="2"/>
        <v>4.878048780487805E-2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188</v>
      </c>
      <c r="B39" s="145">
        <v>7</v>
      </c>
      <c r="C39" s="37">
        <f t="shared" si="2"/>
        <v>2.8455284552845527E-2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189</v>
      </c>
      <c r="B40" s="145">
        <v>3</v>
      </c>
      <c r="C40" s="37">
        <f t="shared" si="2"/>
        <v>1.2195121951219513E-2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5">
      <c r="A41" s="51" t="s">
        <v>190</v>
      </c>
      <c r="B41" s="145">
        <v>2</v>
      </c>
      <c r="C41" s="37">
        <f t="shared" si="2"/>
        <v>8.130081300813009E-3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5">
      <c r="A42" s="51" t="s">
        <v>191</v>
      </c>
      <c r="B42" s="145">
        <v>1</v>
      </c>
      <c r="C42" s="37">
        <f t="shared" si="2"/>
        <v>4.0650406504065045E-3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5">
      <c r="A43" s="51" t="s">
        <v>192</v>
      </c>
      <c r="B43" s="145">
        <v>2</v>
      </c>
      <c r="C43" s="37">
        <f t="shared" si="2"/>
        <v>8.130081300813009E-3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5">
      <c r="A44" s="53" t="s">
        <v>193</v>
      </c>
      <c r="B44" s="140">
        <v>2</v>
      </c>
      <c r="C44" s="40">
        <f t="shared" si="2"/>
        <v>8.130081300813009E-3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5">
      <c r="K53" s="36">
        <v>51</v>
      </c>
      <c r="L53" s="95">
        <v>6.5000000000000231</v>
      </c>
    </row>
    <row r="54" spans="5:12" x14ac:dyDescent="0.45">
      <c r="K54" s="36">
        <v>52</v>
      </c>
      <c r="L54" s="95">
        <v>-0.29999999999997673</v>
      </c>
    </row>
    <row r="55" spans="5:12" x14ac:dyDescent="0.45">
      <c r="K55" s="36">
        <v>53</v>
      </c>
      <c r="L55" s="95">
        <v>8.800000000000022</v>
      </c>
    </row>
    <row r="56" spans="5:12" x14ac:dyDescent="0.45">
      <c r="K56" s="36">
        <v>54</v>
      </c>
      <c r="L56" s="95">
        <v>5.800000000000022</v>
      </c>
    </row>
    <row r="57" spans="5:12" x14ac:dyDescent="0.45">
      <c r="K57" s="36">
        <v>55</v>
      </c>
      <c r="L57" s="95">
        <v>-12.499999999999979</v>
      </c>
    </row>
    <row r="58" spans="5:12" x14ac:dyDescent="0.45">
      <c r="K58" s="36">
        <v>56</v>
      </c>
      <c r="L58" s="95">
        <v>36.40000000000002</v>
      </c>
    </row>
    <row r="59" spans="5:12" x14ac:dyDescent="0.45">
      <c r="K59" s="36">
        <v>57</v>
      </c>
      <c r="L59" s="95">
        <v>-3.6999999999999815</v>
      </c>
    </row>
    <row r="60" spans="5:12" x14ac:dyDescent="0.45">
      <c r="K60" s="36">
        <v>58</v>
      </c>
      <c r="L60" s="95">
        <v>12.90000000000002</v>
      </c>
    </row>
    <row r="61" spans="5:12" x14ac:dyDescent="0.45">
      <c r="K61" s="36">
        <v>59</v>
      </c>
      <c r="L61" s="95">
        <v>37.700000000000017</v>
      </c>
    </row>
    <row r="62" spans="5:12" x14ac:dyDescent="0.45">
      <c r="K62" s="36">
        <v>60</v>
      </c>
      <c r="L62" s="95">
        <v>77.000000000000014</v>
      </c>
    </row>
    <row r="63" spans="5:12" x14ac:dyDescent="0.45">
      <c r="K63" s="36">
        <v>61</v>
      </c>
      <c r="L63" s="95">
        <v>21.100000000000016</v>
      </c>
    </row>
    <row r="64" spans="5:12" x14ac:dyDescent="0.45">
      <c r="K64" s="36">
        <v>62</v>
      </c>
      <c r="L64" s="95">
        <v>27.100000000000016</v>
      </c>
    </row>
    <row r="65" spans="11:12" x14ac:dyDescent="0.45">
      <c r="K65" s="36">
        <v>63</v>
      </c>
      <c r="L65" s="95">
        <v>11.800000000000015</v>
      </c>
    </row>
    <row r="66" spans="11:12" x14ac:dyDescent="0.45">
      <c r="K66" s="36">
        <v>64</v>
      </c>
      <c r="L66" s="95">
        <v>46.40000000000002</v>
      </c>
    </row>
    <row r="67" spans="11:12" x14ac:dyDescent="0.45">
      <c r="K67" s="36">
        <v>65</v>
      </c>
      <c r="L67" s="95">
        <v>39.90000000000002</v>
      </c>
    </row>
    <row r="68" spans="11:12" x14ac:dyDescent="0.45">
      <c r="K68" s="36">
        <v>66</v>
      </c>
      <c r="L68" s="95">
        <v>14.600000000000019</v>
      </c>
    </row>
    <row r="69" spans="11:12" x14ac:dyDescent="0.45">
      <c r="K69" s="36">
        <v>67</v>
      </c>
      <c r="L69" s="95">
        <v>-6.2999999999999794</v>
      </c>
    </row>
    <row r="70" spans="11:12" x14ac:dyDescent="0.45">
      <c r="K70" s="36">
        <v>68</v>
      </c>
      <c r="L70" s="95">
        <v>-2.7999999999999794</v>
      </c>
    </row>
    <row r="71" spans="11:12" x14ac:dyDescent="0.45">
      <c r="K71" s="36">
        <v>69</v>
      </c>
      <c r="L71" s="95">
        <v>-35.799999999999983</v>
      </c>
    </row>
    <row r="72" spans="11:12" x14ac:dyDescent="0.45">
      <c r="K72" s="36">
        <v>70</v>
      </c>
      <c r="L72" s="95">
        <v>-59.899999999999984</v>
      </c>
    </row>
    <row r="73" spans="11:12" x14ac:dyDescent="0.45">
      <c r="K73" s="36">
        <v>71</v>
      </c>
      <c r="L73" s="95">
        <v>-49.59999999999998</v>
      </c>
    </row>
    <row r="74" spans="11:12" x14ac:dyDescent="0.45">
      <c r="K74" s="36">
        <v>72</v>
      </c>
      <c r="L74" s="95">
        <v>-53.999999999999979</v>
      </c>
    </row>
    <row r="75" spans="11:12" x14ac:dyDescent="0.45">
      <c r="K75" s="36">
        <v>73</v>
      </c>
      <c r="L75" s="95">
        <v>-68.199999999999974</v>
      </c>
    </row>
    <row r="76" spans="11:12" x14ac:dyDescent="0.45">
      <c r="K76" s="36">
        <v>74</v>
      </c>
      <c r="L76" s="95">
        <v>-65.699999999999974</v>
      </c>
    </row>
    <row r="77" spans="11:12" x14ac:dyDescent="0.45">
      <c r="K77" s="36">
        <v>75</v>
      </c>
      <c r="L77" s="95">
        <v>-35.599999999999973</v>
      </c>
    </row>
    <row r="78" spans="11:12" x14ac:dyDescent="0.45">
      <c r="K78" s="36">
        <v>76</v>
      </c>
      <c r="L78" s="95">
        <v>-37.499999999999972</v>
      </c>
    </row>
    <row r="79" spans="11:12" x14ac:dyDescent="0.45">
      <c r="K79" s="36">
        <v>77</v>
      </c>
      <c r="L79" s="95">
        <v>-28.199999999999971</v>
      </c>
    </row>
    <row r="80" spans="11:12" x14ac:dyDescent="0.45">
      <c r="K80" s="36">
        <v>78</v>
      </c>
      <c r="L80" s="95">
        <v>-87.299999999999969</v>
      </c>
    </row>
    <row r="81" spans="11:12" x14ac:dyDescent="0.45">
      <c r="K81" s="36">
        <v>79</v>
      </c>
      <c r="L81" s="95">
        <v>-133.39999999999998</v>
      </c>
    </row>
    <row r="82" spans="11:12" x14ac:dyDescent="0.45">
      <c r="K82" s="36">
        <v>80</v>
      </c>
      <c r="L82" s="95">
        <v>-169.99999999999997</v>
      </c>
    </row>
    <row r="83" spans="11:12" x14ac:dyDescent="0.45">
      <c r="K83" s="36">
        <v>81</v>
      </c>
      <c r="L83" s="95">
        <v>-165.79999999999998</v>
      </c>
    </row>
    <row r="84" spans="11:12" x14ac:dyDescent="0.45">
      <c r="K84" s="36">
        <v>82</v>
      </c>
      <c r="L84" s="95">
        <v>-115.99999999999999</v>
      </c>
    </row>
    <row r="85" spans="11:12" x14ac:dyDescent="0.45">
      <c r="K85" s="36">
        <v>83</v>
      </c>
      <c r="L85" s="95">
        <v>-117.19999999999999</v>
      </c>
    </row>
    <row r="86" spans="11:12" x14ac:dyDescent="0.45">
      <c r="K86" s="36">
        <v>84</v>
      </c>
      <c r="L86" s="95">
        <v>-128.6</v>
      </c>
    </row>
    <row r="87" spans="11:12" x14ac:dyDescent="0.45">
      <c r="K87" s="36">
        <v>85</v>
      </c>
      <c r="L87" s="95">
        <v>-119.8</v>
      </c>
    </row>
    <row r="88" spans="11:12" x14ac:dyDescent="0.45">
      <c r="K88" s="36">
        <v>86</v>
      </c>
      <c r="L88" s="95">
        <v>-97.4</v>
      </c>
    </row>
    <row r="89" spans="11:12" x14ac:dyDescent="0.45">
      <c r="K89" s="36">
        <v>87</v>
      </c>
      <c r="L89" s="95">
        <v>-83.800000000000011</v>
      </c>
    </row>
    <row r="90" spans="11:12" x14ac:dyDescent="0.45">
      <c r="K90" s="36">
        <v>88</v>
      </c>
      <c r="L90" s="95">
        <v>-57.400000000000013</v>
      </c>
    </row>
    <row r="91" spans="11:12" x14ac:dyDescent="0.45">
      <c r="K91" s="36">
        <v>89</v>
      </c>
      <c r="L91" s="95">
        <v>-63.20000000000001</v>
      </c>
    </row>
    <row r="92" spans="11:12" x14ac:dyDescent="0.45">
      <c r="K92" s="36">
        <v>90</v>
      </c>
      <c r="L92" s="95">
        <v>-119.60000000000001</v>
      </c>
    </row>
    <row r="93" spans="11:12" x14ac:dyDescent="0.45">
      <c r="K93" s="36">
        <v>91</v>
      </c>
      <c r="L93" s="95">
        <v>-57.600000000000009</v>
      </c>
    </row>
    <row r="94" spans="11:12" x14ac:dyDescent="0.45">
      <c r="K94" s="36">
        <v>92</v>
      </c>
      <c r="L94" s="95">
        <v>-54.900000000000006</v>
      </c>
    </row>
    <row r="95" spans="11:12" x14ac:dyDescent="0.45">
      <c r="K95" s="36">
        <v>93</v>
      </c>
      <c r="L95" s="95">
        <v>-17.100000000000009</v>
      </c>
    </row>
    <row r="96" spans="11:12" x14ac:dyDescent="0.45">
      <c r="K96" s="36">
        <v>94</v>
      </c>
      <c r="L96" s="95">
        <v>8.7999999999999901</v>
      </c>
    </row>
    <row r="97" spans="11:12" x14ac:dyDescent="0.45">
      <c r="K97" s="36">
        <v>95</v>
      </c>
      <c r="L97" s="95">
        <v>-4.1000000000000103</v>
      </c>
    </row>
    <row r="98" spans="11:12" x14ac:dyDescent="0.45">
      <c r="K98" s="36">
        <v>96</v>
      </c>
      <c r="L98" s="95">
        <v>31.899999999999991</v>
      </c>
    </row>
    <row r="99" spans="11:12" x14ac:dyDescent="0.45">
      <c r="K99" s="36">
        <v>97</v>
      </c>
      <c r="L99" s="95">
        <v>52.29999999999999</v>
      </c>
    </row>
    <row r="100" spans="11:12" x14ac:dyDescent="0.45">
      <c r="K100" s="36">
        <v>98</v>
      </c>
      <c r="L100" s="95">
        <v>13.999999999999993</v>
      </c>
    </row>
    <row r="101" spans="11:12" x14ac:dyDescent="0.45">
      <c r="K101" s="36">
        <v>99</v>
      </c>
      <c r="L101" s="95">
        <v>21.399999999999991</v>
      </c>
    </row>
    <row r="102" spans="11:12" x14ac:dyDescent="0.45">
      <c r="K102" s="36">
        <v>100</v>
      </c>
      <c r="L102" s="95">
        <v>-5.4000000000000092</v>
      </c>
    </row>
    <row r="103" spans="11:12" x14ac:dyDescent="0.45">
      <c r="K103" s="36">
        <v>101</v>
      </c>
      <c r="L103" s="95">
        <v>-25.600000000000009</v>
      </c>
    </row>
    <row r="104" spans="11:12" x14ac:dyDescent="0.45">
      <c r="K104" s="36">
        <v>102</v>
      </c>
      <c r="L104" s="95">
        <v>32.199999999999989</v>
      </c>
    </row>
    <row r="105" spans="11:12" x14ac:dyDescent="0.45">
      <c r="K105" s="36">
        <v>103</v>
      </c>
      <c r="L105" s="95">
        <v>27.699999999999989</v>
      </c>
    </row>
    <row r="106" spans="11:12" x14ac:dyDescent="0.45">
      <c r="K106" s="36">
        <v>104</v>
      </c>
      <c r="L106" s="95">
        <v>45.79999999999999</v>
      </c>
    </row>
    <row r="107" spans="11:12" x14ac:dyDescent="0.45">
      <c r="K107" s="36">
        <v>105</v>
      </c>
      <c r="L107" s="95">
        <v>122.19999999999999</v>
      </c>
    </row>
    <row r="108" spans="11:12" x14ac:dyDescent="0.45">
      <c r="K108" s="36">
        <v>106</v>
      </c>
      <c r="L108" s="95">
        <v>86.299999999999983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5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5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5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5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5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5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5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5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5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5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5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2"/>
        <v>-22.021428571428572</v>
      </c>
      <c r="P18" s="115">
        <v>14</v>
      </c>
      <c r="Q18" s="103">
        <v>-308.3</v>
      </c>
    </row>
    <row r="19" spans="1:17" x14ac:dyDescent="0.45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5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5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2"/>
        <v>-25.799999999999997</v>
      </c>
      <c r="P21" s="115">
        <v>1</v>
      </c>
      <c r="Q21" s="103">
        <v>-25.799999999999997</v>
      </c>
    </row>
    <row r="22" spans="1:17" x14ac:dyDescent="0.45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5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2"/>
        <v>-65.55</v>
      </c>
      <c r="P23" s="115">
        <v>2</v>
      </c>
      <c r="Q23" s="103">
        <v>-131.1</v>
      </c>
    </row>
    <row r="24" spans="1:17" x14ac:dyDescent="0.45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5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5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181</v>
      </c>
      <c r="B33" s="44">
        <v>19</v>
      </c>
      <c r="C33" s="37">
        <f t="shared" ref="C33:C44" si="3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183</v>
      </c>
      <c r="B35" s="145">
        <v>12</v>
      </c>
      <c r="C35" s="37">
        <f t="shared" si="3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184</v>
      </c>
      <c r="B36" s="145">
        <v>11</v>
      </c>
      <c r="C36" s="37">
        <f t="shared" si="3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186</v>
      </c>
      <c r="B37" s="145">
        <v>5</v>
      </c>
      <c r="C37" s="37">
        <f t="shared" si="3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187</v>
      </c>
      <c r="B38" s="145">
        <v>6</v>
      </c>
      <c r="C38" s="37">
        <f t="shared" si="3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188</v>
      </c>
      <c r="B39" s="145">
        <v>5</v>
      </c>
      <c r="C39" s="37">
        <f t="shared" si="3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190</v>
      </c>
      <c r="B41" s="145">
        <v>1</v>
      </c>
      <c r="C41" s="37">
        <f t="shared" si="3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193</v>
      </c>
      <c r="B44" s="140">
        <v>1</v>
      </c>
      <c r="C44" s="40">
        <f t="shared" si="3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181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183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184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186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187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190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191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202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5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5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181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183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184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186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5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5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4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5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5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5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5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5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5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5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5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5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5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5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5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5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5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5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5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5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5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5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5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5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5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5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5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5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5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5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5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5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5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5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5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5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5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5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5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5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5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5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5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5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5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5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5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5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5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5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5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5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5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5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5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5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5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5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5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5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5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5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5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5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  <row r="105" spans="1:16" x14ac:dyDescent="0.45">
      <c r="A105" s="65">
        <v>102</v>
      </c>
      <c r="B105" s="62">
        <v>32.199999999999989</v>
      </c>
      <c r="C105" s="62">
        <v>0.3156862745098038</v>
      </c>
      <c r="D105" s="67">
        <v>2.0196078431372548</v>
      </c>
      <c r="E105" s="63">
        <v>0.25490196078431371</v>
      </c>
      <c r="F105" s="63">
        <v>0.27450980392156865</v>
      </c>
      <c r="G105" s="63">
        <v>0.28888888888888886</v>
      </c>
      <c r="H105" s="63">
        <v>0.13580246913580246</v>
      </c>
      <c r="I105" s="64">
        <v>8434.6153846153848</v>
      </c>
      <c r="J105" s="64">
        <v>-7714.545454545455</v>
      </c>
      <c r="K105" s="63">
        <v>7.8431372549019607E-2</v>
      </c>
      <c r="L105" s="63">
        <v>0.26790123456790121</v>
      </c>
      <c r="M105" s="63">
        <v>0.21975308641975308</v>
      </c>
      <c r="N105" s="63">
        <v>0.57603686635944695</v>
      </c>
      <c r="O105" s="63">
        <v>0.42696629213483145</v>
      </c>
      <c r="P105" s="63">
        <v>0.45299145299145299</v>
      </c>
    </row>
    <row r="106" spans="1:16" x14ac:dyDescent="0.45">
      <c r="A106" s="65">
        <v>103</v>
      </c>
      <c r="B106" s="62">
        <v>27.699999999999989</v>
      </c>
      <c r="C106" s="62">
        <v>0.26893203883495137</v>
      </c>
      <c r="D106" s="67">
        <v>2.0194174757281553</v>
      </c>
      <c r="E106" s="63">
        <v>0.25242718446601942</v>
      </c>
      <c r="F106" s="63">
        <v>0.27184466019417475</v>
      </c>
      <c r="G106" s="63">
        <v>0.28886168910648713</v>
      </c>
      <c r="H106" s="63">
        <v>0.13586291309669524</v>
      </c>
      <c r="I106" s="64">
        <v>8447.8813559322025</v>
      </c>
      <c r="J106" s="64">
        <v>-7671.1711711711714</v>
      </c>
      <c r="K106" s="63">
        <v>7.7669902912621352E-2</v>
      </c>
      <c r="L106" s="63">
        <v>0.27050183598531213</v>
      </c>
      <c r="M106" s="63">
        <v>0.21787025703794369</v>
      </c>
      <c r="N106" s="63">
        <v>0.57466063348416285</v>
      </c>
      <c r="O106" s="63">
        <v>0.42696629213483145</v>
      </c>
      <c r="P106" s="63">
        <v>0.45338983050847459</v>
      </c>
    </row>
    <row r="107" spans="1:16" x14ac:dyDescent="0.45">
      <c r="A107" s="65">
        <v>104</v>
      </c>
      <c r="B107" s="62">
        <v>45.79999999999999</v>
      </c>
      <c r="C107" s="62">
        <v>0.44038461538461526</v>
      </c>
      <c r="D107" s="67">
        <v>2.0096153846153846</v>
      </c>
      <c r="E107" s="63">
        <v>0.25961538461538464</v>
      </c>
      <c r="F107" s="63">
        <v>0.26923076923076922</v>
      </c>
      <c r="G107" s="63">
        <v>0.28950542822677927</v>
      </c>
      <c r="H107" s="63">
        <v>0.13751507840772015</v>
      </c>
      <c r="I107" s="64">
        <v>8495</v>
      </c>
      <c r="J107" s="64">
        <v>-7662.2807017543855</v>
      </c>
      <c r="K107" s="63">
        <v>7.6923076923076927E-2</v>
      </c>
      <c r="L107" s="63">
        <v>0.27020506634499397</v>
      </c>
      <c r="M107" s="63">
        <v>0.21833534378769601</v>
      </c>
      <c r="N107" s="63">
        <v>0.5758928571428571</v>
      </c>
      <c r="O107" s="63">
        <v>0.43093922651933703</v>
      </c>
      <c r="P107" s="63">
        <v>0.44583333333333336</v>
      </c>
    </row>
    <row r="108" spans="1:16" x14ac:dyDescent="0.45">
      <c r="A108" s="65">
        <v>105</v>
      </c>
      <c r="B108" s="62">
        <v>122.19999999999999</v>
      </c>
      <c r="C108" s="62">
        <v>1.1638095238095236</v>
      </c>
      <c r="D108" s="67">
        <v>2</v>
      </c>
      <c r="E108" s="63">
        <v>0.26666666666666666</v>
      </c>
      <c r="F108" s="63">
        <v>0.26666666666666666</v>
      </c>
      <c r="G108" s="63">
        <v>0.2930622009569378</v>
      </c>
      <c r="H108" s="63">
        <v>0.13755980861244019</v>
      </c>
      <c r="I108" s="64">
        <v>8576.7346938775518</v>
      </c>
      <c r="J108" s="64">
        <v>-7618.260869565217</v>
      </c>
      <c r="K108" s="63">
        <v>7.6190476190476197E-2</v>
      </c>
      <c r="L108" s="63">
        <v>0.27272727272727271</v>
      </c>
      <c r="M108" s="63">
        <v>0.21770334928229665</v>
      </c>
      <c r="N108" s="63">
        <v>0.58333333333333337</v>
      </c>
      <c r="O108" s="63">
        <v>0.43406593406593408</v>
      </c>
      <c r="P108" s="63">
        <v>0.44897959183673469</v>
      </c>
    </row>
    <row r="109" spans="1:16" x14ac:dyDescent="0.45">
      <c r="A109" s="65">
        <v>106</v>
      </c>
      <c r="B109" s="62">
        <v>86.299999999999983</v>
      </c>
      <c r="C109" s="62">
        <v>0.81415094339622629</v>
      </c>
      <c r="D109" s="67">
        <v>2.0094339622641511</v>
      </c>
      <c r="E109" s="63">
        <v>0.26415094339622641</v>
      </c>
      <c r="F109" s="63">
        <v>0.27358490566037735</v>
      </c>
      <c r="G109" s="63">
        <v>0.29078014184397161</v>
      </c>
      <c r="H109" s="63">
        <v>0.13593380614657211</v>
      </c>
      <c r="I109" s="64">
        <v>8552.4390243902435</v>
      </c>
      <c r="J109" s="64">
        <v>-7618.260869565217</v>
      </c>
      <c r="K109" s="63">
        <v>7.5471698113207544E-2</v>
      </c>
      <c r="L109" s="63">
        <v>0.27304964539007093</v>
      </c>
      <c r="M109" s="63">
        <v>0.21631205673758866</v>
      </c>
      <c r="N109" s="63">
        <v>0.58008658008658009</v>
      </c>
      <c r="O109" s="63">
        <v>0.43169398907103823</v>
      </c>
      <c r="P109" s="63">
        <v>0.44715447154471544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8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7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5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5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5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5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5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5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5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5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5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5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5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5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5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5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5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5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5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5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5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5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5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5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5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5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5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5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5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5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5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5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5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5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5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5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5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5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5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  <row r="78" spans="1:16" x14ac:dyDescent="0.45">
      <c r="A78" s="65">
        <v>75</v>
      </c>
      <c r="B78" s="62">
        <v>-490.40000000000003</v>
      </c>
      <c r="C78" s="62">
        <v>-6.5386666666666668</v>
      </c>
      <c r="D78" s="67">
        <v>2.16</v>
      </c>
      <c r="E78" s="63">
        <v>0.22666666666666666</v>
      </c>
      <c r="F78" s="63">
        <v>0.38666666666666666</v>
      </c>
      <c r="G78" s="63">
        <v>0.27892234548335976</v>
      </c>
      <c r="H78" s="63">
        <v>0.19968304278922344</v>
      </c>
      <c r="I78" s="64">
        <v>8047.727272727273</v>
      </c>
      <c r="J78" s="64">
        <v>-7576.1904761904761</v>
      </c>
      <c r="K78" s="63">
        <v>0.08</v>
      </c>
      <c r="L78" s="63">
        <v>0.28526148969889065</v>
      </c>
      <c r="M78" s="63">
        <v>0.19492868462757529</v>
      </c>
      <c r="N78" s="63">
        <v>0.57222222222222219</v>
      </c>
      <c r="O78" s="63">
        <v>0.4065040650406504</v>
      </c>
      <c r="P78" s="63">
        <v>0.46590909090909088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4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5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5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5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5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5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5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5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5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5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5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5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5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5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5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5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5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5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5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5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5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5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5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5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5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5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5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5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5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5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5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5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5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5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5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5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5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5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5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5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5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5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5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5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5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5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5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5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5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5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5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5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5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5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5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5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5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5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5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5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5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5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5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5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5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5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  <row r="135" spans="1:16" x14ac:dyDescent="0.45">
      <c r="A135" s="65">
        <v>132</v>
      </c>
      <c r="B135" s="62">
        <v>1138.5000000000002</v>
      </c>
      <c r="C135" s="62">
        <v>8.6250000000000018</v>
      </c>
      <c r="D135" s="67">
        <v>1.7803030303030303</v>
      </c>
      <c r="E135" s="63">
        <v>0.4621212121212121</v>
      </c>
      <c r="F135" s="63">
        <v>0.24242424242424243</v>
      </c>
      <c r="G135" s="63">
        <v>0.34299065420560748</v>
      </c>
      <c r="H135" s="63">
        <v>0.13177570093457944</v>
      </c>
      <c r="I135" s="64">
        <v>8279.0190735694814</v>
      </c>
      <c r="J135" s="64">
        <v>-7792.9078014184397</v>
      </c>
      <c r="K135" s="63">
        <v>4.5454545454545456E-2</v>
      </c>
      <c r="L135" s="63">
        <v>0.27102803738317754</v>
      </c>
      <c r="M135" s="63">
        <v>0.22429906542056074</v>
      </c>
      <c r="N135" s="63">
        <v>0.59310344827586203</v>
      </c>
      <c r="O135" s="63">
        <v>0.48333333333333334</v>
      </c>
      <c r="P135" s="63">
        <v>0.42506811989100818</v>
      </c>
    </row>
    <row r="136" spans="1:16" x14ac:dyDescent="0.45">
      <c r="A136" s="65">
        <v>133</v>
      </c>
      <c r="B136" s="62">
        <v>1192.7000000000003</v>
      </c>
      <c r="C136" s="62">
        <v>8.9676691729323323</v>
      </c>
      <c r="D136" s="67">
        <v>1.7744360902255638</v>
      </c>
      <c r="E136" s="63">
        <v>0.46616541353383456</v>
      </c>
      <c r="F136" s="63">
        <v>0.24060150375939848</v>
      </c>
      <c r="G136" s="63">
        <v>0.34508348794063082</v>
      </c>
      <c r="H136" s="63">
        <v>0.13079777365491652</v>
      </c>
      <c r="I136" s="64">
        <v>8283.8709677419356</v>
      </c>
      <c r="J136" s="64">
        <v>-7792.9078014184397</v>
      </c>
      <c r="K136" s="63">
        <v>4.5112781954887216E-2</v>
      </c>
      <c r="L136" s="63">
        <v>0.27272727272727271</v>
      </c>
      <c r="M136" s="63">
        <v>0.22356215213358072</v>
      </c>
      <c r="N136" s="63">
        <v>0.59863945578231292</v>
      </c>
      <c r="O136" s="63">
        <v>0.48132780082987553</v>
      </c>
      <c r="P136" s="63">
        <v>0.42741935483870969</v>
      </c>
    </row>
    <row r="137" spans="1:16" x14ac:dyDescent="0.45">
      <c r="A137" s="65">
        <v>134</v>
      </c>
      <c r="B137" s="62">
        <v>1208.4000000000003</v>
      </c>
      <c r="C137" s="62">
        <v>9.0179104477611958</v>
      </c>
      <c r="D137" s="67">
        <v>1.7686567164179106</v>
      </c>
      <c r="E137" s="63">
        <v>0.47014925373134331</v>
      </c>
      <c r="F137" s="63">
        <v>0.23880597014925373</v>
      </c>
      <c r="G137" s="63">
        <v>0.34466911764705882</v>
      </c>
      <c r="H137" s="63">
        <v>0.12959558823529413</v>
      </c>
      <c r="I137" s="64">
        <v>8265.8666666666668</v>
      </c>
      <c r="J137" s="64">
        <v>-7792.9078014184397</v>
      </c>
      <c r="K137" s="63">
        <v>4.4776119402985072E-2</v>
      </c>
      <c r="L137" s="63">
        <v>0.27205882352941174</v>
      </c>
      <c r="M137" s="63">
        <v>0.22242647058823528</v>
      </c>
      <c r="N137" s="63">
        <v>0.60135135135135132</v>
      </c>
      <c r="O137" s="63">
        <v>0.47933884297520662</v>
      </c>
      <c r="P137" s="63">
        <v>0.42666666666666669</v>
      </c>
    </row>
    <row r="138" spans="1:16" x14ac:dyDescent="0.45">
      <c r="A138" s="65">
        <v>135</v>
      </c>
      <c r="B138" s="62">
        <v>1166.7000000000003</v>
      </c>
      <c r="C138" s="62">
        <v>8.6422222222222249</v>
      </c>
      <c r="D138" s="67">
        <v>1.7777777777777777</v>
      </c>
      <c r="E138" s="63">
        <v>0.46666666666666667</v>
      </c>
      <c r="F138" s="63">
        <v>0.24444444444444444</v>
      </c>
      <c r="G138" s="63">
        <v>0.34303912647861695</v>
      </c>
      <c r="H138" s="63">
        <v>0.13102820746132848</v>
      </c>
      <c r="I138" s="64">
        <v>8235.2785145888593</v>
      </c>
      <c r="J138" s="64">
        <v>-7797.916666666667</v>
      </c>
      <c r="K138" s="63">
        <v>4.4444444444444446E-2</v>
      </c>
      <c r="L138" s="63">
        <v>0.27115559599636035</v>
      </c>
      <c r="M138" s="63">
        <v>0.22292993630573249</v>
      </c>
      <c r="N138" s="63">
        <v>0.59731543624161076</v>
      </c>
      <c r="O138" s="63">
        <v>0.47755102040816327</v>
      </c>
      <c r="P138" s="63">
        <v>0.4270557029177719</v>
      </c>
    </row>
    <row r="139" spans="1:16" x14ac:dyDescent="0.45">
      <c r="A139" s="65">
        <v>136</v>
      </c>
      <c r="B139" s="62">
        <v>1154.1000000000004</v>
      </c>
      <c r="C139" s="62">
        <v>8.4860294117647079</v>
      </c>
      <c r="D139" s="67">
        <v>1.7794117647058822</v>
      </c>
      <c r="E139" s="63">
        <v>0.46323529411764708</v>
      </c>
      <c r="F139" s="63">
        <v>0.24264705882352941</v>
      </c>
      <c r="G139" s="63">
        <v>0.34115523465703973</v>
      </c>
      <c r="H139" s="63">
        <v>0.13267148014440433</v>
      </c>
      <c r="I139" s="64">
        <v>8298.1481481481478</v>
      </c>
      <c r="J139" s="64">
        <v>-7783.6734693877552</v>
      </c>
      <c r="K139" s="63">
        <v>4.4117647058823532E-2</v>
      </c>
      <c r="L139" s="63">
        <v>0.27075812274368233</v>
      </c>
      <c r="M139" s="63">
        <v>0.22202166064981949</v>
      </c>
      <c r="N139" s="63">
        <v>0.59333333333333338</v>
      </c>
      <c r="O139" s="63">
        <v>0.47967479674796748</v>
      </c>
      <c r="P139" s="63">
        <v>0.42592592592592593</v>
      </c>
    </row>
    <row r="140" spans="1:16" x14ac:dyDescent="0.45">
      <c r="A140" s="65">
        <v>137</v>
      </c>
      <c r="B140" s="62">
        <v>1129.8000000000004</v>
      </c>
      <c r="C140" s="62">
        <v>8.2467153284671557</v>
      </c>
      <c r="D140" s="67">
        <v>1.7883211678832116</v>
      </c>
      <c r="E140" s="63">
        <v>0.45985401459854014</v>
      </c>
      <c r="F140" s="63">
        <v>0.24817518248175183</v>
      </c>
      <c r="G140" s="63">
        <v>0.3399103139013453</v>
      </c>
      <c r="H140" s="63">
        <v>0.13183856502242153</v>
      </c>
      <c r="I140" s="64">
        <v>8282.0580474934031</v>
      </c>
      <c r="J140" s="64">
        <v>-7783.6734693877552</v>
      </c>
      <c r="K140" s="63">
        <v>4.3795620437956206E-2</v>
      </c>
      <c r="L140" s="63">
        <v>0.26905829596412556</v>
      </c>
      <c r="M140" s="63">
        <v>0.22242152466367712</v>
      </c>
      <c r="N140" s="63">
        <v>0.59333333333333338</v>
      </c>
      <c r="O140" s="63">
        <v>0.47983870967741937</v>
      </c>
      <c r="P140" s="63">
        <v>0.42744063324538256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2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5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5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5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5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5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5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5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5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5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5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5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5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5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5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5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5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5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5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5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5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5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5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5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5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5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5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5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5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5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5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5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5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5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5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5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5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5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5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5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5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5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5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5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5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5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5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5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5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5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5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5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5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5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5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5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5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5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5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5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5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1.9952830188679245</v>
      </c>
      <c r="E215" s="63">
        <v>0.33647798742138363</v>
      </c>
      <c r="F215" s="63">
        <v>0.33176100628930816</v>
      </c>
      <c r="G215" s="63">
        <v>0.29560106181266593</v>
      </c>
      <c r="H215" s="63">
        <v>0.16382252559726962</v>
      </c>
      <c r="I215" s="64">
        <v>8453.3033996151371</v>
      </c>
      <c r="J215" s="64">
        <v>-7848.8425925925922</v>
      </c>
      <c r="K215" s="63">
        <v>9.7484276729559755E-2</v>
      </c>
      <c r="L215" s="63">
        <v>0.25445582100872205</v>
      </c>
      <c r="M215" s="63">
        <v>0.23113386423966628</v>
      </c>
      <c r="N215" s="63">
        <v>0.55439642324888228</v>
      </c>
      <c r="O215" s="63">
        <v>0.41509433962264153</v>
      </c>
      <c r="P215" s="63">
        <v>0.44066709429121231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1.9953051643192488</v>
      </c>
      <c r="E216" s="63">
        <v>0.33646322378716748</v>
      </c>
      <c r="F216" s="63">
        <v>0.33176838810641629</v>
      </c>
      <c r="G216" s="63">
        <v>0.29558323895809741</v>
      </c>
      <c r="H216" s="63">
        <v>0.1636466591166478</v>
      </c>
      <c r="I216" s="64">
        <v>8459.7062579821195</v>
      </c>
      <c r="J216" s="64">
        <v>-7850.749711649366</v>
      </c>
      <c r="K216" s="63">
        <v>9.8591549295774641E-2</v>
      </c>
      <c r="L216" s="63">
        <v>0.2544356360890902</v>
      </c>
      <c r="M216" s="63">
        <v>0.23084182710456777</v>
      </c>
      <c r="N216" s="63">
        <v>0.5556379821958457</v>
      </c>
      <c r="O216" s="63">
        <v>0.4145543744889616</v>
      </c>
      <c r="P216" s="63">
        <v>0.44125159642401024</v>
      </c>
    </row>
    <row r="217" spans="1:16" x14ac:dyDescent="0.45">
      <c r="A217" s="65">
        <v>214</v>
      </c>
      <c r="B217" s="62">
        <v>-4.2632564145606011E-14</v>
      </c>
      <c r="C217" s="62">
        <v>-6.6405863155149545E-17</v>
      </c>
      <c r="D217" s="67">
        <v>1.9953271028037383</v>
      </c>
      <c r="E217" s="63">
        <v>0.3364485981308411</v>
      </c>
      <c r="F217" s="63">
        <v>0.33177570093457942</v>
      </c>
      <c r="G217" s="63">
        <v>0.29560810810810811</v>
      </c>
      <c r="H217" s="63">
        <v>0.16347597597597596</v>
      </c>
      <c r="I217" s="64">
        <v>8447.6825396825388</v>
      </c>
      <c r="J217" s="64">
        <v>-7832.8358208955224</v>
      </c>
      <c r="K217" s="63">
        <v>9.8130841121495324E-2</v>
      </c>
      <c r="L217" s="63">
        <v>0.25450450450450451</v>
      </c>
      <c r="M217" s="63">
        <v>0.23104354354354353</v>
      </c>
      <c r="N217" s="63">
        <v>0.55530973451327437</v>
      </c>
      <c r="O217" s="63">
        <v>0.41348497156783104</v>
      </c>
      <c r="P217" s="63">
        <v>0.44190476190476191</v>
      </c>
    </row>
    <row r="218" spans="1:16" x14ac:dyDescent="0.45">
      <c r="A218" s="65">
        <v>215</v>
      </c>
      <c r="B218" s="62">
        <v>-4.4408920985006262E-14</v>
      </c>
      <c r="C218" s="62">
        <v>-6.8851040286831412E-17</v>
      </c>
      <c r="D218" s="67">
        <v>1.9953488372093022</v>
      </c>
      <c r="E218" s="63">
        <v>0.33643410852713179</v>
      </c>
      <c r="F218" s="63">
        <v>0.33178294573643413</v>
      </c>
      <c r="G218" s="63">
        <v>0.2958403282969595</v>
      </c>
      <c r="H218" s="63">
        <v>0.16358888267114344</v>
      </c>
      <c r="I218" s="64">
        <v>8435.2459016393441</v>
      </c>
      <c r="J218" s="64">
        <v>-7826.5678449258839</v>
      </c>
      <c r="K218" s="63">
        <v>9.7674418604651161E-2</v>
      </c>
      <c r="L218" s="63">
        <v>0.25424361126655476</v>
      </c>
      <c r="M218" s="63">
        <v>0.23130013057265436</v>
      </c>
      <c r="N218" s="63">
        <v>0.55392516507703593</v>
      </c>
      <c r="O218" s="63">
        <v>0.41532258064516131</v>
      </c>
      <c r="P218" s="63">
        <v>0.44199243379571246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1.9953703703703705</v>
      </c>
      <c r="E219" s="63">
        <v>0.33641975308641975</v>
      </c>
      <c r="F219" s="63">
        <v>0.3317901234567901</v>
      </c>
      <c r="G219" s="63">
        <v>0.29584261321455085</v>
      </c>
      <c r="H219" s="63">
        <v>0.16369710467706014</v>
      </c>
      <c r="I219" s="64">
        <v>8463.8017565872015</v>
      </c>
      <c r="J219" s="64">
        <v>-7863.0385487528347</v>
      </c>
      <c r="K219" s="63">
        <v>9.8765432098765427E-2</v>
      </c>
      <c r="L219" s="63">
        <v>0.25445434298440978</v>
      </c>
      <c r="M219" s="63">
        <v>0.23051224944320714</v>
      </c>
      <c r="N219" s="63">
        <v>0.55433989788475568</v>
      </c>
      <c r="O219" s="63">
        <v>0.41626409017713367</v>
      </c>
      <c r="P219" s="63">
        <v>0.44165621079046424</v>
      </c>
    </row>
    <row r="220" spans="1:16" x14ac:dyDescent="0.45">
      <c r="A220" s="65">
        <v>217</v>
      </c>
      <c r="B220" s="62">
        <v>-4.9737991503207013E-14</v>
      </c>
      <c r="C220" s="62">
        <v>-7.6402444705387123E-17</v>
      </c>
      <c r="D220" s="67">
        <v>1.9953917050691243</v>
      </c>
      <c r="E220" s="63">
        <v>0.33640552995391704</v>
      </c>
      <c r="F220" s="63">
        <v>0.33179723502304148</v>
      </c>
      <c r="G220" s="63">
        <v>0.29598816786836751</v>
      </c>
      <c r="H220" s="63">
        <v>0.16343131817341469</v>
      </c>
      <c r="I220" s="64">
        <v>8462.4609618988125</v>
      </c>
      <c r="J220" s="64">
        <v>-7862.1040723981896</v>
      </c>
      <c r="K220" s="63">
        <v>9.8310291858678955E-2</v>
      </c>
      <c r="L220" s="63">
        <v>0.25457570715474209</v>
      </c>
      <c r="M220" s="63">
        <v>0.23017193566278424</v>
      </c>
      <c r="N220" s="63">
        <v>0.55482933914306465</v>
      </c>
      <c r="O220" s="63">
        <v>0.41686746987951806</v>
      </c>
      <c r="P220" s="63">
        <v>0.44284821986258588</v>
      </c>
    </row>
    <row r="221" spans="1:16" x14ac:dyDescent="0.45">
      <c r="A221" s="65">
        <v>218</v>
      </c>
      <c r="B221" s="62">
        <v>-4.75175454539567E-14</v>
      </c>
      <c r="C221" s="62">
        <v>-7.2656797330209021E-17</v>
      </c>
      <c r="D221" s="67">
        <v>1.9954128440366972</v>
      </c>
      <c r="E221" s="63">
        <v>0.3363914373088685</v>
      </c>
      <c r="F221" s="63">
        <v>0.33180428134556578</v>
      </c>
      <c r="G221" s="63">
        <v>0.29605142332415058</v>
      </c>
      <c r="H221" s="63">
        <v>0.16400367309458219</v>
      </c>
      <c r="I221" s="64">
        <v>8475.4342431761779</v>
      </c>
      <c r="J221" s="64">
        <v>-7870.2127659574471</v>
      </c>
      <c r="K221" s="63">
        <v>9.7859327217125383E-2</v>
      </c>
      <c r="L221" s="63">
        <v>0.25417814508723602</v>
      </c>
      <c r="M221" s="63">
        <v>0.22975206611570248</v>
      </c>
      <c r="N221" s="63">
        <v>0.55563583815028905</v>
      </c>
      <c r="O221" s="63">
        <v>0.41806554756195041</v>
      </c>
      <c r="P221" s="63">
        <v>0.44106699751861045</v>
      </c>
    </row>
    <row r="222" spans="1:16" x14ac:dyDescent="0.45">
      <c r="A222" s="65">
        <v>219</v>
      </c>
      <c r="B222" s="62">
        <v>-4.2632564145606011E-14</v>
      </c>
      <c r="C222" s="62">
        <v>-6.4889747558000013E-17</v>
      </c>
      <c r="D222" s="67">
        <v>1.995433789954338</v>
      </c>
      <c r="E222" s="63">
        <v>0.33637747336377471</v>
      </c>
      <c r="F222" s="63">
        <v>0.33181126331811261</v>
      </c>
      <c r="G222" s="63">
        <v>0.29619465788510796</v>
      </c>
      <c r="H222" s="63">
        <v>0.16392242956458106</v>
      </c>
      <c r="I222" s="64">
        <v>8486.4113650401487</v>
      </c>
      <c r="J222" s="64">
        <v>-7862.9464285714284</v>
      </c>
      <c r="K222" s="63">
        <v>9.8934550989345504E-2</v>
      </c>
      <c r="L222" s="63">
        <v>0.25466520307354557</v>
      </c>
      <c r="M222" s="63">
        <v>0.2292352725942188</v>
      </c>
      <c r="N222" s="63">
        <v>0.55675287356321834</v>
      </c>
      <c r="O222" s="63">
        <v>0.41819632881085395</v>
      </c>
      <c r="P222" s="63">
        <v>0.44163063619518222</v>
      </c>
    </row>
    <row r="223" spans="1:16" x14ac:dyDescent="0.45">
      <c r="A223" s="65">
        <v>220</v>
      </c>
      <c r="B223" s="62">
        <v>-4.4075854077618715E-14</v>
      </c>
      <c r="C223" s="62">
        <v>-6.6781597087301088E-17</v>
      </c>
      <c r="D223" s="67">
        <v>1.9954545454545454</v>
      </c>
      <c r="E223" s="63">
        <v>0.33636363636363636</v>
      </c>
      <c r="F223" s="63">
        <v>0.33181818181818185</v>
      </c>
      <c r="G223" s="63">
        <v>0.29603347889374088</v>
      </c>
      <c r="H223" s="63">
        <v>0.16375545851528384</v>
      </c>
      <c r="I223" s="64">
        <v>8502.4585125998765</v>
      </c>
      <c r="J223" s="64">
        <v>-7859.8888888888887</v>
      </c>
      <c r="K223" s="63">
        <v>9.8484848484848481E-2</v>
      </c>
      <c r="L223" s="63">
        <v>0.25400291120815138</v>
      </c>
      <c r="M223" s="63">
        <v>0.22907569141193596</v>
      </c>
      <c r="N223" s="63">
        <v>0.55659025787965621</v>
      </c>
      <c r="O223" s="63">
        <v>0.41858617950754567</v>
      </c>
      <c r="P223" s="63">
        <v>0.44191763982790411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2019-11-29T08:45:11Z</dcterms:modified>
</cp:coreProperties>
</file>