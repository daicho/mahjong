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D8D2979-2E12-496D-94B0-C266D9FC13DB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93" r:id="rId6"/>
    <sheet name="たかの" sheetId="5995" r:id="rId7"/>
    <sheet name="だいち" sheetId="5997" r:id="rId8"/>
    <sheet name="ただ" sheetId="5999" r:id="rId9"/>
    <sheet name="りくと" sheetId="6001" r:id="rId10"/>
    <sheet name="れんたろう" sheetId="6003" r:id="rId11"/>
    <sheet name="まっつん" sheetId="6005" r:id="rId12"/>
    <sheet name="のり" sheetId="6007" r:id="rId13"/>
    <sheet name="ぱぱ" sheetId="6009" r:id="rId14"/>
    <sheet name="ほたに" sheetId="6011" r:id="rId15"/>
    <sheet name="いっしー" sheetId="6013" r:id="rId16"/>
    <sheet name="いっしー2" sheetId="6014" state="hidden" r:id="rId17"/>
    <sheet name="ほたに2" sheetId="6012" state="hidden" r:id="rId18"/>
    <sheet name="ぱぱ2" sheetId="6010" state="hidden" r:id="rId19"/>
    <sheet name="のり2" sheetId="6008" state="hidden" r:id="rId20"/>
    <sheet name="まっつん2" sheetId="6006" state="hidden" r:id="rId21"/>
    <sheet name="れんたろう2" sheetId="6004" state="hidden" r:id="rId22"/>
    <sheet name="りくと2" sheetId="6002" state="hidden" r:id="rId23"/>
    <sheet name="ただ2" sheetId="6000" state="hidden" r:id="rId24"/>
    <sheet name="だいち2" sheetId="5998" state="hidden" r:id="rId25"/>
    <sheet name="たかの2" sheetId="5996" state="hidden" r:id="rId26"/>
    <sheet name="全体2" sheetId="599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05" l="1"/>
  <c r="O17" i="6013"/>
  <c r="O22" i="5997"/>
  <c r="O16" i="6013"/>
  <c r="O15" i="6013"/>
  <c r="C30" i="6013"/>
  <c r="B25" i="6013"/>
  <c r="C16" i="6013"/>
  <c r="B15" i="6013"/>
  <c r="H51" i="6013" s="1"/>
  <c r="H17" i="6013"/>
  <c r="B14" i="6013"/>
  <c r="B24" i="6013" s="1"/>
  <c r="B13" i="6013"/>
  <c r="C13" i="6013" s="1"/>
  <c r="O12" i="6013"/>
  <c r="C12" i="6013"/>
  <c r="O11" i="6013"/>
  <c r="C11" i="6013"/>
  <c r="O10" i="6013"/>
  <c r="C10" i="6013"/>
  <c r="C9" i="6013"/>
  <c r="C8" i="6013"/>
  <c r="O7" i="6013"/>
  <c r="C7" i="6013"/>
  <c r="O6" i="6013"/>
  <c r="B6" i="6013"/>
  <c r="O5" i="6013"/>
  <c r="B5" i="6013"/>
  <c r="O4" i="6013"/>
  <c r="O3" i="6013"/>
  <c r="O2" i="6013"/>
  <c r="O17" i="6007"/>
  <c r="O24" i="5993"/>
  <c r="C14" i="6013" l="1"/>
  <c r="C36" i="6013"/>
  <c r="C18" i="6013"/>
  <c r="H37" i="6013"/>
  <c r="H9" i="6013"/>
  <c r="H42" i="6013"/>
  <c r="H31" i="6013"/>
  <c r="C32" i="6013"/>
  <c r="C19" i="6013"/>
  <c r="H25" i="6013"/>
  <c r="C42" i="6013"/>
  <c r="H6" i="6013"/>
  <c r="H43" i="6013"/>
  <c r="H22" i="6013"/>
  <c r="C15" i="6013"/>
  <c r="C44" i="6013"/>
  <c r="H15" i="6013"/>
  <c r="H39" i="6013"/>
  <c r="H7" i="6013"/>
  <c r="C20" i="6013"/>
  <c r="H12" i="6013"/>
  <c r="H18" i="6013"/>
  <c r="H23" i="6013"/>
  <c r="H27" i="6013"/>
  <c r="H45" i="6013"/>
  <c r="H8" i="6013"/>
  <c r="C34" i="6013"/>
  <c r="C39" i="6013"/>
  <c r="H49" i="6013"/>
  <c r="H38" i="6013"/>
  <c r="C38" i="6013"/>
  <c r="H2" i="6013"/>
  <c r="H28" i="6013"/>
  <c r="H3" i="6013"/>
  <c r="H13" i="6013"/>
  <c r="H19" i="6013"/>
  <c r="H29" i="6013"/>
  <c r="C40" i="6013"/>
  <c r="H11" i="6013"/>
  <c r="H26" i="6013"/>
  <c r="H10" i="6013"/>
  <c r="H33" i="6013"/>
  <c r="H34" i="6013"/>
  <c r="H16" i="6013"/>
  <c r="B22" i="6013"/>
  <c r="H35" i="6013"/>
  <c r="H20" i="6013"/>
  <c r="B23" i="6013"/>
  <c r="H30" i="6013"/>
  <c r="C35" i="6013"/>
  <c r="H41" i="6013"/>
  <c r="H52" i="6013"/>
  <c r="H21" i="6013"/>
  <c r="H24" i="6013"/>
  <c r="H5" i="6013"/>
  <c r="C33" i="6013"/>
  <c r="C37" i="6013"/>
  <c r="C41" i="6013"/>
  <c r="H46" i="6013"/>
  <c r="H47" i="6013"/>
  <c r="H48" i="6013"/>
  <c r="C43" i="6013"/>
  <c r="H50" i="6013"/>
  <c r="H4" i="6013"/>
  <c r="H14" i="6013"/>
  <c r="C17" i="6013"/>
  <c r="C21" i="6013"/>
  <c r="H32" i="6013"/>
  <c r="H36" i="6013"/>
  <c r="H40" i="6013"/>
  <c r="H44" i="6013"/>
  <c r="O21" i="5995" l="1"/>
  <c r="O16" i="6003"/>
  <c r="O15" i="6003" l="1"/>
  <c r="O19" i="6011"/>
  <c r="O15" i="6001" l="1"/>
  <c r="O21" i="6007"/>
  <c r="O16" i="6011" l="1"/>
  <c r="O22" i="6001"/>
  <c r="O20" i="5995" l="1"/>
  <c r="O16" i="5997"/>
  <c r="O15" i="6007"/>
  <c r="O18" i="6007"/>
  <c r="O19" i="6005" l="1"/>
  <c r="O18" i="6009"/>
  <c r="O16" i="5999" l="1"/>
  <c r="O17" i="6005"/>
  <c r="O19" i="6007"/>
  <c r="O20" i="6007"/>
  <c r="O15" i="5995" l="1"/>
  <c r="O17" i="6009"/>
  <c r="O19" i="6009"/>
  <c r="O18" i="6001"/>
  <c r="O20" i="5999" l="1"/>
  <c r="O21" i="6003"/>
  <c r="O19" i="6003" l="1"/>
  <c r="O21" i="5997"/>
  <c r="O23" i="6007"/>
  <c r="O17" i="6011"/>
  <c r="O15" i="6011"/>
  <c r="O21" i="6009"/>
  <c r="O15" i="5999" l="1"/>
  <c r="O21" i="5999"/>
  <c r="O18" i="6011"/>
  <c r="O20" i="6011"/>
  <c r="H39" i="6011"/>
  <c r="C30" i="6011"/>
  <c r="B25" i="6011"/>
  <c r="C16" i="6011"/>
  <c r="B15" i="6011"/>
  <c r="H50" i="6011" s="1"/>
  <c r="H19" i="6011"/>
  <c r="B14" i="6011"/>
  <c r="B24" i="6011" s="1"/>
  <c r="B13" i="6011"/>
  <c r="C13" i="6011" s="1"/>
  <c r="O12" i="6011"/>
  <c r="C12" i="6011"/>
  <c r="O11" i="6011"/>
  <c r="C11" i="6011"/>
  <c r="O10" i="6011"/>
  <c r="C10" i="6011"/>
  <c r="C9" i="6011"/>
  <c r="C8" i="6011"/>
  <c r="O7" i="6011"/>
  <c r="C7" i="6011"/>
  <c r="O6" i="6011"/>
  <c r="B6" i="6011"/>
  <c r="O5" i="6011"/>
  <c r="B5" i="6011"/>
  <c r="O4" i="6011"/>
  <c r="O3" i="6011"/>
  <c r="O2" i="6011"/>
  <c r="O21" i="6005"/>
  <c r="O15" i="6005"/>
  <c r="O15" i="5993"/>
  <c r="C14" i="6011" l="1"/>
  <c r="C19" i="6011"/>
  <c r="H11" i="6011"/>
  <c r="H3" i="6011"/>
  <c r="H27" i="6011"/>
  <c r="H28" i="6011"/>
  <c r="H47" i="6011"/>
  <c r="H34" i="6011"/>
  <c r="H23" i="6011"/>
  <c r="H40" i="6011"/>
  <c r="H8" i="6011"/>
  <c r="H35" i="6011"/>
  <c r="H30" i="6011"/>
  <c r="H41" i="6011"/>
  <c r="H48" i="6011"/>
  <c r="C15" i="6011"/>
  <c r="H42" i="6011"/>
  <c r="H29" i="6011"/>
  <c r="H20" i="6011"/>
  <c r="H5" i="6011"/>
  <c r="H14" i="6011"/>
  <c r="C36" i="6011"/>
  <c r="H49" i="6011"/>
  <c r="B22" i="6011"/>
  <c r="C42" i="6011"/>
  <c r="H51" i="6011"/>
  <c r="H45" i="6011"/>
  <c r="H12" i="6011"/>
  <c r="H17" i="6011"/>
  <c r="C20" i="6011"/>
  <c r="C21" i="6011"/>
  <c r="H10" i="6011"/>
  <c r="C17" i="6011"/>
  <c r="H32" i="6011"/>
  <c r="H37" i="6011"/>
  <c r="H13" i="6011"/>
  <c r="C32" i="6011"/>
  <c r="H38" i="6011"/>
  <c r="H43" i="6011"/>
  <c r="H6" i="6011"/>
  <c r="C44" i="6011"/>
  <c r="C34" i="6011"/>
  <c r="H7" i="6011"/>
  <c r="C40" i="6011"/>
  <c r="H36" i="6011"/>
  <c r="H2" i="6011"/>
  <c r="H26" i="6011"/>
  <c r="H4" i="6011"/>
  <c r="H16" i="6011"/>
  <c r="C18" i="6011"/>
  <c r="H33" i="6011"/>
  <c r="C38" i="6011"/>
  <c r="H44" i="6011"/>
  <c r="H52" i="6011"/>
  <c r="H22" i="6011"/>
  <c r="H25" i="6011"/>
  <c r="H9" i="6011"/>
  <c r="C33" i="6011"/>
  <c r="C37" i="6011"/>
  <c r="C41" i="6011"/>
  <c r="H46" i="6011"/>
  <c r="B23" i="6011"/>
  <c r="H18" i="6011"/>
  <c r="H21" i="6011"/>
  <c r="H24" i="6011"/>
  <c r="H15" i="6011"/>
  <c r="H31" i="6011"/>
  <c r="C35" i="6011"/>
  <c r="C39" i="6011"/>
  <c r="C43" i="6011"/>
  <c r="O18" i="5997" l="1"/>
  <c r="O21" i="6001"/>
  <c r="O17" i="5997" l="1"/>
  <c r="O20" i="6005"/>
  <c r="O23" i="6005"/>
  <c r="O16" i="5995"/>
  <c r="O17" i="5999"/>
  <c r="O16" i="6001"/>
  <c r="O20" i="6001"/>
  <c r="O19" i="5995"/>
  <c r="O18" i="5999"/>
  <c r="O15" i="5997"/>
  <c r="O20" i="6009"/>
  <c r="O22" i="6009"/>
  <c r="O22" i="6003" l="1"/>
  <c r="O17" i="6003"/>
  <c r="O15" i="6009"/>
  <c r="O16" i="6009"/>
  <c r="C30" i="6009"/>
  <c r="B25" i="6009"/>
  <c r="C16" i="6009"/>
  <c r="B15" i="6009"/>
  <c r="H20" i="6009" s="1"/>
  <c r="B14" i="6009"/>
  <c r="C14" i="6009" s="1"/>
  <c r="B13" i="6009"/>
  <c r="C13" i="6009" s="1"/>
  <c r="O12" i="6009"/>
  <c r="C12" i="6009"/>
  <c r="O11" i="6009"/>
  <c r="C11" i="6009"/>
  <c r="O10" i="6009"/>
  <c r="C10" i="6009"/>
  <c r="C9" i="6009"/>
  <c r="C8" i="6009"/>
  <c r="O7" i="6009"/>
  <c r="C7" i="6009"/>
  <c r="O6" i="6009"/>
  <c r="B6" i="6009"/>
  <c r="O5" i="6009"/>
  <c r="B5" i="6009"/>
  <c r="O4" i="6009"/>
  <c r="O3" i="6009"/>
  <c r="O2" i="6009"/>
  <c r="O16" i="5993"/>
  <c r="O16" i="6007"/>
  <c r="O22" i="6007"/>
  <c r="C30" i="6007"/>
  <c r="B25" i="6007"/>
  <c r="C16" i="6007"/>
  <c r="B15" i="6007"/>
  <c r="H5" i="6007" s="1"/>
  <c r="B14" i="6007"/>
  <c r="B24" i="6007" s="1"/>
  <c r="B13" i="6007"/>
  <c r="C13" i="6007" s="1"/>
  <c r="O12" i="6007"/>
  <c r="C12" i="6007"/>
  <c r="O11" i="6007"/>
  <c r="C11" i="6007"/>
  <c r="O10" i="6007"/>
  <c r="C10" i="6007"/>
  <c r="C9" i="6007"/>
  <c r="C8" i="6007"/>
  <c r="O7" i="6007"/>
  <c r="C7" i="6007"/>
  <c r="O6" i="6007"/>
  <c r="B6" i="6007"/>
  <c r="O5" i="6007"/>
  <c r="B5" i="6007"/>
  <c r="O4" i="6007"/>
  <c r="O3" i="6007"/>
  <c r="O2" i="6007"/>
  <c r="O20" i="5993"/>
  <c r="B24" i="6009" l="1"/>
  <c r="H22" i="6007"/>
  <c r="C14" i="6007"/>
  <c r="H8" i="6009"/>
  <c r="H29" i="6009"/>
  <c r="C32" i="6009"/>
  <c r="C40" i="6009"/>
  <c r="C18" i="6009"/>
  <c r="H26" i="6009"/>
  <c r="H34" i="6009"/>
  <c r="H42" i="6009"/>
  <c r="H9" i="6009"/>
  <c r="C20" i="6009"/>
  <c r="H15" i="6009"/>
  <c r="B22" i="6009"/>
  <c r="H23" i="6009"/>
  <c r="H44" i="6009"/>
  <c r="C44" i="6009"/>
  <c r="H36" i="6009"/>
  <c r="H10" i="6009"/>
  <c r="H22" i="6009"/>
  <c r="H50" i="6009"/>
  <c r="C15" i="6009"/>
  <c r="C36" i="6009"/>
  <c r="H38" i="6009"/>
  <c r="H5" i="6009"/>
  <c r="H46" i="6009"/>
  <c r="H3" i="6009"/>
  <c r="H4" i="6009"/>
  <c r="H11" i="6009"/>
  <c r="H25" i="6009"/>
  <c r="H19" i="6009"/>
  <c r="H40" i="6009"/>
  <c r="H52" i="6009"/>
  <c r="H28" i="6009"/>
  <c r="H12" i="6009"/>
  <c r="C33" i="6009"/>
  <c r="C37" i="6009"/>
  <c r="C41" i="6009"/>
  <c r="H47" i="6009"/>
  <c r="C19" i="6009"/>
  <c r="B23" i="6009"/>
  <c r="H30" i="6009"/>
  <c r="H35" i="6009"/>
  <c r="H39" i="6009"/>
  <c r="H43" i="6009"/>
  <c r="H48" i="6009"/>
  <c r="H2" i="6009"/>
  <c r="H6" i="6009"/>
  <c r="H24" i="6009"/>
  <c r="H17" i="6009"/>
  <c r="H18" i="6009"/>
  <c r="H31" i="6009"/>
  <c r="C34" i="6009"/>
  <c r="C38" i="6009"/>
  <c r="C42" i="6009"/>
  <c r="H49" i="6009"/>
  <c r="H16" i="6009"/>
  <c r="H13" i="6009"/>
  <c r="H27" i="6009"/>
  <c r="H14" i="6009"/>
  <c r="H32" i="6009"/>
  <c r="C35" i="6009"/>
  <c r="C39" i="6009"/>
  <c r="C43" i="6009"/>
  <c r="H51" i="6009"/>
  <c r="H7" i="6009"/>
  <c r="H21" i="6009"/>
  <c r="C17" i="6009"/>
  <c r="C21" i="6009"/>
  <c r="H33" i="6009"/>
  <c r="H37" i="6009"/>
  <c r="H41" i="6009"/>
  <c r="H45" i="6009"/>
  <c r="B22" i="6007"/>
  <c r="H30" i="6007"/>
  <c r="H34" i="6007"/>
  <c r="H37" i="6007"/>
  <c r="C15" i="6007"/>
  <c r="C18" i="6007"/>
  <c r="H41" i="6007"/>
  <c r="H25" i="6007"/>
  <c r="H27" i="6007"/>
  <c r="H8" i="6007"/>
  <c r="C33" i="6007"/>
  <c r="C37" i="6007"/>
  <c r="C41" i="6007"/>
  <c r="H46" i="6007"/>
  <c r="H52" i="6007"/>
  <c r="H19" i="6007"/>
  <c r="H11" i="6007"/>
  <c r="C19" i="6007"/>
  <c r="H38" i="6007"/>
  <c r="H42" i="6007"/>
  <c r="H47" i="6007"/>
  <c r="H2" i="6007"/>
  <c r="H3" i="6007"/>
  <c r="H23" i="6007"/>
  <c r="H15" i="6007"/>
  <c r="H28" i="6007"/>
  <c r="H18" i="6007"/>
  <c r="C34" i="6007"/>
  <c r="C38" i="6007"/>
  <c r="C42" i="6007"/>
  <c r="H48" i="6007"/>
  <c r="H6" i="6007"/>
  <c r="H35" i="6007"/>
  <c r="H39" i="6007"/>
  <c r="H43" i="6007"/>
  <c r="H49" i="6007"/>
  <c r="H16" i="6007"/>
  <c r="B23" i="6007"/>
  <c r="H21" i="6007"/>
  <c r="H26" i="6007"/>
  <c r="H32" i="6007"/>
  <c r="C39" i="6007"/>
  <c r="H50" i="6007"/>
  <c r="H7" i="6007"/>
  <c r="H20" i="6007"/>
  <c r="C17" i="6007"/>
  <c r="C21" i="6007"/>
  <c r="H33" i="6007"/>
  <c r="H36" i="6007"/>
  <c r="H40" i="6007"/>
  <c r="H44" i="6007"/>
  <c r="H51" i="6007"/>
  <c r="H45" i="6007"/>
  <c r="H9" i="6007"/>
  <c r="H31" i="6007"/>
  <c r="H13" i="6007"/>
  <c r="C20" i="6007"/>
  <c r="H17" i="6007"/>
  <c r="H12" i="6007"/>
  <c r="C35" i="6007"/>
  <c r="C43" i="6007"/>
  <c r="H4" i="6007"/>
  <c r="H10" i="6007"/>
  <c r="H24" i="6007"/>
  <c r="H14" i="6007"/>
  <c r="H29" i="6007"/>
  <c r="C32" i="6007"/>
  <c r="C36" i="6007"/>
  <c r="C40" i="6007"/>
  <c r="C44" i="6007"/>
  <c r="O22" i="6005" l="1"/>
  <c r="O18" i="6005"/>
  <c r="C30" i="6005"/>
  <c r="B25" i="6005"/>
  <c r="C16" i="6005"/>
  <c r="B15" i="6005"/>
  <c r="H16" i="6005" s="1"/>
  <c r="B14" i="6005"/>
  <c r="B24" i="6005" s="1"/>
  <c r="B13" i="6005"/>
  <c r="C13" i="6005" s="1"/>
  <c r="O12" i="6005"/>
  <c r="C12" i="6005"/>
  <c r="O11" i="6005"/>
  <c r="C11" i="6005"/>
  <c r="O10" i="6005"/>
  <c r="C10" i="6005"/>
  <c r="C9" i="6005"/>
  <c r="C8" i="6005"/>
  <c r="O7" i="6005"/>
  <c r="C7" i="6005"/>
  <c r="O6" i="6005"/>
  <c r="B6" i="6005"/>
  <c r="O5" i="6005"/>
  <c r="B5" i="6005"/>
  <c r="O4" i="6005"/>
  <c r="O3" i="6005"/>
  <c r="O2" i="6005"/>
  <c r="O20" i="6003"/>
  <c r="O18" i="6003"/>
  <c r="C30" i="6003"/>
  <c r="B25" i="6003"/>
  <c r="C16" i="6003"/>
  <c r="B15" i="6003"/>
  <c r="H12" i="6003" s="1"/>
  <c r="B14" i="6003"/>
  <c r="B24" i="6003" s="1"/>
  <c r="B13" i="6003"/>
  <c r="C13" i="6003" s="1"/>
  <c r="O12" i="6003"/>
  <c r="C12" i="6003"/>
  <c r="O11" i="6003"/>
  <c r="C11" i="6003"/>
  <c r="O10" i="6003"/>
  <c r="C10" i="6003"/>
  <c r="C9" i="6003"/>
  <c r="C8" i="6003"/>
  <c r="O7" i="6003"/>
  <c r="C7" i="6003"/>
  <c r="O6" i="6003"/>
  <c r="B6" i="6003"/>
  <c r="O5" i="6003"/>
  <c r="B5" i="6003"/>
  <c r="O4" i="6003"/>
  <c r="O3" i="6003"/>
  <c r="O2" i="6003"/>
  <c r="O17" i="5993"/>
  <c r="O19" i="6001"/>
  <c r="O17" i="6001"/>
  <c r="C30" i="6001"/>
  <c r="B25" i="6001"/>
  <c r="C16" i="6001"/>
  <c r="B15" i="6001"/>
  <c r="H17" i="6001" s="1"/>
  <c r="B14" i="6001"/>
  <c r="B24" i="6001" s="1"/>
  <c r="B13" i="6001"/>
  <c r="C13" i="6001" s="1"/>
  <c r="O12" i="6001"/>
  <c r="C12" i="6001"/>
  <c r="O11" i="6001"/>
  <c r="C11" i="6001"/>
  <c r="O10" i="6001"/>
  <c r="C10" i="6001"/>
  <c r="C9" i="6001"/>
  <c r="C8" i="6001"/>
  <c r="O7" i="6001"/>
  <c r="C7" i="6001"/>
  <c r="O6" i="6001"/>
  <c r="B6" i="6001"/>
  <c r="O5" i="6001"/>
  <c r="B5" i="6001"/>
  <c r="O4" i="6001"/>
  <c r="O3" i="6001"/>
  <c r="O2" i="6001"/>
  <c r="O19" i="5993"/>
  <c r="O22" i="5993"/>
  <c r="C14" i="6003" l="1"/>
  <c r="H3" i="6003"/>
  <c r="C14" i="6001"/>
  <c r="H16" i="6001"/>
  <c r="H12" i="6001"/>
  <c r="H23" i="6001"/>
  <c r="H20" i="6001"/>
  <c r="C40" i="6001"/>
  <c r="H42" i="6001"/>
  <c r="C14" i="6005"/>
  <c r="H28" i="6005"/>
  <c r="H2" i="6005"/>
  <c r="H8" i="6005"/>
  <c r="C36" i="6005"/>
  <c r="H39" i="6005"/>
  <c r="C42" i="6005"/>
  <c r="H15" i="6005"/>
  <c r="H24" i="6005"/>
  <c r="H25" i="6005"/>
  <c r="H20" i="6005"/>
  <c r="H4" i="6005"/>
  <c r="C18" i="6005"/>
  <c r="C44" i="6005"/>
  <c r="H44" i="6005"/>
  <c r="H19" i="6005"/>
  <c r="C34" i="6005"/>
  <c r="H46" i="6005"/>
  <c r="C38" i="6005"/>
  <c r="H11" i="6005"/>
  <c r="H7" i="6005"/>
  <c r="H12" i="6005"/>
  <c r="H3" i="6005"/>
  <c r="C20" i="6005"/>
  <c r="H37" i="6005"/>
  <c r="H49" i="6005"/>
  <c r="H14" i="6005"/>
  <c r="H41" i="6005"/>
  <c r="H50" i="6005"/>
  <c r="H21" i="6005"/>
  <c r="C15" i="6005"/>
  <c r="B22" i="6005"/>
  <c r="C32" i="6005"/>
  <c r="C40" i="6005"/>
  <c r="H5" i="6005"/>
  <c r="H10" i="6005"/>
  <c r="H29" i="6005"/>
  <c r="H23" i="6005"/>
  <c r="H35" i="6005"/>
  <c r="H42" i="6005"/>
  <c r="H52" i="6005"/>
  <c r="H30" i="6005"/>
  <c r="H32" i="6005"/>
  <c r="H9" i="6005"/>
  <c r="C33" i="6005"/>
  <c r="C37" i="6005"/>
  <c r="C41" i="6005"/>
  <c r="H47" i="6005"/>
  <c r="C19" i="6005"/>
  <c r="B23" i="6005"/>
  <c r="H33" i="6005"/>
  <c r="H36" i="6005"/>
  <c r="H40" i="6005"/>
  <c r="H43" i="6005"/>
  <c r="H48" i="6005"/>
  <c r="H22" i="6005"/>
  <c r="H18" i="6005"/>
  <c r="H31" i="6005"/>
  <c r="H13" i="6005"/>
  <c r="H34" i="6005"/>
  <c r="C35" i="6005"/>
  <c r="C39" i="6005"/>
  <c r="C43" i="6005"/>
  <c r="H51" i="6005"/>
  <c r="H6" i="6005"/>
  <c r="H17" i="6005"/>
  <c r="C17" i="6005"/>
  <c r="C21" i="6005"/>
  <c r="H26" i="6005"/>
  <c r="H38" i="6005"/>
  <c r="H27" i="6005"/>
  <c r="H45" i="6005"/>
  <c r="H10" i="6003"/>
  <c r="H34" i="6003"/>
  <c r="C18" i="6003"/>
  <c r="H2" i="6003"/>
  <c r="H9" i="6003"/>
  <c r="H18" i="6003"/>
  <c r="H22" i="6003"/>
  <c r="H13" i="6003"/>
  <c r="H42" i="6003"/>
  <c r="H35" i="6003"/>
  <c r="C38" i="6003"/>
  <c r="H16" i="6003"/>
  <c r="H7" i="6003"/>
  <c r="C20" i="6003"/>
  <c r="C42" i="6003"/>
  <c r="H44" i="6003"/>
  <c r="C44" i="6003"/>
  <c r="H37" i="6003"/>
  <c r="H46" i="6003"/>
  <c r="C36" i="6003"/>
  <c r="H49" i="6003"/>
  <c r="H28" i="6003"/>
  <c r="H23" i="6003"/>
  <c r="C34" i="6003"/>
  <c r="H11" i="6003"/>
  <c r="H29" i="6003"/>
  <c r="H33" i="6003"/>
  <c r="H38" i="6003"/>
  <c r="H52" i="6003"/>
  <c r="H14" i="6003"/>
  <c r="H40" i="6003"/>
  <c r="H50" i="6003"/>
  <c r="H4" i="6003"/>
  <c r="H27" i="6003"/>
  <c r="C15" i="6003"/>
  <c r="B22" i="6003"/>
  <c r="C32" i="6003"/>
  <c r="C40" i="6003"/>
  <c r="H6" i="6003"/>
  <c r="H30" i="6003"/>
  <c r="H32" i="6003"/>
  <c r="H8" i="6003"/>
  <c r="C33" i="6003"/>
  <c r="C37" i="6003"/>
  <c r="C41" i="6003"/>
  <c r="H47" i="6003"/>
  <c r="C19" i="6003"/>
  <c r="B23" i="6003"/>
  <c r="H24" i="6003"/>
  <c r="H36" i="6003"/>
  <c r="H39" i="6003"/>
  <c r="H43" i="6003"/>
  <c r="H48" i="6003"/>
  <c r="H20" i="6003"/>
  <c r="H21" i="6003"/>
  <c r="H31" i="6003"/>
  <c r="H15" i="6003"/>
  <c r="H17" i="6003"/>
  <c r="C35" i="6003"/>
  <c r="C39" i="6003"/>
  <c r="C43" i="6003"/>
  <c r="H51" i="6003"/>
  <c r="H5" i="6003"/>
  <c r="H19" i="6003"/>
  <c r="C17" i="6003"/>
  <c r="C21" i="6003"/>
  <c r="H25" i="6003"/>
  <c r="H26" i="6003"/>
  <c r="H41" i="6003"/>
  <c r="H45" i="6003"/>
  <c r="H8" i="6001"/>
  <c r="H28" i="6001"/>
  <c r="H3" i="6001"/>
  <c r="B22" i="6001"/>
  <c r="C15" i="6001"/>
  <c r="H34" i="6001"/>
  <c r="H6" i="6001"/>
  <c r="H24" i="6001"/>
  <c r="H49" i="6001"/>
  <c r="H13" i="6001"/>
  <c r="C34" i="6001"/>
  <c r="H46" i="6001"/>
  <c r="H10" i="6001"/>
  <c r="C36" i="6001"/>
  <c r="H38" i="6001"/>
  <c r="H5" i="6001"/>
  <c r="C32" i="6001"/>
  <c r="C42" i="6001"/>
  <c r="H22" i="6001"/>
  <c r="C44" i="6001"/>
  <c r="H4" i="6001"/>
  <c r="H19" i="6001"/>
  <c r="H29" i="6001"/>
  <c r="H2" i="6001"/>
  <c r="H9" i="6001"/>
  <c r="C18" i="6001"/>
  <c r="H30" i="6001"/>
  <c r="C38" i="6001"/>
  <c r="H52" i="6001"/>
  <c r="H25" i="6001"/>
  <c r="H27" i="6001"/>
  <c r="H11" i="6001"/>
  <c r="C33" i="6001"/>
  <c r="C37" i="6001"/>
  <c r="C41" i="6001"/>
  <c r="H47" i="6001"/>
  <c r="C19" i="6001"/>
  <c r="B23" i="6001"/>
  <c r="H31" i="6001"/>
  <c r="H35" i="6001"/>
  <c r="H39" i="6001"/>
  <c r="H43" i="6001"/>
  <c r="H48" i="6001"/>
  <c r="H44" i="6001"/>
  <c r="H18" i="6001"/>
  <c r="H14" i="6001"/>
  <c r="H26" i="6001"/>
  <c r="H15" i="6001"/>
  <c r="H32" i="6001"/>
  <c r="C35" i="6001"/>
  <c r="C39" i="6001"/>
  <c r="C43" i="6001"/>
  <c r="H51" i="6001"/>
  <c r="C20" i="6001"/>
  <c r="H36" i="6001"/>
  <c r="H40" i="6001"/>
  <c r="H50" i="6001"/>
  <c r="H7" i="6001"/>
  <c r="H21" i="6001"/>
  <c r="C17" i="6001"/>
  <c r="C21" i="6001"/>
  <c r="H33" i="6001"/>
  <c r="H37" i="6001"/>
  <c r="H41" i="6001"/>
  <c r="H45" i="6001"/>
  <c r="O22" i="5999" l="1"/>
  <c r="O19" i="5999"/>
  <c r="C30" i="5999"/>
  <c r="B25" i="5999"/>
  <c r="C16" i="5999"/>
  <c r="B15" i="5999"/>
  <c r="H20" i="5999" s="1"/>
  <c r="B14" i="5999"/>
  <c r="C14" i="5999" s="1"/>
  <c r="B13" i="5999"/>
  <c r="C13" i="5999" s="1"/>
  <c r="O12" i="5999"/>
  <c r="C12" i="5999"/>
  <c r="O11" i="5999"/>
  <c r="C11" i="5999"/>
  <c r="O10" i="5999"/>
  <c r="C10" i="5999"/>
  <c r="C9" i="5999"/>
  <c r="C8" i="5999"/>
  <c r="O7" i="5999"/>
  <c r="C7" i="5999"/>
  <c r="O6" i="5999"/>
  <c r="B6" i="5999"/>
  <c r="O5" i="5999"/>
  <c r="B5" i="5999"/>
  <c r="O4" i="5999"/>
  <c r="O3" i="5999"/>
  <c r="O2" i="5999"/>
  <c r="O20" i="5997"/>
  <c r="O19" i="5997"/>
  <c r="C30" i="5997"/>
  <c r="B25" i="5997"/>
  <c r="C16" i="5997"/>
  <c r="B15" i="5997"/>
  <c r="H16" i="5997" s="1"/>
  <c r="B14" i="5997"/>
  <c r="B24" i="5997" s="1"/>
  <c r="B13" i="5997"/>
  <c r="C13" i="5997" s="1"/>
  <c r="O12" i="5997"/>
  <c r="C12" i="5997"/>
  <c r="O11" i="5997"/>
  <c r="C11" i="5997"/>
  <c r="O10" i="5997"/>
  <c r="C10" i="5997"/>
  <c r="C9" i="5997"/>
  <c r="C8" i="5997"/>
  <c r="O7" i="5997"/>
  <c r="C7" i="5997"/>
  <c r="O6" i="5997"/>
  <c r="B6" i="5997"/>
  <c r="O5" i="5997"/>
  <c r="B5" i="5997"/>
  <c r="O4" i="5997"/>
  <c r="O3" i="5997"/>
  <c r="O2" i="5997"/>
  <c r="O18" i="5993"/>
  <c r="O18" i="5995"/>
  <c r="O17" i="5995"/>
  <c r="C30" i="5995"/>
  <c r="B25" i="5995"/>
  <c r="C16" i="5995"/>
  <c r="B15" i="5995"/>
  <c r="H52" i="5995" s="1"/>
  <c r="B14" i="5995"/>
  <c r="B24" i="5995" s="1"/>
  <c r="B13" i="5995"/>
  <c r="C13" i="5995" s="1"/>
  <c r="O12" i="5995"/>
  <c r="C12" i="5995"/>
  <c r="O11" i="5995"/>
  <c r="C11" i="5995"/>
  <c r="O10" i="5995"/>
  <c r="C10" i="5995"/>
  <c r="C9" i="5995"/>
  <c r="C8" i="5995"/>
  <c r="O7" i="5995"/>
  <c r="C7" i="5995"/>
  <c r="O6" i="5995"/>
  <c r="B6" i="5995"/>
  <c r="O5" i="5995"/>
  <c r="B5" i="5995"/>
  <c r="O4" i="5995"/>
  <c r="O3" i="5995"/>
  <c r="O2" i="5995"/>
  <c r="O21" i="5993"/>
  <c r="O23" i="5993"/>
  <c r="C30" i="5993"/>
  <c r="B25" i="5993"/>
  <c r="C16" i="5993"/>
  <c r="B15" i="5993"/>
  <c r="H52" i="5993" s="1"/>
  <c r="B14" i="5993"/>
  <c r="B24" i="5993" s="1"/>
  <c r="B13" i="5993"/>
  <c r="C13" i="5993" s="1"/>
  <c r="O12" i="5993"/>
  <c r="C12" i="5993"/>
  <c r="O11" i="5993"/>
  <c r="C11" i="5993"/>
  <c r="O10" i="5993"/>
  <c r="C10" i="5993"/>
  <c r="C9" i="5993"/>
  <c r="C8" i="5993"/>
  <c r="O7" i="5993"/>
  <c r="C7" i="5993"/>
  <c r="O6" i="5993"/>
  <c r="B6" i="5993"/>
  <c r="O5" i="5993"/>
  <c r="B5" i="5993"/>
  <c r="O4" i="5993"/>
  <c r="O3" i="5993"/>
  <c r="O2" i="5993"/>
  <c r="H17" i="5999" l="1"/>
  <c r="H14" i="5999"/>
  <c r="H16" i="5999"/>
  <c r="H2" i="5999"/>
  <c r="H12" i="5999"/>
  <c r="H27" i="5999"/>
  <c r="B24" i="5999"/>
  <c r="C14" i="5997"/>
  <c r="C14" i="5995"/>
  <c r="C40" i="5999"/>
  <c r="H42" i="5999"/>
  <c r="C42" i="5999"/>
  <c r="C15" i="5999"/>
  <c r="C44" i="5999"/>
  <c r="H24" i="5999"/>
  <c r="C32" i="5999"/>
  <c r="H21" i="5999"/>
  <c r="H35" i="5999"/>
  <c r="H10" i="5999"/>
  <c r="C34" i="5999"/>
  <c r="H6" i="5999"/>
  <c r="C36" i="5999"/>
  <c r="H49" i="5999"/>
  <c r="H46" i="5999"/>
  <c r="H11" i="5999"/>
  <c r="H3" i="5999"/>
  <c r="H18" i="5999"/>
  <c r="H31" i="5999"/>
  <c r="H38" i="5999"/>
  <c r="H4" i="5999"/>
  <c r="B22" i="5999"/>
  <c r="H30" i="5999"/>
  <c r="H5" i="5999"/>
  <c r="C18" i="5999"/>
  <c r="H32" i="5999"/>
  <c r="C38" i="5999"/>
  <c r="H52" i="5999"/>
  <c r="H28" i="5999"/>
  <c r="H25" i="5999"/>
  <c r="H8" i="5999"/>
  <c r="C33" i="5999"/>
  <c r="C37" i="5999"/>
  <c r="C41" i="5999"/>
  <c r="H47" i="5999"/>
  <c r="C19" i="5999"/>
  <c r="B23" i="5999"/>
  <c r="H33" i="5999"/>
  <c r="H26" i="5999"/>
  <c r="H39" i="5999"/>
  <c r="H43" i="5999"/>
  <c r="H48" i="5999"/>
  <c r="H9" i="5999"/>
  <c r="C20" i="5999"/>
  <c r="H36" i="5999"/>
  <c r="H40" i="5999"/>
  <c r="H44" i="5999"/>
  <c r="H50" i="5999"/>
  <c r="H22" i="5999"/>
  <c r="H15" i="5999"/>
  <c r="H29" i="5999"/>
  <c r="H13" i="5999"/>
  <c r="H19" i="5999"/>
  <c r="C35" i="5999"/>
  <c r="C39" i="5999"/>
  <c r="C43" i="5999"/>
  <c r="H51" i="5999"/>
  <c r="H7" i="5999"/>
  <c r="H23" i="5999"/>
  <c r="C17" i="5999"/>
  <c r="C21" i="5999"/>
  <c r="H34" i="5999"/>
  <c r="H37" i="5999"/>
  <c r="H41" i="5999"/>
  <c r="H45" i="5999"/>
  <c r="C14" i="5993"/>
  <c r="B22" i="5997"/>
  <c r="C36" i="5997"/>
  <c r="H39" i="5997"/>
  <c r="H4" i="5997"/>
  <c r="H11" i="5997"/>
  <c r="H18" i="5997"/>
  <c r="C40" i="5997"/>
  <c r="H6" i="5997"/>
  <c r="H34" i="5997"/>
  <c r="H43" i="5997"/>
  <c r="H13" i="5997"/>
  <c r="H26" i="5997"/>
  <c r="H3" i="5997"/>
  <c r="H21" i="5997"/>
  <c r="H24" i="5997"/>
  <c r="C44" i="5997"/>
  <c r="C15" i="5997"/>
  <c r="H23" i="5997"/>
  <c r="H10" i="5997"/>
  <c r="C18" i="5997"/>
  <c r="H29" i="5997"/>
  <c r="H2" i="5997"/>
  <c r="H22" i="5997"/>
  <c r="C32" i="5997"/>
  <c r="H5" i="5997"/>
  <c r="H31" i="5997"/>
  <c r="H14" i="5997"/>
  <c r="H36" i="5997"/>
  <c r="H52" i="5997"/>
  <c r="H32" i="5997"/>
  <c r="H19" i="5997"/>
  <c r="H8" i="5997"/>
  <c r="C33" i="5997"/>
  <c r="C37" i="5997"/>
  <c r="C41" i="5997"/>
  <c r="H47" i="5997"/>
  <c r="C19" i="5997"/>
  <c r="B23" i="5997"/>
  <c r="H27" i="5997"/>
  <c r="H28" i="5997"/>
  <c r="H40" i="5997"/>
  <c r="H44" i="5997"/>
  <c r="H48" i="5997"/>
  <c r="H25" i="5997"/>
  <c r="C34" i="5997"/>
  <c r="C38" i="5997"/>
  <c r="C42" i="5997"/>
  <c r="H49" i="5997"/>
  <c r="H9" i="5997"/>
  <c r="C20" i="5997"/>
  <c r="H37" i="5997"/>
  <c r="H41" i="5997"/>
  <c r="H45" i="5997"/>
  <c r="H50" i="5997"/>
  <c r="H17" i="5997"/>
  <c r="H15" i="5997"/>
  <c r="H33" i="5997"/>
  <c r="H12" i="5997"/>
  <c r="H20" i="5997"/>
  <c r="C35" i="5997"/>
  <c r="C39" i="5997"/>
  <c r="C43" i="5997"/>
  <c r="H51" i="5997"/>
  <c r="H7" i="5997"/>
  <c r="H30" i="5997"/>
  <c r="C17" i="5997"/>
  <c r="C21" i="5997"/>
  <c r="H35" i="5997"/>
  <c r="H38" i="5997"/>
  <c r="H42" i="5997"/>
  <c r="H46" i="5997"/>
  <c r="H2" i="5993"/>
  <c r="H32" i="5993"/>
  <c r="C34" i="5993"/>
  <c r="H3" i="5993"/>
  <c r="H17" i="5993"/>
  <c r="H4" i="5993"/>
  <c r="H25" i="5993"/>
  <c r="H12" i="5995"/>
  <c r="H21" i="5995"/>
  <c r="C15" i="5995"/>
  <c r="H9" i="5995"/>
  <c r="H10" i="5995"/>
  <c r="H18" i="5995"/>
  <c r="H5" i="5995"/>
  <c r="H6" i="5995"/>
  <c r="H26" i="5995"/>
  <c r="H28" i="5995"/>
  <c r="H13" i="5995"/>
  <c r="C33" i="5995"/>
  <c r="C37" i="5995"/>
  <c r="C41" i="5995"/>
  <c r="H46" i="5995"/>
  <c r="C19" i="5995"/>
  <c r="B23" i="5995"/>
  <c r="H31" i="5995"/>
  <c r="H34" i="5995"/>
  <c r="H38" i="5995"/>
  <c r="H42" i="5995"/>
  <c r="H47" i="5995"/>
  <c r="H14" i="5995"/>
  <c r="C34" i="5995"/>
  <c r="H48" i="5995"/>
  <c r="H7" i="5995"/>
  <c r="C20" i="5995"/>
  <c r="H35" i="5995"/>
  <c r="H39" i="5995"/>
  <c r="H43" i="5995"/>
  <c r="H49" i="5995"/>
  <c r="H29" i="5995"/>
  <c r="C42" i="5995"/>
  <c r="H19" i="5995"/>
  <c r="H25" i="5995"/>
  <c r="H27" i="5995"/>
  <c r="H15" i="5995"/>
  <c r="H32" i="5995"/>
  <c r="C35" i="5995"/>
  <c r="C39" i="5995"/>
  <c r="C43" i="5995"/>
  <c r="H50" i="5995"/>
  <c r="H2" i="5995"/>
  <c r="H3" i="5995"/>
  <c r="H20" i="5995"/>
  <c r="H16" i="5995"/>
  <c r="C38" i="5995"/>
  <c r="H8" i="5995"/>
  <c r="H23" i="5995"/>
  <c r="C17" i="5995"/>
  <c r="C21" i="5995"/>
  <c r="H22" i="5995"/>
  <c r="H36" i="5995"/>
  <c r="H40" i="5995"/>
  <c r="H44" i="5995"/>
  <c r="H51" i="5995"/>
  <c r="H11" i="5995"/>
  <c r="H30" i="5995"/>
  <c r="C32" i="5995"/>
  <c r="C36" i="5995"/>
  <c r="C40" i="5995"/>
  <c r="C44" i="5995"/>
  <c r="H4" i="5995"/>
  <c r="H24" i="5995"/>
  <c r="C18" i="5995"/>
  <c r="B22" i="5995"/>
  <c r="H17" i="5995"/>
  <c r="H33" i="5995"/>
  <c r="H37" i="5995"/>
  <c r="H41" i="5995"/>
  <c r="H45" i="5995"/>
  <c r="C36" i="5993"/>
  <c r="H8" i="5993"/>
  <c r="H44" i="5993"/>
  <c r="H22" i="5993"/>
  <c r="C42" i="5993"/>
  <c r="H30" i="5993"/>
  <c r="H41" i="5993"/>
  <c r="H31" i="5993"/>
  <c r="C17" i="5993"/>
  <c r="H19" i="5993"/>
  <c r="H46" i="5993"/>
  <c r="H18" i="5993"/>
  <c r="H7" i="5993"/>
  <c r="C19" i="5993"/>
  <c r="H29" i="5993"/>
  <c r="C44" i="5993"/>
  <c r="H11" i="5993"/>
  <c r="C20" i="5993"/>
  <c r="H48" i="5993"/>
  <c r="C21" i="5993"/>
  <c r="C38" i="5993"/>
  <c r="H49" i="5993"/>
  <c r="C15" i="5993"/>
  <c r="H10" i="5993"/>
  <c r="H6" i="5993"/>
  <c r="H12" i="5993"/>
  <c r="H23" i="5993"/>
  <c r="H13" i="5993"/>
  <c r="H28" i="5993"/>
  <c r="H33" i="5993"/>
  <c r="H15" i="5993"/>
  <c r="H24" i="5993"/>
  <c r="B23" i="5993"/>
  <c r="C32" i="5993"/>
  <c r="C40" i="5993"/>
  <c r="H5" i="5993"/>
  <c r="H36" i="5993"/>
  <c r="H27" i="5993"/>
  <c r="H9" i="5993"/>
  <c r="C33" i="5993"/>
  <c r="C37" i="5993"/>
  <c r="C41" i="5993"/>
  <c r="H47" i="5993"/>
  <c r="H39" i="5993"/>
  <c r="H42" i="5993"/>
  <c r="H45" i="5993"/>
  <c r="H50" i="5993"/>
  <c r="H20" i="5993"/>
  <c r="H16" i="5993"/>
  <c r="H37" i="5993"/>
  <c r="H14" i="5993"/>
  <c r="H21" i="5993"/>
  <c r="C35" i="5993"/>
  <c r="C39" i="5993"/>
  <c r="C43" i="5993"/>
  <c r="H51" i="5993"/>
  <c r="H35" i="5993"/>
  <c r="C18" i="5993"/>
  <c r="B22" i="5993"/>
  <c r="H26" i="5993"/>
  <c r="H38" i="5993"/>
  <c r="H40" i="5993"/>
  <c r="H43" i="5993"/>
  <c r="H34" i="599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<sst xmlns="http://schemas.openxmlformats.org/spreadsheetml/2006/main" count="3025" uniqueCount="267">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</sst>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全体!$K$2:$K$629</c:f>
              <c:numCache>
                <c:formatCode>General</c:formatCode>
                <c:ptCount val="6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</c:numCache>
            </c:numRef>
          </c:xVal>
          <c:yVal>
            <c:numRef>
              <c:f>全体!$L$2:$L$629</c:f>
              <c:numCache>
                <c:formatCode>\+0.0;\-0.0;\±0</c:formatCode>
                <c:ptCount val="62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6E-4DDC-AD57-6C804C468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-24.154589371980677</c:v>
                </c:pt>
                <c:pt idx="1">
                  <c:v>11.494252873563218</c:v>
                </c:pt>
                <c:pt idx="2">
                  <c:v>-15.706806282722512</c:v>
                </c:pt>
                <c:pt idx="3">
                  <c:v>11.111111111111111</c:v>
                </c:pt>
                <c:pt idx="4">
                  <c:v>9.9800399201596814</c:v>
                </c:pt>
                <c:pt idx="5">
                  <c:v>14.388489208633093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0-49A8-BE36-DCF34174F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112</c:v>
                </c:pt>
                <c:pt idx="1">
                  <c:v>255</c:v>
                </c:pt>
                <c:pt idx="2">
                  <c:v>316</c:v>
                </c:pt>
                <c:pt idx="3">
                  <c:v>270</c:v>
                </c:pt>
                <c:pt idx="4">
                  <c:v>244</c:v>
                </c:pt>
                <c:pt idx="5">
                  <c:v>158</c:v>
                </c:pt>
                <c:pt idx="6">
                  <c:v>83</c:v>
                </c:pt>
                <c:pt idx="7">
                  <c:v>43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C-4603-AF7A-B3FF6507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89-4B9C-AA74-1D3A7715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5-4105-BE97-609E890FC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1-4F94-A716-FA7598B6C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だいち!$L$2:$L$131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0-43DF-B1A6-EE8EB5AA5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1035.4330708661416</c:v>
                </c:pt>
                <c:pt idx="1">
                  <c:v>736.29032258064512</c:v>
                </c:pt>
                <c:pt idx="2">
                  <c:v>1049.579831932773</c:v>
                </c:pt>
                <c:pt idx="3">
                  <c:v>262.72727272727275</c:v>
                </c:pt>
                <c:pt idx="4">
                  <c:v>2164.4230769230771</c:v>
                </c:pt>
                <c:pt idx="5">
                  <c:v>2211.9047619047619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9-4AD4-AB04-3F42FB0D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29</c:v>
                </c:pt>
                <c:pt idx="1">
                  <c:v>64</c:v>
                </c:pt>
                <c:pt idx="2">
                  <c:v>78</c:v>
                </c:pt>
                <c:pt idx="3">
                  <c:v>68</c:v>
                </c:pt>
                <c:pt idx="4">
                  <c:v>50</c:v>
                </c:pt>
                <c:pt idx="5">
                  <c:v>36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B-41CF-B3C0-7CE7FECA7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ただ!$L$2:$L$119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5-4B47-AB8D-BF643A870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-1617.2413793103449</c:v>
                </c:pt>
                <c:pt idx="1">
                  <c:v>1759.6491228070176</c:v>
                </c:pt>
                <c:pt idx="2">
                  <c:v>-80.952380952380949</c:v>
                </c:pt>
                <c:pt idx="3">
                  <c:v>902.02020202020196</c:v>
                </c:pt>
                <c:pt idx="4">
                  <c:v>-1258.695652173913</c:v>
                </c:pt>
                <c:pt idx="5">
                  <c:v>1484.6153846153845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0-4020-A467-16D5FAD25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20</c:v>
                </c:pt>
                <c:pt idx="1">
                  <c:v>46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32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4-4EBF-8E1E-5789E239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りくと!$L$2:$L$74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A-4141-BC53-C5FD06875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B-4286-9EFA-FB69CC5B3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2-466D-96CC-9C76C89F9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2-4195-8347-EBC6D5B9D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1403.8961038961038</c:v>
                </c:pt>
                <c:pt idx="1">
                  <c:v>-2524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1-4807-AF4F-EEB9BB23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46</c:v>
                </c:pt>
                <c:pt idx="5">
                  <c:v>17</c:v>
                </c:pt>
                <c:pt idx="6">
                  <c:v>16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7-407D-8F93-15E63633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3-490C-B7BD-14331376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3E-4212-9C51-225654101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7-475D-BAA1-B303840D0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52-4601-A3B0-A0463A3CC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E0-9753-2B8BF1513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8-45AE-9DD6-580384367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E7-4BF8-8E39-191FDAC9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1-4B1B-98A5-CF0CDE804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4-4194-90B5-EC3D6BFDA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3-4C0C-A1F8-B5F167CA5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2-49B4-BCD2-030F9EA55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8-418C-9882-4CE77013E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A-4577-B228-B00DF2877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1-472B-8BE2-645FCF859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68F-B169-CAA082421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れんたろう2!$B$3:$B$80</c:f>
              <c:numCache>
                <c:formatCode>\+0.0;\-0.0;\±0</c:formatCode>
                <c:ptCount val="7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れんたろう2!$C$3:$C$80</c:f>
              <c:numCache>
                <c:formatCode>\+0.0;\-0.0;\±0</c:formatCode>
                <c:ptCount val="78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799452016843063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れんたろう2!$D$3:$D$80</c:f>
              <c:numCache>
                <c:formatCode>0.00\ "位"</c:formatCode>
                <c:ptCount val="78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215311004784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れんたろう2!$E$3:$E$80</c:f>
              <c:numCache>
                <c:formatCode>0.0%</c:formatCode>
                <c:ptCount val="7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52312599681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れんたろう2!$F$3:$F$80</c:f>
              <c:numCache>
                <c:formatCode>0.0%</c:formatCode>
                <c:ptCount val="7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38437001594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れんたろう2!$G$3:$G$80</c:f>
              <c:numCache>
                <c:formatCode>0.0%</c:formatCode>
                <c:ptCount val="78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19553502694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れんたろう2!$H$3:$H$80</c:f>
              <c:numCache>
                <c:formatCode>0.0%</c:formatCode>
                <c:ptCount val="78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39491916859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れんたろう2!$I$3:$I$80</c:f>
              <c:numCache>
                <c:formatCode>0</c:formatCode>
                <c:ptCount val="78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7.4267100977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れんたろう2!$J$3:$J$80</c:f>
              <c:numCache>
                <c:formatCode>0</c:formatCode>
                <c:ptCount val="78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6.41931684334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れんたろう2!$K$3:$K$80</c:f>
              <c:numCache>
                <c:formatCode>0.0%</c:formatCode>
                <c:ptCount val="7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6937799043062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れんたろう2!$L$3:$L$80</c:f>
              <c:numCache>
                <c:formatCode>0.0%</c:formatCode>
                <c:ptCount val="78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04157043879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れんたろう2!$M$3:$M$80</c:f>
              <c:numCache>
                <c:formatCode>0.0%</c:formatCode>
                <c:ptCount val="78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524249422632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れんたろう2!$N$3:$N$80</c:f>
              <c:numCache>
                <c:formatCode>0.0%</c:formatCode>
                <c:ptCount val="78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45454545454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れんたろう2!$O$3:$O$80</c:f>
              <c:numCache>
                <c:formatCode>0.0%</c:formatCode>
                <c:ptCount val="78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796342477140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れんたろう2!$P$3:$P$80</c:f>
              <c:numCache>
                <c:formatCode>0.0%</c:formatCode>
                <c:ptCount val="78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693811074918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  <row r="63" spans="1:9" x14ac:dyDescent="0.4">
      <c r="A63" s="28" t="s">
        <v>266</v>
      </c>
      <c r="B63" s="29">
        <v>43790.974027777775</v>
      </c>
      <c r="C63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627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129</v>
      </c>
    </row>
    <row r="4" spans="1:2" x14ac:dyDescent="0.4">
      <c r="A4" t="s">
        <v>127</v>
      </c>
      <c r="B4">
        <v>117</v>
      </c>
    </row>
    <row r="5" spans="1:2" x14ac:dyDescent="0.4">
      <c r="A5" t="s">
        <v>172</v>
      </c>
      <c r="B5">
        <v>72</v>
      </c>
    </row>
    <row r="6" spans="1:2" x14ac:dyDescent="0.4">
      <c r="A6" t="s">
        <v>170</v>
      </c>
      <c r="B6">
        <v>77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0.99241124013105741</v>
      </c>
      <c r="G2" s="163"/>
      <c r="H2" s="162">
        <v>0.89001352050691085</v>
      </c>
      <c r="I2" s="163"/>
      <c r="J2" s="162">
        <v>0.92116718067421421</v>
      </c>
      <c r="K2" s="163"/>
      <c r="L2" s="162">
        <v>0.83720802597401389</v>
      </c>
      <c r="M2" s="163"/>
      <c r="N2" s="162">
        <v>0.52358949667343468</v>
      </c>
      <c r="O2" s="163"/>
      <c r="P2" s="162">
        <v>0.53891974369946827</v>
      </c>
      <c r="Q2" s="163"/>
      <c r="R2" s="162">
        <v>9.7860039432210194E-2</v>
      </c>
      <c r="S2" s="163"/>
      <c r="T2" s="162">
        <v>0.55423941936528787</v>
      </c>
      <c r="U2" s="163"/>
      <c r="V2" s="162">
        <v>0.5596178909348829</v>
      </c>
      <c r="W2" s="163"/>
      <c r="X2" s="162">
        <v>-8.451669259141233E-3</v>
      </c>
      <c r="Y2" s="163"/>
      <c r="Z2" s="162">
        <v>0.40198788766202254</v>
      </c>
      <c r="AA2" s="163"/>
      <c r="AB2" s="162">
        <v>0.33786970431138225</v>
      </c>
      <c r="AC2" s="163"/>
      <c r="AD2" s="162">
        <v>-1.2568819257338496E-2</v>
      </c>
      <c r="AE2" s="163"/>
      <c r="AF2" s="162">
        <v>0.78263489738246106</v>
      </c>
      <c r="AG2" s="163"/>
    </row>
    <row r="3" spans="1:33" x14ac:dyDescent="0.4">
      <c r="A3" s="70">
        <v>1</v>
      </c>
      <c r="B3" s="71" t="s">
        <v>126</v>
      </c>
      <c r="C3" s="72">
        <v>1098.6000000000001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10852.542372881357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0.31877022653721682</v>
      </c>
      <c r="X3" s="73" t="s">
        <v>212</v>
      </c>
      <c r="Y3" s="76">
        <v>0.35483870967741937</v>
      </c>
      <c r="Z3" s="73" t="s">
        <v>126</v>
      </c>
      <c r="AA3" s="76">
        <v>0.59507042253521125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368.00000000000011</v>
      </c>
      <c r="D4" s="81" t="s">
        <v>126</v>
      </c>
      <c r="E4" s="93">
        <v>8.5162790697674424</v>
      </c>
      <c r="F4" s="81" t="s">
        <v>126</v>
      </c>
      <c r="G4" s="82">
        <v>1.7829457364341086</v>
      </c>
      <c r="H4" s="81" t="s">
        <v>126</v>
      </c>
      <c r="I4" s="83">
        <v>0.4573643410852713</v>
      </c>
      <c r="J4" s="81" t="s">
        <v>126</v>
      </c>
      <c r="K4" s="83">
        <v>0.24031007751937986</v>
      </c>
      <c r="L4" s="81" t="s">
        <v>126</v>
      </c>
      <c r="M4" s="84">
        <v>0.34291187739463602</v>
      </c>
      <c r="N4" s="81" t="s">
        <v>126</v>
      </c>
      <c r="O4" s="84">
        <v>0.13026819923371646</v>
      </c>
      <c r="P4" s="81" t="s">
        <v>127</v>
      </c>
      <c r="Q4" s="85">
        <v>8488.3333333333339</v>
      </c>
      <c r="R4" s="81" t="s">
        <v>161</v>
      </c>
      <c r="S4" s="85">
        <v>-7600</v>
      </c>
      <c r="T4" s="81" t="s">
        <v>161</v>
      </c>
      <c r="U4" s="83">
        <v>3.5714285714285712E-2</v>
      </c>
      <c r="V4" s="81" t="s">
        <v>172</v>
      </c>
      <c r="W4" s="84">
        <v>0.28524046434494194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0.47899159663865548</v>
      </c>
      <c r="AD4" s="81" t="s">
        <v>170</v>
      </c>
      <c r="AE4" s="84">
        <v>0.48587570621468928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94.499999999999773</v>
      </c>
      <c r="D5" s="81" t="s">
        <v>170</v>
      </c>
      <c r="E5" s="93">
        <v>4.7792207792207808</v>
      </c>
      <c r="F5" s="81" t="s">
        <v>170</v>
      </c>
      <c r="G5" s="82">
        <v>1.9090909090909092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0.3058103975535168</v>
      </c>
      <c r="N5" s="81" t="s">
        <v>171</v>
      </c>
      <c r="O5" s="84">
        <v>0.13732833957553059</v>
      </c>
      <c r="P5" s="81" t="s">
        <v>201</v>
      </c>
      <c r="Q5" s="85">
        <v>8456.4516129032254</v>
      </c>
      <c r="R5" s="81" t="s">
        <v>172</v>
      </c>
      <c r="S5" s="85">
        <v>-7622.1311475409839</v>
      </c>
      <c r="T5" s="81" t="s">
        <v>126</v>
      </c>
      <c r="U5" s="83">
        <v>3.875968992248062E-2</v>
      </c>
      <c r="V5" s="81" t="s">
        <v>126</v>
      </c>
      <c r="W5" s="84">
        <v>0.27203065134099619</v>
      </c>
      <c r="X5" s="81" t="s">
        <v>127</v>
      </c>
      <c r="Y5" s="84">
        <v>0.31192660550458717</v>
      </c>
      <c r="Z5" s="81" t="s">
        <v>172</v>
      </c>
      <c r="AA5" s="84">
        <v>0.57558139534883723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0.80769230769230571</v>
      </c>
      <c r="F6" s="81" t="s">
        <v>127</v>
      </c>
      <c r="G6" s="82">
        <v>1.9487179487179487</v>
      </c>
      <c r="H6" s="81" t="s">
        <v>170</v>
      </c>
      <c r="I6" s="83">
        <v>0.40259740259740262</v>
      </c>
      <c r="J6" s="81" t="s">
        <v>127</v>
      </c>
      <c r="K6" s="83">
        <v>0.29914529914529914</v>
      </c>
      <c r="L6" s="81" t="s">
        <v>141</v>
      </c>
      <c r="M6" s="84">
        <v>0.29541955350269439</v>
      </c>
      <c r="N6" s="81" t="s">
        <v>161</v>
      </c>
      <c r="O6" s="84">
        <v>0.15060240963855423</v>
      </c>
      <c r="P6" s="81" t="s">
        <v>141</v>
      </c>
      <c r="Q6" s="85">
        <v>8447.4267100977195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170</v>
      </c>
      <c r="AC6" s="84">
        <v>0.42201834862385323</v>
      </c>
      <c r="AD6" s="81" t="s">
        <v>172</v>
      </c>
      <c r="AE6" s="84">
        <v>0.4642857142857143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1.9952153110047848</v>
      </c>
      <c r="H7" s="81" t="s">
        <v>201</v>
      </c>
      <c r="I7" s="83">
        <v>0.375</v>
      </c>
      <c r="J7" s="81" t="s">
        <v>170</v>
      </c>
      <c r="K7" s="83">
        <v>0.31168831168831168</v>
      </c>
      <c r="L7" s="81" t="s">
        <v>171</v>
      </c>
      <c r="M7" s="84">
        <v>0.28714107365792757</v>
      </c>
      <c r="N7" s="81" t="s">
        <v>141</v>
      </c>
      <c r="O7" s="84">
        <v>0.16339491916859122</v>
      </c>
      <c r="P7" s="81" t="s">
        <v>171</v>
      </c>
      <c r="Q7" s="85">
        <v>8340.8695652173919</v>
      </c>
      <c r="R7" s="81" t="s">
        <v>126</v>
      </c>
      <c r="S7" s="85">
        <v>-7851.4705882352937</v>
      </c>
      <c r="T7" s="81" t="s">
        <v>172</v>
      </c>
      <c r="U7" s="83">
        <v>8.3333333333333329E-2</v>
      </c>
      <c r="V7" s="81" t="s">
        <v>236</v>
      </c>
      <c r="W7" s="84">
        <v>0.26666666666666666</v>
      </c>
      <c r="X7" s="81" t="s">
        <v>141</v>
      </c>
      <c r="Y7" s="84">
        <v>0.23152424942263281</v>
      </c>
      <c r="Z7" s="81" t="s">
        <v>141</v>
      </c>
      <c r="AA7" s="84">
        <v>0.55454545454545456</v>
      </c>
      <c r="AB7" s="81" t="s">
        <v>141</v>
      </c>
      <c r="AC7" s="84">
        <v>0.41479634247714048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-4.2632564145606011E-14</v>
      </c>
      <c r="D8" s="81" t="s">
        <v>141</v>
      </c>
      <c r="E8" s="93">
        <v>-6.7994520168430637E-17</v>
      </c>
      <c r="F8" s="81" t="s">
        <v>201</v>
      </c>
      <c r="G8" s="82">
        <v>2</v>
      </c>
      <c r="H8" s="81" t="s">
        <v>127</v>
      </c>
      <c r="I8" s="83">
        <v>0.3504273504273504</v>
      </c>
      <c r="J8" s="81" t="s">
        <v>141</v>
      </c>
      <c r="K8" s="83">
        <v>0.33173843700159489</v>
      </c>
      <c r="L8" s="81" t="s">
        <v>170</v>
      </c>
      <c r="M8" s="84">
        <v>0.28640776699029125</v>
      </c>
      <c r="N8" s="81" t="s">
        <v>201</v>
      </c>
      <c r="O8" s="84">
        <v>0.16593886462882096</v>
      </c>
      <c r="P8" s="81" t="s">
        <v>126</v>
      </c>
      <c r="Q8" s="85">
        <v>8222.0670391061449</v>
      </c>
      <c r="R8" s="81" t="s">
        <v>141</v>
      </c>
      <c r="S8" s="85">
        <v>-7856.4193168433449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0.22796934865900384</v>
      </c>
      <c r="Z8" s="81" t="s">
        <v>170</v>
      </c>
      <c r="AA8" s="84">
        <v>0.5532994923857868</v>
      </c>
      <c r="AB8" s="81" t="s">
        <v>202</v>
      </c>
      <c r="AC8" s="84">
        <v>0.41333333333333333</v>
      </c>
      <c r="AD8" s="81" t="s">
        <v>141</v>
      </c>
      <c r="AE8" s="84">
        <v>0.44169381107491856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0.33652312599681022</v>
      </c>
      <c r="J9" s="81" t="s">
        <v>201</v>
      </c>
      <c r="K9" s="83">
        <v>0.375</v>
      </c>
      <c r="L9" s="81" t="s">
        <v>172</v>
      </c>
      <c r="M9" s="84">
        <v>0.27860696517412936</v>
      </c>
      <c r="N9" s="81" t="s">
        <v>170</v>
      </c>
      <c r="O9" s="84">
        <v>0.16828478964401294</v>
      </c>
      <c r="P9" s="81" t="s">
        <v>172</v>
      </c>
      <c r="Q9" s="85">
        <v>8067.8571428571431</v>
      </c>
      <c r="R9" s="81" t="s">
        <v>236</v>
      </c>
      <c r="S9" s="85">
        <v>-8000</v>
      </c>
      <c r="T9" s="81" t="s">
        <v>141</v>
      </c>
      <c r="U9" s="83">
        <v>9.569377990430622E-2</v>
      </c>
      <c r="V9" s="81" t="s">
        <v>141</v>
      </c>
      <c r="W9" s="84">
        <v>0.2540415704387991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172</v>
      </c>
      <c r="AC9" s="84">
        <v>0.40517241379310343</v>
      </c>
      <c r="AD9" s="81" t="s">
        <v>126</v>
      </c>
      <c r="AE9" s="84">
        <v>0.42737430167597767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0.3888888888888889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127</v>
      </c>
      <c r="S10" s="85">
        <v>-8026.7379679144387</v>
      </c>
      <c r="T10" s="81" t="s">
        <v>170</v>
      </c>
      <c r="U10" s="83">
        <v>0.1038961038961039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0.40666666666666668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-6.7333333333333334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0.19062181447502549</v>
      </c>
      <c r="P11" s="81" t="s">
        <v>212</v>
      </c>
      <c r="Q11" s="85">
        <v>7473.333333333333</v>
      </c>
      <c r="R11" s="81" t="s">
        <v>170</v>
      </c>
      <c r="S11" s="85">
        <v>-8158.6538461538457</v>
      </c>
      <c r="T11" s="81" t="s">
        <v>127</v>
      </c>
      <c r="U11" s="83">
        <v>0.13675213675213677</v>
      </c>
      <c r="V11" s="81" t="s">
        <v>127</v>
      </c>
      <c r="W11" s="84">
        <v>0.22731906218144751</v>
      </c>
      <c r="X11" s="81" t="s">
        <v>172</v>
      </c>
      <c r="Y11" s="84">
        <v>0.19237147595356552</v>
      </c>
      <c r="Z11" s="81" t="s">
        <v>236</v>
      </c>
      <c r="AA11" s="84">
        <v>0.5</v>
      </c>
      <c r="AB11" s="81" t="s">
        <v>127</v>
      </c>
      <c r="AC11" s="84">
        <v>0.37908496732026142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-484.8</v>
      </c>
      <c r="D12" s="81" t="s">
        <v>202</v>
      </c>
      <c r="E12" s="93">
        <v>-14.400000000000002</v>
      </c>
      <c r="F12" s="81" t="s">
        <v>172</v>
      </c>
      <c r="G12" s="82">
        <v>2.1527777777777777</v>
      </c>
      <c r="H12" s="81" t="s">
        <v>172</v>
      </c>
      <c r="I12" s="83">
        <v>0.2361111111111111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0.17637540453074432</v>
      </c>
      <c r="Z12" s="81" t="s">
        <v>127</v>
      </c>
      <c r="AA12" s="84">
        <v>0.49775784753363228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0.20232172470978441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756A-63AB-42C6-BF56-82FC8649F05F}">
  <sheetPr codeName="Sheet4"/>
  <dimension ref="A1:Q62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627</v>
      </c>
      <c r="C2" s="155"/>
      <c r="E2" s="58" t="s">
        <v>66</v>
      </c>
      <c r="F2" s="55" t="s">
        <v>22</v>
      </c>
      <c r="G2" s="43">
        <v>1175</v>
      </c>
      <c r="H2" s="128">
        <f>IF(B$15=0,0,G2/B$15)</f>
        <v>0.76547231270358307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-24.154589371980677</v>
      </c>
      <c r="P2" s="114">
        <v>621</v>
      </c>
      <c r="Q2" s="98">
        <v>-15000</v>
      </c>
    </row>
    <row r="3" spans="1:17" x14ac:dyDescent="0.4">
      <c r="A3" s="51" t="s">
        <v>8</v>
      </c>
      <c r="B3" s="156">
        <v>5196</v>
      </c>
      <c r="C3" s="157"/>
      <c r="E3" s="59" t="s">
        <v>72</v>
      </c>
      <c r="F3" s="56" t="s">
        <v>27</v>
      </c>
      <c r="G3" s="44">
        <v>823</v>
      </c>
      <c r="H3" s="129">
        <f>IF(B$15=0,0,G3/B$15)</f>
        <v>0.53615635179153098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11.494252873563218</v>
      </c>
      <c r="P3" s="115">
        <v>609</v>
      </c>
      <c r="Q3" s="99">
        <v>7000</v>
      </c>
    </row>
    <row r="4" spans="1:17" x14ac:dyDescent="0.4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701</v>
      </c>
      <c r="H4" s="129">
        <f>IF(B$15=0,0,G4/B$15)</f>
        <v>0.45667752442996745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-15.706806282722512</v>
      </c>
      <c r="P4" s="115">
        <v>573</v>
      </c>
      <c r="Q4" s="99">
        <v>-9000</v>
      </c>
    </row>
    <row r="5" spans="1:17" x14ac:dyDescent="0.4">
      <c r="A5" s="51" t="s">
        <v>7</v>
      </c>
      <c r="B5" s="160">
        <f>IF(B$2=0,0,B$4/B$2)</f>
        <v>-6.7994520168430637E-17</v>
      </c>
      <c r="C5" s="161"/>
      <c r="E5" s="59" t="s">
        <v>166</v>
      </c>
      <c r="F5" s="56" t="s">
        <v>167</v>
      </c>
      <c r="G5" s="44">
        <v>610</v>
      </c>
      <c r="H5" s="129">
        <f>IF(B$15=0,0,G5/B$15)</f>
        <v>0.3973941368078176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11.111111111111111</v>
      </c>
      <c r="P5" s="115">
        <v>540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1.9952153110047848</v>
      </c>
      <c r="C6" s="151"/>
      <c r="E6" s="59" t="s">
        <v>68</v>
      </c>
      <c r="F6" s="56" t="s">
        <v>12</v>
      </c>
      <c r="G6" s="44">
        <v>476</v>
      </c>
      <c r="H6" s="129">
        <f>IF(B$15=0,0,G6/B$15)</f>
        <v>0.31009771986970686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9.9800399201596814</v>
      </c>
      <c r="P6" s="115">
        <v>501</v>
      </c>
      <c r="Q6" s="99">
        <v>5000</v>
      </c>
    </row>
    <row r="7" spans="1:17" x14ac:dyDescent="0.4">
      <c r="A7" s="51" t="s">
        <v>2</v>
      </c>
      <c r="B7" s="44">
        <v>211</v>
      </c>
      <c r="C7" s="37">
        <f t="shared" ref="C7:C10" si="1">IF(B$2=0,0,B7/B$2)</f>
        <v>0.33652312599681022</v>
      </c>
      <c r="E7" s="59" t="s">
        <v>67</v>
      </c>
      <c r="F7" s="56" t="s">
        <v>23</v>
      </c>
      <c r="G7" s="44">
        <v>437</v>
      </c>
      <c r="H7" s="129">
        <f>IF(B$15=0,0,G7/B$15)</f>
        <v>0.28469055374592833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14.388489208633093</v>
      </c>
      <c r="P7" s="116">
        <v>417</v>
      </c>
      <c r="Q7" s="100">
        <v>6000</v>
      </c>
    </row>
    <row r="8" spans="1:17" x14ac:dyDescent="0.4">
      <c r="A8" s="51" t="s">
        <v>3</v>
      </c>
      <c r="B8" s="44">
        <v>208</v>
      </c>
      <c r="C8" s="37">
        <f t="shared" si="1"/>
        <v>0.33173843700159489</v>
      </c>
      <c r="E8" s="59" t="s">
        <v>69</v>
      </c>
      <c r="F8" s="56" t="s">
        <v>24</v>
      </c>
      <c r="G8" s="44">
        <v>225</v>
      </c>
      <c r="H8" s="129">
        <f>IF(B$15=0,0,G8/B$15)</f>
        <v>0.1465798045602606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208</v>
      </c>
      <c r="C9" s="38">
        <f t="shared" si="1"/>
        <v>0.33173843700159489</v>
      </c>
      <c r="E9" s="59" t="s">
        <v>89</v>
      </c>
      <c r="F9" s="56" t="s">
        <v>44</v>
      </c>
      <c r="G9" s="44">
        <v>206</v>
      </c>
      <c r="H9" s="129">
        <f>IF(B$15=0,0,G9/B$15)</f>
        <v>0.13420195439739413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60</v>
      </c>
      <c r="C10" s="40">
        <f t="shared" si="1"/>
        <v>9.569377990430622E-2</v>
      </c>
      <c r="E10" s="59" t="s">
        <v>65</v>
      </c>
      <c r="F10" s="56" t="s">
        <v>21</v>
      </c>
      <c r="G10" s="44">
        <v>162</v>
      </c>
      <c r="H10" s="129">
        <f>IF(B$15=0,0,G10/B$15)</f>
        <v>0.10553745928338762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-2.3033653846153852</v>
      </c>
      <c r="P10" s="114">
        <v>208</v>
      </c>
      <c r="Q10" s="102">
        <v>-479.10000000000008</v>
      </c>
    </row>
    <row r="11" spans="1:17" x14ac:dyDescent="0.4">
      <c r="A11" s="54" t="s">
        <v>121</v>
      </c>
      <c r="B11" s="47">
        <v>1320</v>
      </c>
      <c r="C11" s="42">
        <f>IF(B$3=0,0,B11/B$3)</f>
        <v>0.2540415704387991</v>
      </c>
      <c r="E11" s="59" t="s">
        <v>70</v>
      </c>
      <c r="F11" s="56" t="s">
        <v>25</v>
      </c>
      <c r="G11" s="44">
        <v>145</v>
      </c>
      <c r="H11" s="129">
        <f>IF(B$15=0,0,G11/B$15)</f>
        <v>9.4462540716612378E-2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2.2562499999999996</v>
      </c>
      <c r="P11" s="115">
        <v>208</v>
      </c>
      <c r="Q11" s="103">
        <v>469.2999999999999</v>
      </c>
    </row>
    <row r="12" spans="1:17" x14ac:dyDescent="0.4">
      <c r="A12" s="51" t="s">
        <v>118</v>
      </c>
      <c r="B12" s="44">
        <v>1203</v>
      </c>
      <c r="C12" s="37">
        <f>IF(B$3=0,0,B12/B$3)</f>
        <v>0.23152424942263281</v>
      </c>
      <c r="E12" s="59" t="s">
        <v>71</v>
      </c>
      <c r="F12" s="56" t="s">
        <v>26</v>
      </c>
      <c r="G12" s="44">
        <v>119</v>
      </c>
      <c r="H12" s="129">
        <f>IF(B$15=0,0,G12/B$15)</f>
        <v>7.7524429967426714E-2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4.7115384615383955E-2</v>
      </c>
      <c r="P12" s="116">
        <v>208</v>
      </c>
      <c r="Q12" s="104">
        <v>9.7999999999998622</v>
      </c>
    </row>
    <row r="13" spans="1:17" x14ac:dyDescent="0.4">
      <c r="A13" s="50" t="s">
        <v>123</v>
      </c>
      <c r="B13" s="43">
        <f>B19</f>
        <v>732</v>
      </c>
      <c r="C13" s="35">
        <f>IF(B$11=0,0,B13/B$11)</f>
        <v>0.55454545454545456</v>
      </c>
      <c r="E13" s="59" t="s">
        <v>83</v>
      </c>
      <c r="F13" s="56" t="s">
        <v>38</v>
      </c>
      <c r="G13" s="44">
        <v>83</v>
      </c>
      <c r="H13" s="129">
        <f>IF(B$15=0,0,G13/B$15)</f>
        <v>5.4071661237785014E-2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499</v>
      </c>
      <c r="C14" s="35">
        <f>IF(B$12=0,0,B14/B$12)</f>
        <v>0.41479634247714048</v>
      </c>
      <c r="E14" s="59" t="s">
        <v>86</v>
      </c>
      <c r="F14" s="56" t="s">
        <v>41</v>
      </c>
      <c r="G14" s="44">
        <v>80</v>
      </c>
      <c r="H14" s="129">
        <f>IF(B$15=0,0,G14/B$15)</f>
        <v>5.2117263843648211E-2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1535</v>
      </c>
      <c r="C15" s="35">
        <f>IF(B$3=0,0,B15/B$3)</f>
        <v>0.29541955350269439</v>
      </c>
      <c r="E15" s="59" t="s">
        <v>162</v>
      </c>
      <c r="F15" s="56" t="s">
        <v>163</v>
      </c>
      <c r="G15" s="44">
        <v>39</v>
      </c>
      <c r="H15" s="129">
        <f>IF(B$15=0,0,G15/B$15)</f>
        <v>2.5407166123778503E-2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849</v>
      </c>
      <c r="C16" s="37">
        <f>IF(B$3=0,0,B16/B$3)</f>
        <v>0.16339491916859122</v>
      </c>
      <c r="E16" s="59" t="s">
        <v>78</v>
      </c>
      <c r="F16" s="56" t="s">
        <v>33</v>
      </c>
      <c r="G16" s="44">
        <v>37</v>
      </c>
      <c r="H16" s="129">
        <f>IF(B$15=0,0,G16/B$15)</f>
        <v>2.4104234527687295E-2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678</v>
      </c>
      <c r="C17" s="37">
        <f>IF(B$15=0,0,B17/B$15)</f>
        <v>0.44169381107491856</v>
      </c>
      <c r="E17" s="59" t="s">
        <v>81</v>
      </c>
      <c r="F17" s="56" t="s">
        <v>36</v>
      </c>
      <c r="G17" s="44">
        <v>27</v>
      </c>
      <c r="H17" s="129">
        <f>IF(B$15=0,0,G17/B$15)</f>
        <v>1.758957654723127E-2</v>
      </c>
      <c r="I17" s="90">
        <v>6</v>
      </c>
      <c r="K17" s="36">
        <v>15</v>
      </c>
      <c r="L17" s="95">
        <v>0</v>
      </c>
      <c r="N17" s="111" t="s">
        <v>172</v>
      </c>
      <c r="O17" s="121">
        <f>IF(P17=0,0,Q17/P17)</f>
        <v>10.1</v>
      </c>
      <c r="P17" s="115">
        <v>144</v>
      </c>
      <c r="Q17" s="103">
        <v>1454.3999999999999</v>
      </c>
    </row>
    <row r="18" spans="1:17" x14ac:dyDescent="0.4">
      <c r="A18" s="51" t="s">
        <v>11</v>
      </c>
      <c r="B18" s="44">
        <v>857</v>
      </c>
      <c r="C18" s="37">
        <f>IF(B$15=0,0,B18/B$15)</f>
        <v>0.55830618892508144</v>
      </c>
      <c r="E18" s="59" t="s">
        <v>91</v>
      </c>
      <c r="F18" s="56" t="s">
        <v>46</v>
      </c>
      <c r="G18" s="44">
        <v>21</v>
      </c>
      <c r="H18" s="129">
        <f>IF(B$15=0,0,G18/B$15)</f>
        <v>1.3680781758957655E-2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>IF(P18=0,0,Q18/P18)</f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732</v>
      </c>
      <c r="C19" s="37">
        <f>IF(B$15=0,0,B19/B$15)</f>
        <v>0.47687296416938113</v>
      </c>
      <c r="E19" s="59" t="s">
        <v>79</v>
      </c>
      <c r="F19" s="56" t="s">
        <v>34</v>
      </c>
      <c r="G19" s="44">
        <v>18</v>
      </c>
      <c r="H19" s="129">
        <f>IF(B$15=0,0,G19/B$15)</f>
        <v>1.1726384364820847E-2</v>
      </c>
      <c r="I19" s="90">
        <v>5</v>
      </c>
      <c r="K19" s="36">
        <v>17</v>
      </c>
      <c r="L19" s="95">
        <v>-20.5</v>
      </c>
      <c r="N19" s="111" t="s">
        <v>171</v>
      </c>
      <c r="O19" s="121">
        <f>IF(P19=0,0,Q19/P19)</f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499</v>
      </c>
      <c r="C20" s="37">
        <f>IF(B$15=0,0,B20/B$15)</f>
        <v>0.32508143322475569</v>
      </c>
      <c r="E20" s="59" t="s">
        <v>75</v>
      </c>
      <c r="F20" s="56" t="s">
        <v>30</v>
      </c>
      <c r="G20" s="44">
        <v>11</v>
      </c>
      <c r="H20" s="129">
        <f>IF(B$15=0,0,G20/B$15)</f>
        <v>7.1661237785016286E-3</v>
      </c>
      <c r="I20" s="90">
        <v>5</v>
      </c>
      <c r="K20" s="36">
        <v>18</v>
      </c>
      <c r="L20" s="95">
        <v>0</v>
      </c>
      <c r="N20" s="111" t="s">
        <v>201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304</v>
      </c>
      <c r="C21" s="37">
        <f>IF(B$15=0,0,B21/B$15)</f>
        <v>0.19804560260586318</v>
      </c>
      <c r="E21" s="59" t="s">
        <v>92</v>
      </c>
      <c r="F21" s="56" t="s">
        <v>47</v>
      </c>
      <c r="G21" s="44">
        <v>10</v>
      </c>
      <c r="H21" s="129">
        <f>IF(B$15=0,0,G21/B$15)</f>
        <v>6.5146579804560263E-3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-1.2115384615384672</v>
      </c>
      <c r="P21" s="115">
        <v>234</v>
      </c>
      <c r="Q21" s="103">
        <v>-283.50000000000131</v>
      </c>
    </row>
    <row r="22" spans="1:17" x14ac:dyDescent="0.4">
      <c r="A22" s="51" t="s">
        <v>5</v>
      </c>
      <c r="B22" s="48">
        <f>IF(B$15=0,0,C22/B$15)</f>
        <v>8447.4267100977195</v>
      </c>
      <c r="C22" s="39">
        <v>12966800</v>
      </c>
      <c r="E22" s="59" t="s">
        <v>73</v>
      </c>
      <c r="F22" s="56" t="s">
        <v>28</v>
      </c>
      <c r="G22" s="44">
        <v>6</v>
      </c>
      <c r="H22" s="129">
        <f>IF(B$15=0,0,G22/B$15)</f>
        <v>3.9087947882736158E-3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-7.1688311688311641</v>
      </c>
      <c r="P22" s="115">
        <v>154</v>
      </c>
      <c r="Q22" s="103">
        <v>-1103.9999999999993</v>
      </c>
    </row>
    <row r="23" spans="1:17" x14ac:dyDescent="0.4">
      <c r="A23" s="52" t="s">
        <v>177</v>
      </c>
      <c r="B23" s="136">
        <f>IF($B$15-B$14=0,0,C23/($B$15-B$14))</f>
        <v>9055.0193050193047</v>
      </c>
      <c r="C23" s="137">
        <v>9381000</v>
      </c>
      <c r="E23" s="59" t="s">
        <v>74</v>
      </c>
      <c r="F23" s="56" t="s">
        <v>29</v>
      </c>
      <c r="G23" s="44">
        <v>6</v>
      </c>
      <c r="H23" s="129">
        <f>IF(B$15=0,0,G23/B$15)</f>
        <v>3.9087947882736158E-3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-12.774418604651162</v>
      </c>
      <c r="P23" s="115">
        <v>258</v>
      </c>
      <c r="Q23" s="103">
        <v>-3295.7999999999997</v>
      </c>
    </row>
    <row r="24" spans="1:17" x14ac:dyDescent="0.4">
      <c r="A24" s="52" t="s">
        <v>178</v>
      </c>
      <c r="B24" s="136">
        <f>IF(B$14=0,0,C24/B$14)</f>
        <v>7185.9719438877755</v>
      </c>
      <c r="C24" s="137">
        <v>3585800</v>
      </c>
      <c r="E24" s="59" t="s">
        <v>77</v>
      </c>
      <c r="F24" s="56" t="s">
        <v>32</v>
      </c>
      <c r="G24" s="44">
        <v>5</v>
      </c>
      <c r="H24" s="129">
        <f>IF(B$15=0,0,G24/B$15)</f>
        <v>3.2573289902280132E-3</v>
      </c>
      <c r="I24" s="90">
        <v>4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-7856.4193168433449</v>
      </c>
      <c r="C25" s="137">
        <v>-6670100</v>
      </c>
      <c r="E25" s="59" t="s">
        <v>85</v>
      </c>
      <c r="F25" s="56" t="s">
        <v>40</v>
      </c>
      <c r="G25" s="44">
        <v>5</v>
      </c>
      <c r="H25" s="129">
        <f>IF(B$15=0,0,G25/B$15)</f>
        <v>3.2573289902280132E-3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>IF(B$15=0,0,G26/B$15)</f>
        <v>3.2573289902280132E-3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0</v>
      </c>
      <c r="E27" s="59" t="s">
        <v>84</v>
      </c>
      <c r="F27" s="56" t="s">
        <v>39</v>
      </c>
      <c r="G27" s="44">
        <v>4</v>
      </c>
      <c r="H27" s="129">
        <f>IF(B$15=0,0,G27/B$15)</f>
        <v>2.6058631921824105E-3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>IF(B$15=0,0,G28/B$15)</f>
        <v>1.9543973941368079E-3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>IF(B$15=0,0,G29/B$15)</f>
        <v>1.9543973941368079E-3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14</v>
      </c>
      <c r="C30" s="40">
        <f>IF(B$3=0,0,B30/B$3)</f>
        <v>2.6943802925327174E-3</v>
      </c>
      <c r="E30" s="59" t="s">
        <v>87</v>
      </c>
      <c r="F30" s="56" t="s">
        <v>42</v>
      </c>
      <c r="G30" s="44">
        <v>2</v>
      </c>
      <c r="H30" s="129">
        <f>IF(B$15=0,0,G30/B$15)</f>
        <v>1.3029315960912053E-3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IF(B$15=0,0,G31/B$15)</f>
        <v>1.3029315960912053E-3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112</v>
      </c>
      <c r="C32" s="141">
        <f>IF(B$15=0,0,B32/B$15)</f>
        <v>7.2964169381107488E-2</v>
      </c>
      <c r="E32" s="59" t="s">
        <v>97</v>
      </c>
      <c r="F32" s="56" t="s">
        <v>52</v>
      </c>
      <c r="G32" s="44">
        <v>1</v>
      </c>
      <c r="H32" s="129">
        <f>IF(B$15=0,0,G32/B$15)</f>
        <v>6.5146579804560263E-4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255</v>
      </c>
      <c r="C33" s="37">
        <f t="shared" ref="C33:C44" si="2">IF(B$15=0,0,B33/B$15)</f>
        <v>0.16612377850162866</v>
      </c>
      <c r="E33" s="59" t="s">
        <v>101</v>
      </c>
      <c r="F33" s="56" t="s">
        <v>56</v>
      </c>
      <c r="G33" s="44">
        <v>1</v>
      </c>
      <c r="H33" s="129">
        <f>IF(B$15=0,0,G33/B$15)</f>
        <v>6.5146579804560263E-4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316</v>
      </c>
      <c r="C34" s="37">
        <f>IF(B$15=0,0,B34/B$15)</f>
        <v>0.20586319218241042</v>
      </c>
      <c r="E34" s="59" t="s">
        <v>106</v>
      </c>
      <c r="F34" s="56" t="s">
        <v>113</v>
      </c>
      <c r="G34" s="44">
        <v>1</v>
      </c>
      <c r="H34" s="129">
        <f>IF(B$15=0,0,G34/B$15)</f>
        <v>6.5146579804560263E-4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270</v>
      </c>
      <c r="C35" s="37">
        <f t="shared" si="2"/>
        <v>0.1758957654723127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244</v>
      </c>
      <c r="C36" s="37">
        <f t="shared" si="2"/>
        <v>0.15895765472312703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158</v>
      </c>
      <c r="C37" s="37">
        <f t="shared" si="2"/>
        <v>0.10293159609120521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83</v>
      </c>
      <c r="C38" s="37">
        <f t="shared" si="2"/>
        <v>5.4071661237785014E-2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43</v>
      </c>
      <c r="C39" s="37">
        <f t="shared" si="2"/>
        <v>2.8013029315960912E-2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2"/>
        <v>1.1726384364820847E-2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2"/>
        <v>4.560260586319218E-3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2"/>
        <v>3.2573289902280132E-3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2"/>
        <v>3.2573289902280132E-3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2"/>
        <v>1.2377850162866449E-2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  <row r="627" spans="11:12" x14ac:dyDescent="0.4">
      <c r="K627" s="36">
        <v>625</v>
      </c>
      <c r="L627" s="95">
        <v>42.299999999999955</v>
      </c>
    </row>
    <row r="628" spans="11:12" x14ac:dyDescent="0.4">
      <c r="K628" s="36">
        <v>626</v>
      </c>
      <c r="L628" s="95">
        <v>46.999999999999957</v>
      </c>
    </row>
    <row r="629" spans="11:12" x14ac:dyDescent="0.4">
      <c r="K629" s="36">
        <v>627</v>
      </c>
      <c r="L629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EF17-25D7-4110-8D60-EB4BD61E858F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>IF(B$15=0,0,G4/B$15)</f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IF(B$15=0,0,G5/B$15)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IF(B$15=0,0,G7/B$15)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IF(B$15=0,0,G8/B$15)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IF(B$15=0,0,G9/B$15)</f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IF(B$15=0,0,G10/B$15)</f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>IF(B$15=0,0,G11/B$15)</f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>IF(B$15=0,0,G12/B$15)</f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>IF(B$15=0,0,G13/B$15)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>IF(B$15=0,0,G14/B$15)</f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>IF(B$15=0,0,G15/B$15)</f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>IF(B$15=0,0,G16/B$15)</f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 t="shared" si="2"/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>IF(B$15=0,0,G17/B$15)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>IF(B$15=0,0,G18/B$15)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>IF(B$15=0,0,G19/B$15)</f>
        <v>7.575757575757576E-3</v>
      </c>
      <c r="I19" s="90">
        <v>4</v>
      </c>
      <c r="K19" s="36">
        <v>17</v>
      </c>
      <c r="L19" s="95">
        <v>-65.2</v>
      </c>
      <c r="N19" s="111" t="s">
        <v>172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>IF(B$15=0,0,G20/B$15)</f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 t="shared" si="2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>IF(B$15=0,0,G21/B$15)</f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 t="shared" si="2"/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>IF(B$15=0,0,G22/B$15)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3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3"/>
        <v>0.14393939393939395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3"/>
        <v>0.11363636363636363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3"/>
        <v>7.575757575757576E-2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3"/>
        <v>6.0606060606060608E-2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3"/>
        <v>3.0303030303030304E-2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3"/>
        <v>7.575757575757576E-3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E2:I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9E04-9DD6-44AA-ADDF-DE54A6C8B034}">
  <sheetPr codeName="Sheet9"/>
  <dimension ref="A1:Q13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129</v>
      </c>
      <c r="C2" s="155"/>
      <c r="E2" s="58" t="s">
        <v>66</v>
      </c>
      <c r="F2" s="55" t="s">
        <v>22</v>
      </c>
      <c r="G2" s="43">
        <v>242</v>
      </c>
      <c r="H2" s="128">
        <f>IF(B$15=0,0,G2/B$15)</f>
        <v>0.67597765363128492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1035.4330708661416</v>
      </c>
      <c r="P2" s="114">
        <v>127</v>
      </c>
      <c r="Q2" s="98">
        <v>131500</v>
      </c>
    </row>
    <row r="3" spans="1:17" x14ac:dyDescent="0.4">
      <c r="A3" s="51" t="s">
        <v>8</v>
      </c>
      <c r="B3" s="156">
        <v>1044</v>
      </c>
      <c r="C3" s="157"/>
      <c r="E3" s="59" t="s">
        <v>72</v>
      </c>
      <c r="F3" s="56" t="s">
        <v>27</v>
      </c>
      <c r="G3" s="44">
        <v>178</v>
      </c>
      <c r="H3" s="129">
        <f>IF(B$15=0,0,G3/B$15)</f>
        <v>0.4972067039106145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736.29032258064512</v>
      </c>
      <c r="P3" s="115">
        <v>124</v>
      </c>
      <c r="Q3" s="99">
        <v>91300</v>
      </c>
    </row>
    <row r="4" spans="1:17" x14ac:dyDescent="0.4">
      <c r="A4" s="51" t="s">
        <v>6</v>
      </c>
      <c r="B4" s="158">
        <v>1098.6000000000001</v>
      </c>
      <c r="C4" s="159"/>
      <c r="E4" s="59" t="s">
        <v>64</v>
      </c>
      <c r="F4" s="56" t="s">
        <v>20</v>
      </c>
      <c r="G4" s="44">
        <v>159</v>
      </c>
      <c r="H4" s="129">
        <f>IF(B$15=0,0,G4/B$15)</f>
        <v>0.44413407821229051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1049.579831932773</v>
      </c>
      <c r="P4" s="115">
        <v>119</v>
      </c>
      <c r="Q4" s="99">
        <v>124900</v>
      </c>
    </row>
    <row r="5" spans="1:17" x14ac:dyDescent="0.4">
      <c r="A5" s="51" t="s">
        <v>7</v>
      </c>
      <c r="B5" s="160">
        <f>IF(B$2=0,0,B$4/B$2)</f>
        <v>8.5162790697674424</v>
      </c>
      <c r="C5" s="161"/>
      <c r="E5" s="59" t="s">
        <v>166</v>
      </c>
      <c r="F5" s="56" t="s">
        <v>167</v>
      </c>
      <c r="G5" s="44">
        <v>131</v>
      </c>
      <c r="H5" s="129">
        <f>IF(B$15=0,0,G5/B$15)</f>
        <v>0.36592178770949718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262.72727272727275</v>
      </c>
      <c r="P5" s="115">
        <v>110</v>
      </c>
      <c r="Q5" s="99">
        <v>28900</v>
      </c>
    </row>
    <row r="6" spans="1:17" x14ac:dyDescent="0.4">
      <c r="A6" s="51" t="s">
        <v>1</v>
      </c>
      <c r="B6" s="150">
        <f>IF(B$2=0,0,(B$7*1+B$8*2+B$9*3)/B$2)</f>
        <v>1.7829457364341086</v>
      </c>
      <c r="C6" s="151"/>
      <c r="E6" s="59" t="s">
        <v>68</v>
      </c>
      <c r="F6" s="56" t="s">
        <v>12</v>
      </c>
      <c r="G6" s="44">
        <v>104</v>
      </c>
      <c r="H6" s="129">
        <f>IF(B$15=0,0,G6/B$15)</f>
        <v>0.29050279329608941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2164.4230769230771</v>
      </c>
      <c r="P6" s="115">
        <v>104</v>
      </c>
      <c r="Q6" s="99">
        <v>225100</v>
      </c>
    </row>
    <row r="7" spans="1:17" x14ac:dyDescent="0.4">
      <c r="A7" s="51" t="s">
        <v>2</v>
      </c>
      <c r="B7" s="44">
        <v>59</v>
      </c>
      <c r="C7" s="37">
        <f t="shared" ref="C7:C10" si="1">IF(B$2=0,0,B7/B$2)</f>
        <v>0.4573643410852713</v>
      </c>
      <c r="E7" s="59" t="s">
        <v>67</v>
      </c>
      <c r="F7" s="56" t="s">
        <v>23</v>
      </c>
      <c r="G7" s="44">
        <v>93</v>
      </c>
      <c r="H7" s="129">
        <f>IF(B$15=0,0,G7/B$15)</f>
        <v>0.25977653631284914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2211.9047619047619</v>
      </c>
      <c r="P7" s="116">
        <v>84</v>
      </c>
      <c r="Q7" s="100">
        <v>185800</v>
      </c>
    </row>
    <row r="8" spans="1:17" x14ac:dyDescent="0.4">
      <c r="A8" s="51" t="s">
        <v>3</v>
      </c>
      <c r="B8" s="44">
        <v>39</v>
      </c>
      <c r="C8" s="37">
        <f t="shared" si="1"/>
        <v>0.30232558139534882</v>
      </c>
      <c r="E8" s="59" t="s">
        <v>89</v>
      </c>
      <c r="F8" s="56" t="s">
        <v>44</v>
      </c>
      <c r="G8" s="44">
        <v>55</v>
      </c>
      <c r="H8" s="129">
        <f>IF(B$15=0,0,G8/B$15)</f>
        <v>0.15363128491620112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1"/>
        <v>0.24031007751937986</v>
      </c>
      <c r="E9" s="59" t="s">
        <v>69</v>
      </c>
      <c r="F9" s="56" t="s">
        <v>24</v>
      </c>
      <c r="G9" s="44">
        <v>54</v>
      </c>
      <c r="H9" s="129">
        <f>IF(B$15=0,0,G9/B$15)</f>
        <v>0.15083798882681565</v>
      </c>
      <c r="I9" s="90">
        <v>4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1"/>
        <v>3.875968992248062E-2</v>
      </c>
      <c r="E10" s="59" t="s">
        <v>65</v>
      </c>
      <c r="F10" s="56" t="s">
        <v>21</v>
      </c>
      <c r="G10" s="44">
        <v>42</v>
      </c>
      <c r="H10" s="129">
        <f>IF(B$15=0,0,G10/B$15)</f>
        <v>0.11731843575418995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4" t="s">
        <v>121</v>
      </c>
      <c r="B11" s="47">
        <v>284</v>
      </c>
      <c r="C11" s="42">
        <f>IF(B$3=0,0,B11/B$3)</f>
        <v>0.27203065134099619</v>
      </c>
      <c r="E11" s="59" t="s">
        <v>71</v>
      </c>
      <c r="F11" s="56" t="s">
        <v>26</v>
      </c>
      <c r="G11" s="44">
        <v>24</v>
      </c>
      <c r="H11" s="129">
        <f>IF(B$15=0,0,G11/B$15)</f>
        <v>6.7039106145251395E-2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1" t="s">
        <v>118</v>
      </c>
      <c r="B12" s="44">
        <v>238</v>
      </c>
      <c r="C12" s="37">
        <f>IF(B$3=0,0,B12/B$3)</f>
        <v>0.22796934865900384</v>
      </c>
      <c r="E12" s="59" t="s">
        <v>86</v>
      </c>
      <c r="F12" s="56" t="s">
        <v>41</v>
      </c>
      <c r="G12" s="44">
        <v>23</v>
      </c>
      <c r="H12" s="129">
        <f>IF(B$15=0,0,G12/B$15)</f>
        <v>6.4245810055865923E-2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11.841666666666663</v>
      </c>
      <c r="P12" s="116">
        <v>48</v>
      </c>
      <c r="Q12" s="104">
        <v>568.39999999999986</v>
      </c>
    </row>
    <row r="13" spans="1:17" x14ac:dyDescent="0.4">
      <c r="A13" s="50" t="s">
        <v>123</v>
      </c>
      <c r="B13" s="43">
        <f>B19</f>
        <v>169</v>
      </c>
      <c r="C13" s="35">
        <f>IF(B$11=0,0,B13/B$11)</f>
        <v>0.59507042253521125</v>
      </c>
      <c r="E13" s="59" t="s">
        <v>70</v>
      </c>
      <c r="F13" s="56" t="s">
        <v>25</v>
      </c>
      <c r="G13" s="44">
        <v>20</v>
      </c>
      <c r="H13" s="129">
        <f>IF(B$15=0,0,G13/B$15)</f>
        <v>5.5865921787709494E-2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114</v>
      </c>
      <c r="C14" s="35">
        <f>IF(B$12=0,0,B14/B$12)</f>
        <v>0.47899159663865548</v>
      </c>
      <c r="E14" s="59" t="s">
        <v>83</v>
      </c>
      <c r="F14" s="56" t="s">
        <v>38</v>
      </c>
      <c r="G14" s="44">
        <v>16</v>
      </c>
      <c r="H14" s="129">
        <f>IF(B$15=0,0,G14/B$15)</f>
        <v>4.4692737430167599E-2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358</v>
      </c>
      <c r="C15" s="35">
        <f>IF(B$3=0,0,B15/B$3)</f>
        <v>0.34291187739463602</v>
      </c>
      <c r="E15" s="59" t="s">
        <v>78</v>
      </c>
      <c r="F15" s="56" t="s">
        <v>33</v>
      </c>
      <c r="G15" s="44">
        <v>14</v>
      </c>
      <c r="H15" s="129">
        <f>IF(B$15=0,0,G15/B$15)</f>
        <v>3.9106145251396648E-2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136</v>
      </c>
      <c r="C16" s="37">
        <f>IF(B$3=0,0,B16/B$3)</f>
        <v>0.13026819923371646</v>
      </c>
      <c r="E16" s="59" t="s">
        <v>162</v>
      </c>
      <c r="F16" s="56" t="s">
        <v>163</v>
      </c>
      <c r="G16" s="44">
        <v>13</v>
      </c>
      <c r="H16" s="129">
        <f>IF(B$15=0,0,G16/B$15)</f>
        <v>3.6312849162011177E-2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153</v>
      </c>
      <c r="C17" s="37">
        <f>IF(B$15=0,0,B17/B$15)</f>
        <v>0.42737430167597767</v>
      </c>
      <c r="E17" s="59" t="s">
        <v>75</v>
      </c>
      <c r="F17" s="56" t="s">
        <v>30</v>
      </c>
      <c r="G17" s="44">
        <v>3</v>
      </c>
      <c r="H17" s="129">
        <f>IF(B$15=0,0,G17/B$15)</f>
        <v>8.3798882681564244E-3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205</v>
      </c>
      <c r="C18" s="37">
        <f>IF(B$15=0,0,B18/B$15)</f>
        <v>0.57262569832402233</v>
      </c>
      <c r="E18" s="59" t="s">
        <v>77</v>
      </c>
      <c r="F18" s="56" t="s">
        <v>32</v>
      </c>
      <c r="G18" s="44">
        <v>3</v>
      </c>
      <c r="H18" s="129">
        <f>IF(B$15=0,0,G18/B$15)</f>
        <v>8.3798882681564244E-3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17.25434782608696</v>
      </c>
      <c r="P18" s="115">
        <v>46</v>
      </c>
      <c r="Q18" s="103">
        <v>793.70000000000016</v>
      </c>
    </row>
    <row r="19" spans="1:17" x14ac:dyDescent="0.4">
      <c r="A19" s="51" t="s">
        <v>197</v>
      </c>
      <c r="B19" s="44">
        <v>169</v>
      </c>
      <c r="C19" s="37">
        <f>IF(B$15=0,0,B19/B$15)</f>
        <v>0.47206703910614523</v>
      </c>
      <c r="E19" s="59" t="s">
        <v>84</v>
      </c>
      <c r="F19" s="56" t="s">
        <v>39</v>
      </c>
      <c r="G19" s="44">
        <v>3</v>
      </c>
      <c r="H19" s="129">
        <f>IF(B$15=0,0,G19/B$15)</f>
        <v>8.3798882681564244E-3</v>
      </c>
      <c r="I19" s="90">
        <v>1</v>
      </c>
      <c r="K19" s="36">
        <v>17</v>
      </c>
      <c r="L19" s="95">
        <v>359.09999999999991</v>
      </c>
      <c r="N19" s="111" t="s">
        <v>127</v>
      </c>
      <c r="O19" s="121">
        <f>IF(P19=0,0,Q19/P19)</f>
        <v>14.002531645569624</v>
      </c>
      <c r="P19" s="115">
        <v>79</v>
      </c>
      <c r="Q19" s="103">
        <v>1106.2000000000003</v>
      </c>
    </row>
    <row r="20" spans="1:17" x14ac:dyDescent="0.4">
      <c r="A20" s="51" t="s">
        <v>195</v>
      </c>
      <c r="B20" s="44">
        <v>114</v>
      </c>
      <c r="C20" s="37">
        <f>IF(B$15=0,0,B20/B$15)</f>
        <v>0.31843575418994413</v>
      </c>
      <c r="E20" s="59" t="s">
        <v>92</v>
      </c>
      <c r="F20" s="56" t="s">
        <v>47</v>
      </c>
      <c r="G20" s="44">
        <v>3</v>
      </c>
      <c r="H20" s="129">
        <f>IF(B$15=0,0,G20/B$15)</f>
        <v>8.3798882681564244E-3</v>
      </c>
      <c r="I20" s="90">
        <v>3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75</v>
      </c>
      <c r="C21" s="37">
        <f>IF(B$15=0,0,B21/B$15)</f>
        <v>0.20949720670391062</v>
      </c>
      <c r="E21" s="59" t="s">
        <v>79</v>
      </c>
      <c r="F21" s="56" t="s">
        <v>34</v>
      </c>
      <c r="G21" s="44">
        <v>2</v>
      </c>
      <c r="H21" s="129">
        <f>IF(B$15=0,0,G21/B$15)</f>
        <v>5.5865921787709499E-3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>IF(P21=0,0,Q21/P21)</f>
        <v>-7.2586206896551726</v>
      </c>
      <c r="P21" s="115">
        <v>29</v>
      </c>
      <c r="Q21" s="103">
        <v>-210.5</v>
      </c>
    </row>
    <row r="22" spans="1:17" x14ac:dyDescent="0.4">
      <c r="A22" s="51" t="s">
        <v>5</v>
      </c>
      <c r="B22" s="48">
        <f>IF(B$15=0,0,C22/B$15)</f>
        <v>8222.0670391061449</v>
      </c>
      <c r="C22" s="39">
        <v>2943500</v>
      </c>
      <c r="E22" s="59" t="s">
        <v>81</v>
      </c>
      <c r="F22" s="56" t="s">
        <v>36</v>
      </c>
      <c r="G22" s="44">
        <v>2</v>
      </c>
      <c r="H22" s="129">
        <f>IF(B$15=0,0,G22/B$15)</f>
        <v>5.5865921787709499E-3</v>
      </c>
      <c r="I22" s="90">
        <v>9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8541.8032786885251</v>
      </c>
      <c r="C23" s="137">
        <v>2084200</v>
      </c>
      <c r="E23" s="59" t="s">
        <v>85</v>
      </c>
      <c r="F23" s="56" t="s">
        <v>40</v>
      </c>
      <c r="G23" s="44">
        <v>2</v>
      </c>
      <c r="H23" s="129">
        <f>IF(B$15=0,0,G23/B$15)</f>
        <v>5.5865921787709499E-3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7537.7192982456145</v>
      </c>
      <c r="C24" s="137">
        <v>859300</v>
      </c>
      <c r="E24" s="59" t="s">
        <v>88</v>
      </c>
      <c r="F24" s="56" t="s">
        <v>43</v>
      </c>
      <c r="G24" s="44">
        <v>2</v>
      </c>
      <c r="H24" s="129">
        <f>IF(B$15=0,0,G24/B$15)</f>
        <v>5.5865921787709499E-3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-7851.4705882352937</v>
      </c>
      <c r="C25" s="137">
        <v>-1067800</v>
      </c>
      <c r="E25" s="59" t="s">
        <v>91</v>
      </c>
      <c r="F25" s="56" t="s">
        <v>46</v>
      </c>
      <c r="G25" s="44">
        <v>2</v>
      </c>
      <c r="H25" s="129">
        <f>IF(B$15=0,0,G25/B$15)</f>
        <v>5.5865921787709499E-3</v>
      </c>
      <c r="I25" s="90">
        <v>8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3</v>
      </c>
      <c r="E26" s="59" t="s">
        <v>74</v>
      </c>
      <c r="F26" s="56" t="s">
        <v>29</v>
      </c>
      <c r="G26" s="44">
        <v>1</v>
      </c>
      <c r="H26" s="129">
        <f>IF(B$15=0,0,G26/B$15)</f>
        <v>2.7932960893854749E-3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3</v>
      </c>
      <c r="E27" s="59" t="s">
        <v>90</v>
      </c>
      <c r="F27" s="56" t="s">
        <v>45</v>
      </c>
      <c r="G27" s="44">
        <v>1</v>
      </c>
      <c r="H27" s="129">
        <f>IF(B$15=0,0,G27/B$15)</f>
        <v>2.7932960893854749E-3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2.7932960893854749E-3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2.7932960893854749E-3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9.5785440613026815E-4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29</v>
      </c>
      <c r="C32" s="141">
        <f>IF(B$15=0,0,B32/B$15)</f>
        <v>8.1005586592178769E-2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2">IF(B$15=0,0,B33/B$15)</f>
        <v>0.1787709497206704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78</v>
      </c>
      <c r="C34" s="37">
        <f>IF(B$15=0,0,B34/B$15)</f>
        <v>0.21787709497206703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68</v>
      </c>
      <c r="C35" s="37">
        <f t="shared" si="2"/>
        <v>0.18994413407821228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50</v>
      </c>
      <c r="C36" s="37">
        <f t="shared" si="2"/>
        <v>0.13966480446927373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36</v>
      </c>
      <c r="C37" s="37">
        <f t="shared" si="2"/>
        <v>0.1005586592178771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16</v>
      </c>
      <c r="C38" s="37">
        <f t="shared" si="2"/>
        <v>4.4692737430167599E-2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4</v>
      </c>
      <c r="C39" s="37">
        <f t="shared" si="2"/>
        <v>1.11731843575419E-2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2"/>
        <v>1.9553072625698324E-2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2"/>
        <v>2.7932960893854749E-3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2"/>
        <v>1.3966480446927373E-2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  <row r="131" spans="11:12" x14ac:dyDescent="0.4">
      <c r="K131" s="36">
        <v>129</v>
      </c>
      <c r="L131" s="95">
        <v>1098.6000000000001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222F-B09B-4BAC-A772-4E30025830DF}">
  <sheetPr codeName="Sheet11"/>
  <dimension ref="A1:Q11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117</v>
      </c>
      <c r="C2" s="155"/>
      <c r="E2" s="58" t="s">
        <v>66</v>
      </c>
      <c r="F2" s="55" t="s">
        <v>22</v>
      </c>
      <c r="G2" s="43">
        <v>255</v>
      </c>
      <c r="H2" s="128">
        <f>IF(B$15=0,0,G2/B$15)</f>
        <v>0.85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-1617.2413793103449</v>
      </c>
      <c r="P2" s="114">
        <v>116</v>
      </c>
      <c r="Q2" s="98">
        <v>-187600</v>
      </c>
    </row>
    <row r="3" spans="1:17" x14ac:dyDescent="0.4">
      <c r="A3" s="51" t="s">
        <v>8</v>
      </c>
      <c r="B3" s="156">
        <v>981</v>
      </c>
      <c r="C3" s="157"/>
      <c r="E3" s="59" t="s">
        <v>72</v>
      </c>
      <c r="F3" s="56" t="s">
        <v>27</v>
      </c>
      <c r="G3" s="44">
        <v>174</v>
      </c>
      <c r="H3" s="129">
        <f>IF(B$15=0,0,G3/B$15)</f>
        <v>0.57999999999999996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1759.6491228070176</v>
      </c>
      <c r="P3" s="115">
        <v>114</v>
      </c>
      <c r="Q3" s="99">
        <v>200600</v>
      </c>
    </row>
    <row r="4" spans="1:17" x14ac:dyDescent="0.4">
      <c r="A4" s="51" t="s">
        <v>6</v>
      </c>
      <c r="B4" s="158">
        <v>94.499999999999773</v>
      </c>
      <c r="C4" s="159"/>
      <c r="E4" s="59" t="s">
        <v>166</v>
      </c>
      <c r="F4" s="56" t="s">
        <v>167</v>
      </c>
      <c r="G4" s="44">
        <v>121</v>
      </c>
      <c r="H4" s="129">
        <f>IF(B$15=0,0,G4/B$15)</f>
        <v>0.40333333333333332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-80.952380952380949</v>
      </c>
      <c r="P4" s="115">
        <v>105</v>
      </c>
      <c r="Q4" s="99">
        <v>-8500</v>
      </c>
    </row>
    <row r="5" spans="1:17" x14ac:dyDescent="0.4">
      <c r="A5" s="51" t="s">
        <v>7</v>
      </c>
      <c r="B5" s="160">
        <f>IF(B$2=0,0,B$4/B$2)</f>
        <v>0.80769230769230571</v>
      </c>
      <c r="C5" s="161"/>
      <c r="E5" s="59" t="s">
        <v>64</v>
      </c>
      <c r="F5" s="56" t="s">
        <v>20</v>
      </c>
      <c r="G5" s="44">
        <v>113</v>
      </c>
      <c r="H5" s="129">
        <f>IF(B$15=0,0,G5/B$15)</f>
        <v>0.37666666666666665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902.02020202020196</v>
      </c>
      <c r="P5" s="115">
        <v>99</v>
      </c>
      <c r="Q5" s="99">
        <v>89300</v>
      </c>
    </row>
    <row r="6" spans="1:17" x14ac:dyDescent="0.4">
      <c r="A6" s="51" t="s">
        <v>1</v>
      </c>
      <c r="B6" s="150">
        <f>IF(B$2=0,0,(B$7*1+B$8*2+B$9*3)/B$2)</f>
        <v>1.9487179487179487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0.26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-1258.695652173913</v>
      </c>
      <c r="P6" s="115">
        <v>92</v>
      </c>
      <c r="Q6" s="99">
        <v>-115800</v>
      </c>
    </row>
    <row r="7" spans="1:17" x14ac:dyDescent="0.4">
      <c r="A7" s="51" t="s">
        <v>2</v>
      </c>
      <c r="B7" s="44">
        <v>41</v>
      </c>
      <c r="C7" s="37">
        <f t="shared" ref="C7:C10" si="1">IF(B$2=0,0,B7/B$2)</f>
        <v>0.3504273504273504</v>
      </c>
      <c r="E7" s="59" t="s">
        <v>67</v>
      </c>
      <c r="F7" s="56" t="s">
        <v>23</v>
      </c>
      <c r="G7" s="44">
        <v>61</v>
      </c>
      <c r="H7" s="129">
        <f>IF(B$15=0,0,G7/B$15)</f>
        <v>0.20333333333333334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1484.6153846153845</v>
      </c>
      <c r="P7" s="116">
        <v>78</v>
      </c>
      <c r="Q7" s="100">
        <v>115800</v>
      </c>
    </row>
    <row r="8" spans="1:17" x14ac:dyDescent="0.4">
      <c r="A8" s="51" t="s">
        <v>3</v>
      </c>
      <c r="B8" s="44">
        <v>41</v>
      </c>
      <c r="C8" s="37">
        <f t="shared" si="1"/>
        <v>0.3504273504273504</v>
      </c>
      <c r="E8" s="59" t="s">
        <v>89</v>
      </c>
      <c r="F8" s="56" t="s">
        <v>44</v>
      </c>
      <c r="G8" s="44">
        <v>37</v>
      </c>
      <c r="H8" s="129">
        <f>IF(B$15=0,0,G8/B$15)</f>
        <v>0.12333333333333334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1"/>
        <v>0.29914529914529914</v>
      </c>
      <c r="E9" s="59" t="s">
        <v>69</v>
      </c>
      <c r="F9" s="56" t="s">
        <v>24</v>
      </c>
      <c r="G9" s="44">
        <v>34</v>
      </c>
      <c r="H9" s="129">
        <f>IF(B$15=0,0,G9/B$15)</f>
        <v>0.11333333333333333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1"/>
        <v>0.13675213675213677</v>
      </c>
      <c r="E10" s="59" t="s">
        <v>71</v>
      </c>
      <c r="F10" s="56" t="s">
        <v>26</v>
      </c>
      <c r="G10" s="44">
        <v>28</v>
      </c>
      <c r="H10" s="129">
        <f>IF(B$15=0,0,G10/B$15)</f>
        <v>9.3333333333333338E-2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-0.12580645161290249</v>
      </c>
      <c r="P10" s="114">
        <v>31</v>
      </c>
      <c r="Q10" s="102">
        <v>-3.8999999999999773</v>
      </c>
    </row>
    <row r="11" spans="1:17" x14ac:dyDescent="0.4">
      <c r="A11" s="54" t="s">
        <v>121</v>
      </c>
      <c r="B11" s="47">
        <v>223</v>
      </c>
      <c r="C11" s="42">
        <f>IF(B$3=0,0,B11/B$3)</f>
        <v>0.22731906218144751</v>
      </c>
      <c r="E11" s="59" t="s">
        <v>65</v>
      </c>
      <c r="F11" s="56" t="s">
        <v>21</v>
      </c>
      <c r="G11" s="44">
        <v>26</v>
      </c>
      <c r="H11" s="129">
        <f>IF(B$15=0,0,G11/B$15)</f>
        <v>8.666666666666667E-2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1" t="s">
        <v>118</v>
      </c>
      <c r="B12" s="44">
        <v>306</v>
      </c>
      <c r="C12" s="37">
        <f>IF(B$3=0,0,B12/B$3)</f>
        <v>0.31192660550458717</v>
      </c>
      <c r="E12" s="59" t="s">
        <v>70</v>
      </c>
      <c r="F12" s="56" t="s">
        <v>25</v>
      </c>
      <c r="G12" s="44">
        <v>25</v>
      </c>
      <c r="H12" s="129">
        <f>IF(B$15=0,0,G12/B$15)</f>
        <v>8.3333333333333329E-2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0" t="s">
        <v>123</v>
      </c>
      <c r="B13" s="43">
        <f>B19</f>
        <v>111</v>
      </c>
      <c r="C13" s="35">
        <f>IF(B$11=0,0,B13/B$11)</f>
        <v>0.49775784753363228</v>
      </c>
      <c r="E13" s="59" t="s">
        <v>86</v>
      </c>
      <c r="F13" s="56" t="s">
        <v>41</v>
      </c>
      <c r="G13" s="44">
        <v>20</v>
      </c>
      <c r="H13" s="129">
        <f>IF(B$15=0,0,G13/B$15)</f>
        <v>6.6666666666666666E-2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116</v>
      </c>
      <c r="C14" s="35">
        <f>IF(B$12=0,0,B14/B$12)</f>
        <v>0.37908496732026142</v>
      </c>
      <c r="E14" s="59" t="s">
        <v>83</v>
      </c>
      <c r="F14" s="56" t="s">
        <v>38</v>
      </c>
      <c r="G14" s="44">
        <v>19</v>
      </c>
      <c r="H14" s="129">
        <f>IF(B$15=0,0,G14/B$15)</f>
        <v>6.3333333333333339E-2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300</v>
      </c>
      <c r="C15" s="35">
        <f>IF(B$3=0,0,B15/B$3)</f>
        <v>0.3058103975535168</v>
      </c>
      <c r="E15" s="59" t="s">
        <v>78</v>
      </c>
      <c r="F15" s="56" t="s">
        <v>33</v>
      </c>
      <c r="G15" s="44">
        <v>9</v>
      </c>
      <c r="H15" s="129">
        <f>IF(B$15=0,0,G15/B$15)</f>
        <v>0.03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187</v>
      </c>
      <c r="C16" s="37">
        <f>IF(B$3=0,0,B16/B$3)</f>
        <v>0.19062181447502549</v>
      </c>
      <c r="E16" s="59" t="s">
        <v>91</v>
      </c>
      <c r="F16" s="56" t="s">
        <v>46</v>
      </c>
      <c r="G16" s="44">
        <v>9</v>
      </c>
      <c r="H16" s="129">
        <f>IF(B$15=0,0,G16/B$15)</f>
        <v>0.03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122</v>
      </c>
      <c r="C17" s="37">
        <f>IF(B$15=0,0,B17/B$15)</f>
        <v>0.40666666666666668</v>
      </c>
      <c r="E17" s="59" t="s">
        <v>81</v>
      </c>
      <c r="F17" s="56" t="s">
        <v>36</v>
      </c>
      <c r="G17" s="44">
        <v>8</v>
      </c>
      <c r="H17" s="129">
        <f>IF(B$15=0,0,G17/B$15)</f>
        <v>2.6666666666666668E-2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15.53513513513513</v>
      </c>
      <c r="P17" s="115">
        <v>37</v>
      </c>
      <c r="Q17" s="103">
        <v>574.79999999999984</v>
      </c>
    </row>
    <row r="18" spans="1:17" x14ac:dyDescent="0.4">
      <c r="A18" s="51" t="s">
        <v>11</v>
      </c>
      <c r="B18" s="44">
        <v>178</v>
      </c>
      <c r="C18" s="37">
        <f>IF(B$15=0,0,B18/B$15)</f>
        <v>0.59333333333333338</v>
      </c>
      <c r="E18" s="59" t="s">
        <v>79</v>
      </c>
      <c r="F18" s="56" t="s">
        <v>34</v>
      </c>
      <c r="G18" s="44">
        <v>5</v>
      </c>
      <c r="H18" s="129">
        <f>IF(B$15=0,0,G18/B$15)</f>
        <v>1.6666666666666666E-2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111</v>
      </c>
      <c r="C19" s="37">
        <f>IF(B$15=0,0,B19/B$15)</f>
        <v>0.37</v>
      </c>
      <c r="E19" s="59" t="s">
        <v>92</v>
      </c>
      <c r="F19" s="56" t="s">
        <v>47</v>
      </c>
      <c r="G19" s="44">
        <v>3</v>
      </c>
      <c r="H19" s="129">
        <f>IF(B$15=0,0,G19/B$15)</f>
        <v>0.01</v>
      </c>
      <c r="I19" s="90">
        <v>2</v>
      </c>
      <c r="K19" s="36">
        <v>17</v>
      </c>
      <c r="L19" s="95">
        <v>-179.70000000000002</v>
      </c>
      <c r="N19" s="111" t="s">
        <v>161</v>
      </c>
      <c r="O19" s="121">
        <f>IF(P19=0,0,Q19/P19)</f>
        <v>6.1159999999999988</v>
      </c>
      <c r="P19" s="115">
        <v>25</v>
      </c>
      <c r="Q19" s="103">
        <v>152.89999999999998</v>
      </c>
    </row>
    <row r="20" spans="1:17" x14ac:dyDescent="0.4">
      <c r="A20" s="51" t="s">
        <v>195</v>
      </c>
      <c r="B20" s="44">
        <v>116</v>
      </c>
      <c r="C20" s="37">
        <f>IF(B$15=0,0,B20/B$15)</f>
        <v>0.38666666666666666</v>
      </c>
      <c r="E20" s="59" t="s">
        <v>162</v>
      </c>
      <c r="F20" s="56" t="s">
        <v>163</v>
      </c>
      <c r="G20" s="44">
        <v>3</v>
      </c>
      <c r="H20" s="129">
        <f>IF(B$15=0,0,G20/B$15)</f>
        <v>0.01</v>
      </c>
      <c r="I20" s="90">
        <v>7</v>
      </c>
      <c r="K20" s="36">
        <v>18</v>
      </c>
      <c r="L20" s="95">
        <v>-112.90000000000002</v>
      </c>
      <c r="N20" s="111" t="s">
        <v>170</v>
      </c>
      <c r="O20" s="121">
        <f>IF(P20=0,0,Q20/P20)</f>
        <v>5.0818181818181865</v>
      </c>
      <c r="P20" s="115">
        <v>33</v>
      </c>
      <c r="Q20" s="103">
        <v>167.70000000000016</v>
      </c>
    </row>
    <row r="21" spans="1:17" x14ac:dyDescent="0.4">
      <c r="A21" s="51" t="s">
        <v>196</v>
      </c>
      <c r="B21" s="44">
        <v>73</v>
      </c>
      <c r="C21" s="37">
        <f>IF(B$15=0,0,B21/B$15)</f>
        <v>0.24333333333333335</v>
      </c>
      <c r="E21" s="59" t="s">
        <v>74</v>
      </c>
      <c r="F21" s="56" t="s">
        <v>29</v>
      </c>
      <c r="G21" s="44">
        <v>2</v>
      </c>
      <c r="H21" s="129">
        <f>IF(B$15=0,0,G21/B$15)</f>
        <v>6.6666666666666671E-3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8488.3333333333339</v>
      </c>
      <c r="C22" s="39">
        <v>2546500</v>
      </c>
      <c r="E22" s="59" t="s">
        <v>75</v>
      </c>
      <c r="F22" s="56" t="s">
        <v>30</v>
      </c>
      <c r="G22" s="44">
        <v>2</v>
      </c>
      <c r="H22" s="129">
        <f>IF(B$15=0,0,G22/B$15)</f>
        <v>6.6666666666666671E-3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-14.002531645569624</v>
      </c>
      <c r="P22" s="115">
        <v>79</v>
      </c>
      <c r="Q22" s="103">
        <v>-1106.2000000000003</v>
      </c>
    </row>
    <row r="23" spans="1:17" x14ac:dyDescent="0.4">
      <c r="A23" s="52" t="s">
        <v>177</v>
      </c>
      <c r="B23" s="136">
        <f>IF($B$15-B$14=0,0,C23/($B$15-B$14))</f>
        <v>9095.652173913044</v>
      </c>
      <c r="C23" s="137">
        <v>1673600</v>
      </c>
      <c r="E23" s="59" t="s">
        <v>73</v>
      </c>
      <c r="F23" s="56" t="s">
        <v>28</v>
      </c>
      <c r="G23" s="44">
        <v>1</v>
      </c>
      <c r="H23" s="129">
        <f>IF(B$15=0,0,G23/B$15)</f>
        <v>3.3333333333333335E-3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7525</v>
      </c>
      <c r="C24" s="137">
        <v>872900</v>
      </c>
      <c r="E24" s="59" t="s">
        <v>77</v>
      </c>
      <c r="F24" s="56" t="s">
        <v>32</v>
      </c>
      <c r="G24" s="44">
        <v>1</v>
      </c>
      <c r="H24" s="129">
        <f>IF(B$15=0,0,G24/B$15)</f>
        <v>3.3333333333333335E-3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-8026.7379679144387</v>
      </c>
      <c r="C25" s="137">
        <v>-1501000</v>
      </c>
      <c r="E25" s="59" t="s">
        <v>84</v>
      </c>
      <c r="F25" s="56" t="s">
        <v>39</v>
      </c>
      <c r="G25" s="44">
        <v>1</v>
      </c>
      <c r="H25" s="129">
        <f>IF(B$15=0,0,G25/B$15)</f>
        <v>3.3333333333333335E-3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95</v>
      </c>
      <c r="F26" s="56" t="s">
        <v>50</v>
      </c>
      <c r="G26" s="44">
        <v>1</v>
      </c>
      <c r="H26" s="129">
        <f>IF(B$15=0,0,G26/B$15)</f>
        <v>3.3333333333333335E-3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0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3</v>
      </c>
      <c r="C30" s="40">
        <f>IF(B$3=0,0,B30/B$3)</f>
        <v>3.0581039755351682E-3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20</v>
      </c>
      <c r="C32" s="141">
        <f>IF(B$15=0,0,B32/B$15)</f>
        <v>6.6666666666666666E-2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46</v>
      </c>
      <c r="C33" s="37">
        <f t="shared" ref="C33:C44" si="2">IF(B$15=0,0,B33/B$15)</f>
        <v>0.15333333333333332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67</v>
      </c>
      <c r="C34" s="37">
        <f>IF(B$15=0,0,B34/B$15)</f>
        <v>0.22333333333333333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60</v>
      </c>
      <c r="C35" s="37">
        <f t="shared" si="2"/>
        <v>0.2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45</v>
      </c>
      <c r="C36" s="37">
        <f t="shared" si="2"/>
        <v>0.15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32</v>
      </c>
      <c r="C37" s="37">
        <f t="shared" si="2"/>
        <v>0.10666666666666667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2"/>
        <v>3.3333333333333333E-2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2"/>
        <v>2.6666666666666668E-2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2"/>
        <v>1.6666666666666666E-2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2"/>
        <v>3.3333333333333335E-3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2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2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B401F-6890-4036-BA36-15791E5B6564}">
  <sheetPr codeName="Sheet13"/>
  <dimension ref="A1:Q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72</v>
      </c>
      <c r="C2" s="155"/>
      <c r="E2" s="58" t="s">
        <v>66</v>
      </c>
      <c r="F2" s="55" t="s">
        <v>22</v>
      </c>
      <c r="G2" s="43">
        <v>131</v>
      </c>
      <c r="H2" s="128">
        <f>IF(B$15=0,0,G2/B$15)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>IF(B$15=0,0,G3/B$15)</f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>IF(B$15=0,0,G4/B$15)</f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-6.7333333333333334</v>
      </c>
      <c r="C5" s="161"/>
      <c r="E5" s="59" t="s">
        <v>166</v>
      </c>
      <c r="F5" s="56" t="s">
        <v>167</v>
      </c>
      <c r="G5" s="44">
        <v>71</v>
      </c>
      <c r="H5" s="129">
        <f>IF(B$15=0,0,G5/B$15)</f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2.1527777777777777</v>
      </c>
      <c r="C6" s="151"/>
      <c r="E6" s="59" t="s">
        <v>68</v>
      </c>
      <c r="F6" s="56" t="s">
        <v>12</v>
      </c>
      <c r="G6" s="44">
        <v>60</v>
      </c>
      <c r="H6" s="129">
        <f>IF(B$15=0,0,G6/B$15)</f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17</v>
      </c>
      <c r="C7" s="37">
        <f t="shared" ref="C7:C10" si="1">IF(B$2=0,0,B7/B$2)</f>
        <v>0.2361111111111111</v>
      </c>
      <c r="E7" s="59" t="s">
        <v>67</v>
      </c>
      <c r="F7" s="56" t="s">
        <v>23</v>
      </c>
      <c r="G7" s="44">
        <v>49</v>
      </c>
      <c r="H7" s="129">
        <f>IF(B$15=0,0,G7/B$15)</f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1"/>
        <v>0.375</v>
      </c>
      <c r="E8" s="59" t="s">
        <v>70</v>
      </c>
      <c r="F8" s="56" t="s">
        <v>25</v>
      </c>
      <c r="G8" s="44">
        <v>25</v>
      </c>
      <c r="H8" s="129">
        <f>IF(B$15=0,0,G8/B$15)</f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0.3888888888888889</v>
      </c>
      <c r="E9" s="59" t="s">
        <v>69</v>
      </c>
      <c r="F9" s="56" t="s">
        <v>24</v>
      </c>
      <c r="G9" s="44">
        <v>24</v>
      </c>
      <c r="H9" s="129">
        <f>IF(B$15=0,0,G9/B$15)</f>
        <v>0.14285714285714285</v>
      </c>
      <c r="I9" s="90">
        <v>6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8.3333333333333329E-2</v>
      </c>
      <c r="E10" s="59" t="s">
        <v>65</v>
      </c>
      <c r="F10" s="56" t="s">
        <v>21</v>
      </c>
      <c r="G10" s="44">
        <v>20</v>
      </c>
      <c r="H10" s="129">
        <f>IF(B$15=0,0,G10/B$15)</f>
        <v>0.11904761904761904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4" t="s">
        <v>121</v>
      </c>
      <c r="B11" s="47">
        <v>172</v>
      </c>
      <c r="C11" s="42">
        <f>IF(B$3=0,0,B11/B$3)</f>
        <v>0.28524046434494194</v>
      </c>
      <c r="E11" s="59" t="s">
        <v>89</v>
      </c>
      <c r="F11" s="56" t="s">
        <v>44</v>
      </c>
      <c r="G11" s="44">
        <v>20</v>
      </c>
      <c r="H11" s="129">
        <f>IF(B$15=0,0,G11/B$15)</f>
        <v>0.11904761904761904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1" t="s">
        <v>118</v>
      </c>
      <c r="B12" s="44">
        <v>116</v>
      </c>
      <c r="C12" s="37">
        <f>IF(B$3=0,0,B12/B$3)</f>
        <v>0.19237147595356552</v>
      </c>
      <c r="E12" s="59" t="s">
        <v>83</v>
      </c>
      <c r="F12" s="56" t="s">
        <v>38</v>
      </c>
      <c r="G12" s="44">
        <v>10</v>
      </c>
      <c r="H12" s="129">
        <f>IF(B$15=0,0,G12/B$15)</f>
        <v>5.9523809523809521E-2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99</v>
      </c>
      <c r="C13" s="35">
        <f>IF(B$11=0,0,B13/B$11)</f>
        <v>0.57558139534883723</v>
      </c>
      <c r="E13" s="59" t="s">
        <v>71</v>
      </c>
      <c r="F13" s="56" t="s">
        <v>26</v>
      </c>
      <c r="G13" s="44">
        <v>7</v>
      </c>
      <c r="H13" s="129">
        <f>IF(B$15=0,0,G13/B$15)</f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0.40517241379310343</v>
      </c>
      <c r="E14" s="59" t="s">
        <v>78</v>
      </c>
      <c r="F14" s="56" t="s">
        <v>33</v>
      </c>
      <c r="G14" s="44">
        <v>6</v>
      </c>
      <c r="H14" s="129">
        <f>IF(B$15=0,0,G14/B$15)</f>
        <v>3.5714285714285712E-2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168</v>
      </c>
      <c r="C15" s="35">
        <f>IF(B$3=0,0,B15/B$3)</f>
        <v>0.27860696517412936</v>
      </c>
      <c r="E15" s="59" t="s">
        <v>86</v>
      </c>
      <c r="F15" s="56" t="s">
        <v>41</v>
      </c>
      <c r="G15" s="44">
        <v>4</v>
      </c>
      <c r="H15" s="129">
        <f>IF(B$15=0,0,G15/B$15)</f>
        <v>2.3809523809523808E-2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122</v>
      </c>
      <c r="C16" s="37">
        <f>IF(B$3=0,0,B16/B$3)</f>
        <v>0.20232172470978441</v>
      </c>
      <c r="E16" s="59" t="s">
        <v>81</v>
      </c>
      <c r="F16" s="56" t="s">
        <v>36</v>
      </c>
      <c r="G16" s="44">
        <v>3</v>
      </c>
      <c r="H16" s="129">
        <f>IF(B$15=0,0,G16/B$15)</f>
        <v>1.7857142857142856E-2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78</v>
      </c>
      <c r="C17" s="37">
        <f>IF(B$15=0,0,B17/B$15)</f>
        <v>0.4642857142857143</v>
      </c>
      <c r="E17" s="59" t="s">
        <v>162</v>
      </c>
      <c r="F17" s="56" t="s">
        <v>163</v>
      </c>
      <c r="G17" s="44">
        <v>3</v>
      </c>
      <c r="H17" s="129">
        <f>IF(B$15=0,0,G17/B$15)</f>
        <v>1.7857142857142856E-2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 t="shared" si="2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90</v>
      </c>
      <c r="C18" s="37">
        <f>IF(B$15=0,0,B18/B$15)</f>
        <v>0.5357142857142857</v>
      </c>
      <c r="E18" s="59" t="s">
        <v>75</v>
      </c>
      <c r="F18" s="56" t="s">
        <v>30</v>
      </c>
      <c r="G18" s="44">
        <v>2</v>
      </c>
      <c r="H18" s="129">
        <f>IF(B$15=0,0,G18/B$15)</f>
        <v>1.1904761904761904E-2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99</v>
      </c>
      <c r="C19" s="37">
        <f>IF(B$15=0,0,B19/B$15)</f>
        <v>0.5892857142857143</v>
      </c>
      <c r="E19" s="59" t="s">
        <v>79</v>
      </c>
      <c r="F19" s="56" t="s">
        <v>34</v>
      </c>
      <c r="G19" s="44">
        <v>2</v>
      </c>
      <c r="H19" s="129">
        <f>IF(B$15=0,0,G19/B$15)</f>
        <v>1.1904761904761904E-2</v>
      </c>
      <c r="I19" s="90">
        <v>4</v>
      </c>
      <c r="K19" s="36">
        <v>17</v>
      </c>
      <c r="L19" s="95">
        <v>-251.4</v>
      </c>
      <c r="N19" s="111" t="s">
        <v>171</v>
      </c>
      <c r="O19" s="121">
        <f t="shared" si="2"/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47</v>
      </c>
      <c r="C20" s="37">
        <f>IF(B$15=0,0,B20/B$15)</f>
        <v>0.27976190476190477</v>
      </c>
      <c r="E20" s="59" t="s">
        <v>91</v>
      </c>
      <c r="F20" s="56" t="s">
        <v>46</v>
      </c>
      <c r="G20" s="44">
        <v>1</v>
      </c>
      <c r="H20" s="129">
        <f>IF(B$15=0,0,G20/B$15)</f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2"/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196</v>
      </c>
      <c r="B21" s="44">
        <v>22</v>
      </c>
      <c r="C21" s="37">
        <f>IF(B$15=0,0,B21/B$15)</f>
        <v>0.13095238095238096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2"/>
        <v>-17.254347826086963</v>
      </c>
      <c r="P21" s="115">
        <v>46</v>
      </c>
      <c r="Q21" s="103">
        <v>-793.70000000000027</v>
      </c>
    </row>
    <row r="22" spans="1:17" x14ac:dyDescent="0.4">
      <c r="A22" s="51" t="s">
        <v>5</v>
      </c>
      <c r="B22" s="48">
        <f>IF(B$15=0,0,C22/B$15)</f>
        <v>8067.8571428571431</v>
      </c>
      <c r="C22" s="39">
        <v>1355400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8647.1074380165282</v>
      </c>
      <c r="C23" s="137">
        <v>1046300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6576.5957446808507</v>
      </c>
      <c r="C24" s="137">
        <v>309100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-7622.1311475409839</v>
      </c>
      <c r="C25" s="137">
        <v>-929900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4.9751243781094526E-3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3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38</v>
      </c>
      <c r="C34" s="37">
        <f>IF(B$15=0,0,B34/B$15)</f>
        <v>0.22619047619047619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27</v>
      </c>
      <c r="C35" s="37">
        <f t="shared" si="3"/>
        <v>0.16071428571428573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27</v>
      </c>
      <c r="C36" s="37">
        <f t="shared" si="3"/>
        <v>0.16071428571428573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3"/>
        <v>0.10714285714285714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3"/>
        <v>6.5476190476190479E-2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3"/>
        <v>2.3809523809523808E-2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3"/>
        <v>5.9523809523809521E-3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3"/>
        <v>1.1904761904761904E-2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</sheetData>
  <sortState xmlns:xlrd2="http://schemas.microsoft.com/office/spreadsheetml/2017/richdata2" ref="E2:I7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88E9A-FE23-42D0-A545-F1DD40D1AAAF}">
  <sheetPr codeName="Sheet15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77</v>
      </c>
      <c r="C2" s="155"/>
      <c r="E2" s="58" t="s">
        <v>66</v>
      </c>
      <c r="F2" s="55" t="s">
        <v>22</v>
      </c>
      <c r="G2" s="43">
        <v>147</v>
      </c>
      <c r="H2" s="128">
        <f>IF(B$15=0,0,G2/B$15)</f>
        <v>0.83050847457627119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1403.8961038961038</v>
      </c>
      <c r="P2" s="114">
        <v>77</v>
      </c>
      <c r="Q2" s="98">
        <v>108100</v>
      </c>
    </row>
    <row r="3" spans="1:17" x14ac:dyDescent="0.4">
      <c r="A3" s="51" t="s">
        <v>8</v>
      </c>
      <c r="B3" s="156">
        <v>618</v>
      </c>
      <c r="C3" s="157"/>
      <c r="E3" s="59" t="s">
        <v>72</v>
      </c>
      <c r="F3" s="56" t="s">
        <v>27</v>
      </c>
      <c r="G3" s="44">
        <v>99</v>
      </c>
      <c r="H3" s="129">
        <f>IF(B$15=0,0,G3/B$15)</f>
        <v>0.55932203389830504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-2524</v>
      </c>
      <c r="P3" s="115">
        <v>75</v>
      </c>
      <c r="Q3" s="99">
        <v>-189300</v>
      </c>
    </row>
    <row r="4" spans="1:17" x14ac:dyDescent="0.4">
      <c r="A4" s="51" t="s">
        <v>6</v>
      </c>
      <c r="B4" s="158">
        <v>368.00000000000011</v>
      </c>
      <c r="C4" s="159"/>
      <c r="E4" s="59" t="s">
        <v>64</v>
      </c>
      <c r="F4" s="56" t="s">
        <v>20</v>
      </c>
      <c r="G4" s="44">
        <v>96</v>
      </c>
      <c r="H4" s="129">
        <f>IF(B$15=0,0,G4/B$15)</f>
        <v>0.5423728813559322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4.7792207792207808</v>
      </c>
      <c r="C5" s="161"/>
      <c r="E5" s="59" t="s">
        <v>67</v>
      </c>
      <c r="F5" s="56" t="s">
        <v>23</v>
      </c>
      <c r="G5" s="44">
        <v>76</v>
      </c>
      <c r="H5" s="129">
        <f>IF(B$15=0,0,G5/B$15)</f>
        <v>0.42937853107344631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1.9090909090909092</v>
      </c>
      <c r="C6" s="151"/>
      <c r="E6" s="59" t="s">
        <v>166</v>
      </c>
      <c r="F6" s="56" t="s">
        <v>167</v>
      </c>
      <c r="G6" s="44">
        <v>68</v>
      </c>
      <c r="H6" s="129">
        <f>IF(B$15=0,0,G6/B$15)</f>
        <v>0.38418079096045199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31</v>
      </c>
      <c r="C7" s="37">
        <f t="shared" ref="C7:C10" si="1">IF(B$2=0,0,B7/B$2)</f>
        <v>0.40259740259740262</v>
      </c>
      <c r="E7" s="59" t="s">
        <v>68</v>
      </c>
      <c r="F7" s="56" t="s">
        <v>12</v>
      </c>
      <c r="G7" s="44">
        <v>67</v>
      </c>
      <c r="H7" s="129">
        <f>IF(B$15=0,0,G7/B$15)</f>
        <v>0.37853107344632769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1"/>
        <v>0.2857142857142857</v>
      </c>
      <c r="E8" s="59" t="s">
        <v>89</v>
      </c>
      <c r="F8" s="56" t="s">
        <v>44</v>
      </c>
      <c r="G8" s="44">
        <v>40</v>
      </c>
      <c r="H8" s="129">
        <f>IF(B$15=0,0,G8/B$15)</f>
        <v>0.22598870056497175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0.31168831168831168</v>
      </c>
      <c r="E9" s="59" t="s">
        <v>69</v>
      </c>
      <c r="F9" s="56" t="s">
        <v>24</v>
      </c>
      <c r="G9" s="44">
        <v>35</v>
      </c>
      <c r="H9" s="129">
        <f>IF(B$15=0,0,G9/B$15)</f>
        <v>0.19774011299435029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0.1038961038961039</v>
      </c>
      <c r="E10" s="59" t="s">
        <v>65</v>
      </c>
      <c r="F10" s="56" t="s">
        <v>21</v>
      </c>
      <c r="G10" s="44">
        <v>26</v>
      </c>
      <c r="H10" s="129">
        <f>IF(B$15=0,0,G10/B$15)</f>
        <v>0.14689265536723164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197</v>
      </c>
      <c r="C11" s="42">
        <f>IF(B$3=0,0,B11/B$3)</f>
        <v>0.31877022653721682</v>
      </c>
      <c r="E11" s="59" t="s">
        <v>70</v>
      </c>
      <c r="F11" s="56" t="s">
        <v>25</v>
      </c>
      <c r="G11" s="44">
        <v>21</v>
      </c>
      <c r="H11" s="129">
        <f>IF(B$15=0,0,G11/B$15)</f>
        <v>0.11864406779661017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7.3885714285714279</v>
      </c>
      <c r="P11" s="115">
        <v>35</v>
      </c>
      <c r="Q11" s="103">
        <v>258.59999999999997</v>
      </c>
    </row>
    <row r="12" spans="1:17" x14ac:dyDescent="0.4">
      <c r="A12" s="51" t="s">
        <v>118</v>
      </c>
      <c r="B12" s="44">
        <v>109</v>
      </c>
      <c r="C12" s="37">
        <f>IF(B$3=0,0,B12/B$3)</f>
        <v>0.17637540453074432</v>
      </c>
      <c r="E12" s="59" t="s">
        <v>162</v>
      </c>
      <c r="F12" s="56" t="s">
        <v>163</v>
      </c>
      <c r="G12" s="44">
        <v>13</v>
      </c>
      <c r="H12" s="129">
        <f>IF(B$15=0,0,G12/B$15)</f>
        <v>7.3446327683615822E-2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0" t="s">
        <v>123</v>
      </c>
      <c r="B13" s="43">
        <f>B19</f>
        <v>109</v>
      </c>
      <c r="C13" s="35">
        <f>IF(B$11=0,0,B13/B$11)</f>
        <v>0.5532994923857868</v>
      </c>
      <c r="E13" s="59" t="s">
        <v>71</v>
      </c>
      <c r="F13" s="56" t="s">
        <v>26</v>
      </c>
      <c r="G13" s="44">
        <v>9</v>
      </c>
      <c r="H13" s="129">
        <f>IF(B$15=0,0,G13/B$15)</f>
        <v>5.0847457627118647E-2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0.42201834862385323</v>
      </c>
      <c r="E14" s="59" t="s">
        <v>83</v>
      </c>
      <c r="F14" s="56" t="s">
        <v>38</v>
      </c>
      <c r="G14" s="44">
        <v>7</v>
      </c>
      <c r="H14" s="129">
        <f>IF(B$15=0,0,G14/B$15)</f>
        <v>3.954802259887006E-2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177</v>
      </c>
      <c r="C15" s="35">
        <f>IF(B$3=0,0,B15/B$3)</f>
        <v>0.28640776699029125</v>
      </c>
      <c r="E15" s="59" t="s">
        <v>86</v>
      </c>
      <c r="F15" s="56" t="s">
        <v>41</v>
      </c>
      <c r="G15" s="44">
        <v>5</v>
      </c>
      <c r="H15" s="129">
        <f>IF(B$15=0,0,G15/B$15)</f>
        <v>2.8248587570621469E-2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104</v>
      </c>
      <c r="C16" s="37">
        <f>IF(B$3=0,0,B16/B$3)</f>
        <v>0.16828478964401294</v>
      </c>
      <c r="E16" s="59" t="s">
        <v>81</v>
      </c>
      <c r="F16" s="56" t="s">
        <v>36</v>
      </c>
      <c r="G16" s="44">
        <v>4</v>
      </c>
      <c r="H16" s="129">
        <f>IF(B$15=0,0,G16/B$15)</f>
        <v>2.2598870056497175E-2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86</v>
      </c>
      <c r="C17" s="37">
        <f>IF(B$15=0,0,B17/B$15)</f>
        <v>0.48587570621468928</v>
      </c>
      <c r="E17" s="59" t="s">
        <v>92</v>
      </c>
      <c r="F17" s="56" t="s">
        <v>47</v>
      </c>
      <c r="G17" s="44">
        <v>4</v>
      </c>
      <c r="H17" s="129">
        <f>IF(B$15=0,0,G17/B$15)</f>
        <v>2.2598870056497175E-2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91</v>
      </c>
      <c r="C18" s="37">
        <f>IF(B$15=0,0,B18/B$15)</f>
        <v>0.51412429378531077</v>
      </c>
      <c r="E18" s="59" t="s">
        <v>91</v>
      </c>
      <c r="F18" s="56" t="s">
        <v>46</v>
      </c>
      <c r="G18" s="44">
        <v>3</v>
      </c>
      <c r="H18" s="129">
        <f>IF(B$15=0,0,G18/B$15)</f>
        <v>1.6949152542372881E-2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109</v>
      </c>
      <c r="C19" s="37">
        <f>IF(B$15=0,0,B19/B$15)</f>
        <v>0.61581920903954801</v>
      </c>
      <c r="E19" s="59" t="s">
        <v>73</v>
      </c>
      <c r="F19" s="56" t="s">
        <v>28</v>
      </c>
      <c r="G19" s="44">
        <v>1</v>
      </c>
      <c r="H19" s="129">
        <f>IF(B$15=0,0,G19/B$15)</f>
        <v>5.6497175141242938E-3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7.2586206896551708</v>
      </c>
      <c r="P19" s="115">
        <v>29</v>
      </c>
      <c r="Q19" s="103">
        <v>210.49999999999994</v>
      </c>
    </row>
    <row r="20" spans="1:17" x14ac:dyDescent="0.4">
      <c r="A20" s="51" t="s">
        <v>195</v>
      </c>
      <c r="B20" s="44">
        <v>46</v>
      </c>
      <c r="C20" s="37">
        <f>IF(B$15=0,0,B20/B$15)</f>
        <v>0.25988700564971751</v>
      </c>
      <c r="E20" s="59" t="s">
        <v>75</v>
      </c>
      <c r="F20" s="56" t="s">
        <v>30</v>
      </c>
      <c r="G20" s="44">
        <v>1</v>
      </c>
      <c r="H20" s="129">
        <f>IF(B$15=0,0,G20/B$15)</f>
        <v>5.6497175141242938E-3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22</v>
      </c>
      <c r="C21" s="37">
        <f>IF(B$15=0,0,B21/B$15)</f>
        <v>0.12429378531073447</v>
      </c>
      <c r="E21" s="59" t="s">
        <v>78</v>
      </c>
      <c r="F21" s="56" t="s">
        <v>33</v>
      </c>
      <c r="G21" s="44">
        <v>1</v>
      </c>
      <c r="H21" s="129">
        <f>IF(B$15=0,0,G21/B$15)</f>
        <v>5.6497175141242938E-3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-5.0818181818181829</v>
      </c>
      <c r="P21" s="115">
        <v>33</v>
      </c>
      <c r="Q21" s="103">
        <v>-167.70000000000005</v>
      </c>
    </row>
    <row r="22" spans="1:17" x14ac:dyDescent="0.4">
      <c r="A22" s="51" t="s">
        <v>5</v>
      </c>
      <c r="B22" s="48">
        <f>IF(B$15=0,0,C22/B$15)</f>
        <v>10852.542372881357</v>
      </c>
      <c r="C22" s="39">
        <v>1920900</v>
      </c>
      <c r="E22" s="59" t="s">
        <v>79</v>
      </c>
      <c r="F22" s="56" t="s">
        <v>34</v>
      </c>
      <c r="G22" s="44">
        <v>1</v>
      </c>
      <c r="H22" s="129">
        <f>IF(B$15=0,0,G22/B$15)</f>
        <v>5.6497175141242938E-3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11760.305343511451</v>
      </c>
      <c r="C23" s="137">
        <v>1540600</v>
      </c>
      <c r="E23" s="59" t="s">
        <v>85</v>
      </c>
      <c r="F23" s="56" t="s">
        <v>40</v>
      </c>
      <c r="G23" s="44">
        <v>1</v>
      </c>
      <c r="H23" s="129">
        <f>IF(B$15=0,0,G23/B$15)</f>
        <v>5.6497175141242938E-3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>IF(B$15=0,0,G24/B$15)</f>
        <v>5.6497175141242938E-3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-8158.6538461538457</v>
      </c>
      <c r="C25" s="137">
        <v>-848500</v>
      </c>
      <c r="E25" s="59" t="s">
        <v>93</v>
      </c>
      <c r="F25" s="56" t="s">
        <v>48</v>
      </c>
      <c r="G25" s="44">
        <v>1</v>
      </c>
      <c r="H25" s="129">
        <f>IF(B$15=0,0,G25/B$15)</f>
        <v>5.6497175141242938E-3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>IF(B$15=0,0,G26/B$15)</f>
        <v>5.6497175141242938E-3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6</v>
      </c>
      <c r="E27" s="59" t="s">
        <v>74</v>
      </c>
      <c r="F27" s="56" t="s">
        <v>29</v>
      </c>
      <c r="G27" s="44">
        <v>0</v>
      </c>
      <c r="H27" s="129">
        <f>IF(B$15=0,0,G27/B$15)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2.2598870056497175E-2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2">IF(B$15=0,0,B33/B$15)</f>
        <v>9.03954802259887E-2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22</v>
      </c>
      <c r="C34" s="37">
        <f>IF(B$15=0,0,B34/B$15)</f>
        <v>0.12429378531073447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2"/>
        <v>0.19209039548022599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46</v>
      </c>
      <c r="C36" s="37">
        <f t="shared" si="2"/>
        <v>0.25988700564971751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17</v>
      </c>
      <c r="C37" s="37">
        <f t="shared" si="2"/>
        <v>9.6045197740112997E-2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16</v>
      </c>
      <c r="C38" s="37">
        <f t="shared" si="2"/>
        <v>9.03954802259887E-2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9</v>
      </c>
      <c r="C39" s="37">
        <f t="shared" si="2"/>
        <v>5.0847457627118647E-2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2"/>
        <v>1.6949152542372881E-2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2"/>
        <v>1.1299435028248588E-2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2"/>
        <v>5.6497175141242938E-3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2"/>
        <v>5.6497175141242938E-3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2"/>
        <v>3.3898305084745763E-2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45C16-068C-476B-BDBE-01EB3BC68DD3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IF(B$15=0,0,G3/B$15)</f>
        <v>0.56086956521739129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IF(B$15=0,0,G4/B$15)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>IF(B$15=0,0,G5/B$15)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>IF(B$15=0,0,G6/B$15)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0.24752475247524752</v>
      </c>
      <c r="E7" s="59" t="s">
        <v>68</v>
      </c>
      <c r="F7" s="56" t="s">
        <v>12</v>
      </c>
      <c r="G7" s="44">
        <v>76</v>
      </c>
      <c r="H7" s="129">
        <f>IF(B$15=0,0,G7/B$15)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0.47524752475247523</v>
      </c>
      <c r="E8" s="59" t="s">
        <v>69</v>
      </c>
      <c r="F8" s="56" t="s">
        <v>24</v>
      </c>
      <c r="G8" s="44">
        <v>32</v>
      </c>
      <c r="H8" s="129">
        <f>IF(B$15=0,0,G8/B$15)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0.27722772277227725</v>
      </c>
      <c r="E9" s="59" t="s">
        <v>89</v>
      </c>
      <c r="F9" s="56" t="s">
        <v>44</v>
      </c>
      <c r="G9" s="44">
        <v>23</v>
      </c>
      <c r="H9" s="129">
        <f>IF(B$15=0,0,G9/B$15)</f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7.9207920792079209E-2</v>
      </c>
      <c r="E10" s="59" t="s">
        <v>71</v>
      </c>
      <c r="F10" s="56" t="s">
        <v>26</v>
      </c>
      <c r="G10" s="44">
        <v>22</v>
      </c>
      <c r="H10" s="129">
        <f>IF(B$15=0,0,G10/B$15)</f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>IF(B$15=0,0,G11/B$15)</f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>IF(B$15=0,0,G12/B$15)</f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>IF(B$15=0,0,G13/B$15)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>IF(B$15=0,0,G14/B$15)</f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>IF(B$15=0,0,G15/B$15)</f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>IF(B$15=0,0,G16/B$15)</f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>IF(B$15=0,0,G17/B$15)</f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>IF(B$15=0,0,G18/B$15)</f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>IF(B$15=0,0,G19/B$15)</f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>IF(B$15=0,0,G20/B$15)</f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 t="shared" si="2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>IF(B$15=0,0,G21/B$15)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>IF(B$15=0,0,G22/B$15)</f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 t="shared" si="2"/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>IF(B$15=0,0,G23/B$15)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2"/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>IF(B$15=0,0,G24/B$15)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>IF(B$15=0,0,G25/B$15)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3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3"/>
        <v>0.16521739130434782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3"/>
        <v>0.15652173913043479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3"/>
        <v>0.10869565217391304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3"/>
        <v>4.7826086956521741E-2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3"/>
        <v>3.0434782608695653E-2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3"/>
        <v>1.3043478260869565E-2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3"/>
        <v>8.6956521739130436E-3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3"/>
        <v>4.3478260869565218E-3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3"/>
        <v>4.3478260869565218E-3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3"/>
        <v>8.6956521739130436E-3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E2:I10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3D1F-D92A-4DD7-BBBE-E1D74B30674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>IF(B$15=0,0,G3/B$15)</f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>IF(B$15=0,0,G4/B$15)</f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>IF(B$15=0,0,G6/B$15)</f>
        <v>0.29069767441860467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0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1">IF(B$2=0,0,B7/B$2)</f>
        <v>0.16666666666666666</v>
      </c>
      <c r="E7" s="59" t="s">
        <v>67</v>
      </c>
      <c r="F7" s="56" t="s">
        <v>23</v>
      </c>
      <c r="G7" s="44">
        <v>23</v>
      </c>
      <c r="H7" s="129">
        <f>IF(B$15=0,0,G7/B$15)</f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1"/>
        <v>0.2857142857142857</v>
      </c>
      <c r="E8" s="59" t="s">
        <v>89</v>
      </c>
      <c r="F8" s="56" t="s">
        <v>44</v>
      </c>
      <c r="G8" s="44">
        <v>12</v>
      </c>
      <c r="H8" s="129">
        <f>IF(B$15=0,0,G8/B$15)</f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0.54761904761904767</v>
      </c>
      <c r="E9" s="59" t="s">
        <v>65</v>
      </c>
      <c r="F9" s="56" t="s">
        <v>21</v>
      </c>
      <c r="G9" s="44">
        <v>10</v>
      </c>
      <c r="H9" s="129">
        <f>IF(B$15=0,0,G9/B$15)</f>
        <v>0.11627906976744186</v>
      </c>
      <c r="I9" s="90">
        <v>6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1"/>
        <v>0.21428571428571427</v>
      </c>
      <c r="E10" s="59" t="s">
        <v>70</v>
      </c>
      <c r="F10" s="56" t="s">
        <v>25</v>
      </c>
      <c r="G10" s="44">
        <v>10</v>
      </c>
      <c r="H10" s="129">
        <f>IF(B$15=0,0,G10/B$15)</f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>IF(B$15=0,0,G11/B$15)</f>
        <v>9.3023255813953487E-2</v>
      </c>
      <c r="I11" s="90">
        <v>6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>IF(B$15=0,0,G12/B$15)</f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>IF(B$15=0,0,G13/B$15)</f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>IF(B$15=0,0,G14/B$15)</f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>IF(B$15=0,0,G15/B$15)</f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>IF(B$15=0,0,G16/B$15)</f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>IF(B$15=0,0,G17/B$15)</f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>IF(B$15=0,0,G18/B$15)</f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 t="shared" si="2"/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>IF(B$15=0,0,G19/B$15)</f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2"/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 t="shared" si="2"/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3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3"/>
        <v>0.13953488372093023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3"/>
        <v>0.12790697674418605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3"/>
        <v>5.8139534883720929E-2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3"/>
        <v>6.9767441860465115E-2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3"/>
        <v>5.8139534883720929E-2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3"/>
        <v>1.1627906976744186E-2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3"/>
        <v>1.1627906976744186E-2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AB007-85F8-432A-B588-EC81ED83FE0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C5CCD-6765-4681-A43E-FB13F94007C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202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F8BB-FCC4-4CE7-9389-560D5397DC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AB5D9-561A-470D-B980-E092785B52B5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1695-52DE-4C3A-9678-D6F8CF1C10DB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9730B-C699-4BCA-B210-48A87EFD259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2A130-916E-4D2E-877E-4D1E24D4E0BF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03C8-4415-4C0B-BCD6-3CD72C2CF9A3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825C-7093-4FD5-80D3-47C8CC821395}">
  <sheetPr codeName="Sheet16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8523-AEDF-493F-A34F-7BC39588AFE5}">
  <sheetPr codeName="Sheet14"/>
  <dimension ref="A1:Q7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99552-DB9A-43B3-AA75-008A76464CEE}">
  <sheetPr codeName="Sheet12"/>
  <dimension ref="A1:Q12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BDE25-5D49-491F-BC4C-B7AEAA6A4C6C}">
  <sheetPr codeName="Sheet10"/>
  <dimension ref="A1:Q13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8275C-D76B-476C-A834-5249A46B388F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FD7B-40F0-43BB-B23E-93909D0C6898}">
  <sheetPr codeName="Sheet6"/>
  <dimension ref="A1:Q21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2019-11-21T14:24:47Z</dcterms:modified>
</cp:coreProperties>
</file>