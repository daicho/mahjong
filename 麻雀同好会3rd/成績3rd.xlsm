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8C9CC90C-FEFF-4E9B-B3DE-11B16F9AD85D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55" r:id="rId6"/>
    <sheet name="たかの" sheetId="5857" r:id="rId7"/>
    <sheet name="だいち" sheetId="5859" r:id="rId8"/>
    <sheet name="ただ" sheetId="5861" r:id="rId9"/>
    <sheet name="りくと" sheetId="5863" r:id="rId10"/>
    <sheet name="れんたろう" sheetId="5865" r:id="rId11"/>
    <sheet name="まっつん" sheetId="5867" r:id="rId12"/>
    <sheet name="のり" sheetId="5869" r:id="rId13"/>
    <sheet name="ぱぱ" sheetId="5871" r:id="rId14"/>
    <sheet name="ほたに" sheetId="5873" r:id="rId15"/>
    <sheet name="いっしー" sheetId="5875" r:id="rId16"/>
    <sheet name="いっしー2" sheetId="5876" state="hidden" r:id="rId17"/>
    <sheet name="ほたに2" sheetId="5874" state="hidden" r:id="rId18"/>
    <sheet name="ぱぱ2" sheetId="5872" state="hidden" r:id="rId19"/>
    <sheet name="のり2" sheetId="5870" state="hidden" r:id="rId20"/>
    <sheet name="まっつん2" sheetId="5868" state="hidden" r:id="rId21"/>
    <sheet name="れんたろう2" sheetId="5866" state="hidden" r:id="rId22"/>
    <sheet name="りくと2" sheetId="5864" state="hidden" r:id="rId23"/>
    <sheet name="ただ2" sheetId="5862" state="hidden" r:id="rId24"/>
    <sheet name="だいち2" sheetId="5860" state="hidden" r:id="rId25"/>
    <sheet name="たかの2" sheetId="5858" state="hidden" r:id="rId26"/>
    <sheet name="全体2" sheetId="585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67" l="1"/>
  <c r="O17" i="5875"/>
  <c r="O22" i="5859"/>
  <c r="O16" i="5875"/>
  <c r="O15" i="5875"/>
  <c r="C29" i="5875"/>
  <c r="B26" i="5875"/>
  <c r="B25" i="5875"/>
  <c r="C20" i="5875"/>
  <c r="B17" i="5875"/>
  <c r="H50" i="5875" s="1"/>
  <c r="C16" i="5875"/>
  <c r="C15" i="5875"/>
  <c r="C14" i="5875"/>
  <c r="C13" i="5875"/>
  <c r="O12" i="5875"/>
  <c r="C12" i="5875"/>
  <c r="O11" i="5875"/>
  <c r="C11" i="5875"/>
  <c r="O10" i="5875"/>
  <c r="C10" i="5875"/>
  <c r="C9" i="5875"/>
  <c r="C8" i="5875"/>
  <c r="O7" i="5875"/>
  <c r="C7" i="5875"/>
  <c r="O6" i="5875"/>
  <c r="B6" i="5875"/>
  <c r="O5" i="5875"/>
  <c r="B5" i="5875"/>
  <c r="O4" i="5875"/>
  <c r="O3" i="5875"/>
  <c r="O2" i="5875"/>
  <c r="O16" i="5869"/>
  <c r="O24" i="5855"/>
  <c r="H2" i="5875" l="1"/>
  <c r="H17" i="5875"/>
  <c r="H19" i="5875"/>
  <c r="H9" i="5875"/>
  <c r="H5" i="5875"/>
  <c r="H6" i="5875"/>
  <c r="H39" i="5875"/>
  <c r="B23" i="5875"/>
  <c r="H43" i="5875"/>
  <c r="H4" i="5875"/>
  <c r="C17" i="5875"/>
  <c r="H31" i="5875"/>
  <c r="H47" i="5875"/>
  <c r="H3" i="5875"/>
  <c r="H14" i="5875"/>
  <c r="C18" i="5875"/>
  <c r="H35" i="5875"/>
  <c r="H51" i="5875"/>
  <c r="H21" i="5875"/>
  <c r="H23" i="5875"/>
  <c r="H25" i="5875"/>
  <c r="H27" i="5875"/>
  <c r="H29" i="5875"/>
  <c r="H32" i="5875"/>
  <c r="H36" i="5875"/>
  <c r="H40" i="5875"/>
  <c r="H44" i="5875"/>
  <c r="H48" i="5875"/>
  <c r="H11" i="5875"/>
  <c r="H13" i="5875"/>
  <c r="H16" i="5875"/>
  <c r="H18" i="5875"/>
  <c r="C19" i="5875"/>
  <c r="H8" i="5875"/>
  <c r="B24" i="5875"/>
  <c r="H33" i="5875"/>
  <c r="H37" i="5875"/>
  <c r="H41" i="5875"/>
  <c r="H45" i="5875"/>
  <c r="H49" i="5875"/>
  <c r="H52" i="5875"/>
  <c r="H12" i="5875"/>
  <c r="H7" i="5875"/>
  <c r="H10" i="5875"/>
  <c r="H15" i="5875"/>
  <c r="H20" i="5875"/>
  <c r="H22" i="5875"/>
  <c r="H24" i="5875"/>
  <c r="H26" i="5875"/>
  <c r="H28" i="5875"/>
  <c r="H30" i="5875"/>
  <c r="H34" i="5875"/>
  <c r="H38" i="5875"/>
  <c r="H42" i="5875"/>
  <c r="H46" i="5875"/>
  <c r="O20" i="5857" l="1"/>
  <c r="O16" i="5865"/>
  <c r="O15" i="5865" l="1"/>
  <c r="O19" i="5873"/>
  <c r="O15" i="5863" l="1"/>
  <c r="O20" i="5869"/>
  <c r="O16" i="5873" l="1"/>
  <c r="O22" i="5863"/>
  <c r="O21" i="5857" l="1"/>
  <c r="O16" i="5859"/>
  <c r="O15" i="5869"/>
  <c r="O21" i="5869"/>
  <c r="O19" i="5867" l="1"/>
  <c r="O18" i="5871"/>
  <c r="O16" i="5861" l="1"/>
  <c r="O17" i="5867"/>
  <c r="O19" i="5869"/>
  <c r="O17" i="5869"/>
  <c r="O15" i="5857" l="1"/>
  <c r="O17" i="5871"/>
  <c r="O19" i="5871"/>
  <c r="O18" i="5863"/>
  <c r="O19" i="5861" l="1"/>
  <c r="O21" i="5865"/>
  <c r="O19" i="5865" l="1"/>
  <c r="O21" i="5859"/>
  <c r="O23" i="5869"/>
  <c r="O17" i="5873"/>
  <c r="O15" i="5873"/>
  <c r="O21" i="5871"/>
  <c r="O15" i="5861" l="1"/>
  <c r="O21" i="5861"/>
  <c r="O18" i="5873"/>
  <c r="O20" i="5873"/>
  <c r="C29" i="5873"/>
  <c r="B26" i="5873"/>
  <c r="B25" i="5873"/>
  <c r="C20" i="5873"/>
  <c r="B17" i="5873"/>
  <c r="H51" i="5873" s="1"/>
  <c r="C16" i="5873"/>
  <c r="C15" i="5873"/>
  <c r="C14" i="5873"/>
  <c r="C13" i="5873"/>
  <c r="O12" i="5873"/>
  <c r="C12" i="5873"/>
  <c r="O11" i="5873"/>
  <c r="C11" i="5873"/>
  <c r="O10" i="5873"/>
  <c r="C10" i="5873"/>
  <c r="C9" i="5873"/>
  <c r="C8" i="5873"/>
  <c r="O7" i="5873"/>
  <c r="C7" i="5873"/>
  <c r="O6" i="5873"/>
  <c r="B6" i="5873"/>
  <c r="O5" i="5873"/>
  <c r="B5" i="5873"/>
  <c r="O4" i="5873"/>
  <c r="O3" i="5873"/>
  <c r="O2" i="5873"/>
  <c r="O21" i="5867"/>
  <c r="O15" i="5867"/>
  <c r="O16" i="5855"/>
  <c r="H5" i="5873" l="1"/>
  <c r="H2" i="5873"/>
  <c r="H3" i="5873"/>
  <c r="H11" i="5873"/>
  <c r="C17" i="5873"/>
  <c r="H24" i="5873"/>
  <c r="H27" i="5873"/>
  <c r="H32" i="5873"/>
  <c r="H36" i="5873"/>
  <c r="H40" i="5873"/>
  <c r="H44" i="5873"/>
  <c r="H6" i="5873"/>
  <c r="H18" i="5873"/>
  <c r="H20" i="5873"/>
  <c r="C19" i="5873"/>
  <c r="H14" i="5873"/>
  <c r="B24" i="5873"/>
  <c r="H33" i="5873"/>
  <c r="H37" i="5873"/>
  <c r="H45" i="5873"/>
  <c r="H49" i="5873"/>
  <c r="H52" i="5873"/>
  <c r="H7" i="5873"/>
  <c r="H8" i="5873"/>
  <c r="H12" i="5873"/>
  <c r="H17" i="5873"/>
  <c r="H13" i="5873"/>
  <c r="H23" i="5873"/>
  <c r="H25" i="5873"/>
  <c r="H15" i="5873"/>
  <c r="H28" i="5873"/>
  <c r="H30" i="5873"/>
  <c r="H34" i="5873"/>
  <c r="H38" i="5873"/>
  <c r="H42" i="5873"/>
  <c r="H46" i="5873"/>
  <c r="H50" i="5873"/>
  <c r="H22" i="5873"/>
  <c r="H26" i="5873"/>
  <c r="H29" i="5873"/>
  <c r="H48" i="5873"/>
  <c r="H10" i="5873"/>
  <c r="H41" i="5873"/>
  <c r="H4" i="5873"/>
  <c r="H16" i="5873"/>
  <c r="H19" i="5873"/>
  <c r="H21" i="5873"/>
  <c r="C18" i="5873"/>
  <c r="B23" i="5873"/>
  <c r="H9" i="5873"/>
  <c r="H31" i="5873"/>
  <c r="H35" i="5873"/>
  <c r="H39" i="5873"/>
  <c r="H43" i="5873"/>
  <c r="H47" i="5873"/>
  <c r="O18" i="5859" l="1"/>
  <c r="O21" i="5863"/>
  <c r="O17" i="5859" l="1"/>
  <c r="O20" i="5867"/>
  <c r="O22" i="5867"/>
  <c r="O17" i="5857"/>
  <c r="O18" i="5861"/>
  <c r="O16" i="5863"/>
  <c r="O19" i="5863"/>
  <c r="O19" i="5857"/>
  <c r="O17" i="5861"/>
  <c r="O15" i="5859"/>
  <c r="O20" i="5871"/>
  <c r="O22" i="5871"/>
  <c r="O22" i="5865" l="1"/>
  <c r="O17" i="5865"/>
  <c r="O15" i="5871"/>
  <c r="O16" i="5871"/>
  <c r="C29" i="5871"/>
  <c r="B26" i="5871"/>
  <c r="B25" i="5871"/>
  <c r="C20" i="5871"/>
  <c r="B17" i="5871"/>
  <c r="H5" i="5871" s="1"/>
  <c r="C16" i="5871"/>
  <c r="C15" i="5871"/>
  <c r="C14" i="5871"/>
  <c r="C13" i="5871"/>
  <c r="O12" i="5871"/>
  <c r="C12" i="5871"/>
  <c r="O11" i="5871"/>
  <c r="C11" i="5871"/>
  <c r="O10" i="5871"/>
  <c r="C10" i="5871"/>
  <c r="C9" i="5871"/>
  <c r="C8" i="5871"/>
  <c r="O7" i="5871"/>
  <c r="C7" i="5871"/>
  <c r="O6" i="5871"/>
  <c r="B6" i="5871"/>
  <c r="O5" i="5871"/>
  <c r="B5" i="5871"/>
  <c r="O4" i="5871"/>
  <c r="O3" i="5871"/>
  <c r="O2" i="5871"/>
  <c r="H3" i="5871"/>
  <c r="O15" i="5855"/>
  <c r="O18" i="5869"/>
  <c r="O22" i="5869"/>
  <c r="C29" i="5869"/>
  <c r="B26" i="5869"/>
  <c r="B25" i="5869"/>
  <c r="C20" i="5869"/>
  <c r="B17" i="5869"/>
  <c r="H50" i="5869" s="1"/>
  <c r="C16" i="5869"/>
  <c r="C15" i="5869"/>
  <c r="C14" i="5869"/>
  <c r="C13" i="5869"/>
  <c r="O12" i="5869"/>
  <c r="C12" i="5869"/>
  <c r="O11" i="5869"/>
  <c r="C11" i="5869"/>
  <c r="O10" i="5869"/>
  <c r="C10" i="5869"/>
  <c r="C9" i="5869"/>
  <c r="C8" i="5869"/>
  <c r="O7" i="5869"/>
  <c r="C7" i="5869"/>
  <c r="O6" i="5869"/>
  <c r="B6" i="5869"/>
  <c r="O5" i="5869"/>
  <c r="B5" i="5869"/>
  <c r="O4" i="5869"/>
  <c r="O3" i="5869"/>
  <c r="O2" i="5869"/>
  <c r="O21" i="5855"/>
  <c r="H4" i="5869" l="1"/>
  <c r="H6" i="5871"/>
  <c r="H10" i="5871"/>
  <c r="H17" i="5869"/>
  <c r="H8" i="5871"/>
  <c r="H2" i="5871"/>
  <c r="H32" i="5871"/>
  <c r="H40" i="5871"/>
  <c r="H48" i="5871"/>
  <c r="C17" i="5871"/>
  <c r="H15" i="5871"/>
  <c r="H34" i="5871"/>
  <c r="H42" i="5871"/>
  <c r="H50" i="5871"/>
  <c r="H16" i="5871"/>
  <c r="H24" i="5871"/>
  <c r="H9" i="5871"/>
  <c r="H4" i="5871"/>
  <c r="H11" i="5871"/>
  <c r="H22" i="5871"/>
  <c r="C18" i="5871"/>
  <c r="B23" i="5871"/>
  <c r="H12" i="5871"/>
  <c r="H36" i="5871"/>
  <c r="H44" i="5871"/>
  <c r="H20" i="5871"/>
  <c r="H7" i="5871"/>
  <c r="H21" i="5871"/>
  <c r="H23" i="5871"/>
  <c r="H13" i="5871"/>
  <c r="C19" i="5871"/>
  <c r="B24" i="5871"/>
  <c r="H38" i="5871"/>
  <c r="H46" i="5871"/>
  <c r="H52" i="5871"/>
  <c r="H25" i="5871"/>
  <c r="H17" i="5871"/>
  <c r="H28" i="5871"/>
  <c r="H14" i="5871"/>
  <c r="H29" i="5871"/>
  <c r="H31" i="5871"/>
  <c r="H35" i="5871"/>
  <c r="H39" i="5871"/>
  <c r="H43" i="5871"/>
  <c r="H47" i="5871"/>
  <c r="H51" i="5871"/>
  <c r="H26" i="5871"/>
  <c r="H27" i="5871"/>
  <c r="H18" i="5871"/>
  <c r="H19" i="5871"/>
  <c r="H30" i="5871"/>
  <c r="H33" i="5871"/>
  <c r="H37" i="5871"/>
  <c r="H41" i="5871"/>
  <c r="H45" i="5871"/>
  <c r="H49" i="5871"/>
  <c r="H3" i="5869"/>
  <c r="H8" i="5869"/>
  <c r="H10" i="5869"/>
  <c r="H39" i="5869"/>
  <c r="B23" i="5869"/>
  <c r="H43" i="5869"/>
  <c r="H47" i="5869"/>
  <c r="H21" i="5869"/>
  <c r="H6" i="5869"/>
  <c r="C17" i="5869"/>
  <c r="H32" i="5869"/>
  <c r="H2" i="5869"/>
  <c r="H19" i="5869"/>
  <c r="C18" i="5869"/>
  <c r="H35" i="5869"/>
  <c r="H51" i="5869"/>
  <c r="H24" i="5869"/>
  <c r="H25" i="5869"/>
  <c r="H27" i="5869"/>
  <c r="H28" i="5869"/>
  <c r="H30" i="5869"/>
  <c r="H33" i="5869"/>
  <c r="H36" i="5869"/>
  <c r="H40" i="5869"/>
  <c r="H44" i="5869"/>
  <c r="H48" i="5869"/>
  <c r="H5" i="5869"/>
  <c r="H12" i="5869"/>
  <c r="H20" i="5869"/>
  <c r="H22" i="5869"/>
  <c r="C19" i="5869"/>
  <c r="H13" i="5869"/>
  <c r="B24" i="5869"/>
  <c r="H34" i="5869"/>
  <c r="H37" i="5869"/>
  <c r="H41" i="5869"/>
  <c r="H45" i="5869"/>
  <c r="H49" i="5869"/>
  <c r="H52" i="5869"/>
  <c r="H9" i="5869"/>
  <c r="H7" i="5869"/>
  <c r="H11" i="5869"/>
  <c r="H16" i="5869"/>
  <c r="H23" i="5869"/>
  <c r="H15" i="5869"/>
  <c r="H26" i="5869"/>
  <c r="H14" i="5869"/>
  <c r="H29" i="5869"/>
  <c r="H31" i="5869"/>
  <c r="H18" i="5869"/>
  <c r="H38" i="5869"/>
  <c r="H42" i="5869"/>
  <c r="H46" i="5869"/>
  <c r="O23" i="5867" l="1"/>
  <c r="O18" i="5867"/>
  <c r="C29" i="5867"/>
  <c r="B26" i="5867"/>
  <c r="B25" i="5867"/>
  <c r="C20" i="5867"/>
  <c r="B17" i="5867"/>
  <c r="H51" i="5867" s="1"/>
  <c r="C16" i="5867"/>
  <c r="C15" i="5867"/>
  <c r="C14" i="5867"/>
  <c r="C13" i="5867"/>
  <c r="O12" i="5867"/>
  <c r="C12" i="5867"/>
  <c r="O11" i="5867"/>
  <c r="C11" i="5867"/>
  <c r="O10" i="5867"/>
  <c r="C10" i="5867"/>
  <c r="C9" i="5867"/>
  <c r="C8" i="5867"/>
  <c r="O7" i="5867"/>
  <c r="C7" i="5867"/>
  <c r="O6" i="5867"/>
  <c r="B6" i="5867"/>
  <c r="O5" i="5867"/>
  <c r="B5" i="5867"/>
  <c r="O4" i="5867"/>
  <c r="O3" i="5867"/>
  <c r="O2" i="5867"/>
  <c r="O20" i="5865"/>
  <c r="O18" i="5865"/>
  <c r="C29" i="5865"/>
  <c r="B26" i="5865"/>
  <c r="B25" i="5865"/>
  <c r="C20" i="5865"/>
  <c r="B17" i="5865"/>
  <c r="H6" i="5865" s="1"/>
  <c r="C16" i="5865"/>
  <c r="C15" i="5865"/>
  <c r="C14" i="5865"/>
  <c r="C13" i="5865"/>
  <c r="O12" i="5865"/>
  <c r="C12" i="5865"/>
  <c r="O11" i="5865"/>
  <c r="C11" i="5865"/>
  <c r="O10" i="5865"/>
  <c r="C10" i="5865"/>
  <c r="C9" i="5865"/>
  <c r="C8" i="5865"/>
  <c r="O7" i="5865"/>
  <c r="C7" i="5865"/>
  <c r="O6" i="5865"/>
  <c r="B6" i="5865"/>
  <c r="O5" i="5865"/>
  <c r="B5" i="5865"/>
  <c r="O4" i="5865"/>
  <c r="O3" i="5865"/>
  <c r="O2" i="5865"/>
  <c r="O17" i="5855"/>
  <c r="O20" i="5863"/>
  <c r="O17" i="5863"/>
  <c r="C29" i="5863"/>
  <c r="B26" i="5863"/>
  <c r="B25" i="5863"/>
  <c r="C20" i="5863"/>
  <c r="B17" i="5863"/>
  <c r="H52" i="5863" s="1"/>
  <c r="C16" i="5863"/>
  <c r="C15" i="5863"/>
  <c r="C14" i="5863"/>
  <c r="C13" i="5863"/>
  <c r="O12" i="5863"/>
  <c r="C12" i="5863"/>
  <c r="O11" i="5863"/>
  <c r="C11" i="5863"/>
  <c r="O10" i="5863"/>
  <c r="C10" i="5863"/>
  <c r="C9" i="5863"/>
  <c r="C8" i="5863"/>
  <c r="O7" i="5863"/>
  <c r="C7" i="5863"/>
  <c r="O6" i="5863"/>
  <c r="B6" i="5863"/>
  <c r="O5" i="5863"/>
  <c r="B5" i="5863"/>
  <c r="O4" i="5863"/>
  <c r="O3" i="5863"/>
  <c r="O2" i="5863"/>
  <c r="O19" i="5855"/>
  <c r="O22" i="5855"/>
  <c r="H12" i="5863" l="1"/>
  <c r="H36" i="5863"/>
  <c r="H14" i="5863"/>
  <c r="H23" i="5863"/>
  <c r="C18" i="5863"/>
  <c r="H2" i="5863"/>
  <c r="H3" i="5863"/>
  <c r="H8" i="5863"/>
  <c r="H7" i="5863"/>
  <c r="H21" i="5863"/>
  <c r="H4" i="5867"/>
  <c r="H3" i="5867"/>
  <c r="H18" i="5867"/>
  <c r="H9" i="5867"/>
  <c r="H41" i="5867"/>
  <c r="H11" i="5867"/>
  <c r="B23" i="5867"/>
  <c r="H44" i="5867"/>
  <c r="H28" i="5867"/>
  <c r="C17" i="5867"/>
  <c r="H34" i="5867"/>
  <c r="H48" i="5867"/>
  <c r="H6" i="5867"/>
  <c r="H2" i="5867"/>
  <c r="H17" i="5867"/>
  <c r="C18" i="5867"/>
  <c r="H37" i="5867"/>
  <c r="H16" i="5867"/>
  <c r="H30" i="5867"/>
  <c r="H31" i="5867"/>
  <c r="H22" i="5867"/>
  <c r="H23" i="5867"/>
  <c r="H33" i="5867"/>
  <c r="H26" i="5867"/>
  <c r="H38" i="5867"/>
  <c r="H27" i="5867"/>
  <c r="H45" i="5867"/>
  <c r="H49" i="5867"/>
  <c r="H5" i="5867"/>
  <c r="H8" i="5867"/>
  <c r="H21" i="5867"/>
  <c r="H29" i="5867"/>
  <c r="C19" i="5867"/>
  <c r="H14" i="5867"/>
  <c r="B24" i="5867"/>
  <c r="H35" i="5867"/>
  <c r="H39" i="5867"/>
  <c r="H42" i="5867"/>
  <c r="H46" i="5867"/>
  <c r="H50" i="5867"/>
  <c r="H52" i="5867"/>
  <c r="H12" i="5867"/>
  <c r="H7" i="5867"/>
  <c r="H10" i="5867"/>
  <c r="H20" i="5867"/>
  <c r="H15" i="5867"/>
  <c r="H19" i="5867"/>
  <c r="H32" i="5867"/>
  <c r="H13" i="5867"/>
  <c r="H24" i="5867"/>
  <c r="H25" i="5867"/>
  <c r="H36" i="5867"/>
  <c r="H40" i="5867"/>
  <c r="H43" i="5867"/>
  <c r="H47" i="5867"/>
  <c r="H2" i="5865"/>
  <c r="H3" i="5865"/>
  <c r="H4" i="5865"/>
  <c r="H11" i="5865"/>
  <c r="H8" i="5865"/>
  <c r="C17" i="5865"/>
  <c r="H14" i="5865"/>
  <c r="H42" i="5865"/>
  <c r="H38" i="5865"/>
  <c r="H20" i="5865"/>
  <c r="H7" i="5865"/>
  <c r="H26" i="5865"/>
  <c r="C18" i="5865"/>
  <c r="B23" i="5865"/>
  <c r="H46" i="5865"/>
  <c r="H52" i="5865"/>
  <c r="H28" i="5865"/>
  <c r="H10" i="5865"/>
  <c r="H13" i="5865"/>
  <c r="H5" i="5865"/>
  <c r="H19" i="5865"/>
  <c r="H27" i="5865"/>
  <c r="H21" i="5865"/>
  <c r="C19" i="5865"/>
  <c r="B24" i="5865"/>
  <c r="H35" i="5865"/>
  <c r="H50" i="5865"/>
  <c r="H29" i="5865"/>
  <c r="H16" i="5865"/>
  <c r="H32" i="5865"/>
  <c r="H15" i="5865"/>
  <c r="H34" i="5865"/>
  <c r="H18" i="5865"/>
  <c r="H36" i="5865"/>
  <c r="H39" i="5865"/>
  <c r="H43" i="5865"/>
  <c r="H47" i="5865"/>
  <c r="H51" i="5865"/>
  <c r="H9" i="5865"/>
  <c r="H17" i="5865"/>
  <c r="H37" i="5865"/>
  <c r="H40" i="5865"/>
  <c r="H44" i="5865"/>
  <c r="H48" i="5865"/>
  <c r="H12" i="5865"/>
  <c r="H30" i="5865"/>
  <c r="H31" i="5865"/>
  <c r="H22" i="5865"/>
  <c r="H33" i="5865"/>
  <c r="H23" i="5865"/>
  <c r="H24" i="5865"/>
  <c r="H25" i="5865"/>
  <c r="H41" i="5865"/>
  <c r="H45" i="5865"/>
  <c r="H49" i="5865"/>
  <c r="H40" i="5863"/>
  <c r="H4" i="5863"/>
  <c r="B23" i="5863"/>
  <c r="H9" i="5863"/>
  <c r="H24" i="5863"/>
  <c r="H16" i="5863"/>
  <c r="H44" i="5863"/>
  <c r="C19" i="5863"/>
  <c r="H11" i="5863"/>
  <c r="H18" i="5863"/>
  <c r="C17" i="5863"/>
  <c r="B24" i="5863"/>
  <c r="H10" i="5863"/>
  <c r="H6" i="5863"/>
  <c r="H13" i="5863"/>
  <c r="H22" i="5863"/>
  <c r="H19" i="5863"/>
  <c r="H32" i="5863"/>
  <c r="H48" i="5863"/>
  <c r="H27" i="5863"/>
  <c r="H15" i="5863"/>
  <c r="H30" i="5863"/>
  <c r="H20" i="5863"/>
  <c r="H35" i="5863"/>
  <c r="H39" i="5863"/>
  <c r="H43" i="5863"/>
  <c r="H47" i="5863"/>
  <c r="H51" i="5863"/>
  <c r="H17" i="5863"/>
  <c r="H25" i="5863"/>
  <c r="H26" i="5863"/>
  <c r="H28" i="5863"/>
  <c r="H29" i="5863"/>
  <c r="H31" i="5863"/>
  <c r="H33" i="5863"/>
  <c r="H37" i="5863"/>
  <c r="H41" i="5863"/>
  <c r="H45" i="5863"/>
  <c r="H49" i="5863"/>
  <c r="H5" i="5863"/>
  <c r="H34" i="5863"/>
  <c r="H38" i="5863"/>
  <c r="H42" i="5863"/>
  <c r="H46" i="5863"/>
  <c r="H50" i="5863"/>
  <c r="O22" i="5861" l="1"/>
  <c r="O20" i="5861"/>
  <c r="C29" i="5861"/>
  <c r="B26" i="5861"/>
  <c r="B25" i="5861"/>
  <c r="C20" i="5861"/>
  <c r="B17" i="5861"/>
  <c r="H19" i="5861" s="1"/>
  <c r="C16" i="5861"/>
  <c r="C15" i="5861"/>
  <c r="C14" i="5861"/>
  <c r="C13" i="5861"/>
  <c r="O12" i="5861"/>
  <c r="C12" i="5861"/>
  <c r="O11" i="5861"/>
  <c r="C11" i="5861"/>
  <c r="O10" i="5861"/>
  <c r="C10" i="5861"/>
  <c r="C9" i="5861"/>
  <c r="C8" i="5861"/>
  <c r="O7" i="5861"/>
  <c r="C7" i="5861"/>
  <c r="O6" i="5861"/>
  <c r="B6" i="5861"/>
  <c r="O5" i="5861"/>
  <c r="B5" i="5861"/>
  <c r="O4" i="5861"/>
  <c r="O3" i="5861"/>
  <c r="O2" i="5861"/>
  <c r="O20" i="5859"/>
  <c r="O19" i="5859"/>
  <c r="C29" i="5859"/>
  <c r="B26" i="5859"/>
  <c r="B25" i="5859"/>
  <c r="C20" i="5859"/>
  <c r="B17" i="5859"/>
  <c r="H52" i="5859" s="1"/>
  <c r="C16" i="5859"/>
  <c r="C15" i="5859"/>
  <c r="C14" i="5859"/>
  <c r="C13" i="5859"/>
  <c r="O12" i="5859"/>
  <c r="C12" i="5859"/>
  <c r="O11" i="5859"/>
  <c r="C11" i="5859"/>
  <c r="O10" i="5859"/>
  <c r="C10" i="5859"/>
  <c r="C9" i="5859"/>
  <c r="C8" i="5859"/>
  <c r="O7" i="5859"/>
  <c r="C7" i="5859"/>
  <c r="O6" i="5859"/>
  <c r="B6" i="5859"/>
  <c r="O5" i="5859"/>
  <c r="B5" i="5859"/>
  <c r="O4" i="5859"/>
  <c r="O3" i="5859"/>
  <c r="O2" i="5859"/>
  <c r="O18" i="5855"/>
  <c r="O16" i="5857"/>
  <c r="O18" i="5857"/>
  <c r="C29" i="5857"/>
  <c r="B26" i="5857"/>
  <c r="B25" i="5857"/>
  <c r="C20" i="5857"/>
  <c r="B17" i="5857"/>
  <c r="H50" i="5857" s="1"/>
  <c r="C16" i="5857"/>
  <c r="C15" i="5857"/>
  <c r="C14" i="5857"/>
  <c r="C13" i="5857"/>
  <c r="O12" i="5857"/>
  <c r="C12" i="5857"/>
  <c r="O11" i="5857"/>
  <c r="C11" i="5857"/>
  <c r="O10" i="5857"/>
  <c r="C10" i="5857"/>
  <c r="C9" i="5857"/>
  <c r="C8" i="5857"/>
  <c r="O7" i="5857"/>
  <c r="C7" i="5857"/>
  <c r="O6" i="5857"/>
  <c r="B6" i="5857"/>
  <c r="O5" i="5857"/>
  <c r="B5" i="5857"/>
  <c r="O4" i="5857"/>
  <c r="O3" i="5857"/>
  <c r="O2" i="5857"/>
  <c r="O20" i="5855"/>
  <c r="O23" i="5855"/>
  <c r="C29" i="5855"/>
  <c r="B26" i="5855"/>
  <c r="B25" i="5855"/>
  <c r="C20" i="5855"/>
  <c r="B17" i="5855"/>
  <c r="H51" i="5855" s="1"/>
  <c r="C16" i="5855"/>
  <c r="C15" i="5855"/>
  <c r="C14" i="5855"/>
  <c r="C13" i="5855"/>
  <c r="O12" i="5855"/>
  <c r="C12" i="5855"/>
  <c r="O11" i="5855"/>
  <c r="C11" i="5855"/>
  <c r="O10" i="5855"/>
  <c r="C10" i="5855"/>
  <c r="C9" i="5855"/>
  <c r="C8" i="5855"/>
  <c r="O7" i="5855"/>
  <c r="C7" i="5855"/>
  <c r="O6" i="5855"/>
  <c r="B6" i="5855"/>
  <c r="O5" i="5855"/>
  <c r="B5" i="5855"/>
  <c r="O4" i="5855"/>
  <c r="O3" i="5855"/>
  <c r="O2" i="5855"/>
  <c r="H4" i="5859" l="1"/>
  <c r="H2" i="5861"/>
  <c r="H5" i="5861"/>
  <c r="H3" i="5861"/>
  <c r="H15" i="5855"/>
  <c r="H24" i="5857"/>
  <c r="H6" i="5857"/>
  <c r="H11" i="5861"/>
  <c r="C17" i="5861"/>
  <c r="H28" i="5861"/>
  <c r="H33" i="5861"/>
  <c r="H49" i="5861"/>
  <c r="B24" i="5861"/>
  <c r="H38" i="5861"/>
  <c r="H46" i="5861"/>
  <c r="H52" i="5861"/>
  <c r="H10" i="5861"/>
  <c r="H6" i="5861"/>
  <c r="H12" i="5861"/>
  <c r="H20" i="5861"/>
  <c r="H18" i="5861"/>
  <c r="H17" i="5861"/>
  <c r="H23" i="5861"/>
  <c r="H13" i="5861"/>
  <c r="H32" i="5861"/>
  <c r="H16" i="5861"/>
  <c r="H25" i="5861"/>
  <c r="H39" i="5861"/>
  <c r="H43" i="5861"/>
  <c r="H47" i="5861"/>
  <c r="H51" i="5861"/>
  <c r="H29" i="5861"/>
  <c r="H30" i="5861"/>
  <c r="H31" i="5861"/>
  <c r="H34" i="5861"/>
  <c r="H37" i="5861"/>
  <c r="H41" i="5861"/>
  <c r="H45" i="5861"/>
  <c r="H4" i="5861"/>
  <c r="H9" i="5861"/>
  <c r="H21" i="5861"/>
  <c r="H22" i="5861"/>
  <c r="C19" i="5861"/>
  <c r="H14" i="5861"/>
  <c r="H35" i="5861"/>
  <c r="H42" i="5861"/>
  <c r="H50" i="5861"/>
  <c r="H7" i="5861"/>
  <c r="H26" i="5861"/>
  <c r="H27" i="5861"/>
  <c r="H15" i="5861"/>
  <c r="C18" i="5861"/>
  <c r="B23" i="5861"/>
  <c r="H8" i="5861"/>
  <c r="H24" i="5861"/>
  <c r="H36" i="5861"/>
  <c r="H40" i="5861"/>
  <c r="H44" i="5861"/>
  <c r="H48" i="5861"/>
  <c r="H4" i="5855"/>
  <c r="H7" i="5859"/>
  <c r="H30" i="5859"/>
  <c r="H31" i="5859"/>
  <c r="H15" i="5859"/>
  <c r="C18" i="5859"/>
  <c r="B23" i="5859"/>
  <c r="H25" i="5859"/>
  <c r="H41" i="5859"/>
  <c r="H2" i="5859"/>
  <c r="H13" i="5859"/>
  <c r="H3" i="5859"/>
  <c r="H22" i="5859"/>
  <c r="H24" i="5859"/>
  <c r="H19" i="5859"/>
  <c r="H20" i="5859"/>
  <c r="C17" i="5859"/>
  <c r="H12" i="5859"/>
  <c r="H9" i="5859"/>
  <c r="H28" i="5859"/>
  <c r="H47" i="5859"/>
  <c r="B24" i="5859"/>
  <c r="H44" i="5859"/>
  <c r="H8" i="5859"/>
  <c r="H17" i="5859"/>
  <c r="H10" i="5859"/>
  <c r="H6" i="5859"/>
  <c r="H11" i="5859"/>
  <c r="H26" i="5859"/>
  <c r="H21" i="5859"/>
  <c r="H14" i="5859"/>
  <c r="H40" i="5859"/>
  <c r="H51" i="5859"/>
  <c r="H48" i="5859"/>
  <c r="C19" i="5859"/>
  <c r="H18" i="5859"/>
  <c r="H37" i="5859"/>
  <c r="H45" i="5859"/>
  <c r="H16" i="5859"/>
  <c r="H32" i="5859"/>
  <c r="H33" i="5859"/>
  <c r="H23" i="5859"/>
  <c r="H34" i="5859"/>
  <c r="H27" i="5859"/>
  <c r="H35" i="5859"/>
  <c r="H38" i="5859"/>
  <c r="H42" i="5859"/>
  <c r="H46" i="5859"/>
  <c r="H49" i="5859"/>
  <c r="H5" i="5859"/>
  <c r="H36" i="5859"/>
  <c r="H39" i="5859"/>
  <c r="H43" i="5859"/>
  <c r="H29" i="5859"/>
  <c r="H50" i="5859"/>
  <c r="H13" i="5857"/>
  <c r="H3" i="5857"/>
  <c r="H39" i="5857"/>
  <c r="H23" i="5857"/>
  <c r="B23" i="5857"/>
  <c r="H43" i="5857"/>
  <c r="H8" i="5857"/>
  <c r="H9" i="5857"/>
  <c r="H32" i="5857"/>
  <c r="H47" i="5857"/>
  <c r="C17" i="5857"/>
  <c r="H2" i="5857"/>
  <c r="H22" i="5857"/>
  <c r="C18" i="5857"/>
  <c r="H35" i="5857"/>
  <c r="H51" i="5857"/>
  <c r="H26" i="5857"/>
  <c r="H27" i="5857"/>
  <c r="H29" i="5857"/>
  <c r="H30" i="5857"/>
  <c r="H31" i="5857"/>
  <c r="H21" i="5857"/>
  <c r="H36" i="5857"/>
  <c r="H40" i="5857"/>
  <c r="H44" i="5857"/>
  <c r="H48" i="5857"/>
  <c r="H4" i="5857"/>
  <c r="H7" i="5857"/>
  <c r="H19" i="5857"/>
  <c r="H20" i="5857"/>
  <c r="C19" i="5857"/>
  <c r="H11" i="5857"/>
  <c r="B24" i="5857"/>
  <c r="H33" i="5857"/>
  <c r="H37" i="5857"/>
  <c r="H41" i="5857"/>
  <c r="H45" i="5857"/>
  <c r="H49" i="5857"/>
  <c r="H52" i="5857"/>
  <c r="H12" i="5857"/>
  <c r="H5" i="5857"/>
  <c r="H10" i="5857"/>
  <c r="H18" i="5857"/>
  <c r="H25" i="5857"/>
  <c r="H14" i="5857"/>
  <c r="H28" i="5857"/>
  <c r="H15" i="5857"/>
  <c r="H17" i="5857"/>
  <c r="H16" i="5857"/>
  <c r="H34" i="5857"/>
  <c r="H38" i="5857"/>
  <c r="H42" i="5857"/>
  <c r="H46" i="5857"/>
  <c r="H9" i="5855"/>
  <c r="H3" i="5855"/>
  <c r="H42" i="5855"/>
  <c r="H45" i="5855"/>
  <c r="H7" i="5855"/>
  <c r="H21" i="5855"/>
  <c r="H48" i="5855"/>
  <c r="H11" i="5855"/>
  <c r="H35" i="5855"/>
  <c r="B23" i="5855"/>
  <c r="C17" i="5855"/>
  <c r="H2" i="5855"/>
  <c r="H26" i="5855"/>
  <c r="C18" i="5855"/>
  <c r="H39" i="5855"/>
  <c r="H16" i="5855"/>
  <c r="H36" i="5855"/>
  <c r="H37" i="5855"/>
  <c r="H24" i="5855"/>
  <c r="H30" i="5855"/>
  <c r="H31" i="5855"/>
  <c r="H28" i="5855"/>
  <c r="H32" i="5855"/>
  <c r="H33" i="5855"/>
  <c r="H46" i="5855"/>
  <c r="H49" i="5855"/>
  <c r="H5" i="5855"/>
  <c r="H8" i="5855"/>
  <c r="H20" i="5855"/>
  <c r="H23" i="5855"/>
  <c r="C19" i="5855"/>
  <c r="H13" i="5855"/>
  <c r="B24" i="5855"/>
  <c r="H38" i="5855"/>
  <c r="H40" i="5855"/>
  <c r="H43" i="5855"/>
  <c r="H34" i="5855"/>
  <c r="H50" i="5855"/>
  <c r="H52" i="5855"/>
  <c r="H10" i="5855"/>
  <c r="H6" i="5855"/>
  <c r="H12" i="5855"/>
  <c r="H22" i="5855"/>
  <c r="H19" i="5855"/>
  <c r="H17" i="5855"/>
  <c r="H27" i="5855"/>
  <c r="H14" i="5855"/>
  <c r="H25" i="5855"/>
  <c r="H18" i="5855"/>
  <c r="H29" i="5855"/>
  <c r="H41" i="5855"/>
  <c r="H44" i="5855"/>
  <c r="H47" i="5855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<sst xmlns="http://schemas.openxmlformats.org/spreadsheetml/2006/main" count="2842" uniqueCount="244">
  <si>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</si>
  <si>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</si>
  <si>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</si>
  <si>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</si>
  <si>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</si>
  <si>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</si>
  <si>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</si>
  <si>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</si>
  <si>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</si>
  <si>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</si>
  <si>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</si>
  <si>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</si>
  <si>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</si>
  <si>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</si>
  <si>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</si>
  <si>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</si>
  <si>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</si>
  <si>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</si>
  <si>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</si>
  <si>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</si>
  <si>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</si>
  <si>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</si>
  <si>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</si>
  <si>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</si>
  <si>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</si>
  <si>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</si>
  <si>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</si>
  <si>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</si>
  <si>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</si>
  <si>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</si>
  <si>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</si>
  <si>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</si>
  <si>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</si>
  <si>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</si>
  <si>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</si>
  <si>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</si>
  <si>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</si>
  <si>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</si>
  <si>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</si>
  <si>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</si>
  <si>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</si>
  <si>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</si>
  <si>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</si>
  <si>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</si>
  <si>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</si>
  <si>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</si>
  <si>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</si>
  <si>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</si>
  <si>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</si>
  <si>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</si>
  <si>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</si>
  <si>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</si>
  <si>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</si>
  <si>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</si>
  <si>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</si>
  <si>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</si>
  <si>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</si>
  <si>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</si>
  <si>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</si>
  <si>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</si>
  <si>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</si>
  <si>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</si>
  <si>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</si>
  <si>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</si>
  <si>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</si>
  <si>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</si>
  <si>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</si>
  <si>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</si>
  <si>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</si>
  <si>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</si>
  <si>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</si>
  <si>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</si>
  <si>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</si>
  <si>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</si>
  <si>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</si>
  <si>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</si>
  <si>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</si>
  <si>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</si>
  <si>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</si>
  <si>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</si>
  <si>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</si>
  <si>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</si>
  <si>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</si>
  <si>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</si>
  <si>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</si>
  <si>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</si>
  <si>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</si>
  <si>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</si>
  <si>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</si>
  <si>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</si>
  <si>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</si>
  <si>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</si>
  <si>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</si>
  <si>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</si>
  <si>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</si>
  <si>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</si>
  <si>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</si>
  <si>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</si>
  <si>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</si>
  <si>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</si>
  <si>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</si>
  <si>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</si>
  <si>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</si>
  <si>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</si>
  <si>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</si>
  <si>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</si>
  <si>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</si>
  <si>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</si>
  <si>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</si>
  <si>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</si>
  <si>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</si>
  <si>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</si>
  <si>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</si>
  <si>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</si>
  <si>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</si>
  <si>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</si>
  <si>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</si>
  <si>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</si>
  <si>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</si>
  <si>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</si>
  <si>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</si>
  <si>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</si>
  <si>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</si>
  <si>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</si>
  <si>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</si>
  <si>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</si>
  <si>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</si>
  <si>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</si>
  <si>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</si>
  <si>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</si>
  <si>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</si>
  <si>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</si>
  <si>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</si>
  <si>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</si>
  <si>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</si>
  <si>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</si>
  <si>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</si>
  <si>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</si>
  <si>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</si>
  <si>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</si>
  <si>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</si>
  <si>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</si>
  <si>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</si>
  <si>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</si>
  <si>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</si>
  <si>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</si>
  <si>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</si>
  <si>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</si>
  <si>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</si>
  <si>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</si>
  <si>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</si>
  <si>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</si>
  <si>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</si>
  <si>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</si>
  <si>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</si>
  <si>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</si>
  <si>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</si>
  <si>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</si>
  <si>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</si>
  <si>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</si>
  <si>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</si>
  <si>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</si>
  <si>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</si>
  <si>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</si>
  <si>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</si>
  <si>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</si>
  <si>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</si>
  <si>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</si>
  <si>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</si>
  <si>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</si>
  <si>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</si>
  <si>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</si>
  <si>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</si>
  <si>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</si>
  <si>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</si>
  <si>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</si>
  <si>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</si>
  <si>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</si>
  <si>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</si>
  <si>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</si>
  <si>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</si>
  <si>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</si>
  <si>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</si>
  <si>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</si>
  <si>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</si>
  <si>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</si>
  <si>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</si>
  <si>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</si>
  <si>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</si>
  <si>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</si>
  <si>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</si>
  <si>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</si>
  <si>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</si>
  <si>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</si>
  <si>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</si>
  <si>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</si>
  <si>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</si>
  <si>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</si>
  <si>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</si>
  <si>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</si>
  <si>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</si>
  <si>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</si>
  <si>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</si>
  <si>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</si>
  <si>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</si>
  <si>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</si>
  <si>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</si>
  <si>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</si>
  <si>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</si>
  <si>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</si>
  <si>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</si>
  <si>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</si>
  <si>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</si>
  <si>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</si>
  <si>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</si>
  <si>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</si>
  <si>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</si>
  <si>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</si>
  <si>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</si>
  <si>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</si>
  <si>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</si>
  <si>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</si>
  <si>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</si>
  <si>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</si>
  <si>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</si>
  <si>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</si>
  <si>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</si>
  <si>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</si>
  <si>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</si>
  <si>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</si>
  <si>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</si>
  <si>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</si>
  <si>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</si>
  <si>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</si>
  <si>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</si>
  <si>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</si>
  <si>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</si>
  <si>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2019-11-01@4.xlsm</t>
  </si>
  <si>
    <t>2019-11-01@2.xlsm</t>
  </si>
  <si>
    <t>2019-11-02@2.xlsm</t>
  </si>
  <si>
    <t>2019-11-03@2.xlsm</t>
  </si>
  <si>
    <t>2019-11-04@2.xlsm</t>
  </si>
  <si>
    <t>2019-11-05@2.xlsm</t>
  </si>
  <si>
    <t>2019-11-11@2.xlsm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</si>
</sst>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全体!$K$2:$K$545</c:f>
              <c:numCache>
                <c:formatCode>General</c:formatCode>
                <c:ptCount val="5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</c:numCache>
            </c:numRef>
          </c:xVal>
          <c:yVal>
            <c:numRef>
              <c:f>全体!$L$2:$L$545</c:f>
              <c:numCache>
                <c:formatCode>\+0.0;\-0.0;\±0</c:formatCode>
                <c:ptCount val="544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9-4D36-9099-E403D23B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-20.37037037037037</c:v>
                </c:pt>
                <c:pt idx="1">
                  <c:v>5.6818181818181817</c:v>
                </c:pt>
                <c:pt idx="2">
                  <c:v>-13.972055888223553</c:v>
                </c:pt>
                <c:pt idx="3">
                  <c:v>10.548523206751055</c:v>
                </c:pt>
                <c:pt idx="4">
                  <c:v>11.415525114155251</c:v>
                </c:pt>
                <c:pt idx="5">
                  <c:v>13.66120218579235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0-4DCE-A0CC-525D8C6BB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37-4418-B05B-CCC37AE08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1472.9166666666667</c:v>
                </c:pt>
                <c:pt idx="1">
                  <c:v>-800</c:v>
                </c:pt>
                <c:pt idx="2">
                  <c:v>-1280</c:v>
                </c:pt>
                <c:pt idx="3">
                  <c:v>-1259.090909090909</c:v>
                </c:pt>
                <c:pt idx="4">
                  <c:v>-475</c:v>
                </c:pt>
                <c:pt idx="5">
                  <c:v>-2142.1052631578946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7C-49C4-ABA4-49CB0A757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だいち!$K$2:$K$116</c:f>
              <c:numCache>
                <c:formatCode>General</c:formatCode>
                <c:ptCount val="1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</c:numCache>
            </c:numRef>
          </c:xVal>
          <c:yVal>
            <c:numRef>
              <c:f>だいち!$L$2:$L$116</c:f>
              <c:numCache>
                <c:formatCode>\+0.0;\-0.0;\±0</c:formatCode>
                <c:ptCount val="115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4D-4BF6-BE4A-0CAA35406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1412.3893805309735</c:v>
                </c:pt>
                <c:pt idx="1">
                  <c:v>564.5454545454545</c:v>
                </c:pt>
                <c:pt idx="2">
                  <c:v>999.05660377358492</c:v>
                </c:pt>
                <c:pt idx="3">
                  <c:v>414.43298969072163</c:v>
                </c:pt>
                <c:pt idx="4">
                  <c:v>2001.1111111111111</c:v>
                </c:pt>
                <c:pt idx="5">
                  <c:v>3035.6164383561645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C7-4DB9-8BF3-6BC52EAFE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ただ!$L$2:$L$104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6-4835-A82E-9D7C9EC10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-1956.4356435643565</c:v>
                </c:pt>
                <c:pt idx="1">
                  <c:v>1178.7878787878788</c:v>
                </c:pt>
                <c:pt idx="2">
                  <c:v>260.21505376344084</c:v>
                </c:pt>
                <c:pt idx="3">
                  <c:v>666.66666666666663</c:v>
                </c:pt>
                <c:pt idx="4">
                  <c:v>-1180</c:v>
                </c:pt>
                <c:pt idx="5">
                  <c:v>1248.5294117647059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2-42CE-ACDD-FCC053D2E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りくと!$L$2:$L$66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4-49FD-8194-A7971624C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-115.87301587301587</c:v>
                </c:pt>
                <c:pt idx="1">
                  <c:v>-988.88888888888891</c:v>
                </c:pt>
                <c:pt idx="2">
                  <c:v>947.45762711864404</c:v>
                </c:pt>
                <c:pt idx="3">
                  <c:v>-1389.655172413793</c:v>
                </c:pt>
                <c:pt idx="4">
                  <c:v>-3281.818181818182</c:v>
                </c:pt>
                <c:pt idx="5">
                  <c:v>-1214.2857142857142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81-4A53-935C-B625E9102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れんたろう!$L$2:$L$62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9E-41EB-A6B5-6D958486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1948.3333333333333</c:v>
                </c:pt>
                <c:pt idx="1">
                  <c:v>-2243.1034482758619</c:v>
                </c:pt>
                <c:pt idx="2">
                  <c:v>1046.2962962962963</c:v>
                </c:pt>
                <c:pt idx="3">
                  <c:v>3751.9230769230771</c:v>
                </c:pt>
                <c:pt idx="4">
                  <c:v>1241.6666666666667</c:v>
                </c:pt>
                <c:pt idx="5">
                  <c:v>-313.15789473684208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6D-4C37-A15E-1593DF1C5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まっつん!$L$2:$L$91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B2-4496-A1D5-744524F7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538.20224719101122</c:v>
                </c:pt>
                <c:pt idx="1">
                  <c:v>738.37209302325584</c:v>
                </c:pt>
                <c:pt idx="2">
                  <c:v>-1130</c:v>
                </c:pt>
                <c:pt idx="3">
                  <c:v>-208.1081081081081</c:v>
                </c:pt>
                <c:pt idx="4">
                  <c:v>-760</c:v>
                </c:pt>
                <c:pt idx="5">
                  <c:v>-828.57142857142856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D7-46D8-8245-64C5EDC05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のり!$L$2:$L$36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D2-4FCE-AAE1-31201BE31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-2729.4117647058824</c:v>
                </c:pt>
                <c:pt idx="1">
                  <c:v>220.58823529411765</c:v>
                </c:pt>
                <c:pt idx="2">
                  <c:v>-2411.7647058823532</c:v>
                </c:pt>
                <c:pt idx="3">
                  <c:v>-2556.25</c:v>
                </c:pt>
                <c:pt idx="4">
                  <c:v>-1103.2258064516129</c:v>
                </c:pt>
                <c:pt idx="5">
                  <c:v>-3744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7-469A-B478-8598742BA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ぱぱ!$L$2:$L$25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3B-445F-9080-52278071B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-3173.913043478261</c:v>
                </c:pt>
                <c:pt idx="1">
                  <c:v>-582.60869565217388</c:v>
                </c:pt>
                <c:pt idx="2">
                  <c:v>1086.3636363636363</c:v>
                </c:pt>
                <c:pt idx="3">
                  <c:v>-2318.181818181818</c:v>
                </c:pt>
                <c:pt idx="4">
                  <c:v>5950</c:v>
                </c:pt>
                <c:pt idx="5">
                  <c:v>112.5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3-4E49-88E1-2811263FF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6B-43B3-86B1-FC4CFD7B4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58-4824-906C-812514C8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0A-422A-9120-C93635261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9E-4E08-8DEE-7214F559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まっつん2!$B$3:$B$92</c:f>
              <c:numCache>
                <c:formatCode>\+0.0;\-0.0;\±0</c:formatCode>
                <c:ptCount val="90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973799150320701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まっつん2!$C$3:$C$92</c:f>
              <c:numCache>
                <c:formatCode>\+0.0;\-0.0;\±0</c:formatCode>
                <c:ptCount val="90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  <c:pt idx="44">
                  <c:v>0.26363636363636417</c:v>
                </c:pt>
                <c:pt idx="45">
                  <c:v>-0.51777777777777723</c:v>
                </c:pt>
                <c:pt idx="46">
                  <c:v>-0.24130434782608645</c:v>
                </c:pt>
                <c:pt idx="47">
                  <c:v>-0.66170212765957392</c:v>
                </c:pt>
                <c:pt idx="48">
                  <c:v>-0.38541666666666624</c:v>
                </c:pt>
                <c:pt idx="49">
                  <c:v>0.14489795918367393</c:v>
                </c:pt>
                <c:pt idx="50">
                  <c:v>0.13000000000000045</c:v>
                </c:pt>
                <c:pt idx="51">
                  <c:v>-5.8823529411760143E-3</c:v>
                </c:pt>
                <c:pt idx="52">
                  <c:v>0.16923076923076966</c:v>
                </c:pt>
                <c:pt idx="53">
                  <c:v>0.10943396226415136</c:v>
                </c:pt>
                <c:pt idx="54">
                  <c:v>-0.23148148148148109</c:v>
                </c:pt>
                <c:pt idx="55">
                  <c:v>0.66181818181818219</c:v>
                </c:pt>
                <c:pt idx="56">
                  <c:v>-6.607142857142824E-2</c:v>
                </c:pt>
                <c:pt idx="57">
                  <c:v>0.22631578947368455</c:v>
                </c:pt>
                <c:pt idx="58">
                  <c:v>0.65000000000000024</c:v>
                </c:pt>
                <c:pt idx="59">
                  <c:v>1.3050847457627122</c:v>
                </c:pt>
                <c:pt idx="60">
                  <c:v>0.3516666666666669</c:v>
                </c:pt>
                <c:pt idx="61">
                  <c:v>0.44426229508196746</c:v>
                </c:pt>
                <c:pt idx="62">
                  <c:v>0.19032258064516153</c:v>
                </c:pt>
                <c:pt idx="63">
                  <c:v>0.73650793650793678</c:v>
                </c:pt>
                <c:pt idx="64">
                  <c:v>0.62343750000000031</c:v>
                </c:pt>
                <c:pt idx="65">
                  <c:v>0.22461538461538491</c:v>
                </c:pt>
                <c:pt idx="66">
                  <c:v>-9.5454545454545139E-2</c:v>
                </c:pt>
                <c:pt idx="67">
                  <c:v>-4.1791044776119092E-2</c:v>
                </c:pt>
                <c:pt idx="68">
                  <c:v>-0.52647058823529391</c:v>
                </c:pt>
                <c:pt idx="69">
                  <c:v>-0.86811594202898523</c:v>
                </c:pt>
                <c:pt idx="70">
                  <c:v>-0.7085714285714283</c:v>
                </c:pt>
                <c:pt idx="71">
                  <c:v>-0.76056338028168979</c:v>
                </c:pt>
                <c:pt idx="72">
                  <c:v>-0.94722222222222185</c:v>
                </c:pt>
                <c:pt idx="73">
                  <c:v>-0.89999999999999969</c:v>
                </c:pt>
                <c:pt idx="74">
                  <c:v>-0.48108108108108072</c:v>
                </c:pt>
                <c:pt idx="75">
                  <c:v>-0.49999999999999961</c:v>
                </c:pt>
                <c:pt idx="76">
                  <c:v>-0.37105263157894697</c:v>
                </c:pt>
                <c:pt idx="77">
                  <c:v>-1.1337662337662333</c:v>
                </c:pt>
                <c:pt idx="78">
                  <c:v>-1.71025641025641</c:v>
                </c:pt>
                <c:pt idx="79">
                  <c:v>-2.1518987341772147</c:v>
                </c:pt>
                <c:pt idx="80">
                  <c:v>-2.0724999999999998</c:v>
                </c:pt>
                <c:pt idx="81">
                  <c:v>-1.4320987654320987</c:v>
                </c:pt>
                <c:pt idx="82">
                  <c:v>-1.4292682926829268</c:v>
                </c:pt>
                <c:pt idx="83">
                  <c:v>-1.5493975903614456</c:v>
                </c:pt>
                <c:pt idx="84">
                  <c:v>-1.4261904761904762</c:v>
                </c:pt>
                <c:pt idx="85">
                  <c:v>-1.1458823529411766</c:v>
                </c:pt>
                <c:pt idx="86">
                  <c:v>-0.97441860465116292</c:v>
                </c:pt>
                <c:pt idx="87">
                  <c:v>-0.65977011494252891</c:v>
                </c:pt>
                <c:pt idx="88">
                  <c:v>-0.71818181818181825</c:v>
                </c:pt>
                <c:pt idx="89">
                  <c:v>-1.3438202247191011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159851105562985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まっつん2!$D$3:$D$92</c:f>
              <c:numCache>
                <c:formatCode>0.00\ "位"</c:formatCode>
                <c:ptCount val="90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2.0909090909090908</c:v>
                </c:pt>
                <c:pt idx="45">
                  <c:v>2.1111111111111112</c:v>
                </c:pt>
                <c:pt idx="46">
                  <c:v>2.1086956521739131</c:v>
                </c:pt>
                <c:pt idx="47">
                  <c:v>2.1063829787234041</c:v>
                </c:pt>
                <c:pt idx="48">
                  <c:v>2.1041666666666665</c:v>
                </c:pt>
                <c:pt idx="49">
                  <c:v>2.0816326530612246</c:v>
                </c:pt>
                <c:pt idx="50">
                  <c:v>2.08</c:v>
                </c:pt>
                <c:pt idx="51">
                  <c:v>2.0784313725490198</c:v>
                </c:pt>
                <c:pt idx="52">
                  <c:v>2.0769230769230771</c:v>
                </c:pt>
                <c:pt idx="53">
                  <c:v>2.0754716981132075</c:v>
                </c:pt>
                <c:pt idx="54">
                  <c:v>2.0925925925925926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2.0499999999999998</c:v>
                </c:pt>
                <c:pt idx="61">
                  <c:v>2.0491803278688523</c:v>
                </c:pt>
                <c:pt idx="62">
                  <c:v>2.064516129032258</c:v>
                </c:pt>
                <c:pt idx="63">
                  <c:v>2.0476190476190474</c:v>
                </c:pt>
                <c:pt idx="64">
                  <c:v>2.046875</c:v>
                </c:pt>
                <c:pt idx="65">
                  <c:v>2.0615384615384613</c:v>
                </c:pt>
                <c:pt idx="66">
                  <c:v>2.0757575757575757</c:v>
                </c:pt>
                <c:pt idx="67">
                  <c:v>2.0746268656716418</c:v>
                </c:pt>
                <c:pt idx="68">
                  <c:v>2.0735294117647061</c:v>
                </c:pt>
                <c:pt idx="69">
                  <c:v>2.0869565217391304</c:v>
                </c:pt>
                <c:pt idx="70">
                  <c:v>2.0857142857142859</c:v>
                </c:pt>
                <c:pt idx="71">
                  <c:v>2.084507042253521</c:v>
                </c:pt>
                <c:pt idx="72">
                  <c:v>2.0833333333333335</c:v>
                </c:pt>
                <c:pt idx="73">
                  <c:v>2.0821917808219177</c:v>
                </c:pt>
                <c:pt idx="74">
                  <c:v>2.0675675675675675</c:v>
                </c:pt>
                <c:pt idx="75">
                  <c:v>2.0666666666666669</c:v>
                </c:pt>
                <c:pt idx="76">
                  <c:v>2.0657894736842106</c:v>
                </c:pt>
                <c:pt idx="77">
                  <c:v>2.0779220779220777</c:v>
                </c:pt>
                <c:pt idx="78">
                  <c:v>2.0897435897435899</c:v>
                </c:pt>
                <c:pt idx="79">
                  <c:v>2.1012658227848102</c:v>
                </c:pt>
                <c:pt idx="80">
                  <c:v>2.1</c:v>
                </c:pt>
                <c:pt idx="81">
                  <c:v>2.0864197530864197</c:v>
                </c:pt>
                <c:pt idx="82">
                  <c:v>2.0853658536585367</c:v>
                </c:pt>
                <c:pt idx="83">
                  <c:v>2.0843373493975905</c:v>
                </c:pt>
                <c:pt idx="84">
                  <c:v>2.0833333333333335</c:v>
                </c:pt>
                <c:pt idx="85">
                  <c:v>2.0705882352941178</c:v>
                </c:pt>
                <c:pt idx="86">
                  <c:v>2.058139534883721</c:v>
                </c:pt>
                <c:pt idx="87">
                  <c:v>2.0459770114942528</c:v>
                </c:pt>
                <c:pt idx="88">
                  <c:v>2.0454545454545454</c:v>
                </c:pt>
                <c:pt idx="89">
                  <c:v>2.0561797752808988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まっつん2!$E$3:$E$92</c:f>
              <c:numCache>
                <c:formatCode>0.0%</c:formatCode>
                <c:ptCount val="90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0.21428571428571427</c:v>
                </c:pt>
                <c:pt idx="71">
                  <c:v>0.21126760563380281</c:v>
                </c:pt>
                <c:pt idx="72">
                  <c:v>0.20833333333333334</c:v>
                </c:pt>
                <c:pt idx="73">
                  <c:v>0.20547945205479451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0.20779220779220781</c:v>
                </c:pt>
                <c:pt idx="78">
                  <c:v>0.20512820512820512</c:v>
                </c:pt>
                <c:pt idx="79">
                  <c:v>0.20253164556962025</c:v>
                </c:pt>
                <c:pt idx="80">
                  <c:v>0.2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0.20481927710843373</c:v>
                </c:pt>
                <c:pt idx="84">
                  <c:v>0.20238095238095238</c:v>
                </c:pt>
                <c:pt idx="85">
                  <c:v>0.21176470588235294</c:v>
                </c:pt>
                <c:pt idx="86">
                  <c:v>0.22093023255813954</c:v>
                </c:pt>
                <c:pt idx="87">
                  <c:v>0.22988505747126436</c:v>
                </c:pt>
                <c:pt idx="88">
                  <c:v>0.22727272727272727</c:v>
                </c:pt>
                <c:pt idx="89">
                  <c:v>0.2247191011235955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まっつん2!$F$3:$F$92</c:f>
              <c:numCache>
                <c:formatCode>0.0%</c:formatCode>
                <c:ptCount val="90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0.29032258064516131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0.30434782608695654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0.28378378378378377</c:v>
                </c:pt>
                <c:pt idx="75">
                  <c:v>0.28000000000000003</c:v>
                </c:pt>
                <c:pt idx="76">
                  <c:v>0.27631578947368424</c:v>
                </c:pt>
                <c:pt idx="77">
                  <c:v>0.2857142857142857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0.28915662650602408</c:v>
                </c:pt>
                <c:pt idx="84">
                  <c:v>0.2857142857142857</c:v>
                </c:pt>
                <c:pt idx="85">
                  <c:v>0.28235294117647058</c:v>
                </c:pt>
                <c:pt idx="86">
                  <c:v>0.27906976744186046</c:v>
                </c:pt>
                <c:pt idx="87">
                  <c:v>0.27586206896551724</c:v>
                </c:pt>
                <c:pt idx="88">
                  <c:v>0.27272727272727271</c:v>
                </c:pt>
                <c:pt idx="89">
                  <c:v>0.2808988764044944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まっつん2!$G$3:$G$92</c:f>
              <c:numCache>
                <c:formatCode>0.0%</c:formatCode>
                <c:ptCount val="90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  <c:pt idx="44">
                  <c:v>0.28732394366197184</c:v>
                </c:pt>
                <c:pt idx="45">
                  <c:v>0.28415300546448086</c:v>
                </c:pt>
                <c:pt idx="46">
                  <c:v>0.28301886792452829</c:v>
                </c:pt>
                <c:pt idx="47">
                  <c:v>0.28238341968911918</c:v>
                </c:pt>
                <c:pt idx="48">
                  <c:v>0.28498727735368956</c:v>
                </c:pt>
                <c:pt idx="49">
                  <c:v>0.28499999999999998</c:v>
                </c:pt>
                <c:pt idx="50">
                  <c:v>0.28186274509803921</c:v>
                </c:pt>
                <c:pt idx="51">
                  <c:v>0.27751196172248804</c:v>
                </c:pt>
                <c:pt idx="52">
                  <c:v>0.28000000000000003</c:v>
                </c:pt>
                <c:pt idx="53">
                  <c:v>0.28175519630484991</c:v>
                </c:pt>
                <c:pt idx="54">
                  <c:v>0.28018223234624146</c:v>
                </c:pt>
                <c:pt idx="55">
                  <c:v>0.28442437923250563</c:v>
                </c:pt>
                <c:pt idx="56">
                  <c:v>0.2807017543859649</c:v>
                </c:pt>
                <c:pt idx="57">
                  <c:v>0.2832618025751073</c:v>
                </c:pt>
                <c:pt idx="58">
                  <c:v>0.28361344537815125</c:v>
                </c:pt>
                <c:pt idx="59">
                  <c:v>0.28985507246376813</c:v>
                </c:pt>
                <c:pt idx="60">
                  <c:v>0.28888888888888886</c:v>
                </c:pt>
                <c:pt idx="61">
                  <c:v>0.28769841269841268</c:v>
                </c:pt>
                <c:pt idx="62">
                  <c:v>0.287109375</c:v>
                </c:pt>
                <c:pt idx="63">
                  <c:v>0.28875968992248063</c:v>
                </c:pt>
                <c:pt idx="64">
                  <c:v>0.28927203065134099</c:v>
                </c:pt>
                <c:pt idx="65">
                  <c:v>0.28625235404896421</c:v>
                </c:pt>
                <c:pt idx="66">
                  <c:v>0.28491620111731841</c:v>
                </c:pt>
                <c:pt idx="67">
                  <c:v>0.28623853211009176</c:v>
                </c:pt>
                <c:pt idx="68">
                  <c:v>0.28442028985507245</c:v>
                </c:pt>
                <c:pt idx="69">
                  <c:v>0.28264758497316639</c:v>
                </c:pt>
                <c:pt idx="70">
                  <c:v>0.28368794326241137</c:v>
                </c:pt>
                <c:pt idx="71">
                  <c:v>0.28196147110332748</c:v>
                </c:pt>
                <c:pt idx="72">
                  <c:v>0.28151986183074268</c:v>
                </c:pt>
                <c:pt idx="73">
                  <c:v>0.28034188034188035</c:v>
                </c:pt>
                <c:pt idx="74">
                  <c:v>0.28499156829679595</c:v>
                </c:pt>
                <c:pt idx="75">
                  <c:v>0.28499999999999998</c:v>
                </c:pt>
                <c:pt idx="76">
                  <c:v>0.28547854785478549</c:v>
                </c:pt>
                <c:pt idx="77">
                  <c:v>0.28038897893030795</c:v>
                </c:pt>
                <c:pt idx="78">
                  <c:v>0.27768860353130015</c:v>
                </c:pt>
                <c:pt idx="79">
                  <c:v>0.27760252365930599</c:v>
                </c:pt>
                <c:pt idx="80">
                  <c:v>0.27856025039123633</c:v>
                </c:pt>
                <c:pt idx="81">
                  <c:v>0.28328173374613003</c:v>
                </c:pt>
                <c:pt idx="82">
                  <c:v>0.28287461773700306</c:v>
                </c:pt>
                <c:pt idx="83">
                  <c:v>0.27987897125567324</c:v>
                </c:pt>
                <c:pt idx="84">
                  <c:v>0.28035982008995503</c:v>
                </c:pt>
                <c:pt idx="85">
                  <c:v>0.28041543026706234</c:v>
                </c:pt>
                <c:pt idx="86">
                  <c:v>0.28111273792093705</c:v>
                </c:pt>
                <c:pt idx="87">
                  <c:v>0.28260869565217389</c:v>
                </c:pt>
                <c:pt idx="88">
                  <c:v>0.28307254623044098</c:v>
                </c:pt>
                <c:pt idx="89">
                  <c:v>0.28212290502793297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727553496580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まっつん2!$H$3:$H$92</c:f>
              <c:numCache>
                <c:formatCode>0.0%</c:formatCode>
                <c:ptCount val="90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  <c:pt idx="44">
                  <c:v>0.14647887323943662</c:v>
                </c:pt>
                <c:pt idx="45">
                  <c:v>0.1448087431693989</c:v>
                </c:pt>
                <c:pt idx="46">
                  <c:v>0.14285714285714285</c:v>
                </c:pt>
                <c:pt idx="47">
                  <c:v>0.14248704663212436</c:v>
                </c:pt>
                <c:pt idx="48">
                  <c:v>0.13994910941475827</c:v>
                </c:pt>
                <c:pt idx="49">
                  <c:v>0.14000000000000001</c:v>
                </c:pt>
                <c:pt idx="50">
                  <c:v>0.13970588235294118</c:v>
                </c:pt>
                <c:pt idx="51">
                  <c:v>0.13636363636363635</c:v>
                </c:pt>
                <c:pt idx="52">
                  <c:v>0.13411764705882354</c:v>
                </c:pt>
                <c:pt idx="53">
                  <c:v>0.13163972286374134</c:v>
                </c:pt>
                <c:pt idx="54">
                  <c:v>0.12984054669703873</c:v>
                </c:pt>
                <c:pt idx="55">
                  <c:v>0.12866817155756208</c:v>
                </c:pt>
                <c:pt idx="56">
                  <c:v>0.1337719298245614</c:v>
                </c:pt>
                <c:pt idx="57">
                  <c:v>0.13304721030042918</c:v>
                </c:pt>
                <c:pt idx="58">
                  <c:v>0.13025210084033614</c:v>
                </c:pt>
                <c:pt idx="59">
                  <c:v>0.13043478260869565</c:v>
                </c:pt>
                <c:pt idx="60">
                  <c:v>0.13333333333333333</c:v>
                </c:pt>
                <c:pt idx="61">
                  <c:v>0.13095238095238096</c:v>
                </c:pt>
                <c:pt idx="62">
                  <c:v>0.130859375</c:v>
                </c:pt>
                <c:pt idx="63">
                  <c:v>0.12984496124031009</c:v>
                </c:pt>
                <c:pt idx="64">
                  <c:v>0.13026819923371646</c:v>
                </c:pt>
                <c:pt idx="65">
                  <c:v>0.128060263653484</c:v>
                </c:pt>
                <c:pt idx="66">
                  <c:v>0.1266294227188082</c:v>
                </c:pt>
                <c:pt idx="67">
                  <c:v>0.12477064220183487</c:v>
                </c:pt>
                <c:pt idx="68">
                  <c:v>0.125</c:v>
                </c:pt>
                <c:pt idx="69">
                  <c:v>0.12701252236135957</c:v>
                </c:pt>
                <c:pt idx="70">
                  <c:v>0.12588652482269502</c:v>
                </c:pt>
                <c:pt idx="71">
                  <c:v>0.12784588441330999</c:v>
                </c:pt>
                <c:pt idx="72">
                  <c:v>0.12780656303972365</c:v>
                </c:pt>
                <c:pt idx="73">
                  <c:v>0.12820512820512819</c:v>
                </c:pt>
                <c:pt idx="74">
                  <c:v>0.12816188870151771</c:v>
                </c:pt>
                <c:pt idx="75">
                  <c:v>0.13</c:v>
                </c:pt>
                <c:pt idx="76">
                  <c:v>0.132013201320132</c:v>
                </c:pt>
                <c:pt idx="77">
                  <c:v>0.13452188006482982</c:v>
                </c:pt>
                <c:pt idx="78">
                  <c:v>0.13643659711075443</c:v>
                </c:pt>
                <c:pt idx="79">
                  <c:v>0.13880126182965299</c:v>
                </c:pt>
                <c:pt idx="80">
                  <c:v>0.13771517996870108</c:v>
                </c:pt>
                <c:pt idx="81">
                  <c:v>0.13777089783281735</c:v>
                </c:pt>
                <c:pt idx="82">
                  <c:v>0.13608562691131498</c:v>
                </c:pt>
                <c:pt idx="83">
                  <c:v>0.13615733736762481</c:v>
                </c:pt>
                <c:pt idx="84">
                  <c:v>0.13493253373313344</c:v>
                </c:pt>
                <c:pt idx="85">
                  <c:v>0.13649851632047477</c:v>
                </c:pt>
                <c:pt idx="86">
                  <c:v>0.13469985358711567</c:v>
                </c:pt>
                <c:pt idx="87">
                  <c:v>0.13333333333333333</c:v>
                </c:pt>
                <c:pt idx="88">
                  <c:v>0.1337126600284495</c:v>
                </c:pt>
                <c:pt idx="89">
                  <c:v>0.13547486033519554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4129715420251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まっつん2!$I$3:$I$92</c:f>
              <c:numCache>
                <c:formatCode>0</c:formatCode>
                <c:ptCount val="90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  <c:pt idx="44">
                  <c:v>8383.3333333333339</c:v>
                </c:pt>
                <c:pt idx="45">
                  <c:v>8318.2692307692305</c:v>
                </c:pt>
                <c:pt idx="46">
                  <c:v>8353.3333333333339</c:v>
                </c:pt>
                <c:pt idx="47">
                  <c:v>8305.5045871559632</c:v>
                </c:pt>
                <c:pt idx="48">
                  <c:v>8366.0714285714294</c:v>
                </c:pt>
                <c:pt idx="49">
                  <c:v>8429.8245614035095</c:v>
                </c:pt>
                <c:pt idx="50">
                  <c:v>8460.8695652173919</c:v>
                </c:pt>
                <c:pt idx="51">
                  <c:v>8543.1034482758623</c:v>
                </c:pt>
                <c:pt idx="52">
                  <c:v>8626.8907563025205</c:v>
                </c:pt>
                <c:pt idx="53">
                  <c:v>8558.1967213114749</c:v>
                </c:pt>
                <c:pt idx="54">
                  <c:v>8553.6585365853662</c:v>
                </c:pt>
                <c:pt idx="55">
                  <c:v>8650.7936507936502</c:v>
                </c:pt>
                <c:pt idx="56">
                  <c:v>8638.28125</c:v>
                </c:pt>
                <c:pt idx="57">
                  <c:v>8578.0303030303039</c:v>
                </c:pt>
                <c:pt idx="58">
                  <c:v>8562.2222222222226</c:v>
                </c:pt>
                <c:pt idx="59">
                  <c:v>8480.7142857142862</c:v>
                </c:pt>
                <c:pt idx="60">
                  <c:v>8379.720279720279</c:v>
                </c:pt>
                <c:pt idx="61">
                  <c:v>8366.8965517241377</c:v>
                </c:pt>
                <c:pt idx="62">
                  <c:v>8375.5102040816328</c:v>
                </c:pt>
                <c:pt idx="63">
                  <c:v>8461.7449664429532</c:v>
                </c:pt>
                <c:pt idx="64">
                  <c:v>8508.6092715231789</c:v>
                </c:pt>
                <c:pt idx="65">
                  <c:v>8490.78947368421</c:v>
                </c:pt>
                <c:pt idx="66">
                  <c:v>8461.4379084967313</c:v>
                </c:pt>
                <c:pt idx="67">
                  <c:v>8463.461538461539</c:v>
                </c:pt>
                <c:pt idx="68">
                  <c:v>8428.6624203821648</c:v>
                </c:pt>
                <c:pt idx="69">
                  <c:v>8400</c:v>
                </c:pt>
                <c:pt idx="70">
                  <c:v>8493.75</c:v>
                </c:pt>
                <c:pt idx="71">
                  <c:v>8490.6832298136651</c:v>
                </c:pt>
                <c:pt idx="72">
                  <c:v>8430.6748466257668</c:v>
                </c:pt>
                <c:pt idx="73">
                  <c:v>8476.8292682926822</c:v>
                </c:pt>
                <c:pt idx="74">
                  <c:v>8431.9526627218929</c:v>
                </c:pt>
                <c:pt idx="75">
                  <c:v>8415.78947368421</c:v>
                </c:pt>
                <c:pt idx="76">
                  <c:v>8409.2485549132944</c:v>
                </c:pt>
                <c:pt idx="77">
                  <c:v>8409.2485549132944</c:v>
                </c:pt>
                <c:pt idx="78">
                  <c:v>8409.2485549132944</c:v>
                </c:pt>
                <c:pt idx="79">
                  <c:v>8336.931818181818</c:v>
                </c:pt>
                <c:pt idx="80">
                  <c:v>8320.2247191011229</c:v>
                </c:pt>
                <c:pt idx="81">
                  <c:v>8359.5628415300544</c:v>
                </c:pt>
                <c:pt idx="82">
                  <c:v>8345.405405405405</c:v>
                </c:pt>
                <c:pt idx="83">
                  <c:v>8345.405405405405</c:v>
                </c:pt>
                <c:pt idx="84">
                  <c:v>8304.8128342245982</c:v>
                </c:pt>
                <c:pt idx="85">
                  <c:v>8407.4074074074069</c:v>
                </c:pt>
                <c:pt idx="86">
                  <c:v>8382.2916666666661</c:v>
                </c:pt>
                <c:pt idx="87">
                  <c:v>8352.8205128205136</c:v>
                </c:pt>
                <c:pt idx="88">
                  <c:v>8317.5879396984928</c:v>
                </c:pt>
                <c:pt idx="89">
                  <c:v>8315.8415841584156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42.44011976047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まっつん2!$J$3:$J$92</c:f>
              <c:numCache>
                <c:formatCode>0</c:formatCode>
                <c:ptCount val="90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  <c:pt idx="44">
                  <c:v>-7682.6923076923076</c:v>
                </c:pt>
                <c:pt idx="45">
                  <c:v>-7688.6792452830186</c:v>
                </c:pt>
                <c:pt idx="46">
                  <c:v>-7688.6792452830186</c:v>
                </c:pt>
                <c:pt idx="47">
                  <c:v>-7827.272727272727</c:v>
                </c:pt>
                <c:pt idx="48">
                  <c:v>-7827.272727272727</c:v>
                </c:pt>
                <c:pt idx="49">
                  <c:v>-7757.1428571428569</c:v>
                </c:pt>
                <c:pt idx="50">
                  <c:v>-7705.2631578947367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-7642.622950819672</c:v>
                </c:pt>
                <c:pt idx="57">
                  <c:v>-7777.4193548387093</c:v>
                </c:pt>
                <c:pt idx="58">
                  <c:v>-7777.4193548387093</c:v>
                </c:pt>
                <c:pt idx="59">
                  <c:v>-7695.2380952380954</c:v>
                </c:pt>
                <c:pt idx="60">
                  <c:v>-7790.909090909091</c:v>
                </c:pt>
                <c:pt idx="61">
                  <c:v>-7790.909090909091</c:v>
                </c:pt>
                <c:pt idx="62">
                  <c:v>-7943.2835820895525</c:v>
                </c:pt>
                <c:pt idx="63">
                  <c:v>-7943.2835820895525</c:v>
                </c:pt>
                <c:pt idx="64">
                  <c:v>-8179.411764705882</c:v>
                </c:pt>
                <c:pt idx="65">
                  <c:v>-8179.411764705882</c:v>
                </c:pt>
                <c:pt idx="66">
                  <c:v>-8179.411764705882</c:v>
                </c:pt>
                <c:pt idx="67">
                  <c:v>-8179.411764705882</c:v>
                </c:pt>
                <c:pt idx="68">
                  <c:v>-8321.7391304347821</c:v>
                </c:pt>
                <c:pt idx="69">
                  <c:v>-8270.422535211268</c:v>
                </c:pt>
                <c:pt idx="70">
                  <c:v>-8270.422535211268</c:v>
                </c:pt>
                <c:pt idx="71">
                  <c:v>-8079.4520547945203</c:v>
                </c:pt>
                <c:pt idx="72">
                  <c:v>-8078.3783783783783</c:v>
                </c:pt>
                <c:pt idx="73">
                  <c:v>-7997.333333333333</c:v>
                </c:pt>
                <c:pt idx="74">
                  <c:v>-7993.4210526315792</c:v>
                </c:pt>
                <c:pt idx="75">
                  <c:v>-7903.8461538461543</c:v>
                </c:pt>
                <c:pt idx="76">
                  <c:v>-7811.25</c:v>
                </c:pt>
                <c:pt idx="77">
                  <c:v>-8059.0361445783128</c:v>
                </c:pt>
                <c:pt idx="78">
                  <c:v>-7997.6470588235297</c:v>
                </c:pt>
                <c:pt idx="79">
                  <c:v>-7967.045454545455</c:v>
                </c:pt>
                <c:pt idx="80">
                  <c:v>-7967.045454545455</c:v>
                </c:pt>
                <c:pt idx="81">
                  <c:v>-7967.4157303370785</c:v>
                </c:pt>
                <c:pt idx="82">
                  <c:v>-7967.4157303370785</c:v>
                </c:pt>
                <c:pt idx="83">
                  <c:v>-7911.1111111111113</c:v>
                </c:pt>
                <c:pt idx="84">
                  <c:v>-7911.1111111111113</c:v>
                </c:pt>
                <c:pt idx="85">
                  <c:v>-7886.95652173913</c:v>
                </c:pt>
                <c:pt idx="86">
                  <c:v>-7886.95652173913</c:v>
                </c:pt>
                <c:pt idx="87">
                  <c:v>-7886.95652173913</c:v>
                </c:pt>
                <c:pt idx="88">
                  <c:v>-7886.1702127659573</c:v>
                </c:pt>
                <c:pt idx="89">
                  <c:v>-8062.8865979381444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53.89784946236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まっつん2!$K$3:$K$92</c:f>
              <c:numCache>
                <c:formatCode>0.0%</c:formatCode>
                <c:ptCount val="9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  <c:pt idx="67">
                  <c:v>7.4626865671641784E-2</c:v>
                </c:pt>
                <c:pt idx="68">
                  <c:v>7.3529411764705885E-2</c:v>
                </c:pt>
                <c:pt idx="69">
                  <c:v>7.2463768115942032E-2</c:v>
                </c:pt>
                <c:pt idx="70">
                  <c:v>7.1428571428571425E-2</c:v>
                </c:pt>
                <c:pt idx="71">
                  <c:v>7.0422535211267609E-2</c:v>
                </c:pt>
                <c:pt idx="72">
                  <c:v>6.9444444444444448E-2</c:v>
                </c:pt>
                <c:pt idx="73">
                  <c:v>6.8493150684931503E-2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  <c:pt idx="78">
                  <c:v>8.9743589743589744E-2</c:v>
                </c:pt>
                <c:pt idx="79">
                  <c:v>8.8607594936708861E-2</c:v>
                </c:pt>
                <c:pt idx="80">
                  <c:v>8.7499999999999994E-2</c:v>
                </c:pt>
                <c:pt idx="81">
                  <c:v>8.6419753086419748E-2</c:v>
                </c:pt>
                <c:pt idx="82">
                  <c:v>8.5365853658536592E-2</c:v>
                </c:pt>
                <c:pt idx="83">
                  <c:v>8.4337349397590355E-2</c:v>
                </c:pt>
                <c:pt idx="84">
                  <c:v>8.3333333333333329E-2</c:v>
                </c:pt>
                <c:pt idx="85">
                  <c:v>8.2352941176470587E-2</c:v>
                </c:pt>
                <c:pt idx="86">
                  <c:v>8.1395348837209308E-2</c:v>
                </c:pt>
                <c:pt idx="87">
                  <c:v>8.0459770114942528E-2</c:v>
                </c:pt>
                <c:pt idx="88">
                  <c:v>7.9545454545454544E-2</c:v>
                </c:pt>
                <c:pt idx="89">
                  <c:v>8.98876404494382E-2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76427255985267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まっつん2!$L$3:$L$92</c:f>
              <c:numCache>
                <c:formatCode>0.0%</c:formatCode>
                <c:ptCount val="9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8.8235294117647065E-2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7.4999999999999997E-2</c:v>
                </c:pt>
                <c:pt idx="41">
                  <c:v>7.3170731707317069E-2</c:v>
                </c:pt>
                <c:pt idx="42">
                  <c:v>7.1428571428571425E-2</c:v>
                </c:pt>
                <c:pt idx="43">
                  <c:v>6.9767441860465115E-2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9.5238095238095233E-2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8.2191780821917804E-2</c:v>
                </c:pt>
                <c:pt idx="74">
                  <c:v>8.1081081081081086E-2</c:v>
                </c:pt>
                <c:pt idx="75">
                  <c:v>0.08</c:v>
                </c:pt>
                <c:pt idx="76">
                  <c:v>7.8947368421052627E-2</c:v>
                </c:pt>
                <c:pt idx="77">
                  <c:v>7.792207792207792E-2</c:v>
                </c:pt>
                <c:pt idx="78">
                  <c:v>7.6923076923076927E-2</c:v>
                </c:pt>
                <c:pt idx="79">
                  <c:v>7.5949367088607597E-2</c:v>
                </c:pt>
                <c:pt idx="80">
                  <c:v>7.4999999999999997E-2</c:v>
                </c:pt>
                <c:pt idx="81">
                  <c:v>7.407407407407407E-2</c:v>
                </c:pt>
                <c:pt idx="82">
                  <c:v>7.3170731707317069E-2</c:v>
                </c:pt>
                <c:pt idx="83">
                  <c:v>7.2289156626506021E-2</c:v>
                </c:pt>
                <c:pt idx="84">
                  <c:v>7.1428571428571425E-2</c:v>
                </c:pt>
                <c:pt idx="85">
                  <c:v>7.0588235294117646E-2</c:v>
                </c:pt>
                <c:pt idx="86">
                  <c:v>6.9767441860465115E-2</c:v>
                </c:pt>
                <c:pt idx="87">
                  <c:v>6.8965517241379309E-2</c:v>
                </c:pt>
                <c:pt idx="88">
                  <c:v>6.8181818181818177E-2</c:v>
                </c:pt>
                <c:pt idx="89">
                  <c:v>6.741573033707865E-2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76427255985267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まっつん2!$M$3:$M$92</c:f>
              <c:numCache>
                <c:formatCode>0.0%</c:formatCode>
                <c:ptCount val="90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  <c:pt idx="44">
                  <c:v>0.26197183098591548</c:v>
                </c:pt>
                <c:pt idx="45">
                  <c:v>0.25683060109289618</c:v>
                </c:pt>
                <c:pt idx="46">
                  <c:v>0.25336927223719674</c:v>
                </c:pt>
                <c:pt idx="47">
                  <c:v>0.25129533678756477</c:v>
                </c:pt>
                <c:pt idx="48">
                  <c:v>0.25190839694656486</c:v>
                </c:pt>
                <c:pt idx="49">
                  <c:v>0.2525</c:v>
                </c:pt>
                <c:pt idx="50">
                  <c:v>0.25245098039215685</c:v>
                </c:pt>
                <c:pt idx="51">
                  <c:v>0.25358851674641147</c:v>
                </c:pt>
                <c:pt idx="52">
                  <c:v>0.2541176470588235</c:v>
                </c:pt>
                <c:pt idx="53">
                  <c:v>0.25635103926096997</c:v>
                </c:pt>
                <c:pt idx="54">
                  <c:v>0.25740318906605925</c:v>
                </c:pt>
                <c:pt idx="55">
                  <c:v>0.25733634311512416</c:v>
                </c:pt>
                <c:pt idx="56">
                  <c:v>0.26096491228070173</c:v>
                </c:pt>
                <c:pt idx="57">
                  <c:v>0.25751072961373389</c:v>
                </c:pt>
                <c:pt idx="58">
                  <c:v>0.25420168067226889</c:v>
                </c:pt>
                <c:pt idx="59">
                  <c:v>0.25465838509316768</c:v>
                </c:pt>
                <c:pt idx="60">
                  <c:v>0.25454545454545452</c:v>
                </c:pt>
                <c:pt idx="61">
                  <c:v>0.25595238095238093</c:v>
                </c:pt>
                <c:pt idx="62">
                  <c:v>0.255859375</c:v>
                </c:pt>
                <c:pt idx="63">
                  <c:v>0.2558139534883721</c:v>
                </c:pt>
                <c:pt idx="64">
                  <c:v>0.25478927203065133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0.25504587155963304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0.25354609929078015</c:v>
                </c:pt>
                <c:pt idx="71">
                  <c:v>0.25043782837127848</c:v>
                </c:pt>
                <c:pt idx="72">
                  <c:v>0.25043177892918828</c:v>
                </c:pt>
                <c:pt idx="73">
                  <c:v>0.24957264957264957</c:v>
                </c:pt>
                <c:pt idx="74">
                  <c:v>0.25126475548060706</c:v>
                </c:pt>
                <c:pt idx="75">
                  <c:v>0.25666666666666665</c:v>
                </c:pt>
                <c:pt idx="76">
                  <c:v>0.25577557755775576</c:v>
                </c:pt>
                <c:pt idx="77">
                  <c:v>0.25283630470016205</c:v>
                </c:pt>
                <c:pt idx="78">
                  <c:v>0.2504012841091493</c:v>
                </c:pt>
                <c:pt idx="79">
                  <c:v>0.25078864353312302</c:v>
                </c:pt>
                <c:pt idx="80">
                  <c:v>0.25039123630672927</c:v>
                </c:pt>
                <c:pt idx="81">
                  <c:v>0.25386996904024767</c:v>
                </c:pt>
                <c:pt idx="82">
                  <c:v>0.25229357798165136</c:v>
                </c:pt>
                <c:pt idx="83">
                  <c:v>0.25264750378214829</c:v>
                </c:pt>
                <c:pt idx="84">
                  <c:v>0.25337331334332835</c:v>
                </c:pt>
                <c:pt idx="85">
                  <c:v>0.25370919881305637</c:v>
                </c:pt>
                <c:pt idx="86">
                  <c:v>0.25768667642752563</c:v>
                </c:pt>
                <c:pt idx="87">
                  <c:v>0.2608695652173913</c:v>
                </c:pt>
                <c:pt idx="88">
                  <c:v>0.26315789473684209</c:v>
                </c:pt>
                <c:pt idx="89">
                  <c:v>0.26396648044692739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4136333553937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まっつん2!$N$3:$N$92</c:f>
              <c:numCache>
                <c:formatCode>0.0%</c:formatCode>
                <c:ptCount val="90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  <c:pt idx="44">
                  <c:v>0.25915492957746478</c:v>
                </c:pt>
                <c:pt idx="45">
                  <c:v>0.25683060109289618</c:v>
                </c:pt>
                <c:pt idx="46">
                  <c:v>0.2587601078167116</c:v>
                </c:pt>
                <c:pt idx="47">
                  <c:v>0.25647668393782386</c:v>
                </c:pt>
                <c:pt idx="48">
                  <c:v>0.2544529262086514</c:v>
                </c:pt>
                <c:pt idx="49">
                  <c:v>0.255</c:v>
                </c:pt>
                <c:pt idx="50">
                  <c:v>0.25</c:v>
                </c:pt>
                <c:pt idx="51">
                  <c:v>0.25119617224880381</c:v>
                </c:pt>
                <c:pt idx="52">
                  <c:v>0.25176470588235295</c:v>
                </c:pt>
                <c:pt idx="53">
                  <c:v>0.24942263279445728</c:v>
                </c:pt>
                <c:pt idx="54">
                  <c:v>0.24601366742596811</c:v>
                </c:pt>
                <c:pt idx="55">
                  <c:v>0.24830699774266365</c:v>
                </c:pt>
                <c:pt idx="56">
                  <c:v>0.24561403508771928</c:v>
                </c:pt>
                <c:pt idx="57">
                  <c:v>0.24678111587982832</c:v>
                </c:pt>
                <c:pt idx="58">
                  <c:v>0.24789915966386555</c:v>
                </c:pt>
                <c:pt idx="59">
                  <c:v>0.2484472049689441</c:v>
                </c:pt>
                <c:pt idx="60">
                  <c:v>0.25050505050505051</c:v>
                </c:pt>
                <c:pt idx="61">
                  <c:v>0.25198412698412698</c:v>
                </c:pt>
                <c:pt idx="62">
                  <c:v>0.251953125</c:v>
                </c:pt>
                <c:pt idx="63">
                  <c:v>0.25193798449612403</c:v>
                </c:pt>
                <c:pt idx="64">
                  <c:v>0.25287356321839083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0.25321100917431194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0.25177304964539005</c:v>
                </c:pt>
                <c:pt idx="71">
                  <c:v>0.24868651488616461</c:v>
                </c:pt>
                <c:pt idx="72">
                  <c:v>0.24525043177892919</c:v>
                </c:pt>
                <c:pt idx="73">
                  <c:v>0.24615384615384617</c:v>
                </c:pt>
                <c:pt idx="74">
                  <c:v>0.24283305227655985</c:v>
                </c:pt>
                <c:pt idx="75">
                  <c:v>0.24166666666666667</c:v>
                </c:pt>
                <c:pt idx="76">
                  <c:v>0.24092409240924093</c:v>
                </c:pt>
                <c:pt idx="77">
                  <c:v>0.23824959481361427</c:v>
                </c:pt>
                <c:pt idx="78">
                  <c:v>0.23595505617977527</c:v>
                </c:pt>
                <c:pt idx="79">
                  <c:v>0.23501577287066247</c:v>
                </c:pt>
                <c:pt idx="80">
                  <c:v>0.23630672926447574</c:v>
                </c:pt>
                <c:pt idx="81">
                  <c:v>0.23529411764705882</c:v>
                </c:pt>
                <c:pt idx="82">
                  <c:v>0.23547400611620795</c:v>
                </c:pt>
                <c:pt idx="83">
                  <c:v>0.2329803328290469</c:v>
                </c:pt>
                <c:pt idx="84">
                  <c:v>0.23088455772113944</c:v>
                </c:pt>
                <c:pt idx="85">
                  <c:v>0.2314540059347181</c:v>
                </c:pt>
                <c:pt idx="86">
                  <c:v>0.22986822840409957</c:v>
                </c:pt>
                <c:pt idx="87">
                  <c:v>0.22898550724637681</c:v>
                </c:pt>
                <c:pt idx="88">
                  <c:v>0.22759601706970128</c:v>
                </c:pt>
                <c:pt idx="89">
                  <c:v>0.22346368715083798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9649238914626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まっつん2!$O$3:$O$92</c:f>
              <c:numCache>
                <c:formatCode>0.0%</c:formatCode>
                <c:ptCount val="90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  <c:pt idx="44">
                  <c:v>0.56989247311827962</c:v>
                </c:pt>
                <c:pt idx="45">
                  <c:v>0.57446808510638303</c:v>
                </c:pt>
                <c:pt idx="46">
                  <c:v>0.57446808510638303</c:v>
                </c:pt>
                <c:pt idx="47">
                  <c:v>0.57731958762886593</c:v>
                </c:pt>
                <c:pt idx="48">
                  <c:v>0.58585858585858586</c:v>
                </c:pt>
                <c:pt idx="49">
                  <c:v>0.59405940594059403</c:v>
                </c:pt>
                <c:pt idx="50">
                  <c:v>0.59223300970873782</c:v>
                </c:pt>
                <c:pt idx="51">
                  <c:v>0.58490566037735847</c:v>
                </c:pt>
                <c:pt idx="52">
                  <c:v>0.59259259259259256</c:v>
                </c:pt>
                <c:pt idx="53">
                  <c:v>0.5855855855855856</c:v>
                </c:pt>
                <c:pt idx="54">
                  <c:v>0.58407079646017701</c:v>
                </c:pt>
                <c:pt idx="55">
                  <c:v>0.58771929824561409</c:v>
                </c:pt>
                <c:pt idx="56">
                  <c:v>0.5714285714285714</c:v>
                </c:pt>
                <c:pt idx="57">
                  <c:v>0.57499999999999996</c:v>
                </c:pt>
                <c:pt idx="58">
                  <c:v>0.57851239669421484</c:v>
                </c:pt>
                <c:pt idx="59">
                  <c:v>0.58536585365853655</c:v>
                </c:pt>
                <c:pt idx="60">
                  <c:v>0.57936507936507942</c:v>
                </c:pt>
                <c:pt idx="61">
                  <c:v>0.5736434108527132</c:v>
                </c:pt>
                <c:pt idx="62">
                  <c:v>0.58015267175572516</c:v>
                </c:pt>
                <c:pt idx="63">
                  <c:v>0.58333333333333337</c:v>
                </c:pt>
                <c:pt idx="64">
                  <c:v>0.5864661654135338</c:v>
                </c:pt>
                <c:pt idx="65">
                  <c:v>0.58208955223880599</c:v>
                </c:pt>
                <c:pt idx="66">
                  <c:v>0.58518518518518514</c:v>
                </c:pt>
                <c:pt idx="67">
                  <c:v>0.58273381294964033</c:v>
                </c:pt>
                <c:pt idx="68">
                  <c:v>0.57857142857142863</c:v>
                </c:pt>
                <c:pt idx="69">
                  <c:v>0.57446808510638303</c:v>
                </c:pt>
                <c:pt idx="70">
                  <c:v>0.57342657342657344</c:v>
                </c:pt>
                <c:pt idx="71">
                  <c:v>0.57342657342657344</c:v>
                </c:pt>
                <c:pt idx="72">
                  <c:v>0.57241379310344831</c:v>
                </c:pt>
                <c:pt idx="73">
                  <c:v>0.57534246575342463</c:v>
                </c:pt>
                <c:pt idx="74">
                  <c:v>0.57718120805369133</c:v>
                </c:pt>
                <c:pt idx="75">
                  <c:v>0.5714285714285714</c:v>
                </c:pt>
                <c:pt idx="76">
                  <c:v>0.5741935483870968</c:v>
                </c:pt>
                <c:pt idx="77">
                  <c:v>0.57051282051282048</c:v>
                </c:pt>
                <c:pt idx="78">
                  <c:v>0.57051282051282048</c:v>
                </c:pt>
                <c:pt idx="79">
                  <c:v>0.55974842767295596</c:v>
                </c:pt>
                <c:pt idx="80">
                  <c:v>0.5625</c:v>
                </c:pt>
                <c:pt idx="81">
                  <c:v>0.56707317073170727</c:v>
                </c:pt>
                <c:pt idx="82">
                  <c:v>0.5696969696969697</c:v>
                </c:pt>
                <c:pt idx="83">
                  <c:v>0.56287425149700598</c:v>
                </c:pt>
                <c:pt idx="84">
                  <c:v>0.56804733727810652</c:v>
                </c:pt>
                <c:pt idx="85">
                  <c:v>0.56140350877192979</c:v>
                </c:pt>
                <c:pt idx="86">
                  <c:v>0.55681818181818177</c:v>
                </c:pt>
                <c:pt idx="87">
                  <c:v>0.56111111111111112</c:v>
                </c:pt>
                <c:pt idx="88">
                  <c:v>0.56216216216216219</c:v>
                </c:pt>
                <c:pt idx="89">
                  <c:v>0.56084656084656082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9027777777777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まっつん2!$P$3:$P$92</c:f>
              <c:numCache>
                <c:formatCode>0.0%</c:formatCode>
                <c:ptCount val="90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0.39361702127659576</c:v>
                </c:pt>
                <c:pt idx="46">
                  <c:v>0.38541666666666669</c:v>
                </c:pt>
                <c:pt idx="47">
                  <c:v>0.39393939393939392</c:v>
                </c:pt>
                <c:pt idx="48">
                  <c:v>0.4</c:v>
                </c:pt>
                <c:pt idx="49">
                  <c:v>0.39215686274509803</c:v>
                </c:pt>
                <c:pt idx="50">
                  <c:v>0.39215686274509803</c:v>
                </c:pt>
                <c:pt idx="51">
                  <c:v>0.38095238095238093</c:v>
                </c:pt>
                <c:pt idx="52">
                  <c:v>0.38317757009345793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0.40869565217391307</c:v>
                </c:pt>
                <c:pt idx="58">
                  <c:v>0.4152542372881356</c:v>
                </c:pt>
                <c:pt idx="59">
                  <c:v>0.42499999999999999</c:v>
                </c:pt>
                <c:pt idx="60">
                  <c:v>0.41935483870967744</c:v>
                </c:pt>
                <c:pt idx="61">
                  <c:v>0.41732283464566927</c:v>
                </c:pt>
                <c:pt idx="62">
                  <c:v>0.41085271317829458</c:v>
                </c:pt>
                <c:pt idx="63">
                  <c:v>0.41538461538461541</c:v>
                </c:pt>
                <c:pt idx="64">
                  <c:v>0.40909090909090912</c:v>
                </c:pt>
                <c:pt idx="65">
                  <c:v>0.41044776119402987</c:v>
                </c:pt>
                <c:pt idx="66">
                  <c:v>0.40740740740740738</c:v>
                </c:pt>
                <c:pt idx="67">
                  <c:v>0.40579710144927539</c:v>
                </c:pt>
                <c:pt idx="68">
                  <c:v>0.4</c:v>
                </c:pt>
                <c:pt idx="69">
                  <c:v>0.40425531914893614</c:v>
                </c:pt>
                <c:pt idx="70">
                  <c:v>0.40845070422535212</c:v>
                </c:pt>
                <c:pt idx="71">
                  <c:v>0.40845070422535212</c:v>
                </c:pt>
                <c:pt idx="72">
                  <c:v>0.40845070422535212</c:v>
                </c:pt>
                <c:pt idx="73">
                  <c:v>0.40277777777777779</c:v>
                </c:pt>
                <c:pt idx="74">
                  <c:v>0.40277777777777779</c:v>
                </c:pt>
                <c:pt idx="75">
                  <c:v>0.4</c:v>
                </c:pt>
                <c:pt idx="76">
                  <c:v>0.4041095890410959</c:v>
                </c:pt>
                <c:pt idx="77">
                  <c:v>0.40136054421768708</c:v>
                </c:pt>
                <c:pt idx="78">
                  <c:v>0.40136054421768708</c:v>
                </c:pt>
                <c:pt idx="79">
                  <c:v>0.40268456375838924</c:v>
                </c:pt>
                <c:pt idx="80">
                  <c:v>0.40397350993377484</c:v>
                </c:pt>
                <c:pt idx="81">
                  <c:v>0.40789473684210525</c:v>
                </c:pt>
                <c:pt idx="82">
                  <c:v>0.40909090909090912</c:v>
                </c:pt>
                <c:pt idx="83">
                  <c:v>0.40909090909090912</c:v>
                </c:pt>
                <c:pt idx="84">
                  <c:v>0.40909090909090912</c:v>
                </c:pt>
                <c:pt idx="85">
                  <c:v>0.41025641025641024</c:v>
                </c:pt>
                <c:pt idx="86">
                  <c:v>0.4140127388535032</c:v>
                </c:pt>
                <c:pt idx="87">
                  <c:v>0.41139240506329117</c:v>
                </c:pt>
                <c:pt idx="88">
                  <c:v>0.41249999999999998</c:v>
                </c:pt>
                <c:pt idx="89">
                  <c:v>0.41249999999999998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9221902017291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まっつん2!$Q$3:$Q$92</c:f>
              <c:numCache>
                <c:formatCode>0.0%</c:formatCode>
                <c:ptCount val="90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  <c:pt idx="44">
                  <c:v>0.42156862745098039</c:v>
                </c:pt>
                <c:pt idx="45">
                  <c:v>0.41346153846153844</c:v>
                </c:pt>
                <c:pt idx="46">
                  <c:v>0.41904761904761906</c:v>
                </c:pt>
                <c:pt idx="47">
                  <c:v>0.42201834862385323</c:v>
                </c:pt>
                <c:pt idx="48">
                  <c:v>0.41964285714285715</c:v>
                </c:pt>
                <c:pt idx="49">
                  <c:v>0.42982456140350878</c:v>
                </c:pt>
                <c:pt idx="50">
                  <c:v>0.43478260869565216</c:v>
                </c:pt>
                <c:pt idx="51">
                  <c:v>0.43965517241379309</c:v>
                </c:pt>
                <c:pt idx="52">
                  <c:v>0.43697478991596639</c:v>
                </c:pt>
                <c:pt idx="53">
                  <c:v>0.4344262295081967</c:v>
                </c:pt>
                <c:pt idx="54">
                  <c:v>0.43089430894308944</c:v>
                </c:pt>
                <c:pt idx="55">
                  <c:v>0.42063492063492064</c:v>
                </c:pt>
                <c:pt idx="56">
                  <c:v>0.421875</c:v>
                </c:pt>
                <c:pt idx="57">
                  <c:v>0.41666666666666669</c:v>
                </c:pt>
                <c:pt idx="58">
                  <c:v>0.42222222222222222</c:v>
                </c:pt>
                <c:pt idx="59">
                  <c:v>0.44285714285714284</c:v>
                </c:pt>
                <c:pt idx="60">
                  <c:v>0.44055944055944057</c:v>
                </c:pt>
                <c:pt idx="61">
                  <c:v>0.43448275862068964</c:v>
                </c:pt>
                <c:pt idx="62">
                  <c:v>0.44217687074829931</c:v>
                </c:pt>
                <c:pt idx="63">
                  <c:v>0.44295302013422821</c:v>
                </c:pt>
                <c:pt idx="64">
                  <c:v>0.44370860927152317</c:v>
                </c:pt>
                <c:pt idx="65">
                  <c:v>0.44078947368421051</c:v>
                </c:pt>
                <c:pt idx="66">
                  <c:v>0.44444444444444442</c:v>
                </c:pt>
                <c:pt idx="67">
                  <c:v>0.44871794871794873</c:v>
                </c:pt>
                <c:pt idx="68">
                  <c:v>0.45222929936305734</c:v>
                </c:pt>
                <c:pt idx="69">
                  <c:v>0.44936708860759494</c:v>
                </c:pt>
                <c:pt idx="70">
                  <c:v>0.45624999999999999</c:v>
                </c:pt>
                <c:pt idx="71">
                  <c:v>0.453416149068323</c:v>
                </c:pt>
                <c:pt idx="72">
                  <c:v>0.46012269938650308</c:v>
                </c:pt>
                <c:pt idx="73">
                  <c:v>0.46341463414634149</c:v>
                </c:pt>
                <c:pt idx="74">
                  <c:v>0.44970414201183434</c:v>
                </c:pt>
                <c:pt idx="75">
                  <c:v>0.45029239766081869</c:v>
                </c:pt>
                <c:pt idx="76">
                  <c:v>0.45086705202312138</c:v>
                </c:pt>
                <c:pt idx="77">
                  <c:v>0.45086705202312138</c:v>
                </c:pt>
                <c:pt idx="78">
                  <c:v>0.45086705202312138</c:v>
                </c:pt>
                <c:pt idx="79">
                  <c:v>0.44886363636363635</c:v>
                </c:pt>
                <c:pt idx="80">
                  <c:v>0.449438202247191</c:v>
                </c:pt>
                <c:pt idx="81">
                  <c:v>0.44808743169398907</c:v>
                </c:pt>
                <c:pt idx="82">
                  <c:v>0.44864864864864867</c:v>
                </c:pt>
                <c:pt idx="83">
                  <c:v>0.44864864864864867</c:v>
                </c:pt>
                <c:pt idx="84">
                  <c:v>0.44385026737967914</c:v>
                </c:pt>
                <c:pt idx="85">
                  <c:v>0.44973544973544971</c:v>
                </c:pt>
                <c:pt idx="86">
                  <c:v>0.44791666666666669</c:v>
                </c:pt>
                <c:pt idx="87">
                  <c:v>0.44615384615384618</c:v>
                </c:pt>
                <c:pt idx="88">
                  <c:v>0.44221105527638194</c:v>
                </c:pt>
                <c:pt idx="89">
                  <c:v>0.4405940594059406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7874251497005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52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9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9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9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9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9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9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9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9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9" x14ac:dyDescent="0.4">
      <c r="A41" s="28" t="s">
        <v>232</v>
      </c>
      <c r="B41" s="29">
        <v>43766.037835648145</v>
      </c>
      <c r="C41" s="28" t="s">
        <v>128</v>
      </c>
    </row>
    <row r="42" spans="1:9" x14ac:dyDescent="0.4">
      <c r="A42" s="28" t="s">
        <v>233</v>
      </c>
      <c r="B42" s="29">
        <v>43766.89675925926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9" x14ac:dyDescent="0.4">
      <c r="A43" s="28" t="s">
        <v>234</v>
      </c>
      <c r="B43" s="29">
        <v>43768.005439814813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9" x14ac:dyDescent="0.4">
      <c r="A44" s="28" t="s">
        <v>235</v>
      </c>
      <c r="B44" s="29">
        <v>43768.983483796299</v>
      </c>
      <c r="C44" s="28" t="s">
        <v>128</v>
      </c>
      <c r="D44" s="28" t="s">
        <v>129</v>
      </c>
      <c r="E44" s="28" t="s">
        <v>184</v>
      </c>
      <c r="F44" s="28" t="s">
        <v>185</v>
      </c>
    </row>
    <row r="45" spans="1:9" x14ac:dyDescent="0.4">
      <c r="A45" s="28" t="s">
        <v>236</v>
      </c>
      <c r="B45" s="29">
        <v>43770.558391203704</v>
      </c>
      <c r="C45" s="28" t="s">
        <v>128</v>
      </c>
      <c r="D45" s="28" t="s">
        <v>129</v>
      </c>
    </row>
    <row r="46" spans="1:9" x14ac:dyDescent="0.4">
      <c r="A46" s="28" t="s">
        <v>238</v>
      </c>
      <c r="B46" s="29">
        <v>43771.018865740742</v>
      </c>
      <c r="C46" s="28" t="s">
        <v>128</v>
      </c>
      <c r="D46" s="28" t="s">
        <v>129</v>
      </c>
    </row>
    <row r="47" spans="1:9" x14ac:dyDescent="0.4">
      <c r="A47" s="28" t="s">
        <v>237</v>
      </c>
      <c r="B47" s="29">
        <v>43770.815983796296</v>
      </c>
      <c r="C47" s="28" t="s">
        <v>128</v>
      </c>
    </row>
    <row r="48" spans="1:9" x14ac:dyDescent="0.4">
      <c r="A48" s="28" t="s">
        <v>239</v>
      </c>
      <c r="B48" s="29">
        <v>43771.741539351853</v>
      </c>
      <c r="C48" s="28" t="s">
        <v>128</v>
      </c>
      <c r="D48" s="28" t="s">
        <v>129</v>
      </c>
      <c r="E48" s="28" t="s">
        <v>184</v>
      </c>
      <c r="F48" s="28" t="s">
        <v>185</v>
      </c>
      <c r="G48" s="28" t="s">
        <v>186</v>
      </c>
      <c r="H48" s="28" t="s">
        <v>187</v>
      </c>
      <c r="I48" s="28" t="s">
        <v>190</v>
      </c>
    </row>
    <row r="49" spans="1:7" x14ac:dyDescent="0.4">
      <c r="A49" s="28" t="s">
        <v>240</v>
      </c>
      <c r="B49" s="29">
        <v>43772.854699074072</v>
      </c>
      <c r="C49" s="28" t="s">
        <v>128</v>
      </c>
      <c r="D49" s="28" t="s">
        <v>129</v>
      </c>
    </row>
    <row r="50" spans="1:7" x14ac:dyDescent="0.4">
      <c r="A50" s="28" t="s">
        <v>241</v>
      </c>
      <c r="B50" s="29">
        <v>43773.722453703704</v>
      </c>
      <c r="C50" s="28" t="s">
        <v>128</v>
      </c>
    </row>
    <row r="51" spans="1:7" x14ac:dyDescent="0.4">
      <c r="A51" s="28" t="s">
        <v>242</v>
      </c>
      <c r="B51" s="29">
        <v>43780.866018518522</v>
      </c>
      <c r="C51" s="28" t="s">
        <v>128</v>
      </c>
      <c r="D51" s="28" t="s">
        <v>129</v>
      </c>
      <c r="E51" s="28" t="s">
        <v>184</v>
      </c>
      <c r="F51" s="28" t="s">
        <v>185</v>
      </c>
      <c r="G51" s="28" t="s">
        <v>186</v>
      </c>
    </row>
    <row r="52" spans="1:7" x14ac:dyDescent="0.4">
      <c r="A52" s="28" t="s">
        <v>243</v>
      </c>
      <c r="B52" s="29">
        <v>43781.02715277778</v>
      </c>
      <c r="C52" s="28" t="s">
        <v>128</v>
      </c>
      <c r="D52" s="28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543</v>
      </c>
    </row>
    <row r="2" spans="1:2" x14ac:dyDescent="0.4">
      <c r="A2" t="s">
        <v>166</v>
      </c>
      <c r="B2">
        <v>48</v>
      </c>
    </row>
    <row r="3" spans="1:2" x14ac:dyDescent="0.4">
      <c r="A3" t="s">
        <v>126</v>
      </c>
      <c r="B3">
        <v>114</v>
      </c>
    </row>
    <row r="4" spans="1:2" x14ac:dyDescent="0.4">
      <c r="A4" t="s">
        <v>127</v>
      </c>
      <c r="B4">
        <v>102</v>
      </c>
    </row>
    <row r="5" spans="1:2" x14ac:dyDescent="0.4">
      <c r="A5" t="s">
        <v>179</v>
      </c>
      <c r="B5">
        <v>64</v>
      </c>
    </row>
    <row r="6" spans="1:2" x14ac:dyDescent="0.4">
      <c r="A6" t="s">
        <v>177</v>
      </c>
      <c r="B6">
        <v>60</v>
      </c>
    </row>
    <row r="7" spans="1:2" x14ac:dyDescent="0.4">
      <c r="A7" t="s">
        <v>178</v>
      </c>
      <c r="B7">
        <v>89</v>
      </c>
    </row>
    <row r="8" spans="1:2" x14ac:dyDescent="0.4">
      <c r="A8" t="s">
        <v>182</v>
      </c>
      <c r="B8">
        <v>34</v>
      </c>
    </row>
    <row r="9" spans="1:2" x14ac:dyDescent="0.4">
      <c r="A9" t="s">
        <v>181</v>
      </c>
      <c r="B9">
        <v>23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56">
        <v>0.99560403463423386</v>
      </c>
      <c r="G2" s="157"/>
      <c r="H2" s="156">
        <v>0.9209137815730416</v>
      </c>
      <c r="I2" s="157"/>
      <c r="J2" s="156">
        <v>0.91577107494830023</v>
      </c>
      <c r="K2" s="157"/>
      <c r="L2" s="156">
        <v>0.90268438875687751</v>
      </c>
      <c r="M2" s="157"/>
      <c r="N2" s="156">
        <v>0.57549428165659866</v>
      </c>
      <c r="O2" s="157"/>
      <c r="P2" s="156">
        <v>0.53148439426268712</v>
      </c>
      <c r="Q2" s="157"/>
      <c r="R2" s="156">
        <v>-0.13992715892320942</v>
      </c>
      <c r="S2" s="157"/>
      <c r="T2" s="156">
        <v>0.55702235766244845</v>
      </c>
      <c r="U2" s="157"/>
      <c r="V2" s="156">
        <v>0.83078273989166862</v>
      </c>
      <c r="W2" s="157"/>
      <c r="X2" s="156">
        <v>0.58657977078654178</v>
      </c>
      <c r="Y2" s="157"/>
      <c r="Z2" s="156">
        <v>-0.12619106779908099</v>
      </c>
      <c r="AA2" s="157"/>
      <c r="AB2" s="156">
        <v>0.26828060784384905</v>
      </c>
      <c r="AC2" s="157"/>
      <c r="AD2" s="156">
        <v>0.65176472324229018</v>
      </c>
      <c r="AE2" s="157"/>
      <c r="AF2" s="156">
        <v>-2.0829761464649991E-2</v>
      </c>
      <c r="AG2" s="157"/>
      <c r="AH2" s="156">
        <v>0.73524380241062304</v>
      </c>
      <c r="AI2" s="157"/>
    </row>
    <row r="3" spans="1:35" x14ac:dyDescent="0.4">
      <c r="A3" s="70">
        <v>1</v>
      </c>
      <c r="B3" s="71" t="s">
        <v>126</v>
      </c>
      <c r="C3" s="72">
        <v>1045.8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10443.150684931506</v>
      </c>
      <c r="R3" s="73" t="s">
        <v>166</v>
      </c>
      <c r="S3" s="77">
        <v>-6966.666666666667</v>
      </c>
      <c r="T3" s="73" t="s">
        <v>222</v>
      </c>
      <c r="U3" s="75">
        <v>0</v>
      </c>
      <c r="V3" s="73" t="s">
        <v>177</v>
      </c>
      <c r="W3" s="75">
        <v>0.2</v>
      </c>
      <c r="X3" s="73" t="s">
        <v>177</v>
      </c>
      <c r="Y3" s="76">
        <v>0.32723577235772355</v>
      </c>
      <c r="Z3" s="73" t="s">
        <v>195</v>
      </c>
      <c r="AA3" s="76">
        <v>0.35483870967741937</v>
      </c>
      <c r="AB3" s="73" t="s">
        <v>126</v>
      </c>
      <c r="AC3" s="76">
        <v>0.60399999999999998</v>
      </c>
      <c r="AD3" s="73" t="s">
        <v>222</v>
      </c>
      <c r="AE3" s="76">
        <v>1</v>
      </c>
      <c r="AF3" s="73" t="s">
        <v>181</v>
      </c>
      <c r="AG3" s="76">
        <v>0.55737704918032782</v>
      </c>
      <c r="AH3" s="73" t="s">
        <v>126</v>
      </c>
      <c r="AI3" s="87">
        <v>149100</v>
      </c>
    </row>
    <row r="4" spans="1:35" x14ac:dyDescent="0.4">
      <c r="A4" s="78">
        <v>2</v>
      </c>
      <c r="B4" s="79" t="s">
        <v>177</v>
      </c>
      <c r="C4" s="80">
        <v>364.90000000000009</v>
      </c>
      <c r="D4" s="81" t="s">
        <v>126</v>
      </c>
      <c r="E4" s="93">
        <v>9.1736842105263161</v>
      </c>
      <c r="F4" s="81" t="s">
        <v>126</v>
      </c>
      <c r="G4" s="82">
        <v>1.7807017543859649</v>
      </c>
      <c r="H4" s="81" t="s">
        <v>126</v>
      </c>
      <c r="I4" s="83">
        <v>0.46491228070175439</v>
      </c>
      <c r="J4" s="81" t="s">
        <v>126</v>
      </c>
      <c r="K4" s="83">
        <v>0.24561403508771928</v>
      </c>
      <c r="L4" s="81" t="s">
        <v>126</v>
      </c>
      <c r="M4" s="84">
        <v>0.34415584415584416</v>
      </c>
      <c r="N4" s="81" t="s">
        <v>126</v>
      </c>
      <c r="O4" s="84">
        <v>0.12878787878787878</v>
      </c>
      <c r="P4" s="81" t="s">
        <v>127</v>
      </c>
      <c r="Q4" s="85">
        <v>8584.765625</v>
      </c>
      <c r="R4" s="81" t="s">
        <v>181</v>
      </c>
      <c r="S4" s="85">
        <v>-7058.8235294117649</v>
      </c>
      <c r="T4" s="81" t="s">
        <v>166</v>
      </c>
      <c r="U4" s="83">
        <v>2.0833333333333332E-2</v>
      </c>
      <c r="V4" s="81" t="s">
        <v>195</v>
      </c>
      <c r="W4" s="83">
        <v>0.14285714285714285</v>
      </c>
      <c r="X4" s="81" t="s">
        <v>179</v>
      </c>
      <c r="Y4" s="84">
        <v>0.28782287822878228</v>
      </c>
      <c r="Z4" s="81" t="s">
        <v>222</v>
      </c>
      <c r="AA4" s="84">
        <v>0.33333333333333331</v>
      </c>
      <c r="AB4" s="81" t="s">
        <v>181</v>
      </c>
      <c r="AC4" s="84">
        <v>0.59322033898305082</v>
      </c>
      <c r="AD4" s="81" t="s">
        <v>126</v>
      </c>
      <c r="AE4" s="84">
        <v>0.4854368932038835</v>
      </c>
      <c r="AF4" s="81" t="s">
        <v>177</v>
      </c>
      <c r="AG4" s="84">
        <v>0.47945205479452052</v>
      </c>
      <c r="AH4" s="81" t="s">
        <v>143</v>
      </c>
      <c r="AI4" s="88">
        <v>149100</v>
      </c>
    </row>
    <row r="5" spans="1:35" x14ac:dyDescent="0.4">
      <c r="A5" s="78">
        <v>3</v>
      </c>
      <c r="B5" s="79" t="s">
        <v>181</v>
      </c>
      <c r="C5" s="80">
        <v>27.299999999999997</v>
      </c>
      <c r="D5" s="81" t="s">
        <v>177</v>
      </c>
      <c r="E5" s="93">
        <v>6.0816666666666679</v>
      </c>
      <c r="F5" s="81" t="s">
        <v>177</v>
      </c>
      <c r="G5" s="82">
        <v>1.8666666666666667</v>
      </c>
      <c r="H5" s="81" t="s">
        <v>177</v>
      </c>
      <c r="I5" s="83">
        <v>0.43333333333333335</v>
      </c>
      <c r="J5" s="81" t="s">
        <v>178</v>
      </c>
      <c r="K5" s="83">
        <v>0.2808988764044944</v>
      </c>
      <c r="L5" s="81" t="s">
        <v>127</v>
      </c>
      <c r="M5" s="84">
        <v>0.29906542056074764</v>
      </c>
      <c r="N5" s="81" t="s">
        <v>178</v>
      </c>
      <c r="O5" s="84">
        <v>0.13547486033519554</v>
      </c>
      <c r="P5" s="81" t="s">
        <v>143</v>
      </c>
      <c r="Q5" s="85">
        <v>8442.4401197604784</v>
      </c>
      <c r="R5" s="81" t="s">
        <v>179</v>
      </c>
      <c r="S5" s="85">
        <v>-7617.8571428571431</v>
      </c>
      <c r="T5" s="81" t="s">
        <v>126</v>
      </c>
      <c r="U5" s="83">
        <v>4.3859649122807015E-2</v>
      </c>
      <c r="V5" s="81" t="s">
        <v>126</v>
      </c>
      <c r="W5" s="83">
        <v>0.13157894736842105</v>
      </c>
      <c r="X5" s="81" t="s">
        <v>126</v>
      </c>
      <c r="Y5" s="84">
        <v>0.27056277056277056</v>
      </c>
      <c r="Z5" s="81" t="s">
        <v>127</v>
      </c>
      <c r="AA5" s="84">
        <v>0.30373831775700932</v>
      </c>
      <c r="AB5" s="81" t="s">
        <v>179</v>
      </c>
      <c r="AC5" s="84">
        <v>0.58333333333333337</v>
      </c>
      <c r="AD5" s="81" t="s">
        <v>177</v>
      </c>
      <c r="AE5" s="84">
        <v>0.44318181818181818</v>
      </c>
      <c r="AF5" s="81" t="s">
        <v>182</v>
      </c>
      <c r="AG5" s="84">
        <v>0.47692307692307695</v>
      </c>
      <c r="AH5" s="81" t="s">
        <v>177</v>
      </c>
      <c r="AI5" s="88">
        <v>103600</v>
      </c>
    </row>
    <row r="6" spans="1:35" x14ac:dyDescent="0.4">
      <c r="A6" s="78">
        <v>4</v>
      </c>
      <c r="B6" s="79" t="s">
        <v>222</v>
      </c>
      <c r="C6" s="80">
        <v>26.2</v>
      </c>
      <c r="D6" s="81" t="s">
        <v>181</v>
      </c>
      <c r="E6" s="93">
        <v>1.1869565217391302</v>
      </c>
      <c r="F6" s="81" t="s">
        <v>181</v>
      </c>
      <c r="G6" s="82">
        <v>1.9565217391304348</v>
      </c>
      <c r="H6" s="81" t="s">
        <v>195</v>
      </c>
      <c r="I6" s="83">
        <v>0.42857142857142855</v>
      </c>
      <c r="J6" s="81" t="s">
        <v>177</v>
      </c>
      <c r="K6" s="83">
        <v>0.3</v>
      </c>
      <c r="L6" s="81" t="s">
        <v>177</v>
      </c>
      <c r="M6" s="84">
        <v>0.2967479674796748</v>
      </c>
      <c r="N6" s="81" t="s">
        <v>166</v>
      </c>
      <c r="O6" s="84">
        <v>0.14719626168224298</v>
      </c>
      <c r="P6" s="81" t="s">
        <v>181</v>
      </c>
      <c r="Q6" s="85">
        <v>8398.3606557377043</v>
      </c>
      <c r="R6" s="81" t="s">
        <v>143</v>
      </c>
      <c r="S6" s="85">
        <v>-7853.8978494623652</v>
      </c>
      <c r="T6" s="81" t="s">
        <v>177</v>
      </c>
      <c r="U6" s="83">
        <v>8.3333333333333329E-2</v>
      </c>
      <c r="V6" s="81" t="s">
        <v>181</v>
      </c>
      <c r="W6" s="83">
        <v>0.13043478260869565</v>
      </c>
      <c r="X6" s="81" t="s">
        <v>181</v>
      </c>
      <c r="Y6" s="84">
        <v>0.26940639269406391</v>
      </c>
      <c r="Z6" s="81" t="s">
        <v>166</v>
      </c>
      <c r="AA6" s="84">
        <v>0.23831775700934579</v>
      </c>
      <c r="AB6" s="81" t="s">
        <v>178</v>
      </c>
      <c r="AC6" s="84">
        <v>0.56084656084656082</v>
      </c>
      <c r="AD6" s="81" t="s">
        <v>178</v>
      </c>
      <c r="AE6" s="84">
        <v>0.41249999999999998</v>
      </c>
      <c r="AF6" s="81" t="s">
        <v>179</v>
      </c>
      <c r="AG6" s="84">
        <v>0.46052631578947367</v>
      </c>
      <c r="AH6" s="81" t="s">
        <v>181</v>
      </c>
      <c r="AI6" s="88">
        <v>95200</v>
      </c>
    </row>
    <row r="7" spans="1:35" x14ac:dyDescent="0.4">
      <c r="A7" s="78">
        <v>5</v>
      </c>
      <c r="B7" s="79" t="s">
        <v>143</v>
      </c>
      <c r="C7" s="80">
        <v>-4.9737991503207013E-14</v>
      </c>
      <c r="D7" s="81" t="s">
        <v>143</v>
      </c>
      <c r="E7" s="93">
        <v>-9.1598511055629859E-17</v>
      </c>
      <c r="F7" s="81" t="s">
        <v>127</v>
      </c>
      <c r="G7" s="82">
        <v>1.9901960784313726</v>
      </c>
      <c r="H7" s="81" t="s">
        <v>181</v>
      </c>
      <c r="I7" s="83">
        <v>0.39130434782608697</v>
      </c>
      <c r="J7" s="81" t="s">
        <v>127</v>
      </c>
      <c r="K7" s="83">
        <v>0.33333333333333331</v>
      </c>
      <c r="L7" s="81" t="s">
        <v>143</v>
      </c>
      <c r="M7" s="84">
        <v>0.29472755349658064</v>
      </c>
      <c r="N7" s="81" t="s">
        <v>181</v>
      </c>
      <c r="O7" s="84">
        <v>0.15525114155251141</v>
      </c>
      <c r="P7" s="81" t="s">
        <v>126</v>
      </c>
      <c r="Q7" s="85">
        <v>8321.3836477987425</v>
      </c>
      <c r="R7" s="81" t="s">
        <v>182</v>
      </c>
      <c r="S7" s="85">
        <v>-7881.4814814814818</v>
      </c>
      <c r="T7" s="81" t="s">
        <v>181</v>
      </c>
      <c r="U7" s="83">
        <v>8.6956521739130432E-2</v>
      </c>
      <c r="V7" s="81" t="s">
        <v>127</v>
      </c>
      <c r="W7" s="83">
        <v>9.8039215686274508E-2</v>
      </c>
      <c r="X7" s="81" t="s">
        <v>222</v>
      </c>
      <c r="Y7" s="84">
        <v>0.26666666666666666</v>
      </c>
      <c r="Z7" s="81" t="s">
        <v>143</v>
      </c>
      <c r="AA7" s="84">
        <v>0.22964923891462607</v>
      </c>
      <c r="AB7" s="81" t="s">
        <v>143</v>
      </c>
      <c r="AC7" s="84">
        <v>0.55902777777777779</v>
      </c>
      <c r="AD7" s="81" t="s">
        <v>143</v>
      </c>
      <c r="AE7" s="84">
        <v>0.40922190201729108</v>
      </c>
      <c r="AF7" s="81" t="s">
        <v>178</v>
      </c>
      <c r="AG7" s="84">
        <v>0.4405940594059406</v>
      </c>
      <c r="AH7" s="81" t="s">
        <v>127</v>
      </c>
      <c r="AI7" s="88">
        <v>91800</v>
      </c>
    </row>
    <row r="8" spans="1:35" x14ac:dyDescent="0.4">
      <c r="A8" s="78">
        <v>6</v>
      </c>
      <c r="B8" s="79" t="s">
        <v>127</v>
      </c>
      <c r="C8" s="80">
        <v>-56.500000000000213</v>
      </c>
      <c r="D8" s="81" t="s">
        <v>127</v>
      </c>
      <c r="E8" s="93">
        <v>-0.55392156862745312</v>
      </c>
      <c r="F8" s="81" t="s">
        <v>143</v>
      </c>
      <c r="G8" s="82">
        <v>2</v>
      </c>
      <c r="H8" s="81" t="s">
        <v>127</v>
      </c>
      <c r="I8" s="83">
        <v>0.34313725490196079</v>
      </c>
      <c r="J8" s="81" t="s">
        <v>143</v>
      </c>
      <c r="K8" s="83">
        <v>0.33333333333333331</v>
      </c>
      <c r="L8" s="81" t="s">
        <v>178</v>
      </c>
      <c r="M8" s="84">
        <v>0.28212290502793297</v>
      </c>
      <c r="N8" s="81" t="s">
        <v>143</v>
      </c>
      <c r="O8" s="84">
        <v>0.16412971542025148</v>
      </c>
      <c r="P8" s="81" t="s">
        <v>178</v>
      </c>
      <c r="Q8" s="85">
        <v>8315.8415841584156</v>
      </c>
      <c r="R8" s="81" t="s">
        <v>177</v>
      </c>
      <c r="S8" s="85">
        <v>-7893.9024390243903</v>
      </c>
      <c r="T8" s="81" t="s">
        <v>178</v>
      </c>
      <c r="U8" s="83">
        <v>8.98876404494382E-2</v>
      </c>
      <c r="V8" s="81" t="s">
        <v>143</v>
      </c>
      <c r="W8" s="83">
        <v>9.5764272559852676E-2</v>
      </c>
      <c r="X8" s="81" t="s">
        <v>178</v>
      </c>
      <c r="Y8" s="84">
        <v>0.26396648044692739</v>
      </c>
      <c r="Z8" s="81" t="s">
        <v>178</v>
      </c>
      <c r="AA8" s="84">
        <v>0.22346368715083798</v>
      </c>
      <c r="AB8" s="81" t="s">
        <v>182</v>
      </c>
      <c r="AC8" s="84">
        <v>0.55555555555555558</v>
      </c>
      <c r="AD8" s="81" t="s">
        <v>179</v>
      </c>
      <c r="AE8" s="84">
        <v>0.40196078431372551</v>
      </c>
      <c r="AF8" s="81" t="s">
        <v>143</v>
      </c>
      <c r="AG8" s="84">
        <v>0.43787425149700598</v>
      </c>
      <c r="AH8" s="81" t="s">
        <v>166</v>
      </c>
      <c r="AI8" s="88">
        <v>86900</v>
      </c>
    </row>
    <row r="9" spans="1:35" x14ac:dyDescent="0.4">
      <c r="A9" s="78">
        <v>7</v>
      </c>
      <c r="B9" s="79" t="s">
        <v>195</v>
      </c>
      <c r="C9" s="80">
        <v>-104.80000000000001</v>
      </c>
      <c r="D9" s="81" t="s">
        <v>178</v>
      </c>
      <c r="E9" s="93">
        <v>-1.3438202247191011</v>
      </c>
      <c r="F9" s="81" t="s">
        <v>178</v>
      </c>
      <c r="G9" s="82">
        <v>2.0561797752808988</v>
      </c>
      <c r="H9" s="81" t="s">
        <v>166</v>
      </c>
      <c r="I9" s="83">
        <v>0.33333333333333331</v>
      </c>
      <c r="J9" s="81" t="s">
        <v>181</v>
      </c>
      <c r="K9" s="83">
        <v>0.34782608695652173</v>
      </c>
      <c r="L9" s="81" t="s">
        <v>179</v>
      </c>
      <c r="M9" s="84">
        <v>0.28044280442804426</v>
      </c>
      <c r="N9" s="81" t="s">
        <v>177</v>
      </c>
      <c r="O9" s="84">
        <v>0.16666666666666666</v>
      </c>
      <c r="P9" s="81" t="s">
        <v>179</v>
      </c>
      <c r="Q9" s="85">
        <v>8158.5526315789475</v>
      </c>
      <c r="R9" s="81" t="s">
        <v>126</v>
      </c>
      <c r="S9" s="85">
        <v>-7973.9495798319331</v>
      </c>
      <c r="T9" s="81" t="s">
        <v>179</v>
      </c>
      <c r="U9" s="83">
        <v>9.375E-2</v>
      </c>
      <c r="V9" s="81" t="s">
        <v>178</v>
      </c>
      <c r="W9" s="83">
        <v>6.741573033707865E-2</v>
      </c>
      <c r="X9" s="81" t="s">
        <v>143</v>
      </c>
      <c r="Y9" s="84">
        <v>0.25413633355393778</v>
      </c>
      <c r="Z9" s="81" t="s">
        <v>126</v>
      </c>
      <c r="AA9" s="84">
        <v>0.22294372294372294</v>
      </c>
      <c r="AB9" s="81" t="s">
        <v>177</v>
      </c>
      <c r="AC9" s="84">
        <v>0.54658385093167705</v>
      </c>
      <c r="AD9" s="81" t="s">
        <v>166</v>
      </c>
      <c r="AE9" s="84">
        <v>0.37254901960784315</v>
      </c>
      <c r="AF9" s="81" t="s">
        <v>126</v>
      </c>
      <c r="AG9" s="84">
        <v>0.4308176100628931</v>
      </c>
      <c r="AH9" s="81" t="s">
        <v>178</v>
      </c>
      <c r="AI9" s="88">
        <v>86500</v>
      </c>
    </row>
    <row r="10" spans="1:35" x14ac:dyDescent="0.4">
      <c r="A10" s="78">
        <v>8</v>
      </c>
      <c r="B10" s="79" t="s">
        <v>178</v>
      </c>
      <c r="C10" s="80">
        <v>-119.60000000000001</v>
      </c>
      <c r="D10" s="81" t="s">
        <v>166</v>
      </c>
      <c r="E10" s="93">
        <v>-4.7979166666666684</v>
      </c>
      <c r="F10" s="81" t="s">
        <v>166</v>
      </c>
      <c r="G10" s="82">
        <v>2.1041666666666665</v>
      </c>
      <c r="H10" s="81" t="s">
        <v>143</v>
      </c>
      <c r="I10" s="83">
        <v>0.33333333333333331</v>
      </c>
      <c r="J10" s="81" t="s">
        <v>179</v>
      </c>
      <c r="K10" s="83">
        <v>0.390625</v>
      </c>
      <c r="L10" s="81" t="s">
        <v>181</v>
      </c>
      <c r="M10" s="84">
        <v>0.27853881278538811</v>
      </c>
      <c r="N10" s="81" t="s">
        <v>182</v>
      </c>
      <c r="O10" s="84">
        <v>0.19354838709677419</v>
      </c>
      <c r="P10" s="81" t="s">
        <v>182</v>
      </c>
      <c r="Q10" s="85">
        <v>7912.3076923076924</v>
      </c>
      <c r="R10" s="81" t="s">
        <v>222</v>
      </c>
      <c r="S10" s="85">
        <v>-8000</v>
      </c>
      <c r="T10" s="81" t="s">
        <v>143</v>
      </c>
      <c r="U10" s="83">
        <v>9.5764272559852676E-2</v>
      </c>
      <c r="V10" s="81" t="s">
        <v>166</v>
      </c>
      <c r="W10" s="83">
        <v>4.1666666666666664E-2</v>
      </c>
      <c r="X10" s="81" t="s">
        <v>195</v>
      </c>
      <c r="Y10" s="84">
        <v>0.24193548387096775</v>
      </c>
      <c r="Z10" s="81" t="s">
        <v>182</v>
      </c>
      <c r="AA10" s="84">
        <v>0.22222222222222221</v>
      </c>
      <c r="AB10" s="81" t="s">
        <v>195</v>
      </c>
      <c r="AC10" s="84">
        <v>0.53333333333333333</v>
      </c>
      <c r="AD10" s="81" t="s">
        <v>182</v>
      </c>
      <c r="AE10" s="84">
        <v>0.37096774193548387</v>
      </c>
      <c r="AF10" s="81" t="s">
        <v>166</v>
      </c>
      <c r="AG10" s="84">
        <v>0.41228070175438597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-230.30000000000007</v>
      </c>
      <c r="D11" s="81" t="s">
        <v>179</v>
      </c>
      <c r="E11" s="93">
        <v>-6.5796874999999995</v>
      </c>
      <c r="F11" s="81" t="s">
        <v>195</v>
      </c>
      <c r="G11" s="82">
        <v>2.1428571428571428</v>
      </c>
      <c r="H11" s="81" t="s">
        <v>178</v>
      </c>
      <c r="I11" s="83">
        <v>0.2247191011235955</v>
      </c>
      <c r="J11" s="81" t="s">
        <v>166</v>
      </c>
      <c r="K11" s="83">
        <v>0.4375</v>
      </c>
      <c r="L11" s="81" t="s">
        <v>166</v>
      </c>
      <c r="M11" s="84">
        <v>0.26635514018691586</v>
      </c>
      <c r="N11" s="81" t="s">
        <v>195</v>
      </c>
      <c r="O11" s="84">
        <v>0.19354838709677419</v>
      </c>
      <c r="P11" s="81" t="s">
        <v>195</v>
      </c>
      <c r="Q11" s="85">
        <v>7473.333333333333</v>
      </c>
      <c r="R11" s="81" t="s">
        <v>178</v>
      </c>
      <c r="S11" s="85">
        <v>-8062.8865979381444</v>
      </c>
      <c r="T11" s="81" t="s">
        <v>127</v>
      </c>
      <c r="U11" s="83">
        <v>0.14705882352941177</v>
      </c>
      <c r="V11" s="81" t="s">
        <v>179</v>
      </c>
      <c r="W11" s="83">
        <v>3.125E-2</v>
      </c>
      <c r="X11" s="81" t="s">
        <v>127</v>
      </c>
      <c r="Y11" s="84">
        <v>0.23481308411214954</v>
      </c>
      <c r="Z11" s="81" t="s">
        <v>179</v>
      </c>
      <c r="AA11" s="84">
        <v>0.18819188191881919</v>
      </c>
      <c r="AB11" s="81" t="s">
        <v>127</v>
      </c>
      <c r="AC11" s="84">
        <v>0.5074626865671642</v>
      </c>
      <c r="AD11" s="81" t="s">
        <v>127</v>
      </c>
      <c r="AE11" s="84">
        <v>0.36923076923076925</v>
      </c>
      <c r="AF11" s="81" t="s">
        <v>127</v>
      </c>
      <c r="AG11" s="84">
        <v>0.390625</v>
      </c>
      <c r="AH11" s="81" t="s">
        <v>179</v>
      </c>
      <c r="AI11" s="88">
        <v>69500</v>
      </c>
    </row>
    <row r="12" spans="1:35" x14ac:dyDescent="0.4">
      <c r="A12" s="78">
        <v>10</v>
      </c>
      <c r="B12" s="79" t="s">
        <v>179</v>
      </c>
      <c r="C12" s="80">
        <v>-421.09999999999997</v>
      </c>
      <c r="D12" s="81" t="s">
        <v>195</v>
      </c>
      <c r="E12" s="93">
        <v>-14.971428571428573</v>
      </c>
      <c r="F12" s="81" t="s">
        <v>179</v>
      </c>
      <c r="G12" s="82">
        <v>2.171875</v>
      </c>
      <c r="H12" s="81" t="s">
        <v>179</v>
      </c>
      <c r="I12" s="83">
        <v>0.21875</v>
      </c>
      <c r="J12" s="81" t="s">
        <v>182</v>
      </c>
      <c r="K12" s="83">
        <v>0.52941176470588236</v>
      </c>
      <c r="L12" s="81" t="s">
        <v>195</v>
      </c>
      <c r="M12" s="84">
        <v>0.24193548387096775</v>
      </c>
      <c r="N12" s="81" t="s">
        <v>127</v>
      </c>
      <c r="O12" s="84">
        <v>0.19859813084112149</v>
      </c>
      <c r="P12" s="81" t="s">
        <v>222</v>
      </c>
      <c r="Q12" s="85">
        <v>7385.7142857142853</v>
      </c>
      <c r="R12" s="81" t="s">
        <v>127</v>
      </c>
      <c r="S12" s="85">
        <v>-8178.8235294117649</v>
      </c>
      <c r="T12" s="81" t="s">
        <v>182</v>
      </c>
      <c r="U12" s="83">
        <v>0.17647058823529413</v>
      </c>
      <c r="V12" s="81" t="s">
        <v>182</v>
      </c>
      <c r="W12" s="83">
        <v>2.9411764705882353E-2</v>
      </c>
      <c r="X12" s="81" t="s">
        <v>182</v>
      </c>
      <c r="Y12" s="84">
        <v>0.19354838709677419</v>
      </c>
      <c r="Z12" s="81" t="s">
        <v>177</v>
      </c>
      <c r="AA12" s="84">
        <v>0.17886178861788618</v>
      </c>
      <c r="AB12" s="81" t="s">
        <v>222</v>
      </c>
      <c r="AC12" s="84">
        <v>0.5</v>
      </c>
      <c r="AD12" s="81" t="s">
        <v>181</v>
      </c>
      <c r="AE12" s="84">
        <v>0.35294117647058826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-531.90000000000009</v>
      </c>
      <c r="D13" s="81" t="s">
        <v>182</v>
      </c>
      <c r="E13" s="93">
        <v>-15.644117647058826</v>
      </c>
      <c r="F13" s="81" t="s">
        <v>182</v>
      </c>
      <c r="G13" s="82">
        <v>2.4117647058823528</v>
      </c>
      <c r="H13" s="81" t="s">
        <v>182</v>
      </c>
      <c r="I13" s="83">
        <v>0.11764705882352941</v>
      </c>
      <c r="J13" s="81" t="s">
        <v>195</v>
      </c>
      <c r="K13" s="83">
        <v>0.5714285714285714</v>
      </c>
      <c r="L13" s="81" t="s">
        <v>182</v>
      </c>
      <c r="M13" s="84">
        <v>0.23297491039426524</v>
      </c>
      <c r="N13" s="81" t="s">
        <v>179</v>
      </c>
      <c r="O13" s="84">
        <v>0.20664206642066421</v>
      </c>
      <c r="P13" s="81" t="s">
        <v>166</v>
      </c>
      <c r="Q13" s="85">
        <v>7019.2982456140353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0.14719626168224298</v>
      </c>
      <c r="Z13" s="81" t="s">
        <v>181</v>
      </c>
      <c r="AA13" s="84">
        <v>0.15525114155251141</v>
      </c>
      <c r="AB13" s="81" t="s">
        <v>166</v>
      </c>
      <c r="AC13" s="84">
        <v>0.49206349206349204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3EAE-8F74-44DE-A7F3-F8A50A902D80}">
  <sheetPr codeName="Sheet4"/>
  <dimension ref="A1:Q54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543</v>
      </c>
      <c r="C2" s="149"/>
      <c r="E2" s="58" t="s">
        <v>66</v>
      </c>
      <c r="F2" s="55" t="s">
        <v>22</v>
      </c>
      <c r="G2" s="43">
        <v>1043</v>
      </c>
      <c r="H2" s="128">
        <f>IF(B$17=0,0,G2/B$17)</f>
        <v>0.78068862275449102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-20.37037037037037</v>
      </c>
      <c r="P2" s="114">
        <v>540</v>
      </c>
      <c r="Q2" s="98">
        <v>-11000</v>
      </c>
    </row>
    <row r="3" spans="1:17" x14ac:dyDescent="0.4">
      <c r="A3" s="51" t="s">
        <v>8</v>
      </c>
      <c r="B3" s="150">
        <v>4533</v>
      </c>
      <c r="C3" s="151"/>
      <c r="E3" s="59" t="s">
        <v>72</v>
      </c>
      <c r="F3" s="56" t="s">
        <v>27</v>
      </c>
      <c r="G3" s="44">
        <v>711</v>
      </c>
      <c r="H3" s="129">
        <f>IF(B$17=0,0,G3/B$17)</f>
        <v>0.53218562874251496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5.6818181818181817</v>
      </c>
      <c r="P3" s="115">
        <v>528</v>
      </c>
      <c r="Q3" s="99">
        <v>3000</v>
      </c>
    </row>
    <row r="4" spans="1:17" x14ac:dyDescent="0.4">
      <c r="A4" s="51" t="s">
        <v>6</v>
      </c>
      <c r="B4" s="152">
        <v>-4.9737991503207013E-14</v>
      </c>
      <c r="C4" s="153"/>
      <c r="E4" s="59" t="s">
        <v>64</v>
      </c>
      <c r="F4" s="56" t="s">
        <v>20</v>
      </c>
      <c r="G4" s="44">
        <v>615</v>
      </c>
      <c r="H4" s="129">
        <f>IF(B$17=0,0,G4/B$17)</f>
        <v>0.46032934131736525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-13.972055888223553</v>
      </c>
      <c r="P4" s="115">
        <v>501</v>
      </c>
      <c r="Q4" s="99">
        <v>-7000</v>
      </c>
    </row>
    <row r="5" spans="1:17" x14ac:dyDescent="0.4">
      <c r="A5" s="51" t="s">
        <v>7</v>
      </c>
      <c r="B5" s="154">
        <f>IF(B$2=0,0,B$4/B$2)</f>
        <v>-9.1598511055629859E-17</v>
      </c>
      <c r="C5" s="155"/>
      <c r="E5" s="59" t="s">
        <v>171</v>
      </c>
      <c r="F5" s="56" t="s">
        <v>172</v>
      </c>
      <c r="G5" s="44">
        <v>533</v>
      </c>
      <c r="H5" s="129">
        <f>IF(B$17=0,0,G5/B$17)</f>
        <v>0.39895209580838326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10.548523206751055</v>
      </c>
      <c r="P5" s="115">
        <v>474</v>
      </c>
      <c r="Q5" s="99">
        <v>5000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419</v>
      </c>
      <c r="H6" s="129">
        <f>IF(B$17=0,0,G6/B$17)</f>
        <v>0.31362275449101795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11.415525114155251</v>
      </c>
      <c r="P6" s="115">
        <v>438</v>
      </c>
      <c r="Q6" s="99">
        <v>5000</v>
      </c>
    </row>
    <row r="7" spans="1:17" x14ac:dyDescent="0.4">
      <c r="A7" s="51" t="s">
        <v>2</v>
      </c>
      <c r="B7" s="44">
        <v>181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378</v>
      </c>
      <c r="H7" s="129">
        <f>IF(B$17=0,0,G7/B$17)</f>
        <v>0.28293413173652693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13.66120218579235</v>
      </c>
      <c r="P7" s="116">
        <v>366</v>
      </c>
      <c r="Q7" s="100">
        <v>5000</v>
      </c>
    </row>
    <row r="8" spans="1:17" x14ac:dyDescent="0.4">
      <c r="A8" s="51" t="s">
        <v>3</v>
      </c>
      <c r="B8" s="44">
        <v>181</v>
      </c>
      <c r="C8" s="37">
        <f t="shared" si="1"/>
        <v>0.33333333333333331</v>
      </c>
      <c r="E8" s="59" t="s">
        <v>69</v>
      </c>
      <c r="F8" s="56" t="s">
        <v>24</v>
      </c>
      <c r="G8" s="44">
        <v>206</v>
      </c>
      <c r="H8" s="129">
        <f>IF(B$17=0,0,G8/B$17)</f>
        <v>0.15419161676646706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181</v>
      </c>
      <c r="C9" s="38">
        <f t="shared" si="1"/>
        <v>0.33333333333333331</v>
      </c>
      <c r="E9" s="59" t="s">
        <v>89</v>
      </c>
      <c r="F9" s="56" t="s">
        <v>44</v>
      </c>
      <c r="G9" s="44">
        <v>175</v>
      </c>
      <c r="H9" s="129">
        <f>IF(B$17=0,0,G9/B$17)</f>
        <v>0.1309880239520958</v>
      </c>
      <c r="I9" s="90">
        <v>6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52</v>
      </c>
      <c r="C10" s="38">
        <f t="shared" si="1"/>
        <v>9.5764272559852676E-2</v>
      </c>
      <c r="E10" s="59" t="s">
        <v>65</v>
      </c>
      <c r="F10" s="56" t="s">
        <v>21</v>
      </c>
      <c r="G10" s="44">
        <v>138</v>
      </c>
      <c r="H10" s="129">
        <f>IF(B$17=0,0,G10/B$17)</f>
        <v>0.10329341317365269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-0.83259668508287321</v>
      </c>
      <c r="P10" s="114">
        <v>181</v>
      </c>
      <c r="Q10" s="102">
        <v>-150.70000000000005</v>
      </c>
    </row>
    <row r="11" spans="1:17" x14ac:dyDescent="0.4">
      <c r="A11" s="52" t="s">
        <v>138</v>
      </c>
      <c r="B11" s="45">
        <v>52</v>
      </c>
      <c r="C11" s="38">
        <f t="shared" si="1"/>
        <v>9.5764272559852676E-2</v>
      </c>
      <c r="E11" s="59" t="s">
        <v>70</v>
      </c>
      <c r="F11" s="56" t="s">
        <v>25</v>
      </c>
      <c r="G11" s="44">
        <v>128</v>
      </c>
      <c r="H11" s="129">
        <f>IF(B$17=0,0,G11/B$17)</f>
        <v>9.580838323353294E-2</v>
      </c>
      <c r="I11" s="90">
        <v>7</v>
      </c>
      <c r="K11" s="36">
        <v>9</v>
      </c>
      <c r="L11" s="95">
        <v>0</v>
      </c>
      <c r="N11" s="111" t="s">
        <v>163</v>
      </c>
      <c r="O11" s="121">
        <f>IF(P11=0,0,Q11/P11)</f>
        <v>1.7077348066298341</v>
      </c>
      <c r="P11" s="115">
        <v>181</v>
      </c>
      <c r="Q11" s="103">
        <v>309.09999999999997</v>
      </c>
    </row>
    <row r="12" spans="1:17" x14ac:dyDescent="0.4">
      <c r="A12" s="53" t="s">
        <v>158</v>
      </c>
      <c r="B12" s="46">
        <v>56</v>
      </c>
      <c r="C12" s="40">
        <f t="shared" si="1"/>
        <v>0.10313075506445672</v>
      </c>
      <c r="E12" s="59" t="s">
        <v>71</v>
      </c>
      <c r="F12" s="56" t="s">
        <v>26</v>
      </c>
      <c r="G12" s="44">
        <v>105</v>
      </c>
      <c r="H12" s="129">
        <f>IF(B$17=0,0,G12/B$17)</f>
        <v>7.859281437125748E-2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-0.87513812154696213</v>
      </c>
      <c r="P12" s="116">
        <v>181</v>
      </c>
      <c r="Q12" s="104">
        <v>-158.40000000000015</v>
      </c>
    </row>
    <row r="13" spans="1:17" x14ac:dyDescent="0.4">
      <c r="A13" s="54" t="s">
        <v>121</v>
      </c>
      <c r="B13" s="47">
        <v>1152</v>
      </c>
      <c r="C13" s="42">
        <f>IF(B$3=0,0,B13/B$3)</f>
        <v>0.25413633355393778</v>
      </c>
      <c r="E13" s="59" t="s">
        <v>83</v>
      </c>
      <c r="F13" s="56" t="s">
        <v>38</v>
      </c>
      <c r="G13" s="44">
        <v>73</v>
      </c>
      <c r="H13" s="129">
        <f>IF(B$17=0,0,G13/B$17)</f>
        <v>5.4640718562874252E-2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1041</v>
      </c>
      <c r="C14" s="37">
        <f>IF(B$3=0,0,B14/B$3)</f>
        <v>0.22964923891462607</v>
      </c>
      <c r="E14" s="59" t="s">
        <v>86</v>
      </c>
      <c r="F14" s="56" t="s">
        <v>41</v>
      </c>
      <c r="G14" s="44">
        <v>68</v>
      </c>
      <c r="H14" s="129">
        <f>IF(B$17=0,0,G14/B$17)</f>
        <v>5.089820359281437E-2</v>
      </c>
      <c r="I14" s="90">
        <v>5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644</v>
      </c>
      <c r="C15" s="35">
        <f>IF(B$13=0,0,B15/B$13)</f>
        <v>0.55902777777777779</v>
      </c>
      <c r="E15" s="59" t="s">
        <v>78</v>
      </c>
      <c r="F15" s="56" t="s">
        <v>33</v>
      </c>
      <c r="G15" s="44">
        <v>35</v>
      </c>
      <c r="H15" s="129">
        <f>IF(B$17=0,0,G15/B$17)</f>
        <v>2.619760479041916E-2</v>
      </c>
      <c r="I15" s="90">
        <v>5</v>
      </c>
      <c r="K15" s="36">
        <v>13</v>
      </c>
      <c r="L15" s="95">
        <v>-1.7</v>
      </c>
      <c r="N15" s="110" t="s">
        <v>182</v>
      </c>
      <c r="O15" s="120">
        <f>IF(P15=0,0,Q15/P15)</f>
        <v>23.46617647058822</v>
      </c>
      <c r="P15" s="114">
        <v>68</v>
      </c>
      <c r="Q15" s="102">
        <v>1595.6999999999989</v>
      </c>
    </row>
    <row r="16" spans="1:17" x14ac:dyDescent="0.4">
      <c r="A16" s="50" t="s">
        <v>124</v>
      </c>
      <c r="B16" s="43">
        <v>426</v>
      </c>
      <c r="C16" s="35">
        <f>IF(B$14=0,0,B16/B$14)</f>
        <v>0.40922190201729108</v>
      </c>
      <c r="E16" s="59" t="s">
        <v>167</v>
      </c>
      <c r="F16" s="56" t="s">
        <v>168</v>
      </c>
      <c r="G16" s="44">
        <v>32</v>
      </c>
      <c r="H16" s="129">
        <f>IF(B$17=0,0,G16/B$17)</f>
        <v>2.3952095808383235E-2</v>
      </c>
      <c r="I16" s="90">
        <v>3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1336</v>
      </c>
      <c r="C17" s="35">
        <f>IF(B$3=0,0,B17/B$3)</f>
        <v>0.29472755349658064</v>
      </c>
      <c r="E17" s="59" t="s">
        <v>81</v>
      </c>
      <c r="F17" s="56" t="s">
        <v>36</v>
      </c>
      <c r="G17" s="44">
        <v>23</v>
      </c>
      <c r="H17" s="129">
        <f>IF(B$17=0,0,G17/B$17)</f>
        <v>1.7215568862275449E-2</v>
      </c>
      <c r="I17" s="90">
        <v>6</v>
      </c>
      <c r="K17" s="36">
        <v>15</v>
      </c>
      <c r="L17" s="95">
        <v>0</v>
      </c>
      <c r="N17" s="111" t="s">
        <v>179</v>
      </c>
      <c r="O17" s="121">
        <f>IF(P17=0,0,Q17/P17)</f>
        <v>9.8695312499999996</v>
      </c>
      <c r="P17" s="115">
        <v>128</v>
      </c>
      <c r="Q17" s="103">
        <v>1263.3</v>
      </c>
    </row>
    <row r="18" spans="1:17" x14ac:dyDescent="0.4">
      <c r="A18" s="51" t="s">
        <v>12</v>
      </c>
      <c r="B18" s="44">
        <v>585</v>
      </c>
      <c r="C18" s="37">
        <f>IF(B$17=0,0,B18/B$17)</f>
        <v>0.43787425149700598</v>
      </c>
      <c r="E18" s="59" t="s">
        <v>91</v>
      </c>
      <c r="F18" s="56" t="s">
        <v>46</v>
      </c>
      <c r="G18" s="44">
        <v>17</v>
      </c>
      <c r="H18" s="129">
        <f>IF(B$17=0,0,G18/B$17)</f>
        <v>1.2724550898203593E-2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7.1968749999999977</v>
      </c>
      <c r="P18" s="115">
        <v>96</v>
      </c>
      <c r="Q18" s="103">
        <v>690.89999999999975</v>
      </c>
    </row>
    <row r="19" spans="1:17" x14ac:dyDescent="0.4">
      <c r="A19" s="51" t="s">
        <v>11</v>
      </c>
      <c r="B19" s="44">
        <v>751</v>
      </c>
      <c r="C19" s="37">
        <f>IF(B$17=0,0,B19/B$17)</f>
        <v>0.56212574850299402</v>
      </c>
      <c r="E19" s="59" t="s">
        <v>79</v>
      </c>
      <c r="F19" s="56" t="s">
        <v>34</v>
      </c>
      <c r="G19" s="44">
        <v>16</v>
      </c>
      <c r="H19" s="129">
        <f>IF(B$17=0,0,G19/B$17)</f>
        <v>1.1976047904191617E-2</v>
      </c>
      <c r="I19" s="90">
        <v>5</v>
      </c>
      <c r="K19" s="36">
        <v>17</v>
      </c>
      <c r="L19" s="95">
        <v>-20.5</v>
      </c>
      <c r="N19" s="111" t="s">
        <v>178</v>
      </c>
      <c r="O19" s="121">
        <f>IF(P19=0,0,Q19/P19)</f>
        <v>2.0157303370786503</v>
      </c>
      <c r="P19" s="115">
        <v>178</v>
      </c>
      <c r="Q19" s="103">
        <v>358.79999999999978</v>
      </c>
    </row>
    <row r="20" spans="1:17" x14ac:dyDescent="0.4">
      <c r="A20" s="51" t="s">
        <v>13</v>
      </c>
      <c r="B20" s="44">
        <v>744</v>
      </c>
      <c r="C20" s="37">
        <f>IF(B$3=0,0,B20/B$3)</f>
        <v>0.16412971542025148</v>
      </c>
      <c r="E20" s="59" t="s">
        <v>75</v>
      </c>
      <c r="F20" s="56" t="s">
        <v>30</v>
      </c>
      <c r="G20" s="44">
        <v>9</v>
      </c>
      <c r="H20" s="129">
        <f>IF(B$17=0,0,G20/B$17)</f>
        <v>6.7365269461077846E-3</v>
      </c>
      <c r="I20" s="90">
        <v>5</v>
      </c>
      <c r="K20" s="36">
        <v>18</v>
      </c>
      <c r="L20" s="95">
        <v>0</v>
      </c>
      <c r="N20" s="111" t="s">
        <v>127</v>
      </c>
      <c r="O20" s="121">
        <f>IF(P20=0,0,Q20/P20)</f>
        <v>0.8308823529411703</v>
      </c>
      <c r="P20" s="115">
        <v>204</v>
      </c>
      <c r="Q20" s="103">
        <v>169.49999999999875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7</v>
      </c>
      <c r="H21" s="129">
        <f>IF(B$17=0,0,G21/B$17)</f>
        <v>5.239520958083832E-3</v>
      </c>
      <c r="I21" s="90">
        <v>3</v>
      </c>
      <c r="K21" s="36">
        <v>19</v>
      </c>
      <c r="L21" s="95">
        <v>-22.4</v>
      </c>
      <c r="N21" s="111" t="s">
        <v>181</v>
      </c>
      <c r="O21" s="121">
        <f>IF(P21=0,0,Q21/P21)</f>
        <v>-1.7804347826086957</v>
      </c>
      <c r="P21" s="115">
        <v>46</v>
      </c>
      <c r="Q21" s="103">
        <v>-81.900000000000006</v>
      </c>
    </row>
    <row r="22" spans="1:17" x14ac:dyDescent="0.4">
      <c r="A22" s="51" t="s">
        <v>170</v>
      </c>
      <c r="B22" s="44">
        <v>31</v>
      </c>
      <c r="C22" s="131">
        <v>1</v>
      </c>
      <c r="E22" s="59" t="s">
        <v>74</v>
      </c>
      <c r="F22" s="56" t="s">
        <v>29</v>
      </c>
      <c r="G22" s="44">
        <v>6</v>
      </c>
      <c r="H22" s="129">
        <f>IF(B$17=0,0,G22/B$17)</f>
        <v>4.4910179640718561E-3</v>
      </c>
      <c r="I22" s="90">
        <v>5</v>
      </c>
      <c r="K22" s="36">
        <v>20</v>
      </c>
      <c r="L22" s="95">
        <v>-61.199999999999996</v>
      </c>
      <c r="N22" s="111" t="s">
        <v>177</v>
      </c>
      <c r="O22" s="121">
        <f>IF(P22=0,0,Q22/P22)</f>
        <v>-9.1224999999999969</v>
      </c>
      <c r="P22" s="115">
        <v>120</v>
      </c>
      <c r="Q22" s="103">
        <v>-1094.6999999999996</v>
      </c>
    </row>
    <row r="23" spans="1:17" x14ac:dyDescent="0.4">
      <c r="A23" s="51" t="s">
        <v>5</v>
      </c>
      <c r="B23" s="48">
        <f>IF(B$17=0,0,C23/B$17)</f>
        <v>8442.4401197604784</v>
      </c>
      <c r="C23" s="39">
        <v>11279100</v>
      </c>
      <c r="E23" s="59" t="s">
        <v>77</v>
      </c>
      <c r="F23" s="56" t="s">
        <v>32</v>
      </c>
      <c r="G23" s="44">
        <v>5</v>
      </c>
      <c r="H23" s="129">
        <f>IF(B$17=0,0,G23/B$17)</f>
        <v>3.7425149700598802E-3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-13.760526315789471</v>
      </c>
      <c r="P23" s="115">
        <v>228</v>
      </c>
      <c r="Q23" s="103">
        <v>-3137.3999999999996</v>
      </c>
    </row>
    <row r="24" spans="1:17" x14ac:dyDescent="0.4">
      <c r="A24" s="52" t="s">
        <v>216</v>
      </c>
      <c r="B24" s="136">
        <f>IF($B$17-B$16=0,0,C24/($B$17-B$16))</f>
        <v>8942.6373626373625</v>
      </c>
      <c r="C24" s="137">
        <v>8137800</v>
      </c>
      <c r="E24" s="59" t="s">
        <v>85</v>
      </c>
      <c r="F24" s="56" t="s">
        <v>40</v>
      </c>
      <c r="G24" s="44">
        <v>5</v>
      </c>
      <c r="H24" s="129">
        <f>IF(B$17=0,0,G24/B$17)</f>
        <v>3.7425149700598802E-3</v>
      </c>
      <c r="I24" s="90">
        <v>5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7373.9436619718308</v>
      </c>
      <c r="C25" s="137">
        <v>3141300</v>
      </c>
      <c r="E25" s="59" t="s">
        <v>88</v>
      </c>
      <c r="F25" s="56" t="s">
        <v>43</v>
      </c>
      <c r="G25" s="44">
        <v>5</v>
      </c>
      <c r="H25" s="129">
        <f>IF(B$17=0,0,G25/B$17)</f>
        <v>3.7425149700598802E-3</v>
      </c>
      <c r="I25" s="90">
        <v>4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-7853.8978494623652</v>
      </c>
      <c r="C26" s="137">
        <v>-5843300</v>
      </c>
      <c r="E26" s="59" t="s">
        <v>73</v>
      </c>
      <c r="F26" s="56" t="s">
        <v>28</v>
      </c>
      <c r="G26" s="44">
        <v>4</v>
      </c>
      <c r="H26" s="129">
        <f>IF(B$17=0,0,G26/B$17)</f>
        <v>2.9940119760479044E-3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4</v>
      </c>
      <c r="H27" s="129">
        <f>IF(B$17=0,0,G27/B$17)</f>
        <v>2.9940119760479044E-3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149100</v>
      </c>
      <c r="C28" s="141"/>
      <c r="E28" s="59" t="s">
        <v>93</v>
      </c>
      <c r="F28" s="56" t="s">
        <v>48</v>
      </c>
      <c r="G28" s="44">
        <v>3</v>
      </c>
      <c r="H28" s="129">
        <f>IF(B$17=0,0,G28/B$17)</f>
        <v>2.2455089820359281E-3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14</v>
      </c>
      <c r="C29" s="40">
        <f>IF(B$3=0,0,B29/B$3)</f>
        <v>3.0884623869402161E-3</v>
      </c>
      <c r="E29" s="59" t="s">
        <v>95</v>
      </c>
      <c r="F29" s="56" t="s">
        <v>50</v>
      </c>
      <c r="G29" s="44">
        <v>3</v>
      </c>
      <c r="H29" s="129">
        <f>IF(B$17=0,0,G29/B$17)</f>
        <v>2.2455089820359281E-3</v>
      </c>
      <c r="I29" s="90">
        <v>4</v>
      </c>
      <c r="K29" s="36">
        <v>27</v>
      </c>
      <c r="L29" s="95">
        <v>6.7723604502134549E-15</v>
      </c>
    </row>
    <row r="30" spans="1:17" x14ac:dyDescent="0.4">
      <c r="E30" s="59" t="s">
        <v>87</v>
      </c>
      <c r="F30" s="56" t="s">
        <v>42</v>
      </c>
      <c r="G30" s="44">
        <v>2</v>
      </c>
      <c r="H30" s="129">
        <f>IF(B$17=0,0,G30/B$17)</f>
        <v>1.4970059880239522E-3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>IF(B$17=0,0,G31/B$17)</f>
        <v>1.4970059880239522E-3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97</v>
      </c>
      <c r="F32" s="56" t="s">
        <v>52</v>
      </c>
      <c r="G32" s="44">
        <v>1</v>
      </c>
      <c r="H32" s="129">
        <f>IF(B$17=0,0,G32/B$17)</f>
        <v>7.4850299401197609E-4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101</v>
      </c>
      <c r="F33" s="56" t="s">
        <v>56</v>
      </c>
      <c r="G33" s="44">
        <v>1</v>
      </c>
      <c r="H33" s="129">
        <f>IF(B$17=0,0,G33/B$17)</f>
        <v>7.4850299401197609E-4</v>
      </c>
      <c r="I33" s="90">
        <v>2</v>
      </c>
      <c r="K33" s="36">
        <v>31</v>
      </c>
      <c r="L33" s="95">
        <v>12.500000000000009</v>
      </c>
    </row>
    <row r="34" spans="5:12" x14ac:dyDescent="0.4">
      <c r="E34" s="59" t="s">
        <v>106</v>
      </c>
      <c r="F34" s="56" t="s">
        <v>113</v>
      </c>
      <c r="G34" s="44">
        <v>1</v>
      </c>
      <c r="H34" s="129">
        <f>IF(B$17=0,0,G34/B$17)</f>
        <v>7.4850299401197609E-4</v>
      </c>
      <c r="I34" s="90">
        <v>2</v>
      </c>
      <c r="K34" s="36">
        <v>32</v>
      </c>
      <c r="L34" s="95">
        <v>47.300000000000004</v>
      </c>
    </row>
    <row r="35" spans="5:12" x14ac:dyDescent="0.4">
      <c r="E35" s="59" t="s">
        <v>76</v>
      </c>
      <c r="F35" s="56" t="s">
        <v>31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80</v>
      </c>
      <c r="F36" s="56" t="s">
        <v>35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82</v>
      </c>
      <c r="F37" s="56" t="s">
        <v>37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94</v>
      </c>
      <c r="F38" s="56" t="s">
        <v>49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96</v>
      </c>
      <c r="F39" s="56" t="s">
        <v>51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98</v>
      </c>
      <c r="F40" s="56" t="s">
        <v>53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99</v>
      </c>
      <c r="F41" s="56" t="s">
        <v>54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100</v>
      </c>
      <c r="F42" s="56" t="s">
        <v>55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AC2E2-DE1E-4398-B12E-32C7F5CC7D46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48</v>
      </c>
      <c r="C2" s="149"/>
      <c r="E2" s="58" t="s">
        <v>66</v>
      </c>
      <c r="F2" s="55" t="s">
        <v>22</v>
      </c>
      <c r="G2" s="43">
        <v>76</v>
      </c>
      <c r="H2" s="128">
        <f>IF(B$17=0,0,G2/B$17)</f>
        <v>0.66666666666666663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1472.9166666666667</v>
      </c>
      <c r="P2" s="114">
        <v>48</v>
      </c>
      <c r="Q2" s="98">
        <v>70700</v>
      </c>
    </row>
    <row r="3" spans="1:17" x14ac:dyDescent="0.4">
      <c r="A3" s="51" t="s">
        <v>8</v>
      </c>
      <c r="B3" s="150">
        <v>428</v>
      </c>
      <c r="C3" s="151"/>
      <c r="E3" s="59" t="s">
        <v>72</v>
      </c>
      <c r="F3" s="56" t="s">
        <v>27</v>
      </c>
      <c r="G3" s="44">
        <v>60</v>
      </c>
      <c r="H3" s="129">
        <f>IF(B$17=0,0,G3/B$17)</f>
        <v>0.52631578947368418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-800</v>
      </c>
      <c r="P3" s="115">
        <v>47</v>
      </c>
      <c r="Q3" s="99">
        <v>-37600</v>
      </c>
    </row>
    <row r="4" spans="1:17" x14ac:dyDescent="0.4">
      <c r="A4" s="51" t="s">
        <v>6</v>
      </c>
      <c r="B4" s="152">
        <v>-230.30000000000007</v>
      </c>
      <c r="C4" s="153"/>
      <c r="E4" s="59" t="s">
        <v>171</v>
      </c>
      <c r="F4" s="56" t="s">
        <v>172</v>
      </c>
      <c r="G4" s="44">
        <v>44</v>
      </c>
      <c r="H4" s="129">
        <f>IF(B$17=0,0,G4/B$17)</f>
        <v>0.38596491228070173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0"/>
        <v>-1280</v>
      </c>
      <c r="P4" s="115">
        <v>45</v>
      </c>
      <c r="Q4" s="99">
        <v>-57600</v>
      </c>
    </row>
    <row r="5" spans="1:17" x14ac:dyDescent="0.4">
      <c r="A5" s="51" t="s">
        <v>7</v>
      </c>
      <c r="B5" s="154">
        <f>IF(B$2=0,0,B$4/B$2)</f>
        <v>-4.7979166666666684</v>
      </c>
      <c r="C5" s="155"/>
      <c r="E5" s="59" t="s">
        <v>68</v>
      </c>
      <c r="F5" s="56" t="s">
        <v>12</v>
      </c>
      <c r="G5" s="44">
        <v>32</v>
      </c>
      <c r="H5" s="129">
        <f>IF(B$17=0,0,G5/B$17)</f>
        <v>0.2807017543859649</v>
      </c>
      <c r="I5" s="90">
        <v>9</v>
      </c>
      <c r="K5" s="36">
        <v>3</v>
      </c>
      <c r="L5" s="95">
        <v>-8.3000000000000007</v>
      </c>
      <c r="N5" s="111" t="s">
        <v>133</v>
      </c>
      <c r="O5" s="118">
        <f t="shared" si="0"/>
        <v>-1259.090909090909</v>
      </c>
      <c r="P5" s="115">
        <v>44</v>
      </c>
      <c r="Q5" s="99">
        <v>-55400</v>
      </c>
    </row>
    <row r="6" spans="1:17" x14ac:dyDescent="0.4">
      <c r="A6" s="51" t="s">
        <v>1</v>
      </c>
      <c r="B6" s="144">
        <f>IF(B$2=0,0,(B$7*1+B$8*2+B$9*3)/B$2)</f>
        <v>2.1041666666666665</v>
      </c>
      <c r="C6" s="145"/>
      <c r="E6" s="59" t="s">
        <v>64</v>
      </c>
      <c r="F6" s="56" t="s">
        <v>20</v>
      </c>
      <c r="G6" s="44">
        <v>30</v>
      </c>
      <c r="H6" s="129">
        <f>IF(B$17=0,0,G6/B$17)</f>
        <v>0.26315789473684209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-475</v>
      </c>
      <c r="P6" s="115">
        <v>44</v>
      </c>
      <c r="Q6" s="99">
        <v>-20900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0.33333333333333331</v>
      </c>
      <c r="E7" s="59" t="s">
        <v>69</v>
      </c>
      <c r="F7" s="56" t="s">
        <v>24</v>
      </c>
      <c r="G7" s="44">
        <v>25</v>
      </c>
      <c r="H7" s="129">
        <f>IF(B$17=0,0,G7/B$17)</f>
        <v>0.21929824561403508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-2142.1052631578946</v>
      </c>
      <c r="P7" s="116">
        <v>38</v>
      </c>
      <c r="Q7" s="100">
        <v>-81400</v>
      </c>
    </row>
    <row r="8" spans="1:17" x14ac:dyDescent="0.4">
      <c r="A8" s="51" t="s">
        <v>3</v>
      </c>
      <c r="B8" s="44">
        <v>11</v>
      </c>
      <c r="C8" s="37">
        <f t="shared" si="1"/>
        <v>0.22916666666666666</v>
      </c>
      <c r="E8" s="59" t="s">
        <v>70</v>
      </c>
      <c r="F8" s="56" t="s">
        <v>25</v>
      </c>
      <c r="G8" s="44">
        <v>17</v>
      </c>
      <c r="H8" s="129">
        <f>IF(B$17=0,0,G8/B$17)</f>
        <v>0.14912280701754385</v>
      </c>
      <c r="I8" s="90">
        <v>2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21</v>
      </c>
      <c r="C9" s="38">
        <f t="shared" si="1"/>
        <v>0.4375</v>
      </c>
      <c r="E9" s="59" t="s">
        <v>67</v>
      </c>
      <c r="F9" s="56" t="s">
        <v>23</v>
      </c>
      <c r="G9" s="44">
        <v>15</v>
      </c>
      <c r="H9" s="129">
        <f>IF(B$17=0,0,G9/B$17)</f>
        <v>0.13157894736842105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2.0833333333333332E-2</v>
      </c>
      <c r="E10" s="59" t="s">
        <v>71</v>
      </c>
      <c r="F10" s="56" t="s">
        <v>26</v>
      </c>
      <c r="G10" s="44">
        <v>12</v>
      </c>
      <c r="H10" s="129">
        <f>IF(B$17=0,0,G10/B$17)</f>
        <v>0.10526315789473684</v>
      </c>
      <c r="I10" s="90">
        <v>3</v>
      </c>
      <c r="K10" s="36">
        <v>8</v>
      </c>
      <c r="L10" s="95">
        <v>-76.900000000000006</v>
      </c>
      <c r="N10" s="110" t="s">
        <v>162</v>
      </c>
      <c r="O10" s="120">
        <f>IF(P10=0,0,Q10/P10)</f>
        <v>-6.9249999999999989</v>
      </c>
      <c r="P10" s="114">
        <v>16</v>
      </c>
      <c r="Q10" s="102">
        <v>-110.79999999999998</v>
      </c>
    </row>
    <row r="11" spans="1:17" x14ac:dyDescent="0.4">
      <c r="A11" s="52" t="s">
        <v>138</v>
      </c>
      <c r="B11" s="45">
        <v>2</v>
      </c>
      <c r="C11" s="38">
        <f t="shared" si="1"/>
        <v>4.1666666666666664E-2</v>
      </c>
      <c r="E11" s="59" t="s">
        <v>83</v>
      </c>
      <c r="F11" s="56" t="s">
        <v>38</v>
      </c>
      <c r="G11" s="44">
        <v>11</v>
      </c>
      <c r="H11" s="129">
        <f>IF(B$17=0,0,G11/B$17)</f>
        <v>9.6491228070175433E-2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-1.7142857142857133</v>
      </c>
      <c r="P11" s="115">
        <v>14</v>
      </c>
      <c r="Q11" s="103">
        <v>-23.999999999999986</v>
      </c>
    </row>
    <row r="12" spans="1:17" x14ac:dyDescent="0.4">
      <c r="A12" s="53" t="s">
        <v>158</v>
      </c>
      <c r="B12" s="46">
        <v>7</v>
      </c>
      <c r="C12" s="40">
        <f t="shared" si="1"/>
        <v>0.14583333333333334</v>
      </c>
      <c r="E12" s="59" t="s">
        <v>65</v>
      </c>
      <c r="F12" s="56" t="s">
        <v>21</v>
      </c>
      <c r="G12" s="44">
        <v>8</v>
      </c>
      <c r="H12" s="129">
        <f>IF(B$17=0,0,G12/B$17)</f>
        <v>7.0175438596491224E-2</v>
      </c>
      <c r="I12" s="90">
        <v>9</v>
      </c>
      <c r="K12" s="36">
        <v>10</v>
      </c>
      <c r="L12" s="95">
        <v>-32.700000000000003</v>
      </c>
      <c r="N12" s="112" t="s">
        <v>164</v>
      </c>
      <c r="O12" s="122">
        <f>IF(P12=0,0,Q12/P12)</f>
        <v>-5.3055555555555545</v>
      </c>
      <c r="P12" s="116">
        <v>18</v>
      </c>
      <c r="Q12" s="104">
        <v>-95.499999999999986</v>
      </c>
    </row>
    <row r="13" spans="1:17" x14ac:dyDescent="0.4">
      <c r="A13" s="54" t="s">
        <v>121</v>
      </c>
      <c r="B13" s="47">
        <v>63</v>
      </c>
      <c r="C13" s="42">
        <f>IF(B$3=0,0,B13/B$3)</f>
        <v>0.14719626168224298</v>
      </c>
      <c r="E13" s="59" t="s">
        <v>89</v>
      </c>
      <c r="F13" s="56" t="s">
        <v>44</v>
      </c>
      <c r="G13" s="44">
        <v>7</v>
      </c>
      <c r="H13" s="129">
        <f>IF(B$17=0,0,G13/B$17)</f>
        <v>6.1403508771929821E-2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102</v>
      </c>
      <c r="C14" s="37">
        <f>IF(B$3=0,0,B14/B$3)</f>
        <v>0.23831775700934579</v>
      </c>
      <c r="E14" s="59" t="s">
        <v>81</v>
      </c>
      <c r="F14" s="56" t="s">
        <v>36</v>
      </c>
      <c r="G14" s="44">
        <v>4</v>
      </c>
      <c r="H14" s="129">
        <f>IF(B$17=0,0,G14/B$17)</f>
        <v>3.5087719298245612E-2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31</v>
      </c>
      <c r="C15" s="35">
        <f>IF(B$13=0,0,B15/B$13)</f>
        <v>0.49206349206349204</v>
      </c>
      <c r="E15" s="59" t="s">
        <v>86</v>
      </c>
      <c r="F15" s="56" t="s">
        <v>41</v>
      </c>
      <c r="G15" s="44">
        <v>4</v>
      </c>
      <c r="H15" s="129">
        <f>IF(B$17=0,0,G15/B$17)</f>
        <v>3.5087719298245612E-2</v>
      </c>
      <c r="I15" s="90">
        <v>8</v>
      </c>
      <c r="K15" s="36">
        <v>13</v>
      </c>
      <c r="L15" s="95">
        <v>-66.2</v>
      </c>
      <c r="N15" s="110" t="s">
        <v>181</v>
      </c>
      <c r="O15" s="120">
        <f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38</v>
      </c>
      <c r="C16" s="35">
        <f>IF(B$14=0,0,B16/B$14)</f>
        <v>0.37254901960784315</v>
      </c>
      <c r="E16" s="59" t="s">
        <v>91</v>
      </c>
      <c r="F16" s="56" t="s">
        <v>46</v>
      </c>
      <c r="G16" s="44">
        <v>3</v>
      </c>
      <c r="H16" s="129">
        <f>IF(B$17=0,0,G16/B$17)</f>
        <v>2.6315789473684209E-2</v>
      </c>
      <c r="I16" s="90">
        <v>2</v>
      </c>
      <c r="K16" s="36">
        <v>14</v>
      </c>
      <c r="L16" s="95">
        <v>-51.1</v>
      </c>
      <c r="N16" s="111" t="s">
        <v>127</v>
      </c>
      <c r="O16" s="121">
        <f>IF(P16=0,0,Q16/P16)</f>
        <v>-0.24285714285714377</v>
      </c>
      <c r="P16" s="115">
        <v>21</v>
      </c>
      <c r="Q16" s="103">
        <v>-5.1000000000000192</v>
      </c>
    </row>
    <row r="17" spans="1:17" x14ac:dyDescent="0.4">
      <c r="A17" s="50" t="s">
        <v>10</v>
      </c>
      <c r="B17" s="43">
        <f>B19+B18</f>
        <v>114</v>
      </c>
      <c r="C17" s="35">
        <f>IF(B$3=0,0,B17/B$3)</f>
        <v>0.26635514018691586</v>
      </c>
      <c r="E17" s="59" t="s">
        <v>88</v>
      </c>
      <c r="F17" s="56" t="s">
        <v>43</v>
      </c>
      <c r="G17" s="44">
        <v>2</v>
      </c>
      <c r="H17" s="129">
        <f>IF(B$17=0,0,G17/B$17)</f>
        <v>1.7543859649122806E-2</v>
      </c>
      <c r="I17" s="90">
        <v>1</v>
      </c>
      <c r="K17" s="36">
        <v>15</v>
      </c>
      <c r="L17" s="95">
        <v>-65.2</v>
      </c>
      <c r="N17" s="111" t="s">
        <v>178</v>
      </c>
      <c r="O17" s="121">
        <f>IF(P17=0,0,Q17/P17)</f>
        <v>-4.7411764705882362</v>
      </c>
      <c r="P17" s="115">
        <v>17</v>
      </c>
      <c r="Q17" s="103">
        <v>-80.600000000000009</v>
      </c>
    </row>
    <row r="18" spans="1:17" x14ac:dyDescent="0.4">
      <c r="A18" s="51" t="s">
        <v>12</v>
      </c>
      <c r="B18" s="44">
        <v>47</v>
      </c>
      <c r="C18" s="37">
        <f>IF(B$17=0,0,B18/B$17)</f>
        <v>0.41228070175438597</v>
      </c>
      <c r="E18" s="59" t="s">
        <v>74</v>
      </c>
      <c r="F18" s="56" t="s">
        <v>29</v>
      </c>
      <c r="G18" s="44">
        <v>1</v>
      </c>
      <c r="H18" s="129">
        <f>IF(B$17=0,0,G18/B$17)</f>
        <v>8.771929824561403E-3</v>
      </c>
      <c r="I18" s="90">
        <v>2</v>
      </c>
      <c r="K18" s="36">
        <v>16</v>
      </c>
      <c r="L18" s="95">
        <v>-70.600000000000009</v>
      </c>
      <c r="N18" s="111" t="s">
        <v>126</v>
      </c>
      <c r="O18" s="121">
        <f>IF(P18=0,0,Q18/P18)</f>
        <v>-5.5153846153846153</v>
      </c>
      <c r="P18" s="115">
        <v>26</v>
      </c>
      <c r="Q18" s="103">
        <v>-143.4</v>
      </c>
    </row>
    <row r="19" spans="1:17" x14ac:dyDescent="0.4">
      <c r="A19" s="51" t="s">
        <v>11</v>
      </c>
      <c r="B19" s="44">
        <v>67</v>
      </c>
      <c r="C19" s="37">
        <f>IF(B$17=0,0,B19/B$17)</f>
        <v>0.58771929824561409</v>
      </c>
      <c r="E19" s="59" t="s">
        <v>75</v>
      </c>
      <c r="F19" s="56" t="s">
        <v>30</v>
      </c>
      <c r="G19" s="44">
        <v>1</v>
      </c>
      <c r="H19" s="129">
        <f>IF(B$17=0,0,G19/B$17)</f>
        <v>8.771929824561403E-3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>IF(P19=0,0,Q19/P19)</f>
        <v>-12.242857142857146</v>
      </c>
      <c r="P19" s="115">
        <v>14</v>
      </c>
      <c r="Q19" s="103">
        <v>-171.40000000000003</v>
      </c>
    </row>
    <row r="20" spans="1:17" x14ac:dyDescent="0.4">
      <c r="A20" s="51" t="s">
        <v>13</v>
      </c>
      <c r="B20" s="44">
        <v>63</v>
      </c>
      <c r="C20" s="37">
        <f>IF(B$3=0,0,B20/B$3)</f>
        <v>0.14719626168224298</v>
      </c>
      <c r="E20" s="59" t="s">
        <v>77</v>
      </c>
      <c r="F20" s="56" t="s">
        <v>32</v>
      </c>
      <c r="G20" s="44">
        <v>1</v>
      </c>
      <c r="H20" s="129">
        <f>IF(B$17=0,0,G20/B$17)</f>
        <v>8.771929824561403E-3</v>
      </c>
      <c r="I20" s="90">
        <v>2</v>
      </c>
      <c r="K20" s="36">
        <v>18</v>
      </c>
      <c r="L20" s="95">
        <v>-80.2</v>
      </c>
      <c r="N20" s="111" t="s">
        <v>177</v>
      </c>
      <c r="O20" s="121">
        <f>IF(P20=0,0,Q20/P20)</f>
        <v>-27.649999999999995</v>
      </c>
      <c r="P20" s="115">
        <v>8</v>
      </c>
      <c r="Q20" s="103">
        <v>-221.19999999999996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93</v>
      </c>
      <c r="F21" s="56" t="s">
        <v>48</v>
      </c>
      <c r="G21" s="44">
        <v>1</v>
      </c>
      <c r="H21" s="129">
        <f>IF(B$17=0,0,G21/B$17)</f>
        <v>8.771929824561403E-3</v>
      </c>
      <c r="I21" s="90">
        <v>1</v>
      </c>
      <c r="K21" s="36">
        <v>19</v>
      </c>
      <c r="L21" s="95">
        <v>-115.1</v>
      </c>
      <c r="N21" s="111" t="s">
        <v>182</v>
      </c>
      <c r="O21" s="121">
        <f>IF(P21=0,0,Q21/P21)</f>
        <v>-28.449999999999996</v>
      </c>
      <c r="P21" s="115">
        <v>4</v>
      </c>
      <c r="Q21" s="103">
        <v>-113.79999999999998</v>
      </c>
    </row>
    <row r="22" spans="1:17" x14ac:dyDescent="0.4">
      <c r="A22" s="51" t="s">
        <v>170</v>
      </c>
      <c r="B22" s="44">
        <v>32</v>
      </c>
      <c r="C22" s="131">
        <v>1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7019.2982456140353</v>
      </c>
      <c r="C23" s="39">
        <v>800200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7353.9473684210525</v>
      </c>
      <c r="C24" s="137">
        <v>558900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6350</v>
      </c>
      <c r="C25" s="137">
        <v>241300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-6966.666666666667</v>
      </c>
      <c r="C26" s="137">
        <v>-438900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4.6728971962616819E-3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-144.10000000000005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-97.300000000000054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2BD46-768B-490A-B4D6-E4F4CCC91374}">
  <sheetPr codeName="Sheet9"/>
  <dimension ref="A1:Q116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114</v>
      </c>
      <c r="C2" s="149"/>
      <c r="E2" s="58" t="s">
        <v>66</v>
      </c>
      <c r="F2" s="55" t="s">
        <v>22</v>
      </c>
      <c r="G2" s="43">
        <v>215</v>
      </c>
      <c r="H2" s="128">
        <f>IF(B$17=0,0,G2/B$17)</f>
        <v>0.67610062893081757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1412.3893805309735</v>
      </c>
      <c r="P2" s="114">
        <v>113</v>
      </c>
      <c r="Q2" s="98">
        <v>159600</v>
      </c>
    </row>
    <row r="3" spans="1:17" x14ac:dyDescent="0.4">
      <c r="A3" s="51" t="s">
        <v>8</v>
      </c>
      <c r="B3" s="150">
        <v>924</v>
      </c>
      <c r="C3" s="151"/>
      <c r="E3" s="59" t="s">
        <v>72</v>
      </c>
      <c r="F3" s="56" t="s">
        <v>27</v>
      </c>
      <c r="G3" s="44">
        <v>157</v>
      </c>
      <c r="H3" s="129">
        <f>IF(B$17=0,0,G3/B$17)</f>
        <v>0.49371069182389937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564.5454545454545</v>
      </c>
      <c r="P3" s="115">
        <v>110</v>
      </c>
      <c r="Q3" s="99">
        <v>62100</v>
      </c>
    </row>
    <row r="4" spans="1:17" x14ac:dyDescent="0.4">
      <c r="A4" s="51" t="s">
        <v>6</v>
      </c>
      <c r="B4" s="152">
        <v>1045.8</v>
      </c>
      <c r="C4" s="153"/>
      <c r="E4" s="59" t="s">
        <v>64</v>
      </c>
      <c r="F4" s="56" t="s">
        <v>20</v>
      </c>
      <c r="G4" s="44">
        <v>142</v>
      </c>
      <c r="H4" s="129">
        <f>IF(B$17=0,0,G4/B$17)</f>
        <v>0.44654088050314467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999.05660377358492</v>
      </c>
      <c r="P4" s="115">
        <v>106</v>
      </c>
      <c r="Q4" s="99">
        <v>105900</v>
      </c>
    </row>
    <row r="5" spans="1:17" x14ac:dyDescent="0.4">
      <c r="A5" s="51" t="s">
        <v>7</v>
      </c>
      <c r="B5" s="154">
        <f>IF(B$2=0,0,B$4/B$2)</f>
        <v>9.1736842105263161</v>
      </c>
      <c r="C5" s="155"/>
      <c r="E5" s="59" t="s">
        <v>171</v>
      </c>
      <c r="F5" s="56" t="s">
        <v>172</v>
      </c>
      <c r="G5" s="44">
        <v>122</v>
      </c>
      <c r="H5" s="129">
        <f>IF(B$17=0,0,G5/B$17)</f>
        <v>0.38364779874213839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414.43298969072163</v>
      </c>
      <c r="P5" s="115">
        <v>97</v>
      </c>
      <c r="Q5" s="99">
        <v>40200</v>
      </c>
    </row>
    <row r="6" spans="1:17" x14ac:dyDescent="0.4">
      <c r="A6" s="51" t="s">
        <v>1</v>
      </c>
      <c r="B6" s="144">
        <f>IF(B$2=0,0,(B$7*1+B$8*2+B$9*3)/B$2)</f>
        <v>1.7807017543859649</v>
      </c>
      <c r="C6" s="145"/>
      <c r="E6" s="59" t="s">
        <v>68</v>
      </c>
      <c r="F6" s="56" t="s">
        <v>12</v>
      </c>
      <c r="G6" s="44">
        <v>95</v>
      </c>
      <c r="H6" s="129">
        <f>IF(B$17=0,0,G6/B$17)</f>
        <v>0.29874213836477986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2001.1111111111111</v>
      </c>
      <c r="P6" s="115">
        <v>90</v>
      </c>
      <c r="Q6" s="99">
        <v>180100</v>
      </c>
    </row>
    <row r="7" spans="1:17" x14ac:dyDescent="0.4">
      <c r="A7" s="51" t="s">
        <v>2</v>
      </c>
      <c r="B7" s="44">
        <v>53</v>
      </c>
      <c r="C7" s="37">
        <f t="shared" ref="C7:C12" si="1">IF(B$2=0,0,B7/B$2)</f>
        <v>0.46491228070175439</v>
      </c>
      <c r="E7" s="59" t="s">
        <v>67</v>
      </c>
      <c r="F7" s="56" t="s">
        <v>23</v>
      </c>
      <c r="G7" s="44">
        <v>79</v>
      </c>
      <c r="H7" s="129">
        <f>IF(B$17=0,0,G7/B$17)</f>
        <v>0.24842767295597484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3035.6164383561645</v>
      </c>
      <c r="P7" s="116">
        <v>73</v>
      </c>
      <c r="Q7" s="100">
        <v>221600</v>
      </c>
    </row>
    <row r="8" spans="1:17" x14ac:dyDescent="0.4">
      <c r="A8" s="51" t="s">
        <v>3</v>
      </c>
      <c r="B8" s="44">
        <v>33</v>
      </c>
      <c r="C8" s="37">
        <f t="shared" si="1"/>
        <v>0.28947368421052633</v>
      </c>
      <c r="E8" s="59" t="s">
        <v>69</v>
      </c>
      <c r="F8" s="56" t="s">
        <v>24</v>
      </c>
      <c r="G8" s="44">
        <v>50</v>
      </c>
      <c r="H8" s="129">
        <f>IF(B$17=0,0,G8/B$17)</f>
        <v>0.15723270440251572</v>
      </c>
      <c r="I8" s="90">
        <v>4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1"/>
        <v>0.24561403508771928</v>
      </c>
      <c r="E9" s="59" t="s">
        <v>89</v>
      </c>
      <c r="F9" s="56" t="s">
        <v>44</v>
      </c>
      <c r="G9" s="44">
        <v>49</v>
      </c>
      <c r="H9" s="129">
        <f>IF(B$17=0,0,G9/B$17)</f>
        <v>0.1540880503144654</v>
      </c>
      <c r="I9" s="90">
        <v>3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4.3859649122807015E-2</v>
      </c>
      <c r="E10" s="59" t="s">
        <v>65</v>
      </c>
      <c r="F10" s="56" t="s">
        <v>21</v>
      </c>
      <c r="G10" s="44">
        <v>37</v>
      </c>
      <c r="H10" s="129">
        <f>IF(B$17=0,0,G10/B$17)</f>
        <v>0.11635220125786164</v>
      </c>
      <c r="I10" s="90">
        <v>5</v>
      </c>
      <c r="K10" s="36">
        <v>8</v>
      </c>
      <c r="L10" s="95">
        <v>148.1</v>
      </c>
      <c r="N10" s="110" t="s">
        <v>162</v>
      </c>
      <c r="O10" s="120">
        <f>IF(P10=0,0,Q10/P10)</f>
        <v>11.54705882352941</v>
      </c>
      <c r="P10" s="114">
        <v>34</v>
      </c>
      <c r="Q10" s="102">
        <v>392.59999999999991</v>
      </c>
    </row>
    <row r="11" spans="1:17" x14ac:dyDescent="0.4">
      <c r="A11" s="52" t="s">
        <v>138</v>
      </c>
      <c r="B11" s="45">
        <v>15</v>
      </c>
      <c r="C11" s="38">
        <f t="shared" si="1"/>
        <v>0.13157894736842105</v>
      </c>
      <c r="E11" s="59" t="s">
        <v>71</v>
      </c>
      <c r="F11" s="56" t="s">
        <v>26</v>
      </c>
      <c r="G11" s="44">
        <v>23</v>
      </c>
      <c r="H11" s="129">
        <f>IF(B$17=0,0,G11/B$17)</f>
        <v>7.2327044025157231E-2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5.4317073170731716</v>
      </c>
      <c r="P11" s="115">
        <v>41</v>
      </c>
      <c r="Q11" s="103">
        <v>222.70000000000002</v>
      </c>
    </row>
    <row r="12" spans="1:17" x14ac:dyDescent="0.4">
      <c r="A12" s="53" t="s">
        <v>158</v>
      </c>
      <c r="B12" s="46">
        <v>13</v>
      </c>
      <c r="C12" s="40">
        <f t="shared" si="1"/>
        <v>0.11403508771929824</v>
      </c>
      <c r="E12" s="59" t="s">
        <v>86</v>
      </c>
      <c r="F12" s="56" t="s">
        <v>41</v>
      </c>
      <c r="G12" s="44">
        <v>18</v>
      </c>
      <c r="H12" s="129">
        <f>IF(B$17=0,0,G12/B$17)</f>
        <v>5.6603773584905662E-2</v>
      </c>
      <c r="I12" s="90">
        <v>4</v>
      </c>
      <c r="K12" s="36">
        <v>10</v>
      </c>
      <c r="L12" s="95">
        <v>158.19999999999999</v>
      </c>
      <c r="N12" s="112" t="s">
        <v>164</v>
      </c>
      <c r="O12" s="122">
        <f>IF(P12=0,0,Q12/P12)</f>
        <v>11.038461538461535</v>
      </c>
      <c r="P12" s="116">
        <v>39</v>
      </c>
      <c r="Q12" s="104">
        <v>430.49999999999989</v>
      </c>
    </row>
    <row r="13" spans="1:17" x14ac:dyDescent="0.4">
      <c r="A13" s="54" t="s">
        <v>121</v>
      </c>
      <c r="B13" s="47">
        <v>250</v>
      </c>
      <c r="C13" s="42">
        <f>IF(B$3=0,0,B13/B$3)</f>
        <v>0.27056277056277056</v>
      </c>
      <c r="E13" s="59" t="s">
        <v>70</v>
      </c>
      <c r="F13" s="56" t="s">
        <v>25</v>
      </c>
      <c r="G13" s="44">
        <v>17</v>
      </c>
      <c r="H13" s="129">
        <f>IF(B$17=0,0,G13/B$17)</f>
        <v>5.3459119496855348E-2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206</v>
      </c>
      <c r="C14" s="37">
        <f>IF(B$3=0,0,B14/B$3)</f>
        <v>0.22294372294372294</v>
      </c>
      <c r="E14" s="59" t="s">
        <v>83</v>
      </c>
      <c r="F14" s="56" t="s">
        <v>38</v>
      </c>
      <c r="G14" s="44">
        <v>15</v>
      </c>
      <c r="H14" s="129">
        <f>IF(B$17=0,0,G14/B$17)</f>
        <v>4.716981132075472E-2</v>
      </c>
      <c r="I14" s="90">
        <v>8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151</v>
      </c>
      <c r="C15" s="35">
        <f>IF(B$13=0,0,B15/B$13)</f>
        <v>0.60399999999999998</v>
      </c>
      <c r="E15" s="59" t="s">
        <v>78</v>
      </c>
      <c r="F15" s="56" t="s">
        <v>33</v>
      </c>
      <c r="G15" s="44">
        <v>13</v>
      </c>
      <c r="H15" s="129">
        <f>IF(B$17=0,0,G15/B$17)</f>
        <v>4.0880503144654086E-2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>IF(P15=0,0,Q15/P15)</f>
        <v>41.585714285714289</v>
      </c>
      <c r="P15" s="114">
        <v>7</v>
      </c>
      <c r="Q15" s="102">
        <v>291.10000000000002</v>
      </c>
    </row>
    <row r="16" spans="1:17" x14ac:dyDescent="0.4">
      <c r="A16" s="50" t="s">
        <v>124</v>
      </c>
      <c r="B16" s="43">
        <v>100</v>
      </c>
      <c r="C16" s="35">
        <f>IF(B$14=0,0,B16/B$14)</f>
        <v>0.4854368932038835</v>
      </c>
      <c r="E16" s="59" t="s">
        <v>167</v>
      </c>
      <c r="F16" s="56" t="s">
        <v>168</v>
      </c>
      <c r="G16" s="44">
        <v>12</v>
      </c>
      <c r="H16" s="129">
        <f>IF(B$17=0,0,G16/B$17)</f>
        <v>3.7735849056603772E-2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>IF(P16=0,0,Q16/P16)</f>
        <v>28.291666666666661</v>
      </c>
      <c r="P16" s="115">
        <v>12</v>
      </c>
      <c r="Q16" s="103">
        <v>339.49999999999994</v>
      </c>
    </row>
    <row r="17" spans="1:17" x14ac:dyDescent="0.4">
      <c r="A17" s="50" t="s">
        <v>10</v>
      </c>
      <c r="B17" s="43">
        <f>B19+B18</f>
        <v>318</v>
      </c>
      <c r="C17" s="35">
        <f>IF(B$3=0,0,B17/B$3)</f>
        <v>0.34415584415584416</v>
      </c>
      <c r="E17" s="59" t="s">
        <v>77</v>
      </c>
      <c r="F17" s="56" t="s">
        <v>32</v>
      </c>
      <c r="G17" s="44">
        <v>3</v>
      </c>
      <c r="H17" s="129">
        <f>IF(B$17=0,0,G17/B$17)</f>
        <v>9.433962264150943E-3</v>
      </c>
      <c r="I17" s="90">
        <v>1</v>
      </c>
      <c r="K17" s="36">
        <v>15</v>
      </c>
      <c r="L17" s="95">
        <v>269.49999999999994</v>
      </c>
      <c r="N17" s="111" t="s">
        <v>178</v>
      </c>
      <c r="O17" s="121">
        <f>IF(P17=0,0,Q17/P17)</f>
        <v>17.656818181818185</v>
      </c>
      <c r="P17" s="115">
        <v>44</v>
      </c>
      <c r="Q17" s="103">
        <v>776.90000000000009</v>
      </c>
    </row>
    <row r="18" spans="1:17" x14ac:dyDescent="0.4">
      <c r="A18" s="51" t="s">
        <v>12</v>
      </c>
      <c r="B18" s="44">
        <v>137</v>
      </c>
      <c r="C18" s="37">
        <f>IF(B$17=0,0,B18/B$17)</f>
        <v>0.4308176100628931</v>
      </c>
      <c r="E18" s="59" t="s">
        <v>84</v>
      </c>
      <c r="F18" s="56" t="s">
        <v>39</v>
      </c>
      <c r="G18" s="44">
        <v>3</v>
      </c>
      <c r="H18" s="129">
        <f>IF(B$17=0,0,G18/B$17)</f>
        <v>9.433962264150943E-3</v>
      </c>
      <c r="I18" s="90">
        <v>1</v>
      </c>
      <c r="K18" s="36">
        <v>16</v>
      </c>
      <c r="L18" s="95">
        <v>323.69999999999993</v>
      </c>
      <c r="N18" s="111" t="s">
        <v>179</v>
      </c>
      <c r="O18" s="121">
        <f>IF(P18=0,0,Q18/P18)</f>
        <v>16.932558139534887</v>
      </c>
      <c r="P18" s="115">
        <v>43</v>
      </c>
      <c r="Q18" s="103">
        <v>728.10000000000014</v>
      </c>
    </row>
    <row r="19" spans="1:17" x14ac:dyDescent="0.4">
      <c r="A19" s="51" t="s">
        <v>11</v>
      </c>
      <c r="B19" s="44">
        <v>181</v>
      </c>
      <c r="C19" s="37">
        <f>IF(B$17=0,0,B19/B$17)</f>
        <v>0.5691823899371069</v>
      </c>
      <c r="E19" s="59" t="s">
        <v>92</v>
      </c>
      <c r="F19" s="56" t="s">
        <v>47</v>
      </c>
      <c r="G19" s="44">
        <v>3</v>
      </c>
      <c r="H19" s="129">
        <f>IF(B$17=0,0,G19/B$17)</f>
        <v>9.433962264150943E-3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16.008450704225346</v>
      </c>
      <c r="P19" s="115">
        <v>71</v>
      </c>
      <c r="Q19" s="103">
        <v>1136.5999999999997</v>
      </c>
    </row>
    <row r="20" spans="1:17" x14ac:dyDescent="0.4">
      <c r="A20" s="51" t="s">
        <v>13</v>
      </c>
      <c r="B20" s="44">
        <v>119</v>
      </c>
      <c r="C20" s="37">
        <f>IF(B$3=0,0,B20/B$3)</f>
        <v>0.12878787878787878</v>
      </c>
      <c r="E20" s="59" t="s">
        <v>75</v>
      </c>
      <c r="F20" s="56" t="s">
        <v>30</v>
      </c>
      <c r="G20" s="44">
        <v>2</v>
      </c>
      <c r="H20" s="129">
        <f>IF(B$17=0,0,G20/B$17)</f>
        <v>6.2893081761006293E-3</v>
      </c>
      <c r="I20" s="90">
        <v>6</v>
      </c>
      <c r="K20" s="36">
        <v>18</v>
      </c>
      <c r="L20" s="95">
        <v>352.39999999999992</v>
      </c>
      <c r="N20" s="111" t="s">
        <v>166</v>
      </c>
      <c r="O20" s="121">
        <f>IF(P20=0,0,Q20/P20)</f>
        <v>5.5153846153846144</v>
      </c>
      <c r="P20" s="115">
        <v>26</v>
      </c>
      <c r="Q20" s="103">
        <v>143.39999999999998</v>
      </c>
    </row>
    <row r="21" spans="1:17" x14ac:dyDescent="0.4">
      <c r="A21" s="51" t="s">
        <v>169</v>
      </c>
      <c r="B21" s="44">
        <v>5</v>
      </c>
      <c r="C21" s="131">
        <v>1</v>
      </c>
      <c r="E21" s="59" t="s">
        <v>79</v>
      </c>
      <c r="F21" s="56" t="s">
        <v>34</v>
      </c>
      <c r="G21" s="44">
        <v>2</v>
      </c>
      <c r="H21" s="129">
        <f>IF(B$17=0,0,G21/B$17)</f>
        <v>6.2893081761006293E-3</v>
      </c>
      <c r="I21" s="90">
        <v>6</v>
      </c>
      <c r="K21" s="36">
        <v>19</v>
      </c>
      <c r="L21" s="95">
        <v>383.19999999999993</v>
      </c>
      <c r="N21" s="111" t="s">
        <v>177</v>
      </c>
      <c r="O21" s="121">
        <f>IF(P21=0,0,Q21/P21)</f>
        <v>-8.6541666666666668</v>
      </c>
      <c r="P21" s="115">
        <v>24</v>
      </c>
      <c r="Q21" s="103">
        <v>-207.70000000000002</v>
      </c>
    </row>
    <row r="22" spans="1:17" x14ac:dyDescent="0.4">
      <c r="A22" s="51" t="s">
        <v>170</v>
      </c>
      <c r="B22" s="44">
        <v>43</v>
      </c>
      <c r="C22" s="131">
        <v>1</v>
      </c>
      <c r="E22" s="59" t="s">
        <v>81</v>
      </c>
      <c r="F22" s="56" t="s">
        <v>36</v>
      </c>
      <c r="G22" s="44">
        <v>2</v>
      </c>
      <c r="H22" s="129">
        <f>IF(B$17=0,0,G22/B$17)</f>
        <v>6.2893081761006293E-3</v>
      </c>
      <c r="I22" s="90">
        <v>9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8321.3836477987425</v>
      </c>
      <c r="C23" s="39">
        <v>2646200</v>
      </c>
      <c r="E23" s="59" t="s">
        <v>85</v>
      </c>
      <c r="F23" s="56" t="s">
        <v>40</v>
      </c>
      <c r="G23" s="44">
        <v>2</v>
      </c>
      <c r="H23" s="129">
        <f>IF(B$17=0,0,G23/B$17)</f>
        <v>6.2893081761006293E-3</v>
      </c>
      <c r="I23" s="90">
        <v>3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8482.1100917431195</v>
      </c>
      <c r="C24" s="137">
        <v>1849100</v>
      </c>
      <c r="E24" s="59" t="s">
        <v>88</v>
      </c>
      <c r="F24" s="56" t="s">
        <v>43</v>
      </c>
      <c r="G24" s="44">
        <v>2</v>
      </c>
      <c r="H24" s="129">
        <f>IF(B$17=0,0,G24/B$17)</f>
        <v>6.2893081761006293E-3</v>
      </c>
      <c r="I24" s="90">
        <v>2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7971</v>
      </c>
      <c r="C25" s="137">
        <v>797100</v>
      </c>
      <c r="E25" s="59" t="s">
        <v>91</v>
      </c>
      <c r="F25" s="56" t="s">
        <v>46</v>
      </c>
      <c r="G25" s="44">
        <v>2</v>
      </c>
      <c r="H25" s="129">
        <f>IF(B$17=0,0,G25/B$17)</f>
        <v>6.2893081761006293E-3</v>
      </c>
      <c r="I25" s="90">
        <v>6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-7973.9495798319331</v>
      </c>
      <c r="C26" s="137">
        <v>-948900</v>
      </c>
      <c r="E26" s="59" t="s">
        <v>74</v>
      </c>
      <c r="F26" s="56" t="s">
        <v>29</v>
      </c>
      <c r="G26" s="44">
        <v>1</v>
      </c>
      <c r="H26" s="129">
        <f>IF(B$17=0,0,G26/B$17)</f>
        <v>3.1446540880503146E-3</v>
      </c>
      <c r="I26" s="90">
        <v>6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90</v>
      </c>
      <c r="F27" s="56" t="s">
        <v>45</v>
      </c>
      <c r="G27" s="44">
        <v>1</v>
      </c>
      <c r="H27" s="129">
        <f>IF(B$17=0,0,G27/B$17)</f>
        <v>3.1446540880503146E-3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149100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3.1446540880503146E-3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1.0822510822510823E-3</v>
      </c>
      <c r="E29" s="59" t="s">
        <v>106</v>
      </c>
      <c r="F29" s="56" t="s">
        <v>113</v>
      </c>
      <c r="G29" s="44">
        <v>1</v>
      </c>
      <c r="H29" s="129">
        <f>IF(B$17=0,0,G29/B$17)</f>
        <v>3.1446540880503146E-3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73</v>
      </c>
      <c r="F30" s="56" t="s">
        <v>28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80</v>
      </c>
      <c r="F32" s="56" t="s">
        <v>35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82</v>
      </c>
      <c r="F33" s="56" t="s">
        <v>37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319.49999999999994</v>
      </c>
    </row>
    <row r="34" spans="5:12" x14ac:dyDescent="0.4">
      <c r="E34" s="59" t="s">
        <v>87</v>
      </c>
      <c r="F34" s="56" t="s">
        <v>42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93</v>
      </c>
      <c r="F35" s="56" t="s">
        <v>48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349.19999999999993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312.09999999999991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365.39999999999986</v>
      </c>
    </row>
    <row r="42" spans="5:12" x14ac:dyDescent="0.4">
      <c r="E42" s="59" t="s">
        <v>101</v>
      </c>
      <c r="F42" s="56" t="s">
        <v>56</v>
      </c>
      <c r="G42" s="44">
        <v>0</v>
      </c>
      <c r="H42" s="129">
        <f>IF(B$17=0,0,G42/B$17)</f>
        <v>0</v>
      </c>
      <c r="I42" s="90">
        <v>3</v>
      </c>
      <c r="K42" s="36">
        <v>40</v>
      </c>
      <c r="L42" s="95">
        <v>398.79999999999984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899B0-06A3-40C1-A7F5-6018324DBA32}">
  <sheetPr codeName="Sheet11"/>
  <dimension ref="A1:Q10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102</v>
      </c>
      <c r="C2" s="149"/>
      <c r="E2" s="58" t="s">
        <v>66</v>
      </c>
      <c r="F2" s="55" t="s">
        <v>22</v>
      </c>
      <c r="G2" s="43">
        <v>232</v>
      </c>
      <c r="H2" s="128">
        <f>IF(B$17=0,0,G2/B$17)</f>
        <v>0.90625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-1956.4356435643565</v>
      </c>
      <c r="P2" s="114">
        <v>101</v>
      </c>
      <c r="Q2" s="98">
        <v>-197600</v>
      </c>
    </row>
    <row r="3" spans="1:17" x14ac:dyDescent="0.4">
      <c r="A3" s="51" t="s">
        <v>8</v>
      </c>
      <c r="B3" s="150">
        <v>856</v>
      </c>
      <c r="C3" s="151"/>
      <c r="E3" s="59" t="s">
        <v>72</v>
      </c>
      <c r="F3" s="56" t="s">
        <v>27</v>
      </c>
      <c r="G3" s="44">
        <v>149</v>
      </c>
      <c r="H3" s="129">
        <f>IF(B$17=0,0,G3/B$17)</f>
        <v>0.58203125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1178.7878787878788</v>
      </c>
      <c r="P3" s="115">
        <v>99</v>
      </c>
      <c r="Q3" s="99">
        <v>116700</v>
      </c>
    </row>
    <row r="4" spans="1:17" x14ac:dyDescent="0.4">
      <c r="A4" s="51" t="s">
        <v>6</v>
      </c>
      <c r="B4" s="152">
        <v>-56.500000000000213</v>
      </c>
      <c r="C4" s="153"/>
      <c r="E4" s="59" t="s">
        <v>171</v>
      </c>
      <c r="F4" s="56" t="s">
        <v>172</v>
      </c>
      <c r="G4" s="44">
        <v>107</v>
      </c>
      <c r="H4" s="129">
        <f>IF(B$17=0,0,G4/B$17)</f>
        <v>0.41796875</v>
      </c>
      <c r="I4" s="90">
        <v>2</v>
      </c>
      <c r="K4" s="36">
        <v>2</v>
      </c>
      <c r="L4" s="95">
        <v>-34.299999999999997</v>
      </c>
      <c r="N4" s="111" t="s">
        <v>132</v>
      </c>
      <c r="O4" s="118">
        <f t="shared" si="0"/>
        <v>260.21505376344084</v>
      </c>
      <c r="P4" s="115">
        <v>93</v>
      </c>
      <c r="Q4" s="99">
        <v>24200</v>
      </c>
    </row>
    <row r="5" spans="1:17" x14ac:dyDescent="0.4">
      <c r="A5" s="51" t="s">
        <v>7</v>
      </c>
      <c r="B5" s="154">
        <f>IF(B$2=0,0,B$4/B$2)</f>
        <v>-0.55392156862745312</v>
      </c>
      <c r="C5" s="155"/>
      <c r="E5" s="59" t="s">
        <v>64</v>
      </c>
      <c r="F5" s="56" t="s">
        <v>20</v>
      </c>
      <c r="G5" s="44">
        <v>101</v>
      </c>
      <c r="H5" s="129">
        <f>IF(B$17=0,0,G5/B$17)</f>
        <v>0.39453125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666.66666666666663</v>
      </c>
      <c r="P5" s="115">
        <v>87</v>
      </c>
      <c r="Q5" s="99">
        <v>58000</v>
      </c>
    </row>
    <row r="6" spans="1:17" x14ac:dyDescent="0.4">
      <c r="A6" s="51" t="s">
        <v>1</v>
      </c>
      <c r="B6" s="144">
        <f>IF(B$2=0,0,(B$7*1+B$8*2+B$9*3)/B$2)</f>
        <v>1.9901960784313726</v>
      </c>
      <c r="C6" s="145"/>
      <c r="E6" s="59" t="s">
        <v>68</v>
      </c>
      <c r="F6" s="56" t="s">
        <v>12</v>
      </c>
      <c r="G6" s="44">
        <v>70</v>
      </c>
      <c r="H6" s="129">
        <f>IF(B$17=0,0,G6/B$17)</f>
        <v>0.2734375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-1180</v>
      </c>
      <c r="P6" s="115">
        <v>80</v>
      </c>
      <c r="Q6" s="99">
        <v>-94400</v>
      </c>
    </row>
    <row r="7" spans="1:17" x14ac:dyDescent="0.4">
      <c r="A7" s="51" t="s">
        <v>2</v>
      </c>
      <c r="B7" s="44">
        <v>35</v>
      </c>
      <c r="C7" s="37">
        <f t="shared" ref="C7:C12" si="1">IF(B$2=0,0,B7/B$2)</f>
        <v>0.34313725490196079</v>
      </c>
      <c r="E7" s="59" t="s">
        <v>67</v>
      </c>
      <c r="F7" s="56" t="s">
        <v>23</v>
      </c>
      <c r="G7" s="44">
        <v>53</v>
      </c>
      <c r="H7" s="129">
        <f>IF(B$17=0,0,G7/B$17)</f>
        <v>0.20703125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1248.5294117647059</v>
      </c>
      <c r="P7" s="116">
        <v>68</v>
      </c>
      <c r="Q7" s="100">
        <v>84900</v>
      </c>
    </row>
    <row r="8" spans="1:17" x14ac:dyDescent="0.4">
      <c r="A8" s="51" t="s">
        <v>3</v>
      </c>
      <c r="B8" s="44">
        <v>33</v>
      </c>
      <c r="C8" s="37">
        <f t="shared" si="1"/>
        <v>0.3235294117647059</v>
      </c>
      <c r="E8" s="59" t="s">
        <v>89</v>
      </c>
      <c r="F8" s="56" t="s">
        <v>44</v>
      </c>
      <c r="G8" s="44">
        <v>32</v>
      </c>
      <c r="H8" s="129">
        <f>IF(B$17=0,0,G8/B$17)</f>
        <v>0.125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34</v>
      </c>
      <c r="C9" s="38">
        <f t="shared" si="1"/>
        <v>0.33333333333333331</v>
      </c>
      <c r="E9" s="59" t="s">
        <v>69</v>
      </c>
      <c r="F9" s="56" t="s">
        <v>24</v>
      </c>
      <c r="G9" s="44">
        <v>30</v>
      </c>
      <c r="H9" s="129">
        <f>IF(B$17=0,0,G9/B$17)</f>
        <v>0.1171875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15</v>
      </c>
      <c r="C10" s="38">
        <f t="shared" si="1"/>
        <v>0.14705882352941177</v>
      </c>
      <c r="E10" s="59" t="s">
        <v>65</v>
      </c>
      <c r="F10" s="56" t="s">
        <v>21</v>
      </c>
      <c r="G10" s="44">
        <v>25</v>
      </c>
      <c r="H10" s="129">
        <f>IF(B$17=0,0,G10/B$17)</f>
        <v>9.765625E-2</v>
      </c>
      <c r="I10" s="90">
        <v>8</v>
      </c>
      <c r="K10" s="36">
        <v>8</v>
      </c>
      <c r="L10" s="95">
        <v>-56.79999999999999</v>
      </c>
      <c r="N10" s="110" t="s">
        <v>162</v>
      </c>
      <c r="O10" s="120">
        <f>IF(P10=0,0,Q10/P10)</f>
        <v>1.2375000000000009</v>
      </c>
      <c r="P10" s="114">
        <v>24</v>
      </c>
      <c r="Q10" s="102">
        <v>29.700000000000024</v>
      </c>
    </row>
    <row r="11" spans="1:17" x14ac:dyDescent="0.4">
      <c r="A11" s="52" t="s">
        <v>138</v>
      </c>
      <c r="B11" s="45">
        <v>10</v>
      </c>
      <c r="C11" s="38">
        <f t="shared" si="1"/>
        <v>9.8039215686274508E-2</v>
      </c>
      <c r="E11" s="59" t="s">
        <v>70</v>
      </c>
      <c r="F11" s="56" t="s">
        <v>25</v>
      </c>
      <c r="G11" s="44">
        <v>22</v>
      </c>
      <c r="H11" s="129">
        <f>IF(B$17=0,0,G11/B$17)</f>
        <v>8.59375E-2</v>
      </c>
      <c r="I11" s="90">
        <v>8</v>
      </c>
      <c r="K11" s="36">
        <v>9</v>
      </c>
      <c r="L11" s="95">
        <v>-83.699999999999989</v>
      </c>
      <c r="N11" s="111" t="s">
        <v>163</v>
      </c>
      <c r="O11" s="121">
        <f>IF(P11=0,0,Q11/P11)</f>
        <v>3.8645161290322592</v>
      </c>
      <c r="P11" s="115">
        <v>31</v>
      </c>
      <c r="Q11" s="103">
        <v>119.80000000000004</v>
      </c>
    </row>
    <row r="12" spans="1:17" x14ac:dyDescent="0.4">
      <c r="A12" s="53" t="s">
        <v>158</v>
      </c>
      <c r="B12" s="46">
        <v>17</v>
      </c>
      <c r="C12" s="40">
        <f t="shared" si="1"/>
        <v>0.16666666666666666</v>
      </c>
      <c r="E12" s="59" t="s">
        <v>71</v>
      </c>
      <c r="F12" s="56" t="s">
        <v>26</v>
      </c>
      <c r="G12" s="44">
        <v>22</v>
      </c>
      <c r="H12" s="129">
        <f>IF(B$17=0,0,G12/B$17)</f>
        <v>8.59375E-2</v>
      </c>
      <c r="I12" s="90">
        <v>6</v>
      </c>
      <c r="K12" s="36">
        <v>10</v>
      </c>
      <c r="L12" s="95">
        <v>-78.399999999999991</v>
      </c>
      <c r="N12" s="112" t="s">
        <v>164</v>
      </c>
      <c r="O12" s="122">
        <f>IF(P12=0,0,Q12/P12)</f>
        <v>-4.3829787234042561</v>
      </c>
      <c r="P12" s="116">
        <v>47</v>
      </c>
      <c r="Q12" s="104">
        <v>-206.00000000000006</v>
      </c>
    </row>
    <row r="13" spans="1:17" x14ac:dyDescent="0.4">
      <c r="A13" s="54" t="s">
        <v>121</v>
      </c>
      <c r="B13" s="47">
        <v>201</v>
      </c>
      <c r="C13" s="42">
        <f>IF(B$3=0,0,B13/B$3)</f>
        <v>0.23481308411214954</v>
      </c>
      <c r="E13" s="59" t="s">
        <v>86</v>
      </c>
      <c r="F13" s="56" t="s">
        <v>41</v>
      </c>
      <c r="G13" s="44">
        <v>18</v>
      </c>
      <c r="H13" s="129">
        <f>IF(B$17=0,0,G13/B$17)</f>
        <v>7.03125E-2</v>
      </c>
      <c r="I13" s="90">
        <v>2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260</v>
      </c>
      <c r="C14" s="37">
        <f>IF(B$3=0,0,B14/B$3)</f>
        <v>0.30373831775700932</v>
      </c>
      <c r="E14" s="59" t="s">
        <v>83</v>
      </c>
      <c r="F14" s="56" t="s">
        <v>38</v>
      </c>
      <c r="G14" s="44">
        <v>15</v>
      </c>
      <c r="H14" s="129">
        <f>IF(B$17=0,0,G14/B$17)</f>
        <v>5.859375E-2</v>
      </c>
      <c r="I14" s="90">
        <v>6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102</v>
      </c>
      <c r="C15" s="35">
        <f>IF(B$13=0,0,B15/B$13)</f>
        <v>0.5074626865671642</v>
      </c>
      <c r="E15" s="59" t="s">
        <v>78</v>
      </c>
      <c r="F15" s="56" t="s">
        <v>33</v>
      </c>
      <c r="G15" s="44">
        <v>8</v>
      </c>
      <c r="H15" s="129">
        <f>IF(B$17=0,0,G15/B$17)</f>
        <v>3.125E-2</v>
      </c>
      <c r="I15" s="90">
        <v>4</v>
      </c>
      <c r="K15" s="36">
        <v>13</v>
      </c>
      <c r="L15" s="95">
        <v>-86.8</v>
      </c>
      <c r="N15" s="110" t="s">
        <v>195</v>
      </c>
      <c r="O15" s="120">
        <f t="shared" ref="O15:O22" si="2"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96</v>
      </c>
      <c r="C16" s="35">
        <f>IF(B$14=0,0,B16/B$14)</f>
        <v>0.36923076923076925</v>
      </c>
      <c r="E16" s="59" t="s">
        <v>91</v>
      </c>
      <c r="F16" s="56" t="s">
        <v>46</v>
      </c>
      <c r="G16" s="44">
        <v>8</v>
      </c>
      <c r="H16" s="129">
        <f>IF(B$17=0,0,G16/B$17)</f>
        <v>3.125E-2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 t="shared" si="2"/>
        <v>25.583333333333332</v>
      </c>
      <c r="P16" s="115">
        <v>12</v>
      </c>
      <c r="Q16" s="103">
        <v>307</v>
      </c>
    </row>
    <row r="17" spans="1:17" x14ac:dyDescent="0.4">
      <c r="A17" s="50" t="s">
        <v>10</v>
      </c>
      <c r="B17" s="43">
        <f>B19+B18</f>
        <v>256</v>
      </c>
      <c r="C17" s="35">
        <f>IF(B$3=0,0,B17/B$3)</f>
        <v>0.29906542056074764</v>
      </c>
      <c r="E17" s="59" t="s">
        <v>81</v>
      </c>
      <c r="F17" s="56" t="s">
        <v>36</v>
      </c>
      <c r="G17" s="44">
        <v>6</v>
      </c>
      <c r="H17" s="129">
        <f>IF(B$17=0,0,G17/B$17)</f>
        <v>2.34375E-2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 t="shared" si="2"/>
        <v>13.5</v>
      </c>
      <c r="P17" s="115">
        <v>5</v>
      </c>
      <c r="Q17" s="103">
        <v>67.5</v>
      </c>
    </row>
    <row r="18" spans="1:17" x14ac:dyDescent="0.4">
      <c r="A18" s="51" t="s">
        <v>12</v>
      </c>
      <c r="B18" s="44">
        <v>100</v>
      </c>
      <c r="C18" s="37">
        <f>IF(B$17=0,0,B18/B$17)</f>
        <v>0.390625</v>
      </c>
      <c r="E18" s="59" t="s">
        <v>79</v>
      </c>
      <c r="F18" s="56" t="s">
        <v>34</v>
      </c>
      <c r="G18" s="44">
        <v>5</v>
      </c>
      <c r="H18" s="129">
        <f>IF(B$17=0,0,G18/B$17)</f>
        <v>1.953125E-2</v>
      </c>
      <c r="I18" s="90">
        <v>3</v>
      </c>
      <c r="K18" s="36">
        <v>16</v>
      </c>
      <c r="L18" s="95">
        <v>-187.3</v>
      </c>
      <c r="N18" s="111" t="s">
        <v>179</v>
      </c>
      <c r="O18" s="121">
        <f t="shared" si="2"/>
        <v>11.37096774193548</v>
      </c>
      <c r="P18" s="115">
        <v>31</v>
      </c>
      <c r="Q18" s="103">
        <v>352.49999999999989</v>
      </c>
    </row>
    <row r="19" spans="1:17" x14ac:dyDescent="0.4">
      <c r="A19" s="51" t="s">
        <v>11</v>
      </c>
      <c r="B19" s="44">
        <v>156</v>
      </c>
      <c r="C19" s="37">
        <f>IF(B$17=0,0,B19/B$17)</f>
        <v>0.609375</v>
      </c>
      <c r="E19" s="59" t="s">
        <v>167</v>
      </c>
      <c r="F19" s="56" t="s">
        <v>168</v>
      </c>
      <c r="G19" s="44">
        <v>3</v>
      </c>
      <c r="H19" s="129">
        <f>IF(B$17=0,0,G19/B$17)</f>
        <v>1.171875E-2</v>
      </c>
      <c r="I19" s="90">
        <v>7</v>
      </c>
      <c r="K19" s="36">
        <v>17</v>
      </c>
      <c r="L19" s="95">
        <v>-179.70000000000002</v>
      </c>
      <c r="N19" s="111" t="s">
        <v>177</v>
      </c>
      <c r="O19" s="121">
        <f t="shared" si="2"/>
        <v>7.6400000000000068</v>
      </c>
      <c r="P19" s="115">
        <v>25</v>
      </c>
      <c r="Q19" s="103">
        <v>191.00000000000017</v>
      </c>
    </row>
    <row r="20" spans="1:17" x14ac:dyDescent="0.4">
      <c r="A20" s="51" t="s">
        <v>13</v>
      </c>
      <c r="B20" s="44">
        <v>170</v>
      </c>
      <c r="C20" s="37">
        <f>IF(B$3=0,0,B20/B$3)</f>
        <v>0.19859813084112149</v>
      </c>
      <c r="E20" s="59" t="s">
        <v>74</v>
      </c>
      <c r="F20" s="56" t="s">
        <v>29</v>
      </c>
      <c r="G20" s="44">
        <v>2</v>
      </c>
      <c r="H20" s="129">
        <f>IF(B$17=0,0,G20/B$17)</f>
        <v>7.8125E-3</v>
      </c>
      <c r="I20" s="90">
        <v>3</v>
      </c>
      <c r="K20" s="36">
        <v>18</v>
      </c>
      <c r="L20" s="95">
        <v>-112.90000000000002</v>
      </c>
      <c r="N20" s="111" t="s">
        <v>166</v>
      </c>
      <c r="O20" s="121">
        <f t="shared" si="2"/>
        <v>0.24285714285714124</v>
      </c>
      <c r="P20" s="115">
        <v>21</v>
      </c>
      <c r="Q20" s="103">
        <v>5.0999999999999659</v>
      </c>
    </row>
    <row r="21" spans="1:17" x14ac:dyDescent="0.4">
      <c r="A21" s="51" t="s">
        <v>169</v>
      </c>
      <c r="B21" s="44">
        <v>7</v>
      </c>
      <c r="C21" s="131">
        <v>1</v>
      </c>
      <c r="E21" s="59" t="s">
        <v>75</v>
      </c>
      <c r="F21" s="56" t="s">
        <v>30</v>
      </c>
      <c r="G21" s="44">
        <v>1</v>
      </c>
      <c r="H21" s="129">
        <f>IF(B$17=0,0,G21/B$17)</f>
        <v>3.90625E-3</v>
      </c>
      <c r="I21" s="90">
        <v>8</v>
      </c>
      <c r="K21" s="36">
        <v>19</v>
      </c>
      <c r="L21" s="95">
        <v>-162.40000000000003</v>
      </c>
      <c r="N21" s="111" t="s">
        <v>178</v>
      </c>
      <c r="O21" s="121">
        <f t="shared" si="2"/>
        <v>-2.8810810810810787</v>
      </c>
      <c r="P21" s="115">
        <v>37</v>
      </c>
      <c r="Q21" s="103">
        <v>-106.59999999999991</v>
      </c>
    </row>
    <row r="22" spans="1:17" x14ac:dyDescent="0.4">
      <c r="A22" s="51" t="s">
        <v>170</v>
      </c>
      <c r="B22" s="44">
        <v>30</v>
      </c>
      <c r="C22" s="131">
        <v>3</v>
      </c>
      <c r="E22" s="59" t="s">
        <v>77</v>
      </c>
      <c r="F22" s="56" t="s">
        <v>32</v>
      </c>
      <c r="G22" s="44">
        <v>1</v>
      </c>
      <c r="H22" s="129">
        <f>IF(B$17=0,0,G22/B$17)</f>
        <v>3.90625E-3</v>
      </c>
      <c r="I22" s="90">
        <v>3</v>
      </c>
      <c r="K22" s="36">
        <v>20</v>
      </c>
      <c r="L22" s="95">
        <v>-96.000000000000028</v>
      </c>
      <c r="N22" s="111" t="s">
        <v>126</v>
      </c>
      <c r="O22" s="121">
        <f t="shared" si="2"/>
        <v>-16.008450704225346</v>
      </c>
      <c r="P22" s="115">
        <v>71</v>
      </c>
      <c r="Q22" s="103">
        <v>-1136.5999999999997</v>
      </c>
    </row>
    <row r="23" spans="1:17" x14ac:dyDescent="0.4">
      <c r="A23" s="51" t="s">
        <v>5</v>
      </c>
      <c r="B23" s="48">
        <f>IF(B$17=0,0,C23/B$17)</f>
        <v>8584.765625</v>
      </c>
      <c r="C23" s="39">
        <v>2197700</v>
      </c>
      <c r="E23" s="59" t="s">
        <v>84</v>
      </c>
      <c r="F23" s="56" t="s">
        <v>39</v>
      </c>
      <c r="G23" s="44">
        <v>1</v>
      </c>
      <c r="H23" s="129">
        <f>IF(B$17=0,0,G23/B$17)</f>
        <v>3.90625E-3</v>
      </c>
      <c r="I23" s="90">
        <v>2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8998.125</v>
      </c>
      <c r="C24" s="137">
        <v>1439700</v>
      </c>
      <c r="E24" s="59" t="s">
        <v>92</v>
      </c>
      <c r="F24" s="56" t="s">
        <v>47</v>
      </c>
      <c r="G24" s="44">
        <v>1</v>
      </c>
      <c r="H24" s="129">
        <f>IF(B$17=0,0,G24/B$17)</f>
        <v>3.90625E-3</v>
      </c>
      <c r="I24" s="90">
        <v>4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7895.833333333333</v>
      </c>
      <c r="C25" s="137">
        <v>758000</v>
      </c>
      <c r="E25" s="59" t="s">
        <v>95</v>
      </c>
      <c r="F25" s="56" t="s">
        <v>50</v>
      </c>
      <c r="G25" s="44">
        <v>1</v>
      </c>
      <c r="H25" s="129">
        <f>IF(B$17=0,0,G25/B$17)</f>
        <v>3.90625E-3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-8178.8235294117649</v>
      </c>
      <c r="C26" s="137">
        <v>-1390400</v>
      </c>
      <c r="E26" s="59" t="s">
        <v>73</v>
      </c>
      <c r="F26" s="56" t="s">
        <v>28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3.5046728971962616E-3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</sheetData>
  <sortState xmlns:xlrd2="http://schemas.microsoft.com/office/spreadsheetml/2017/richdata2" ref="E2:I105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9F3F6-5687-4280-9BCF-F6A38CE73CB0}">
  <sheetPr codeName="Sheet13"/>
  <dimension ref="A1:Q66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64</v>
      </c>
      <c r="C2" s="149"/>
      <c r="E2" s="58" t="s">
        <v>66</v>
      </c>
      <c r="F2" s="55" t="s">
        <v>22</v>
      </c>
      <c r="G2" s="43">
        <v>120</v>
      </c>
      <c r="H2" s="128">
        <f>IF(B$17=0,0,G2/B$17)</f>
        <v>0.78947368421052633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-115.87301587301587</v>
      </c>
      <c r="P2" s="114">
        <v>63</v>
      </c>
      <c r="Q2" s="98">
        <v>-7300</v>
      </c>
    </row>
    <row r="3" spans="1:17" x14ac:dyDescent="0.4">
      <c r="A3" s="51" t="s">
        <v>8</v>
      </c>
      <c r="B3" s="150">
        <v>542</v>
      </c>
      <c r="C3" s="151"/>
      <c r="E3" s="59" t="s">
        <v>64</v>
      </c>
      <c r="F3" s="56" t="s">
        <v>20</v>
      </c>
      <c r="G3" s="44">
        <v>89</v>
      </c>
      <c r="H3" s="129">
        <f>IF(B$17=0,0,G3/B$17)</f>
        <v>0.58552631578947367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-988.88888888888891</v>
      </c>
      <c r="P3" s="115">
        <v>63</v>
      </c>
      <c r="Q3" s="99">
        <v>-62300</v>
      </c>
    </row>
    <row r="4" spans="1:17" x14ac:dyDescent="0.4">
      <c r="A4" s="51" t="s">
        <v>6</v>
      </c>
      <c r="B4" s="152">
        <v>-421.09999999999997</v>
      </c>
      <c r="C4" s="153"/>
      <c r="E4" s="59" t="s">
        <v>72</v>
      </c>
      <c r="F4" s="56" t="s">
        <v>27</v>
      </c>
      <c r="G4" s="44">
        <v>78</v>
      </c>
      <c r="H4" s="129">
        <f>IF(B$17=0,0,G4/B$17)</f>
        <v>0.51315789473684215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947.45762711864404</v>
      </c>
      <c r="P4" s="115">
        <v>59</v>
      </c>
      <c r="Q4" s="99">
        <v>55900</v>
      </c>
    </row>
    <row r="5" spans="1:17" x14ac:dyDescent="0.4">
      <c r="A5" s="51" t="s">
        <v>7</v>
      </c>
      <c r="B5" s="154">
        <f>IF(B$2=0,0,B$4/B$2)</f>
        <v>-6.5796874999999995</v>
      </c>
      <c r="C5" s="155"/>
      <c r="E5" s="59" t="s">
        <v>171</v>
      </c>
      <c r="F5" s="56" t="s">
        <v>172</v>
      </c>
      <c r="G5" s="44">
        <v>63</v>
      </c>
      <c r="H5" s="129">
        <f>IF(B$17=0,0,G5/B$17)</f>
        <v>0.41447368421052633</v>
      </c>
      <c r="I5" s="90">
        <v>3</v>
      </c>
      <c r="K5" s="36">
        <v>3</v>
      </c>
      <c r="L5" s="95">
        <v>-17.599999999999998</v>
      </c>
      <c r="N5" s="111" t="s">
        <v>133</v>
      </c>
      <c r="O5" s="118">
        <f t="shared" si="0"/>
        <v>-1389.655172413793</v>
      </c>
      <c r="P5" s="115">
        <v>58</v>
      </c>
      <c r="Q5" s="99">
        <v>-80600</v>
      </c>
    </row>
    <row r="6" spans="1:17" x14ac:dyDescent="0.4">
      <c r="A6" s="51" t="s">
        <v>1</v>
      </c>
      <c r="B6" s="144">
        <f>IF(B$2=0,0,(B$7*1+B$8*2+B$9*3)/B$2)</f>
        <v>2.171875</v>
      </c>
      <c r="C6" s="145"/>
      <c r="E6" s="59" t="s">
        <v>68</v>
      </c>
      <c r="F6" s="56" t="s">
        <v>12</v>
      </c>
      <c r="G6" s="44">
        <v>53</v>
      </c>
      <c r="H6" s="129">
        <f>IF(B$17=0,0,G6/B$17)</f>
        <v>0.34868421052631576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-3281.818181818182</v>
      </c>
      <c r="P6" s="115">
        <v>55</v>
      </c>
      <c r="Q6" s="99">
        <v>-180500</v>
      </c>
    </row>
    <row r="7" spans="1:17" x14ac:dyDescent="0.4">
      <c r="A7" s="51" t="s">
        <v>2</v>
      </c>
      <c r="B7" s="44">
        <v>14</v>
      </c>
      <c r="C7" s="37">
        <f t="shared" ref="C7:C12" si="1">IF(B$2=0,0,B7/B$2)</f>
        <v>0.21875</v>
      </c>
      <c r="E7" s="59" t="s">
        <v>67</v>
      </c>
      <c r="F7" s="56" t="s">
        <v>23</v>
      </c>
      <c r="G7" s="44">
        <v>47</v>
      </c>
      <c r="H7" s="129">
        <f>IF(B$17=0,0,G7/B$17)</f>
        <v>0.30921052631578949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-1214.2857142857142</v>
      </c>
      <c r="P7" s="116">
        <v>49</v>
      </c>
      <c r="Q7" s="100">
        <v>-59500</v>
      </c>
    </row>
    <row r="8" spans="1:17" x14ac:dyDescent="0.4">
      <c r="A8" s="51" t="s">
        <v>3</v>
      </c>
      <c r="B8" s="44">
        <v>25</v>
      </c>
      <c r="C8" s="37">
        <f t="shared" si="1"/>
        <v>0.390625</v>
      </c>
      <c r="E8" s="59" t="s">
        <v>70</v>
      </c>
      <c r="F8" s="56" t="s">
        <v>25</v>
      </c>
      <c r="G8" s="44">
        <v>24</v>
      </c>
      <c r="H8" s="129">
        <f>IF(B$17=0,0,G8/B$17)</f>
        <v>0.15789473684210525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0.390625</v>
      </c>
      <c r="E9" s="59" t="s">
        <v>69</v>
      </c>
      <c r="F9" s="56" t="s">
        <v>24</v>
      </c>
      <c r="G9" s="44">
        <v>22</v>
      </c>
      <c r="H9" s="129">
        <f>IF(B$17=0,0,G9/B$17)</f>
        <v>0.14473684210526316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9.375E-2</v>
      </c>
      <c r="E10" s="59" t="s">
        <v>65</v>
      </c>
      <c r="F10" s="56" t="s">
        <v>21</v>
      </c>
      <c r="G10" s="44">
        <v>18</v>
      </c>
      <c r="H10" s="129">
        <f>IF(B$17=0,0,G10/B$17)</f>
        <v>0.11842105263157894</v>
      </c>
      <c r="I10" s="90">
        <v>4</v>
      </c>
      <c r="K10" s="36">
        <v>8</v>
      </c>
      <c r="L10" s="95">
        <v>-62.999999999999993</v>
      </c>
      <c r="N10" s="110" t="s">
        <v>162</v>
      </c>
      <c r="O10" s="120">
        <f>IF(P10=0,0,Q10/P10)</f>
        <v>-1.2320000000000011</v>
      </c>
      <c r="P10" s="114">
        <v>25</v>
      </c>
      <c r="Q10" s="102">
        <v>-30.800000000000026</v>
      </c>
    </row>
    <row r="11" spans="1:17" x14ac:dyDescent="0.4">
      <c r="A11" s="52" t="s">
        <v>138</v>
      </c>
      <c r="B11" s="45">
        <v>2</v>
      </c>
      <c r="C11" s="38">
        <f t="shared" si="1"/>
        <v>3.125E-2</v>
      </c>
      <c r="E11" s="59" t="s">
        <v>89</v>
      </c>
      <c r="F11" s="56" t="s">
        <v>44</v>
      </c>
      <c r="G11" s="44">
        <v>16</v>
      </c>
      <c r="H11" s="129">
        <f>IF(B$17=0,0,G11/B$17)</f>
        <v>0.10526315789473684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-7.2949999999999999</v>
      </c>
      <c r="P11" s="115">
        <v>20</v>
      </c>
      <c r="Q11" s="103">
        <v>-145.9</v>
      </c>
    </row>
    <row r="12" spans="1:17" x14ac:dyDescent="0.4">
      <c r="A12" s="53" t="s">
        <v>158</v>
      </c>
      <c r="B12" s="46">
        <v>5</v>
      </c>
      <c r="C12" s="40">
        <f t="shared" si="1"/>
        <v>7.8125E-2</v>
      </c>
      <c r="E12" s="59" t="s">
        <v>83</v>
      </c>
      <c r="F12" s="56" t="s">
        <v>38</v>
      </c>
      <c r="G12" s="44">
        <v>9</v>
      </c>
      <c r="H12" s="129">
        <f>IF(B$17=0,0,G12/B$17)</f>
        <v>5.921052631578947E-2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-12.86315789473684</v>
      </c>
      <c r="P12" s="116">
        <v>19</v>
      </c>
      <c r="Q12" s="104">
        <v>-244.39999999999998</v>
      </c>
    </row>
    <row r="13" spans="1:17" x14ac:dyDescent="0.4">
      <c r="A13" s="54" t="s">
        <v>121</v>
      </c>
      <c r="B13" s="47">
        <v>156</v>
      </c>
      <c r="C13" s="42">
        <f>IF(B$3=0,0,B13/B$3)</f>
        <v>0.28782287822878228</v>
      </c>
      <c r="E13" s="59" t="s">
        <v>71</v>
      </c>
      <c r="F13" s="56" t="s">
        <v>26</v>
      </c>
      <c r="G13" s="44">
        <v>7</v>
      </c>
      <c r="H13" s="129">
        <f>IF(B$17=0,0,G13/B$17)</f>
        <v>4.6052631578947366E-2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102</v>
      </c>
      <c r="C14" s="37">
        <f>IF(B$3=0,0,B14/B$3)</f>
        <v>0.18819188191881919</v>
      </c>
      <c r="E14" s="59" t="s">
        <v>78</v>
      </c>
      <c r="F14" s="56" t="s">
        <v>33</v>
      </c>
      <c r="G14" s="44">
        <v>6</v>
      </c>
      <c r="H14" s="129">
        <f>IF(B$17=0,0,G14/B$17)</f>
        <v>3.9473684210526314E-2</v>
      </c>
      <c r="I14" s="90">
        <v>3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91</v>
      </c>
      <c r="C15" s="35">
        <f>IF(B$13=0,0,B15/B$13)</f>
        <v>0.58333333333333337</v>
      </c>
      <c r="E15" s="59" t="s">
        <v>86</v>
      </c>
      <c r="F15" s="56" t="s">
        <v>41</v>
      </c>
      <c r="G15" s="44">
        <v>4</v>
      </c>
      <c r="H15" s="129">
        <f>IF(B$17=0,0,G15/B$17)</f>
        <v>2.6315789473684209E-2</v>
      </c>
      <c r="I15" s="90">
        <v>10</v>
      </c>
      <c r="K15" s="36">
        <v>13</v>
      </c>
      <c r="L15" s="95">
        <v>-207.3</v>
      </c>
      <c r="N15" s="110" t="s">
        <v>182</v>
      </c>
      <c r="O15" s="120">
        <f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41</v>
      </c>
      <c r="C16" s="35">
        <f>IF(B$14=0,0,B16/B$14)</f>
        <v>0.40196078431372551</v>
      </c>
      <c r="E16" s="59" t="s">
        <v>81</v>
      </c>
      <c r="F16" s="56" t="s">
        <v>36</v>
      </c>
      <c r="G16" s="44">
        <v>3</v>
      </c>
      <c r="H16" s="129">
        <f>IF(B$17=0,0,G16/B$17)</f>
        <v>1.9736842105263157E-2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>IF(P16=0,0,Q16/P16)</f>
        <v>12.242857142857146</v>
      </c>
      <c r="P16" s="115">
        <v>14</v>
      </c>
      <c r="Q16" s="103">
        <v>171.40000000000003</v>
      </c>
    </row>
    <row r="17" spans="1:17" x14ac:dyDescent="0.4">
      <c r="A17" s="50" t="s">
        <v>10</v>
      </c>
      <c r="B17" s="43">
        <f>B19+B18</f>
        <v>152</v>
      </c>
      <c r="C17" s="35">
        <f>IF(B$3=0,0,B17/B$3)</f>
        <v>0.28044280442804426</v>
      </c>
      <c r="E17" s="59" t="s">
        <v>167</v>
      </c>
      <c r="F17" s="56" t="s">
        <v>168</v>
      </c>
      <c r="G17" s="44">
        <v>3</v>
      </c>
      <c r="H17" s="129">
        <f>IF(B$17=0,0,G17/B$17)</f>
        <v>1.9736842105263157E-2</v>
      </c>
      <c r="I17" s="90">
        <v>5</v>
      </c>
      <c r="K17" s="36">
        <v>15</v>
      </c>
      <c r="L17" s="95">
        <v>-221.5</v>
      </c>
      <c r="N17" s="111" t="s">
        <v>177</v>
      </c>
      <c r="O17" s="121">
        <f>IF(P17=0,0,Q17/P17)</f>
        <v>-3.0499999999999985</v>
      </c>
      <c r="P17" s="115">
        <v>10</v>
      </c>
      <c r="Q17" s="103">
        <v>-30.499999999999986</v>
      </c>
    </row>
    <row r="18" spans="1:17" x14ac:dyDescent="0.4">
      <c r="A18" s="51" t="s">
        <v>12</v>
      </c>
      <c r="B18" s="44">
        <v>70</v>
      </c>
      <c r="C18" s="37">
        <f>IF(B$17=0,0,B18/B$17)</f>
        <v>0.46052631578947367</v>
      </c>
      <c r="E18" s="59" t="s">
        <v>75</v>
      </c>
      <c r="F18" s="56" t="s">
        <v>30</v>
      </c>
      <c r="G18" s="44">
        <v>2</v>
      </c>
      <c r="H18" s="129">
        <f>IF(B$17=0,0,G18/B$17)</f>
        <v>1.3157894736842105E-2</v>
      </c>
      <c r="I18" s="90">
        <v>2</v>
      </c>
      <c r="K18" s="36">
        <v>16</v>
      </c>
      <c r="L18" s="95">
        <v>-224.3</v>
      </c>
      <c r="N18" s="111" t="s">
        <v>181</v>
      </c>
      <c r="O18" s="121">
        <f>IF(P18=0,0,Q18/P18)</f>
        <v>-5.2999999999999989</v>
      </c>
      <c r="P18" s="115">
        <v>9</v>
      </c>
      <c r="Q18" s="103">
        <v>-47.699999999999989</v>
      </c>
    </row>
    <row r="19" spans="1:17" x14ac:dyDescent="0.4">
      <c r="A19" s="51" t="s">
        <v>11</v>
      </c>
      <c r="B19" s="44">
        <v>82</v>
      </c>
      <c r="C19" s="37">
        <f>IF(B$17=0,0,B19/B$17)</f>
        <v>0.53947368421052633</v>
      </c>
      <c r="E19" s="59" t="s">
        <v>79</v>
      </c>
      <c r="F19" s="56" t="s">
        <v>34</v>
      </c>
      <c r="G19" s="44">
        <v>2</v>
      </c>
      <c r="H19" s="129">
        <f>IF(B$17=0,0,G19/B$17)</f>
        <v>1.3157894736842105E-2</v>
      </c>
      <c r="I19" s="90">
        <v>4</v>
      </c>
      <c r="K19" s="36">
        <v>17</v>
      </c>
      <c r="L19" s="95">
        <v>-251.4</v>
      </c>
      <c r="N19" s="111" t="s">
        <v>127</v>
      </c>
      <c r="O19" s="121">
        <f>IF(P19=0,0,Q19/P19)</f>
        <v>-11.37096774193548</v>
      </c>
      <c r="P19" s="115">
        <v>31</v>
      </c>
      <c r="Q19" s="103">
        <v>-352.49999999999989</v>
      </c>
    </row>
    <row r="20" spans="1:17" x14ac:dyDescent="0.4">
      <c r="A20" s="51" t="s">
        <v>13</v>
      </c>
      <c r="B20" s="44">
        <v>112</v>
      </c>
      <c r="C20" s="37">
        <f>IF(B$3=0,0,B20/B$3)</f>
        <v>0.20664206642066421</v>
      </c>
      <c r="E20" s="59" t="s">
        <v>91</v>
      </c>
      <c r="F20" s="56" t="s">
        <v>46</v>
      </c>
      <c r="G20" s="44">
        <v>1</v>
      </c>
      <c r="H20" s="129">
        <f>IF(B$17=0,0,G20/B$17)</f>
        <v>6.5789473684210523E-3</v>
      </c>
      <c r="I20" s="90">
        <v>5</v>
      </c>
      <c r="K20" s="36">
        <v>18</v>
      </c>
      <c r="L20" s="95">
        <v>-240</v>
      </c>
      <c r="N20" s="111" t="s">
        <v>178</v>
      </c>
      <c r="O20" s="121">
        <f>IF(P20=0,0,Q20/P20)</f>
        <v>-12.900000000000002</v>
      </c>
      <c r="P20" s="115">
        <v>19</v>
      </c>
      <c r="Q20" s="103">
        <v>-245.10000000000005</v>
      </c>
    </row>
    <row r="21" spans="1:17" x14ac:dyDescent="0.4">
      <c r="A21" s="51" t="s">
        <v>169</v>
      </c>
      <c r="B21" s="44">
        <v>4</v>
      </c>
      <c r="C21" s="131">
        <v>2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-218</v>
      </c>
      <c r="N21" s="111" t="s">
        <v>126</v>
      </c>
      <c r="O21" s="121">
        <f>IF(P21=0,0,Q21/P21)</f>
        <v>-16.932558139534891</v>
      </c>
      <c r="P21" s="115">
        <v>43</v>
      </c>
      <c r="Q21" s="103">
        <v>-728.10000000000025</v>
      </c>
    </row>
    <row r="22" spans="1:17" x14ac:dyDescent="0.4">
      <c r="A22" s="51" t="s">
        <v>170</v>
      </c>
      <c r="B22" s="44">
        <v>21</v>
      </c>
      <c r="C22" s="131">
        <v>4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8158.5526315789475</v>
      </c>
      <c r="C23" s="39">
        <v>1240100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8621.6216216216217</v>
      </c>
      <c r="C24" s="137">
        <v>957000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6904.8780487804879</v>
      </c>
      <c r="C25" s="137">
        <v>283100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-7617.8571428571431</v>
      </c>
      <c r="C26" s="137">
        <v>-853200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69500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3</v>
      </c>
      <c r="C29" s="40">
        <f>IF(B$3=0,0,B29/B$3)</f>
        <v>5.5350553505535052E-3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030EB-27DA-49E0-ABB3-D551961A85FA}">
  <sheetPr codeName="Sheet15"/>
  <dimension ref="A1:Q6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60</v>
      </c>
      <c r="C2" s="149"/>
      <c r="E2" s="58" t="s">
        <v>66</v>
      </c>
      <c r="F2" s="55" t="s">
        <v>22</v>
      </c>
      <c r="G2" s="43">
        <v>126</v>
      </c>
      <c r="H2" s="128">
        <f>IF(B$17=0,0,G2/B$17)</f>
        <v>0.86301369863013699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1948.3333333333333</v>
      </c>
      <c r="P2" s="114">
        <v>60</v>
      </c>
      <c r="Q2" s="98">
        <v>116900</v>
      </c>
    </row>
    <row r="3" spans="1:17" x14ac:dyDescent="0.4">
      <c r="A3" s="51" t="s">
        <v>8</v>
      </c>
      <c r="B3" s="150">
        <v>492</v>
      </c>
      <c r="C3" s="151"/>
      <c r="E3" s="59" t="s">
        <v>72</v>
      </c>
      <c r="F3" s="56" t="s">
        <v>27</v>
      </c>
      <c r="G3" s="44">
        <v>79</v>
      </c>
      <c r="H3" s="129">
        <f>IF(B$17=0,0,G3/B$17)</f>
        <v>0.54109589041095896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-2243.1034482758619</v>
      </c>
      <c r="P3" s="115">
        <v>58</v>
      </c>
      <c r="Q3" s="99">
        <v>-130100</v>
      </c>
    </row>
    <row r="4" spans="1:17" x14ac:dyDescent="0.4">
      <c r="A4" s="51" t="s">
        <v>6</v>
      </c>
      <c r="B4" s="152">
        <v>364.90000000000009</v>
      </c>
      <c r="C4" s="153"/>
      <c r="E4" s="59" t="s">
        <v>64</v>
      </c>
      <c r="F4" s="56" t="s">
        <v>20</v>
      </c>
      <c r="G4" s="44">
        <v>78</v>
      </c>
      <c r="H4" s="129">
        <f>IF(B$17=0,0,G4/B$17)</f>
        <v>0.53424657534246578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0"/>
        <v>1046.2962962962963</v>
      </c>
      <c r="P4" s="115">
        <v>54</v>
      </c>
      <c r="Q4" s="99">
        <v>56500</v>
      </c>
    </row>
    <row r="5" spans="1:17" x14ac:dyDescent="0.4">
      <c r="A5" s="51" t="s">
        <v>7</v>
      </c>
      <c r="B5" s="154">
        <f>IF(B$2=0,0,B$4/B$2)</f>
        <v>6.0816666666666679</v>
      </c>
      <c r="C5" s="155"/>
      <c r="E5" s="59" t="s">
        <v>67</v>
      </c>
      <c r="F5" s="56" t="s">
        <v>23</v>
      </c>
      <c r="G5" s="44">
        <v>62</v>
      </c>
      <c r="H5" s="129">
        <f>IF(B$17=0,0,G5/B$17)</f>
        <v>0.42465753424657532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3751.9230769230771</v>
      </c>
      <c r="P5" s="115">
        <v>52</v>
      </c>
      <c r="Q5" s="99">
        <v>195100</v>
      </c>
    </row>
    <row r="6" spans="1:17" x14ac:dyDescent="0.4">
      <c r="A6" s="51" t="s">
        <v>1</v>
      </c>
      <c r="B6" s="144">
        <f>IF(B$2=0,0,(B$7*1+B$8*2+B$9*3)/B$2)</f>
        <v>1.8666666666666667</v>
      </c>
      <c r="C6" s="145"/>
      <c r="E6" s="59" t="s">
        <v>171</v>
      </c>
      <c r="F6" s="56" t="s">
        <v>172</v>
      </c>
      <c r="G6" s="44">
        <v>55</v>
      </c>
      <c r="H6" s="129">
        <f>IF(B$17=0,0,G6/B$17)</f>
        <v>0.37671232876712329</v>
      </c>
      <c r="I6" s="90">
        <v>8</v>
      </c>
      <c r="K6" s="36">
        <v>4</v>
      </c>
      <c r="L6" s="95">
        <v>-74.599999999999994</v>
      </c>
      <c r="N6" s="111" t="s">
        <v>134</v>
      </c>
      <c r="O6" s="118">
        <f t="shared" si="0"/>
        <v>1241.6666666666667</v>
      </c>
      <c r="P6" s="115">
        <v>48</v>
      </c>
      <c r="Q6" s="99">
        <v>59600</v>
      </c>
    </row>
    <row r="7" spans="1:17" x14ac:dyDescent="0.4">
      <c r="A7" s="51" t="s">
        <v>2</v>
      </c>
      <c r="B7" s="44">
        <v>26</v>
      </c>
      <c r="C7" s="37">
        <f t="shared" ref="C7:C12" si="1">IF(B$2=0,0,B7/B$2)</f>
        <v>0.43333333333333335</v>
      </c>
      <c r="E7" s="59" t="s">
        <v>68</v>
      </c>
      <c r="F7" s="56" t="s">
        <v>12</v>
      </c>
      <c r="G7" s="44">
        <v>54</v>
      </c>
      <c r="H7" s="129">
        <f>IF(B$17=0,0,G7/B$17)</f>
        <v>0.36986301369863012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-313.15789473684208</v>
      </c>
      <c r="P7" s="116">
        <v>38</v>
      </c>
      <c r="Q7" s="100">
        <v>-11900</v>
      </c>
    </row>
    <row r="8" spans="1:17" x14ac:dyDescent="0.4">
      <c r="A8" s="51" t="s">
        <v>3</v>
      </c>
      <c r="B8" s="44">
        <v>16</v>
      </c>
      <c r="C8" s="37">
        <f t="shared" si="1"/>
        <v>0.26666666666666666</v>
      </c>
      <c r="E8" s="59" t="s">
        <v>69</v>
      </c>
      <c r="F8" s="56" t="s">
        <v>24</v>
      </c>
      <c r="G8" s="44">
        <v>32</v>
      </c>
      <c r="H8" s="129">
        <f>IF(B$17=0,0,G8/B$17)</f>
        <v>0.21917808219178081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0.3</v>
      </c>
      <c r="E9" s="59" t="s">
        <v>89</v>
      </c>
      <c r="F9" s="56" t="s">
        <v>44</v>
      </c>
      <c r="G9" s="44">
        <v>31</v>
      </c>
      <c r="H9" s="129">
        <f>IF(B$17=0,0,G9/B$17)</f>
        <v>0.21232876712328766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8.3333333333333329E-2</v>
      </c>
      <c r="E10" s="59" t="s">
        <v>65</v>
      </c>
      <c r="F10" s="56" t="s">
        <v>21</v>
      </c>
      <c r="G10" s="44">
        <v>18</v>
      </c>
      <c r="H10" s="129">
        <f>IF(B$17=0,0,G10/B$17)</f>
        <v>0.12328767123287671</v>
      </c>
      <c r="I10" s="90">
        <v>3</v>
      </c>
      <c r="K10" s="36">
        <v>8</v>
      </c>
      <c r="L10" s="95">
        <v>-110.19999999999999</v>
      </c>
      <c r="N10" s="110" t="s">
        <v>162</v>
      </c>
      <c r="O10" s="120">
        <f>IF(P10=0,0,Q10/P10)</f>
        <v>9.3529411764705905</v>
      </c>
      <c r="P10" s="114">
        <v>17</v>
      </c>
      <c r="Q10" s="102">
        <v>159.00000000000003</v>
      </c>
    </row>
    <row r="11" spans="1:17" x14ac:dyDescent="0.4">
      <c r="A11" s="52" t="s">
        <v>138</v>
      </c>
      <c r="B11" s="45">
        <v>12</v>
      </c>
      <c r="C11" s="38">
        <f t="shared" si="1"/>
        <v>0.2</v>
      </c>
      <c r="E11" s="59" t="s">
        <v>70</v>
      </c>
      <c r="F11" s="56" t="s">
        <v>25</v>
      </c>
      <c r="G11" s="44">
        <v>16</v>
      </c>
      <c r="H11" s="129">
        <f>IF(B$17=0,0,G11/B$17)</f>
        <v>0.1095890410958904</v>
      </c>
      <c r="I11" s="90">
        <v>4</v>
      </c>
      <c r="K11" s="36">
        <v>9</v>
      </c>
      <c r="L11" s="95">
        <v>-120.99999999999999</v>
      </c>
      <c r="N11" s="111" t="s">
        <v>163</v>
      </c>
      <c r="O11" s="121">
        <f>IF(P11=0,0,Q11/P11)</f>
        <v>8.0571428571428552</v>
      </c>
      <c r="P11" s="115">
        <v>28</v>
      </c>
      <c r="Q11" s="103">
        <v>225.59999999999997</v>
      </c>
    </row>
    <row r="12" spans="1:17" x14ac:dyDescent="0.4">
      <c r="A12" s="53" t="s">
        <v>158</v>
      </c>
      <c r="B12" s="46">
        <v>7</v>
      </c>
      <c r="C12" s="40">
        <f t="shared" si="1"/>
        <v>0.11666666666666667</v>
      </c>
      <c r="E12" s="59" t="s">
        <v>167</v>
      </c>
      <c r="F12" s="56" t="s">
        <v>168</v>
      </c>
      <c r="G12" s="44">
        <v>9</v>
      </c>
      <c r="H12" s="129">
        <f>IF(B$17=0,0,G12/B$17)</f>
        <v>6.1643835616438353E-2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-1.313333333333333</v>
      </c>
      <c r="P12" s="116">
        <v>15</v>
      </c>
      <c r="Q12" s="104">
        <v>-19.699999999999996</v>
      </c>
    </row>
    <row r="13" spans="1:17" x14ac:dyDescent="0.4">
      <c r="A13" s="54" t="s">
        <v>121</v>
      </c>
      <c r="B13" s="47">
        <v>161</v>
      </c>
      <c r="C13" s="42">
        <f>IF(B$3=0,0,B13/B$3)</f>
        <v>0.32723577235772355</v>
      </c>
      <c r="E13" s="59" t="s">
        <v>71</v>
      </c>
      <c r="F13" s="56" t="s">
        <v>26</v>
      </c>
      <c r="G13" s="44">
        <v>7</v>
      </c>
      <c r="H13" s="129">
        <f>IF(B$17=0,0,G13/B$17)</f>
        <v>4.7945205479452052E-2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88</v>
      </c>
      <c r="C14" s="37">
        <f>IF(B$3=0,0,B14/B$3)</f>
        <v>0.17886178861788618</v>
      </c>
      <c r="E14" s="59" t="s">
        <v>83</v>
      </c>
      <c r="F14" s="56" t="s">
        <v>38</v>
      </c>
      <c r="G14" s="44">
        <v>6</v>
      </c>
      <c r="H14" s="129">
        <f>IF(B$17=0,0,G14/B$17)</f>
        <v>4.1095890410958902E-2</v>
      </c>
      <c r="I14" s="90">
        <v>9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88</v>
      </c>
      <c r="C15" s="35">
        <f>IF(B$13=0,0,B15/B$13)</f>
        <v>0.54658385093167705</v>
      </c>
      <c r="E15" s="59" t="s">
        <v>86</v>
      </c>
      <c r="F15" s="56" t="s">
        <v>41</v>
      </c>
      <c r="G15" s="44">
        <v>5</v>
      </c>
      <c r="H15" s="129">
        <f>IF(B$17=0,0,G15/B$17)</f>
        <v>3.4246575342465752E-2</v>
      </c>
      <c r="I15" s="90">
        <v>9</v>
      </c>
      <c r="K15" s="36">
        <v>13</v>
      </c>
      <c r="L15" s="95">
        <v>-132.39999999999998</v>
      </c>
      <c r="N15" s="110" t="s">
        <v>195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39</v>
      </c>
      <c r="C16" s="35">
        <f>IF(B$14=0,0,B16/B$14)</f>
        <v>0.44318181818181818</v>
      </c>
      <c r="E16" s="59" t="s">
        <v>81</v>
      </c>
      <c r="F16" s="56" t="s">
        <v>36</v>
      </c>
      <c r="G16" s="44">
        <v>3</v>
      </c>
      <c r="H16" s="129">
        <f>IF(B$17=0,0,G16/B$17)</f>
        <v>2.0547945205479451E-2</v>
      </c>
      <c r="I16" s="90">
        <v>4</v>
      </c>
      <c r="K16" s="36">
        <v>14</v>
      </c>
      <c r="L16" s="95">
        <v>-86.499999999999972</v>
      </c>
      <c r="N16" s="111" t="s">
        <v>166</v>
      </c>
      <c r="O16" s="121">
        <f>IF(P16=0,0,Q16/P16)</f>
        <v>27.65</v>
      </c>
      <c r="P16" s="115">
        <v>8</v>
      </c>
      <c r="Q16" s="103">
        <v>221.2</v>
      </c>
    </row>
    <row r="17" spans="1:17" x14ac:dyDescent="0.4">
      <c r="A17" s="50" t="s">
        <v>10</v>
      </c>
      <c r="B17" s="43">
        <f>B19+B18</f>
        <v>146</v>
      </c>
      <c r="C17" s="35">
        <f>IF(B$3=0,0,B17/B$3)</f>
        <v>0.2967479674796748</v>
      </c>
      <c r="E17" s="59" t="s">
        <v>92</v>
      </c>
      <c r="F17" s="56" t="s">
        <v>47</v>
      </c>
      <c r="G17" s="44">
        <v>3</v>
      </c>
      <c r="H17" s="129">
        <f>IF(B$17=0,0,G17/B$17)</f>
        <v>2.0547945205479451E-2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>IF(P17=0,0,Q17/P17)</f>
        <v>20.7</v>
      </c>
      <c r="P17" s="115">
        <v>12</v>
      </c>
      <c r="Q17" s="103">
        <v>248.39999999999998</v>
      </c>
    </row>
    <row r="18" spans="1:17" x14ac:dyDescent="0.4">
      <c r="A18" s="51" t="s">
        <v>12</v>
      </c>
      <c r="B18" s="44">
        <v>70</v>
      </c>
      <c r="C18" s="37">
        <f>IF(B$17=0,0,B18/B$17)</f>
        <v>0.47945205479452052</v>
      </c>
      <c r="E18" s="59" t="s">
        <v>91</v>
      </c>
      <c r="F18" s="56" t="s">
        <v>46</v>
      </c>
      <c r="G18" s="44">
        <v>2</v>
      </c>
      <c r="H18" s="129">
        <f>IF(B$17=0,0,G18/B$17)</f>
        <v>1.3698630136986301E-2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>IF(P18=0,0,Q18/P18)</f>
        <v>20.46875</v>
      </c>
      <c r="P18" s="115">
        <v>32</v>
      </c>
      <c r="Q18" s="103">
        <v>655</v>
      </c>
    </row>
    <row r="19" spans="1:17" x14ac:dyDescent="0.4">
      <c r="A19" s="51" t="s">
        <v>11</v>
      </c>
      <c r="B19" s="44">
        <v>76</v>
      </c>
      <c r="C19" s="37">
        <f>IF(B$17=0,0,B19/B$17)</f>
        <v>0.52054794520547942</v>
      </c>
      <c r="E19" s="59" t="s">
        <v>73</v>
      </c>
      <c r="F19" s="56" t="s">
        <v>28</v>
      </c>
      <c r="G19" s="44">
        <v>1</v>
      </c>
      <c r="H19" s="129">
        <f>IF(B$17=0,0,G19/B$17)</f>
        <v>6.8493150684931503E-3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8.654166666666665</v>
      </c>
      <c r="P19" s="115">
        <v>24</v>
      </c>
      <c r="Q19" s="103">
        <v>207.69999999999996</v>
      </c>
    </row>
    <row r="20" spans="1:17" x14ac:dyDescent="0.4">
      <c r="A20" s="51" t="s">
        <v>13</v>
      </c>
      <c r="B20" s="44">
        <v>82</v>
      </c>
      <c r="C20" s="37">
        <f>IF(B$3=0,0,B20/B$3)</f>
        <v>0.16666666666666666</v>
      </c>
      <c r="E20" s="59" t="s">
        <v>75</v>
      </c>
      <c r="F20" s="56" t="s">
        <v>30</v>
      </c>
      <c r="G20" s="44">
        <v>1</v>
      </c>
      <c r="H20" s="129">
        <f>IF(B$17=0,0,G20/B$17)</f>
        <v>6.8493150684931503E-3</v>
      </c>
      <c r="I20" s="90">
        <v>4</v>
      </c>
      <c r="K20" s="36">
        <v>18</v>
      </c>
      <c r="L20" s="95">
        <v>-24.999999999999968</v>
      </c>
      <c r="N20" s="111" t="s">
        <v>179</v>
      </c>
      <c r="O20" s="121">
        <f>IF(P20=0,0,Q20/P20)</f>
        <v>3.0499999999999985</v>
      </c>
      <c r="P20" s="115">
        <v>10</v>
      </c>
      <c r="Q20" s="103">
        <v>30.499999999999986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78</v>
      </c>
      <c r="F21" s="56" t="s">
        <v>33</v>
      </c>
      <c r="G21" s="44">
        <v>1</v>
      </c>
      <c r="H21" s="129">
        <f>IF(B$17=0,0,G21/B$17)</f>
        <v>6.8493150684931503E-3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>IF(P21=0,0,Q21/P21)</f>
        <v>-7.6400000000000032</v>
      </c>
      <c r="P21" s="115">
        <v>25</v>
      </c>
      <c r="Q21" s="103">
        <v>-191.00000000000009</v>
      </c>
    </row>
    <row r="22" spans="1:17" x14ac:dyDescent="0.4">
      <c r="A22" s="51" t="s">
        <v>170</v>
      </c>
      <c r="B22" s="44">
        <v>25</v>
      </c>
      <c r="C22" s="131">
        <v>8</v>
      </c>
      <c r="E22" s="59" t="s">
        <v>85</v>
      </c>
      <c r="F22" s="56" t="s">
        <v>40</v>
      </c>
      <c r="G22" s="44">
        <v>1</v>
      </c>
      <c r="H22" s="129">
        <f>IF(B$17=0,0,G22/B$17)</f>
        <v>6.8493150684931503E-3</v>
      </c>
      <c r="I22" s="90">
        <v>2</v>
      </c>
      <c r="K22" s="36">
        <v>20</v>
      </c>
      <c r="L22" s="95">
        <v>-50.39999999999997</v>
      </c>
      <c r="N22" s="111" t="s">
        <v>181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10443.150684931506</v>
      </c>
      <c r="C23" s="39">
        <v>1524700</v>
      </c>
      <c r="E23" s="59" t="s">
        <v>90</v>
      </c>
      <c r="F23" s="56" t="s">
        <v>45</v>
      </c>
      <c r="G23" s="44">
        <v>1</v>
      </c>
      <c r="H23" s="129">
        <f>IF(B$17=0,0,G23/B$17)</f>
        <v>6.8493150684931503E-3</v>
      </c>
      <c r="I23" s="90">
        <v>1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11345.794392523365</v>
      </c>
      <c r="C24" s="137">
        <v>1214000</v>
      </c>
      <c r="E24" s="59" t="s">
        <v>93</v>
      </c>
      <c r="F24" s="56" t="s">
        <v>48</v>
      </c>
      <c r="G24" s="44">
        <v>1</v>
      </c>
      <c r="H24" s="129">
        <f>IF(B$17=0,0,G24/B$17)</f>
        <v>6.8493150684931503E-3</v>
      </c>
      <c r="I24" s="90">
        <v>2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7966.666666666667</v>
      </c>
      <c r="C25" s="137">
        <v>310700</v>
      </c>
      <c r="E25" s="59" t="s">
        <v>97</v>
      </c>
      <c r="F25" s="56" t="s">
        <v>52</v>
      </c>
      <c r="G25" s="44">
        <v>1</v>
      </c>
      <c r="H25" s="129">
        <f>IF(B$17=0,0,G25/B$17)</f>
        <v>6.8493150684931503E-3</v>
      </c>
      <c r="I25" s="90">
        <v>1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-7893.9024390243903</v>
      </c>
      <c r="C26" s="137">
        <v>-647300</v>
      </c>
      <c r="E26" s="59" t="s">
        <v>74</v>
      </c>
      <c r="F26" s="56" t="s">
        <v>29</v>
      </c>
      <c r="G26" s="44">
        <v>0</v>
      </c>
      <c r="H26" s="129">
        <f>IF(B$17=0,0,G26/B$17)</f>
        <v>0</v>
      </c>
      <c r="I26" s="90">
        <v>7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103600</v>
      </c>
      <c r="C28" s="141"/>
      <c r="E28" s="59" t="s">
        <v>77</v>
      </c>
      <c r="F28" s="56" t="s">
        <v>32</v>
      </c>
      <c r="G28" s="44">
        <v>0</v>
      </c>
      <c r="H28" s="129">
        <f>IF(B$17=0,0,G28/B$17)</f>
        <v>0</v>
      </c>
      <c r="I28" s="90">
        <v>5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79</v>
      </c>
      <c r="F29" s="56" t="s">
        <v>34</v>
      </c>
      <c r="G29" s="44">
        <v>0</v>
      </c>
      <c r="H29" s="129">
        <f>IF(B$17=0,0,G29/B$17)</f>
        <v>0</v>
      </c>
      <c r="I29" s="90">
        <v>7</v>
      </c>
      <c r="K29" s="36">
        <v>27</v>
      </c>
      <c r="L29" s="95">
        <v>-31.499999999999972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73.900000000000034</v>
      </c>
    </row>
    <row r="34" spans="5:12" x14ac:dyDescent="0.4">
      <c r="E34" s="59" t="s">
        <v>88</v>
      </c>
      <c r="F34" s="56" t="s">
        <v>43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96.100000000000037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112.00000000000004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110.00000000000004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300ED-C805-4DCD-B869-84D750FE114A}">
  <sheetPr codeName="Sheet17"/>
  <dimension ref="A1:Q9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89</v>
      </c>
      <c r="C2" s="149"/>
      <c r="E2" s="58" t="s">
        <v>66</v>
      </c>
      <c r="F2" s="55" t="s">
        <v>22</v>
      </c>
      <c r="G2" s="43">
        <v>150</v>
      </c>
      <c r="H2" s="128">
        <f>IF(B$17=0,0,G2/B$17)</f>
        <v>0.74257425742574257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538.20224719101122</v>
      </c>
      <c r="P2" s="114">
        <v>89</v>
      </c>
      <c r="Q2" s="98">
        <v>47900</v>
      </c>
    </row>
    <row r="3" spans="1:17" x14ac:dyDescent="0.4">
      <c r="A3" s="51" t="s">
        <v>8</v>
      </c>
      <c r="B3" s="150">
        <v>716</v>
      </c>
      <c r="C3" s="151"/>
      <c r="E3" s="59" t="s">
        <v>72</v>
      </c>
      <c r="F3" s="56" t="s">
        <v>27</v>
      </c>
      <c r="G3" s="44">
        <v>118</v>
      </c>
      <c r="H3" s="129">
        <f>IF(B$17=0,0,G3/B$17)</f>
        <v>0.58415841584158412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738.37209302325584</v>
      </c>
      <c r="P3" s="115">
        <v>86</v>
      </c>
      <c r="Q3" s="99">
        <v>63500</v>
      </c>
    </row>
    <row r="4" spans="1:17" x14ac:dyDescent="0.4">
      <c r="A4" s="51" t="s">
        <v>6</v>
      </c>
      <c r="B4" s="152">
        <v>-119.60000000000001</v>
      </c>
      <c r="C4" s="153"/>
      <c r="E4" s="59" t="s">
        <v>64</v>
      </c>
      <c r="F4" s="56" t="s">
        <v>20</v>
      </c>
      <c r="G4" s="44">
        <v>101</v>
      </c>
      <c r="H4" s="129">
        <f>IF(B$17=0,0,G4/B$17)</f>
        <v>0.5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-1130</v>
      </c>
      <c r="P4" s="115">
        <v>80</v>
      </c>
      <c r="Q4" s="99">
        <v>-90400</v>
      </c>
    </row>
    <row r="5" spans="1:17" x14ac:dyDescent="0.4">
      <c r="A5" s="51" t="s">
        <v>7</v>
      </c>
      <c r="B5" s="154">
        <f>IF(B$2=0,0,B$4/B$2)</f>
        <v>-1.3438202247191011</v>
      </c>
      <c r="C5" s="155"/>
      <c r="E5" s="59" t="s">
        <v>171</v>
      </c>
      <c r="F5" s="56" t="s">
        <v>172</v>
      </c>
      <c r="G5" s="44">
        <v>92</v>
      </c>
      <c r="H5" s="129">
        <f>IF(B$17=0,0,G5/B$17)</f>
        <v>0.45544554455445546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-208.1081081081081</v>
      </c>
      <c r="P5" s="115">
        <v>74</v>
      </c>
      <c r="Q5" s="99">
        <v>-15400</v>
      </c>
    </row>
    <row r="6" spans="1:17" x14ac:dyDescent="0.4">
      <c r="A6" s="51" t="s">
        <v>1</v>
      </c>
      <c r="B6" s="144">
        <f>IF(B$2=0,0,(B$7*1+B$8*2+B$9*3)/B$2)</f>
        <v>2.0561797752808988</v>
      </c>
      <c r="C6" s="145"/>
      <c r="E6" s="59" t="s">
        <v>67</v>
      </c>
      <c r="F6" s="56" t="s">
        <v>23</v>
      </c>
      <c r="G6" s="44">
        <v>79</v>
      </c>
      <c r="H6" s="129">
        <f>IF(B$17=0,0,G6/B$17)</f>
        <v>0.3910891089108911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-760</v>
      </c>
      <c r="P6" s="115">
        <v>65</v>
      </c>
      <c r="Q6" s="99">
        <v>-49400</v>
      </c>
    </row>
    <row r="7" spans="1:17" x14ac:dyDescent="0.4">
      <c r="A7" s="51" t="s">
        <v>2</v>
      </c>
      <c r="B7" s="44">
        <v>20</v>
      </c>
      <c r="C7" s="37">
        <f t="shared" ref="C7:C12" si="1">IF(B$2=0,0,B7/B$2)</f>
        <v>0.2247191011235955</v>
      </c>
      <c r="E7" s="59" t="s">
        <v>68</v>
      </c>
      <c r="F7" s="56" t="s">
        <v>12</v>
      </c>
      <c r="G7" s="44">
        <v>65</v>
      </c>
      <c r="H7" s="129">
        <f>IF(B$17=0,0,G7/B$17)</f>
        <v>0.32178217821782179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-828.57142857142856</v>
      </c>
      <c r="P7" s="116">
        <v>56</v>
      </c>
      <c r="Q7" s="100">
        <v>-46400</v>
      </c>
    </row>
    <row r="8" spans="1:17" x14ac:dyDescent="0.4">
      <c r="A8" s="51" t="s">
        <v>3</v>
      </c>
      <c r="B8" s="44">
        <v>44</v>
      </c>
      <c r="C8" s="37">
        <f t="shared" si="1"/>
        <v>0.4943820224719101</v>
      </c>
      <c r="E8" s="59" t="s">
        <v>69</v>
      </c>
      <c r="F8" s="56" t="s">
        <v>24</v>
      </c>
      <c r="G8" s="44">
        <v>27</v>
      </c>
      <c r="H8" s="129">
        <f>IF(B$17=0,0,G8/B$17)</f>
        <v>0.13366336633663367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0.2808988764044944</v>
      </c>
      <c r="E9" s="59" t="s">
        <v>89</v>
      </c>
      <c r="F9" s="56" t="s">
        <v>44</v>
      </c>
      <c r="G9" s="44">
        <v>20</v>
      </c>
      <c r="H9" s="129">
        <f>IF(B$17=0,0,G9/B$17)</f>
        <v>9.9009900990099015E-2</v>
      </c>
      <c r="I9" s="90">
        <v>9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1"/>
        <v>8.98876404494382E-2</v>
      </c>
      <c r="E10" s="59" t="s">
        <v>71</v>
      </c>
      <c r="F10" s="56" t="s">
        <v>26</v>
      </c>
      <c r="G10" s="44">
        <v>19</v>
      </c>
      <c r="H10" s="129">
        <f>IF(B$17=0,0,G10/B$17)</f>
        <v>9.405940594059406E-2</v>
      </c>
      <c r="I10" s="90">
        <v>5</v>
      </c>
      <c r="K10" s="36">
        <v>8</v>
      </c>
      <c r="L10" s="95">
        <v>-46.7</v>
      </c>
      <c r="N10" s="110" t="s">
        <v>162</v>
      </c>
      <c r="O10" s="120">
        <f>IF(P10=0,0,Q10/P10)</f>
        <v>-2.4972972972972975</v>
      </c>
      <c r="P10" s="114">
        <v>37</v>
      </c>
      <c r="Q10" s="102">
        <v>-92.4</v>
      </c>
    </row>
    <row r="11" spans="1:17" x14ac:dyDescent="0.4">
      <c r="A11" s="52" t="s">
        <v>138</v>
      </c>
      <c r="B11" s="45">
        <v>6</v>
      </c>
      <c r="C11" s="38">
        <f t="shared" si="1"/>
        <v>6.741573033707865E-2</v>
      </c>
      <c r="E11" s="59" t="s">
        <v>70</v>
      </c>
      <c r="F11" s="56" t="s">
        <v>25</v>
      </c>
      <c r="G11" s="44">
        <v>17</v>
      </c>
      <c r="H11" s="129">
        <f>IF(B$17=0,0,G11/B$17)</f>
        <v>8.4158415841584164E-2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1.592307692307692</v>
      </c>
      <c r="P11" s="115">
        <v>26</v>
      </c>
      <c r="Q11" s="103">
        <v>41.399999999999991</v>
      </c>
    </row>
    <row r="12" spans="1:17" x14ac:dyDescent="0.4">
      <c r="A12" s="53" t="s">
        <v>158</v>
      </c>
      <c r="B12" s="46">
        <v>5</v>
      </c>
      <c r="C12" s="40">
        <f t="shared" si="1"/>
        <v>5.6179775280898875E-2</v>
      </c>
      <c r="E12" s="59" t="s">
        <v>65</v>
      </c>
      <c r="F12" s="56" t="s">
        <v>21</v>
      </c>
      <c r="G12" s="44">
        <v>14</v>
      </c>
      <c r="H12" s="129">
        <f>IF(B$17=0,0,G12/B$17)</f>
        <v>6.9306930693069313E-2</v>
      </c>
      <c r="I12" s="90">
        <v>10</v>
      </c>
      <c r="K12" s="36">
        <v>10</v>
      </c>
      <c r="L12" s="95">
        <v>-146.69999999999999</v>
      </c>
      <c r="N12" s="112" t="s">
        <v>164</v>
      </c>
      <c r="O12" s="122">
        <f>IF(P12=0,0,Q12/P12)</f>
        <v>-2.6384615384615389</v>
      </c>
      <c r="P12" s="116">
        <v>26</v>
      </c>
      <c r="Q12" s="104">
        <v>-68.600000000000009</v>
      </c>
    </row>
    <row r="13" spans="1:17" x14ac:dyDescent="0.4">
      <c r="A13" s="54" t="s">
        <v>121</v>
      </c>
      <c r="B13" s="47">
        <v>189</v>
      </c>
      <c r="C13" s="42">
        <f>IF(B$3=0,0,B13/B$3)</f>
        <v>0.26396648044692739</v>
      </c>
      <c r="E13" s="59" t="s">
        <v>86</v>
      </c>
      <c r="F13" s="56" t="s">
        <v>41</v>
      </c>
      <c r="G13" s="44">
        <v>10</v>
      </c>
      <c r="H13" s="129">
        <f>IF(B$17=0,0,G13/B$17)</f>
        <v>4.9504950495049507E-2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160</v>
      </c>
      <c r="C14" s="37">
        <f>IF(B$3=0,0,B14/B$3)</f>
        <v>0.22346368715083798</v>
      </c>
      <c r="E14" s="59" t="s">
        <v>83</v>
      </c>
      <c r="F14" s="56" t="s">
        <v>38</v>
      </c>
      <c r="G14" s="44">
        <v>7</v>
      </c>
      <c r="H14" s="129">
        <f>IF(B$17=0,0,G14/B$17)</f>
        <v>3.4653465346534656E-2</v>
      </c>
      <c r="I14" s="90">
        <v>10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106</v>
      </c>
      <c r="C15" s="35">
        <f>IF(B$13=0,0,B15/B$13)</f>
        <v>0.56084656084656082</v>
      </c>
      <c r="E15" s="59" t="s">
        <v>79</v>
      </c>
      <c r="F15" s="56" t="s">
        <v>34</v>
      </c>
      <c r="G15" s="44">
        <v>6</v>
      </c>
      <c r="H15" s="129">
        <f>IF(B$17=0,0,G15/B$17)</f>
        <v>2.9702970297029702E-2</v>
      </c>
      <c r="I15" s="90">
        <v>2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66</v>
      </c>
      <c r="C16" s="35">
        <f>IF(B$14=0,0,B16/B$14)</f>
        <v>0.41249999999999998</v>
      </c>
      <c r="E16" s="59" t="s">
        <v>167</v>
      </c>
      <c r="F16" s="56" t="s">
        <v>168</v>
      </c>
      <c r="G16" s="44">
        <v>4</v>
      </c>
      <c r="H16" s="129">
        <f>IF(B$17=0,0,G16/B$17)</f>
        <v>1.9801980198019802E-2</v>
      </c>
      <c r="I16" s="90">
        <v>4</v>
      </c>
      <c r="K16" s="36">
        <v>14</v>
      </c>
      <c r="L16" s="95">
        <v>-25.79999999999999</v>
      </c>
      <c r="N16" s="111" t="s">
        <v>222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202</v>
      </c>
      <c r="C17" s="35">
        <f>IF(B$3=0,0,B17/B$3)</f>
        <v>0.28212290502793297</v>
      </c>
      <c r="E17" s="59" t="s">
        <v>73</v>
      </c>
      <c r="F17" s="56" t="s">
        <v>28</v>
      </c>
      <c r="G17" s="44">
        <v>3</v>
      </c>
      <c r="H17" s="129">
        <f>IF(B$17=0,0,G17/B$17)</f>
        <v>1.4851485148514851E-2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>IF(P17=0,0,Q17/P17)</f>
        <v>17.733333333333331</v>
      </c>
      <c r="P17" s="115">
        <v>18</v>
      </c>
      <c r="Q17" s="103">
        <v>319.19999999999993</v>
      </c>
    </row>
    <row r="18" spans="1:17" x14ac:dyDescent="0.4">
      <c r="A18" s="51" t="s">
        <v>12</v>
      </c>
      <c r="B18" s="44">
        <v>89</v>
      </c>
      <c r="C18" s="37">
        <f>IF(B$17=0,0,B18/B$17)</f>
        <v>0.4405940594059406</v>
      </c>
      <c r="E18" s="59" t="s">
        <v>78</v>
      </c>
      <c r="F18" s="56" t="s">
        <v>33</v>
      </c>
      <c r="G18" s="44">
        <v>3</v>
      </c>
      <c r="H18" s="129">
        <f>IF(B$17=0,0,G18/B$17)</f>
        <v>1.4851485148514851E-2</v>
      </c>
      <c r="I18" s="90">
        <v>7</v>
      </c>
      <c r="K18" s="36">
        <v>16</v>
      </c>
      <c r="L18" s="95">
        <v>-35.599999999999987</v>
      </c>
      <c r="N18" s="111" t="s">
        <v>179</v>
      </c>
      <c r="O18" s="121">
        <f>IF(P18=0,0,Q18/P18)</f>
        <v>12.900000000000002</v>
      </c>
      <c r="P18" s="115">
        <v>19</v>
      </c>
      <c r="Q18" s="103">
        <v>245.10000000000005</v>
      </c>
    </row>
    <row r="19" spans="1:17" x14ac:dyDescent="0.4">
      <c r="A19" s="51" t="s">
        <v>11</v>
      </c>
      <c r="B19" s="44">
        <v>113</v>
      </c>
      <c r="C19" s="37">
        <f>IF(B$17=0,0,B19/B$17)</f>
        <v>0.55940594059405946</v>
      </c>
      <c r="E19" s="59" t="s">
        <v>81</v>
      </c>
      <c r="F19" s="56" t="s">
        <v>36</v>
      </c>
      <c r="G19" s="44">
        <v>2</v>
      </c>
      <c r="H19" s="129">
        <f>IF(B$17=0,0,G19/B$17)</f>
        <v>9.9009900990099011E-3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97</v>
      </c>
      <c r="C20" s="37">
        <f>IF(B$3=0,0,B20/B$3)</f>
        <v>0.13547486033519554</v>
      </c>
      <c r="E20" s="59" t="s">
        <v>74</v>
      </c>
      <c r="F20" s="56" t="s">
        <v>29</v>
      </c>
      <c r="G20" s="44">
        <v>1</v>
      </c>
      <c r="H20" s="129">
        <f>IF(B$17=0,0,G20/B$17)</f>
        <v>4.9504950495049506E-3</v>
      </c>
      <c r="I20" s="90">
        <v>4</v>
      </c>
      <c r="K20" s="36">
        <v>18</v>
      </c>
      <c r="L20" s="95">
        <v>-62.399999999999991</v>
      </c>
      <c r="N20" s="111" t="s">
        <v>166</v>
      </c>
      <c r="O20" s="121">
        <f>IF(P20=0,0,Q20/P20)</f>
        <v>4.7411764705882353</v>
      </c>
      <c r="P20" s="115">
        <v>17</v>
      </c>
      <c r="Q20" s="103">
        <v>80.599999999999994</v>
      </c>
    </row>
    <row r="21" spans="1:17" x14ac:dyDescent="0.4">
      <c r="A21" s="51" t="s">
        <v>169</v>
      </c>
      <c r="B21" s="44">
        <v>6</v>
      </c>
      <c r="C21" s="131">
        <v>0</v>
      </c>
      <c r="E21" s="59" t="s">
        <v>75</v>
      </c>
      <c r="F21" s="56" t="s">
        <v>30</v>
      </c>
      <c r="G21" s="44">
        <v>1</v>
      </c>
      <c r="H21" s="129">
        <f>IF(B$17=0,0,G21/B$17)</f>
        <v>4.9504950495049506E-3</v>
      </c>
      <c r="I21" s="90">
        <v>7</v>
      </c>
      <c r="K21" s="36">
        <v>19</v>
      </c>
      <c r="L21" s="95">
        <v>-56.399999999999991</v>
      </c>
      <c r="N21" s="111" t="s">
        <v>127</v>
      </c>
      <c r="O21" s="121">
        <f>IF(P21=0,0,Q21/P21)</f>
        <v>2.8810810810810819</v>
      </c>
      <c r="P21" s="115">
        <v>37</v>
      </c>
      <c r="Q21" s="103">
        <v>106.60000000000002</v>
      </c>
    </row>
    <row r="22" spans="1:17" x14ac:dyDescent="0.4">
      <c r="A22" s="51" t="s">
        <v>170</v>
      </c>
      <c r="B22" s="44">
        <v>44</v>
      </c>
      <c r="C22" s="131">
        <v>0</v>
      </c>
      <c r="E22" s="59" t="s">
        <v>85</v>
      </c>
      <c r="F22" s="56" t="s">
        <v>40</v>
      </c>
      <c r="G22" s="44">
        <v>1</v>
      </c>
      <c r="H22" s="129">
        <f>IF(B$17=0,0,G22/B$17)</f>
        <v>4.9504950495049506E-3</v>
      </c>
      <c r="I22" s="90">
        <v>4</v>
      </c>
      <c r="K22" s="36">
        <v>20</v>
      </c>
      <c r="L22" s="95">
        <v>-93.199999999999989</v>
      </c>
      <c r="N22" s="111" t="s">
        <v>126</v>
      </c>
      <c r="O22" s="121">
        <f>IF(P22=0,0,Q22/P22)</f>
        <v>-17.656818181818185</v>
      </c>
      <c r="P22" s="115">
        <v>44</v>
      </c>
      <c r="Q22" s="103">
        <v>-776.90000000000009</v>
      </c>
    </row>
    <row r="23" spans="1:17" x14ac:dyDescent="0.4">
      <c r="A23" s="51" t="s">
        <v>5</v>
      </c>
      <c r="B23" s="48">
        <f>IF(B$17=0,0,C23/B$17)</f>
        <v>8315.8415841584156</v>
      </c>
      <c r="C23" s="39">
        <v>1679800</v>
      </c>
      <c r="E23" s="59" t="s">
        <v>87</v>
      </c>
      <c r="F23" s="56" t="s">
        <v>42</v>
      </c>
      <c r="G23" s="44">
        <v>1</v>
      </c>
      <c r="H23" s="129">
        <f>IF(B$17=0,0,G23/B$17)</f>
        <v>4.9504950495049506E-3</v>
      </c>
      <c r="I23" s="90">
        <v>2</v>
      </c>
      <c r="K23" s="36">
        <v>21</v>
      </c>
      <c r="L23" s="95">
        <v>-123.69999999999999</v>
      </c>
      <c r="N23" s="111" t="s">
        <v>177</v>
      </c>
      <c r="O23" s="121">
        <f>IF(P23=0,0,Q23/P23)</f>
        <v>-20.46875</v>
      </c>
      <c r="P23" s="115">
        <v>32</v>
      </c>
      <c r="Q23" s="103">
        <v>-655</v>
      </c>
    </row>
    <row r="24" spans="1:17" x14ac:dyDescent="0.4">
      <c r="A24" s="52" t="s">
        <v>216</v>
      </c>
      <c r="B24" s="136">
        <f>IF($B$17-B$16=0,0,C24/($B$17-B$16))</f>
        <v>9289.7058823529405</v>
      </c>
      <c r="C24" s="137">
        <v>1263400</v>
      </c>
      <c r="E24" s="59" t="s">
        <v>88</v>
      </c>
      <c r="F24" s="56" t="s">
        <v>43</v>
      </c>
      <c r="G24" s="44">
        <v>1</v>
      </c>
      <c r="H24" s="129">
        <f>IF(B$17=0,0,G24/B$17)</f>
        <v>4.9504950495049506E-3</v>
      </c>
      <c r="I24" s="90">
        <v>3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6309.090909090909</v>
      </c>
      <c r="C25" s="137">
        <v>416400</v>
      </c>
      <c r="E25" s="59" t="s">
        <v>91</v>
      </c>
      <c r="F25" s="56" t="s">
        <v>46</v>
      </c>
      <c r="G25" s="44">
        <v>1</v>
      </c>
      <c r="H25" s="129">
        <f>IF(B$17=0,0,G25/B$17)</f>
        <v>4.9504950495049506E-3</v>
      </c>
      <c r="I25" s="90">
        <v>7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-8062.8865979381444</v>
      </c>
      <c r="C26" s="137">
        <v>-782100</v>
      </c>
      <c r="E26" s="59" t="s">
        <v>93</v>
      </c>
      <c r="F26" s="56" t="s">
        <v>48</v>
      </c>
      <c r="G26" s="44">
        <v>1</v>
      </c>
      <c r="H26" s="129">
        <f>IF(B$17=0,0,G26/B$17)</f>
        <v>4.9504950495049506E-3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101</v>
      </c>
      <c r="F27" s="56" t="s">
        <v>56</v>
      </c>
      <c r="G27" s="44">
        <v>1</v>
      </c>
      <c r="H27" s="129">
        <f>IF(B$17=0,0,G27/B$17)</f>
        <v>4.9504950495049506E-3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86500</v>
      </c>
      <c r="C28" s="141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2.7932960893854749E-3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-96.799999999999983</v>
      </c>
    </row>
    <row r="34" spans="5:12" x14ac:dyDescent="0.4">
      <c r="E34" s="59" t="s">
        <v>92</v>
      </c>
      <c r="F34" s="56" t="s">
        <v>47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6730-E777-4663-90C5-448C65CAE978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34</v>
      </c>
      <c r="C2" s="149"/>
      <c r="E2" s="58" t="s">
        <v>66</v>
      </c>
      <c r="F2" s="55" t="s">
        <v>22</v>
      </c>
      <c r="G2" s="43">
        <v>48</v>
      </c>
      <c r="H2" s="128">
        <f>IF(B$17=0,0,G2/B$17)</f>
        <v>0.7384615384615385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-2729.4117647058824</v>
      </c>
      <c r="P2" s="114">
        <v>34</v>
      </c>
      <c r="Q2" s="98">
        <v>-92800</v>
      </c>
    </row>
    <row r="3" spans="1:17" x14ac:dyDescent="0.4">
      <c r="A3" s="51" t="s">
        <v>8</v>
      </c>
      <c r="B3" s="150">
        <v>279</v>
      </c>
      <c r="C3" s="151"/>
      <c r="E3" s="59" t="s">
        <v>72</v>
      </c>
      <c r="F3" s="56" t="s">
        <v>27</v>
      </c>
      <c r="G3" s="44">
        <v>35</v>
      </c>
      <c r="H3" s="129">
        <f>IF(B$17=0,0,G3/B$17)</f>
        <v>0.53846153846153844</v>
      </c>
      <c r="I3" s="90">
        <v>5</v>
      </c>
      <c r="K3" s="36">
        <v>1</v>
      </c>
      <c r="L3" s="95">
        <v>-12</v>
      </c>
      <c r="N3" s="111" t="s">
        <v>131</v>
      </c>
      <c r="O3" s="118">
        <f t="shared" si="0"/>
        <v>220.58823529411765</v>
      </c>
      <c r="P3" s="115">
        <v>34</v>
      </c>
      <c r="Q3" s="99">
        <v>7500</v>
      </c>
    </row>
    <row r="4" spans="1:17" x14ac:dyDescent="0.4">
      <c r="A4" s="51" t="s">
        <v>6</v>
      </c>
      <c r="B4" s="152">
        <v>-531.90000000000009</v>
      </c>
      <c r="C4" s="153"/>
      <c r="E4" s="59" t="s">
        <v>64</v>
      </c>
      <c r="F4" s="56" t="s">
        <v>20</v>
      </c>
      <c r="G4" s="44">
        <v>29</v>
      </c>
      <c r="H4" s="129">
        <f>IF(B$17=0,0,G4/B$17)</f>
        <v>0.44615384615384618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-2411.7647058823532</v>
      </c>
      <c r="P4" s="115">
        <v>34</v>
      </c>
      <c r="Q4" s="99">
        <v>-82000</v>
      </c>
    </row>
    <row r="5" spans="1:17" x14ac:dyDescent="0.4">
      <c r="A5" s="51" t="s">
        <v>7</v>
      </c>
      <c r="B5" s="154">
        <f>IF(B$2=0,0,B$4/B$2)</f>
        <v>-15.644117647058826</v>
      </c>
      <c r="C5" s="155"/>
      <c r="E5" s="59" t="s">
        <v>171</v>
      </c>
      <c r="F5" s="56" t="s">
        <v>172</v>
      </c>
      <c r="G5" s="44">
        <v>20</v>
      </c>
      <c r="H5" s="129">
        <f>IF(B$17=0,0,G5/B$17)</f>
        <v>0.30769230769230771</v>
      </c>
      <c r="I5" s="90">
        <v>10</v>
      </c>
      <c r="K5" s="36">
        <v>3</v>
      </c>
      <c r="L5" s="95">
        <v>-33.6</v>
      </c>
      <c r="N5" s="111" t="s">
        <v>133</v>
      </c>
      <c r="O5" s="118">
        <f t="shared" si="0"/>
        <v>-2556.25</v>
      </c>
      <c r="P5" s="115">
        <v>32</v>
      </c>
      <c r="Q5" s="99">
        <v>-81800</v>
      </c>
    </row>
    <row r="6" spans="1:17" x14ac:dyDescent="0.4">
      <c r="A6" s="51" t="s">
        <v>1</v>
      </c>
      <c r="B6" s="144">
        <f>IF(B$2=0,0,(B$7*1+B$8*2+B$9*3)/B$2)</f>
        <v>2.4117647058823528</v>
      </c>
      <c r="C6" s="145"/>
      <c r="E6" s="59" t="s">
        <v>67</v>
      </c>
      <c r="F6" s="56" t="s">
        <v>23</v>
      </c>
      <c r="G6" s="44">
        <v>19</v>
      </c>
      <c r="H6" s="129">
        <f>IF(B$17=0,0,G6/B$17)</f>
        <v>0.29230769230769232</v>
      </c>
      <c r="I6" s="90">
        <v>6</v>
      </c>
      <c r="K6" s="36">
        <v>4</v>
      </c>
      <c r="L6" s="95">
        <v>-80.5</v>
      </c>
      <c r="N6" s="111" t="s">
        <v>134</v>
      </c>
      <c r="O6" s="118">
        <f t="shared" si="0"/>
        <v>-1103.2258064516129</v>
      </c>
      <c r="P6" s="115">
        <v>31</v>
      </c>
      <c r="Q6" s="99">
        <v>-34200</v>
      </c>
    </row>
    <row r="7" spans="1:17" x14ac:dyDescent="0.4">
      <c r="A7" s="51" t="s">
        <v>2</v>
      </c>
      <c r="B7" s="44">
        <v>4</v>
      </c>
      <c r="C7" s="37">
        <f t="shared" ref="C7:C12" si="1">IF(B$2=0,0,B7/B$2)</f>
        <v>0.11764705882352941</v>
      </c>
      <c r="E7" s="59" t="s">
        <v>68</v>
      </c>
      <c r="F7" s="56" t="s">
        <v>12</v>
      </c>
      <c r="G7" s="44">
        <v>19</v>
      </c>
      <c r="H7" s="129">
        <f>IF(B$17=0,0,G7/B$17)</f>
        <v>0.29230769230769232</v>
      </c>
      <c r="I7" s="90">
        <v>7</v>
      </c>
      <c r="K7" s="36">
        <v>5</v>
      </c>
      <c r="L7" s="95">
        <v>-124.3</v>
      </c>
      <c r="N7" s="112" t="s">
        <v>135</v>
      </c>
      <c r="O7" s="119">
        <f t="shared" si="0"/>
        <v>-3744</v>
      </c>
      <c r="P7" s="116">
        <v>25</v>
      </c>
      <c r="Q7" s="100">
        <v>-93600</v>
      </c>
    </row>
    <row r="8" spans="1:17" x14ac:dyDescent="0.4">
      <c r="A8" s="51" t="s">
        <v>3</v>
      </c>
      <c r="B8" s="44">
        <v>12</v>
      </c>
      <c r="C8" s="37">
        <f t="shared" si="1"/>
        <v>0.35294117647058826</v>
      </c>
      <c r="E8" s="59" t="s">
        <v>89</v>
      </c>
      <c r="F8" s="56" t="s">
        <v>44</v>
      </c>
      <c r="G8" s="44">
        <v>10</v>
      </c>
      <c r="H8" s="129">
        <f>IF(B$17=0,0,G8/B$17)</f>
        <v>0.15384615384615385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0.52941176470588236</v>
      </c>
      <c r="E9" s="59" t="s">
        <v>65</v>
      </c>
      <c r="F9" s="56" t="s">
        <v>21</v>
      </c>
      <c r="G9" s="44">
        <v>7</v>
      </c>
      <c r="H9" s="129">
        <f>IF(B$17=0,0,G9/B$17)</f>
        <v>0.1076923076923077</v>
      </c>
      <c r="I9" s="90">
        <v>6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0.17647058823529413</v>
      </c>
      <c r="E10" s="59" t="s">
        <v>70</v>
      </c>
      <c r="F10" s="56" t="s">
        <v>25</v>
      </c>
      <c r="G10" s="44">
        <v>7</v>
      </c>
      <c r="H10" s="129">
        <f>IF(B$17=0,0,G10/B$17)</f>
        <v>0.1076923076923077</v>
      </c>
      <c r="I10" s="90">
        <v>5</v>
      </c>
      <c r="K10" s="36">
        <v>8</v>
      </c>
      <c r="L10" s="95">
        <v>-152.6</v>
      </c>
      <c r="N10" s="110" t="s">
        <v>162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2" t="s">
        <v>138</v>
      </c>
      <c r="B11" s="45">
        <v>1</v>
      </c>
      <c r="C11" s="38">
        <f t="shared" si="1"/>
        <v>2.9411764705882353E-2</v>
      </c>
      <c r="E11" s="59" t="s">
        <v>71</v>
      </c>
      <c r="F11" s="56" t="s">
        <v>26</v>
      </c>
      <c r="G11" s="44">
        <v>7</v>
      </c>
      <c r="H11" s="129">
        <f>IF(B$17=0,0,G11/B$17)</f>
        <v>0.1076923076923077</v>
      </c>
      <c r="I11" s="90">
        <v>2</v>
      </c>
      <c r="K11" s="36">
        <v>9</v>
      </c>
      <c r="L11" s="95">
        <v>-150.6</v>
      </c>
      <c r="N11" s="111" t="s">
        <v>163</v>
      </c>
      <c r="O11" s="121">
        <f>IF(P11=0,0,Q11/P11)</f>
        <v>-12.288888888888888</v>
      </c>
      <c r="P11" s="115">
        <v>9</v>
      </c>
      <c r="Q11" s="103">
        <v>-110.6</v>
      </c>
    </row>
    <row r="12" spans="1:17" x14ac:dyDescent="0.4">
      <c r="A12" s="53" t="s">
        <v>158</v>
      </c>
      <c r="B12" s="46">
        <v>1</v>
      </c>
      <c r="C12" s="40">
        <f t="shared" si="1"/>
        <v>2.9411764705882353E-2</v>
      </c>
      <c r="E12" s="59" t="s">
        <v>69</v>
      </c>
      <c r="F12" s="56" t="s">
        <v>24</v>
      </c>
      <c r="G12" s="44">
        <v>6</v>
      </c>
      <c r="H12" s="129">
        <f>IF(B$17=0,0,G12/B$17)</f>
        <v>9.2307692307692313E-2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0.21428571428571455</v>
      </c>
      <c r="P12" s="116">
        <v>7</v>
      </c>
      <c r="Q12" s="104">
        <v>1.5000000000000018</v>
      </c>
    </row>
    <row r="13" spans="1:17" x14ac:dyDescent="0.4">
      <c r="A13" s="54" t="s">
        <v>121</v>
      </c>
      <c r="B13" s="47">
        <v>54</v>
      </c>
      <c r="C13" s="42">
        <f>IF(B$3=0,0,B13/B$3)</f>
        <v>0.19354838709677419</v>
      </c>
      <c r="E13" s="59" t="s">
        <v>83</v>
      </c>
      <c r="F13" s="56" t="s">
        <v>38</v>
      </c>
      <c r="G13" s="44">
        <v>5</v>
      </c>
      <c r="H13" s="129">
        <f>IF(B$17=0,0,G13/B$17)</f>
        <v>7.6923076923076927E-2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62</v>
      </c>
      <c r="C14" s="37">
        <f>IF(B$3=0,0,B14/B$3)</f>
        <v>0.22222222222222221</v>
      </c>
      <c r="E14" s="59" t="s">
        <v>86</v>
      </c>
      <c r="F14" s="56" t="s">
        <v>41</v>
      </c>
      <c r="G14" s="44">
        <v>5</v>
      </c>
      <c r="H14" s="129">
        <f>IF(B$17=0,0,G14/B$17)</f>
        <v>7.6923076923076927E-2</v>
      </c>
      <c r="I14" s="90">
        <v>1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30</v>
      </c>
      <c r="C15" s="35">
        <f>IF(B$13=0,0,B15/B$13)</f>
        <v>0.55555555555555558</v>
      </c>
      <c r="E15" s="59" t="s">
        <v>81</v>
      </c>
      <c r="F15" s="56" t="s">
        <v>36</v>
      </c>
      <c r="G15" s="44">
        <v>2</v>
      </c>
      <c r="H15" s="129">
        <f>IF(B$17=0,0,G15/B$17)</f>
        <v>3.0769230769230771E-2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23</v>
      </c>
      <c r="C16" s="35">
        <f>IF(B$14=0,0,B16/B$14)</f>
        <v>0.37096774193548387</v>
      </c>
      <c r="E16" s="59" t="s">
        <v>74</v>
      </c>
      <c r="F16" s="56" t="s">
        <v>29</v>
      </c>
      <c r="G16" s="44">
        <v>1</v>
      </c>
      <c r="H16" s="129">
        <f>IF(B$17=0,0,G16/B$17)</f>
        <v>1.5384615384615385E-2</v>
      </c>
      <c r="I16" s="90">
        <v>1</v>
      </c>
      <c r="K16" s="36">
        <v>14</v>
      </c>
      <c r="L16" s="95">
        <v>-266.90000000000003</v>
      </c>
      <c r="N16" s="111" t="s">
        <v>222</v>
      </c>
      <c r="O16" s="121">
        <f t="shared" si="2"/>
        <v>-17.649999999999999</v>
      </c>
      <c r="P16" s="115">
        <v>2</v>
      </c>
      <c r="Q16" s="103">
        <v>-35.299999999999997</v>
      </c>
    </row>
    <row r="17" spans="1:17" x14ac:dyDescent="0.4">
      <c r="A17" s="50" t="s">
        <v>10</v>
      </c>
      <c r="B17" s="43">
        <f>B19+B18</f>
        <v>65</v>
      </c>
      <c r="C17" s="35">
        <f>IF(B$3=0,0,B17/B$3)</f>
        <v>0.23297491039426524</v>
      </c>
      <c r="E17" s="59" t="s">
        <v>78</v>
      </c>
      <c r="F17" s="56" t="s">
        <v>33</v>
      </c>
      <c r="G17" s="44">
        <v>1</v>
      </c>
      <c r="H17" s="129">
        <f>IF(B$17=0,0,G17/B$17)</f>
        <v>1.5384615384615385E-2</v>
      </c>
      <c r="I17" s="90">
        <v>6</v>
      </c>
      <c r="K17" s="36">
        <v>15</v>
      </c>
      <c r="L17" s="95">
        <v>-272.50000000000006</v>
      </c>
      <c r="N17" s="111" t="s">
        <v>178</v>
      </c>
      <c r="O17" s="121">
        <f t="shared" si="2"/>
        <v>-17.733333333333331</v>
      </c>
      <c r="P17" s="115">
        <v>18</v>
      </c>
      <c r="Q17" s="103">
        <v>-319.19999999999993</v>
      </c>
    </row>
    <row r="18" spans="1:17" x14ac:dyDescent="0.4">
      <c r="A18" s="51" t="s">
        <v>12</v>
      </c>
      <c r="B18" s="44">
        <v>31</v>
      </c>
      <c r="C18" s="37">
        <f>IF(B$17=0,0,B18/B$17)</f>
        <v>0.47692307692307695</v>
      </c>
      <c r="E18" s="59" t="s">
        <v>95</v>
      </c>
      <c r="F18" s="56" t="s">
        <v>50</v>
      </c>
      <c r="G18" s="44">
        <v>1</v>
      </c>
      <c r="H18" s="129">
        <f>IF(B$17=0,0,G18/B$17)</f>
        <v>1.5384615384615385E-2</v>
      </c>
      <c r="I18" s="90">
        <v>1</v>
      </c>
      <c r="K18" s="36">
        <v>16</v>
      </c>
      <c r="L18" s="95">
        <v>-320.30000000000007</v>
      </c>
      <c r="N18" s="111" t="s">
        <v>177</v>
      </c>
      <c r="O18" s="121">
        <f t="shared" si="2"/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34</v>
      </c>
      <c r="C19" s="37">
        <f>IF(B$17=0,0,B19/B$17)</f>
        <v>0.52307692307692311</v>
      </c>
      <c r="E19" s="59" t="s">
        <v>73</v>
      </c>
      <c r="F19" s="56" t="s">
        <v>28</v>
      </c>
      <c r="G19" s="44">
        <v>0</v>
      </c>
      <c r="H19" s="129">
        <f>IF(B$17=0,0,G19/B$17)</f>
        <v>0</v>
      </c>
      <c r="I19" s="90">
        <v>4</v>
      </c>
      <c r="K19" s="36">
        <v>17</v>
      </c>
      <c r="L19" s="95">
        <v>-352.60000000000008</v>
      </c>
      <c r="N19" s="111" t="s">
        <v>127</v>
      </c>
      <c r="O19" s="121">
        <f t="shared" si="2"/>
        <v>-25.583333333333332</v>
      </c>
      <c r="P19" s="115">
        <v>12</v>
      </c>
      <c r="Q19" s="103">
        <v>-307</v>
      </c>
    </row>
    <row r="20" spans="1:17" x14ac:dyDescent="0.4">
      <c r="A20" s="51" t="s">
        <v>13</v>
      </c>
      <c r="B20" s="44">
        <v>54</v>
      </c>
      <c r="C20" s="37">
        <f>IF(B$3=0,0,B20/B$3)</f>
        <v>0.19354838709677419</v>
      </c>
      <c r="E20" s="59" t="s">
        <v>75</v>
      </c>
      <c r="F20" s="56" t="s">
        <v>30</v>
      </c>
      <c r="G20" s="44">
        <v>0</v>
      </c>
      <c r="H20" s="129">
        <f>IF(B$17=0,0,G20/B$17)</f>
        <v>0</v>
      </c>
      <c r="I20" s="90">
        <v>9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76</v>
      </c>
      <c r="F21" s="56" t="s">
        <v>31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-400.60000000000008</v>
      </c>
      <c r="N21" s="111" t="s">
        <v>126</v>
      </c>
      <c r="O21" s="121">
        <f t="shared" si="2"/>
        <v>-28.291666666666668</v>
      </c>
      <c r="P21" s="115">
        <v>12</v>
      </c>
      <c r="Q21" s="103">
        <v>-339.5</v>
      </c>
    </row>
    <row r="22" spans="1:17" x14ac:dyDescent="0.4">
      <c r="A22" s="51" t="s">
        <v>170</v>
      </c>
      <c r="B22" s="44">
        <v>16</v>
      </c>
      <c r="C22" s="131">
        <v>0</v>
      </c>
      <c r="E22" s="59" t="s">
        <v>77</v>
      </c>
      <c r="F22" s="56" t="s">
        <v>32</v>
      </c>
      <c r="G22" s="44">
        <v>0</v>
      </c>
      <c r="H22" s="129">
        <f>IF(B$17=0,0,G22/B$17)</f>
        <v>0</v>
      </c>
      <c r="I22" s="90">
        <v>5</v>
      </c>
      <c r="K22" s="36">
        <v>20</v>
      </c>
      <c r="L22" s="95">
        <v>-428.10000000000008</v>
      </c>
      <c r="N22" s="111" t="s">
        <v>181</v>
      </c>
      <c r="O22" s="121">
        <f t="shared" si="2"/>
        <v>-60.640000000000008</v>
      </c>
      <c r="P22" s="115">
        <v>5</v>
      </c>
      <c r="Q22" s="103">
        <v>-303.20000000000005</v>
      </c>
    </row>
    <row r="23" spans="1:17" x14ac:dyDescent="0.4">
      <c r="A23" s="51" t="s">
        <v>5</v>
      </c>
      <c r="B23" s="48">
        <f>IF(B$17=0,0,C23/B$17)</f>
        <v>7912.3076923076924</v>
      </c>
      <c r="C23" s="39">
        <v>514300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8142.8571428571431</v>
      </c>
      <c r="C24" s="137">
        <v>342000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7491.304347826087</v>
      </c>
      <c r="C25" s="137">
        <v>172300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-7881.4814814814818</v>
      </c>
      <c r="C26" s="137">
        <v>-425600</v>
      </c>
      <c r="E26" s="59" t="s">
        <v>84</v>
      </c>
      <c r="F26" s="56" t="s">
        <v>39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85</v>
      </c>
      <c r="F27" s="56" t="s">
        <v>40</v>
      </c>
      <c r="G27" s="44">
        <v>0</v>
      </c>
      <c r="H27" s="129">
        <f>IF(B$17=0,0,G27/B$17)</f>
        <v>0</v>
      </c>
      <c r="I27" s="90">
        <v>6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87</v>
      </c>
      <c r="F28" s="56" t="s">
        <v>42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3.5842293906810036E-3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-418.80000000000013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-447.30000000000013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-525.40000000000009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-548.20000000000005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-531.90000000000009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AD713-13C1-41E6-B5E5-3886DC9D03F0}">
  <sheetPr codeName="Sheet21"/>
  <dimension ref="A1:Q52"/>
  <sheetViews>
    <sheetView showGridLines="0" topLeftCell="A5" zoomScaleNormal="100" workbookViewId="0">
      <selection activeCell="B27" sqref="B27:C29"/>
    </sheetView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23</v>
      </c>
      <c r="C2" s="149"/>
      <c r="E2" s="58" t="s">
        <v>66</v>
      </c>
      <c r="F2" s="55" t="s">
        <v>22</v>
      </c>
      <c r="G2" s="43">
        <v>62</v>
      </c>
      <c r="H2" s="128">
        <f>IF(B$17=0,0,G2/B$17)</f>
        <v>1.0163934426229508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-3173.913043478261</v>
      </c>
      <c r="P2" s="114">
        <v>23</v>
      </c>
      <c r="Q2" s="98">
        <v>-73000</v>
      </c>
    </row>
    <row r="3" spans="1:17" x14ac:dyDescent="0.4">
      <c r="A3" s="51" t="s">
        <v>8</v>
      </c>
      <c r="B3" s="150">
        <v>219</v>
      </c>
      <c r="C3" s="151"/>
      <c r="E3" s="59" t="s">
        <v>64</v>
      </c>
      <c r="F3" s="56" t="s">
        <v>20</v>
      </c>
      <c r="G3" s="44">
        <v>35</v>
      </c>
      <c r="H3" s="129">
        <f>IF(B$17=0,0,G3/B$17)</f>
        <v>0.57377049180327866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-582.60869565217388</v>
      </c>
      <c r="P3" s="115">
        <v>23</v>
      </c>
      <c r="Q3" s="99">
        <v>-13400</v>
      </c>
    </row>
    <row r="4" spans="1:17" x14ac:dyDescent="0.4">
      <c r="A4" s="51" t="s">
        <v>6</v>
      </c>
      <c r="B4" s="152">
        <v>27.299999999999997</v>
      </c>
      <c r="C4" s="153"/>
      <c r="E4" s="59" t="s">
        <v>68</v>
      </c>
      <c r="F4" s="56" t="s">
        <v>12</v>
      </c>
      <c r="G4" s="44">
        <v>26</v>
      </c>
      <c r="H4" s="129">
        <f>IF(B$17=0,0,G4/B$17)</f>
        <v>0.42622950819672129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1086.3636363636363</v>
      </c>
      <c r="P4" s="115">
        <v>22</v>
      </c>
      <c r="Q4" s="99">
        <v>23900</v>
      </c>
    </row>
    <row r="5" spans="1:17" x14ac:dyDescent="0.4">
      <c r="A5" s="51" t="s">
        <v>7</v>
      </c>
      <c r="B5" s="154">
        <f>IF(B$2=0,0,B$4/B$2)</f>
        <v>1.1869565217391302</v>
      </c>
      <c r="C5" s="155"/>
      <c r="E5" s="59" t="s">
        <v>171</v>
      </c>
      <c r="F5" s="56" t="s">
        <v>172</v>
      </c>
      <c r="G5" s="44">
        <v>24</v>
      </c>
      <c r="H5" s="129">
        <f>IF(B$17=0,0,G5/B$17)</f>
        <v>0.39344262295081966</v>
      </c>
      <c r="I5" s="90">
        <v>5</v>
      </c>
      <c r="K5" s="36">
        <v>3</v>
      </c>
      <c r="L5" s="95">
        <v>76</v>
      </c>
      <c r="N5" s="111" t="s">
        <v>133</v>
      </c>
      <c r="O5" s="118">
        <f t="shared" si="0"/>
        <v>-2318.181818181818</v>
      </c>
      <c r="P5" s="115">
        <v>22</v>
      </c>
      <c r="Q5" s="99">
        <v>-51000</v>
      </c>
    </row>
    <row r="6" spans="1:17" x14ac:dyDescent="0.4">
      <c r="A6" s="51" t="s">
        <v>1</v>
      </c>
      <c r="B6" s="144">
        <f>IF(B$2=0,0,(B$7*1+B$8*2+B$9*3)/B$2)</f>
        <v>1.9565217391304348</v>
      </c>
      <c r="C6" s="145"/>
      <c r="E6" s="59" t="s">
        <v>72</v>
      </c>
      <c r="F6" s="56" t="s">
        <v>27</v>
      </c>
      <c r="G6" s="44">
        <v>21</v>
      </c>
      <c r="H6" s="129">
        <f>IF(B$17=0,0,G6/B$17)</f>
        <v>0.34426229508196721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5950</v>
      </c>
      <c r="P6" s="115">
        <v>20</v>
      </c>
      <c r="Q6" s="99">
        <v>119000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0.39130434782608697</v>
      </c>
      <c r="E7" s="59" t="s">
        <v>67</v>
      </c>
      <c r="F7" s="56" t="s">
        <v>23</v>
      </c>
      <c r="G7" s="44">
        <v>14</v>
      </c>
      <c r="H7" s="129">
        <f>IF(B$17=0,0,G7/B$17)</f>
        <v>0.22950819672131148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112.5</v>
      </c>
      <c r="P7" s="116">
        <v>16</v>
      </c>
      <c r="Q7" s="100">
        <v>1800</v>
      </c>
    </row>
    <row r="8" spans="1:17" x14ac:dyDescent="0.4">
      <c r="A8" s="51" t="s">
        <v>3</v>
      </c>
      <c r="B8" s="44">
        <v>6</v>
      </c>
      <c r="C8" s="37">
        <f t="shared" si="1"/>
        <v>0.2608695652173913</v>
      </c>
      <c r="E8" s="59" t="s">
        <v>69</v>
      </c>
      <c r="F8" s="56" t="s">
        <v>24</v>
      </c>
      <c r="G8" s="44">
        <v>13</v>
      </c>
      <c r="H8" s="129">
        <f>IF(B$17=0,0,G8/B$17)</f>
        <v>0.21311475409836064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8</v>
      </c>
      <c r="C9" s="38">
        <f t="shared" si="1"/>
        <v>0.34782608695652173</v>
      </c>
      <c r="E9" s="59" t="s">
        <v>65</v>
      </c>
      <c r="F9" s="56" t="s">
        <v>21</v>
      </c>
      <c r="G9" s="44">
        <v>8</v>
      </c>
      <c r="H9" s="129">
        <f>IF(B$17=0,0,G9/B$17)</f>
        <v>0.13114754098360656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8.6956521739130432E-2</v>
      </c>
      <c r="E10" s="59" t="s">
        <v>70</v>
      </c>
      <c r="F10" s="56" t="s">
        <v>25</v>
      </c>
      <c r="G10" s="44">
        <v>6</v>
      </c>
      <c r="H10" s="129">
        <f>IF(B$17=0,0,G10/B$17)</f>
        <v>9.8360655737704916E-2</v>
      </c>
      <c r="I10" s="90">
        <v>6</v>
      </c>
      <c r="K10" s="36">
        <v>8</v>
      </c>
      <c r="L10" s="95">
        <v>124.6</v>
      </c>
      <c r="N10" s="110" t="s">
        <v>162</v>
      </c>
      <c r="O10" s="120">
        <f>IF(P10=0,0,Q10/P10)</f>
        <v>-7.5200000000000005</v>
      </c>
      <c r="P10" s="114">
        <v>10</v>
      </c>
      <c r="Q10" s="102">
        <v>-75.2</v>
      </c>
    </row>
    <row r="11" spans="1:17" x14ac:dyDescent="0.4">
      <c r="A11" s="52" t="s">
        <v>138</v>
      </c>
      <c r="B11" s="45">
        <v>3</v>
      </c>
      <c r="C11" s="38">
        <f t="shared" si="1"/>
        <v>0.13043478260869565</v>
      </c>
      <c r="E11" s="59" t="s">
        <v>71</v>
      </c>
      <c r="F11" s="56" t="s">
        <v>26</v>
      </c>
      <c r="G11" s="44">
        <v>6</v>
      </c>
      <c r="H11" s="129">
        <f>IF(B$17=0,0,G11/B$17)</f>
        <v>9.8360655737704916E-2</v>
      </c>
      <c r="I11" s="90">
        <v>4</v>
      </c>
      <c r="K11" s="36">
        <v>9</v>
      </c>
      <c r="L11" s="95">
        <v>141.5</v>
      </c>
      <c r="N11" s="111" t="s">
        <v>163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3" t="s">
        <v>158</v>
      </c>
      <c r="B12" s="46">
        <v>1</v>
      </c>
      <c r="C12" s="40">
        <f t="shared" si="1"/>
        <v>4.3478260869565216E-2</v>
      </c>
      <c r="E12" s="59" t="s">
        <v>89</v>
      </c>
      <c r="F12" s="56" t="s">
        <v>44</v>
      </c>
      <c r="G12" s="44">
        <v>5</v>
      </c>
      <c r="H12" s="129">
        <f>IF(B$17=0,0,G12/B$17)</f>
        <v>8.1967213114754092E-2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4" t="s">
        <v>121</v>
      </c>
      <c r="B13" s="47">
        <v>59</v>
      </c>
      <c r="C13" s="42">
        <f>IF(B$3=0,0,B13/B$3)</f>
        <v>0.26940639269406391</v>
      </c>
      <c r="E13" s="59" t="s">
        <v>78</v>
      </c>
      <c r="F13" s="56" t="s">
        <v>33</v>
      </c>
      <c r="G13" s="44">
        <v>3</v>
      </c>
      <c r="H13" s="129">
        <f>IF(B$17=0,0,G13/B$17)</f>
        <v>4.9180327868852458E-2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34</v>
      </c>
      <c r="C14" s="37">
        <f>IF(B$3=0,0,B14/B$3)</f>
        <v>0.15525114155251141</v>
      </c>
      <c r="E14" s="59" t="s">
        <v>86</v>
      </c>
      <c r="F14" s="56" t="s">
        <v>41</v>
      </c>
      <c r="G14" s="44">
        <v>3</v>
      </c>
      <c r="H14" s="129">
        <f>IF(B$17=0,0,G14/B$17)</f>
        <v>4.9180327868852458E-2</v>
      </c>
      <c r="I14" s="90">
        <v>7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35</v>
      </c>
      <c r="C15" s="35">
        <f>IF(B$13=0,0,B15/B$13)</f>
        <v>0.59322033898305082</v>
      </c>
      <c r="E15" s="59" t="s">
        <v>83</v>
      </c>
      <c r="F15" s="56" t="s">
        <v>38</v>
      </c>
      <c r="G15" s="44">
        <v>2</v>
      </c>
      <c r="H15" s="129">
        <f>IF(B$17=0,0,G15/B$17)</f>
        <v>3.2786885245901641E-2</v>
      </c>
      <c r="I15" s="90">
        <v>11</v>
      </c>
      <c r="K15" s="36">
        <v>13</v>
      </c>
      <c r="L15" s="95">
        <v>76.7</v>
      </c>
      <c r="N15" s="110" t="s">
        <v>182</v>
      </c>
      <c r="O15" s="120">
        <f t="shared" ref="O15:O22" si="2">IF(P15=0,0,Q15/P15)</f>
        <v>60.640000000000008</v>
      </c>
      <c r="P15" s="114">
        <v>5</v>
      </c>
      <c r="Q15" s="102">
        <v>303.20000000000005</v>
      </c>
    </row>
    <row r="16" spans="1:17" x14ac:dyDescent="0.4">
      <c r="A16" s="50" t="s">
        <v>124</v>
      </c>
      <c r="B16" s="43">
        <v>12</v>
      </c>
      <c r="C16" s="35">
        <f>IF(B$14=0,0,B16/B$14)</f>
        <v>0.35294117647058826</v>
      </c>
      <c r="E16" s="59" t="s">
        <v>75</v>
      </c>
      <c r="F16" s="56" t="s">
        <v>30</v>
      </c>
      <c r="G16" s="44">
        <v>1</v>
      </c>
      <c r="H16" s="129">
        <f>IF(B$17=0,0,G16/B$17)</f>
        <v>1.6393442622950821E-2</v>
      </c>
      <c r="I16" s="90">
        <v>1</v>
      </c>
      <c r="K16" s="36">
        <v>14</v>
      </c>
      <c r="L16" s="95">
        <v>49.900000000000006</v>
      </c>
      <c r="N16" s="111" t="s">
        <v>177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61</v>
      </c>
      <c r="C17" s="35">
        <f>IF(B$3=0,0,B17/B$3)</f>
        <v>0.27853881278538811</v>
      </c>
      <c r="E17" s="59" t="s">
        <v>81</v>
      </c>
      <c r="F17" s="56" t="s">
        <v>36</v>
      </c>
      <c r="G17" s="44">
        <v>1</v>
      </c>
      <c r="H17" s="129">
        <f>IF(B$17=0,0,G17/B$17)</f>
        <v>1.6393442622950821E-2</v>
      </c>
      <c r="I17" s="90">
        <v>7</v>
      </c>
      <c r="K17" s="36">
        <v>15</v>
      </c>
      <c r="L17" s="95">
        <v>73.7</v>
      </c>
      <c r="N17" s="111" t="s">
        <v>179</v>
      </c>
      <c r="O17" s="121">
        <f t="shared" si="2"/>
        <v>5.3000000000000007</v>
      </c>
      <c r="P17" s="115">
        <v>9</v>
      </c>
      <c r="Q17" s="103">
        <v>47.7</v>
      </c>
    </row>
    <row r="18" spans="1:17" x14ac:dyDescent="0.4">
      <c r="A18" s="51" t="s">
        <v>12</v>
      </c>
      <c r="B18" s="44">
        <v>34</v>
      </c>
      <c r="C18" s="37">
        <f>IF(B$17=0,0,B18/B$17)</f>
        <v>0.55737704918032782</v>
      </c>
      <c r="E18" s="59" t="s">
        <v>85</v>
      </c>
      <c r="F18" s="56" t="s">
        <v>40</v>
      </c>
      <c r="G18" s="44">
        <v>1</v>
      </c>
      <c r="H18" s="129">
        <f>IF(B$17=0,0,G18/B$17)</f>
        <v>1.6393442622950821E-2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27</v>
      </c>
      <c r="C19" s="37">
        <f>IF(B$17=0,0,B19/B$17)</f>
        <v>0.44262295081967212</v>
      </c>
      <c r="E19" s="59" t="s">
        <v>87</v>
      </c>
      <c r="F19" s="56" t="s">
        <v>42</v>
      </c>
      <c r="G19" s="44">
        <v>1</v>
      </c>
      <c r="H19" s="129">
        <f>IF(B$17=0,0,G19/B$17)</f>
        <v>1.6393442622950821E-2</v>
      </c>
      <c r="I19" s="90">
        <v>1</v>
      </c>
      <c r="K19" s="36">
        <v>17</v>
      </c>
      <c r="L19" s="95">
        <v>49.800000000000004</v>
      </c>
      <c r="N19" s="111" t="s">
        <v>166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34</v>
      </c>
      <c r="C20" s="37">
        <f>IF(B$3=0,0,B20/B$3)</f>
        <v>0.15525114155251141</v>
      </c>
      <c r="E20" s="59" t="s">
        <v>167</v>
      </c>
      <c r="F20" s="56" t="s">
        <v>168</v>
      </c>
      <c r="G20" s="44">
        <v>1</v>
      </c>
      <c r="H20" s="129">
        <f>IF(B$17=0,0,G20/B$17)</f>
        <v>1.6393442622950821E-2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169</v>
      </c>
      <c r="B21" s="44">
        <v>3</v>
      </c>
      <c r="C21" s="131">
        <v>2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8.7000000000000028</v>
      </c>
      <c r="N21" s="111" t="s">
        <v>195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3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-41.585714285714289</v>
      </c>
      <c r="P22" s="115">
        <v>7</v>
      </c>
      <c r="Q22" s="103">
        <v>-291.10000000000002</v>
      </c>
    </row>
    <row r="23" spans="1:17" x14ac:dyDescent="0.4">
      <c r="A23" s="51" t="s">
        <v>5</v>
      </c>
      <c r="B23" s="48">
        <f>IF(B$17=0,0,C23/B$17)</f>
        <v>8398.3606557377043</v>
      </c>
      <c r="C23" s="39">
        <v>512300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216</v>
      </c>
      <c r="B24" s="136">
        <f>IF($B$17-B$16=0,0,C24/($B$17-B$16))</f>
        <v>8714.2857142857138</v>
      </c>
      <c r="C24" s="137">
        <v>427000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217</v>
      </c>
      <c r="B25" s="136">
        <f>IF(B$16=0,0,C25/B$16)</f>
        <v>7108.333333333333</v>
      </c>
      <c r="C25" s="137">
        <v>85300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27.299999999999997</v>
      </c>
    </row>
    <row r="26" spans="1:17" x14ac:dyDescent="0.4">
      <c r="A26" s="52" t="s">
        <v>215</v>
      </c>
      <c r="B26" s="136">
        <f>IF(B$20=0,0,C26/B$20)</f>
        <v>-7058.8235294117649</v>
      </c>
      <c r="C26" s="137">
        <v>-240000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2">
        <v>7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4.5662100456621002E-3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709C-D98B-46DE-961D-CCD6ADFBC57D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9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5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3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4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9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353E7-64E6-4F76-9AE4-D26E133AC16F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9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5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113F-A490-429F-AF48-30D21A9CC8F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06F0-3AF1-45A1-A637-A1DFF216F41D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1400B-C680-4ED2-B7D7-230F405CF1D9}">
  <sheetPr codeName="Sheet22"/>
  <dimension ref="A1:Q2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  <row r="24" spans="1:17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9.5238095238095233E-2</v>
      </c>
      <c r="M24" s="63">
        <v>0.27368421052631581</v>
      </c>
      <c r="N24" s="63">
        <v>0.14210526315789473</v>
      </c>
      <c r="O24" s="63">
        <v>0.59615384615384615</v>
      </c>
      <c r="P24" s="63">
        <v>0.33333333333333331</v>
      </c>
      <c r="Q24" s="63">
        <v>0.53846153846153844</v>
      </c>
    </row>
    <row r="25" spans="1:17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9.0909090909090912E-2</v>
      </c>
      <c r="M25" s="63">
        <v>0.26470588235294118</v>
      </c>
      <c r="N25" s="63">
        <v>0.15686274509803921</v>
      </c>
      <c r="O25" s="63">
        <v>0.61111111111111116</v>
      </c>
      <c r="P25" s="63">
        <v>0.375</v>
      </c>
      <c r="Q25" s="63">
        <v>0.54385964912280704</v>
      </c>
    </row>
    <row r="26" spans="1:17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0.13043478260869565</v>
      </c>
      <c r="M26" s="63">
        <v>0.26940639269406391</v>
      </c>
      <c r="N26" s="63">
        <v>0.15525114155251141</v>
      </c>
      <c r="O26" s="63">
        <v>0.59322033898305082</v>
      </c>
      <c r="P26" s="63">
        <v>0.35294117647058826</v>
      </c>
      <c r="Q26" s="63">
        <v>0.55737704918032782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95F22-2C45-49FE-A30C-9A02C21C393E}">
  <sheetPr codeName="Sheet20"/>
  <dimension ref="A1:Q3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  <row r="35" spans="1:17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3.125E-2</v>
      </c>
      <c r="M35" s="63">
        <v>0.2</v>
      </c>
      <c r="N35" s="63">
        <v>0.22264150943396227</v>
      </c>
      <c r="O35" s="63">
        <v>0.54716981132075471</v>
      </c>
      <c r="P35" s="63">
        <v>0.3728813559322034</v>
      </c>
      <c r="Q35" s="63">
        <v>0.46774193548387094</v>
      </c>
    </row>
    <row r="36" spans="1:17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3.0303030303030304E-2</v>
      </c>
      <c r="M36" s="63">
        <v>0.19557195571955718</v>
      </c>
      <c r="N36" s="63">
        <v>0.22140221402214022</v>
      </c>
      <c r="O36" s="63">
        <v>0.54716981132075471</v>
      </c>
      <c r="P36" s="63">
        <v>0.36666666666666664</v>
      </c>
      <c r="Q36" s="63">
        <v>0.46031746031746029</v>
      </c>
    </row>
    <row r="37" spans="1:17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2.9411764705882353E-2</v>
      </c>
      <c r="M37" s="63">
        <v>0.19354838709677419</v>
      </c>
      <c r="N37" s="63">
        <v>0.22222222222222221</v>
      </c>
      <c r="O37" s="63">
        <v>0.55555555555555558</v>
      </c>
      <c r="P37" s="63">
        <v>0.37096774193548387</v>
      </c>
      <c r="Q37" s="63">
        <v>0.47692307692307695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0C5CB-FF10-4F86-B946-F640B4129512}">
  <sheetPr codeName="Sheet18"/>
  <dimension ref="A1:Q9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  <row r="81" spans="1:17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7.6923076923076927E-2</v>
      </c>
      <c r="M81" s="63">
        <v>0.2504012841091493</v>
      </c>
      <c r="N81" s="63">
        <v>0.23595505617977527</v>
      </c>
      <c r="O81" s="63">
        <v>0.57051282051282048</v>
      </c>
      <c r="P81" s="63">
        <v>0.40136054421768708</v>
      </c>
      <c r="Q81" s="63">
        <v>0.45086705202312138</v>
      </c>
    </row>
    <row r="82" spans="1:17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7.5949367088607597E-2</v>
      </c>
      <c r="M82" s="63">
        <v>0.25078864353312302</v>
      </c>
      <c r="N82" s="63">
        <v>0.23501577287066247</v>
      </c>
      <c r="O82" s="63">
        <v>0.55974842767295596</v>
      </c>
      <c r="P82" s="63">
        <v>0.40268456375838924</v>
      </c>
      <c r="Q82" s="63">
        <v>0.44886363636363635</v>
      </c>
    </row>
    <row r="83" spans="1:17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7.4999999999999997E-2</v>
      </c>
      <c r="M83" s="63">
        <v>0.25039123630672927</v>
      </c>
      <c r="N83" s="63">
        <v>0.23630672926447574</v>
      </c>
      <c r="O83" s="63">
        <v>0.5625</v>
      </c>
      <c r="P83" s="63">
        <v>0.40397350993377484</v>
      </c>
      <c r="Q83" s="63">
        <v>0.449438202247191</v>
      </c>
    </row>
    <row r="84" spans="1:17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7.407407407407407E-2</v>
      </c>
      <c r="M84" s="63">
        <v>0.25386996904024767</v>
      </c>
      <c r="N84" s="63">
        <v>0.23529411764705882</v>
      </c>
      <c r="O84" s="63">
        <v>0.56707317073170727</v>
      </c>
      <c r="P84" s="63">
        <v>0.40789473684210525</v>
      </c>
      <c r="Q84" s="63">
        <v>0.44808743169398907</v>
      </c>
    </row>
    <row r="85" spans="1:17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7.3170731707317069E-2</v>
      </c>
      <c r="M85" s="63">
        <v>0.25229357798165136</v>
      </c>
      <c r="N85" s="63">
        <v>0.23547400611620795</v>
      </c>
      <c r="O85" s="63">
        <v>0.5696969696969697</v>
      </c>
      <c r="P85" s="63">
        <v>0.40909090909090912</v>
      </c>
      <c r="Q85" s="63">
        <v>0.44864864864864867</v>
      </c>
    </row>
    <row r="86" spans="1:17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7.2289156626506021E-2</v>
      </c>
      <c r="M86" s="63">
        <v>0.25264750378214829</v>
      </c>
      <c r="N86" s="63">
        <v>0.2329803328290469</v>
      </c>
      <c r="O86" s="63">
        <v>0.56287425149700598</v>
      </c>
      <c r="P86" s="63">
        <v>0.40909090909090912</v>
      </c>
      <c r="Q86" s="63">
        <v>0.44864864864864867</v>
      </c>
    </row>
    <row r="87" spans="1:17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7.1428571428571425E-2</v>
      </c>
      <c r="M87" s="63">
        <v>0.25337331334332835</v>
      </c>
      <c r="N87" s="63">
        <v>0.23088455772113944</v>
      </c>
      <c r="O87" s="63">
        <v>0.56804733727810652</v>
      </c>
      <c r="P87" s="63">
        <v>0.40909090909090912</v>
      </c>
      <c r="Q87" s="63">
        <v>0.44385026737967914</v>
      </c>
    </row>
    <row r="88" spans="1:17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7.0588235294117646E-2</v>
      </c>
      <c r="M88" s="63">
        <v>0.25370919881305637</v>
      </c>
      <c r="N88" s="63">
        <v>0.2314540059347181</v>
      </c>
      <c r="O88" s="63">
        <v>0.56140350877192979</v>
      </c>
      <c r="P88" s="63">
        <v>0.41025641025641024</v>
      </c>
      <c r="Q88" s="63">
        <v>0.44973544973544971</v>
      </c>
    </row>
    <row r="89" spans="1:17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6.9767441860465115E-2</v>
      </c>
      <c r="M89" s="63">
        <v>0.25768667642752563</v>
      </c>
      <c r="N89" s="63">
        <v>0.22986822840409957</v>
      </c>
      <c r="O89" s="63">
        <v>0.55681818181818177</v>
      </c>
      <c r="P89" s="63">
        <v>0.4140127388535032</v>
      </c>
      <c r="Q89" s="63">
        <v>0.44791666666666669</v>
      </c>
    </row>
    <row r="90" spans="1:17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6.8965517241379309E-2</v>
      </c>
      <c r="M90" s="63">
        <v>0.2608695652173913</v>
      </c>
      <c r="N90" s="63">
        <v>0.22898550724637681</v>
      </c>
      <c r="O90" s="63">
        <v>0.56111111111111112</v>
      </c>
      <c r="P90" s="63">
        <v>0.41139240506329117</v>
      </c>
      <c r="Q90" s="63">
        <v>0.44615384615384618</v>
      </c>
    </row>
    <row r="91" spans="1:17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6.8181818181818177E-2</v>
      </c>
      <c r="M91" s="63">
        <v>0.26315789473684209</v>
      </c>
      <c r="N91" s="63">
        <v>0.22759601706970128</v>
      </c>
      <c r="O91" s="63">
        <v>0.56216216216216219</v>
      </c>
      <c r="P91" s="63">
        <v>0.41249999999999998</v>
      </c>
      <c r="Q91" s="63">
        <v>0.44221105527638194</v>
      </c>
    </row>
    <row r="92" spans="1:17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6.741573033707865E-2</v>
      </c>
      <c r="M92" s="63">
        <v>0.26396648044692739</v>
      </c>
      <c r="N92" s="63">
        <v>0.22346368715083798</v>
      </c>
      <c r="O92" s="63">
        <v>0.56084656084656082</v>
      </c>
      <c r="P92" s="63">
        <v>0.41249999999999998</v>
      </c>
      <c r="Q92" s="63">
        <v>0.4405940594059406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3AC30-7107-4E5C-AAD4-07F911C35F0B}">
  <sheetPr codeName="Sheet16"/>
  <dimension ref="A1:Q6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  <row r="59" spans="1:17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0.19642857142857142</v>
      </c>
      <c r="M59" s="63">
        <v>0.32</v>
      </c>
      <c r="N59" s="63">
        <v>0.18222222222222223</v>
      </c>
      <c r="O59" s="63">
        <v>0.53472222222222221</v>
      </c>
      <c r="P59" s="63">
        <v>0.45121951219512196</v>
      </c>
      <c r="Q59" s="63">
        <v>0.49618320610687022</v>
      </c>
    </row>
    <row r="60" spans="1:17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0.19298245614035087</v>
      </c>
      <c r="M60" s="63">
        <v>0.32385120350109409</v>
      </c>
      <c r="N60" s="63">
        <v>0.17943107221006566</v>
      </c>
      <c r="O60" s="63">
        <v>0.54729729729729726</v>
      </c>
      <c r="P60" s="63">
        <v>0.45121951219512196</v>
      </c>
      <c r="Q60" s="63">
        <v>0.48529411764705882</v>
      </c>
    </row>
    <row r="61" spans="1:17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0.18965517241379309</v>
      </c>
      <c r="M61" s="63">
        <v>0.32258064516129031</v>
      </c>
      <c r="N61" s="63">
        <v>0.17634408602150536</v>
      </c>
      <c r="O61" s="63">
        <v>0.54666666666666663</v>
      </c>
      <c r="P61" s="63">
        <v>0.45121951219512196</v>
      </c>
      <c r="Q61" s="63">
        <v>0.48550724637681159</v>
      </c>
    </row>
    <row r="62" spans="1:17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0.20338983050847459</v>
      </c>
      <c r="M62" s="63">
        <v>0.32845188284518828</v>
      </c>
      <c r="N62" s="63">
        <v>0.17782426778242677</v>
      </c>
      <c r="O62" s="63">
        <v>0.55414012738853502</v>
      </c>
      <c r="P62" s="63">
        <v>0.43529411764705883</v>
      </c>
      <c r="Q62" s="63">
        <v>0.4825174825174825</v>
      </c>
    </row>
    <row r="63" spans="1:17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0.2</v>
      </c>
      <c r="M63" s="63">
        <v>0.32723577235772355</v>
      </c>
      <c r="N63" s="63">
        <v>0.17886178861788618</v>
      </c>
      <c r="O63" s="63">
        <v>0.54658385093167705</v>
      </c>
      <c r="P63" s="63">
        <v>0.44318181818181818</v>
      </c>
      <c r="Q63" s="63">
        <v>0.47945205479452052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3F0A0-967D-4C91-AF21-E24D6E2A0C30}">
  <sheetPr codeName="Sheet14"/>
  <dimension ref="A1:Q6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  <row r="63" spans="1:17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3.3333333333333333E-2</v>
      </c>
      <c r="M63" s="63">
        <v>0.28286852589641437</v>
      </c>
      <c r="N63" s="63">
        <v>0.18725099601593626</v>
      </c>
      <c r="O63" s="63">
        <v>0.59859154929577463</v>
      </c>
      <c r="P63" s="63">
        <v>0.38297872340425532</v>
      </c>
      <c r="Q63" s="63">
        <v>0.45714285714285713</v>
      </c>
    </row>
    <row r="64" spans="1:17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3.2786885245901641E-2</v>
      </c>
      <c r="M64" s="63">
        <v>0.28488372093023256</v>
      </c>
      <c r="N64" s="63">
        <v>0.18992248062015504</v>
      </c>
      <c r="O64" s="63">
        <v>0.59183673469387754</v>
      </c>
      <c r="P64" s="63">
        <v>0.38775510204081631</v>
      </c>
      <c r="Q64" s="63">
        <v>0.4513888888888889</v>
      </c>
    </row>
    <row r="65" spans="1:17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3.2258064516129031E-2</v>
      </c>
      <c r="M65" s="63">
        <v>0.28516377649325625</v>
      </c>
      <c r="N65" s="63">
        <v>0.18882466281310212</v>
      </c>
      <c r="O65" s="63">
        <v>0.58783783783783783</v>
      </c>
      <c r="P65" s="63">
        <v>0.38775510204081631</v>
      </c>
      <c r="Q65" s="63">
        <v>0.4513888888888889</v>
      </c>
    </row>
    <row r="66" spans="1:17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3.1746031746031744E-2</v>
      </c>
      <c r="M66" s="63">
        <v>0.29166666666666669</v>
      </c>
      <c r="N66" s="63">
        <v>0.1875</v>
      </c>
      <c r="O66" s="63">
        <v>0.58441558441558439</v>
      </c>
      <c r="P66" s="63">
        <v>0.38383838383838381</v>
      </c>
      <c r="Q66" s="63">
        <v>0.45270270270270269</v>
      </c>
    </row>
    <row r="67" spans="1:17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3.125E-2</v>
      </c>
      <c r="M67" s="63">
        <v>0.28782287822878228</v>
      </c>
      <c r="N67" s="63">
        <v>0.18819188191881919</v>
      </c>
      <c r="O67" s="63">
        <v>0.58333333333333337</v>
      </c>
      <c r="P67" s="63">
        <v>0.40196078431372551</v>
      </c>
      <c r="Q67" s="63">
        <v>0.46052631578947367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E04CE-6D5F-4791-A615-DDFD21B8A421}">
  <sheetPr codeName="Sheet12"/>
  <dimension ref="A1:Q10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  <row r="90" spans="1:17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0.11494252873563218</v>
      </c>
      <c r="M90" s="63">
        <v>0.22899728997289973</v>
      </c>
      <c r="N90" s="63">
        <v>0.30623306233062331</v>
      </c>
      <c r="O90" s="63">
        <v>0.53846153846153844</v>
      </c>
      <c r="P90" s="63">
        <v>0.38053097345132741</v>
      </c>
      <c r="Q90" s="63">
        <v>0.38197424892703863</v>
      </c>
    </row>
    <row r="91" spans="1:17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0.11363636363636363</v>
      </c>
      <c r="M91" s="63">
        <v>0.22739361702127658</v>
      </c>
      <c r="N91" s="63">
        <v>0.30718085106382981</v>
      </c>
      <c r="O91" s="63">
        <v>0.53216374269005851</v>
      </c>
      <c r="P91" s="63">
        <v>0.38528138528138528</v>
      </c>
      <c r="Q91" s="63">
        <v>0.38396624472573837</v>
      </c>
    </row>
    <row r="92" spans="1:17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0.11235955056179775</v>
      </c>
      <c r="M92" s="63">
        <v>0.22823218997361477</v>
      </c>
      <c r="N92" s="63">
        <v>0.30606860158311344</v>
      </c>
      <c r="O92" s="63">
        <v>0.53179190751445082</v>
      </c>
      <c r="P92" s="63">
        <v>0.38362068965517243</v>
      </c>
      <c r="Q92" s="63">
        <v>0.38493723849372385</v>
      </c>
    </row>
    <row r="93" spans="1:17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0.1111111111111111</v>
      </c>
      <c r="M93" s="63">
        <v>0.23216601815823606</v>
      </c>
      <c r="N93" s="63">
        <v>0.30998702983138782</v>
      </c>
      <c r="O93" s="63">
        <v>0.51955307262569828</v>
      </c>
      <c r="P93" s="63">
        <v>0.38493723849372385</v>
      </c>
      <c r="Q93" s="63">
        <v>0.38683127572016462</v>
      </c>
    </row>
    <row r="94" spans="1:17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0.10989010989010989</v>
      </c>
      <c r="M94" s="63">
        <v>0.2326478149100257</v>
      </c>
      <c r="N94" s="63">
        <v>0.30976863753213368</v>
      </c>
      <c r="O94" s="63">
        <v>0.51933701657458564</v>
      </c>
      <c r="P94" s="63">
        <v>0.38174273858921159</v>
      </c>
      <c r="Q94" s="63">
        <v>0.38524590163934425</v>
      </c>
    </row>
    <row r="95" spans="1:17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0.10869565217391304</v>
      </c>
      <c r="M95" s="63">
        <v>0.2340966921119593</v>
      </c>
      <c r="N95" s="63">
        <v>0.30916030534351147</v>
      </c>
      <c r="O95" s="63">
        <v>0.51630434782608692</v>
      </c>
      <c r="P95" s="63">
        <v>0.37860082304526749</v>
      </c>
      <c r="Q95" s="63">
        <v>0.38775510204081631</v>
      </c>
    </row>
    <row r="96" spans="1:17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0.10752688172043011</v>
      </c>
      <c r="M96" s="63">
        <v>0.23707440100882723</v>
      </c>
      <c r="N96" s="63">
        <v>0.30643127364438838</v>
      </c>
      <c r="O96" s="63">
        <v>0.51063829787234039</v>
      </c>
      <c r="P96" s="63">
        <v>0.37860082304526749</v>
      </c>
      <c r="Q96" s="63">
        <v>0.38617886178861788</v>
      </c>
    </row>
    <row r="97" spans="1:17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0.10638297872340426</v>
      </c>
      <c r="M97" s="63">
        <v>0.23654568210262827</v>
      </c>
      <c r="N97" s="63">
        <v>0.30663329161451813</v>
      </c>
      <c r="O97" s="63">
        <v>0.50793650793650791</v>
      </c>
      <c r="P97" s="63">
        <v>0.37551020408163266</v>
      </c>
      <c r="Q97" s="63">
        <v>0.38617886178861788</v>
      </c>
    </row>
    <row r="98" spans="1:17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0.10526315789473684</v>
      </c>
      <c r="M98" s="63">
        <v>0.23449131513647642</v>
      </c>
      <c r="N98" s="63">
        <v>0.30645161290322581</v>
      </c>
      <c r="O98" s="63">
        <v>0.50793650793650791</v>
      </c>
      <c r="P98" s="63">
        <v>0.37651821862348178</v>
      </c>
      <c r="Q98" s="63">
        <v>0.38461538461538464</v>
      </c>
    </row>
    <row r="99" spans="1:17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0.10416666666666667</v>
      </c>
      <c r="M99" s="63">
        <v>0.2343558282208589</v>
      </c>
      <c r="N99" s="63">
        <v>0.30674846625766872</v>
      </c>
      <c r="O99" s="63">
        <v>0.50785340314136129</v>
      </c>
      <c r="P99" s="63">
        <v>0.376</v>
      </c>
      <c r="Q99" s="63">
        <v>0.38554216867469882</v>
      </c>
    </row>
    <row r="100" spans="1:17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0.10309278350515463</v>
      </c>
      <c r="M100" s="63">
        <v>0.2334963325183374</v>
      </c>
      <c r="N100" s="63">
        <v>0.30562347188264061</v>
      </c>
      <c r="O100" s="63">
        <v>0.50785340314136129</v>
      </c>
      <c r="P100" s="63">
        <v>0.376</v>
      </c>
      <c r="Q100" s="63">
        <v>0.38554216867469882</v>
      </c>
    </row>
    <row r="101" spans="1:17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0.10204081632653061</v>
      </c>
      <c r="M101" s="63">
        <v>0.23458282950423218</v>
      </c>
      <c r="N101" s="63">
        <v>0.30350665054413545</v>
      </c>
      <c r="O101" s="63">
        <v>0.51030927835051543</v>
      </c>
      <c r="P101" s="63">
        <v>0.37450199203187251</v>
      </c>
      <c r="Q101" s="63">
        <v>0.38645418326693226</v>
      </c>
    </row>
    <row r="102" spans="1:17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0.10101010101010101</v>
      </c>
      <c r="M102" s="63">
        <v>0.2347305389221557</v>
      </c>
      <c r="N102" s="63">
        <v>0.30419161676646705</v>
      </c>
      <c r="O102" s="63">
        <v>0.51020408163265307</v>
      </c>
      <c r="P102" s="63">
        <v>0.37401574803149606</v>
      </c>
      <c r="Q102" s="63">
        <v>0.38735177865612647</v>
      </c>
    </row>
    <row r="103" spans="1:17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0.1</v>
      </c>
      <c r="M103" s="63">
        <v>0.23515439429928742</v>
      </c>
      <c r="N103" s="63">
        <v>0.30403800475059384</v>
      </c>
      <c r="O103" s="63">
        <v>0.51010101010101006</v>
      </c>
      <c r="P103" s="63">
        <v>0.37109375</v>
      </c>
      <c r="Q103" s="63">
        <v>0.38976377952755903</v>
      </c>
    </row>
    <row r="104" spans="1:17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9.9009900990099015E-2</v>
      </c>
      <c r="M104" s="63">
        <v>0.23349056603773585</v>
      </c>
      <c r="N104" s="63">
        <v>0.30306603773584906</v>
      </c>
      <c r="O104" s="63">
        <v>0.51010101010101006</v>
      </c>
      <c r="P104" s="63">
        <v>0.36964980544747084</v>
      </c>
      <c r="Q104" s="63">
        <v>0.38976377952755903</v>
      </c>
    </row>
    <row r="105" spans="1:17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9.8039215686274508E-2</v>
      </c>
      <c r="M105" s="63">
        <v>0.23481308411214954</v>
      </c>
      <c r="N105" s="63">
        <v>0.30373831775700932</v>
      </c>
      <c r="O105" s="63">
        <v>0.5074626865671642</v>
      </c>
      <c r="P105" s="63">
        <v>0.36923076923076925</v>
      </c>
      <c r="Q105" s="63">
        <v>0.390625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B146A-B0BB-42B1-BF16-5CE984828BE6}">
  <sheetPr codeName="Sheet10"/>
  <dimension ref="A1:Q11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  <row r="100" spans="1:17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0.10309278350515463</v>
      </c>
      <c r="M100" s="63">
        <v>0.27319587628865977</v>
      </c>
      <c r="N100" s="63">
        <v>0.22551546391752578</v>
      </c>
      <c r="O100" s="63">
        <v>0.59433962264150941</v>
      </c>
      <c r="P100" s="63">
        <v>0.48571428571428571</v>
      </c>
      <c r="Q100" s="63">
        <v>0.43129770992366412</v>
      </c>
    </row>
    <row r="101" spans="1:17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0.10204081632653061</v>
      </c>
      <c r="M101" s="63">
        <v>0.27376425855513309</v>
      </c>
      <c r="N101" s="63">
        <v>0.2256020278833967</v>
      </c>
      <c r="O101" s="63">
        <v>0.59259259259259256</v>
      </c>
      <c r="P101" s="63">
        <v>0.47752808988764045</v>
      </c>
      <c r="Q101" s="63">
        <v>0.42803030303030304</v>
      </c>
    </row>
    <row r="102" spans="1:17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0.10101010101010101</v>
      </c>
      <c r="M102" s="63">
        <v>0.27124999999999999</v>
      </c>
      <c r="N102" s="63">
        <v>0.22750000000000001</v>
      </c>
      <c r="O102" s="63">
        <v>0.59447004608294929</v>
      </c>
      <c r="P102" s="63">
        <v>0.47802197802197804</v>
      </c>
      <c r="Q102" s="63">
        <v>0.43122676579925651</v>
      </c>
    </row>
    <row r="103" spans="1:17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0.11</v>
      </c>
      <c r="M103" s="63">
        <v>0.27204968944099378</v>
      </c>
      <c r="N103" s="63">
        <v>0.22608695652173913</v>
      </c>
      <c r="O103" s="63">
        <v>0.59817351598173518</v>
      </c>
      <c r="P103" s="63">
        <v>0.47802197802197804</v>
      </c>
      <c r="Q103" s="63">
        <v>0.43014705882352944</v>
      </c>
    </row>
    <row r="104" spans="1:17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0.10891089108910891</v>
      </c>
      <c r="M104" s="63">
        <v>0.27093596059113301</v>
      </c>
      <c r="N104" s="63">
        <v>0.22536945812807882</v>
      </c>
      <c r="O104" s="63">
        <v>0.6</v>
      </c>
      <c r="P104" s="63">
        <v>0.47540983606557374</v>
      </c>
      <c r="Q104" s="63">
        <v>0.42857142857142855</v>
      </c>
    </row>
    <row r="105" spans="1:17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0.11764705882352941</v>
      </c>
      <c r="M105" s="63">
        <v>0.27317073170731709</v>
      </c>
      <c r="N105" s="63">
        <v>0.22560975609756098</v>
      </c>
      <c r="O105" s="63">
        <v>0.5982142857142857</v>
      </c>
      <c r="P105" s="63">
        <v>0.48108108108108111</v>
      </c>
      <c r="Q105" s="63">
        <v>0.4296028880866426</v>
      </c>
    </row>
    <row r="106" spans="1:17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0.12621359223300971</v>
      </c>
      <c r="M106" s="63">
        <v>0.27360774818401939</v>
      </c>
      <c r="N106" s="63">
        <v>0.22397094430992737</v>
      </c>
      <c r="O106" s="63">
        <v>0.59734513274336287</v>
      </c>
      <c r="P106" s="63">
        <v>0.48108108108108111</v>
      </c>
      <c r="Q106" s="63">
        <v>0.42857142857142855</v>
      </c>
    </row>
    <row r="107" spans="1:17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0.125</v>
      </c>
      <c r="M107" s="63">
        <v>0.27370948379351739</v>
      </c>
      <c r="N107" s="63">
        <v>0.22208883553421369</v>
      </c>
      <c r="O107" s="63">
        <v>0.60087719298245612</v>
      </c>
      <c r="P107" s="63">
        <v>0.48108108108108111</v>
      </c>
      <c r="Q107" s="63">
        <v>0.43109540636042404</v>
      </c>
    </row>
    <row r="108" spans="1:17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0.12380952380952381</v>
      </c>
      <c r="M108" s="63">
        <v>0.27197149643705465</v>
      </c>
      <c r="N108" s="63">
        <v>0.22446555819477435</v>
      </c>
      <c r="O108" s="63">
        <v>0.6026200873362445</v>
      </c>
      <c r="P108" s="63">
        <v>0.47619047619047616</v>
      </c>
      <c r="Q108" s="63">
        <v>0.43508771929824563</v>
      </c>
    </row>
    <row r="109" spans="1:17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0.13207547169811321</v>
      </c>
      <c r="M109" s="63">
        <v>0.2710059171597633</v>
      </c>
      <c r="N109" s="63">
        <v>0.22603550295857988</v>
      </c>
      <c r="O109" s="63">
        <v>0.6026200873362445</v>
      </c>
      <c r="P109" s="63">
        <v>0.48167539267015708</v>
      </c>
      <c r="Q109" s="63">
        <v>0.4375</v>
      </c>
    </row>
    <row r="110" spans="1:17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0.13084112149532709</v>
      </c>
      <c r="M110" s="63">
        <v>0.27166276346604218</v>
      </c>
      <c r="N110" s="63">
        <v>0.22599531615925059</v>
      </c>
      <c r="O110" s="63">
        <v>0.59482758620689657</v>
      </c>
      <c r="P110" s="63">
        <v>0.47668393782383417</v>
      </c>
      <c r="Q110" s="63">
        <v>0.43598615916955019</v>
      </c>
    </row>
    <row r="111" spans="1:17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0.12962962962962962</v>
      </c>
      <c r="M111" s="63">
        <v>0.27030162412993042</v>
      </c>
      <c r="N111" s="63">
        <v>0.22737819025522041</v>
      </c>
      <c r="O111" s="63">
        <v>0.59227467811158796</v>
      </c>
      <c r="P111" s="63">
        <v>0.47959183673469385</v>
      </c>
      <c r="Q111" s="63">
        <v>0.4315068493150685</v>
      </c>
    </row>
    <row r="112" spans="1:17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0.12844036697247707</v>
      </c>
      <c r="M112" s="63">
        <v>0.26812428078250861</v>
      </c>
      <c r="N112" s="63">
        <v>0.22669735327963175</v>
      </c>
      <c r="O112" s="63">
        <v>0.59227467811158796</v>
      </c>
      <c r="P112" s="63">
        <v>0.48223350253807107</v>
      </c>
      <c r="Q112" s="63">
        <v>0.42857142857142855</v>
      </c>
    </row>
    <row r="113" spans="1:17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0.12727272727272726</v>
      </c>
      <c r="M113" s="63">
        <v>0.26583710407239819</v>
      </c>
      <c r="N113" s="63">
        <v>0.2239819004524887</v>
      </c>
      <c r="O113" s="63">
        <v>0.5957446808510638</v>
      </c>
      <c r="P113" s="63">
        <v>0.47979797979797978</v>
      </c>
      <c r="Q113" s="63">
        <v>0.42474916387959866</v>
      </c>
    </row>
    <row r="114" spans="1:17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0.13513513513513514</v>
      </c>
      <c r="M114" s="63">
        <v>0.26629213483146069</v>
      </c>
      <c r="N114" s="63">
        <v>0.2247191011235955</v>
      </c>
      <c r="O114" s="63">
        <v>0.59915611814345993</v>
      </c>
      <c r="P114" s="63">
        <v>0.48499999999999999</v>
      </c>
      <c r="Q114" s="63">
        <v>0.43092105263157893</v>
      </c>
    </row>
    <row r="115" spans="1:17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0.13392857142857142</v>
      </c>
      <c r="M115" s="63">
        <v>0.267260579064588</v>
      </c>
      <c r="N115" s="63">
        <v>0.22494432071269488</v>
      </c>
      <c r="O115" s="63">
        <v>0.60416666666666663</v>
      </c>
      <c r="P115" s="63">
        <v>0.48514851485148514</v>
      </c>
      <c r="Q115" s="63">
        <v>0.42857142857142855</v>
      </c>
    </row>
    <row r="116" spans="1:17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0.13274336283185842</v>
      </c>
      <c r="M116" s="63">
        <v>0.26783754116355651</v>
      </c>
      <c r="N116" s="63">
        <v>0.2239297475301866</v>
      </c>
      <c r="O116" s="63">
        <v>0.60655737704918034</v>
      </c>
      <c r="P116" s="63">
        <v>0.48529411764705882</v>
      </c>
      <c r="Q116" s="63">
        <v>0.43130990415335463</v>
      </c>
    </row>
    <row r="117" spans="1:17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0.13157894736842105</v>
      </c>
      <c r="M117" s="63">
        <v>0.27056277056277056</v>
      </c>
      <c r="N117" s="63">
        <v>0.22294372294372294</v>
      </c>
      <c r="O117" s="63">
        <v>0.60399999999999998</v>
      </c>
      <c r="P117" s="63">
        <v>0.4854368932038835</v>
      </c>
      <c r="Q117" s="63">
        <v>0.4308176100628931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80268-1D4D-45D2-BB64-9EA72EED5712}">
  <sheetPr codeName="Sheet8"/>
  <dimension ref="A1:Q5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  <row r="48" spans="1:17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4.4444444444444446E-2</v>
      </c>
      <c r="M48" s="63">
        <v>0.15404040404040403</v>
      </c>
      <c r="N48" s="63">
        <v>0.23484848484848486</v>
      </c>
      <c r="O48" s="63">
        <v>0.50819672131147542</v>
      </c>
      <c r="P48" s="63">
        <v>0.36559139784946237</v>
      </c>
      <c r="Q48" s="63">
        <v>0.42990654205607476</v>
      </c>
    </row>
    <row r="49" spans="1:17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4.3478260869565216E-2</v>
      </c>
      <c r="M49" s="63">
        <v>0.15211970074812967</v>
      </c>
      <c r="N49" s="63">
        <v>0.23441396508728179</v>
      </c>
      <c r="O49" s="63">
        <v>0.50819672131147542</v>
      </c>
      <c r="P49" s="63">
        <v>0.36170212765957449</v>
      </c>
      <c r="Q49" s="63">
        <v>0.42990654205607476</v>
      </c>
    </row>
    <row r="50" spans="1:17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4.2553191489361701E-2</v>
      </c>
      <c r="M50" s="63">
        <v>0.15217391304347827</v>
      </c>
      <c r="N50" s="63">
        <v>0.23429951690821257</v>
      </c>
      <c r="O50" s="63">
        <v>0.49206349206349204</v>
      </c>
      <c r="P50" s="63">
        <v>0.37113402061855671</v>
      </c>
      <c r="Q50" s="63">
        <v>0.42727272727272725</v>
      </c>
    </row>
    <row r="51" spans="1:17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4.1666666666666664E-2</v>
      </c>
      <c r="M51" s="63">
        <v>0.14719626168224298</v>
      </c>
      <c r="N51" s="63">
        <v>0.23831775700934579</v>
      </c>
      <c r="O51" s="63">
        <v>0.49206349206349204</v>
      </c>
      <c r="P51" s="63">
        <v>0.37254901960784315</v>
      </c>
      <c r="Q51" s="63">
        <v>0.41228070175438597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88D3-402F-4988-9232-20C012E418A8}">
  <sheetPr codeName="Sheet6"/>
  <dimension ref="A1:Q18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  <row r="163" spans="1:17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9.166666666666666E-2</v>
      </c>
      <c r="M163" s="63">
        <v>0.2508825012607161</v>
      </c>
      <c r="N163" s="63">
        <v>0.23096318709026728</v>
      </c>
      <c r="O163" s="63">
        <v>0.56381909547738696</v>
      </c>
      <c r="P163" s="63">
        <v>0.40938864628820959</v>
      </c>
      <c r="Q163" s="63">
        <v>0.43701799485861181</v>
      </c>
    </row>
    <row r="164" spans="1:17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9.1097308488612833E-2</v>
      </c>
      <c r="M164" s="63">
        <v>0.250499001996008</v>
      </c>
      <c r="N164" s="63">
        <v>0.23203592814371257</v>
      </c>
      <c r="O164" s="63">
        <v>0.5627490039840638</v>
      </c>
      <c r="P164" s="63">
        <v>0.41182795698924729</v>
      </c>
      <c r="Q164" s="63">
        <v>0.43728813559322033</v>
      </c>
    </row>
    <row r="165" spans="1:17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9.2592592592592587E-2</v>
      </c>
      <c r="M165" s="63">
        <v>0.25062096373571785</v>
      </c>
      <c r="N165" s="63">
        <v>0.23174366616989567</v>
      </c>
      <c r="O165" s="63">
        <v>0.56293359762140738</v>
      </c>
      <c r="P165" s="63">
        <v>0.41264737406216506</v>
      </c>
      <c r="Q165" s="63">
        <v>0.43844856661045534</v>
      </c>
    </row>
    <row r="166" spans="1:17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9.202453987730061E-2</v>
      </c>
      <c r="M166" s="63">
        <v>0.25116851168511684</v>
      </c>
      <c r="N166" s="63">
        <v>0.23345633456334564</v>
      </c>
      <c r="O166" s="63">
        <v>0.56023506366307541</v>
      </c>
      <c r="P166" s="63">
        <v>0.41095890410958902</v>
      </c>
      <c r="Q166" s="63">
        <v>0.43943191311612362</v>
      </c>
    </row>
    <row r="167" spans="1:17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9.1463414634146339E-2</v>
      </c>
      <c r="M167" s="63">
        <v>0.25085407515861396</v>
      </c>
      <c r="N167" s="63">
        <v>0.23352855051244509</v>
      </c>
      <c r="O167" s="63">
        <v>0.55933852140077822</v>
      </c>
      <c r="P167" s="63">
        <v>0.41065830721003133</v>
      </c>
      <c r="Q167" s="63">
        <v>0.43993371996685998</v>
      </c>
    </row>
    <row r="168" spans="1:17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9.2929292929292931E-2</v>
      </c>
      <c r="M168" s="63">
        <v>0.25066861171893995</v>
      </c>
      <c r="N168" s="63">
        <v>0.23340627279358134</v>
      </c>
      <c r="O168" s="63">
        <v>0.56062075654704169</v>
      </c>
      <c r="P168" s="63">
        <v>0.41041666666666665</v>
      </c>
      <c r="Q168" s="63">
        <v>0.43976897689768979</v>
      </c>
    </row>
    <row r="169" spans="1:17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9.2369477911646583E-2</v>
      </c>
      <c r="M169" s="63">
        <v>0.25108853410740201</v>
      </c>
      <c r="N169" s="63">
        <v>0.2331881954523464</v>
      </c>
      <c r="O169" s="63">
        <v>0.56165703275529866</v>
      </c>
      <c r="P169" s="63">
        <v>0.40975103734439833</v>
      </c>
      <c r="Q169" s="63">
        <v>0.43888433141919608</v>
      </c>
    </row>
    <row r="170" spans="1:17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9.3812375249500993E-2</v>
      </c>
      <c r="M170" s="63">
        <v>0.25156325156325154</v>
      </c>
      <c r="N170" s="63">
        <v>0.23328523328523329</v>
      </c>
      <c r="O170" s="63">
        <v>0.56118546845124284</v>
      </c>
      <c r="P170" s="63">
        <v>0.41030927835051545</v>
      </c>
      <c r="Q170" s="63">
        <v>0.43964110929853178</v>
      </c>
    </row>
    <row r="171" spans="1:17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9.3253968253968256E-2</v>
      </c>
      <c r="M171" s="63">
        <v>0.25269203158650394</v>
      </c>
      <c r="N171" s="63">
        <v>0.23211294568078489</v>
      </c>
      <c r="O171" s="63">
        <v>0.56060606060606055</v>
      </c>
      <c r="P171" s="63">
        <v>0.41030927835051545</v>
      </c>
      <c r="Q171" s="63">
        <v>0.43831168831168832</v>
      </c>
    </row>
    <row r="172" spans="1:17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9.4674556213017749E-2</v>
      </c>
      <c r="M172" s="63">
        <v>0.2527996187753157</v>
      </c>
      <c r="N172" s="63">
        <v>0.2315939957112223</v>
      </c>
      <c r="O172" s="63">
        <v>0.56079170593779448</v>
      </c>
      <c r="P172" s="63">
        <v>0.40946502057613171</v>
      </c>
      <c r="Q172" s="63">
        <v>0.43734842360549719</v>
      </c>
    </row>
    <row r="173" spans="1:17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9.4117647058823528E-2</v>
      </c>
      <c r="M173" s="63">
        <v>0.25248933143669988</v>
      </c>
      <c r="N173" s="63">
        <v>0.23138928402086298</v>
      </c>
      <c r="O173" s="63">
        <v>0.56056338028169017</v>
      </c>
      <c r="P173" s="63">
        <v>0.4098360655737705</v>
      </c>
      <c r="Q173" s="63">
        <v>0.43845534995977475</v>
      </c>
    </row>
    <row r="174" spans="1:17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9.3567251461988299E-2</v>
      </c>
      <c r="M174" s="63">
        <v>0.25276796230859833</v>
      </c>
      <c r="N174" s="63">
        <v>0.23180212014134274</v>
      </c>
      <c r="O174" s="63">
        <v>0.5601118359739049</v>
      </c>
      <c r="P174" s="63">
        <v>0.40955284552845528</v>
      </c>
      <c r="Q174" s="63">
        <v>0.43919999999999998</v>
      </c>
    </row>
    <row r="175" spans="1:17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9.4961240310077522E-2</v>
      </c>
      <c r="M175" s="63">
        <v>0.25246826516220028</v>
      </c>
      <c r="N175" s="63">
        <v>0.23178185237423601</v>
      </c>
      <c r="O175" s="63">
        <v>0.55959031657355685</v>
      </c>
      <c r="P175" s="63">
        <v>0.41075050709939148</v>
      </c>
      <c r="Q175" s="63">
        <v>0.43974461292897049</v>
      </c>
    </row>
    <row r="176" spans="1:17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9.4412331406551059E-2</v>
      </c>
      <c r="M176" s="63">
        <v>0.25367904695164684</v>
      </c>
      <c r="N176" s="63">
        <v>0.23125437981779959</v>
      </c>
      <c r="O176" s="63">
        <v>0.55801104972375692</v>
      </c>
      <c r="P176" s="63">
        <v>0.40909090909090912</v>
      </c>
      <c r="Q176" s="63">
        <v>0.43968253968253967</v>
      </c>
    </row>
    <row r="177" spans="1:17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9.3869731800766285E-2</v>
      </c>
      <c r="M177" s="63">
        <v>0.25342624854819978</v>
      </c>
      <c r="N177" s="63">
        <v>0.23135888501742161</v>
      </c>
      <c r="O177" s="63">
        <v>0.55728689275893672</v>
      </c>
      <c r="P177" s="63">
        <v>0.40963855421686746</v>
      </c>
      <c r="Q177" s="63">
        <v>0.43883188634569847</v>
      </c>
    </row>
    <row r="178" spans="1:17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9.3333333333333338E-2</v>
      </c>
      <c r="M178" s="63">
        <v>0.25358298659269535</v>
      </c>
      <c r="N178" s="63">
        <v>0.23116042533518261</v>
      </c>
      <c r="O178" s="63">
        <v>0.55788514129443934</v>
      </c>
      <c r="P178" s="63">
        <v>0.40899999999999997</v>
      </c>
      <c r="Q178" s="63">
        <v>0.43833464257659072</v>
      </c>
    </row>
    <row r="179" spans="1:17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9.4696969696969696E-2</v>
      </c>
      <c r="M179" s="63">
        <v>0.25371768474033402</v>
      </c>
      <c r="N179" s="63">
        <v>0.23038206360100663</v>
      </c>
      <c r="O179" s="63">
        <v>0.55816050495942293</v>
      </c>
      <c r="P179" s="63">
        <v>0.40615690168818275</v>
      </c>
      <c r="Q179" s="63">
        <v>0.43779160186625193</v>
      </c>
    </row>
    <row r="180" spans="1:17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9.6045197740112997E-2</v>
      </c>
      <c r="M180" s="63">
        <v>0.25313283208020049</v>
      </c>
      <c r="N180" s="63">
        <v>0.23034859876965141</v>
      </c>
      <c r="O180" s="63">
        <v>0.55895589558955894</v>
      </c>
      <c r="P180" s="63">
        <v>0.40652818991097922</v>
      </c>
      <c r="Q180" s="63">
        <v>0.4388544891640867</v>
      </c>
    </row>
    <row r="181" spans="1:17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9.5505617977528087E-2</v>
      </c>
      <c r="M181" s="63">
        <v>0.25334239746204396</v>
      </c>
      <c r="N181" s="63">
        <v>0.23068207568547475</v>
      </c>
      <c r="O181" s="63">
        <v>0.55992844364937389</v>
      </c>
      <c r="P181" s="63">
        <v>0.40667976424361491</v>
      </c>
      <c r="Q181" s="63">
        <v>0.43923076923076926</v>
      </c>
    </row>
    <row r="182" spans="1:17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9.4972067039106142E-2</v>
      </c>
      <c r="M182" s="63">
        <v>0.25359389038634322</v>
      </c>
      <c r="N182" s="63">
        <v>0.2302336028751123</v>
      </c>
      <c r="O182" s="63">
        <v>0.55978742249778568</v>
      </c>
      <c r="P182" s="63">
        <v>0.40780487804878046</v>
      </c>
      <c r="Q182" s="63">
        <v>0.43902439024390244</v>
      </c>
    </row>
    <row r="183" spans="1:17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9.6296296296296297E-2</v>
      </c>
      <c r="M183" s="63">
        <v>0.25517702070808285</v>
      </c>
      <c r="N183" s="63">
        <v>0.2293475840570029</v>
      </c>
      <c r="O183" s="63">
        <v>0.56020942408376961</v>
      </c>
      <c r="P183" s="63">
        <v>0.40679611650485437</v>
      </c>
      <c r="Q183" s="63">
        <v>0.43849056603773584</v>
      </c>
    </row>
    <row r="184" spans="1:17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9.5764272559852676E-2</v>
      </c>
      <c r="M184" s="63">
        <v>0.25413633355393778</v>
      </c>
      <c r="N184" s="63">
        <v>0.22964923891462607</v>
      </c>
      <c r="O184" s="63">
        <v>0.55902777777777779</v>
      </c>
      <c r="P184" s="63">
        <v>0.40922190201729108</v>
      </c>
      <c r="Q184" s="63">
        <v>0.43787425149700598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2019-11-11T15:40:01Z</dcterms:modified>
</cp:coreProperties>
</file>