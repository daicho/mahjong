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CE199D7-2454-4100-BF3F-2D246D7B7144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287" r:id="rId6"/>
    <sheet name="たかの" sheetId="6289" r:id="rId7"/>
    <sheet name="だいち" sheetId="6291" r:id="rId8"/>
    <sheet name="ただ" sheetId="6293" r:id="rId9"/>
    <sheet name="りくと" sheetId="6295" r:id="rId10"/>
    <sheet name="れんたろう" sheetId="6297" r:id="rId11"/>
    <sheet name="まっつん" sheetId="6299" r:id="rId12"/>
    <sheet name="のり" sheetId="6301" r:id="rId13"/>
    <sheet name="ぱぱ" sheetId="6303" r:id="rId14"/>
    <sheet name="ほたに" sheetId="6305" r:id="rId15"/>
    <sheet name="いっしー" sheetId="6307" r:id="rId16"/>
    <sheet name="ともき" sheetId="6309" r:id="rId17"/>
    <sheet name="たか" sheetId="6311" r:id="rId18"/>
    <sheet name="ゆう" sheetId="6313" r:id="rId19"/>
    <sheet name="ゆう2" sheetId="6314" state="hidden" r:id="rId20"/>
    <sheet name="たか2" sheetId="6312" state="hidden" r:id="rId21"/>
    <sheet name="ともき2" sheetId="6310" state="hidden" r:id="rId22"/>
    <sheet name="いっしー2" sheetId="6308" state="hidden" r:id="rId23"/>
    <sheet name="ほたに2" sheetId="6306" state="hidden" r:id="rId24"/>
    <sheet name="ぱぱ2" sheetId="6304" state="hidden" r:id="rId25"/>
    <sheet name="のり2" sheetId="6302" state="hidden" r:id="rId26"/>
    <sheet name="まっつん2" sheetId="6300" state="hidden" r:id="rId27"/>
    <sheet name="れんたろう2" sheetId="6298" state="hidden" r:id="rId28"/>
    <sheet name="りくと2" sheetId="6296" state="hidden" r:id="rId29"/>
    <sheet name="ただ2" sheetId="6294" state="hidden" r:id="rId30"/>
    <sheet name="だいち2" sheetId="6292" state="hidden" r:id="rId31"/>
    <sheet name="たかの2" sheetId="6290" state="hidden" r:id="rId32"/>
    <sheet name="全体2" sheetId="6288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299" l="1"/>
  <c r="O16" i="6309"/>
  <c r="O16" i="6311" l="1"/>
  <c r="O23" i="6289"/>
  <c r="O20" i="6299" l="1"/>
  <c r="O16" i="6313"/>
  <c r="O18" i="6311"/>
  <c r="O15" i="6289" l="1"/>
  <c r="O22" i="6309"/>
  <c r="O19" i="6311" l="1"/>
  <c r="O15" i="6313"/>
  <c r="O17" i="6313"/>
  <c r="H34" i="6313"/>
  <c r="C30" i="6313"/>
  <c r="H12" i="6313"/>
  <c r="B25" i="6313"/>
  <c r="C19" i="6313"/>
  <c r="C16" i="6313"/>
  <c r="B15" i="6313"/>
  <c r="H50" i="6313" s="1"/>
  <c r="H18" i="6313"/>
  <c r="B14" i="6313"/>
  <c r="B24" i="6313" s="1"/>
  <c r="B13" i="6313"/>
  <c r="C13" i="6313" s="1"/>
  <c r="O12" i="6313"/>
  <c r="C12" i="6313"/>
  <c r="O11" i="6313"/>
  <c r="C11" i="6313"/>
  <c r="O10" i="6313"/>
  <c r="C10" i="6313"/>
  <c r="C9" i="6313"/>
  <c r="H13" i="6313"/>
  <c r="C8" i="6313"/>
  <c r="O7" i="6313"/>
  <c r="C7" i="6313"/>
  <c r="O6" i="6313"/>
  <c r="B6" i="6313"/>
  <c r="O5" i="6313"/>
  <c r="B5" i="6313"/>
  <c r="O4" i="6313"/>
  <c r="O3" i="6313"/>
  <c r="O2" i="6313"/>
  <c r="O16" i="6301"/>
  <c r="O15" i="6311"/>
  <c r="O17" i="6311"/>
  <c r="C30" i="6311"/>
  <c r="B25" i="6311"/>
  <c r="C16" i="6311"/>
  <c r="B15" i="6311"/>
  <c r="H52" i="6311" s="1"/>
  <c r="B14" i="6311"/>
  <c r="B24" i="6311" s="1"/>
  <c r="B13" i="6311"/>
  <c r="C13" i="6311" s="1"/>
  <c r="O12" i="6311"/>
  <c r="C12" i="6311"/>
  <c r="O11" i="6311"/>
  <c r="C11" i="6311"/>
  <c r="O10" i="6311"/>
  <c r="C10" i="6311"/>
  <c r="C9" i="6311"/>
  <c r="C8" i="6311"/>
  <c r="O7" i="6311"/>
  <c r="C7" i="6311"/>
  <c r="O6" i="6311"/>
  <c r="B6" i="6311"/>
  <c r="O5" i="6311"/>
  <c r="B5" i="6311"/>
  <c r="O4" i="6311"/>
  <c r="O3" i="6311"/>
  <c r="O2" i="6311"/>
  <c r="O15" i="6287"/>
  <c r="H2" i="6313" l="1"/>
  <c r="C14" i="6311"/>
  <c r="C14" i="6313"/>
  <c r="H39" i="6313"/>
  <c r="C44" i="6313"/>
  <c r="H47" i="6313"/>
  <c r="H40" i="6313"/>
  <c r="H16" i="6313"/>
  <c r="H29" i="6313"/>
  <c r="C21" i="6313"/>
  <c r="H41" i="6313"/>
  <c r="H48" i="6313"/>
  <c r="H28" i="6313"/>
  <c r="H10" i="6313"/>
  <c r="H42" i="6313"/>
  <c r="H6" i="6313"/>
  <c r="C20" i="6313"/>
  <c r="H35" i="6313"/>
  <c r="H30" i="6313"/>
  <c r="H3" i="6313"/>
  <c r="H8" i="6313"/>
  <c r="H24" i="6313"/>
  <c r="C36" i="6313"/>
  <c r="H7" i="6313"/>
  <c r="C17" i="6313"/>
  <c r="B22" i="6313"/>
  <c r="H32" i="6313"/>
  <c r="H37" i="6313"/>
  <c r="C42" i="6313"/>
  <c r="H51" i="6313"/>
  <c r="H22" i="6313"/>
  <c r="H45" i="6313"/>
  <c r="H14" i="6313"/>
  <c r="H36" i="6313"/>
  <c r="H20" i="6313"/>
  <c r="H26" i="6313"/>
  <c r="C32" i="6313"/>
  <c r="H38" i="6313"/>
  <c r="H43" i="6313"/>
  <c r="H4" i="6313"/>
  <c r="C34" i="6313"/>
  <c r="C15" i="6313"/>
  <c r="C40" i="6313"/>
  <c r="H19" i="6313"/>
  <c r="H49" i="6313"/>
  <c r="H11" i="6313"/>
  <c r="H15" i="6313"/>
  <c r="C18" i="6313"/>
  <c r="H33" i="6313"/>
  <c r="C38" i="6313"/>
  <c r="H44" i="6313"/>
  <c r="H52" i="6313"/>
  <c r="H21" i="6313"/>
  <c r="H25" i="6313"/>
  <c r="H9" i="6313"/>
  <c r="C33" i="6313"/>
  <c r="C37" i="6313"/>
  <c r="C41" i="6313"/>
  <c r="H46" i="6313"/>
  <c r="B23" i="6313"/>
  <c r="H17" i="6313"/>
  <c r="H5" i="6313"/>
  <c r="H23" i="6313"/>
  <c r="H27" i="6313"/>
  <c r="H31" i="6313"/>
  <c r="C35" i="6313"/>
  <c r="C39" i="6313"/>
  <c r="C43" i="6313"/>
  <c r="H15" i="6311"/>
  <c r="C15" i="6311"/>
  <c r="H4" i="6311"/>
  <c r="H16" i="6311"/>
  <c r="H11" i="6311"/>
  <c r="H6" i="6311"/>
  <c r="C19" i="6311"/>
  <c r="B23" i="6311"/>
  <c r="H9" i="6311"/>
  <c r="H30" i="6311"/>
  <c r="H22" i="6311"/>
  <c r="H25" i="6311"/>
  <c r="H13" i="6311"/>
  <c r="C33" i="6311"/>
  <c r="C37" i="6311"/>
  <c r="C41" i="6311"/>
  <c r="H46" i="6311"/>
  <c r="H34" i="6311"/>
  <c r="H38" i="6311"/>
  <c r="H42" i="6311"/>
  <c r="H47" i="6311"/>
  <c r="H2" i="6311"/>
  <c r="H8" i="6311"/>
  <c r="H19" i="6311"/>
  <c r="H12" i="6311"/>
  <c r="H26" i="6311"/>
  <c r="H14" i="6311"/>
  <c r="C34" i="6311"/>
  <c r="C38" i="6311"/>
  <c r="C42" i="6311"/>
  <c r="H48" i="6311"/>
  <c r="H7" i="6311"/>
  <c r="C20" i="6311"/>
  <c r="H35" i="6311"/>
  <c r="H39" i="6311"/>
  <c r="H43" i="6311"/>
  <c r="H49" i="6311"/>
  <c r="H17" i="6311"/>
  <c r="H20" i="6311"/>
  <c r="H23" i="6311"/>
  <c r="H27" i="6311"/>
  <c r="H31" i="6311"/>
  <c r="C35" i="6311"/>
  <c r="C39" i="6311"/>
  <c r="C43" i="6311"/>
  <c r="H50" i="6311"/>
  <c r="C17" i="6311"/>
  <c r="C21" i="6311"/>
  <c r="H32" i="6311"/>
  <c r="H36" i="6311"/>
  <c r="H40" i="6311"/>
  <c r="H44" i="6311"/>
  <c r="H51" i="6311"/>
  <c r="H3" i="6311"/>
  <c r="H10" i="6311"/>
  <c r="H21" i="6311"/>
  <c r="H24" i="6311"/>
  <c r="H28" i="6311"/>
  <c r="C32" i="6311"/>
  <c r="C36" i="6311"/>
  <c r="C40" i="6311"/>
  <c r="C44" i="6311"/>
  <c r="H5" i="6311"/>
  <c r="H18" i="6311"/>
  <c r="C18" i="6311"/>
  <c r="B22" i="6311"/>
  <c r="H29" i="6311"/>
  <c r="H33" i="6311"/>
  <c r="H37" i="6311"/>
  <c r="H41" i="6311"/>
  <c r="H45" i="6311"/>
  <c r="O21" i="6309" l="1"/>
  <c r="O16" i="6291"/>
  <c r="O22" i="6293" l="1"/>
  <c r="O18" i="6309"/>
  <c r="O20" i="6309"/>
  <c r="O22" i="6295"/>
  <c r="O23" i="6303" l="1"/>
  <c r="O15" i="6309"/>
  <c r="O23" i="6297" l="1"/>
  <c r="O19" i="6309"/>
  <c r="O17" i="6309"/>
  <c r="C30" i="6309"/>
  <c r="B25" i="6309"/>
  <c r="C16" i="6309"/>
  <c r="B15" i="6309"/>
  <c r="H48" i="6309" s="1"/>
  <c r="C14" i="6309"/>
  <c r="B14" i="6309"/>
  <c r="B24" i="6309" s="1"/>
  <c r="B13" i="6309"/>
  <c r="C13" i="6309" s="1"/>
  <c r="O12" i="6309"/>
  <c r="C12" i="6309"/>
  <c r="O11" i="6309"/>
  <c r="C11" i="6309"/>
  <c r="O10" i="6309"/>
  <c r="C10" i="6309"/>
  <c r="C9" i="6309"/>
  <c r="C8" i="6309"/>
  <c r="O7" i="6309"/>
  <c r="C7" i="6309"/>
  <c r="O6" i="6309"/>
  <c r="B6" i="6309"/>
  <c r="O5" i="6309"/>
  <c r="B5" i="6309"/>
  <c r="O4" i="6309"/>
  <c r="O3" i="6309"/>
  <c r="O2" i="6309"/>
  <c r="O18" i="6301"/>
  <c r="O24" i="6287"/>
  <c r="H18" i="6309" l="1"/>
  <c r="H9" i="6309"/>
  <c r="H8" i="6309"/>
  <c r="C21" i="6309"/>
  <c r="H20" i="6309"/>
  <c r="H16" i="6309"/>
  <c r="H35" i="6309"/>
  <c r="H37" i="6309"/>
  <c r="C35" i="6309"/>
  <c r="H36" i="6309"/>
  <c r="C18" i="6309"/>
  <c r="H15" i="6309"/>
  <c r="C20" i="6309"/>
  <c r="H41" i="6309"/>
  <c r="H44" i="6309"/>
  <c r="H27" i="6309"/>
  <c r="H43" i="6309"/>
  <c r="H28" i="6309"/>
  <c r="C17" i="6309"/>
  <c r="C44" i="6309"/>
  <c r="C15" i="6309"/>
  <c r="H49" i="6309"/>
  <c r="H39" i="6309"/>
  <c r="H45" i="6309"/>
  <c r="H6" i="6309"/>
  <c r="H10" i="6309"/>
  <c r="H12" i="6309"/>
  <c r="H32" i="6309"/>
  <c r="C39" i="6309"/>
  <c r="C32" i="6309"/>
  <c r="H40" i="6309"/>
  <c r="H50" i="6309"/>
  <c r="H31" i="6309"/>
  <c r="B22" i="6309"/>
  <c r="H2" i="6309"/>
  <c r="H22" i="6309"/>
  <c r="H17" i="6309"/>
  <c r="H33" i="6309"/>
  <c r="C40" i="6309"/>
  <c r="H7" i="6309"/>
  <c r="H51" i="6309"/>
  <c r="H25" i="6309"/>
  <c r="C36" i="6309"/>
  <c r="C43" i="6309"/>
  <c r="H52" i="6309"/>
  <c r="H5" i="6309"/>
  <c r="H14" i="6309"/>
  <c r="H19" i="6309"/>
  <c r="H23" i="6309"/>
  <c r="H26" i="6309"/>
  <c r="C33" i="6309"/>
  <c r="C41" i="6309"/>
  <c r="C19" i="6309"/>
  <c r="B23" i="6309"/>
  <c r="H29" i="6309"/>
  <c r="H34" i="6309"/>
  <c r="H38" i="6309"/>
  <c r="H42" i="6309"/>
  <c r="H47" i="6309"/>
  <c r="H11" i="6309"/>
  <c r="C37" i="6309"/>
  <c r="H46" i="6309"/>
  <c r="H3" i="6309"/>
  <c r="H4" i="6309"/>
  <c r="H21" i="6309"/>
  <c r="H24" i="6309"/>
  <c r="H13" i="6309"/>
  <c r="H30" i="6309"/>
  <c r="C34" i="6309"/>
  <c r="C38" i="6309"/>
  <c r="C42" i="6309"/>
  <c r="O16" i="6299" l="1"/>
  <c r="O17" i="6307"/>
  <c r="O23" i="6291"/>
  <c r="O16" i="6307"/>
  <c r="O15" i="6307"/>
  <c r="C30" i="6307"/>
  <c r="B25" i="6307"/>
  <c r="C16" i="6307"/>
  <c r="B15" i="6307"/>
  <c r="H11" i="6307" s="1"/>
  <c r="B14" i="6307"/>
  <c r="B24" i="6307" s="1"/>
  <c r="B13" i="6307"/>
  <c r="C13" i="6307" s="1"/>
  <c r="O12" i="6307"/>
  <c r="C12" i="6307"/>
  <c r="O11" i="6307"/>
  <c r="C11" i="6307"/>
  <c r="O10" i="6307"/>
  <c r="C10" i="6307"/>
  <c r="C9" i="6307"/>
  <c r="C8" i="6307"/>
  <c r="O7" i="6307"/>
  <c r="C7" i="6307"/>
  <c r="O6" i="6307"/>
  <c r="B6" i="6307"/>
  <c r="O5" i="6307"/>
  <c r="B5" i="6307"/>
  <c r="O4" i="6307"/>
  <c r="O3" i="6307"/>
  <c r="O2" i="6307"/>
  <c r="O21" i="6301"/>
  <c r="O26" i="6287"/>
  <c r="H14" i="6307" l="1"/>
  <c r="H34" i="6307"/>
  <c r="C19" i="6307"/>
  <c r="H3" i="6307"/>
  <c r="B22" i="6307"/>
  <c r="H17" i="6307"/>
  <c r="H37" i="6307"/>
  <c r="C14" i="6307"/>
  <c r="H38" i="6307"/>
  <c r="B23" i="6307"/>
  <c r="H45" i="6307"/>
  <c r="H4" i="6307"/>
  <c r="H15" i="6307"/>
  <c r="C15" i="6307"/>
  <c r="H28" i="6307"/>
  <c r="H42" i="6307"/>
  <c r="C17" i="6307"/>
  <c r="H47" i="6307"/>
  <c r="H41" i="6307"/>
  <c r="H10" i="6307"/>
  <c r="H29" i="6307"/>
  <c r="H12" i="6307"/>
  <c r="H7" i="6307"/>
  <c r="C18" i="6307"/>
  <c r="H33" i="6307"/>
  <c r="H52" i="6307"/>
  <c r="H21" i="6307"/>
  <c r="H24" i="6307"/>
  <c r="H5" i="6307"/>
  <c r="C33" i="6307"/>
  <c r="C37" i="6307"/>
  <c r="C41" i="6307"/>
  <c r="H46" i="6307"/>
  <c r="H2" i="6307"/>
  <c r="H22" i="6307"/>
  <c r="H30" i="6307"/>
  <c r="C42" i="6307"/>
  <c r="H13" i="6307"/>
  <c r="C20" i="6307"/>
  <c r="H35" i="6307"/>
  <c r="H39" i="6307"/>
  <c r="H43" i="6307"/>
  <c r="H49" i="6307"/>
  <c r="H18" i="6307"/>
  <c r="H25" i="6307"/>
  <c r="C34" i="6307"/>
  <c r="C38" i="6307"/>
  <c r="H48" i="6307"/>
  <c r="H16" i="6307"/>
  <c r="H19" i="6307"/>
  <c r="H23" i="6307"/>
  <c r="H26" i="6307"/>
  <c r="H31" i="6307"/>
  <c r="C35" i="6307"/>
  <c r="C39" i="6307"/>
  <c r="C43" i="6307"/>
  <c r="H50" i="6307"/>
  <c r="C21" i="6307"/>
  <c r="H32" i="6307"/>
  <c r="H36" i="6307"/>
  <c r="H40" i="6307"/>
  <c r="H44" i="6307"/>
  <c r="H51" i="6307"/>
  <c r="H6" i="6307"/>
  <c r="H9" i="6307"/>
  <c r="H20" i="6307"/>
  <c r="H8" i="6307"/>
  <c r="H27" i="6307"/>
  <c r="C32" i="6307"/>
  <c r="C36" i="6307"/>
  <c r="C40" i="6307"/>
  <c r="C44" i="6307"/>
  <c r="O22" i="6289" l="1"/>
  <c r="O16" i="6297"/>
  <c r="O15" i="6297" l="1"/>
  <c r="O19" i="6305"/>
  <c r="O15" i="6295" l="1"/>
  <c r="O22" i="6301"/>
  <c r="O16" i="6305" l="1"/>
  <c r="O23" i="6295"/>
  <c r="O21" i="6289" l="1"/>
  <c r="O17" i="6291"/>
  <c r="O15" i="6301"/>
  <c r="O23" i="6301"/>
  <c r="O19" i="6299" l="1"/>
  <c r="O18" i="6303"/>
  <c r="O17" i="6293" l="1"/>
  <c r="O17" i="6299"/>
  <c r="O19" i="6301"/>
  <c r="O20" i="6301"/>
  <c r="O16" i="6289" l="1"/>
  <c r="O17" i="6303"/>
  <c r="O19" i="6303"/>
  <c r="O18" i="6295"/>
  <c r="O20" i="6293" l="1"/>
  <c r="O20" i="6297"/>
  <c r="O19" i="6297" l="1"/>
  <c r="O22" i="6291"/>
  <c r="O25" i="6301"/>
  <c r="O17" i="6305"/>
  <c r="O15" i="6305"/>
  <c r="O21" i="6303"/>
  <c r="O15" i="6293" l="1"/>
  <c r="O21" i="6293"/>
  <c r="O18" i="6305"/>
  <c r="O20" i="6305"/>
  <c r="C30" i="6305"/>
  <c r="B25" i="6305"/>
  <c r="C16" i="6305"/>
  <c r="B15" i="6305"/>
  <c r="H48" i="6305" s="1"/>
  <c r="B14" i="6305"/>
  <c r="B24" i="6305" s="1"/>
  <c r="B13" i="6305"/>
  <c r="C13" i="6305" s="1"/>
  <c r="O12" i="6305"/>
  <c r="C12" i="6305"/>
  <c r="O11" i="6305"/>
  <c r="C11" i="6305"/>
  <c r="O10" i="6305"/>
  <c r="C10" i="6305"/>
  <c r="C9" i="6305"/>
  <c r="C8" i="6305"/>
  <c r="O7" i="6305"/>
  <c r="C7" i="6305"/>
  <c r="O6" i="6305"/>
  <c r="B6" i="6305"/>
  <c r="O5" i="6305"/>
  <c r="B5" i="6305"/>
  <c r="O4" i="6305"/>
  <c r="O3" i="6305"/>
  <c r="O2" i="6305"/>
  <c r="O21" i="6299"/>
  <c r="O15" i="6299"/>
  <c r="O16" i="6287"/>
  <c r="C14" i="6305" l="1"/>
  <c r="C20" i="6305"/>
  <c r="C44" i="6305"/>
  <c r="H8" i="6305"/>
  <c r="H17" i="6305"/>
  <c r="H34" i="6305"/>
  <c r="H24" i="6305"/>
  <c r="H35" i="6305"/>
  <c r="H40" i="6305"/>
  <c r="H2" i="6305"/>
  <c r="C21" i="6305"/>
  <c r="C40" i="6305"/>
  <c r="H10" i="6305"/>
  <c r="H21" i="6305"/>
  <c r="H14" i="6305"/>
  <c r="H36" i="6305"/>
  <c r="H41" i="6305"/>
  <c r="H49" i="6305"/>
  <c r="H7" i="6305"/>
  <c r="H12" i="6305"/>
  <c r="C15" i="6305"/>
  <c r="H29" i="6305"/>
  <c r="H50" i="6305"/>
  <c r="H27" i="6305"/>
  <c r="C17" i="6305"/>
  <c r="B22" i="6305"/>
  <c r="H31" i="6305"/>
  <c r="C36" i="6305"/>
  <c r="H42" i="6305"/>
  <c r="H4" i="6305"/>
  <c r="H16" i="6305"/>
  <c r="B23" i="6305"/>
  <c r="H13" i="6305"/>
  <c r="H32" i="6305"/>
  <c r="H37" i="6305"/>
  <c r="H43" i="6305"/>
  <c r="H51" i="6305"/>
  <c r="C39" i="6305"/>
  <c r="H28" i="6305"/>
  <c r="H45" i="6305"/>
  <c r="H5" i="6305"/>
  <c r="C35" i="6305"/>
  <c r="H47" i="6305"/>
  <c r="H18" i="6305"/>
  <c r="H3" i="6305"/>
  <c r="H11" i="6305"/>
  <c r="C18" i="6305"/>
  <c r="H15" i="6305"/>
  <c r="C32" i="6305"/>
  <c r="H38" i="6305"/>
  <c r="C43" i="6305"/>
  <c r="H6" i="6305"/>
  <c r="H19" i="6305"/>
  <c r="C19" i="6305"/>
  <c r="H33" i="6305"/>
  <c r="H39" i="6305"/>
  <c r="H44" i="6305"/>
  <c r="H52" i="6305"/>
  <c r="H22" i="6305"/>
  <c r="H25" i="6305"/>
  <c r="H9" i="6305"/>
  <c r="C33" i="6305"/>
  <c r="C37" i="6305"/>
  <c r="C41" i="6305"/>
  <c r="H46" i="6305"/>
  <c r="H20" i="6305"/>
  <c r="H23" i="6305"/>
  <c r="H26" i="6305"/>
  <c r="H30" i="6305"/>
  <c r="C34" i="6305"/>
  <c r="C38" i="6305"/>
  <c r="C42" i="6305"/>
  <c r="O19" i="6291" l="1"/>
  <c r="O20" i="6295"/>
  <c r="O18" i="6291" l="1"/>
  <c r="O22" i="6299"/>
  <c r="O24" i="6299"/>
  <c r="O17" i="6289"/>
  <c r="O16" i="6293"/>
  <c r="O17" i="6295"/>
  <c r="O21" i="6295"/>
  <c r="O18" i="6289"/>
  <c r="O18" i="6293"/>
  <c r="O15" i="6291"/>
  <c r="O20" i="6303"/>
  <c r="O22" i="6303"/>
  <c r="O22" i="6297" l="1"/>
  <c r="O18" i="6297"/>
  <c r="O15" i="6303"/>
  <c r="O16" i="6303"/>
  <c r="C30" i="6303"/>
  <c r="B25" i="6303"/>
  <c r="B24" i="6303"/>
  <c r="C16" i="6303"/>
  <c r="B15" i="6303"/>
  <c r="H20" i="6303" s="1"/>
  <c r="B14" i="6303"/>
  <c r="C14" i="6303" s="1"/>
  <c r="B13" i="6303"/>
  <c r="C13" i="6303" s="1"/>
  <c r="O12" i="6303"/>
  <c r="C12" i="6303"/>
  <c r="O11" i="6303"/>
  <c r="C11" i="6303"/>
  <c r="O10" i="6303"/>
  <c r="C10" i="6303"/>
  <c r="C9" i="6303"/>
  <c r="C8" i="6303"/>
  <c r="O7" i="6303"/>
  <c r="C7" i="6303"/>
  <c r="O6" i="6303"/>
  <c r="B6" i="6303"/>
  <c r="O5" i="6303"/>
  <c r="B5" i="6303"/>
  <c r="O4" i="6303"/>
  <c r="O3" i="6303"/>
  <c r="O2" i="6303"/>
  <c r="O17" i="6287"/>
  <c r="O17" i="6301"/>
  <c r="O24" i="6301"/>
  <c r="C30" i="6301"/>
  <c r="B25" i="6301"/>
  <c r="C16" i="6301"/>
  <c r="B15" i="6301"/>
  <c r="H21" i="6301" s="1"/>
  <c r="B14" i="6301"/>
  <c r="B24" i="6301" s="1"/>
  <c r="B13" i="6301"/>
  <c r="C13" i="6301" s="1"/>
  <c r="O12" i="6301"/>
  <c r="C12" i="6301"/>
  <c r="O11" i="6301"/>
  <c r="C11" i="6301"/>
  <c r="O10" i="6301"/>
  <c r="C10" i="6301"/>
  <c r="C9" i="6301"/>
  <c r="C8" i="6301"/>
  <c r="O7" i="6301"/>
  <c r="C7" i="6301"/>
  <c r="O6" i="6301"/>
  <c r="B6" i="6301"/>
  <c r="O5" i="6301"/>
  <c r="B5" i="6301"/>
  <c r="O4" i="6301"/>
  <c r="O3" i="6301"/>
  <c r="O2" i="6301"/>
  <c r="O20" i="6287"/>
  <c r="C14" i="6301" l="1"/>
  <c r="H4" i="6301"/>
  <c r="H9" i="6303"/>
  <c r="H10" i="6303"/>
  <c r="C36" i="6303"/>
  <c r="H15" i="6303"/>
  <c r="H6" i="6303"/>
  <c r="H23" i="6303"/>
  <c r="H42" i="6303"/>
  <c r="H49" i="6303"/>
  <c r="H25" i="6303"/>
  <c r="H19" i="6303"/>
  <c r="H38" i="6303"/>
  <c r="H5" i="6303"/>
  <c r="H2" i="6303"/>
  <c r="H8" i="6303"/>
  <c r="C18" i="6303"/>
  <c r="H29" i="6303"/>
  <c r="C38" i="6303"/>
  <c r="H52" i="6303"/>
  <c r="H17" i="6303"/>
  <c r="H31" i="6303"/>
  <c r="C40" i="6303"/>
  <c r="B22" i="6303"/>
  <c r="C32" i="6303"/>
  <c r="C42" i="6303"/>
  <c r="H3" i="6303"/>
  <c r="H22" i="6303"/>
  <c r="C15" i="6303"/>
  <c r="H18" i="6303"/>
  <c r="H34" i="6303"/>
  <c r="C44" i="6303"/>
  <c r="H4" i="6303"/>
  <c r="H11" i="6303"/>
  <c r="H24" i="6303"/>
  <c r="C34" i="6303"/>
  <c r="H46" i="6303"/>
  <c r="H26" i="6303"/>
  <c r="H28" i="6303"/>
  <c r="H12" i="6303"/>
  <c r="C33" i="6303"/>
  <c r="C37" i="6303"/>
  <c r="C41" i="6303"/>
  <c r="H47" i="6303"/>
  <c r="C19" i="6303"/>
  <c r="B23" i="6303"/>
  <c r="H30" i="6303"/>
  <c r="H35" i="6303"/>
  <c r="H39" i="6303"/>
  <c r="H43" i="6303"/>
  <c r="H48" i="6303"/>
  <c r="H50" i="6303"/>
  <c r="H16" i="6303"/>
  <c r="H13" i="6303"/>
  <c r="H27" i="6303"/>
  <c r="H14" i="6303"/>
  <c r="H32" i="6303"/>
  <c r="C35" i="6303"/>
  <c r="C39" i="6303"/>
  <c r="C43" i="6303"/>
  <c r="H51" i="6303"/>
  <c r="C20" i="6303"/>
  <c r="H36" i="6303"/>
  <c r="H40" i="6303"/>
  <c r="H44" i="6303"/>
  <c r="H7" i="6303"/>
  <c r="H21" i="6303"/>
  <c r="C17" i="6303"/>
  <c r="C21" i="6303"/>
  <c r="H33" i="6303"/>
  <c r="H37" i="6303"/>
  <c r="H41" i="6303"/>
  <c r="H45" i="6303"/>
  <c r="H24" i="6301"/>
  <c r="H2" i="6301"/>
  <c r="H31" i="6301"/>
  <c r="H3" i="6301"/>
  <c r="C38" i="6301"/>
  <c r="C42" i="6301"/>
  <c r="C34" i="6301"/>
  <c r="H11" i="6301"/>
  <c r="H15" i="6301"/>
  <c r="H7" i="6301"/>
  <c r="B23" i="6301"/>
  <c r="H49" i="6301"/>
  <c r="H26" i="6301"/>
  <c r="H30" i="6301"/>
  <c r="C32" i="6301"/>
  <c r="C40" i="6301"/>
  <c r="H5" i="6301"/>
  <c r="H10" i="6301"/>
  <c r="C18" i="6301"/>
  <c r="H35" i="6301"/>
  <c r="H42" i="6301"/>
  <c r="H52" i="6301"/>
  <c r="C19" i="6301"/>
  <c r="H20" i="6301"/>
  <c r="H43" i="6301"/>
  <c r="C20" i="6301"/>
  <c r="H32" i="6301"/>
  <c r="C36" i="6301"/>
  <c r="C44" i="6301"/>
  <c r="H17" i="6301"/>
  <c r="C15" i="6301"/>
  <c r="H13" i="6301"/>
  <c r="H33" i="6301"/>
  <c r="H38" i="6301"/>
  <c r="H46" i="6301"/>
  <c r="H9" i="6301"/>
  <c r="H6" i="6301"/>
  <c r="H12" i="6301"/>
  <c r="H25" i="6301"/>
  <c r="B22" i="6301"/>
  <c r="H16" i="6301"/>
  <c r="H39" i="6301"/>
  <c r="H48" i="6301"/>
  <c r="H27" i="6301"/>
  <c r="H29" i="6301"/>
  <c r="H8" i="6301"/>
  <c r="C33" i="6301"/>
  <c r="C37" i="6301"/>
  <c r="C41" i="6301"/>
  <c r="H47" i="6301"/>
  <c r="H36" i="6301"/>
  <c r="H40" i="6301"/>
  <c r="H44" i="6301"/>
  <c r="H50" i="6301"/>
  <c r="H23" i="6301"/>
  <c r="H18" i="6301"/>
  <c r="H28" i="6301"/>
  <c r="H14" i="6301"/>
  <c r="H19" i="6301"/>
  <c r="C35" i="6301"/>
  <c r="C39" i="6301"/>
  <c r="C43" i="6301"/>
  <c r="H51" i="6301"/>
  <c r="H22" i="6301"/>
  <c r="C17" i="6301"/>
  <c r="C21" i="6301"/>
  <c r="H34" i="6301"/>
  <c r="H37" i="6301"/>
  <c r="H41" i="6301"/>
  <c r="H45" i="6301"/>
  <c r="O23" i="6299" l="1"/>
  <c r="O18" i="6299"/>
  <c r="C30" i="6299"/>
  <c r="B25" i="6299"/>
  <c r="C16" i="6299"/>
  <c r="B15" i="6299"/>
  <c r="H51" i="6299" s="1"/>
  <c r="B14" i="6299"/>
  <c r="B24" i="6299" s="1"/>
  <c r="B13" i="6299"/>
  <c r="C13" i="6299" s="1"/>
  <c r="O12" i="6299"/>
  <c r="C12" i="6299"/>
  <c r="O11" i="6299"/>
  <c r="C11" i="6299"/>
  <c r="O10" i="6299"/>
  <c r="C10" i="6299"/>
  <c r="C9" i="6299"/>
  <c r="C8" i="6299"/>
  <c r="O7" i="6299"/>
  <c r="C7" i="6299"/>
  <c r="O6" i="6299"/>
  <c r="B6" i="6299"/>
  <c r="O5" i="6299"/>
  <c r="B5" i="6299"/>
  <c r="O4" i="6299"/>
  <c r="O3" i="6299"/>
  <c r="O2" i="6299"/>
  <c r="O21" i="6297"/>
  <c r="O17" i="6297"/>
  <c r="C30" i="6297"/>
  <c r="B25" i="6297"/>
  <c r="C16" i="6297"/>
  <c r="B15" i="6297"/>
  <c r="H12" i="6297" s="1"/>
  <c r="B14" i="6297"/>
  <c r="C14" i="6297" s="1"/>
  <c r="B13" i="6297"/>
  <c r="C13" i="6297" s="1"/>
  <c r="O12" i="6297"/>
  <c r="C12" i="6297"/>
  <c r="O11" i="6297"/>
  <c r="C11" i="6297"/>
  <c r="O10" i="6297"/>
  <c r="C10" i="6297"/>
  <c r="C9" i="6297"/>
  <c r="C8" i="6297"/>
  <c r="O7" i="6297"/>
  <c r="C7" i="6297"/>
  <c r="O6" i="6297"/>
  <c r="B6" i="6297"/>
  <c r="O5" i="6297"/>
  <c r="B5" i="6297"/>
  <c r="O4" i="6297"/>
  <c r="O3" i="6297"/>
  <c r="O2" i="6297"/>
  <c r="O18" i="6287"/>
  <c r="O19" i="6295"/>
  <c r="O16" i="6295"/>
  <c r="C30" i="6295"/>
  <c r="B25" i="6295"/>
  <c r="C16" i="6295"/>
  <c r="B15" i="6295"/>
  <c r="H17" i="6295" s="1"/>
  <c r="B14" i="6295"/>
  <c r="B24" i="6295" s="1"/>
  <c r="B13" i="6295"/>
  <c r="C13" i="6295" s="1"/>
  <c r="O12" i="6295"/>
  <c r="C12" i="6295"/>
  <c r="O11" i="6295"/>
  <c r="C11" i="6295"/>
  <c r="O10" i="6295"/>
  <c r="C10" i="6295"/>
  <c r="C9" i="6295"/>
  <c r="C8" i="6295"/>
  <c r="O7" i="6295"/>
  <c r="C7" i="6295"/>
  <c r="O6" i="6295"/>
  <c r="B6" i="6295"/>
  <c r="O5" i="6295"/>
  <c r="B5" i="6295"/>
  <c r="O4" i="6295"/>
  <c r="O3" i="6295"/>
  <c r="O2" i="6295"/>
  <c r="O21" i="6287"/>
  <c r="O23" i="6287"/>
  <c r="B24" i="6297" l="1"/>
  <c r="C14" i="6295"/>
  <c r="H28" i="6299"/>
  <c r="H30" i="6297"/>
  <c r="H19" i="6295"/>
  <c r="H2" i="6295"/>
  <c r="H20" i="6295"/>
  <c r="C40" i="6295"/>
  <c r="H23" i="6295"/>
  <c r="C14" i="6299"/>
  <c r="H4" i="6299"/>
  <c r="H12" i="6299"/>
  <c r="C19" i="6299"/>
  <c r="H24" i="6299"/>
  <c r="H36" i="6299"/>
  <c r="H41" i="6299"/>
  <c r="C44" i="6299"/>
  <c r="H18" i="6299"/>
  <c r="H46" i="6299"/>
  <c r="H7" i="6299"/>
  <c r="H10" i="6299"/>
  <c r="C20" i="6299"/>
  <c r="H37" i="6299"/>
  <c r="H48" i="6299"/>
  <c r="C21" i="6299"/>
  <c r="H22" i="6299"/>
  <c r="H38" i="6299"/>
  <c r="H42" i="6299"/>
  <c r="H49" i="6299"/>
  <c r="H25" i="6299"/>
  <c r="H23" i="6299"/>
  <c r="H50" i="6299"/>
  <c r="C34" i="6299"/>
  <c r="H29" i="6299"/>
  <c r="H2" i="6299"/>
  <c r="H3" i="6299"/>
  <c r="H14" i="6299"/>
  <c r="C36" i="6299"/>
  <c r="H43" i="6299"/>
  <c r="H8" i="6299"/>
  <c r="C17" i="6299"/>
  <c r="B22" i="6299"/>
  <c r="H26" i="6299"/>
  <c r="H39" i="6299"/>
  <c r="C42" i="6299"/>
  <c r="H16" i="6299"/>
  <c r="H27" i="6299"/>
  <c r="H11" i="6299"/>
  <c r="C15" i="6299"/>
  <c r="H33" i="6299"/>
  <c r="C40" i="6299"/>
  <c r="H15" i="6299"/>
  <c r="H20" i="6299"/>
  <c r="C32" i="6299"/>
  <c r="H40" i="6299"/>
  <c r="H44" i="6299"/>
  <c r="H5" i="6299"/>
  <c r="H6" i="6299"/>
  <c r="H17" i="6299"/>
  <c r="C18" i="6299"/>
  <c r="H35" i="6299"/>
  <c r="C38" i="6299"/>
  <c r="H45" i="6299"/>
  <c r="H52" i="6299"/>
  <c r="H30" i="6299"/>
  <c r="H32" i="6299"/>
  <c r="H9" i="6299"/>
  <c r="C33" i="6299"/>
  <c r="C37" i="6299"/>
  <c r="C41" i="6299"/>
  <c r="H47" i="6299"/>
  <c r="B23" i="6299"/>
  <c r="H21" i="6299"/>
  <c r="H19" i="6299"/>
  <c r="H31" i="6299"/>
  <c r="H13" i="6299"/>
  <c r="H34" i="6299"/>
  <c r="C35" i="6299"/>
  <c r="C39" i="6299"/>
  <c r="C43" i="6299"/>
  <c r="H10" i="6297"/>
  <c r="H11" i="6297"/>
  <c r="H15" i="6297"/>
  <c r="C36" i="6297"/>
  <c r="H42" i="6297"/>
  <c r="H49" i="6297"/>
  <c r="H4" i="6297"/>
  <c r="H21" i="6297"/>
  <c r="H33" i="6297"/>
  <c r="H38" i="6297"/>
  <c r="H7" i="6297"/>
  <c r="H2" i="6297"/>
  <c r="H9" i="6297"/>
  <c r="C18" i="6297"/>
  <c r="H34" i="6297"/>
  <c r="C38" i="6297"/>
  <c r="H52" i="6297"/>
  <c r="H17" i="6297"/>
  <c r="H18" i="6297"/>
  <c r="C40" i="6297"/>
  <c r="B22" i="6297"/>
  <c r="C32" i="6297"/>
  <c r="C42" i="6297"/>
  <c r="H3" i="6297"/>
  <c r="H29" i="6297"/>
  <c r="C15" i="6297"/>
  <c r="H26" i="6297"/>
  <c r="H35" i="6297"/>
  <c r="C44" i="6297"/>
  <c r="H6" i="6297"/>
  <c r="H13" i="6297"/>
  <c r="H25" i="6297"/>
  <c r="C34" i="6297"/>
  <c r="H46" i="6297"/>
  <c r="H31" i="6297"/>
  <c r="H22" i="6297"/>
  <c r="H8" i="6297"/>
  <c r="C33" i="6297"/>
  <c r="C37" i="6297"/>
  <c r="C41" i="6297"/>
  <c r="H47" i="6297"/>
  <c r="C19" i="6297"/>
  <c r="B23" i="6297"/>
  <c r="H23" i="6297"/>
  <c r="H36" i="6297"/>
  <c r="H39" i="6297"/>
  <c r="H43" i="6297"/>
  <c r="H48" i="6297"/>
  <c r="H44" i="6297"/>
  <c r="H24" i="6297"/>
  <c r="H16" i="6297"/>
  <c r="H32" i="6297"/>
  <c r="H14" i="6297"/>
  <c r="H19" i="6297"/>
  <c r="C35" i="6297"/>
  <c r="C39" i="6297"/>
  <c r="C43" i="6297"/>
  <c r="H51" i="6297"/>
  <c r="C20" i="6297"/>
  <c r="H37" i="6297"/>
  <c r="H40" i="6297"/>
  <c r="H50" i="6297"/>
  <c r="H5" i="6297"/>
  <c r="H20" i="6297"/>
  <c r="C17" i="6297"/>
  <c r="C21" i="6297"/>
  <c r="H27" i="6297"/>
  <c r="H28" i="6297"/>
  <c r="H41" i="6297"/>
  <c r="H45" i="6297"/>
  <c r="H42" i="6295"/>
  <c r="H28" i="6295"/>
  <c r="H3" i="6295"/>
  <c r="B22" i="6295"/>
  <c r="C15" i="6295"/>
  <c r="C44" i="6295"/>
  <c r="H24" i="6295"/>
  <c r="C36" i="6295"/>
  <c r="H49" i="6295"/>
  <c r="C34" i="6295"/>
  <c r="H46" i="6295"/>
  <c r="H6" i="6295"/>
  <c r="H38" i="6295"/>
  <c r="H5" i="6295"/>
  <c r="H12" i="6295"/>
  <c r="H9" i="6295"/>
  <c r="C32" i="6295"/>
  <c r="C42" i="6295"/>
  <c r="H22" i="6295"/>
  <c r="H34" i="6295"/>
  <c r="H14" i="6295"/>
  <c r="H10" i="6295"/>
  <c r="H4" i="6295"/>
  <c r="H16" i="6295"/>
  <c r="H29" i="6295"/>
  <c r="C18" i="6295"/>
  <c r="H30" i="6295"/>
  <c r="C38" i="6295"/>
  <c r="H52" i="6295"/>
  <c r="H25" i="6295"/>
  <c r="H27" i="6295"/>
  <c r="H11" i="6295"/>
  <c r="C33" i="6295"/>
  <c r="C37" i="6295"/>
  <c r="C41" i="6295"/>
  <c r="H47" i="6295"/>
  <c r="C19" i="6295"/>
  <c r="B23" i="6295"/>
  <c r="H31" i="6295"/>
  <c r="H35" i="6295"/>
  <c r="H39" i="6295"/>
  <c r="H43" i="6295"/>
  <c r="H48" i="6295"/>
  <c r="H8" i="6295"/>
  <c r="C20" i="6295"/>
  <c r="H36" i="6295"/>
  <c r="H40" i="6295"/>
  <c r="H44" i="6295"/>
  <c r="H50" i="6295"/>
  <c r="H18" i="6295"/>
  <c r="H15" i="6295"/>
  <c r="H26" i="6295"/>
  <c r="H13" i="6295"/>
  <c r="H32" i="6295"/>
  <c r="C35" i="6295"/>
  <c r="C39" i="6295"/>
  <c r="C43" i="6295"/>
  <c r="H51" i="6295"/>
  <c r="H7" i="6295"/>
  <c r="H21" i="6295"/>
  <c r="C17" i="6295"/>
  <c r="C21" i="6295"/>
  <c r="H33" i="6295"/>
  <c r="H37" i="6295"/>
  <c r="H41" i="6295"/>
  <c r="H45" i="6295"/>
  <c r="O23" i="6293" l="1"/>
  <c r="O19" i="6293"/>
  <c r="C30" i="6293"/>
  <c r="B25" i="6293"/>
  <c r="C16" i="6293"/>
  <c r="B15" i="6293"/>
  <c r="H19" i="6293" s="1"/>
  <c r="B14" i="6293"/>
  <c r="B24" i="6293" s="1"/>
  <c r="B13" i="6293"/>
  <c r="C13" i="6293" s="1"/>
  <c r="O12" i="6293"/>
  <c r="C12" i="6293"/>
  <c r="O11" i="6293"/>
  <c r="C11" i="6293"/>
  <c r="O10" i="6293"/>
  <c r="C10" i="6293"/>
  <c r="C9" i="6293"/>
  <c r="C8" i="6293"/>
  <c r="O7" i="6293"/>
  <c r="C7" i="6293"/>
  <c r="O6" i="6293"/>
  <c r="B6" i="6293"/>
  <c r="O5" i="6293"/>
  <c r="B5" i="6293"/>
  <c r="O4" i="6293"/>
  <c r="O3" i="6293"/>
  <c r="O2" i="6293"/>
  <c r="O20" i="6291"/>
  <c r="O21" i="6291"/>
  <c r="C30" i="6291"/>
  <c r="B25" i="6291"/>
  <c r="C16" i="6291"/>
  <c r="B15" i="6291"/>
  <c r="H16" i="6291" s="1"/>
  <c r="B14" i="6291"/>
  <c r="B24" i="6291" s="1"/>
  <c r="B13" i="6291"/>
  <c r="C13" i="6291" s="1"/>
  <c r="O12" i="6291"/>
  <c r="C12" i="6291"/>
  <c r="O11" i="6291"/>
  <c r="C11" i="6291"/>
  <c r="O10" i="6291"/>
  <c r="C10" i="6291"/>
  <c r="C9" i="6291"/>
  <c r="C8" i="6291"/>
  <c r="O7" i="6291"/>
  <c r="C7" i="6291"/>
  <c r="O6" i="6291"/>
  <c r="B6" i="6291"/>
  <c r="O5" i="6291"/>
  <c r="B5" i="6291"/>
  <c r="O4" i="6291"/>
  <c r="O3" i="6291"/>
  <c r="O2" i="6291"/>
  <c r="O19" i="6287"/>
  <c r="O19" i="6289"/>
  <c r="O20" i="6289"/>
  <c r="C30" i="6289"/>
  <c r="B25" i="6289"/>
  <c r="C16" i="6289"/>
  <c r="B15" i="6289"/>
  <c r="H51" i="6289" s="1"/>
  <c r="B14" i="6289"/>
  <c r="B24" i="6289" s="1"/>
  <c r="B13" i="6289"/>
  <c r="C13" i="6289" s="1"/>
  <c r="O12" i="6289"/>
  <c r="C12" i="6289"/>
  <c r="O11" i="6289"/>
  <c r="C11" i="6289"/>
  <c r="O10" i="6289"/>
  <c r="C10" i="6289"/>
  <c r="C9" i="6289"/>
  <c r="C8" i="6289"/>
  <c r="O7" i="6289"/>
  <c r="C7" i="6289"/>
  <c r="O6" i="6289"/>
  <c r="B6" i="6289"/>
  <c r="O5" i="6289"/>
  <c r="B5" i="6289"/>
  <c r="O4" i="6289"/>
  <c r="O3" i="6289"/>
  <c r="O2" i="6289"/>
  <c r="O22" i="6287"/>
  <c r="O25" i="6287"/>
  <c r="C30" i="6287"/>
  <c r="B25" i="6287"/>
  <c r="C16" i="6287"/>
  <c r="B15" i="6287"/>
  <c r="H52" i="6287" s="1"/>
  <c r="B14" i="6287"/>
  <c r="B24" i="6287" s="1"/>
  <c r="B13" i="6287"/>
  <c r="C13" i="6287" s="1"/>
  <c r="O12" i="6287"/>
  <c r="C12" i="6287"/>
  <c r="O11" i="6287"/>
  <c r="C11" i="6287"/>
  <c r="O10" i="6287"/>
  <c r="C10" i="6287"/>
  <c r="C9" i="6287"/>
  <c r="C8" i="6287"/>
  <c r="O7" i="6287"/>
  <c r="C7" i="6287"/>
  <c r="O6" i="6287"/>
  <c r="B6" i="6287"/>
  <c r="O5" i="6287"/>
  <c r="B5" i="6287"/>
  <c r="O4" i="6287"/>
  <c r="O3" i="6287"/>
  <c r="O2" i="6287"/>
  <c r="C14" i="6293" l="1"/>
  <c r="C14" i="6291"/>
  <c r="C32" i="6289"/>
  <c r="H12" i="6293"/>
  <c r="H32" i="6293"/>
  <c r="H3" i="6293"/>
  <c r="C36" i="6293"/>
  <c r="H38" i="6293"/>
  <c r="H28" i="6293"/>
  <c r="C14" i="6289"/>
  <c r="H33" i="6293"/>
  <c r="H8" i="6293"/>
  <c r="C38" i="6293"/>
  <c r="H2" i="6293"/>
  <c r="H18" i="6293"/>
  <c r="H15" i="6293"/>
  <c r="H10" i="6293"/>
  <c r="C18" i="6293"/>
  <c r="C44" i="6293"/>
  <c r="H44" i="6293"/>
  <c r="H17" i="6293"/>
  <c r="C34" i="6293"/>
  <c r="H46" i="6293"/>
  <c r="C42" i="6293"/>
  <c r="C20" i="6293"/>
  <c r="H36" i="6293"/>
  <c r="H49" i="6293"/>
  <c r="H14" i="6293"/>
  <c r="H40" i="6293"/>
  <c r="H50" i="6293"/>
  <c r="H5" i="6293"/>
  <c r="H21" i="6293"/>
  <c r="C15" i="6293"/>
  <c r="B22" i="6293"/>
  <c r="C32" i="6293"/>
  <c r="C40" i="6293"/>
  <c r="H4" i="6293"/>
  <c r="H6" i="6293"/>
  <c r="H11" i="6293"/>
  <c r="H24" i="6293"/>
  <c r="H31" i="6293"/>
  <c r="H35" i="6293"/>
  <c r="H42" i="6293"/>
  <c r="H52" i="6293"/>
  <c r="H29" i="6293"/>
  <c r="H25" i="6293"/>
  <c r="H9" i="6293"/>
  <c r="C33" i="6293"/>
  <c r="C37" i="6293"/>
  <c r="C41" i="6293"/>
  <c r="H47" i="6293"/>
  <c r="C19" i="6293"/>
  <c r="B23" i="6293"/>
  <c r="H26" i="6293"/>
  <c r="H27" i="6293"/>
  <c r="H39" i="6293"/>
  <c r="H43" i="6293"/>
  <c r="H48" i="6293"/>
  <c r="H22" i="6293"/>
  <c r="H16" i="6293"/>
  <c r="H30" i="6293"/>
  <c r="H13" i="6293"/>
  <c r="H20" i="6293"/>
  <c r="C35" i="6293"/>
  <c r="C39" i="6293"/>
  <c r="C43" i="6293"/>
  <c r="H51" i="6293"/>
  <c r="H7" i="6293"/>
  <c r="H23" i="6293"/>
  <c r="C17" i="6293"/>
  <c r="C21" i="6293"/>
  <c r="H34" i="6293"/>
  <c r="H37" i="6293"/>
  <c r="H41" i="6293"/>
  <c r="H45" i="6293"/>
  <c r="C14" i="6287"/>
  <c r="H31" i="6291"/>
  <c r="H10" i="6291"/>
  <c r="H34" i="6291"/>
  <c r="H13" i="6291"/>
  <c r="H25" i="6291"/>
  <c r="C32" i="6291"/>
  <c r="H11" i="6291"/>
  <c r="H40" i="6291"/>
  <c r="H36" i="6291"/>
  <c r="C19" i="6291"/>
  <c r="C36" i="6291"/>
  <c r="C40" i="6291"/>
  <c r="C15" i="6291"/>
  <c r="H14" i="6291"/>
  <c r="B22" i="6291"/>
  <c r="H29" i="6291"/>
  <c r="H5" i="6291"/>
  <c r="H52" i="6291"/>
  <c r="B23" i="6291"/>
  <c r="H39" i="6291"/>
  <c r="H19" i="6291"/>
  <c r="H26" i="6291"/>
  <c r="H43" i="6291"/>
  <c r="H4" i="6291"/>
  <c r="H6" i="6291"/>
  <c r="C18" i="6291"/>
  <c r="C44" i="6291"/>
  <c r="H32" i="6291"/>
  <c r="H22" i="6291"/>
  <c r="H8" i="6291"/>
  <c r="C33" i="6291"/>
  <c r="C37" i="6291"/>
  <c r="C41" i="6291"/>
  <c r="H47" i="6291"/>
  <c r="H27" i="6291"/>
  <c r="H44" i="6291"/>
  <c r="H17" i="6291"/>
  <c r="H20" i="6291"/>
  <c r="C42" i="6291"/>
  <c r="H9" i="6291"/>
  <c r="C20" i="6291"/>
  <c r="H37" i="6291"/>
  <c r="H41" i="6291"/>
  <c r="H45" i="6291"/>
  <c r="H50" i="6291"/>
  <c r="H49" i="6291"/>
  <c r="H18" i="6291"/>
  <c r="H15" i="6291"/>
  <c r="H33" i="6291"/>
  <c r="H12" i="6291"/>
  <c r="H24" i="6291"/>
  <c r="C35" i="6291"/>
  <c r="C39" i="6291"/>
  <c r="C43" i="6291"/>
  <c r="H51" i="6291"/>
  <c r="H28" i="6291"/>
  <c r="H48" i="6291"/>
  <c r="H2" i="6291"/>
  <c r="H3" i="6291"/>
  <c r="H21" i="6291"/>
  <c r="H23" i="6291"/>
  <c r="C34" i="6291"/>
  <c r="C38" i="6291"/>
  <c r="H7" i="6291"/>
  <c r="H30" i="6291"/>
  <c r="C17" i="6291"/>
  <c r="C21" i="6291"/>
  <c r="H35" i="6291"/>
  <c r="H38" i="6291"/>
  <c r="H42" i="6291"/>
  <c r="H46" i="6291"/>
  <c r="H27" i="6289"/>
  <c r="H20" i="6289"/>
  <c r="H11" i="6289"/>
  <c r="H17" i="6289"/>
  <c r="C18" i="6289"/>
  <c r="H2" i="6289"/>
  <c r="H41" i="6289"/>
  <c r="H14" i="6289"/>
  <c r="C38" i="6289"/>
  <c r="C40" i="6289"/>
  <c r="H52" i="6289"/>
  <c r="H10" i="6289"/>
  <c r="C42" i="6289"/>
  <c r="C34" i="6289"/>
  <c r="C15" i="6289"/>
  <c r="H30" i="6289"/>
  <c r="C44" i="6289"/>
  <c r="H5" i="6289"/>
  <c r="H9" i="6289"/>
  <c r="H23" i="6289"/>
  <c r="H45" i="6289"/>
  <c r="H6" i="6289"/>
  <c r="C36" i="6289"/>
  <c r="H48" i="6289"/>
  <c r="B22" i="6289"/>
  <c r="H18" i="6289"/>
  <c r="H33" i="6289"/>
  <c r="H12" i="6289"/>
  <c r="H3" i="6289"/>
  <c r="H16" i="6289"/>
  <c r="H25" i="6289"/>
  <c r="H37" i="6289"/>
  <c r="H4" i="6289"/>
  <c r="C33" i="6289"/>
  <c r="H28" i="6289"/>
  <c r="H24" i="6289"/>
  <c r="H13" i="6289"/>
  <c r="C37" i="6289"/>
  <c r="C41" i="6289"/>
  <c r="H46" i="6289"/>
  <c r="C19" i="6289"/>
  <c r="B23" i="6289"/>
  <c r="H31" i="6289"/>
  <c r="H34" i="6289"/>
  <c r="H38" i="6289"/>
  <c r="H42" i="6289"/>
  <c r="H47" i="6289"/>
  <c r="H8" i="6289"/>
  <c r="C20" i="6289"/>
  <c r="H35" i="6289"/>
  <c r="H39" i="6289"/>
  <c r="H43" i="6289"/>
  <c r="H49" i="6289"/>
  <c r="H22" i="6289"/>
  <c r="H19" i="6289"/>
  <c r="H29" i="6289"/>
  <c r="H15" i="6289"/>
  <c r="H32" i="6289"/>
  <c r="C35" i="6289"/>
  <c r="C39" i="6289"/>
  <c r="C43" i="6289"/>
  <c r="H50" i="6289"/>
  <c r="H7" i="6289"/>
  <c r="H26" i="6289"/>
  <c r="C17" i="6289"/>
  <c r="C21" i="6289"/>
  <c r="H21" i="6289"/>
  <c r="H36" i="6289"/>
  <c r="H40" i="6289"/>
  <c r="H44" i="6289"/>
  <c r="C15" i="6287"/>
  <c r="H6" i="6287"/>
  <c r="H10" i="6287"/>
  <c r="H23" i="6287"/>
  <c r="H24" i="6287"/>
  <c r="H7" i="6287"/>
  <c r="H12" i="6287"/>
  <c r="H36" i="6287"/>
  <c r="H25" i="6287"/>
  <c r="H9" i="6287"/>
  <c r="C33" i="6287"/>
  <c r="C37" i="6287"/>
  <c r="C41" i="6287"/>
  <c r="H47" i="6287"/>
  <c r="C19" i="6287"/>
  <c r="H29" i="6287"/>
  <c r="H31" i="6287"/>
  <c r="H41" i="6287"/>
  <c r="H48" i="6287"/>
  <c r="H26" i="6287"/>
  <c r="H22" i="6287"/>
  <c r="H19" i="6287"/>
  <c r="C34" i="6287"/>
  <c r="C38" i="6287"/>
  <c r="C42" i="6287"/>
  <c r="H49" i="6287"/>
  <c r="H8" i="6287"/>
  <c r="C20" i="6287"/>
  <c r="H39" i="6287"/>
  <c r="H42" i="6287"/>
  <c r="H45" i="6287"/>
  <c r="H50" i="6287"/>
  <c r="B23" i="6287"/>
  <c r="H44" i="6287"/>
  <c r="H2" i="6287"/>
  <c r="H3" i="6287"/>
  <c r="H17" i="6287"/>
  <c r="H20" i="6287"/>
  <c r="H15" i="6287"/>
  <c r="H37" i="6287"/>
  <c r="H13" i="6287"/>
  <c r="H21" i="6287"/>
  <c r="C35" i="6287"/>
  <c r="C39" i="6287"/>
  <c r="C43" i="6287"/>
  <c r="H51" i="6287"/>
  <c r="C17" i="6287"/>
  <c r="C21" i="6287"/>
  <c r="H30" i="6287"/>
  <c r="H32" i="6287"/>
  <c r="H33" i="6287"/>
  <c r="H46" i="6287"/>
  <c r="H16" i="6287"/>
  <c r="H4" i="6287"/>
  <c r="H11" i="6287"/>
  <c r="H18" i="6287"/>
  <c r="H14" i="6287"/>
  <c r="H28" i="6287"/>
  <c r="C32" i="6287"/>
  <c r="C36" i="6287"/>
  <c r="C40" i="6287"/>
  <c r="C44" i="6287"/>
  <c r="H5" i="6287"/>
  <c r="H35" i="6287"/>
  <c r="C18" i="6287"/>
  <c r="B22" i="6287"/>
  <c r="H27" i="6287"/>
  <c r="H38" i="6287"/>
  <c r="H40" i="6287"/>
  <c r="H43" i="6287"/>
  <c r="H34" i="6287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<sst xmlns="http://schemas.openxmlformats.org/spreadsheetml/2006/main" count="3811" uniqueCount="292">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</sst>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全体!$K$2:$K$818</c:f>
              <c:numCache>
                <c:formatCode>General</c:formatCode>
                <c:ptCount val="8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</c:numCache>
            </c:numRef>
          </c:xVal>
          <c:yVal>
            <c:numRef>
              <c:f>全体!$L$2:$L$818</c:f>
              <c:numCache>
                <c:formatCode>\+0.0;\-0.0;\±0</c:formatCode>
                <c:ptCount val="81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C-4829-BE2E-74ED29529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-27.060270602706026</c:v>
                </c:pt>
                <c:pt idx="1">
                  <c:v>9.9875156054931331</c:v>
                </c:pt>
                <c:pt idx="2">
                  <c:v>-7.9365079365079367</c:v>
                </c:pt>
                <c:pt idx="3">
                  <c:v>11.204481792717086</c:v>
                </c:pt>
                <c:pt idx="4">
                  <c:v>3.0303030303030303</c:v>
                </c:pt>
                <c:pt idx="5">
                  <c:v>16.129032258064516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1-4D67-AADF-EA656367C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157</c:v>
                </c:pt>
                <c:pt idx="1">
                  <c:v>341</c:v>
                </c:pt>
                <c:pt idx="2">
                  <c:v>395</c:v>
                </c:pt>
                <c:pt idx="3">
                  <c:v>359</c:v>
                </c:pt>
                <c:pt idx="4">
                  <c:v>319</c:v>
                </c:pt>
                <c:pt idx="5">
                  <c:v>214</c:v>
                </c:pt>
                <c:pt idx="6">
                  <c:v>109</c:v>
                </c:pt>
                <c:pt idx="7">
                  <c:v>56</c:v>
                </c:pt>
                <c:pt idx="8">
                  <c:v>27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2-4D4E-A86C-2C13FD38D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たかの!$L$2:$L$75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A-4C8D-B9B8-EBF6BA105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2147.9452054794519</c:v>
                </c:pt>
                <c:pt idx="1">
                  <c:v>-1718.0555555555557</c:v>
                </c:pt>
                <c:pt idx="2">
                  <c:v>-1652.8571428571429</c:v>
                </c:pt>
                <c:pt idx="3">
                  <c:v>-1203.030303030303</c:v>
                </c:pt>
                <c:pt idx="4">
                  <c:v>-190.76923076923077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3-46E0-BD3C-6C281CAF2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26</c:v>
                </c:pt>
                <c:pt idx="1">
                  <c:v>37</c:v>
                </c:pt>
                <c:pt idx="2">
                  <c:v>38</c:v>
                </c:pt>
                <c:pt idx="3">
                  <c:v>26</c:v>
                </c:pt>
                <c:pt idx="4">
                  <c:v>19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8-46F5-B84B-4AD779FBA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だいち!$K$2:$K$160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だいち!$L$2:$L$160</c:f>
              <c:numCache>
                <c:formatCode>\+0.0;\-0.0;\±0</c:formatCode>
                <c:ptCount val="15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9-4674-9AB4-B90428BD2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1312.1019108280254</c:v>
                </c:pt>
                <c:pt idx="1">
                  <c:v>1036.3636363636363</c:v>
                </c:pt>
                <c:pt idx="2">
                  <c:v>696.62162162162167</c:v>
                </c:pt>
                <c:pt idx="3">
                  <c:v>423.91304347826087</c:v>
                </c:pt>
                <c:pt idx="4">
                  <c:v>1885.9375</c:v>
                </c:pt>
                <c:pt idx="5">
                  <c:v>1879.047619047619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EAE-83AE-C34D265A9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40</c:v>
                </c:pt>
                <c:pt idx="1">
                  <c:v>84</c:v>
                </c:pt>
                <c:pt idx="2">
                  <c:v>90</c:v>
                </c:pt>
                <c:pt idx="3">
                  <c:v>82</c:v>
                </c:pt>
                <c:pt idx="4">
                  <c:v>63</c:v>
                </c:pt>
                <c:pt idx="5">
                  <c:v>41</c:v>
                </c:pt>
                <c:pt idx="6">
                  <c:v>22</c:v>
                </c:pt>
                <c:pt idx="7">
                  <c:v>6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6C-47FD-8426-D47072E24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ただ!$K$2:$K$140</c:f>
              <c:numCache>
                <c:formatCode>General</c:formatCode>
                <c:ptCount val="1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</c:numCache>
            </c:numRef>
          </c:xVal>
          <c:yVal>
            <c:numRef>
              <c:f>ただ!$L$2:$L$140</c:f>
              <c:numCache>
                <c:formatCode>\+0.0;\-0.0;\±0</c:formatCode>
                <c:ptCount val="13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0-4C2F-99BA-3A8E16B56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-1574.4525547445255</c:v>
                </c:pt>
                <c:pt idx="1">
                  <c:v>1482.962962962963</c:v>
                </c:pt>
                <c:pt idx="2">
                  <c:v>-216.93548387096774</c:v>
                </c:pt>
                <c:pt idx="3">
                  <c:v>323.72881355932202</c:v>
                </c:pt>
                <c:pt idx="4">
                  <c:v>-931.48148148148152</c:v>
                </c:pt>
                <c:pt idx="5">
                  <c:v>1419.5652173913043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6C-4BDE-9C99-EC3A3D817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24</c:v>
                </c:pt>
                <c:pt idx="1">
                  <c:v>57</c:v>
                </c:pt>
                <c:pt idx="2">
                  <c:v>72</c:v>
                </c:pt>
                <c:pt idx="3">
                  <c:v>76</c:v>
                </c:pt>
                <c:pt idx="4">
                  <c:v>52</c:v>
                </c:pt>
                <c:pt idx="5">
                  <c:v>38</c:v>
                </c:pt>
                <c:pt idx="6">
                  <c:v>12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AB-40B4-8840-BB33542C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F-48D9-834F-5AFC51A83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-309.78260869565219</c:v>
                </c:pt>
                <c:pt idx="1">
                  <c:v>-1053.2608695652175</c:v>
                </c:pt>
                <c:pt idx="2">
                  <c:v>647.67441860465112</c:v>
                </c:pt>
                <c:pt idx="3">
                  <c:v>-785.88235294117646</c:v>
                </c:pt>
                <c:pt idx="4">
                  <c:v>-3083.75</c:v>
                </c:pt>
                <c:pt idx="5">
                  <c:v>-1332.8571428571429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A6-49C6-B9A7-D63E139E0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49</c:v>
                </c:pt>
                <c:pt idx="3">
                  <c:v>33</c:v>
                </c:pt>
                <c:pt idx="4">
                  <c:v>36</c:v>
                </c:pt>
                <c:pt idx="5">
                  <c:v>23</c:v>
                </c:pt>
                <c:pt idx="6">
                  <c:v>13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3D-4074-8671-31D818FF9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4-4104-81A5-97C1CBB1D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1334.5454545454545</c:v>
                </c:pt>
                <c:pt idx="1">
                  <c:v>-1441.6666666666667</c:v>
                </c:pt>
                <c:pt idx="2">
                  <c:v>158.58585858585857</c:v>
                </c:pt>
                <c:pt idx="3">
                  <c:v>2405.3191489361702</c:v>
                </c:pt>
                <c:pt idx="4">
                  <c:v>995.29411764705878</c:v>
                </c:pt>
                <c:pt idx="5">
                  <c:v>472.05882352941177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3-49A9-A8ED-141836A20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33</c:v>
                </c:pt>
                <c:pt idx="3">
                  <c:v>49</c:v>
                </c:pt>
                <c:pt idx="4">
                  <c:v>58</c:v>
                </c:pt>
                <c:pt idx="5">
                  <c:v>31</c:v>
                </c:pt>
                <c:pt idx="6">
                  <c:v>21</c:v>
                </c:pt>
                <c:pt idx="7">
                  <c:v>16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E-4847-926A-7F94AB5F5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まっつん!$L$2:$L$129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87-418C-A984-365F16EB3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51.968503937007874</c:v>
                </c:pt>
                <c:pt idx="1">
                  <c:v>-17.741935483870968</c:v>
                </c:pt>
                <c:pt idx="2">
                  <c:v>213.5593220338983</c:v>
                </c:pt>
                <c:pt idx="3">
                  <c:v>153.7037037037037</c:v>
                </c:pt>
                <c:pt idx="4">
                  <c:v>-160.82474226804123</c:v>
                </c:pt>
                <c:pt idx="5">
                  <c:v>-1177.3809523809523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5-4F55-82B4-E5991AF1E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52</c:v>
                </c:pt>
                <c:pt idx="2">
                  <c:v>61</c:v>
                </c:pt>
                <c:pt idx="3">
                  <c:v>53</c:v>
                </c:pt>
                <c:pt idx="4">
                  <c:v>41</c:v>
                </c:pt>
                <c:pt idx="5">
                  <c:v>33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5-4AA9-B39D-144BE07C5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のり!$L$2:$L$61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9-407F-992E-8A0BEBE6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-2438.9830508474574</c:v>
                </c:pt>
                <c:pt idx="1">
                  <c:v>564.40677966101691</c:v>
                </c:pt>
                <c:pt idx="2">
                  <c:v>-1310.5263157894738</c:v>
                </c:pt>
                <c:pt idx="3">
                  <c:v>-1750.9803921568628</c:v>
                </c:pt>
                <c:pt idx="4">
                  <c:v>-1802.0408163265306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F-47C8-A893-2009A1F12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25</c:v>
                </c:pt>
                <c:pt idx="2">
                  <c:v>27</c:v>
                </c:pt>
                <c:pt idx="3">
                  <c:v>18</c:v>
                </c:pt>
                <c:pt idx="4">
                  <c:v>18</c:v>
                </c:pt>
                <c:pt idx="5">
                  <c:v>11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F-442C-A290-88DC2E90A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6-46D9-9773-A2F58DD28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A-46A6-B73F-D255408CE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1-449D-9858-E40BB783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AE-4316-9B49-ED5DB23C7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3-4121-BDF4-C0F100419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C8-42D5-9F41-B70F62B8B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5-40E1-AE88-F44157585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D-4C80-B2BB-85B1CA70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7-44E5-BCC4-94D3C4C6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ともき!$L$2:$L$13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5-4609-A6BC-048FD1C5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-2881.818181818182</c:v>
                </c:pt>
                <c:pt idx="1">
                  <c:v>627.27272727272725</c:v>
                </c:pt>
                <c:pt idx="2">
                  <c:v>-1136.3636363636363</c:v>
                </c:pt>
                <c:pt idx="3">
                  <c:v>1827.2727272727273</c:v>
                </c:pt>
                <c:pt idx="4">
                  <c:v>1550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1-4F21-AB57-066C031F0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4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B-4124-9BFB-4DFC1BE07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9-47BE-8B72-2AB77D4DA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3-4A5F-AE7D-C2B1AEAEA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1-4BEE-AEB9-9ECDE1EAA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E5-4931-9047-F93ACA9B7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A-4F84-98B1-9C334343B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C4-41BE-8BB2-3BBB3FCBB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224578939412501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12551079976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434325744308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69.92071357779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62.17430368373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13725490196078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5983654407472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254524226503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881413911060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273657289002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3012884043607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66457A-228C-4C60-AF9B-96D80267C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1B4870-6D83-4308-AA93-BB4F9594B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7590E95-5CD7-4229-A873-FA4B84EC80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C32A54-376E-4552-B801-14A0ABEF22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E96653-7D14-450F-9F56-48DA635CA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4DE05E-F3C0-4D7E-950F-4A4FA76D3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0EAB8F-629B-4D81-A1B5-A248CAA61A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720DC5-8AC7-4F8C-80F2-7912B8E30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5947C2-C531-4285-865D-C160FB165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080C15-24E3-4402-A2B2-5969E6CE3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731C6C-8E13-495F-8541-47A26011D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F32A7C-78D6-40C1-9B6B-E4E21D2972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15E920-D0AB-4727-A637-AAFA01E9C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CEA3B5-6D62-4F69-9C6D-BEE11B5BC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B5BD4C-62B9-4773-808B-6F282F4F6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1EB21E-B96B-41B7-BCF5-752FE2126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37276-909D-4D26-9458-F2336B1EE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CBBCFC-08B1-4D61-9538-D8DA2CB742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E4D969-1934-4A48-B775-0710E846EF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E0DB9A-C94E-4F4A-84AA-44C33E28A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0D4DC8-4D04-4803-8FD5-D5A57A6D5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D32F0E-76CD-4422-A4A7-D9E0C3668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B6CF98-B7FD-4834-BF7E-55253D621B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CFED8B5-7395-4B40-8C8E-B09A033CA9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E3143F-C1E6-464B-B58A-49EF4EC36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2EFB39-985A-480F-A941-C3AE695A68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E280DE3-B46F-43AC-93F0-5869965738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C7A12A-0625-44CE-8FD9-BDA1AFD96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435C49-3DB9-4013-A16E-D95DC319B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A1DD366-21F2-4810-8C53-0FC99A32FB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3C6FE2-95A6-4B6E-A3E0-48388D340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3B6C60-9552-4930-926B-0FCE0FDC3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E0D3C79-1C58-4C23-8FEB-9ABB7ACAC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EB8038-D5C1-4448-9366-B98B729671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0666C3-D287-4892-8ECC-C9895AE83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3583706-C448-4315-9F74-B2239ADAF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B99285-172D-4247-8030-F8AF8A680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4DA32E-BB2D-4EF6-B71F-8AEDA2584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203F215-F534-42CD-B0CF-C53BC48A9C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7C30C4-34BB-4BBD-A57B-D1F96B60C2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7C8C44-6B49-44AD-80FB-676EFB1BB7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B3A5DFE-7487-4F5F-AB98-6BA671D85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5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6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6" x14ac:dyDescent="0.45">
      <c r="A82" s="28" t="s">
        <v>288</v>
      </c>
      <c r="B82" s="29">
        <v>43814.578449074077</v>
      </c>
      <c r="C82" s="28" t="s">
        <v>128</v>
      </c>
    </row>
    <row r="83" spans="1:6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6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6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816</v>
      </c>
    </row>
    <row r="2" spans="1:2" x14ac:dyDescent="0.45">
      <c r="A2" t="s">
        <v>161</v>
      </c>
      <c r="B2">
        <v>73</v>
      </c>
    </row>
    <row r="3" spans="1:2" x14ac:dyDescent="0.45">
      <c r="A3" t="s">
        <v>126</v>
      </c>
      <c r="B3">
        <v>158</v>
      </c>
    </row>
    <row r="4" spans="1:2" x14ac:dyDescent="0.45">
      <c r="A4" t="s">
        <v>127</v>
      </c>
      <c r="B4">
        <v>138</v>
      </c>
    </row>
    <row r="5" spans="1:2" x14ac:dyDescent="0.45">
      <c r="A5" t="s">
        <v>172</v>
      </c>
      <c r="B5">
        <v>93</v>
      </c>
    </row>
    <row r="6" spans="1:2" x14ac:dyDescent="0.45">
      <c r="A6" t="s">
        <v>170</v>
      </c>
      <c r="B6">
        <v>110</v>
      </c>
    </row>
    <row r="7" spans="1:2" x14ac:dyDescent="0.45">
      <c r="A7" t="s">
        <v>171</v>
      </c>
      <c r="B7">
        <v>127</v>
      </c>
    </row>
    <row r="8" spans="1:2" x14ac:dyDescent="0.45">
      <c r="A8" t="s">
        <v>197</v>
      </c>
      <c r="B8">
        <v>59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11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0.98343201755209153</v>
      </c>
      <c r="G2" s="167"/>
      <c r="H2" s="166">
        <v>0.89657093374965413</v>
      </c>
      <c r="I2" s="167"/>
      <c r="J2" s="166">
        <v>0.92159182891811364</v>
      </c>
      <c r="K2" s="167"/>
      <c r="L2" s="166">
        <v>0.71365161587212456</v>
      </c>
      <c r="M2" s="167"/>
      <c r="N2" s="166">
        <v>0.59519244487691403</v>
      </c>
      <c r="O2" s="167"/>
      <c r="P2" s="166">
        <v>0.29613163575068335</v>
      </c>
      <c r="Q2" s="167"/>
      <c r="R2" s="166">
        <v>9.8131635343554097E-2</v>
      </c>
      <c r="S2" s="167"/>
      <c r="T2" s="166">
        <v>0.47165143087711614</v>
      </c>
      <c r="U2" s="167"/>
      <c r="V2" s="166">
        <v>0.62420087946814473</v>
      </c>
      <c r="W2" s="167"/>
      <c r="X2" s="166">
        <v>-0.26607867321260681</v>
      </c>
      <c r="Y2" s="167"/>
      <c r="Z2" s="166">
        <v>0.53297623442568165</v>
      </c>
      <c r="AA2" s="167"/>
      <c r="AB2" s="166">
        <v>0.41557008603648982</v>
      </c>
      <c r="AC2" s="167"/>
      <c r="AD2" s="166">
        <v>6.3134742931413995E-2</v>
      </c>
      <c r="AE2" s="167"/>
      <c r="AF2" s="166">
        <v>0.59212558734296217</v>
      </c>
      <c r="AG2" s="167"/>
    </row>
    <row r="3" spans="1:33" x14ac:dyDescent="0.45">
      <c r="A3" s="70">
        <v>1</v>
      </c>
      <c r="B3" s="71" t="s">
        <v>126</v>
      </c>
      <c r="C3" s="72">
        <v>1309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10762.151394422312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522.50000000000023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0.25316455696202533</v>
      </c>
      <c r="L4" s="81" t="s">
        <v>274</v>
      </c>
      <c r="M4" s="84">
        <v>0.38</v>
      </c>
      <c r="N4" s="81" t="s">
        <v>274</v>
      </c>
      <c r="O4" s="84">
        <v>0.13</v>
      </c>
      <c r="P4" s="81" t="s">
        <v>281</v>
      </c>
      <c r="Q4" s="85">
        <v>9534.6153846153848</v>
      </c>
      <c r="R4" s="81" t="s">
        <v>171</v>
      </c>
      <c r="S4" s="85">
        <v>-7157.2413793103451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0.6470588235294118</v>
      </c>
      <c r="AB4" s="81" t="s">
        <v>274</v>
      </c>
      <c r="AC4" s="84">
        <v>0.75</v>
      </c>
      <c r="AD4" s="81" t="s">
        <v>170</v>
      </c>
      <c r="AE4" s="84">
        <v>0.50597609561752988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8.2848101265822791</v>
      </c>
      <c r="F5" s="81" t="s">
        <v>126</v>
      </c>
      <c r="G5" s="82">
        <v>1.7974683544303798</v>
      </c>
      <c r="H5" s="81" t="s">
        <v>126</v>
      </c>
      <c r="I5" s="83">
        <v>0.45569620253164556</v>
      </c>
      <c r="J5" s="81" t="s">
        <v>274</v>
      </c>
      <c r="K5" s="83">
        <v>0.27272727272727271</v>
      </c>
      <c r="L5" s="81" t="s">
        <v>281</v>
      </c>
      <c r="M5" s="84">
        <v>0.37681159420289856</v>
      </c>
      <c r="N5" s="81" t="s">
        <v>126</v>
      </c>
      <c r="O5" s="84">
        <v>0.13174114021571648</v>
      </c>
      <c r="P5" s="81" t="s">
        <v>280</v>
      </c>
      <c r="Q5" s="85">
        <v>8512.5</v>
      </c>
      <c r="R5" s="81" t="s">
        <v>126</v>
      </c>
      <c r="S5" s="85">
        <v>-7618.1286549707602</v>
      </c>
      <c r="T5" s="81" t="s">
        <v>126</v>
      </c>
      <c r="U5" s="83">
        <v>4.4303797468354431E-2</v>
      </c>
      <c r="V5" s="81" t="s">
        <v>274</v>
      </c>
      <c r="W5" s="84">
        <v>0.34</v>
      </c>
      <c r="X5" s="81" t="s">
        <v>127</v>
      </c>
      <c r="Y5" s="84">
        <v>0.29818496110630943</v>
      </c>
      <c r="Z5" s="81" t="s">
        <v>126</v>
      </c>
      <c r="AA5" s="84">
        <v>0.59710144927536235</v>
      </c>
      <c r="AB5" s="81" t="s">
        <v>126</v>
      </c>
      <c r="AC5" s="84">
        <v>0.49668874172185429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127</v>
      </c>
      <c r="C6" s="80">
        <v>61.099999999999817</v>
      </c>
      <c r="D6" s="81" t="s">
        <v>274</v>
      </c>
      <c r="E6" s="93">
        <v>4.9272727272727268</v>
      </c>
      <c r="F6" s="81" t="s">
        <v>274</v>
      </c>
      <c r="G6" s="82">
        <v>1.8181818181818181</v>
      </c>
      <c r="H6" s="81" t="s">
        <v>274</v>
      </c>
      <c r="I6" s="83">
        <v>0.45454545454545453</v>
      </c>
      <c r="J6" s="81" t="s">
        <v>127</v>
      </c>
      <c r="K6" s="83">
        <v>0.29710144927536231</v>
      </c>
      <c r="L6" s="81" t="s">
        <v>126</v>
      </c>
      <c r="M6" s="84">
        <v>0.34283513097072421</v>
      </c>
      <c r="N6" s="81" t="s">
        <v>171</v>
      </c>
      <c r="O6" s="84">
        <v>0.13996138996138996</v>
      </c>
      <c r="P6" s="81" t="s">
        <v>196</v>
      </c>
      <c r="Q6" s="85">
        <v>8385.7142857142862</v>
      </c>
      <c r="R6" s="81" t="s">
        <v>172</v>
      </c>
      <c r="S6" s="85">
        <v>-7630.3448275862065</v>
      </c>
      <c r="T6" s="81" t="s">
        <v>161</v>
      </c>
      <c r="U6" s="83">
        <v>6.8493150684931503E-2</v>
      </c>
      <c r="V6" s="81" t="s">
        <v>170</v>
      </c>
      <c r="W6" s="84">
        <v>0.31368186874304782</v>
      </c>
      <c r="X6" s="81" t="s">
        <v>161</v>
      </c>
      <c r="Y6" s="84">
        <v>0.25267993874425726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0.46330275229357798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274</v>
      </c>
      <c r="C7" s="80">
        <v>54.199999999999996</v>
      </c>
      <c r="D7" s="81" t="s">
        <v>170</v>
      </c>
      <c r="E7" s="93">
        <v>4.7500000000000018</v>
      </c>
      <c r="F7" s="81" t="s">
        <v>170</v>
      </c>
      <c r="G7" s="82">
        <v>1.8818181818181818</v>
      </c>
      <c r="H7" s="81" t="s">
        <v>228</v>
      </c>
      <c r="I7" s="83">
        <v>0.42857142857142855</v>
      </c>
      <c r="J7" s="81" t="s">
        <v>170</v>
      </c>
      <c r="K7" s="83">
        <v>0.3</v>
      </c>
      <c r="L7" s="81" t="s">
        <v>127</v>
      </c>
      <c r="M7" s="84">
        <v>0.30337078651685395</v>
      </c>
      <c r="N7" s="81" t="s">
        <v>161</v>
      </c>
      <c r="O7" s="84">
        <v>0.15620214395099541</v>
      </c>
      <c r="P7" s="81" t="s">
        <v>141</v>
      </c>
      <c r="Q7" s="85">
        <v>8369.9207135777997</v>
      </c>
      <c r="R7" s="81" t="s">
        <v>141</v>
      </c>
      <c r="S7" s="85">
        <v>-7762.1743036837379</v>
      </c>
      <c r="T7" s="81" t="s">
        <v>171</v>
      </c>
      <c r="U7" s="83">
        <v>7.0866141732283464E-2</v>
      </c>
      <c r="V7" s="81" t="s">
        <v>172</v>
      </c>
      <c r="W7" s="84">
        <v>0.27763819095477388</v>
      </c>
      <c r="X7" s="81" t="s">
        <v>126</v>
      </c>
      <c r="Y7" s="84">
        <v>0.23266563944530047</v>
      </c>
      <c r="Z7" s="81" t="s">
        <v>141</v>
      </c>
      <c r="AA7" s="84">
        <v>0.55188141391106038</v>
      </c>
      <c r="AB7" s="81" t="s">
        <v>171</v>
      </c>
      <c r="AC7" s="84">
        <v>0.43043478260869567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203</v>
      </c>
      <c r="C8" s="80">
        <v>26.2</v>
      </c>
      <c r="D8" s="81" t="s">
        <v>127</v>
      </c>
      <c r="E8" s="93">
        <v>0.44275362318840444</v>
      </c>
      <c r="F8" s="81" t="s">
        <v>127</v>
      </c>
      <c r="G8" s="82">
        <v>1.9565217391304348</v>
      </c>
      <c r="H8" s="81" t="s">
        <v>170</v>
      </c>
      <c r="I8" s="83">
        <v>0.41818181818181815</v>
      </c>
      <c r="J8" s="81" t="s">
        <v>171</v>
      </c>
      <c r="K8" s="83">
        <v>0.31496062992125984</v>
      </c>
      <c r="L8" s="81" t="s">
        <v>141</v>
      </c>
      <c r="M8" s="84">
        <v>0.29451255107997665</v>
      </c>
      <c r="N8" s="81" t="s">
        <v>141</v>
      </c>
      <c r="O8" s="84">
        <v>0.16243432574430824</v>
      </c>
      <c r="P8" s="81" t="s">
        <v>127</v>
      </c>
      <c r="Q8" s="85">
        <v>8363.5327635327631</v>
      </c>
      <c r="R8" s="81" t="s">
        <v>161</v>
      </c>
      <c r="S8" s="85">
        <v>-7789.2156862745096</v>
      </c>
      <c r="T8" s="81" t="s">
        <v>172</v>
      </c>
      <c r="U8" s="83">
        <v>7.5268817204301078E-2</v>
      </c>
      <c r="V8" s="81" t="s">
        <v>171</v>
      </c>
      <c r="W8" s="84">
        <v>0.2673745173745174</v>
      </c>
      <c r="X8" s="81" t="s">
        <v>197</v>
      </c>
      <c r="Y8" s="84">
        <v>0.23203285420944558</v>
      </c>
      <c r="Z8" s="81" t="s">
        <v>170</v>
      </c>
      <c r="AA8" s="84">
        <v>0.54964539007092195</v>
      </c>
      <c r="AB8" s="81" t="s">
        <v>197</v>
      </c>
      <c r="AC8" s="84">
        <v>0.4247787610619469</v>
      </c>
      <c r="AD8" s="81" t="s">
        <v>197</v>
      </c>
      <c r="AE8" s="84">
        <v>0.453125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141</v>
      </c>
      <c r="C9" s="80">
        <v>-4.2632564145606011E-14</v>
      </c>
      <c r="D9" s="81" t="s">
        <v>141</v>
      </c>
      <c r="E9" s="93">
        <v>-5.2245789394125013E-17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141</v>
      </c>
      <c r="K9" s="83">
        <v>0.33333333333333331</v>
      </c>
      <c r="L9" s="81" t="s">
        <v>170</v>
      </c>
      <c r="M9" s="84">
        <v>0.27919911012235815</v>
      </c>
      <c r="N9" s="81" t="s">
        <v>170</v>
      </c>
      <c r="O9" s="84">
        <v>0.17241379310344829</v>
      </c>
      <c r="P9" s="81" t="s">
        <v>171</v>
      </c>
      <c r="Q9" s="85">
        <v>8278.5467128027685</v>
      </c>
      <c r="R9" s="81" t="s">
        <v>274</v>
      </c>
      <c r="S9" s="85">
        <v>-7800</v>
      </c>
      <c r="T9" s="81" t="s">
        <v>274</v>
      </c>
      <c r="U9" s="83">
        <v>9.0909090909090912E-2</v>
      </c>
      <c r="V9" s="81" t="s">
        <v>203</v>
      </c>
      <c r="W9" s="84">
        <v>0.26666666666666666</v>
      </c>
      <c r="X9" s="81" t="s">
        <v>141</v>
      </c>
      <c r="Y9" s="84">
        <v>0.22825452422650322</v>
      </c>
      <c r="Z9" s="81" t="s">
        <v>171</v>
      </c>
      <c r="AA9" s="84">
        <v>0.54512635379061369</v>
      </c>
      <c r="AB9" s="81" t="s">
        <v>141</v>
      </c>
      <c r="AC9" s="84">
        <v>0.42327365728900257</v>
      </c>
      <c r="AD9" s="81" t="s">
        <v>171</v>
      </c>
      <c r="AE9" s="84">
        <v>0.44636678200692043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196</v>
      </c>
      <c r="C10" s="80">
        <v>-45.7</v>
      </c>
      <c r="D10" s="81" t="s">
        <v>171</v>
      </c>
      <c r="E10" s="93">
        <v>-1.0433070866141732</v>
      </c>
      <c r="F10" s="81" t="s">
        <v>196</v>
      </c>
      <c r="G10" s="82">
        <v>2.04</v>
      </c>
      <c r="H10" s="81" t="s">
        <v>127</v>
      </c>
      <c r="I10" s="83">
        <v>0.34057971014492755</v>
      </c>
      <c r="J10" s="81" t="s">
        <v>281</v>
      </c>
      <c r="K10" s="83">
        <v>0.375</v>
      </c>
      <c r="L10" s="81" t="s">
        <v>171</v>
      </c>
      <c r="M10" s="84">
        <v>0.27895752895752896</v>
      </c>
      <c r="N10" s="81" t="s">
        <v>196</v>
      </c>
      <c r="O10" s="84">
        <v>0.17499999999999999</v>
      </c>
      <c r="P10" s="81" t="s">
        <v>126</v>
      </c>
      <c r="Q10" s="85">
        <v>8151.4606741573034</v>
      </c>
      <c r="R10" s="81" t="s">
        <v>127</v>
      </c>
      <c r="S10" s="85">
        <v>-7936.4485981308408</v>
      </c>
      <c r="T10" s="81" t="s">
        <v>141</v>
      </c>
      <c r="U10" s="83">
        <v>9.3137254901960786E-2</v>
      </c>
      <c r="V10" s="81" t="s">
        <v>126</v>
      </c>
      <c r="W10" s="84">
        <v>0.2657935285053929</v>
      </c>
      <c r="X10" s="81" t="s">
        <v>171</v>
      </c>
      <c r="Y10" s="84">
        <v>0.22200772200772201</v>
      </c>
      <c r="Z10" s="81" t="s">
        <v>172</v>
      </c>
      <c r="AA10" s="84">
        <v>0.54298642533936647</v>
      </c>
      <c r="AB10" s="81" t="s">
        <v>172</v>
      </c>
      <c r="AC10" s="84">
        <v>0.41509433962264153</v>
      </c>
      <c r="AD10" s="81" t="s">
        <v>141</v>
      </c>
      <c r="AE10" s="84">
        <v>0.44301288404360756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196</v>
      </c>
      <c r="E11" s="93">
        <v>-1.8280000000000001</v>
      </c>
      <c r="F11" s="81" t="s">
        <v>171</v>
      </c>
      <c r="G11" s="82">
        <v>2.0787401574803148</v>
      </c>
      <c r="H11" s="81" t="s">
        <v>141</v>
      </c>
      <c r="I11" s="83">
        <v>0.33333333333333331</v>
      </c>
      <c r="J11" s="81" t="s">
        <v>172</v>
      </c>
      <c r="K11" s="83">
        <v>0.38709677419354838</v>
      </c>
      <c r="L11" s="81" t="s">
        <v>161</v>
      </c>
      <c r="M11" s="84">
        <v>0.27411944869831545</v>
      </c>
      <c r="N11" s="81" t="s">
        <v>172</v>
      </c>
      <c r="O11" s="84">
        <v>0.18216080402010051</v>
      </c>
      <c r="P11" s="81" t="s">
        <v>197</v>
      </c>
      <c r="Q11" s="85">
        <v>7987.5</v>
      </c>
      <c r="R11" s="81" t="s">
        <v>280</v>
      </c>
      <c r="S11" s="85">
        <v>-7987.5</v>
      </c>
      <c r="T11" s="81" t="s">
        <v>170</v>
      </c>
      <c r="U11" s="83">
        <v>0.1</v>
      </c>
      <c r="V11" s="81" t="s">
        <v>196</v>
      </c>
      <c r="W11" s="84">
        <v>0.25833333333333336</v>
      </c>
      <c r="X11" s="81" t="s">
        <v>172</v>
      </c>
      <c r="Y11" s="84">
        <v>0.19974874371859297</v>
      </c>
      <c r="Z11" s="81" t="s">
        <v>197</v>
      </c>
      <c r="AA11" s="84">
        <v>0.53846153846153844</v>
      </c>
      <c r="AB11" s="81" t="s">
        <v>161</v>
      </c>
      <c r="AC11" s="84">
        <v>0.40606060606060607</v>
      </c>
      <c r="AD11" s="81" t="s">
        <v>161</v>
      </c>
      <c r="AE11" s="84">
        <v>0.41899441340782123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-6.3082191780821955</v>
      </c>
      <c r="F12" s="81" t="s">
        <v>161</v>
      </c>
      <c r="G12" s="82">
        <v>2.1369863013698631</v>
      </c>
      <c r="H12" s="81" t="s">
        <v>161</v>
      </c>
      <c r="I12" s="83">
        <v>0.31506849315068491</v>
      </c>
      <c r="J12" s="81" t="s">
        <v>196</v>
      </c>
      <c r="K12" s="83">
        <v>0.4</v>
      </c>
      <c r="L12" s="81" t="s">
        <v>172</v>
      </c>
      <c r="M12" s="84">
        <v>0.27386934673366836</v>
      </c>
      <c r="N12" s="81" t="s">
        <v>197</v>
      </c>
      <c r="O12" s="84">
        <v>0.18275154004106775</v>
      </c>
      <c r="P12" s="81" t="s">
        <v>172</v>
      </c>
      <c r="Q12" s="85">
        <v>7760.5504587155965</v>
      </c>
      <c r="R12" s="81" t="s">
        <v>203</v>
      </c>
      <c r="S12" s="85">
        <v>-8000</v>
      </c>
      <c r="T12" s="81" t="s">
        <v>196</v>
      </c>
      <c r="U12" s="83">
        <v>0.12</v>
      </c>
      <c r="V12" s="81" t="s">
        <v>141</v>
      </c>
      <c r="W12" s="84">
        <v>0.25598365440747228</v>
      </c>
      <c r="X12" s="81" t="s">
        <v>170</v>
      </c>
      <c r="Y12" s="84">
        <v>0.1757508342602892</v>
      </c>
      <c r="Z12" s="81" t="s">
        <v>228</v>
      </c>
      <c r="AA12" s="84">
        <v>0.53333333333333333</v>
      </c>
      <c r="AB12" s="81" t="s">
        <v>170</v>
      </c>
      <c r="AC12" s="84">
        <v>0.38607594936708861</v>
      </c>
      <c r="AD12" s="81" t="s">
        <v>126</v>
      </c>
      <c r="AE12" s="84">
        <v>0.41348314606741571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-132.5</v>
      </c>
      <c r="D13" s="81" t="s">
        <v>172</v>
      </c>
      <c r="E13" s="93">
        <v>-6.7505376344086017</v>
      </c>
      <c r="F13" s="81" t="s">
        <v>228</v>
      </c>
      <c r="G13" s="82">
        <v>2.1428571428571428</v>
      </c>
      <c r="H13" s="81" t="s">
        <v>171</v>
      </c>
      <c r="I13" s="83">
        <v>0.23622047244094488</v>
      </c>
      <c r="J13" s="81" t="s">
        <v>280</v>
      </c>
      <c r="K13" s="83">
        <v>0.4</v>
      </c>
      <c r="L13" s="81" t="s">
        <v>197</v>
      </c>
      <c r="M13" s="84">
        <v>0.26283367556468173</v>
      </c>
      <c r="N13" s="81" t="s">
        <v>127</v>
      </c>
      <c r="O13" s="84">
        <v>0.18496110630942092</v>
      </c>
      <c r="P13" s="81" t="s">
        <v>228</v>
      </c>
      <c r="Q13" s="85">
        <v>7473.333333333333</v>
      </c>
      <c r="R13" s="81" t="s">
        <v>170</v>
      </c>
      <c r="S13" s="85">
        <v>-8119.3548387096771</v>
      </c>
      <c r="T13" s="81" t="s">
        <v>127</v>
      </c>
      <c r="U13" s="83">
        <v>0.13043478260869565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0.52083333333333337</v>
      </c>
      <c r="AB13" s="81" t="s">
        <v>127</v>
      </c>
      <c r="AC13" s="84">
        <v>0.38260869565217392</v>
      </c>
      <c r="AD13" s="81" t="s">
        <v>127</v>
      </c>
      <c r="AE13" s="84">
        <v>0.41025641025641024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-460.50000000000028</v>
      </c>
      <c r="D14" s="81" t="s">
        <v>197</v>
      </c>
      <c r="E14" s="93">
        <v>-10.633898305084747</v>
      </c>
      <c r="F14" s="81" t="s">
        <v>172</v>
      </c>
      <c r="G14" s="82">
        <v>2.172043010752688</v>
      </c>
      <c r="H14" s="81" t="s">
        <v>172</v>
      </c>
      <c r="I14" s="83">
        <v>0.21505376344086022</v>
      </c>
      <c r="J14" s="81" t="s">
        <v>161</v>
      </c>
      <c r="K14" s="83">
        <v>0.45205479452054792</v>
      </c>
      <c r="L14" s="81" t="s">
        <v>196</v>
      </c>
      <c r="M14" s="84">
        <v>0.26250000000000001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-8258.4269662921342</v>
      </c>
      <c r="T14" s="81" t="s">
        <v>197</v>
      </c>
      <c r="U14" s="83">
        <v>0.16949152542372881</v>
      </c>
      <c r="V14" s="81" t="s">
        <v>127</v>
      </c>
      <c r="W14" s="84">
        <v>0.23422644770959378</v>
      </c>
      <c r="X14" s="81" t="s">
        <v>196</v>
      </c>
      <c r="Y14" s="84">
        <v>0.15</v>
      </c>
      <c r="Z14" s="81" t="s">
        <v>127</v>
      </c>
      <c r="AA14" s="84">
        <v>0.50184501845018448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-627.40000000000009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0.4576271186440678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7007.2625698324018</v>
      </c>
      <c r="R15" s="81" t="s">
        <v>281</v>
      </c>
      <c r="S15" s="85">
        <v>-8437.5</v>
      </c>
      <c r="T15" s="81" t="s">
        <v>280</v>
      </c>
      <c r="U15" s="83">
        <v>0.2</v>
      </c>
      <c r="V15" s="81" t="s">
        <v>197</v>
      </c>
      <c r="W15" s="84">
        <v>0.2135523613963039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-627.79999999999995</v>
      </c>
      <c r="D16" s="81" t="s">
        <v>280</v>
      </c>
      <c r="E16" s="93">
        <v>-16.160000000000004</v>
      </c>
      <c r="F16" s="81" t="s">
        <v>197</v>
      </c>
      <c r="G16" s="82">
        <v>2.2881355932203391</v>
      </c>
      <c r="H16" s="81" t="s">
        <v>197</v>
      </c>
      <c r="I16" s="83">
        <v>0.16949152542372881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6765.7894736842109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0.14701378254211334</v>
      </c>
      <c r="X16" s="81" t="s">
        <v>274</v>
      </c>
      <c r="Y16" s="84">
        <v>0.12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076-27D6-4B40-91E6-5E64137BA194}">
  <sheetPr codeName="Sheet4"/>
  <dimension ref="A1:Q81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816</v>
      </c>
      <c r="C2" s="155"/>
      <c r="E2" s="58" t="s">
        <v>66</v>
      </c>
      <c r="F2" s="55" t="s">
        <v>22</v>
      </c>
      <c r="G2" s="43">
        <v>1528</v>
      </c>
      <c r="H2" s="128">
        <f>IF(B$15=0,0,G2/B$15)</f>
        <v>0.75718533201189298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-27.060270602706026</v>
      </c>
      <c r="P2" s="114">
        <v>813</v>
      </c>
      <c r="Q2" s="98">
        <v>-22000</v>
      </c>
    </row>
    <row r="3" spans="1:17" x14ac:dyDescent="0.45">
      <c r="A3" s="51" t="s">
        <v>8</v>
      </c>
      <c r="B3" s="156">
        <v>6852</v>
      </c>
      <c r="C3" s="157"/>
      <c r="E3" s="59" t="s">
        <v>72</v>
      </c>
      <c r="F3" s="56" t="s">
        <v>27</v>
      </c>
      <c r="G3" s="44">
        <v>1079</v>
      </c>
      <c r="H3" s="129">
        <f>IF(B$15=0,0,G3/B$15)</f>
        <v>0.53468780971258667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9.9875156054931331</v>
      </c>
      <c r="P3" s="115">
        <v>801</v>
      </c>
      <c r="Q3" s="99">
        <v>8000</v>
      </c>
    </row>
    <row r="4" spans="1:17" x14ac:dyDescent="0.45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934</v>
      </c>
      <c r="H4" s="129">
        <f>IF(B$15=0,0,G4/B$15)</f>
        <v>0.46283448959365708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-7.9365079365079367</v>
      </c>
      <c r="P4" s="115">
        <v>756</v>
      </c>
      <c r="Q4" s="99">
        <v>-6000</v>
      </c>
    </row>
    <row r="5" spans="1:17" x14ac:dyDescent="0.45">
      <c r="A5" s="51" t="s">
        <v>7</v>
      </c>
      <c r="B5" s="160">
        <f>IF(B$2=0,0,B$4/B$2)</f>
        <v>-5.2245789394125013E-17</v>
      </c>
      <c r="C5" s="161"/>
      <c r="E5" s="59" t="s">
        <v>166</v>
      </c>
      <c r="F5" s="56" t="s">
        <v>167</v>
      </c>
      <c r="G5" s="44">
        <v>784</v>
      </c>
      <c r="H5" s="129">
        <f>IF(B$15=0,0,G5/B$15)</f>
        <v>0.38850346878097125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11.204481792717086</v>
      </c>
      <c r="P5" s="115">
        <v>714</v>
      </c>
      <c r="Q5" s="99">
        <v>8000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622</v>
      </c>
      <c r="H6" s="129">
        <f>IF(B$15=0,0,G6/B$15)</f>
        <v>0.30822596630327054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3.0303030303030303</v>
      </c>
      <c r="P6" s="115">
        <v>660</v>
      </c>
      <c r="Q6" s="99">
        <v>2000</v>
      </c>
    </row>
    <row r="7" spans="1:17" x14ac:dyDescent="0.45">
      <c r="A7" s="51" t="s">
        <v>2</v>
      </c>
      <c r="B7" s="44">
        <v>272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577</v>
      </c>
      <c r="H7" s="129">
        <f>IF(B$15=0,0,G7/B$15)</f>
        <v>0.28592666005946482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16.129032258064516</v>
      </c>
      <c r="P7" s="116">
        <v>558</v>
      </c>
      <c r="Q7" s="100">
        <v>9000</v>
      </c>
    </row>
    <row r="8" spans="1:17" x14ac:dyDescent="0.45">
      <c r="A8" s="51" t="s">
        <v>3</v>
      </c>
      <c r="B8" s="44">
        <v>272</v>
      </c>
      <c r="C8" s="37">
        <f t="shared" si="1"/>
        <v>0.33333333333333331</v>
      </c>
      <c r="E8" s="59" t="s">
        <v>69</v>
      </c>
      <c r="F8" s="56" t="s">
        <v>24</v>
      </c>
      <c r="G8" s="44">
        <v>286</v>
      </c>
      <c r="H8" s="129">
        <f>IF(B$15=0,0,G8/B$15)</f>
        <v>0.14172447968285432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272</v>
      </c>
      <c r="C9" s="38">
        <f t="shared" si="1"/>
        <v>0.33333333333333331</v>
      </c>
      <c r="E9" s="59" t="s">
        <v>89</v>
      </c>
      <c r="F9" s="56" t="s">
        <v>44</v>
      </c>
      <c r="G9" s="44">
        <v>273</v>
      </c>
      <c r="H9" s="129">
        <f>IF(B$15=0,0,G9/B$15)</f>
        <v>0.13528245787908821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76</v>
      </c>
      <c r="C10" s="40">
        <f t="shared" si="1"/>
        <v>9.3137254901960786E-2</v>
      </c>
      <c r="E10" s="59" t="s">
        <v>65</v>
      </c>
      <c r="F10" s="56" t="s">
        <v>21</v>
      </c>
      <c r="G10" s="44">
        <v>217</v>
      </c>
      <c r="H10" s="129">
        <f>IF(B$15=0,0,G10/B$15)</f>
        <v>0.10753221010901882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-2.2327205882352947</v>
      </c>
      <c r="P10" s="114">
        <v>272</v>
      </c>
      <c r="Q10" s="102">
        <v>-607.30000000000018</v>
      </c>
    </row>
    <row r="11" spans="1:17" x14ac:dyDescent="0.45">
      <c r="A11" s="54" t="s">
        <v>121</v>
      </c>
      <c r="B11" s="47">
        <v>1754</v>
      </c>
      <c r="C11" s="42">
        <f>IF(B$3=0,0,B11/B$3)</f>
        <v>0.25598365440747228</v>
      </c>
      <c r="E11" s="59" t="s">
        <v>70</v>
      </c>
      <c r="F11" s="56" t="s">
        <v>25</v>
      </c>
      <c r="G11" s="44">
        <v>186</v>
      </c>
      <c r="H11" s="129">
        <f>IF(B$15=0,0,G11/B$15)</f>
        <v>9.2170465807730431E-2</v>
      </c>
      <c r="I11" s="90">
        <v>10</v>
      </c>
      <c r="K11" s="36">
        <v>9</v>
      </c>
      <c r="L11" s="95">
        <v>0</v>
      </c>
      <c r="N11" s="111" t="s">
        <v>158</v>
      </c>
      <c r="O11" s="121">
        <f>IF(P11=0,0,Q11/P11)</f>
        <v>0.89080882352941193</v>
      </c>
      <c r="P11" s="115">
        <v>272</v>
      </c>
      <c r="Q11" s="103">
        <v>242.30000000000004</v>
      </c>
    </row>
    <row r="12" spans="1:17" x14ac:dyDescent="0.45">
      <c r="A12" s="51" t="s">
        <v>118</v>
      </c>
      <c r="B12" s="44">
        <v>1564</v>
      </c>
      <c r="C12" s="37">
        <f>IF(B$3=0,0,B12/B$3)</f>
        <v>0.22825452422650322</v>
      </c>
      <c r="E12" s="59" t="s">
        <v>71</v>
      </c>
      <c r="F12" s="56" t="s">
        <v>26</v>
      </c>
      <c r="G12" s="44">
        <v>162</v>
      </c>
      <c r="H12" s="129">
        <f>IF(B$15=0,0,G12/B$15)</f>
        <v>8.0277502477700699E-2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1.341911764705882</v>
      </c>
      <c r="P12" s="116">
        <v>272</v>
      </c>
      <c r="Q12" s="104">
        <v>364.99999999999989</v>
      </c>
    </row>
    <row r="13" spans="1:17" x14ac:dyDescent="0.45">
      <c r="A13" s="50" t="s">
        <v>123</v>
      </c>
      <c r="B13" s="43">
        <f>B19</f>
        <v>968</v>
      </c>
      <c r="C13" s="35">
        <f>IF(B$11=0,0,B13/B$11)</f>
        <v>0.55188141391106038</v>
      </c>
      <c r="E13" s="59" t="s">
        <v>86</v>
      </c>
      <c r="F13" s="56" t="s">
        <v>41</v>
      </c>
      <c r="G13" s="44">
        <v>106</v>
      </c>
      <c r="H13" s="129">
        <f>IF(B$15=0,0,G13/B$15)</f>
        <v>5.2527254707631317E-2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662</v>
      </c>
      <c r="C14" s="35">
        <f>IF(B$12=0,0,B14/B$12)</f>
        <v>0.42327365728900257</v>
      </c>
      <c r="E14" s="59" t="s">
        <v>83</v>
      </c>
      <c r="F14" s="56" t="s">
        <v>38</v>
      </c>
      <c r="G14" s="44">
        <v>102</v>
      </c>
      <c r="H14" s="129">
        <f>IF(B$15=0,0,G14/B$15)</f>
        <v>5.0545094152626362E-2</v>
      </c>
      <c r="I14" s="90">
        <v>8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2018</v>
      </c>
      <c r="C15" s="35">
        <f>IF(B$3=0,0,B15/B$3)</f>
        <v>0.29451255107997665</v>
      </c>
      <c r="E15" s="59" t="s">
        <v>78</v>
      </c>
      <c r="F15" s="56" t="s">
        <v>33</v>
      </c>
      <c r="G15" s="44">
        <v>52</v>
      </c>
      <c r="H15" s="129">
        <f>IF(B$15=0,0,G15/B$15)</f>
        <v>2.576808721506442E-2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1113</v>
      </c>
      <c r="C16" s="37">
        <f>IF(B$3=0,0,B16/B$3)</f>
        <v>0.16243432574430824</v>
      </c>
      <c r="E16" s="59" t="s">
        <v>162</v>
      </c>
      <c r="F16" s="56" t="s">
        <v>163</v>
      </c>
      <c r="G16" s="44">
        <v>46</v>
      </c>
      <c r="H16" s="129">
        <f>IF(B$15=0,0,G16/B$15)</f>
        <v>2.2794846382556987E-2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894</v>
      </c>
      <c r="C17" s="37">
        <f>IF(B$15=0,0,B17/B$15)</f>
        <v>0.44301288404360756</v>
      </c>
      <c r="E17" s="59" t="s">
        <v>81</v>
      </c>
      <c r="F17" s="56" t="s">
        <v>36</v>
      </c>
      <c r="G17" s="44">
        <v>42</v>
      </c>
      <c r="H17" s="129">
        <f>IF(B$15=0,0,G17/B$15)</f>
        <v>2.0812685827552031E-2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15.950847457627104</v>
      </c>
      <c r="P17" s="115">
        <v>118</v>
      </c>
      <c r="Q17" s="103">
        <v>1882.1999999999982</v>
      </c>
    </row>
    <row r="18" spans="1:17" x14ac:dyDescent="0.45">
      <c r="A18" s="51" t="s">
        <v>11</v>
      </c>
      <c r="B18" s="44">
        <v>1124</v>
      </c>
      <c r="C18" s="37">
        <f>IF(B$15=0,0,B18/B$15)</f>
        <v>0.5569871159563925</v>
      </c>
      <c r="E18" s="59" t="s">
        <v>79</v>
      </c>
      <c r="F18" s="56" t="s">
        <v>34</v>
      </c>
      <c r="G18" s="44">
        <v>28</v>
      </c>
      <c r="H18" s="129">
        <f>IF(B$15=0,0,G18/B$15)</f>
        <v>1.3875123885034688E-2</v>
      </c>
      <c r="I18" s="90">
        <v>7</v>
      </c>
      <c r="K18" s="36">
        <v>16</v>
      </c>
      <c r="L18" s="95">
        <v>-28.2</v>
      </c>
      <c r="N18" s="111" t="s">
        <v>172</v>
      </c>
      <c r="O18" s="121">
        <f>IF(P18=0,0,Q18/P18)</f>
        <v>10.125806451612897</v>
      </c>
      <c r="P18" s="115">
        <v>186</v>
      </c>
      <c r="Q18" s="103">
        <v>1883.399999999999</v>
      </c>
    </row>
    <row r="19" spans="1:17" x14ac:dyDescent="0.45">
      <c r="A19" s="51" t="s">
        <v>195</v>
      </c>
      <c r="B19" s="44">
        <v>968</v>
      </c>
      <c r="C19" s="37">
        <f>IF(B$15=0,0,B19/B$15)</f>
        <v>0.47968285431119922</v>
      </c>
      <c r="E19" s="59" t="s">
        <v>91</v>
      </c>
      <c r="F19" s="56" t="s">
        <v>46</v>
      </c>
      <c r="G19" s="44">
        <v>28</v>
      </c>
      <c r="H19" s="129">
        <f>IF(B$15=0,0,G19/B$15)</f>
        <v>1.3875123885034688E-2</v>
      </c>
      <c r="I19" s="90">
        <v>6</v>
      </c>
      <c r="K19" s="36">
        <v>17</v>
      </c>
      <c r="L19" s="95">
        <v>-20.5</v>
      </c>
      <c r="N19" s="111" t="s">
        <v>161</v>
      </c>
      <c r="O19" s="121">
        <f>IF(P19=0,0,Q19/P19)</f>
        <v>6.5555555555555483</v>
      </c>
      <c r="P19" s="115">
        <v>162</v>
      </c>
      <c r="Q19" s="103">
        <v>1061.9999999999989</v>
      </c>
    </row>
    <row r="20" spans="1:17" x14ac:dyDescent="0.45">
      <c r="A20" s="51" t="s">
        <v>193</v>
      </c>
      <c r="B20" s="44">
        <v>662</v>
      </c>
      <c r="C20" s="37">
        <f>IF(B$15=0,0,B20/B$15)</f>
        <v>0.32804757185332012</v>
      </c>
      <c r="E20" s="59" t="s">
        <v>75</v>
      </c>
      <c r="F20" s="56" t="s">
        <v>30</v>
      </c>
      <c r="G20" s="44">
        <v>16</v>
      </c>
      <c r="H20" s="129">
        <f>IF(B$15=0,0,G20/B$15)</f>
        <v>7.9286422200198214E-3</v>
      </c>
      <c r="I20" s="90">
        <v>5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 x14ac:dyDescent="0.45">
      <c r="A21" s="51" t="s">
        <v>194</v>
      </c>
      <c r="B21" s="44">
        <v>388</v>
      </c>
      <c r="C21" s="37">
        <f>IF(B$15=0,0,B21/B$15)</f>
        <v>0.19226957383548068</v>
      </c>
      <c r="E21" s="59" t="s">
        <v>92</v>
      </c>
      <c r="F21" s="56" t="s">
        <v>47</v>
      </c>
      <c r="G21" s="44">
        <v>11</v>
      </c>
      <c r="H21" s="129">
        <f>IF(B$15=0,0,G21/B$15)</f>
        <v>5.4509415262636272E-3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1.5649606299212597</v>
      </c>
      <c r="P21" s="115">
        <v>254</v>
      </c>
      <c r="Q21" s="103">
        <v>397.49999999999994</v>
      </c>
    </row>
    <row r="22" spans="1:17" x14ac:dyDescent="0.45">
      <c r="A22" s="51" t="s">
        <v>5</v>
      </c>
      <c r="B22" s="48">
        <f>IF(B$15=0,0,C22/B$15)</f>
        <v>8369.9207135777997</v>
      </c>
      <c r="C22" s="39">
        <v>16890500</v>
      </c>
      <c r="E22" s="59" t="s">
        <v>85</v>
      </c>
      <c r="F22" s="56" t="s">
        <v>40</v>
      </c>
      <c r="G22" s="44">
        <v>10</v>
      </c>
      <c r="H22" s="129">
        <f>IF(B$15=0,0,G22/B$15)</f>
        <v>4.9554013875123884E-3</v>
      </c>
      <c r="I22" s="90">
        <v>5</v>
      </c>
      <c r="K22" s="36">
        <v>20</v>
      </c>
      <c r="L22" s="95">
        <v>-61.199999999999996</v>
      </c>
      <c r="N22" s="111" t="s">
        <v>127</v>
      </c>
      <c r="O22" s="121">
        <f>IF(P22=0,0,Q22/P22)</f>
        <v>-0.66413043478261291</v>
      </c>
      <c r="P22" s="115">
        <v>276</v>
      </c>
      <c r="Q22" s="103">
        <v>-183.30000000000118</v>
      </c>
    </row>
    <row r="23" spans="1:17" x14ac:dyDescent="0.45">
      <c r="A23" s="52" t="s">
        <v>177</v>
      </c>
      <c r="B23" s="136">
        <f>IF($B$15-B$14=0,0,C23/($B$15-B$14))</f>
        <v>9010.3982300884963</v>
      </c>
      <c r="C23" s="137">
        <v>12218100</v>
      </c>
      <c r="E23" s="59" t="s">
        <v>73</v>
      </c>
      <c r="F23" s="56" t="s">
        <v>28</v>
      </c>
      <c r="G23" s="44">
        <v>8</v>
      </c>
      <c r="H23" s="129">
        <f>IF(B$15=0,0,G23/B$15)</f>
        <v>3.9643211100099107E-3</v>
      </c>
      <c r="I23" s="90">
        <v>3</v>
      </c>
      <c r="K23" s="36">
        <v>21</v>
      </c>
      <c r="L23" s="95">
        <v>7.1054273576010019E-15</v>
      </c>
      <c r="N23" s="111" t="s">
        <v>170</v>
      </c>
      <c r="O23" s="121">
        <f>IF(P23=0,0,Q23/P23)</f>
        <v>-7.1249999999999947</v>
      </c>
      <c r="P23" s="115">
        <v>220</v>
      </c>
      <c r="Q23" s="103">
        <v>-1567.4999999999989</v>
      </c>
    </row>
    <row r="24" spans="1:17" x14ac:dyDescent="0.45">
      <c r="A24" s="52" t="s">
        <v>178</v>
      </c>
      <c r="B24" s="136">
        <f>IF(B$14=0,0,C24/B$14)</f>
        <v>7058.0060422960723</v>
      </c>
      <c r="C24" s="137">
        <v>4672400</v>
      </c>
      <c r="E24" s="59" t="s">
        <v>74</v>
      </c>
      <c r="F24" s="56" t="s">
        <v>29</v>
      </c>
      <c r="G24" s="44">
        <v>8</v>
      </c>
      <c r="H24" s="129">
        <f>IF(B$15=0,0,G24/B$15)</f>
        <v>3.9643211100099107E-3</v>
      </c>
      <c r="I24" s="90">
        <v>5</v>
      </c>
      <c r="K24" s="36">
        <v>22</v>
      </c>
      <c r="L24" s="95">
        <v>-25.099999999999994</v>
      </c>
      <c r="N24" s="111" t="s">
        <v>274</v>
      </c>
      <c r="O24" s="121">
        <f>IF(P24=0,0,Q24/P24)</f>
        <v>-7.3909090909090933</v>
      </c>
      <c r="P24" s="115">
        <v>22</v>
      </c>
      <c r="Q24" s="103">
        <v>-162.60000000000005</v>
      </c>
    </row>
    <row r="25" spans="1:17" x14ac:dyDescent="0.45">
      <c r="A25" s="52" t="s">
        <v>176</v>
      </c>
      <c r="B25" s="136">
        <f>IF(B$16=0,0,C25/B$16)</f>
        <v>-7762.1743036837379</v>
      </c>
      <c r="C25" s="137">
        <v>-8639300</v>
      </c>
      <c r="E25" s="59" t="s">
        <v>84</v>
      </c>
      <c r="F25" s="56" t="s">
        <v>39</v>
      </c>
      <c r="G25" s="44">
        <v>7</v>
      </c>
      <c r="H25" s="129">
        <f>IF(B$15=0,0,G25/B$15)</f>
        <v>3.4687809712586719E-3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-12.427215189873412</v>
      </c>
      <c r="P25" s="115">
        <v>316</v>
      </c>
      <c r="Q25" s="103">
        <v>-3926.9999999999982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6</v>
      </c>
      <c r="H26" s="129">
        <f>IF(B$15=0,0,G26/B$15)</f>
        <v>2.973240832507433E-3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6</v>
      </c>
      <c r="E27" s="59" t="s">
        <v>88</v>
      </c>
      <c r="F27" s="56" t="s">
        <v>43</v>
      </c>
      <c r="G27" s="44">
        <v>5</v>
      </c>
      <c r="H27" s="129">
        <f>IF(B$15=0,0,G27/B$15)</f>
        <v>2.4777006937561942E-3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1.9821605550049554E-3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1.9821605550049554E-3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18</v>
      </c>
      <c r="C30" s="40">
        <f>IF(B$3=0,0,B30/B$3)</f>
        <v>2.6269702276707531E-3</v>
      </c>
      <c r="E30" s="59" t="s">
        <v>93</v>
      </c>
      <c r="F30" s="56" t="s">
        <v>48</v>
      </c>
      <c r="G30" s="44">
        <v>4</v>
      </c>
      <c r="H30" s="129">
        <f>IF(B$15=0,0,G30/B$15)</f>
        <v>1.9821605550049554E-3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1.9821605550049554E-3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157</v>
      </c>
      <c r="C32" s="141">
        <f>IF(B$15=0,0,B32/B$15)</f>
        <v>7.7799801783944494E-2</v>
      </c>
      <c r="E32" s="59" t="s">
        <v>97</v>
      </c>
      <c r="F32" s="56" t="s">
        <v>52</v>
      </c>
      <c r="G32" s="44">
        <v>1</v>
      </c>
      <c r="H32" s="129">
        <f>IF(B$15=0,0,G32/B$15)</f>
        <v>4.9554013875123884E-4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341</v>
      </c>
      <c r="C33" s="37">
        <f t="shared" ref="C33:C44" si="2">IF(B$15=0,0,B33/B$15)</f>
        <v>0.16897918731417244</v>
      </c>
      <c r="E33" s="59" t="s">
        <v>101</v>
      </c>
      <c r="F33" s="56" t="s">
        <v>56</v>
      </c>
      <c r="G33" s="44">
        <v>1</v>
      </c>
      <c r="H33" s="129">
        <f>IF(B$15=0,0,G33/B$15)</f>
        <v>4.9554013875123884E-4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395</v>
      </c>
      <c r="C34" s="37">
        <f>IF(B$15=0,0,B34/B$15)</f>
        <v>0.19573835480673935</v>
      </c>
      <c r="E34" s="59" t="s">
        <v>106</v>
      </c>
      <c r="F34" s="56" t="s">
        <v>113</v>
      </c>
      <c r="G34" s="44">
        <v>1</v>
      </c>
      <c r="H34" s="129">
        <f>IF(B$15=0,0,G34/B$15)</f>
        <v>4.9554013875123884E-4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359</v>
      </c>
      <c r="C35" s="37">
        <f t="shared" si="2"/>
        <v>0.17789890981169476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319</v>
      </c>
      <c r="C36" s="37">
        <f t="shared" si="2"/>
        <v>0.15807730426164518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214</v>
      </c>
      <c r="C37" s="37">
        <f t="shared" si="2"/>
        <v>0.10604558969276512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109</v>
      </c>
      <c r="C38" s="37">
        <f t="shared" si="2"/>
        <v>5.4013875123885037E-2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56</v>
      </c>
      <c r="C39" s="37">
        <f t="shared" si="2"/>
        <v>2.7750247770069375E-2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27</v>
      </c>
      <c r="C40" s="37">
        <f t="shared" si="2"/>
        <v>1.3379583746283449E-2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3.4687809712586719E-3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2.973240832507433E-3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2.973240832507433E-3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22</v>
      </c>
      <c r="C44" s="40">
        <f t="shared" si="2"/>
        <v>1.0901883052527254E-2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0B195-D258-48A2-8E8D-20C7D7DDB60A}">
  <sheetPr codeName="Sheet7"/>
  <dimension ref="A1:Q7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73</v>
      </c>
      <c r="C2" s="155"/>
      <c r="E2" s="58" t="s">
        <v>66</v>
      </c>
      <c r="F2" s="55" t="s">
        <v>22</v>
      </c>
      <c r="G2" s="43">
        <v>130</v>
      </c>
      <c r="H2" s="128">
        <f>IF(B$15=0,0,G2/B$15)</f>
        <v>0.72625698324022347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2147.9452054794519</v>
      </c>
      <c r="P2" s="114">
        <v>73</v>
      </c>
      <c r="Q2" s="98">
        <v>156800</v>
      </c>
    </row>
    <row r="3" spans="1:17" x14ac:dyDescent="0.45">
      <c r="A3" s="51" t="s">
        <v>8</v>
      </c>
      <c r="B3" s="156">
        <v>653</v>
      </c>
      <c r="C3" s="157"/>
      <c r="E3" s="59" t="s">
        <v>72</v>
      </c>
      <c r="F3" s="56" t="s">
        <v>27</v>
      </c>
      <c r="G3" s="44">
        <v>96</v>
      </c>
      <c r="H3" s="129">
        <f>IF(B$15=0,0,G3/B$15)</f>
        <v>0.53631284916201116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-1718.0555555555557</v>
      </c>
      <c r="P3" s="115">
        <v>72</v>
      </c>
      <c r="Q3" s="99">
        <v>-123700</v>
      </c>
    </row>
    <row r="4" spans="1:17" x14ac:dyDescent="0.45">
      <c r="A4" s="51" t="s">
        <v>6</v>
      </c>
      <c r="B4" s="158">
        <v>-460.50000000000028</v>
      </c>
      <c r="C4" s="159"/>
      <c r="E4" s="59" t="s">
        <v>166</v>
      </c>
      <c r="F4" s="56" t="s">
        <v>167</v>
      </c>
      <c r="G4" s="44">
        <v>68</v>
      </c>
      <c r="H4" s="129">
        <f>IF(B$15=0,0,G4/B$15)</f>
        <v>0.37988826815642457</v>
      </c>
      <c r="I4" s="90">
        <v>8</v>
      </c>
      <c r="K4" s="36">
        <v>2</v>
      </c>
      <c r="L4" s="95">
        <v>19.899999999999999</v>
      </c>
      <c r="N4" s="111" t="s">
        <v>132</v>
      </c>
      <c r="O4" s="118">
        <f t="shared" si="0"/>
        <v>-1652.8571428571429</v>
      </c>
      <c r="P4" s="115">
        <v>70</v>
      </c>
      <c r="Q4" s="99">
        <v>-115700</v>
      </c>
    </row>
    <row r="5" spans="1:17" x14ac:dyDescent="0.45">
      <c r="A5" s="51" t="s">
        <v>7</v>
      </c>
      <c r="B5" s="160">
        <f>IF(B$2=0,0,B$4/B$2)</f>
        <v>-6.3082191780821955</v>
      </c>
      <c r="C5" s="161"/>
      <c r="E5" s="59" t="s">
        <v>64</v>
      </c>
      <c r="F5" s="56" t="s">
        <v>20</v>
      </c>
      <c r="G5" s="44">
        <v>48</v>
      </c>
      <c r="H5" s="129">
        <f>IF(B$15=0,0,G5/B$15)</f>
        <v>0.26815642458100558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-1203.030303030303</v>
      </c>
      <c r="P5" s="115">
        <v>66</v>
      </c>
      <c r="Q5" s="99">
        <v>-79400</v>
      </c>
    </row>
    <row r="6" spans="1:17" x14ac:dyDescent="0.45">
      <c r="A6" s="51" t="s">
        <v>1</v>
      </c>
      <c r="B6" s="150">
        <f>IF(B$2=0,0,(B$7*1+B$8*2+B$9*3)/B$2)</f>
        <v>2.1369863013698631</v>
      </c>
      <c r="C6" s="151"/>
      <c r="E6" s="59" t="s">
        <v>68</v>
      </c>
      <c r="F6" s="56" t="s">
        <v>12</v>
      </c>
      <c r="G6" s="44">
        <v>48</v>
      </c>
      <c r="H6" s="129">
        <f>IF(B$15=0,0,G6/B$15)</f>
        <v>0.26815642458100558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-190.76923076923077</v>
      </c>
      <c r="P6" s="115">
        <v>65</v>
      </c>
      <c r="Q6" s="99">
        <v>-12400</v>
      </c>
    </row>
    <row r="7" spans="1:17" x14ac:dyDescent="0.45">
      <c r="A7" s="51" t="s">
        <v>2</v>
      </c>
      <c r="B7" s="44">
        <v>23</v>
      </c>
      <c r="C7" s="37">
        <f t="shared" ref="C7:C10" si="1">IF(B$2=0,0,B7/B$2)</f>
        <v>0.31506849315068491</v>
      </c>
      <c r="E7" s="59" t="s">
        <v>67</v>
      </c>
      <c r="F7" s="56" t="s">
        <v>23</v>
      </c>
      <c r="G7" s="44">
        <v>32</v>
      </c>
      <c r="H7" s="129">
        <f>IF(B$15=0,0,G7/B$15)</f>
        <v>0.1787709497206704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5">
      <c r="A8" s="51" t="s">
        <v>3</v>
      </c>
      <c r="B8" s="44">
        <v>17</v>
      </c>
      <c r="C8" s="37">
        <f t="shared" si="1"/>
        <v>0.23287671232876711</v>
      </c>
      <c r="E8" s="59" t="s">
        <v>69</v>
      </c>
      <c r="F8" s="56" t="s">
        <v>24</v>
      </c>
      <c r="G8" s="44">
        <v>32</v>
      </c>
      <c r="H8" s="129">
        <f>IF(B$15=0,0,G8/B$15)</f>
        <v>0.1787709497206704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0.45205479452054792</v>
      </c>
      <c r="E9" s="59" t="s">
        <v>71</v>
      </c>
      <c r="F9" s="56" t="s">
        <v>26</v>
      </c>
      <c r="G9" s="44">
        <v>22</v>
      </c>
      <c r="H9" s="129">
        <f>IF(B$15=0,0,G9/B$15)</f>
        <v>0.12290502793296089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6.8493150684931503E-2</v>
      </c>
      <c r="E10" s="59" t="s">
        <v>70</v>
      </c>
      <c r="F10" s="56" t="s">
        <v>25</v>
      </c>
      <c r="G10" s="44">
        <v>21</v>
      </c>
      <c r="H10" s="129">
        <f>IF(B$15=0,0,G10/B$15)</f>
        <v>0.11731843575418995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5">
      <c r="A11" s="54" t="s">
        <v>121</v>
      </c>
      <c r="B11" s="47">
        <v>96</v>
      </c>
      <c r="C11" s="42">
        <f>IF(B$3=0,0,B11/B$3)</f>
        <v>0.14701378254211334</v>
      </c>
      <c r="E11" s="59" t="s">
        <v>83</v>
      </c>
      <c r="F11" s="56" t="s">
        <v>38</v>
      </c>
      <c r="G11" s="44">
        <v>15</v>
      </c>
      <c r="H11" s="129">
        <f>IF(B$15=0,0,G11/B$15)</f>
        <v>8.3798882681564241E-2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-6.0904761904761902</v>
      </c>
      <c r="P11" s="115">
        <v>21</v>
      </c>
      <c r="Q11" s="103">
        <v>-127.89999999999999</v>
      </c>
    </row>
    <row r="12" spans="1:17" x14ac:dyDescent="0.45">
      <c r="A12" s="51" t="s">
        <v>118</v>
      </c>
      <c r="B12" s="44">
        <v>165</v>
      </c>
      <c r="C12" s="37">
        <f>IF(B$3=0,0,B12/B$3)</f>
        <v>0.25267993874425726</v>
      </c>
      <c r="E12" s="59" t="s">
        <v>65</v>
      </c>
      <c r="F12" s="56" t="s">
        <v>21</v>
      </c>
      <c r="G12" s="44">
        <v>11</v>
      </c>
      <c r="H12" s="129">
        <f>IF(B$15=0,0,G12/B$15)</f>
        <v>6.1452513966480445E-2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-0.78399999999999959</v>
      </c>
      <c r="P12" s="116">
        <v>25</v>
      </c>
      <c r="Q12" s="104">
        <v>-19.599999999999991</v>
      </c>
    </row>
    <row r="13" spans="1:17" x14ac:dyDescent="0.45">
      <c r="A13" s="50" t="s">
        <v>123</v>
      </c>
      <c r="B13" s="43">
        <f>B19</f>
        <v>50</v>
      </c>
      <c r="C13" s="35">
        <f>IF(B$11=0,0,B13/B$11)</f>
        <v>0.52083333333333337</v>
      </c>
      <c r="E13" s="59" t="s">
        <v>89</v>
      </c>
      <c r="F13" s="56" t="s">
        <v>44</v>
      </c>
      <c r="G13" s="44">
        <v>9</v>
      </c>
      <c r="H13" s="129">
        <f>IF(B$15=0,0,G13/B$15)</f>
        <v>5.027932960893855E-2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81</v>
      </c>
      <c r="F14" s="56" t="s">
        <v>36</v>
      </c>
      <c r="G14" s="44">
        <v>8</v>
      </c>
      <c r="H14" s="129">
        <f>IF(B$15=0,0,G14/B$15)</f>
        <v>4.4692737430167599E-2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179</v>
      </c>
      <c r="C15" s="35">
        <f>IF(B$3=0,0,B15/B$3)</f>
        <v>0.27411944869831545</v>
      </c>
      <c r="E15" s="59" t="s">
        <v>86</v>
      </c>
      <c r="F15" s="56" t="s">
        <v>41</v>
      </c>
      <c r="G15" s="44">
        <v>5</v>
      </c>
      <c r="H15" s="129">
        <f>IF(B$15=0,0,G15/B$15)</f>
        <v>2.7932960893854747E-2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102</v>
      </c>
      <c r="C16" s="37">
        <f>IF(B$3=0,0,B16/B$3)</f>
        <v>0.15620214395099541</v>
      </c>
      <c r="E16" s="59" t="s">
        <v>79</v>
      </c>
      <c r="F16" s="56" t="s">
        <v>34</v>
      </c>
      <c r="G16" s="44">
        <v>3</v>
      </c>
      <c r="H16" s="129">
        <f>IF(B$15=0,0,G16/B$15)</f>
        <v>1.6759776536312849E-2</v>
      </c>
      <c r="I16" s="90">
        <v>6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75</v>
      </c>
      <c r="C17" s="37">
        <f>IF(B$15=0,0,B17/B$15)</f>
        <v>0.41899441340782123</v>
      </c>
      <c r="E17" s="59" t="s">
        <v>91</v>
      </c>
      <c r="F17" s="56" t="s">
        <v>46</v>
      </c>
      <c r="G17" s="44">
        <v>3</v>
      </c>
      <c r="H17" s="129">
        <f>IF(B$15=0,0,G17/B$15)</f>
        <v>1.6759776536312849E-2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1.7280000000000002</v>
      </c>
      <c r="P17" s="115">
        <v>25</v>
      </c>
      <c r="Q17" s="103">
        <v>43.2</v>
      </c>
    </row>
    <row r="18" spans="1:17" x14ac:dyDescent="0.45">
      <c r="A18" s="51" t="s">
        <v>11</v>
      </c>
      <c r="B18" s="44">
        <v>104</v>
      </c>
      <c r="C18" s="37">
        <f>IF(B$15=0,0,B18/B$15)</f>
        <v>0.58100558659217882</v>
      </c>
      <c r="E18" s="59" t="s">
        <v>74</v>
      </c>
      <c r="F18" s="56" t="s">
        <v>29</v>
      </c>
      <c r="G18" s="44">
        <v>2</v>
      </c>
      <c r="H18" s="129">
        <f>IF(B$15=0,0,G18/B$15)</f>
        <v>1.11731843575419E-2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50</v>
      </c>
      <c r="C19" s="37">
        <f>IF(B$15=0,0,B19/B$15)</f>
        <v>0.27932960893854747</v>
      </c>
      <c r="E19" s="59" t="s">
        <v>78</v>
      </c>
      <c r="F19" s="56" t="s">
        <v>33</v>
      </c>
      <c r="G19" s="44">
        <v>2</v>
      </c>
      <c r="H19" s="129">
        <f>IF(B$15=0,0,G19/B$15)</f>
        <v>1.11731843575419E-2</v>
      </c>
      <c r="I19" s="90">
        <v>8</v>
      </c>
      <c r="K19" s="36">
        <v>17</v>
      </c>
      <c r="L19" s="95">
        <v>-65.2</v>
      </c>
      <c r="N19" s="111" t="s">
        <v>127</v>
      </c>
      <c r="O19" s="121">
        <f>IF(P19=0,0,Q19/P19)</f>
        <v>-3.0250000000000017</v>
      </c>
      <c r="P19" s="115">
        <v>28</v>
      </c>
      <c r="Q19" s="103">
        <v>-84.700000000000045</v>
      </c>
    </row>
    <row r="20" spans="1:17" x14ac:dyDescent="0.45">
      <c r="A20" s="51" t="s">
        <v>193</v>
      </c>
      <c r="B20" s="44">
        <v>67</v>
      </c>
      <c r="C20" s="37">
        <f>IF(B$15=0,0,B20/B$15)</f>
        <v>0.37430167597765363</v>
      </c>
      <c r="E20" s="59" t="s">
        <v>88</v>
      </c>
      <c r="F20" s="56" t="s">
        <v>43</v>
      </c>
      <c r="G20" s="44">
        <v>2</v>
      </c>
      <c r="H20" s="129">
        <f>IF(B$15=0,0,G20/B$15)</f>
        <v>1.11731843575419E-2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>IF(P20=0,0,Q20/P20)</f>
        <v>-12.572222222222225</v>
      </c>
      <c r="P20" s="115">
        <v>36</v>
      </c>
      <c r="Q20" s="103">
        <v>-452.60000000000008</v>
      </c>
    </row>
    <row r="21" spans="1:17" x14ac:dyDescent="0.45">
      <c r="A21" s="51" t="s">
        <v>194</v>
      </c>
      <c r="B21" s="44">
        <v>62</v>
      </c>
      <c r="C21" s="37">
        <f>IF(B$15=0,0,B21/B$15)</f>
        <v>0.34636871508379891</v>
      </c>
      <c r="E21" s="59" t="s">
        <v>93</v>
      </c>
      <c r="F21" s="56" t="s">
        <v>48</v>
      </c>
      <c r="G21" s="44">
        <v>2</v>
      </c>
      <c r="H21" s="129">
        <f>IF(B$15=0,0,G21/B$15)</f>
        <v>1.11731843575419E-2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-32.455555555555549</v>
      </c>
      <c r="P21" s="115">
        <v>9</v>
      </c>
      <c r="Q21" s="103">
        <v>-292.09999999999997</v>
      </c>
    </row>
    <row r="22" spans="1:17" x14ac:dyDescent="0.45">
      <c r="A22" s="51" t="s">
        <v>5</v>
      </c>
      <c r="B22" s="48">
        <f>IF(B$15=0,0,C22/B$15)</f>
        <v>7007.2625698324018</v>
      </c>
      <c r="C22" s="39">
        <v>1254300</v>
      </c>
      <c r="E22" s="59" t="s">
        <v>75</v>
      </c>
      <c r="F22" s="56" t="s">
        <v>30</v>
      </c>
      <c r="G22" s="44">
        <v>1</v>
      </c>
      <c r="H22" s="129">
        <f>IF(B$15=0,0,G22/B$15)</f>
        <v>5.5865921787709499E-3</v>
      </c>
      <c r="I22" s="90">
        <v>8</v>
      </c>
      <c r="K22" s="36">
        <v>20</v>
      </c>
      <c r="L22" s="95">
        <v>-88.8</v>
      </c>
      <c r="N22" s="111" t="s">
        <v>170</v>
      </c>
      <c r="O22" s="121">
        <f>IF(P22=0,0,Q22/P22)</f>
        <v>-37.36</v>
      </c>
      <c r="P22" s="115">
        <v>20</v>
      </c>
      <c r="Q22" s="103">
        <v>-747.19999999999993</v>
      </c>
    </row>
    <row r="23" spans="1:17" x14ac:dyDescent="0.45">
      <c r="A23" s="52" t="s">
        <v>177</v>
      </c>
      <c r="B23" s="136">
        <f>IF($B$15-B$14=0,0,C23/($B$15-B$14))</f>
        <v>7578.5714285714284</v>
      </c>
      <c r="C23" s="137">
        <v>848800</v>
      </c>
      <c r="E23" s="59" t="s">
        <v>77</v>
      </c>
      <c r="F23" s="56" t="s">
        <v>32</v>
      </c>
      <c r="G23" s="44">
        <v>1</v>
      </c>
      <c r="H23" s="129">
        <f>IF(B$15=0,0,G23/B$15)</f>
        <v>5.5865921787709499E-3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6052.2388059701489</v>
      </c>
      <c r="C24" s="137">
        <v>405500</v>
      </c>
      <c r="E24" s="59" t="s">
        <v>84</v>
      </c>
      <c r="F24" s="56" t="s">
        <v>39</v>
      </c>
      <c r="G24" s="44">
        <v>1</v>
      </c>
      <c r="H24" s="129">
        <f>IF(B$15=0,0,G24/B$15)</f>
        <v>5.5865921787709499E-3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-7789.2156862745096</v>
      </c>
      <c r="C25" s="137">
        <v>-794500</v>
      </c>
      <c r="E25" s="59" t="s">
        <v>87</v>
      </c>
      <c r="F25" s="56" t="s">
        <v>42</v>
      </c>
      <c r="G25" s="44">
        <v>1</v>
      </c>
      <c r="H25" s="129">
        <f>IF(B$15=0,0,G25/B$15)</f>
        <v>5.5865921787709499E-3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1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3.0627871362940277E-3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26</v>
      </c>
      <c r="C32" s="141">
        <f>IF(B$15=0,0,B32/B$15)</f>
        <v>0.14525139664804471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37</v>
      </c>
      <c r="C33" s="37">
        <f t="shared" ref="C33:C44" si="2">IF(B$15=0,0,B33/B$15)</f>
        <v>0.20670391061452514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38</v>
      </c>
      <c r="C34" s="37">
        <f>IF(B$15=0,0,B34/B$15)</f>
        <v>0.21229050279329609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26</v>
      </c>
      <c r="C35" s="37">
        <f t="shared" si="2"/>
        <v>0.14525139664804471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19</v>
      </c>
      <c r="C36" s="37">
        <f t="shared" si="2"/>
        <v>0.10614525139664804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2"/>
        <v>7.8212290502793297E-2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10</v>
      </c>
      <c r="C38" s="37">
        <f t="shared" si="2"/>
        <v>5.5865921787709494E-2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2"/>
        <v>3.3519553072625698E-2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2"/>
        <v>5.5865921787709499E-3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2"/>
        <v>1.11731843575419E-2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3936A-FFBA-47AA-B3FB-F4468E511BF9}">
  <sheetPr codeName="Sheet9"/>
  <dimension ref="A1:Q16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158</v>
      </c>
      <c r="C2" s="155"/>
      <c r="E2" s="58" t="s">
        <v>66</v>
      </c>
      <c r="F2" s="55" t="s">
        <v>22</v>
      </c>
      <c r="G2" s="43">
        <v>297</v>
      </c>
      <c r="H2" s="128">
        <f>IF(B$15=0,0,G2/B$15)</f>
        <v>0.66741573033707868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1312.1019108280254</v>
      </c>
      <c r="P2" s="114">
        <v>157</v>
      </c>
      <c r="Q2" s="98">
        <v>206000</v>
      </c>
    </row>
    <row r="3" spans="1:17" x14ac:dyDescent="0.45">
      <c r="A3" s="51" t="s">
        <v>8</v>
      </c>
      <c r="B3" s="156">
        <v>1298</v>
      </c>
      <c r="C3" s="157"/>
      <c r="E3" s="59" t="s">
        <v>72</v>
      </c>
      <c r="F3" s="56" t="s">
        <v>27</v>
      </c>
      <c r="G3" s="44">
        <v>236</v>
      </c>
      <c r="H3" s="129">
        <f>IF(B$15=0,0,G3/B$15)</f>
        <v>0.53033707865168545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1036.3636363636363</v>
      </c>
      <c r="P3" s="115">
        <v>154</v>
      </c>
      <c r="Q3" s="99">
        <v>159600</v>
      </c>
    </row>
    <row r="4" spans="1:17" x14ac:dyDescent="0.45">
      <c r="A4" s="51" t="s">
        <v>6</v>
      </c>
      <c r="B4" s="158">
        <v>1309</v>
      </c>
      <c r="C4" s="159"/>
      <c r="E4" s="59" t="s">
        <v>64</v>
      </c>
      <c r="F4" s="56" t="s">
        <v>20</v>
      </c>
      <c r="G4" s="44">
        <v>196</v>
      </c>
      <c r="H4" s="129">
        <f>IF(B$15=0,0,G4/B$15)</f>
        <v>0.44044943820224719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696.62162162162167</v>
      </c>
      <c r="P4" s="115">
        <v>148</v>
      </c>
      <c r="Q4" s="99">
        <v>103100</v>
      </c>
    </row>
    <row r="5" spans="1:17" x14ac:dyDescent="0.45">
      <c r="A5" s="51" t="s">
        <v>7</v>
      </c>
      <c r="B5" s="160">
        <f>IF(B$2=0,0,B$4/B$2)</f>
        <v>8.2848101265822791</v>
      </c>
      <c r="C5" s="161"/>
      <c r="E5" s="59" t="s">
        <v>166</v>
      </c>
      <c r="F5" s="56" t="s">
        <v>167</v>
      </c>
      <c r="G5" s="44">
        <v>168</v>
      </c>
      <c r="H5" s="129">
        <f>IF(B$15=0,0,G5/B$15)</f>
        <v>0.37752808988764047</v>
      </c>
      <c r="I5" s="90">
        <v>9</v>
      </c>
      <c r="K5" s="36">
        <v>3</v>
      </c>
      <c r="L5" s="95">
        <v>40.400000000000006</v>
      </c>
      <c r="N5" s="111" t="s">
        <v>133</v>
      </c>
      <c r="O5" s="118">
        <f t="shared" si="0"/>
        <v>423.91304347826087</v>
      </c>
      <c r="P5" s="115">
        <v>138</v>
      </c>
      <c r="Q5" s="99">
        <v>58500</v>
      </c>
    </row>
    <row r="6" spans="1:17" x14ac:dyDescent="0.45">
      <c r="A6" s="51" t="s">
        <v>1</v>
      </c>
      <c r="B6" s="150">
        <f>IF(B$2=0,0,(B$7*1+B$8*2+B$9*3)/B$2)</f>
        <v>1.7974683544303798</v>
      </c>
      <c r="C6" s="151"/>
      <c r="E6" s="59" t="s">
        <v>68</v>
      </c>
      <c r="F6" s="56" t="s">
        <v>12</v>
      </c>
      <c r="G6" s="44">
        <v>121</v>
      </c>
      <c r="H6" s="129">
        <f>IF(B$15=0,0,G6/B$15)</f>
        <v>0.27191011235955054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1885.9375</v>
      </c>
      <c r="P6" s="115">
        <v>128</v>
      </c>
      <c r="Q6" s="99">
        <v>241400</v>
      </c>
    </row>
    <row r="7" spans="1:17" x14ac:dyDescent="0.45">
      <c r="A7" s="51" t="s">
        <v>2</v>
      </c>
      <c r="B7" s="44">
        <v>72</v>
      </c>
      <c r="C7" s="37">
        <f t="shared" ref="C7:C10" si="1">IF(B$2=0,0,B7/B$2)</f>
        <v>0.45569620253164556</v>
      </c>
      <c r="E7" s="59" t="s">
        <v>67</v>
      </c>
      <c r="F7" s="56" t="s">
        <v>23</v>
      </c>
      <c r="G7" s="44">
        <v>111</v>
      </c>
      <c r="H7" s="129">
        <f>IF(B$15=0,0,G7/B$15)</f>
        <v>0.24943820224719102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1879.047619047619</v>
      </c>
      <c r="P7" s="116">
        <v>105</v>
      </c>
      <c r="Q7" s="100">
        <v>197300</v>
      </c>
    </row>
    <row r="8" spans="1:17" x14ac:dyDescent="0.45">
      <c r="A8" s="51" t="s">
        <v>3</v>
      </c>
      <c r="B8" s="44">
        <v>46</v>
      </c>
      <c r="C8" s="37">
        <f t="shared" si="1"/>
        <v>0.29113924050632911</v>
      </c>
      <c r="E8" s="59" t="s">
        <v>89</v>
      </c>
      <c r="F8" s="56" t="s">
        <v>44</v>
      </c>
      <c r="G8" s="44">
        <v>63</v>
      </c>
      <c r="H8" s="129">
        <f>IF(B$15=0,0,G8/B$15)</f>
        <v>0.14157303370786517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0.25316455696202533</v>
      </c>
      <c r="E9" s="59" t="s">
        <v>69</v>
      </c>
      <c r="F9" s="56" t="s">
        <v>24</v>
      </c>
      <c r="G9" s="44">
        <v>57</v>
      </c>
      <c r="H9" s="129">
        <f>IF(B$15=0,0,G9/B$15)</f>
        <v>0.12808988764044943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4.4303797468354431E-2</v>
      </c>
      <c r="E10" s="59" t="s">
        <v>65</v>
      </c>
      <c r="F10" s="56" t="s">
        <v>21</v>
      </c>
      <c r="G10" s="44">
        <v>49</v>
      </c>
      <c r="H10" s="129">
        <f>IF(B$15=0,0,G10/B$15)</f>
        <v>0.1101123595505618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13.158695652173908</v>
      </c>
      <c r="P10" s="114">
        <v>46</v>
      </c>
      <c r="Q10" s="102">
        <v>605.29999999999973</v>
      </c>
    </row>
    <row r="11" spans="1:17" x14ac:dyDescent="0.45">
      <c r="A11" s="54" t="s">
        <v>121</v>
      </c>
      <c r="B11" s="47">
        <v>345</v>
      </c>
      <c r="C11" s="42">
        <f>IF(B$3=0,0,B11/B$3)</f>
        <v>0.2657935285053929</v>
      </c>
      <c r="E11" s="59" t="s">
        <v>71</v>
      </c>
      <c r="F11" s="56" t="s">
        <v>26</v>
      </c>
      <c r="G11" s="44">
        <v>30</v>
      </c>
      <c r="H11" s="129">
        <f>IF(B$15=0,0,G11/B$15)</f>
        <v>6.741573033707865E-2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5">
      <c r="A12" s="51" t="s">
        <v>118</v>
      </c>
      <c r="B12" s="44">
        <v>302</v>
      </c>
      <c r="C12" s="37">
        <f>IF(B$3=0,0,B12/B$3)</f>
        <v>0.23266563944530047</v>
      </c>
      <c r="E12" s="59" t="s">
        <v>86</v>
      </c>
      <c r="F12" s="56" t="s">
        <v>41</v>
      </c>
      <c r="G12" s="44">
        <v>30</v>
      </c>
      <c r="H12" s="129">
        <f>IF(B$15=0,0,G12/B$15)</f>
        <v>6.741573033707865E-2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9.5796610169491512</v>
      </c>
      <c r="P12" s="116">
        <v>59</v>
      </c>
      <c r="Q12" s="104">
        <v>565.19999999999993</v>
      </c>
    </row>
    <row r="13" spans="1:17" x14ac:dyDescent="0.45">
      <c r="A13" s="50" t="s">
        <v>123</v>
      </c>
      <c r="B13" s="43">
        <f>B19</f>
        <v>206</v>
      </c>
      <c r="C13" s="35">
        <f>IF(B$11=0,0,B13/B$11)</f>
        <v>0.59710144927536235</v>
      </c>
      <c r="E13" s="59" t="s">
        <v>70</v>
      </c>
      <c r="F13" s="56" t="s">
        <v>25</v>
      </c>
      <c r="G13" s="44">
        <v>24</v>
      </c>
      <c r="H13" s="129">
        <f>IF(B$15=0,0,G13/B$15)</f>
        <v>5.3932584269662923E-2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150</v>
      </c>
      <c r="C14" s="35">
        <f>IF(B$12=0,0,B14/B$12)</f>
        <v>0.49668874172185429</v>
      </c>
      <c r="E14" s="59" t="s">
        <v>83</v>
      </c>
      <c r="F14" s="56" t="s">
        <v>38</v>
      </c>
      <c r="G14" s="44">
        <v>22</v>
      </c>
      <c r="H14" s="129">
        <f>IF(B$15=0,0,G14/B$15)</f>
        <v>4.9438202247191011E-2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445</v>
      </c>
      <c r="C15" s="35">
        <f>IF(B$3=0,0,B15/B$3)</f>
        <v>0.34283513097072421</v>
      </c>
      <c r="E15" s="59" t="s">
        <v>78</v>
      </c>
      <c r="F15" s="56" t="s">
        <v>33</v>
      </c>
      <c r="G15" s="44">
        <v>19</v>
      </c>
      <c r="H15" s="129">
        <f>IF(B$15=0,0,G15/B$15)</f>
        <v>4.2696629213483148E-2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171</v>
      </c>
      <c r="C16" s="37">
        <f>IF(B$3=0,0,B16/B$3)</f>
        <v>0.13174114021571648</v>
      </c>
      <c r="E16" s="59" t="s">
        <v>162</v>
      </c>
      <c r="F16" s="56" t="s">
        <v>163</v>
      </c>
      <c r="G16" s="44">
        <v>13</v>
      </c>
      <c r="H16" s="129">
        <f>IF(B$15=0,0,G16/B$15)</f>
        <v>2.9213483146067417E-2</v>
      </c>
      <c r="I16" s="90">
        <v>2</v>
      </c>
      <c r="K16" s="36">
        <v>14</v>
      </c>
      <c r="L16" s="95">
        <v>240.09999999999997</v>
      </c>
      <c r="N16" s="111" t="s">
        <v>274</v>
      </c>
      <c r="O16" s="121">
        <f>IF(P16=0,0,Q16/P16)</f>
        <v>29.949999999999996</v>
      </c>
      <c r="P16" s="115">
        <v>2</v>
      </c>
      <c r="Q16" s="103">
        <v>59.899999999999991</v>
      </c>
    </row>
    <row r="17" spans="1:17" x14ac:dyDescent="0.45">
      <c r="A17" s="51" t="s">
        <v>12</v>
      </c>
      <c r="B17" s="44">
        <v>184</v>
      </c>
      <c r="C17" s="37">
        <f>IF(B$15=0,0,B17/B$15)</f>
        <v>0.41348314606741571</v>
      </c>
      <c r="E17" s="59" t="s">
        <v>81</v>
      </c>
      <c r="F17" s="56" t="s">
        <v>36</v>
      </c>
      <c r="G17" s="44">
        <v>6</v>
      </c>
      <c r="H17" s="129">
        <f>IF(B$15=0,0,G17/B$15)</f>
        <v>1.3483146067415731E-2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261</v>
      </c>
      <c r="C18" s="37">
        <f>IF(B$15=0,0,B18/B$15)</f>
        <v>0.58651685393258424</v>
      </c>
      <c r="E18" s="59" t="s">
        <v>75</v>
      </c>
      <c r="F18" s="56" t="s">
        <v>30</v>
      </c>
      <c r="G18" s="44">
        <v>5</v>
      </c>
      <c r="H18" s="129">
        <f>IF(B$15=0,0,G18/B$15)</f>
        <v>1.1235955056179775E-2</v>
      </c>
      <c r="I18" s="90">
        <v>4</v>
      </c>
      <c r="K18" s="36">
        <v>16</v>
      </c>
      <c r="L18" s="95">
        <v>323.69999999999993</v>
      </c>
      <c r="N18" s="111" t="s">
        <v>171</v>
      </c>
      <c r="O18" s="121">
        <f>IF(P18=0,0,Q18/P18)</f>
        <v>14.101724137931035</v>
      </c>
      <c r="P18" s="115">
        <v>58</v>
      </c>
      <c r="Q18" s="103">
        <v>817.9</v>
      </c>
    </row>
    <row r="19" spans="1:17" x14ac:dyDescent="0.45">
      <c r="A19" s="51" t="s">
        <v>195</v>
      </c>
      <c r="B19" s="44">
        <v>206</v>
      </c>
      <c r="C19" s="37">
        <f>IF(B$15=0,0,B19/B$15)</f>
        <v>0.46292134831460674</v>
      </c>
      <c r="E19" s="59" t="s">
        <v>79</v>
      </c>
      <c r="F19" s="56" t="s">
        <v>34</v>
      </c>
      <c r="G19" s="44">
        <v>4</v>
      </c>
      <c r="H19" s="129">
        <f>IF(B$15=0,0,G19/B$15)</f>
        <v>8.988764044943821E-3</v>
      </c>
      <c r="I19" s="90">
        <v>8</v>
      </c>
      <c r="K19" s="36">
        <v>17</v>
      </c>
      <c r="L19" s="95">
        <v>359.09999999999991</v>
      </c>
      <c r="N19" s="111" t="s">
        <v>172</v>
      </c>
      <c r="O19" s="121">
        <f>IF(P19=0,0,Q19/P19)</f>
        <v>13.508771929824562</v>
      </c>
      <c r="P19" s="115">
        <v>57</v>
      </c>
      <c r="Q19" s="103">
        <v>770</v>
      </c>
    </row>
    <row r="20" spans="1:17" x14ac:dyDescent="0.45">
      <c r="A20" s="51" t="s">
        <v>193</v>
      </c>
      <c r="B20" s="44">
        <v>150</v>
      </c>
      <c r="C20" s="37">
        <f>IF(B$15=0,0,B20/B$15)</f>
        <v>0.33707865168539325</v>
      </c>
      <c r="E20" s="59" t="s">
        <v>91</v>
      </c>
      <c r="F20" s="56" t="s">
        <v>46</v>
      </c>
      <c r="G20" s="44">
        <v>4</v>
      </c>
      <c r="H20" s="129">
        <f>IF(B$15=0,0,G20/B$15)</f>
        <v>8.988764044943821E-3</v>
      </c>
      <c r="I20" s="90">
        <v>7</v>
      </c>
      <c r="K20" s="36">
        <v>18</v>
      </c>
      <c r="L20" s="95">
        <v>352.39999999999992</v>
      </c>
      <c r="N20" s="111" t="s">
        <v>161</v>
      </c>
      <c r="O20" s="121">
        <f>IF(P20=0,0,Q20/P20)</f>
        <v>13.075675675675678</v>
      </c>
      <c r="P20" s="115">
        <v>37</v>
      </c>
      <c r="Q20" s="103">
        <v>483.80000000000007</v>
      </c>
    </row>
    <row r="21" spans="1:17" x14ac:dyDescent="0.45">
      <c r="A21" s="51" t="s">
        <v>194</v>
      </c>
      <c r="B21" s="44">
        <v>89</v>
      </c>
      <c r="C21" s="37">
        <f>IF(B$15=0,0,B21/B$15)</f>
        <v>0.2</v>
      </c>
      <c r="E21" s="59" t="s">
        <v>77</v>
      </c>
      <c r="F21" s="56" t="s">
        <v>32</v>
      </c>
      <c r="G21" s="44">
        <v>3</v>
      </c>
      <c r="H21" s="129">
        <f>IF(B$15=0,0,G21/B$15)</f>
        <v>6.7415730337078653E-3</v>
      </c>
      <c r="I21" s="90">
        <v>1</v>
      </c>
      <c r="K21" s="36">
        <v>19</v>
      </c>
      <c r="L21" s="95">
        <v>383.19999999999993</v>
      </c>
      <c r="N21" s="111" t="s">
        <v>127</v>
      </c>
      <c r="O21" s="121">
        <f>IF(P21=0,0,Q21/P21)</f>
        <v>12.341935483870968</v>
      </c>
      <c r="P21" s="115">
        <v>93</v>
      </c>
      <c r="Q21" s="103">
        <v>1147.8</v>
      </c>
    </row>
    <row r="22" spans="1:17" x14ac:dyDescent="0.45">
      <c r="A22" s="51" t="s">
        <v>5</v>
      </c>
      <c r="B22" s="48">
        <f>IF(B$15=0,0,C22/B$15)</f>
        <v>8151.4606741573034</v>
      </c>
      <c r="C22" s="39">
        <v>3627400</v>
      </c>
      <c r="E22" s="59" t="s">
        <v>84</v>
      </c>
      <c r="F22" s="56" t="s">
        <v>39</v>
      </c>
      <c r="G22" s="44">
        <v>3</v>
      </c>
      <c r="H22" s="129">
        <f>IF(B$15=0,0,G22/B$15)</f>
        <v>6.7415730337078653E-3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-2.5707317073170728</v>
      </c>
      <c r="P22" s="115">
        <v>41</v>
      </c>
      <c r="Q22" s="103">
        <v>-105.39999999999998</v>
      </c>
    </row>
    <row r="23" spans="1:17" x14ac:dyDescent="0.45">
      <c r="A23" s="52" t="s">
        <v>177</v>
      </c>
      <c r="B23" s="136">
        <f>IF($B$15-B$14=0,0,C23/($B$15-B$14))</f>
        <v>8635.9322033898297</v>
      </c>
      <c r="C23" s="137">
        <v>2547600</v>
      </c>
      <c r="E23" s="59" t="s">
        <v>85</v>
      </c>
      <c r="F23" s="56" t="s">
        <v>40</v>
      </c>
      <c r="G23" s="44">
        <v>3</v>
      </c>
      <c r="H23" s="129">
        <f>IF(B$15=0,0,G23/B$15)</f>
        <v>6.7415730337078653E-3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7198.666666666667</v>
      </c>
      <c r="C24" s="137">
        <v>1079800</v>
      </c>
      <c r="E24" s="59" t="s">
        <v>92</v>
      </c>
      <c r="F24" s="56" t="s">
        <v>47</v>
      </c>
      <c r="G24" s="44">
        <v>3</v>
      </c>
      <c r="H24" s="129">
        <f>IF(B$15=0,0,G24/B$15)</f>
        <v>6.7415730337078653E-3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-7618.1286549707602</v>
      </c>
      <c r="C25" s="137">
        <v>-1302700</v>
      </c>
      <c r="E25" s="59" t="s">
        <v>74</v>
      </c>
      <c r="F25" s="56" t="s">
        <v>29</v>
      </c>
      <c r="G25" s="44">
        <v>2</v>
      </c>
      <c r="H25" s="129">
        <f>IF(B$15=0,0,G25/B$15)</f>
        <v>4.4943820224719105E-3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4.4943820224719105E-3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9</v>
      </c>
      <c r="E27" s="59" t="s">
        <v>95</v>
      </c>
      <c r="F27" s="56" t="s">
        <v>50</v>
      </c>
      <c r="G27" s="44">
        <v>2</v>
      </c>
      <c r="H27" s="129">
        <f>IF(B$15=0,0,G27/B$15)</f>
        <v>4.4943820224719105E-3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2.2471910112359553E-3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2.2471910112359553E-3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7.7041602465331282E-4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40</v>
      </c>
      <c r="C32" s="141">
        <f>IF(B$15=0,0,B32/B$15)</f>
        <v>8.98876404494382E-2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84</v>
      </c>
      <c r="C33" s="37">
        <f t="shared" ref="C33:C44" si="2">IF(B$15=0,0,B33/B$15)</f>
        <v>0.18876404494382024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90</v>
      </c>
      <c r="C34" s="37">
        <f>IF(B$15=0,0,B34/B$15)</f>
        <v>0.20224719101123595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82</v>
      </c>
      <c r="C35" s="37">
        <f t="shared" si="2"/>
        <v>0.1842696629213483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63</v>
      </c>
      <c r="C36" s="37">
        <f t="shared" si="2"/>
        <v>0.14157303370786517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41</v>
      </c>
      <c r="C37" s="37">
        <f t="shared" si="2"/>
        <v>9.2134831460674152E-2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22</v>
      </c>
      <c r="C38" s="37">
        <f t="shared" si="2"/>
        <v>4.9438202247191011E-2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1.3483146067415731E-2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2.247191011235955E-2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2.2471910112359553E-3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1.3483146067415731E-2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E9E7-DD4A-4E07-9B69-31E4074A2932}">
  <sheetPr codeName="Sheet11"/>
  <dimension ref="A1:Q14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138</v>
      </c>
      <c r="C2" s="155"/>
      <c r="E2" s="58" t="s">
        <v>66</v>
      </c>
      <c r="F2" s="55" t="s">
        <v>22</v>
      </c>
      <c r="G2" s="43">
        <v>283</v>
      </c>
      <c r="H2" s="128">
        <f>IF(B$15=0,0,G2/B$15)</f>
        <v>0.80626780626780625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-1574.4525547445255</v>
      </c>
      <c r="P2" s="114">
        <v>137</v>
      </c>
      <c r="Q2" s="98">
        <v>-215700</v>
      </c>
    </row>
    <row r="3" spans="1:17" x14ac:dyDescent="0.45">
      <c r="A3" s="51" t="s">
        <v>8</v>
      </c>
      <c r="B3" s="156">
        <v>1157</v>
      </c>
      <c r="C3" s="157"/>
      <c r="E3" s="59" t="s">
        <v>72</v>
      </c>
      <c r="F3" s="56" t="s">
        <v>27</v>
      </c>
      <c r="G3" s="44">
        <v>199</v>
      </c>
      <c r="H3" s="129">
        <f>IF(B$15=0,0,G3/B$15)</f>
        <v>0.5669515669515669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1482.962962962963</v>
      </c>
      <c r="P3" s="115">
        <v>135</v>
      </c>
      <c r="Q3" s="99">
        <v>200200</v>
      </c>
    </row>
    <row r="4" spans="1:17" x14ac:dyDescent="0.45">
      <c r="A4" s="51" t="s">
        <v>6</v>
      </c>
      <c r="B4" s="158">
        <v>61.099999999999817</v>
      </c>
      <c r="C4" s="159"/>
      <c r="E4" s="59" t="s">
        <v>166</v>
      </c>
      <c r="F4" s="56" t="s">
        <v>167</v>
      </c>
      <c r="G4" s="44">
        <v>137</v>
      </c>
      <c r="H4" s="129">
        <f>IF(B$15=0,0,G4/B$15)</f>
        <v>0.3903133903133903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-216.93548387096774</v>
      </c>
      <c r="P4" s="115">
        <v>124</v>
      </c>
      <c r="Q4" s="99">
        <v>-26900</v>
      </c>
    </row>
    <row r="5" spans="1:17" x14ac:dyDescent="0.45">
      <c r="A5" s="51" t="s">
        <v>7</v>
      </c>
      <c r="B5" s="160">
        <f>IF(B$2=0,0,B$4/B$2)</f>
        <v>0.44275362318840444</v>
      </c>
      <c r="C5" s="161"/>
      <c r="E5" s="59" t="s">
        <v>64</v>
      </c>
      <c r="F5" s="56" t="s">
        <v>20</v>
      </c>
      <c r="G5" s="44">
        <v>136</v>
      </c>
      <c r="H5" s="129">
        <f>IF(B$15=0,0,G5/B$15)</f>
        <v>0.38746438746438744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323.72881355932202</v>
      </c>
      <c r="P5" s="115">
        <v>118</v>
      </c>
      <c r="Q5" s="99">
        <v>38200</v>
      </c>
    </row>
    <row r="6" spans="1:17" x14ac:dyDescent="0.45">
      <c r="A6" s="51" t="s">
        <v>1</v>
      </c>
      <c r="B6" s="150">
        <f>IF(B$2=0,0,(B$7*1+B$8*2+B$9*3)/B$2)</f>
        <v>1.9565217391304348</v>
      </c>
      <c r="C6" s="151"/>
      <c r="E6" s="59" t="s">
        <v>68</v>
      </c>
      <c r="F6" s="56" t="s">
        <v>12</v>
      </c>
      <c r="G6" s="44">
        <v>97</v>
      </c>
      <c r="H6" s="129">
        <f>IF(B$15=0,0,G6/B$15)</f>
        <v>0.27635327635327633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-931.48148148148152</v>
      </c>
      <c r="P6" s="115">
        <v>108</v>
      </c>
      <c r="Q6" s="99">
        <v>-100600</v>
      </c>
    </row>
    <row r="7" spans="1:17" x14ac:dyDescent="0.45">
      <c r="A7" s="51" t="s">
        <v>2</v>
      </c>
      <c r="B7" s="44">
        <v>47</v>
      </c>
      <c r="C7" s="37">
        <f t="shared" ref="C7:C10" si="1">IF(B$2=0,0,B7/B$2)</f>
        <v>0.34057971014492755</v>
      </c>
      <c r="E7" s="59" t="s">
        <v>67</v>
      </c>
      <c r="F7" s="56" t="s">
        <v>23</v>
      </c>
      <c r="G7" s="44">
        <v>73</v>
      </c>
      <c r="H7" s="129">
        <f>IF(B$15=0,0,G7/B$15)</f>
        <v>0.20797720797720798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1419.5652173913043</v>
      </c>
      <c r="P7" s="116">
        <v>92</v>
      </c>
      <c r="Q7" s="100">
        <v>130600</v>
      </c>
    </row>
    <row r="8" spans="1:17" x14ac:dyDescent="0.45">
      <c r="A8" s="51" t="s">
        <v>3</v>
      </c>
      <c r="B8" s="44">
        <v>50</v>
      </c>
      <c r="C8" s="37">
        <f t="shared" si="1"/>
        <v>0.36231884057971014</v>
      </c>
      <c r="E8" s="59" t="s">
        <v>69</v>
      </c>
      <c r="F8" s="56" t="s">
        <v>24</v>
      </c>
      <c r="G8" s="44">
        <v>41</v>
      </c>
      <c r="H8" s="129">
        <f>IF(B$15=0,0,G8/B$15)</f>
        <v>0.11680911680911681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0.29710144927536231</v>
      </c>
      <c r="E9" s="59" t="s">
        <v>89</v>
      </c>
      <c r="F9" s="56" t="s">
        <v>44</v>
      </c>
      <c r="G9" s="44">
        <v>41</v>
      </c>
      <c r="H9" s="129">
        <f>IF(B$15=0,0,G9/B$15)</f>
        <v>0.11680911680911681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0.13043478260869565</v>
      </c>
      <c r="E10" s="59" t="s">
        <v>70</v>
      </c>
      <c r="F10" s="56" t="s">
        <v>25</v>
      </c>
      <c r="G10" s="44">
        <v>35</v>
      </c>
      <c r="H10" s="129">
        <f>IF(B$15=0,0,G10/B$15)</f>
        <v>9.9715099715099717E-2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1.371052631578948</v>
      </c>
      <c r="P10" s="114">
        <v>38</v>
      </c>
      <c r="Q10" s="102">
        <v>52.100000000000023</v>
      </c>
    </row>
    <row r="11" spans="1:17" x14ac:dyDescent="0.45">
      <c r="A11" s="54" t="s">
        <v>121</v>
      </c>
      <c r="B11" s="47">
        <v>271</v>
      </c>
      <c r="C11" s="42">
        <f>IF(B$3=0,0,B11/B$3)</f>
        <v>0.23422644770959378</v>
      </c>
      <c r="E11" s="59" t="s">
        <v>71</v>
      </c>
      <c r="F11" s="56" t="s">
        <v>26</v>
      </c>
      <c r="G11" s="44">
        <v>34</v>
      </c>
      <c r="H11" s="129">
        <f>IF(B$15=0,0,G11/B$15)</f>
        <v>9.686609686609686E-2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4.8382978723404273</v>
      </c>
      <c r="P11" s="115">
        <v>47</v>
      </c>
      <c r="Q11" s="103">
        <v>227.40000000000006</v>
      </c>
    </row>
    <row r="12" spans="1:17" x14ac:dyDescent="0.45">
      <c r="A12" s="51" t="s">
        <v>118</v>
      </c>
      <c r="B12" s="44">
        <v>345</v>
      </c>
      <c r="C12" s="37">
        <f>IF(B$3=0,0,B12/B$3)</f>
        <v>0.29818496110630943</v>
      </c>
      <c r="E12" s="59" t="s">
        <v>65</v>
      </c>
      <c r="F12" s="56" t="s">
        <v>21</v>
      </c>
      <c r="G12" s="44">
        <v>30</v>
      </c>
      <c r="H12" s="129">
        <f>IF(B$15=0,0,G12/B$15)</f>
        <v>8.5470085470085472E-2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-4.1207547169811329</v>
      </c>
      <c r="P12" s="116">
        <v>53</v>
      </c>
      <c r="Q12" s="104">
        <v>-218.40000000000003</v>
      </c>
    </row>
    <row r="13" spans="1:17" x14ac:dyDescent="0.45">
      <c r="A13" s="50" t="s">
        <v>123</v>
      </c>
      <c r="B13" s="43">
        <f>B19</f>
        <v>136</v>
      </c>
      <c r="C13" s="35">
        <f>IF(B$11=0,0,B13/B$11)</f>
        <v>0.50184501845018448</v>
      </c>
      <c r="E13" s="59" t="s">
        <v>86</v>
      </c>
      <c r="F13" s="56" t="s">
        <v>41</v>
      </c>
      <c r="G13" s="44">
        <v>24</v>
      </c>
      <c r="H13" s="129">
        <f>IF(B$15=0,0,G13/B$15)</f>
        <v>6.8376068376068383E-2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132</v>
      </c>
      <c r="C14" s="35">
        <f>IF(B$12=0,0,B14/B$12)</f>
        <v>0.38260869565217392</v>
      </c>
      <c r="E14" s="59" t="s">
        <v>83</v>
      </c>
      <c r="F14" s="56" t="s">
        <v>38</v>
      </c>
      <c r="G14" s="44">
        <v>19</v>
      </c>
      <c r="H14" s="129">
        <f>IF(B$15=0,0,G14/B$15)</f>
        <v>5.4131054131054131E-2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351</v>
      </c>
      <c r="C15" s="35">
        <f>IF(B$3=0,0,B15/B$3)</f>
        <v>0.30337078651685395</v>
      </c>
      <c r="E15" s="59" t="s">
        <v>91</v>
      </c>
      <c r="F15" s="56" t="s">
        <v>46</v>
      </c>
      <c r="G15" s="44">
        <v>11</v>
      </c>
      <c r="H15" s="129">
        <f>IF(B$15=0,0,G15/B$15)</f>
        <v>3.1339031339031341E-2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214</v>
      </c>
      <c r="C16" s="37">
        <f>IF(B$3=0,0,B16/B$3)</f>
        <v>0.18496110630942092</v>
      </c>
      <c r="E16" s="59" t="s">
        <v>78</v>
      </c>
      <c r="F16" s="56" t="s">
        <v>33</v>
      </c>
      <c r="G16" s="44">
        <v>10</v>
      </c>
      <c r="H16" s="129">
        <f>IF(B$15=0,0,G16/B$15)</f>
        <v>2.8490028490028491E-2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5">
      <c r="A17" s="51" t="s">
        <v>12</v>
      </c>
      <c r="B17" s="44">
        <v>144</v>
      </c>
      <c r="C17" s="37">
        <f>IF(B$15=0,0,B17/B$15)</f>
        <v>0.41025641025641024</v>
      </c>
      <c r="E17" s="59" t="s">
        <v>81</v>
      </c>
      <c r="F17" s="56" t="s">
        <v>36</v>
      </c>
      <c r="G17" s="44">
        <v>8</v>
      </c>
      <c r="H17" s="129">
        <f>IF(B$15=0,0,G17/B$15)</f>
        <v>2.2792022792022793E-2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207</v>
      </c>
      <c r="C18" s="37">
        <f>IF(B$15=0,0,B18/B$15)</f>
        <v>0.58974358974358976</v>
      </c>
      <c r="E18" s="59" t="s">
        <v>79</v>
      </c>
      <c r="F18" s="56" t="s">
        <v>34</v>
      </c>
      <c r="G18" s="44">
        <v>6</v>
      </c>
      <c r="H18" s="129">
        <f>IF(B$15=0,0,G18/B$15)</f>
        <v>1.7094017094017096E-2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136</v>
      </c>
      <c r="C19" s="37">
        <f>IF(B$15=0,0,B19/B$15)</f>
        <v>0.38746438746438744</v>
      </c>
      <c r="E19" s="59" t="s">
        <v>162</v>
      </c>
      <c r="F19" s="56" t="s">
        <v>163</v>
      </c>
      <c r="G19" s="44">
        <v>5</v>
      </c>
      <c r="H19" s="129">
        <f>IF(B$15=0,0,G19/B$15)</f>
        <v>1.4245014245014245E-2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3.0249999999999995</v>
      </c>
      <c r="P19" s="115">
        <v>28</v>
      </c>
      <c r="Q19" s="103">
        <v>84.699999999999989</v>
      </c>
    </row>
    <row r="20" spans="1:17" x14ac:dyDescent="0.45">
      <c r="A20" s="51" t="s">
        <v>193</v>
      </c>
      <c r="B20" s="44">
        <v>132</v>
      </c>
      <c r="C20" s="37">
        <f>IF(B$15=0,0,B20/B$15)</f>
        <v>0.37606837606837606</v>
      </c>
      <c r="E20" s="59" t="s">
        <v>92</v>
      </c>
      <c r="F20" s="56" t="s">
        <v>47</v>
      </c>
      <c r="G20" s="44">
        <v>3</v>
      </c>
      <c r="H20" s="129">
        <f>IF(B$15=0,0,G20/B$15)</f>
        <v>8.5470085470085479E-3</v>
      </c>
      <c r="I20" s="90">
        <v>2</v>
      </c>
      <c r="K20" s="36">
        <v>18</v>
      </c>
      <c r="L20" s="95">
        <v>-112.90000000000002</v>
      </c>
      <c r="N20" s="111" t="s">
        <v>170</v>
      </c>
      <c r="O20" s="121">
        <f>IF(P20=0,0,Q20/P20)</f>
        <v>0.66000000000000569</v>
      </c>
      <c r="P20" s="115">
        <v>40</v>
      </c>
      <c r="Q20" s="103">
        <v>26.400000000000226</v>
      </c>
    </row>
    <row r="21" spans="1:17" x14ac:dyDescent="0.45">
      <c r="A21" s="51" t="s">
        <v>194</v>
      </c>
      <c r="B21" s="44">
        <v>83</v>
      </c>
      <c r="C21" s="37">
        <f>IF(B$15=0,0,B21/B$15)</f>
        <v>0.23646723646723647</v>
      </c>
      <c r="E21" s="59" t="s">
        <v>74</v>
      </c>
      <c r="F21" s="56" t="s">
        <v>29</v>
      </c>
      <c r="G21" s="44">
        <v>2</v>
      </c>
      <c r="H21" s="129">
        <f>IF(B$15=0,0,G21/B$15)</f>
        <v>5.6980056980056983E-3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-1.1651162790697653</v>
      </c>
      <c r="P21" s="115">
        <v>43</v>
      </c>
      <c r="Q21" s="103">
        <v>-50.099999999999909</v>
      </c>
    </row>
    <row r="22" spans="1:17" x14ac:dyDescent="0.45">
      <c r="A22" s="51" t="s">
        <v>5</v>
      </c>
      <c r="B22" s="48">
        <f>IF(B$15=0,0,C22/B$15)</f>
        <v>8363.5327635327631</v>
      </c>
      <c r="C22" s="39">
        <v>2935600</v>
      </c>
      <c r="E22" s="59" t="s">
        <v>75</v>
      </c>
      <c r="F22" s="56" t="s">
        <v>30</v>
      </c>
      <c r="G22" s="44">
        <v>2</v>
      </c>
      <c r="H22" s="129">
        <f>IF(B$15=0,0,G22/B$15)</f>
        <v>5.6980056980056983E-3</v>
      </c>
      <c r="I22" s="90">
        <v>7</v>
      </c>
      <c r="K22" s="36">
        <v>20</v>
      </c>
      <c r="L22" s="95">
        <v>-96.000000000000028</v>
      </c>
      <c r="N22" s="111" t="s">
        <v>274</v>
      </c>
      <c r="O22" s="121">
        <f>IF(P22=0,0,Q22/P22)</f>
        <v>-6.2333333333333316</v>
      </c>
      <c r="P22" s="115">
        <v>3</v>
      </c>
      <c r="Q22" s="103">
        <v>-18.699999999999996</v>
      </c>
    </row>
    <row r="23" spans="1:17" x14ac:dyDescent="0.45">
      <c r="A23" s="52" t="s">
        <v>177</v>
      </c>
      <c r="B23" s="136">
        <f>IF($B$15-B$14=0,0,C23/($B$15-B$14))</f>
        <v>8981.278538812785</v>
      </c>
      <c r="C23" s="137">
        <v>1966900</v>
      </c>
      <c r="E23" s="59" t="s">
        <v>73</v>
      </c>
      <c r="F23" s="56" t="s">
        <v>28</v>
      </c>
      <c r="G23" s="44">
        <v>1</v>
      </c>
      <c r="H23" s="129">
        <f>IF(B$15=0,0,G23/B$15)</f>
        <v>2.8490028490028491E-3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-12.341935483870968</v>
      </c>
      <c r="P23" s="115">
        <v>93</v>
      </c>
      <c r="Q23" s="103">
        <v>-1147.8</v>
      </c>
    </row>
    <row r="24" spans="1:17" x14ac:dyDescent="0.45">
      <c r="A24" s="52" t="s">
        <v>178</v>
      </c>
      <c r="B24" s="136">
        <f>IF(B$14=0,0,C24/B$14)</f>
        <v>7338.636363636364</v>
      </c>
      <c r="C24" s="137">
        <v>968700</v>
      </c>
      <c r="E24" s="59" t="s">
        <v>77</v>
      </c>
      <c r="F24" s="56" t="s">
        <v>32</v>
      </c>
      <c r="G24" s="44">
        <v>1</v>
      </c>
      <c r="H24" s="129">
        <f>IF(B$15=0,0,G24/B$15)</f>
        <v>2.8490028490028491E-3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-7936.4485981308408</v>
      </c>
      <c r="C25" s="137">
        <v>-1698400</v>
      </c>
      <c r="E25" s="59" t="s">
        <v>84</v>
      </c>
      <c r="F25" s="56" t="s">
        <v>39</v>
      </c>
      <c r="G25" s="44">
        <v>1</v>
      </c>
      <c r="H25" s="129">
        <f>IF(B$15=0,0,G25/B$15)</f>
        <v>2.8490028490028491E-3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2.8490028490028491E-3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3</v>
      </c>
      <c r="E27" s="59" t="s">
        <v>95</v>
      </c>
      <c r="F27" s="56" t="s">
        <v>50</v>
      </c>
      <c r="G27" s="44">
        <v>1</v>
      </c>
      <c r="H27" s="129">
        <f>IF(B$15=0,0,G27/B$15)</f>
        <v>2.8490028490028491E-3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3.4572169403630079E-3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24</v>
      </c>
      <c r="C32" s="141">
        <f>IF(B$15=0,0,B32/B$15)</f>
        <v>6.8376068376068383E-2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57</v>
      </c>
      <c r="C33" s="37">
        <f t="shared" ref="C33:C44" si="2">IF(B$15=0,0,B33/B$15)</f>
        <v>0.1623931623931624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72</v>
      </c>
      <c r="C34" s="37">
        <f>IF(B$15=0,0,B34/B$15)</f>
        <v>0.20512820512820512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76</v>
      </c>
      <c r="C35" s="37">
        <f t="shared" si="2"/>
        <v>0.21652421652421652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52</v>
      </c>
      <c r="C36" s="37">
        <f t="shared" si="2"/>
        <v>0.14814814814814814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38</v>
      </c>
      <c r="C37" s="37">
        <f t="shared" si="2"/>
        <v>0.10826210826210826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12</v>
      </c>
      <c r="C38" s="37">
        <f t="shared" si="2"/>
        <v>3.4188034188034191E-2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2.2792022792022793E-2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1.4245014245014245E-2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2.8490028490028491E-3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5.6980056980056983E-3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1.1396011396011397E-2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DFA27-4FB8-41E3-AD24-9C0B441EEF80}">
  <sheetPr codeName="Sheet13"/>
  <dimension ref="A1:Q9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93</v>
      </c>
      <c r="C2" s="155"/>
      <c r="E2" s="58" t="s">
        <v>66</v>
      </c>
      <c r="F2" s="55" t="s">
        <v>22</v>
      </c>
      <c r="G2" s="43">
        <v>173</v>
      </c>
      <c r="H2" s="128">
        <f>IF(B$15=0,0,G2/B$15)</f>
        <v>0.79357798165137616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-309.78260869565219</v>
      </c>
      <c r="P2" s="114">
        <v>92</v>
      </c>
      <c r="Q2" s="98">
        <v>-28500</v>
      </c>
    </row>
    <row r="3" spans="1:17" x14ac:dyDescent="0.45">
      <c r="A3" s="51" t="s">
        <v>8</v>
      </c>
      <c r="B3" s="156">
        <v>796</v>
      </c>
      <c r="C3" s="157"/>
      <c r="E3" s="59" t="s">
        <v>64</v>
      </c>
      <c r="F3" s="56" t="s">
        <v>20</v>
      </c>
      <c r="G3" s="44">
        <v>121</v>
      </c>
      <c r="H3" s="129">
        <f>IF(B$15=0,0,G3/B$15)</f>
        <v>0.55504587155963303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-1053.2608695652175</v>
      </c>
      <c r="P3" s="115">
        <v>92</v>
      </c>
      <c r="Q3" s="99">
        <v>-96900</v>
      </c>
    </row>
    <row r="4" spans="1:17" x14ac:dyDescent="0.45">
      <c r="A4" s="51" t="s">
        <v>6</v>
      </c>
      <c r="B4" s="158">
        <v>-627.79999999999995</v>
      </c>
      <c r="C4" s="159"/>
      <c r="E4" s="59" t="s">
        <v>72</v>
      </c>
      <c r="F4" s="56" t="s">
        <v>27</v>
      </c>
      <c r="G4" s="44">
        <v>110</v>
      </c>
      <c r="H4" s="129">
        <f>IF(B$15=0,0,G4/B$15)</f>
        <v>0.50458715596330272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647.67441860465112</v>
      </c>
      <c r="P4" s="115">
        <v>86</v>
      </c>
      <c r="Q4" s="99">
        <v>55700</v>
      </c>
    </row>
    <row r="5" spans="1:17" x14ac:dyDescent="0.45">
      <c r="A5" s="51" t="s">
        <v>7</v>
      </c>
      <c r="B5" s="160">
        <f>IF(B$2=0,0,B$4/B$2)</f>
        <v>-6.7505376344086017</v>
      </c>
      <c r="C5" s="161"/>
      <c r="E5" s="59" t="s">
        <v>166</v>
      </c>
      <c r="F5" s="56" t="s">
        <v>167</v>
      </c>
      <c r="G5" s="44">
        <v>91</v>
      </c>
      <c r="H5" s="129">
        <f>IF(B$15=0,0,G5/B$15)</f>
        <v>0.41743119266055045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-785.88235294117646</v>
      </c>
      <c r="P5" s="115">
        <v>85</v>
      </c>
      <c r="Q5" s="99">
        <v>-66800</v>
      </c>
    </row>
    <row r="6" spans="1:17" x14ac:dyDescent="0.45">
      <c r="A6" s="51" t="s">
        <v>1</v>
      </c>
      <c r="B6" s="150">
        <f>IF(B$2=0,0,(B$7*1+B$8*2+B$9*3)/B$2)</f>
        <v>2.172043010752688</v>
      </c>
      <c r="C6" s="151"/>
      <c r="E6" s="59" t="s">
        <v>68</v>
      </c>
      <c r="F6" s="56" t="s">
        <v>12</v>
      </c>
      <c r="G6" s="44">
        <v>74</v>
      </c>
      <c r="H6" s="129">
        <f>IF(B$15=0,0,G6/B$15)</f>
        <v>0.33944954128440369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-3083.75</v>
      </c>
      <c r="P6" s="115">
        <v>80</v>
      </c>
      <c r="Q6" s="99">
        <v>-246700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0.21505376344086022</v>
      </c>
      <c r="E7" s="59" t="s">
        <v>67</v>
      </c>
      <c r="F7" s="56" t="s">
        <v>23</v>
      </c>
      <c r="G7" s="44">
        <v>64</v>
      </c>
      <c r="H7" s="129">
        <f>IF(B$15=0,0,G7/B$15)</f>
        <v>0.29357798165137616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-1332.8571428571429</v>
      </c>
      <c r="P7" s="116">
        <v>70</v>
      </c>
      <c r="Q7" s="100">
        <v>-93300</v>
      </c>
    </row>
    <row r="8" spans="1:17" x14ac:dyDescent="0.45">
      <c r="A8" s="51" t="s">
        <v>3</v>
      </c>
      <c r="B8" s="44">
        <v>37</v>
      </c>
      <c r="C8" s="37">
        <f t="shared" si="1"/>
        <v>0.39784946236559138</v>
      </c>
      <c r="E8" s="59" t="s">
        <v>69</v>
      </c>
      <c r="F8" s="56" t="s">
        <v>24</v>
      </c>
      <c r="G8" s="44">
        <v>30</v>
      </c>
      <c r="H8" s="129">
        <f>IF(B$15=0,0,G8/B$15)</f>
        <v>0.13761467889908258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0.38709677419354838</v>
      </c>
      <c r="E9" s="59" t="s">
        <v>70</v>
      </c>
      <c r="F9" s="56" t="s">
        <v>25</v>
      </c>
      <c r="G9" s="44">
        <v>27</v>
      </c>
      <c r="H9" s="129">
        <f>IF(B$15=0,0,G9/B$15)</f>
        <v>0.12385321100917432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7.5268817204301078E-2</v>
      </c>
      <c r="E10" s="59" t="s">
        <v>65</v>
      </c>
      <c r="F10" s="56" t="s">
        <v>21</v>
      </c>
      <c r="G10" s="44">
        <v>26</v>
      </c>
      <c r="H10" s="129">
        <f>IF(B$15=0,0,G10/B$15)</f>
        <v>0.11926605504587157</v>
      </c>
      <c r="I10" s="90">
        <v>7</v>
      </c>
      <c r="K10" s="36">
        <v>8</v>
      </c>
      <c r="L10" s="95">
        <v>-62.999999999999993</v>
      </c>
      <c r="N10" s="110" t="s">
        <v>157</v>
      </c>
      <c r="O10" s="120">
        <f>IF(P10=0,0,Q10/P10)</f>
        <v>-5.0026315789473701</v>
      </c>
      <c r="P10" s="114">
        <v>38</v>
      </c>
      <c r="Q10" s="102">
        <v>-190.10000000000008</v>
      </c>
    </row>
    <row r="11" spans="1:17" x14ac:dyDescent="0.45">
      <c r="A11" s="54" t="s">
        <v>121</v>
      </c>
      <c r="B11" s="47">
        <v>221</v>
      </c>
      <c r="C11" s="42">
        <f>IF(B$3=0,0,B11/B$3)</f>
        <v>0.27763819095477388</v>
      </c>
      <c r="E11" s="59" t="s">
        <v>89</v>
      </c>
      <c r="F11" s="56" t="s">
        <v>44</v>
      </c>
      <c r="G11" s="44">
        <v>25</v>
      </c>
      <c r="H11" s="129">
        <f>IF(B$15=0,0,G11/B$15)</f>
        <v>0.11467889908256881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-6.8115384615384631</v>
      </c>
      <c r="P11" s="115">
        <v>26</v>
      </c>
      <c r="Q11" s="103">
        <v>-177.10000000000005</v>
      </c>
    </row>
    <row r="12" spans="1:17" x14ac:dyDescent="0.45">
      <c r="A12" s="51" t="s">
        <v>118</v>
      </c>
      <c r="B12" s="44">
        <v>159</v>
      </c>
      <c r="C12" s="37">
        <f>IF(B$3=0,0,B12/B$3)</f>
        <v>0.19974874371859297</v>
      </c>
      <c r="E12" s="59" t="s">
        <v>83</v>
      </c>
      <c r="F12" s="56" t="s">
        <v>38</v>
      </c>
      <c r="G12" s="44">
        <v>12</v>
      </c>
      <c r="H12" s="129">
        <f>IF(B$15=0,0,G12/B$15)</f>
        <v>5.5045871559633031E-2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5">
      <c r="A13" s="50" t="s">
        <v>123</v>
      </c>
      <c r="B13" s="43">
        <f>B19</f>
        <v>120</v>
      </c>
      <c r="C13" s="35">
        <f>IF(B$11=0,0,B13/B$11)</f>
        <v>0.54298642533936647</v>
      </c>
      <c r="E13" s="59" t="s">
        <v>86</v>
      </c>
      <c r="F13" s="56" t="s">
        <v>41</v>
      </c>
      <c r="G13" s="44">
        <v>10</v>
      </c>
      <c r="H13" s="129">
        <f>IF(B$15=0,0,G13/B$15)</f>
        <v>4.5871559633027525E-2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0.41509433962264153</v>
      </c>
      <c r="E14" s="59" t="s">
        <v>71</v>
      </c>
      <c r="F14" s="56" t="s">
        <v>26</v>
      </c>
      <c r="G14" s="44">
        <v>9</v>
      </c>
      <c r="H14" s="129">
        <f>IF(B$15=0,0,G14/B$15)</f>
        <v>4.1284403669724773E-2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218</v>
      </c>
      <c r="C15" s="35">
        <f>IF(B$3=0,0,B15/B$3)</f>
        <v>0.27386934673366836</v>
      </c>
      <c r="E15" s="59" t="s">
        <v>78</v>
      </c>
      <c r="F15" s="56" t="s">
        <v>33</v>
      </c>
      <c r="G15" s="44">
        <v>7</v>
      </c>
      <c r="H15" s="129">
        <f>IF(B$15=0,0,G15/B$15)</f>
        <v>3.2110091743119268E-2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145</v>
      </c>
      <c r="C16" s="37">
        <f>IF(B$3=0,0,B16/B$3)</f>
        <v>0.18216080402010051</v>
      </c>
      <c r="E16" s="59" t="s">
        <v>79</v>
      </c>
      <c r="F16" s="56" t="s">
        <v>34</v>
      </c>
      <c r="G16" s="44">
        <v>4</v>
      </c>
      <c r="H16" s="129">
        <f>IF(B$15=0,0,G16/B$15)</f>
        <v>1.834862385321101E-2</v>
      </c>
      <c r="I16" s="90">
        <v>4</v>
      </c>
      <c r="K16" s="36">
        <v>14</v>
      </c>
      <c r="L16" s="95">
        <v>-204.8</v>
      </c>
      <c r="N16" s="111" t="s">
        <v>170</v>
      </c>
      <c r="O16" s="121">
        <f>IF(P16=0,0,Q16/P16)</f>
        <v>2.5450000000000008</v>
      </c>
      <c r="P16" s="115">
        <v>20</v>
      </c>
      <c r="Q16" s="103">
        <v>50.90000000000002</v>
      </c>
    </row>
    <row r="17" spans="1:17" x14ac:dyDescent="0.45">
      <c r="A17" s="51" t="s">
        <v>12</v>
      </c>
      <c r="B17" s="44">
        <v>101</v>
      </c>
      <c r="C17" s="37">
        <f>IF(B$15=0,0,B17/B$15)</f>
        <v>0.46330275229357798</v>
      </c>
      <c r="E17" s="59" t="s">
        <v>162</v>
      </c>
      <c r="F17" s="56" t="s">
        <v>163</v>
      </c>
      <c r="G17" s="44">
        <v>4</v>
      </c>
      <c r="H17" s="129">
        <f>IF(B$15=0,0,G17/B$15)</f>
        <v>1.834862385321101E-2</v>
      </c>
      <c r="I17" s="90">
        <v>5</v>
      </c>
      <c r="K17" s="36">
        <v>15</v>
      </c>
      <c r="L17" s="95">
        <v>-221.5</v>
      </c>
      <c r="N17" s="111" t="s">
        <v>161</v>
      </c>
      <c r="O17" s="121">
        <f>IF(P17=0,0,Q17/P17)</f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117</v>
      </c>
      <c r="C18" s="37">
        <f>IF(B$15=0,0,B18/B$15)</f>
        <v>0.53669724770642202</v>
      </c>
      <c r="E18" s="59" t="s">
        <v>75</v>
      </c>
      <c r="F18" s="56" t="s">
        <v>30</v>
      </c>
      <c r="G18" s="44">
        <v>3</v>
      </c>
      <c r="H18" s="129">
        <f>IF(B$15=0,0,G18/B$15)</f>
        <v>1.3761467889908258E-2</v>
      </c>
      <c r="I18" s="90">
        <v>3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120</v>
      </c>
      <c r="C19" s="37">
        <f>IF(B$15=0,0,B19/B$15)</f>
        <v>0.55045871559633031</v>
      </c>
      <c r="E19" s="59" t="s">
        <v>81</v>
      </c>
      <c r="F19" s="56" t="s">
        <v>36</v>
      </c>
      <c r="G19" s="44">
        <v>3</v>
      </c>
      <c r="H19" s="129">
        <f>IF(B$15=0,0,G19/B$15)</f>
        <v>1.3761467889908258E-2</v>
      </c>
      <c r="I19" s="90">
        <v>9</v>
      </c>
      <c r="K19" s="36">
        <v>17</v>
      </c>
      <c r="L19" s="95">
        <v>-251.4</v>
      </c>
      <c r="N19" s="111" t="s">
        <v>171</v>
      </c>
      <c r="O19" s="121">
        <f>IF(P19=0,0,Q19/P19)</f>
        <v>-13.237499999999999</v>
      </c>
      <c r="P19" s="115">
        <v>24</v>
      </c>
      <c r="Q19" s="103">
        <v>-317.7</v>
      </c>
    </row>
    <row r="20" spans="1:17" x14ac:dyDescent="0.45">
      <c r="A20" s="51" t="s">
        <v>193</v>
      </c>
      <c r="B20" s="44">
        <v>66</v>
      </c>
      <c r="C20" s="37">
        <f>IF(B$15=0,0,B20/B$15)</f>
        <v>0.30275229357798167</v>
      </c>
      <c r="E20" s="59" t="s">
        <v>91</v>
      </c>
      <c r="F20" s="56" t="s">
        <v>46</v>
      </c>
      <c r="G20" s="44">
        <v>1</v>
      </c>
      <c r="H20" s="129">
        <f>IF(B$15=0,0,G20/B$15)</f>
        <v>4.5871559633027525E-3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>IF(P20=0,0,Q20/P20)</f>
        <v>-13.508771929824563</v>
      </c>
      <c r="P20" s="115">
        <v>57</v>
      </c>
      <c r="Q20" s="103">
        <v>-770.00000000000011</v>
      </c>
    </row>
    <row r="21" spans="1:17" x14ac:dyDescent="0.45">
      <c r="A21" s="51" t="s">
        <v>194</v>
      </c>
      <c r="B21" s="44">
        <v>32</v>
      </c>
      <c r="C21" s="37">
        <f>IF(B$15=0,0,B21/B$15)</f>
        <v>0.14678899082568808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-17.456249999999994</v>
      </c>
      <c r="P21" s="115">
        <v>48</v>
      </c>
      <c r="Q21" s="103">
        <v>-837.89999999999964</v>
      </c>
    </row>
    <row r="22" spans="1:17" x14ac:dyDescent="0.45">
      <c r="A22" s="51" t="s">
        <v>5</v>
      </c>
      <c r="B22" s="48">
        <f>IF(B$15=0,0,C22/B$15)</f>
        <v>7760.5504587155965</v>
      </c>
      <c r="C22" s="39">
        <v>1691800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8407.894736842105</v>
      </c>
      <c r="C23" s="137">
        <v>1278000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-7630.3448275862065</v>
      </c>
      <c r="C25" s="137">
        <v>-1106400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2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3.7688442211055275E-3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16</v>
      </c>
      <c r="C32" s="141">
        <f>IF(B$15=0,0,B32/B$15)</f>
        <v>7.3394495412844041E-2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0.17889908256880735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49</v>
      </c>
      <c r="C34" s="37">
        <f>IF(B$15=0,0,B34/B$15)</f>
        <v>0.22477064220183487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33</v>
      </c>
      <c r="C35" s="37">
        <f t="shared" si="2"/>
        <v>0.15137614678899083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36</v>
      </c>
      <c r="C36" s="37">
        <f t="shared" si="2"/>
        <v>0.16513761467889909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2"/>
        <v>0.10550458715596331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2"/>
        <v>5.9633027522935783E-2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5</v>
      </c>
      <c r="C39" s="37">
        <f t="shared" si="2"/>
        <v>2.2935779816513763E-2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2"/>
        <v>4.5871559633027525E-3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4.5871559633027525E-3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9.1743119266055051E-3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EFEC4-D515-4649-81B7-B78167B410F6}">
  <sheetPr codeName="Sheet15"/>
  <dimension ref="A1:Q11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110</v>
      </c>
      <c r="C2" s="155"/>
      <c r="E2" s="58" t="s">
        <v>66</v>
      </c>
      <c r="F2" s="55" t="s">
        <v>22</v>
      </c>
      <c r="G2" s="43">
        <v>217</v>
      </c>
      <c r="H2" s="128">
        <f>IF(B$15=0,0,G2/B$15)</f>
        <v>0.86454183266932272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1334.5454545454545</v>
      </c>
      <c r="P2" s="114">
        <v>110</v>
      </c>
      <c r="Q2" s="98">
        <v>146800</v>
      </c>
    </row>
    <row r="3" spans="1:17" x14ac:dyDescent="0.45">
      <c r="A3" s="51" t="s">
        <v>8</v>
      </c>
      <c r="B3" s="156">
        <v>899</v>
      </c>
      <c r="C3" s="157"/>
      <c r="E3" s="59" t="s">
        <v>64</v>
      </c>
      <c r="F3" s="56" t="s">
        <v>20</v>
      </c>
      <c r="G3" s="44">
        <v>139</v>
      </c>
      <c r="H3" s="129">
        <f>IF(B$15=0,0,G3/B$15)</f>
        <v>0.55378486055776888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-1441.6666666666667</v>
      </c>
      <c r="P3" s="115">
        <v>108</v>
      </c>
      <c r="Q3" s="99">
        <v>-155700</v>
      </c>
    </row>
    <row r="4" spans="1:17" x14ac:dyDescent="0.45">
      <c r="A4" s="51" t="s">
        <v>6</v>
      </c>
      <c r="B4" s="158">
        <v>522.50000000000023</v>
      </c>
      <c r="C4" s="159"/>
      <c r="E4" s="59" t="s">
        <v>72</v>
      </c>
      <c r="F4" s="56" t="s">
        <v>27</v>
      </c>
      <c r="G4" s="44">
        <v>136</v>
      </c>
      <c r="H4" s="129">
        <f>IF(B$15=0,0,G4/B$15)</f>
        <v>0.54183266932270913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158.58585858585857</v>
      </c>
      <c r="P4" s="115">
        <v>99</v>
      </c>
      <c r="Q4" s="99">
        <v>15700</v>
      </c>
    </row>
    <row r="5" spans="1:17" x14ac:dyDescent="0.45">
      <c r="A5" s="51" t="s">
        <v>7</v>
      </c>
      <c r="B5" s="160">
        <f>IF(B$2=0,0,B$4/B$2)</f>
        <v>4.7500000000000018</v>
      </c>
      <c r="C5" s="161"/>
      <c r="E5" s="59" t="s">
        <v>67</v>
      </c>
      <c r="F5" s="56" t="s">
        <v>23</v>
      </c>
      <c r="G5" s="44">
        <v>107</v>
      </c>
      <c r="H5" s="129">
        <f>IF(B$15=0,0,G5/B$15)</f>
        <v>0.42629482071713148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2405.3191489361702</v>
      </c>
      <c r="P5" s="115">
        <v>94</v>
      </c>
      <c r="Q5" s="99">
        <v>226100</v>
      </c>
    </row>
    <row r="6" spans="1:17" x14ac:dyDescent="0.45">
      <c r="A6" s="51" t="s">
        <v>1</v>
      </c>
      <c r="B6" s="150">
        <f>IF(B$2=0,0,(B$7*1+B$8*2+B$9*3)/B$2)</f>
        <v>1.8818181818181818</v>
      </c>
      <c r="C6" s="151"/>
      <c r="E6" s="59" t="s">
        <v>68</v>
      </c>
      <c r="F6" s="56" t="s">
        <v>12</v>
      </c>
      <c r="G6" s="44">
        <v>99</v>
      </c>
      <c r="H6" s="129">
        <f>IF(B$15=0,0,G6/B$15)</f>
        <v>0.39442231075697209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995.29411764705878</v>
      </c>
      <c r="P6" s="115">
        <v>85</v>
      </c>
      <c r="Q6" s="99">
        <v>84600</v>
      </c>
    </row>
    <row r="7" spans="1:17" x14ac:dyDescent="0.45">
      <c r="A7" s="51" t="s">
        <v>2</v>
      </c>
      <c r="B7" s="44">
        <v>46</v>
      </c>
      <c r="C7" s="37">
        <f t="shared" ref="C7:C10" si="1">IF(B$2=0,0,B7/B$2)</f>
        <v>0.41818181818181815</v>
      </c>
      <c r="E7" s="59" t="s">
        <v>166</v>
      </c>
      <c r="F7" s="56" t="s">
        <v>167</v>
      </c>
      <c r="G7" s="44">
        <v>94</v>
      </c>
      <c r="H7" s="129">
        <f>IF(B$15=0,0,G7/B$15)</f>
        <v>0.37450199203187251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472.05882352941177</v>
      </c>
      <c r="P7" s="116">
        <v>68</v>
      </c>
      <c r="Q7" s="100">
        <v>32100</v>
      </c>
    </row>
    <row r="8" spans="1:17" x14ac:dyDescent="0.45">
      <c r="A8" s="51" t="s">
        <v>3</v>
      </c>
      <c r="B8" s="44">
        <v>31</v>
      </c>
      <c r="C8" s="37">
        <f t="shared" si="1"/>
        <v>0.2818181818181818</v>
      </c>
      <c r="E8" s="59" t="s">
        <v>89</v>
      </c>
      <c r="F8" s="56" t="s">
        <v>44</v>
      </c>
      <c r="G8" s="44">
        <v>63</v>
      </c>
      <c r="H8" s="129">
        <f>IF(B$15=0,0,G8/B$15)</f>
        <v>0.25099601593625498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0.3</v>
      </c>
      <c r="E9" s="59" t="s">
        <v>69</v>
      </c>
      <c r="F9" s="56" t="s">
        <v>24</v>
      </c>
      <c r="G9" s="44">
        <v>51</v>
      </c>
      <c r="H9" s="129">
        <f>IF(B$15=0,0,G9/B$15)</f>
        <v>0.20318725099601595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</v>
      </c>
      <c r="E10" s="59" t="s">
        <v>65</v>
      </c>
      <c r="F10" s="56" t="s">
        <v>21</v>
      </c>
      <c r="G10" s="44">
        <v>38</v>
      </c>
      <c r="H10" s="129">
        <f>IF(B$15=0,0,G10/B$15)</f>
        <v>0.15139442231075698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-0.913333333333333</v>
      </c>
      <c r="P10" s="114">
        <v>30</v>
      </c>
      <c r="Q10" s="102">
        <v>-27.399999999999991</v>
      </c>
    </row>
    <row r="11" spans="1:17" x14ac:dyDescent="0.45">
      <c r="A11" s="54" t="s">
        <v>121</v>
      </c>
      <c r="B11" s="47">
        <v>282</v>
      </c>
      <c r="C11" s="42">
        <f>IF(B$3=0,0,B11/B$3)</f>
        <v>0.31368186874304782</v>
      </c>
      <c r="E11" s="59" t="s">
        <v>70</v>
      </c>
      <c r="F11" s="56" t="s">
        <v>25</v>
      </c>
      <c r="G11" s="44">
        <v>27</v>
      </c>
      <c r="H11" s="129">
        <f>IF(B$15=0,0,G11/B$15)</f>
        <v>0.10756972111553785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8.1177777777777749</v>
      </c>
      <c r="P11" s="115">
        <v>45</v>
      </c>
      <c r="Q11" s="103">
        <v>365.2999999999999</v>
      </c>
    </row>
    <row r="12" spans="1:17" x14ac:dyDescent="0.45">
      <c r="A12" s="51" t="s">
        <v>118</v>
      </c>
      <c r="B12" s="44">
        <v>158</v>
      </c>
      <c r="C12" s="37">
        <f>IF(B$3=0,0,B12/B$3)</f>
        <v>0.1757508342602892</v>
      </c>
      <c r="E12" s="59" t="s">
        <v>162</v>
      </c>
      <c r="F12" s="56" t="s">
        <v>163</v>
      </c>
      <c r="G12" s="44">
        <v>16</v>
      </c>
      <c r="H12" s="129">
        <f>IF(B$15=0,0,G12/B$15)</f>
        <v>6.3745019920318724E-2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5.2742857142857149</v>
      </c>
      <c r="P12" s="116">
        <v>35</v>
      </c>
      <c r="Q12" s="104">
        <v>184.60000000000002</v>
      </c>
    </row>
    <row r="13" spans="1:17" x14ac:dyDescent="0.45">
      <c r="A13" s="50" t="s">
        <v>123</v>
      </c>
      <c r="B13" s="43">
        <f>B19</f>
        <v>155</v>
      </c>
      <c r="C13" s="35">
        <f>IF(B$11=0,0,B13/B$11)</f>
        <v>0.54964539007092195</v>
      </c>
      <c r="E13" s="59" t="s">
        <v>71</v>
      </c>
      <c r="F13" s="56" t="s">
        <v>26</v>
      </c>
      <c r="G13" s="44">
        <v>14</v>
      </c>
      <c r="H13" s="129">
        <f>IF(B$15=0,0,G13/B$15)</f>
        <v>5.5776892430278883E-2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61</v>
      </c>
      <c r="C14" s="35">
        <f>IF(B$12=0,0,B14/B$12)</f>
        <v>0.38607594936708861</v>
      </c>
      <c r="E14" s="59" t="s">
        <v>86</v>
      </c>
      <c r="F14" s="56" t="s">
        <v>41</v>
      </c>
      <c r="G14" s="44">
        <v>10</v>
      </c>
      <c r="H14" s="129">
        <f>IF(B$15=0,0,G14/B$15)</f>
        <v>3.9840637450199202E-2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251</v>
      </c>
      <c r="C15" s="35">
        <f>IF(B$3=0,0,B15/B$3)</f>
        <v>0.27919911012235815</v>
      </c>
      <c r="E15" s="59" t="s">
        <v>83</v>
      </c>
      <c r="F15" s="56" t="s">
        <v>38</v>
      </c>
      <c r="G15" s="44">
        <v>7</v>
      </c>
      <c r="H15" s="129">
        <f>IF(B$15=0,0,G15/B$15)</f>
        <v>2.7888446215139442E-2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155</v>
      </c>
      <c r="C16" s="37">
        <f>IF(B$3=0,0,B16/B$3)</f>
        <v>0.17241379310344829</v>
      </c>
      <c r="E16" s="59" t="s">
        <v>78</v>
      </c>
      <c r="F16" s="56" t="s">
        <v>33</v>
      </c>
      <c r="G16" s="44">
        <v>4</v>
      </c>
      <c r="H16" s="129">
        <f>IF(B$15=0,0,G16/B$15)</f>
        <v>1.5936254980079681E-2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37.36</v>
      </c>
      <c r="P16" s="115">
        <v>20</v>
      </c>
      <c r="Q16" s="103">
        <v>747.19999999999993</v>
      </c>
    </row>
    <row r="17" spans="1:17" x14ac:dyDescent="0.45">
      <c r="A17" s="51" t="s">
        <v>12</v>
      </c>
      <c r="B17" s="44">
        <v>127</v>
      </c>
      <c r="C17" s="37">
        <f>IF(B$15=0,0,B17/B$15)</f>
        <v>0.50597609561752988</v>
      </c>
      <c r="E17" s="59" t="s">
        <v>81</v>
      </c>
      <c r="F17" s="56" t="s">
        <v>36</v>
      </c>
      <c r="G17" s="44">
        <v>4</v>
      </c>
      <c r="H17" s="129">
        <f>IF(B$15=0,0,G17/B$15)</f>
        <v>1.5936254980079681E-2</v>
      </c>
      <c r="I17" s="90">
        <v>7</v>
      </c>
      <c r="K17" s="36">
        <v>15</v>
      </c>
      <c r="L17" s="95">
        <v>-101.79999999999997</v>
      </c>
      <c r="N17" s="111" t="s">
        <v>171</v>
      </c>
      <c r="O17" s="121">
        <f>IF(P17=0,0,Q17/P17)</f>
        <v>11.448275862068964</v>
      </c>
      <c r="P17" s="115">
        <v>58</v>
      </c>
      <c r="Q17" s="103">
        <v>663.99999999999989</v>
      </c>
    </row>
    <row r="18" spans="1:17" x14ac:dyDescent="0.45">
      <c r="A18" s="51" t="s">
        <v>11</v>
      </c>
      <c r="B18" s="44">
        <v>124</v>
      </c>
      <c r="C18" s="37">
        <f>IF(B$15=0,0,B18/B$15)</f>
        <v>0.49402390438247012</v>
      </c>
      <c r="E18" s="59" t="s">
        <v>91</v>
      </c>
      <c r="F18" s="56" t="s">
        <v>46</v>
      </c>
      <c r="G18" s="44">
        <v>4</v>
      </c>
      <c r="H18" s="129">
        <f>IF(B$15=0,0,G18/B$15)</f>
        <v>1.5936254980079681E-2</v>
      </c>
      <c r="I18" s="90">
        <v>4</v>
      </c>
      <c r="K18" s="36">
        <v>16</v>
      </c>
      <c r="L18" s="95">
        <v>-63.099999999999966</v>
      </c>
      <c r="N18" s="111" t="s">
        <v>197</v>
      </c>
      <c r="O18" s="121">
        <f>IF(P18=0,0,Q18/P18)</f>
        <v>10.864000000000003</v>
      </c>
      <c r="P18" s="115">
        <v>25</v>
      </c>
      <c r="Q18" s="103">
        <v>271.60000000000008</v>
      </c>
    </row>
    <row r="19" spans="1:17" x14ac:dyDescent="0.45">
      <c r="A19" s="51" t="s">
        <v>195</v>
      </c>
      <c r="B19" s="44">
        <v>155</v>
      </c>
      <c r="C19" s="37">
        <f>IF(B$15=0,0,B19/B$15)</f>
        <v>0.61752988047808766</v>
      </c>
      <c r="E19" s="59" t="s">
        <v>92</v>
      </c>
      <c r="F19" s="56" t="s">
        <v>47</v>
      </c>
      <c r="G19" s="44">
        <v>4</v>
      </c>
      <c r="H19" s="129">
        <f>IF(B$15=0,0,G19/B$15)</f>
        <v>1.5936254980079681E-2</v>
      </c>
      <c r="I19" s="90">
        <v>1</v>
      </c>
      <c r="K19" s="36">
        <v>17</v>
      </c>
      <c r="L19" s="95">
        <v>-55.799999999999969</v>
      </c>
      <c r="N19" s="111" t="s">
        <v>126</v>
      </c>
      <c r="O19" s="121">
        <f>IF(P19=0,0,Q19/P19)</f>
        <v>2.5707317073170706</v>
      </c>
      <c r="P19" s="115">
        <v>41</v>
      </c>
      <c r="Q19" s="103">
        <v>105.39999999999989</v>
      </c>
    </row>
    <row r="20" spans="1:17" x14ac:dyDescent="0.45">
      <c r="A20" s="51" t="s">
        <v>193</v>
      </c>
      <c r="B20" s="44">
        <v>61</v>
      </c>
      <c r="C20" s="37">
        <f>IF(B$15=0,0,B20/B$15)</f>
        <v>0.24302788844621515</v>
      </c>
      <c r="E20" s="59" t="s">
        <v>73</v>
      </c>
      <c r="F20" s="56" t="s">
        <v>28</v>
      </c>
      <c r="G20" s="44">
        <v>2</v>
      </c>
      <c r="H20" s="129">
        <f>IF(B$15=0,0,G20/B$15)</f>
        <v>7.9681274900398405E-3</v>
      </c>
      <c r="I20" s="90">
        <v>2</v>
      </c>
      <c r="K20" s="36">
        <v>18</v>
      </c>
      <c r="L20" s="95">
        <v>-24.999999999999968</v>
      </c>
      <c r="N20" s="111" t="s">
        <v>127</v>
      </c>
      <c r="O20" s="121">
        <f>IF(P20=0,0,Q20/P20)</f>
        <v>-0.66000000000000258</v>
      </c>
      <c r="P20" s="115">
        <v>40</v>
      </c>
      <c r="Q20" s="103">
        <v>-26.400000000000102</v>
      </c>
    </row>
    <row r="21" spans="1:17" x14ac:dyDescent="0.45">
      <c r="A21" s="51" t="s">
        <v>194</v>
      </c>
      <c r="B21" s="44">
        <v>35</v>
      </c>
      <c r="C21" s="37">
        <f>IF(B$15=0,0,B21/B$15)</f>
        <v>0.1394422310756972</v>
      </c>
      <c r="E21" s="59" t="s">
        <v>79</v>
      </c>
      <c r="F21" s="56" t="s">
        <v>34</v>
      </c>
      <c r="G21" s="44">
        <v>2</v>
      </c>
      <c r="H21" s="129">
        <f>IF(B$15=0,0,G21/B$15)</f>
        <v>7.9681274900398405E-3</v>
      </c>
      <c r="I21" s="90">
        <v>9</v>
      </c>
      <c r="K21" s="36">
        <v>19</v>
      </c>
      <c r="L21" s="95">
        <v>-27.799999999999969</v>
      </c>
      <c r="N21" s="111" t="s">
        <v>172</v>
      </c>
      <c r="O21" s="121">
        <f>IF(P21=0,0,Q21/P21)</f>
        <v>-2.5450000000000008</v>
      </c>
      <c r="P21" s="115">
        <v>20</v>
      </c>
      <c r="Q21" s="103">
        <v>-50.90000000000002</v>
      </c>
    </row>
    <row r="22" spans="1:17" x14ac:dyDescent="0.45">
      <c r="A22" s="51" t="s">
        <v>5</v>
      </c>
      <c r="B22" s="48">
        <f>IF(B$15=0,0,C22/B$15)</f>
        <v>10762.151394422312</v>
      </c>
      <c r="C22" s="39">
        <v>2701300</v>
      </c>
      <c r="E22" s="59" t="s">
        <v>84</v>
      </c>
      <c r="F22" s="56" t="s">
        <v>39</v>
      </c>
      <c r="G22" s="44">
        <v>2</v>
      </c>
      <c r="H22" s="129">
        <f>IF(B$15=0,0,G22/B$15)</f>
        <v>7.9681274900398405E-3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-14.099999999999998</v>
      </c>
      <c r="P22" s="115">
        <v>8</v>
      </c>
      <c r="Q22" s="103">
        <v>-112.79999999999998</v>
      </c>
    </row>
    <row r="23" spans="1:17" x14ac:dyDescent="0.45">
      <c r="A23" s="52" t="s">
        <v>177</v>
      </c>
      <c r="B23" s="136">
        <f>IF($B$15-B$14=0,0,C23/($B$15-B$14))</f>
        <v>11413.157894736842</v>
      </c>
      <c r="C23" s="137">
        <v>2168500</v>
      </c>
      <c r="E23" s="59" t="s">
        <v>90</v>
      </c>
      <c r="F23" s="56" t="s">
        <v>45</v>
      </c>
      <c r="G23" s="44">
        <v>2</v>
      </c>
      <c r="H23" s="129">
        <f>IF(B$15=0,0,G23/B$15)</f>
        <v>7.9681274900398405E-3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-25.316666666666666</v>
      </c>
      <c r="P23" s="115">
        <v>6</v>
      </c>
      <c r="Q23" s="103">
        <v>-151.9</v>
      </c>
    </row>
    <row r="24" spans="1:17" x14ac:dyDescent="0.45">
      <c r="A24" s="52" t="s">
        <v>178</v>
      </c>
      <c r="B24" s="136">
        <f>IF(B$14=0,0,C24/B$14)</f>
        <v>8734.4262295081971</v>
      </c>
      <c r="C24" s="137">
        <v>532800</v>
      </c>
      <c r="E24" s="59" t="s">
        <v>75</v>
      </c>
      <c r="F24" s="56" t="s">
        <v>30</v>
      </c>
      <c r="G24" s="44">
        <v>1</v>
      </c>
      <c r="H24" s="129">
        <f>IF(B$15=0,0,G24/B$15)</f>
        <v>3.9840637450199202E-3</v>
      </c>
      <c r="I24" s="90">
        <v>9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-8119.3548387096771</v>
      </c>
      <c r="C25" s="137">
        <v>-1258500</v>
      </c>
      <c r="E25" s="59" t="s">
        <v>77</v>
      </c>
      <c r="F25" s="56" t="s">
        <v>32</v>
      </c>
      <c r="G25" s="44">
        <v>1</v>
      </c>
      <c r="H25" s="129">
        <f>IF(B$15=0,0,G25/B$15)</f>
        <v>3.9840637450199202E-3</v>
      </c>
      <c r="I25" s="90">
        <v>3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85</v>
      </c>
      <c r="F26" s="56" t="s">
        <v>40</v>
      </c>
      <c r="G26" s="44">
        <v>1</v>
      </c>
      <c r="H26" s="129">
        <f>IF(B$15=0,0,G26/B$15)</f>
        <v>3.9840637450199202E-3</v>
      </c>
      <c r="I26" s="90">
        <v>6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6</v>
      </c>
      <c r="E27" s="59" t="s">
        <v>93</v>
      </c>
      <c r="F27" s="56" t="s">
        <v>48</v>
      </c>
      <c r="G27" s="44">
        <v>1</v>
      </c>
      <c r="H27" s="129">
        <f>IF(B$15=0,0,G27/B$15)</f>
        <v>3.9840637450199202E-3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3.9840637450199202E-3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1.1123470522803114E-3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6</v>
      </c>
      <c r="C32" s="141">
        <f>IF(B$15=0,0,B32/B$15)</f>
        <v>2.3904382470119521E-2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20</v>
      </c>
      <c r="C33" s="37">
        <f t="shared" ref="C33:C44" si="2">IF(B$15=0,0,B33/B$15)</f>
        <v>7.9681274900398405E-2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33</v>
      </c>
      <c r="C34" s="37">
        <f>IF(B$15=0,0,B34/B$15)</f>
        <v>0.13147410358565736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49</v>
      </c>
      <c r="C35" s="37">
        <f t="shared" si="2"/>
        <v>0.19521912350597609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58</v>
      </c>
      <c r="C36" s="37">
        <f t="shared" si="2"/>
        <v>0.23107569721115537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31</v>
      </c>
      <c r="C37" s="37">
        <f t="shared" si="2"/>
        <v>0.12350597609561753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21</v>
      </c>
      <c r="C38" s="37">
        <f t="shared" si="2"/>
        <v>8.3665338645418322E-2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16</v>
      </c>
      <c r="C39" s="37">
        <f t="shared" si="2"/>
        <v>6.3745019920318724E-2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2"/>
        <v>2.3904382470119521E-2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7.9681274900398405E-3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7.9681274900398405E-3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3.9840637450199202E-3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2.3904382470119521E-2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7830-C718-4016-B021-38A1C7A32203}">
  <sheetPr codeName="Sheet17"/>
  <dimension ref="A1:Q12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127</v>
      </c>
      <c r="C2" s="155"/>
      <c r="E2" s="58" t="s">
        <v>66</v>
      </c>
      <c r="F2" s="55" t="s">
        <v>22</v>
      </c>
      <c r="G2" s="43">
        <v>216</v>
      </c>
      <c r="H2" s="128">
        <f>IF(B$15=0,0,G2/B$15)</f>
        <v>0.74740484429065746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51.968503937007874</v>
      </c>
      <c r="P2" s="114">
        <v>127</v>
      </c>
      <c r="Q2" s="98">
        <v>6600</v>
      </c>
    </row>
    <row r="3" spans="1:17" x14ac:dyDescent="0.45">
      <c r="A3" s="51" t="s">
        <v>8</v>
      </c>
      <c r="B3" s="156">
        <v>1036</v>
      </c>
      <c r="C3" s="157"/>
      <c r="E3" s="59" t="s">
        <v>72</v>
      </c>
      <c r="F3" s="56" t="s">
        <v>27</v>
      </c>
      <c r="G3" s="44">
        <v>161</v>
      </c>
      <c r="H3" s="129">
        <f>IF(B$15=0,0,G3/B$15)</f>
        <v>0.55709342560553632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-17.741935483870968</v>
      </c>
      <c r="P3" s="115">
        <v>124</v>
      </c>
      <c r="Q3" s="99">
        <v>-2200</v>
      </c>
    </row>
    <row r="4" spans="1:17" x14ac:dyDescent="0.45">
      <c r="A4" s="51" t="s">
        <v>6</v>
      </c>
      <c r="B4" s="158">
        <v>-132.5</v>
      </c>
      <c r="C4" s="159"/>
      <c r="E4" s="59" t="s">
        <v>64</v>
      </c>
      <c r="F4" s="56" t="s">
        <v>20</v>
      </c>
      <c r="G4" s="44">
        <v>145</v>
      </c>
      <c r="H4" s="129">
        <f>IF(B$15=0,0,G4/B$15)</f>
        <v>0.5017301038062284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213.5593220338983</v>
      </c>
      <c r="P4" s="115">
        <v>118</v>
      </c>
      <c r="Q4" s="99">
        <v>25200</v>
      </c>
    </row>
    <row r="5" spans="1:17" x14ac:dyDescent="0.45">
      <c r="A5" s="51" t="s">
        <v>7</v>
      </c>
      <c r="B5" s="160">
        <f>IF(B$2=0,0,B$4/B$2)</f>
        <v>-1.0433070866141732</v>
      </c>
      <c r="C5" s="161"/>
      <c r="E5" s="59" t="s">
        <v>166</v>
      </c>
      <c r="F5" s="56" t="s">
        <v>167</v>
      </c>
      <c r="G5" s="44">
        <v>126</v>
      </c>
      <c r="H5" s="129">
        <f>IF(B$15=0,0,G5/B$15)</f>
        <v>0.43598615916955019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153.7037037037037</v>
      </c>
      <c r="P5" s="115">
        <v>108</v>
      </c>
      <c r="Q5" s="99">
        <v>16600</v>
      </c>
    </row>
    <row r="6" spans="1:17" x14ac:dyDescent="0.45">
      <c r="A6" s="51" t="s">
        <v>1</v>
      </c>
      <c r="B6" s="150">
        <f>IF(B$2=0,0,(B$7*1+B$8*2+B$9*3)/B$2)</f>
        <v>2.0787401574803148</v>
      </c>
      <c r="C6" s="151"/>
      <c r="E6" s="59" t="s">
        <v>67</v>
      </c>
      <c r="F6" s="56" t="s">
        <v>23</v>
      </c>
      <c r="G6" s="44">
        <v>103</v>
      </c>
      <c r="H6" s="129">
        <f>IF(B$15=0,0,G6/B$15)</f>
        <v>0.356401384083045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-160.82474226804123</v>
      </c>
      <c r="P6" s="115">
        <v>97</v>
      </c>
      <c r="Q6" s="99">
        <v>-15600</v>
      </c>
    </row>
    <row r="7" spans="1:17" x14ac:dyDescent="0.45">
      <c r="A7" s="51" t="s">
        <v>2</v>
      </c>
      <c r="B7" s="44">
        <v>30</v>
      </c>
      <c r="C7" s="37">
        <f t="shared" ref="C7:C10" si="1">IF(B$2=0,0,B7/B$2)</f>
        <v>0.23622047244094488</v>
      </c>
      <c r="E7" s="59" t="s">
        <v>68</v>
      </c>
      <c r="F7" s="56" t="s">
        <v>12</v>
      </c>
      <c r="G7" s="44">
        <v>91</v>
      </c>
      <c r="H7" s="129">
        <f>IF(B$15=0,0,G7/B$15)</f>
        <v>0.31487889273356401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-1177.3809523809523</v>
      </c>
      <c r="P7" s="116">
        <v>84</v>
      </c>
      <c r="Q7" s="100">
        <v>-98900</v>
      </c>
    </row>
    <row r="8" spans="1:17" x14ac:dyDescent="0.45">
      <c r="A8" s="51" t="s">
        <v>3</v>
      </c>
      <c r="B8" s="44">
        <v>57</v>
      </c>
      <c r="C8" s="37">
        <f t="shared" si="1"/>
        <v>0.44881889763779526</v>
      </c>
      <c r="E8" s="59" t="s">
        <v>69</v>
      </c>
      <c r="F8" s="56" t="s">
        <v>24</v>
      </c>
      <c r="G8" s="44">
        <v>38</v>
      </c>
      <c r="H8" s="129">
        <f>IF(B$15=0,0,G8/B$15)</f>
        <v>0.13148788927335639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0.31496062992125984</v>
      </c>
      <c r="E9" s="59" t="s">
        <v>89</v>
      </c>
      <c r="F9" s="56" t="s">
        <v>44</v>
      </c>
      <c r="G9" s="44">
        <v>36</v>
      </c>
      <c r="H9" s="129">
        <f>IF(B$15=0,0,G9/B$15)</f>
        <v>0.1245674740484429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7.0866141732283464E-2</v>
      </c>
      <c r="E10" s="59" t="s">
        <v>71</v>
      </c>
      <c r="F10" s="56" t="s">
        <v>26</v>
      </c>
      <c r="G10" s="44">
        <v>29</v>
      </c>
      <c r="H10" s="129">
        <f>IF(B$15=0,0,G10/B$15)</f>
        <v>0.10034602076124567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-2.2792452830188683</v>
      </c>
      <c r="P10" s="114">
        <v>53</v>
      </c>
      <c r="Q10" s="102">
        <v>-120.80000000000001</v>
      </c>
    </row>
    <row r="11" spans="1:17" x14ac:dyDescent="0.45">
      <c r="A11" s="54" t="s">
        <v>121</v>
      </c>
      <c r="B11" s="47">
        <v>277</v>
      </c>
      <c r="C11" s="42">
        <f>IF(B$3=0,0,B11/B$3)</f>
        <v>0.2673745173745174</v>
      </c>
      <c r="E11" s="59" t="s">
        <v>65</v>
      </c>
      <c r="F11" s="56" t="s">
        <v>21</v>
      </c>
      <c r="G11" s="44">
        <v>24</v>
      </c>
      <c r="H11" s="129">
        <f>IF(B$15=0,0,G11/B$15)</f>
        <v>8.3044982698961933E-2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1.1210526315789482</v>
      </c>
      <c r="P11" s="115">
        <v>38</v>
      </c>
      <c r="Q11" s="103">
        <v>42.60000000000003</v>
      </c>
    </row>
    <row r="12" spans="1:17" x14ac:dyDescent="0.45">
      <c r="A12" s="51" t="s">
        <v>118</v>
      </c>
      <c r="B12" s="44">
        <v>230</v>
      </c>
      <c r="C12" s="37">
        <f>IF(B$3=0,0,B12/B$3)</f>
        <v>0.22200772200772201</v>
      </c>
      <c r="E12" s="59" t="s">
        <v>70</v>
      </c>
      <c r="F12" s="56" t="s">
        <v>25</v>
      </c>
      <c r="G12" s="44">
        <v>23</v>
      </c>
      <c r="H12" s="129">
        <f>IF(B$15=0,0,G12/B$15)</f>
        <v>7.9584775086505188E-2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5">
      <c r="A13" s="50" t="s">
        <v>123</v>
      </c>
      <c r="B13" s="43">
        <f>B19</f>
        <v>151</v>
      </c>
      <c r="C13" s="35">
        <f>IF(B$11=0,0,B13/B$11)</f>
        <v>0.54512635379061369</v>
      </c>
      <c r="E13" s="59" t="s">
        <v>86</v>
      </c>
      <c r="F13" s="56" t="s">
        <v>41</v>
      </c>
      <c r="G13" s="44">
        <v>14</v>
      </c>
      <c r="H13" s="129">
        <f>IF(B$15=0,0,G13/B$15)</f>
        <v>4.8442906574394463E-2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99</v>
      </c>
      <c r="C14" s="35">
        <f>IF(B$12=0,0,B14/B$12)</f>
        <v>0.43043478260869567</v>
      </c>
      <c r="E14" s="59" t="s">
        <v>83</v>
      </c>
      <c r="F14" s="56" t="s">
        <v>38</v>
      </c>
      <c r="G14" s="44">
        <v>12</v>
      </c>
      <c r="H14" s="129">
        <f>IF(B$15=0,0,G14/B$15)</f>
        <v>4.1522491349480967E-2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289</v>
      </c>
      <c r="C15" s="35">
        <f>IF(B$3=0,0,B15/B$3)</f>
        <v>0.27895752895752896</v>
      </c>
      <c r="E15" s="59" t="s">
        <v>79</v>
      </c>
      <c r="F15" s="56" t="s">
        <v>34</v>
      </c>
      <c r="G15" s="44">
        <v>7</v>
      </c>
      <c r="H15" s="129">
        <f>IF(B$15=0,0,G15/B$15)</f>
        <v>2.4221453287197232E-2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145</v>
      </c>
      <c r="C16" s="37">
        <f>IF(B$3=0,0,B16/B$3)</f>
        <v>0.13996138996138996</v>
      </c>
      <c r="E16" s="59" t="s">
        <v>162</v>
      </c>
      <c r="F16" s="56" t="s">
        <v>163</v>
      </c>
      <c r="G16" s="44">
        <v>6</v>
      </c>
      <c r="H16" s="129">
        <f>IF(B$15=0,0,G16/B$15)</f>
        <v>2.0761245674740483E-2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129</v>
      </c>
      <c r="C17" s="37">
        <f>IF(B$15=0,0,B17/B$15)</f>
        <v>0.44636678200692043</v>
      </c>
      <c r="E17" s="59" t="s">
        <v>73</v>
      </c>
      <c r="F17" s="56" t="s">
        <v>28</v>
      </c>
      <c r="G17" s="44">
        <v>5</v>
      </c>
      <c r="H17" s="129">
        <f>IF(B$15=0,0,G17/B$15)</f>
        <v>1.7301038062283738E-2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160</v>
      </c>
      <c r="C18" s="37">
        <f>IF(B$15=0,0,B18/B$15)</f>
        <v>0.55363321799307963</v>
      </c>
      <c r="E18" s="59" t="s">
        <v>81</v>
      </c>
      <c r="F18" s="56" t="s">
        <v>36</v>
      </c>
      <c r="G18" s="44">
        <v>5</v>
      </c>
      <c r="H18" s="129">
        <f>IF(B$15=0,0,G18/B$15)</f>
        <v>1.7301038062283738E-2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>IF(P18=0,0,Q18/P18)</f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151</v>
      </c>
      <c r="C19" s="37">
        <f>IF(B$15=0,0,B19/B$15)</f>
        <v>0.52249134948096887</v>
      </c>
      <c r="E19" s="59" t="s">
        <v>78</v>
      </c>
      <c r="F19" s="56" t="s">
        <v>33</v>
      </c>
      <c r="G19" s="44">
        <v>3</v>
      </c>
      <c r="H19" s="129">
        <f>IF(B$15=0,0,G19/B$15)</f>
        <v>1.0380622837370242E-2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99</v>
      </c>
      <c r="C20" s="37">
        <f>IF(B$15=0,0,B20/B$15)</f>
        <v>0.34256055363321797</v>
      </c>
      <c r="E20" s="59" t="s">
        <v>85</v>
      </c>
      <c r="F20" s="56" t="s">
        <v>40</v>
      </c>
      <c r="G20" s="44">
        <v>3</v>
      </c>
      <c r="H20" s="129">
        <f>IF(B$15=0,0,G20/B$15)</f>
        <v>1.0380622837370242E-2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39</v>
      </c>
      <c r="C21" s="37">
        <f>IF(B$15=0,0,B21/B$15)</f>
        <v>0.13494809688581316</v>
      </c>
      <c r="E21" s="59" t="s">
        <v>75</v>
      </c>
      <c r="F21" s="56" t="s">
        <v>30</v>
      </c>
      <c r="G21" s="44">
        <v>2</v>
      </c>
      <c r="H21" s="129">
        <f>IF(B$15=0,0,G21/B$15)</f>
        <v>6.920415224913495E-3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>IF(P21=0,0,Q21/P21)</f>
        <v>1.1651162790697678</v>
      </c>
      <c r="P21" s="115">
        <v>43</v>
      </c>
      <c r="Q21" s="103">
        <v>50.100000000000016</v>
      </c>
    </row>
    <row r="22" spans="1:17" x14ac:dyDescent="0.45">
      <c r="A22" s="51" t="s">
        <v>5</v>
      </c>
      <c r="B22" s="48">
        <f>IF(B$15=0,0,C22/B$15)</f>
        <v>8278.5467128027685</v>
      </c>
      <c r="C22" s="39">
        <v>2392500</v>
      </c>
      <c r="E22" s="59" t="s">
        <v>91</v>
      </c>
      <c r="F22" s="56" t="s">
        <v>46</v>
      </c>
      <c r="G22" s="44">
        <v>2</v>
      </c>
      <c r="H22" s="129">
        <f>IF(B$15=0,0,G22/B$15)</f>
        <v>6.920415224913495E-3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>IF(P22=0,0,Q22/P22)</f>
        <v>-0.36428571428571388</v>
      </c>
      <c r="P22" s="115">
        <v>28</v>
      </c>
      <c r="Q22" s="103">
        <v>-10.199999999999989</v>
      </c>
    </row>
    <row r="23" spans="1:17" x14ac:dyDescent="0.45">
      <c r="A23" s="52" t="s">
        <v>177</v>
      </c>
      <c r="B23" s="136">
        <f>IF($B$15-B$14=0,0,C23/($B$15-B$14))</f>
        <v>9115.2631578947367</v>
      </c>
      <c r="C23" s="137">
        <v>1731900</v>
      </c>
      <c r="E23" s="59" t="s">
        <v>74</v>
      </c>
      <c r="F23" s="56" t="s">
        <v>29</v>
      </c>
      <c r="G23" s="44">
        <v>1</v>
      </c>
      <c r="H23" s="129">
        <f>IF(B$15=0,0,G23/B$15)</f>
        <v>3.4602076124567475E-3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>IF(P23=0,0,Q23/P23)</f>
        <v>-11.448275862068964</v>
      </c>
      <c r="P23" s="115">
        <v>58</v>
      </c>
      <c r="Q23" s="103">
        <v>-663.99999999999989</v>
      </c>
    </row>
    <row r="24" spans="1:17" x14ac:dyDescent="0.45">
      <c r="A24" s="52" t="s">
        <v>178</v>
      </c>
      <c r="B24" s="136">
        <f>IF(B$14=0,0,C24/B$14)</f>
        <v>6672.727272727273</v>
      </c>
      <c r="C24" s="137">
        <v>660600</v>
      </c>
      <c r="E24" s="59" t="s">
        <v>87</v>
      </c>
      <c r="F24" s="56" t="s">
        <v>42</v>
      </c>
      <c r="G24" s="44">
        <v>1</v>
      </c>
      <c r="H24" s="129">
        <f>IF(B$15=0,0,G24/B$15)</f>
        <v>3.4602076124567475E-3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>IF(P24=0,0,Q24/P24)</f>
        <v>-14.101724137931035</v>
      </c>
      <c r="P24" s="115">
        <v>58</v>
      </c>
      <c r="Q24" s="103">
        <v>-817.9</v>
      </c>
    </row>
    <row r="25" spans="1:17" x14ac:dyDescent="0.45">
      <c r="A25" s="52" t="s">
        <v>176</v>
      </c>
      <c r="B25" s="136">
        <f>IF(B$16=0,0,C25/B$16)</f>
        <v>-7157.2413793103451</v>
      </c>
      <c r="C25" s="137">
        <v>-1037800</v>
      </c>
      <c r="E25" s="59" t="s">
        <v>88</v>
      </c>
      <c r="F25" s="56" t="s">
        <v>43</v>
      </c>
      <c r="G25" s="44">
        <v>1</v>
      </c>
      <c r="H25" s="129">
        <f>IF(B$15=0,0,G25/B$15)</f>
        <v>3.4602076124567475E-3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3.4602076124567475E-3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0</v>
      </c>
      <c r="E27" s="59" t="s">
        <v>101</v>
      </c>
      <c r="F27" s="56" t="s">
        <v>56</v>
      </c>
      <c r="G27" s="44">
        <v>1</v>
      </c>
      <c r="H27" s="129">
        <f>IF(B$15=0,0,G27/B$15)</f>
        <v>3.4602076124567475E-3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1.9305019305019305E-3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18</v>
      </c>
      <c r="C32" s="141">
        <f>IF(B$15=0,0,B32/B$15)</f>
        <v>6.228373702422145E-2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52</v>
      </c>
      <c r="C33" s="37">
        <f t="shared" ref="C33:C44" si="2">IF(B$15=0,0,B33/B$15)</f>
        <v>0.17993079584775087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61</v>
      </c>
      <c r="C34" s="37">
        <f>IF(B$15=0,0,B34/B$15)</f>
        <v>0.21107266435986158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53</v>
      </c>
      <c r="C35" s="37">
        <f t="shared" si="2"/>
        <v>0.18339100346020762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41</v>
      </c>
      <c r="C36" s="37">
        <f t="shared" si="2"/>
        <v>0.14186851211072665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33</v>
      </c>
      <c r="C37" s="37">
        <f t="shared" si="2"/>
        <v>0.11418685121107267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14</v>
      </c>
      <c r="C38" s="37">
        <f t="shared" si="2"/>
        <v>4.8442906574394463E-2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2.4221453287197232E-2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1.0380622837370242E-2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6.920415224913495E-3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3.4602076124567475E-3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6.920415224913495E-3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6.920415224913495E-3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45D3F-1200-4132-ACAD-F44D900A678B}">
  <sheetPr codeName="Sheet19"/>
  <dimension ref="A1:Q6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59</v>
      </c>
      <c r="C2" s="155"/>
      <c r="E2" s="58" t="s">
        <v>66</v>
      </c>
      <c r="F2" s="55" t="s">
        <v>22</v>
      </c>
      <c r="G2" s="43">
        <v>83</v>
      </c>
      <c r="H2" s="128">
        <f>IF(B$15=0,0,G2/B$15)</f>
        <v>0.6484375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-2438.9830508474574</v>
      </c>
      <c r="P2" s="114">
        <v>59</v>
      </c>
      <c r="Q2" s="98">
        <v>-143900</v>
      </c>
    </row>
    <row r="3" spans="1:17" x14ac:dyDescent="0.45">
      <c r="A3" s="51" t="s">
        <v>8</v>
      </c>
      <c r="B3" s="156">
        <v>487</v>
      </c>
      <c r="C3" s="157"/>
      <c r="E3" s="59" t="s">
        <v>72</v>
      </c>
      <c r="F3" s="56" t="s">
        <v>27</v>
      </c>
      <c r="G3" s="44">
        <v>82</v>
      </c>
      <c r="H3" s="129">
        <f>IF(B$15=0,0,G3/B$15)</f>
        <v>0.640625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564.40677966101691</v>
      </c>
      <c r="P3" s="115">
        <v>59</v>
      </c>
      <c r="Q3" s="99">
        <v>33300</v>
      </c>
    </row>
    <row r="4" spans="1:17" x14ac:dyDescent="0.45">
      <c r="A4" s="51" t="s">
        <v>6</v>
      </c>
      <c r="B4" s="158">
        <v>-627.40000000000009</v>
      </c>
      <c r="C4" s="159"/>
      <c r="E4" s="59" t="s">
        <v>64</v>
      </c>
      <c r="F4" s="56" t="s">
        <v>20</v>
      </c>
      <c r="G4" s="44">
        <v>54</v>
      </c>
      <c r="H4" s="129">
        <f>IF(B$15=0,0,G4/B$15)</f>
        <v>0.421875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-1310.5263157894738</v>
      </c>
      <c r="P4" s="115">
        <v>57</v>
      </c>
      <c r="Q4" s="99">
        <v>-74700</v>
      </c>
    </row>
    <row r="5" spans="1:17" x14ac:dyDescent="0.45">
      <c r="A5" s="51" t="s">
        <v>7</v>
      </c>
      <c r="B5" s="160">
        <f>IF(B$2=0,0,B$4/B$2)</f>
        <v>-10.633898305084747</v>
      </c>
      <c r="C5" s="161"/>
      <c r="E5" s="59" t="s">
        <v>166</v>
      </c>
      <c r="F5" s="56" t="s">
        <v>167</v>
      </c>
      <c r="G5" s="44">
        <v>45</v>
      </c>
      <c r="H5" s="129">
        <f>IF(B$15=0,0,G5/B$15)</f>
        <v>0.3515625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-1750.9803921568628</v>
      </c>
      <c r="P5" s="115">
        <v>51</v>
      </c>
      <c r="Q5" s="99">
        <v>-89300</v>
      </c>
    </row>
    <row r="6" spans="1:17" x14ac:dyDescent="0.45">
      <c r="A6" s="51" t="s">
        <v>1</v>
      </c>
      <c r="B6" s="150">
        <f>IF(B$2=0,0,(B$7*1+B$8*2+B$9*3)/B$2)</f>
        <v>2.2881355932203391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0.265625</v>
      </c>
      <c r="I6" s="90">
        <v>12</v>
      </c>
      <c r="K6" s="36">
        <v>4</v>
      </c>
      <c r="L6" s="95">
        <v>-80.5</v>
      </c>
      <c r="N6" s="111" t="s">
        <v>134</v>
      </c>
      <c r="O6" s="118">
        <f t="shared" si="0"/>
        <v>-1802.0408163265306</v>
      </c>
      <c r="P6" s="115">
        <v>49</v>
      </c>
      <c r="Q6" s="99">
        <v>-88300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0.16949152542372881</v>
      </c>
      <c r="E7" s="59" t="s">
        <v>67</v>
      </c>
      <c r="F7" s="56" t="s">
        <v>23</v>
      </c>
      <c r="G7" s="44">
        <v>30</v>
      </c>
      <c r="H7" s="129">
        <f>IF(B$15=0,0,G7/B$15)</f>
        <v>0.234375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22</v>
      </c>
      <c r="C8" s="37">
        <f t="shared" si="1"/>
        <v>0.3728813559322034</v>
      </c>
      <c r="E8" s="59" t="s">
        <v>89</v>
      </c>
      <c r="F8" s="56" t="s">
        <v>44</v>
      </c>
      <c r="G8" s="44">
        <v>20</v>
      </c>
      <c r="H8" s="129">
        <f>IF(B$15=0,0,G8/B$15)</f>
        <v>0.15625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0.4576271186440678</v>
      </c>
      <c r="E9" s="59" t="s">
        <v>65</v>
      </c>
      <c r="F9" s="56" t="s">
        <v>21</v>
      </c>
      <c r="G9" s="44">
        <v>15</v>
      </c>
      <c r="H9" s="129">
        <f>IF(B$15=0,0,G9/B$15)</f>
        <v>0.1171875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0.16949152542372881</v>
      </c>
      <c r="E10" s="59" t="s">
        <v>69</v>
      </c>
      <c r="F10" s="56" t="s">
        <v>24</v>
      </c>
      <c r="G10" s="44">
        <v>12</v>
      </c>
      <c r="H10" s="129">
        <f>IF(B$15=0,0,G10/B$15)</f>
        <v>9.375E-2</v>
      </c>
      <c r="I10" s="90">
        <v>12</v>
      </c>
      <c r="K10" s="36">
        <v>8</v>
      </c>
      <c r="L10" s="95">
        <v>-152.6</v>
      </c>
      <c r="N10" s="110" t="s">
        <v>157</v>
      </c>
      <c r="O10" s="120">
        <f>IF(P10=0,0,Q10/P10)</f>
        <v>-18.315999999999999</v>
      </c>
      <c r="P10" s="114">
        <v>25</v>
      </c>
      <c r="Q10" s="102">
        <v>-457.9</v>
      </c>
    </row>
    <row r="11" spans="1:17" x14ac:dyDescent="0.45">
      <c r="A11" s="54" t="s">
        <v>121</v>
      </c>
      <c r="B11" s="47">
        <v>104</v>
      </c>
      <c r="C11" s="42">
        <f>IF(B$3=0,0,B11/B$3)</f>
        <v>0.2135523613963039</v>
      </c>
      <c r="E11" s="59" t="s">
        <v>70</v>
      </c>
      <c r="F11" s="56" t="s">
        <v>25</v>
      </c>
      <c r="G11" s="44">
        <v>12</v>
      </c>
      <c r="H11" s="129">
        <f>IF(B$15=0,0,G11/B$15)</f>
        <v>9.375E-2</v>
      </c>
      <c r="I11" s="90">
        <v>9</v>
      </c>
      <c r="K11" s="36">
        <v>9</v>
      </c>
      <c r="L11" s="95">
        <v>-150.6</v>
      </c>
      <c r="N11" s="111" t="s">
        <v>158</v>
      </c>
      <c r="O11" s="121">
        <f>IF(P11=0,0,Q11/P11)</f>
        <v>-3.1882352941176464</v>
      </c>
      <c r="P11" s="115">
        <v>17</v>
      </c>
      <c r="Q11" s="103">
        <v>-54.199999999999989</v>
      </c>
    </row>
    <row r="12" spans="1:17" x14ac:dyDescent="0.45">
      <c r="A12" s="51" t="s">
        <v>118</v>
      </c>
      <c r="B12" s="44">
        <v>113</v>
      </c>
      <c r="C12" s="37">
        <f>IF(B$3=0,0,B12/B$3)</f>
        <v>0.23203285420944558</v>
      </c>
      <c r="E12" s="59" t="s">
        <v>71</v>
      </c>
      <c r="F12" s="56" t="s">
        <v>26</v>
      </c>
      <c r="G12" s="44">
        <v>12</v>
      </c>
      <c r="H12" s="129">
        <f>IF(B$15=0,0,G12/B$15)</f>
        <v>9.375E-2</v>
      </c>
      <c r="I12" s="90">
        <v>7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5">
      <c r="A13" s="50" t="s">
        <v>123</v>
      </c>
      <c r="B13" s="43">
        <f>B19</f>
        <v>56</v>
      </c>
      <c r="C13" s="35">
        <f>IF(B$11=0,0,B13/B$11)</f>
        <v>0.53846153846153844</v>
      </c>
      <c r="E13" s="59" t="s">
        <v>83</v>
      </c>
      <c r="F13" s="56" t="s">
        <v>38</v>
      </c>
      <c r="G13" s="44">
        <v>8</v>
      </c>
      <c r="H13" s="129">
        <f>IF(B$15=0,0,G13/B$15)</f>
        <v>6.25E-2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48</v>
      </c>
      <c r="C14" s="35">
        <f>IF(B$12=0,0,B14/B$12)</f>
        <v>0.4247787610619469</v>
      </c>
      <c r="E14" s="59" t="s">
        <v>86</v>
      </c>
      <c r="F14" s="56" t="s">
        <v>41</v>
      </c>
      <c r="G14" s="44">
        <v>8</v>
      </c>
      <c r="H14" s="129">
        <f>IF(B$15=0,0,G14/B$15)</f>
        <v>6.25E-2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128</v>
      </c>
      <c r="C15" s="35">
        <f>IF(B$3=0,0,B15/B$3)</f>
        <v>0.26283367556468173</v>
      </c>
      <c r="E15" s="59" t="s">
        <v>81</v>
      </c>
      <c r="F15" s="56" t="s">
        <v>36</v>
      </c>
      <c r="G15" s="44">
        <v>5</v>
      </c>
      <c r="H15" s="129">
        <f>IF(B$15=0,0,G15/B$15)</f>
        <v>3.90625E-2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11.526666666666662</v>
      </c>
      <c r="P15" s="114">
        <v>15</v>
      </c>
      <c r="Q15" s="102">
        <v>172.89999999999992</v>
      </c>
    </row>
    <row r="16" spans="1:17" x14ac:dyDescent="0.45">
      <c r="A16" s="51" t="s">
        <v>13</v>
      </c>
      <c r="B16" s="44">
        <v>89</v>
      </c>
      <c r="C16" s="37">
        <f>IF(B$3=0,0,B16/B$3)</f>
        <v>0.18275154004106775</v>
      </c>
      <c r="E16" s="59" t="s">
        <v>91</v>
      </c>
      <c r="F16" s="56" t="s">
        <v>46</v>
      </c>
      <c r="G16" s="44">
        <v>2</v>
      </c>
      <c r="H16" s="129">
        <f>IF(B$15=0,0,G16/B$15)</f>
        <v>1.5625E-2</v>
      </c>
      <c r="I16" s="90">
        <v>5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58</v>
      </c>
      <c r="C17" s="37">
        <f>IF(B$15=0,0,B17/B$15)</f>
        <v>0.453125</v>
      </c>
      <c r="E17" s="59" t="s">
        <v>74</v>
      </c>
      <c r="F17" s="56" t="s">
        <v>29</v>
      </c>
      <c r="G17" s="44">
        <v>1</v>
      </c>
      <c r="H17" s="129">
        <f>IF(B$15=0,0,G17/B$15)</f>
        <v>7.8125E-3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>IF(P17=0,0,Q17/P17)</f>
        <v>-10.864000000000001</v>
      </c>
      <c r="P17" s="115">
        <v>25</v>
      </c>
      <c r="Q17" s="103">
        <v>-271.60000000000002</v>
      </c>
    </row>
    <row r="18" spans="1:17" x14ac:dyDescent="0.45">
      <c r="A18" s="51" t="s">
        <v>11</v>
      </c>
      <c r="B18" s="44">
        <v>70</v>
      </c>
      <c r="C18" s="37">
        <f>IF(B$15=0,0,B18/B$15)</f>
        <v>0.546875</v>
      </c>
      <c r="E18" s="59" t="s">
        <v>78</v>
      </c>
      <c r="F18" s="56" t="s">
        <v>33</v>
      </c>
      <c r="G18" s="44">
        <v>1</v>
      </c>
      <c r="H18" s="129">
        <f>IF(B$15=0,0,G18/B$15)</f>
        <v>7.8125E-3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56</v>
      </c>
      <c r="C19" s="37">
        <f>IF(B$15=0,0,B19/B$15)</f>
        <v>0.4375</v>
      </c>
      <c r="E19" s="59" t="s">
        <v>92</v>
      </c>
      <c r="F19" s="56" t="s">
        <v>47</v>
      </c>
      <c r="G19" s="44">
        <v>1</v>
      </c>
      <c r="H19" s="129">
        <f>IF(B$15=0,0,G19/B$15)</f>
        <v>7.8125E-3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>IF(P19=0,0,Q19/P19)</f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48</v>
      </c>
      <c r="C20" s="37">
        <f>IF(B$15=0,0,B20/B$15)</f>
        <v>0.375</v>
      </c>
      <c r="E20" s="59" t="s">
        <v>95</v>
      </c>
      <c r="F20" s="56" t="s">
        <v>50</v>
      </c>
      <c r="G20" s="44">
        <v>1</v>
      </c>
      <c r="H20" s="129">
        <f>IF(B$15=0,0,G20/B$15)</f>
        <v>7.8125E-3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>IF(P20=0,0,Q20/P20)</f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24</v>
      </c>
      <c r="C21" s="37">
        <f>IF(B$15=0,0,B21/B$15)</f>
        <v>0.1875</v>
      </c>
      <c r="E21" s="59" t="s">
        <v>162</v>
      </c>
      <c r="F21" s="56" t="s">
        <v>163</v>
      </c>
      <c r="G21" s="44">
        <v>1</v>
      </c>
      <c r="H21" s="129">
        <f>IF(B$15=0,0,G21/B$15)</f>
        <v>7.8125E-3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7987.5</v>
      </c>
      <c r="C22" s="39">
        <v>1022400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>IF(P22=0,0,Q22/P22)</f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8442.5</v>
      </c>
      <c r="C23" s="137">
        <v>675400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>IF(P23=0,0,Q23/P23)</f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7229.166666666667</v>
      </c>
      <c r="C24" s="137">
        <v>347000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-8258.4269662921342</v>
      </c>
      <c r="C25" s="137">
        <v>-735000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6.1601642710472282E-3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9.375E-2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25</v>
      </c>
      <c r="C33" s="37">
        <f t="shared" ref="C33:C44" si="2">IF(B$15=0,0,B33/B$15)</f>
        <v>0.1953125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0.2109375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18</v>
      </c>
      <c r="C35" s="37">
        <f t="shared" si="2"/>
        <v>0.140625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18</v>
      </c>
      <c r="C36" s="37">
        <f t="shared" si="2"/>
        <v>0.140625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2"/>
        <v>8.59375E-2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9</v>
      </c>
      <c r="C38" s="37">
        <f t="shared" si="2"/>
        <v>7.03125E-2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2"/>
        <v>3.90625E-2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7.8125E-3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1.5625E-2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2A8A-D1EA-40D1-93F0-45F51FCA97B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>IF(P16=0,0,Q16/P16)</f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>IF(P23=0,0,Q23/P23)</f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2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2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2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2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2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2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2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4644E-546A-467E-B351-9A5F1982A84A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3</v>
      </c>
      <c r="N15" s="110" t="s">
        <v>197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AE79-C9C1-4D7F-81E4-FA0ACF21602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F6F9-9176-4A0B-9C37-B44708655C10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11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0.60526315789473684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-2881.818181818182</v>
      </c>
      <c r="P2" s="114">
        <v>11</v>
      </c>
      <c r="Q2" s="98">
        <v>-31700</v>
      </c>
    </row>
    <row r="3" spans="1:17" x14ac:dyDescent="0.45">
      <c r="A3" s="51" t="s">
        <v>8</v>
      </c>
      <c r="B3" s="156">
        <v>100</v>
      </c>
      <c r="C3" s="157"/>
      <c r="E3" s="59" t="s">
        <v>66</v>
      </c>
      <c r="F3" s="56" t="s">
        <v>22</v>
      </c>
      <c r="G3" s="44">
        <v>21</v>
      </c>
      <c r="H3" s="129">
        <f>IF(B$15=0,0,G3/B$15)</f>
        <v>0.55263157894736847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627.27272727272725</v>
      </c>
      <c r="P3" s="115">
        <v>11</v>
      </c>
      <c r="Q3" s="99">
        <v>6900</v>
      </c>
    </row>
    <row r="4" spans="1:17" x14ac:dyDescent="0.45">
      <c r="A4" s="51" t="s">
        <v>6</v>
      </c>
      <c r="B4" s="158">
        <v>54.199999999999996</v>
      </c>
      <c r="C4" s="159"/>
      <c r="E4" s="59" t="s">
        <v>72</v>
      </c>
      <c r="F4" s="56" t="s">
        <v>27</v>
      </c>
      <c r="G4" s="44">
        <v>17</v>
      </c>
      <c r="H4" s="129">
        <f>IF(B$15=0,0,G4/B$15)</f>
        <v>0.44736842105263158</v>
      </c>
      <c r="I4" s="90">
        <v>11</v>
      </c>
      <c r="K4" s="36">
        <v>2</v>
      </c>
      <c r="L4" s="95">
        <v>27.8</v>
      </c>
      <c r="N4" s="111" t="s">
        <v>132</v>
      </c>
      <c r="O4" s="118">
        <f t="shared" si="0"/>
        <v>-1136.3636363636363</v>
      </c>
      <c r="P4" s="115">
        <v>11</v>
      </c>
      <c r="Q4" s="99">
        <v>-12500</v>
      </c>
    </row>
    <row r="5" spans="1:17" x14ac:dyDescent="0.45">
      <c r="A5" s="51" t="s">
        <v>7</v>
      </c>
      <c r="B5" s="160">
        <f>IF(B$2=0,0,B$4/B$2)</f>
        <v>4.9272727272727268</v>
      </c>
      <c r="C5" s="161"/>
      <c r="E5" s="59" t="s">
        <v>68</v>
      </c>
      <c r="F5" s="56" t="s">
        <v>12</v>
      </c>
      <c r="G5" s="44">
        <v>15</v>
      </c>
      <c r="H5" s="129">
        <f>IF(B$15=0,0,G5/B$15)</f>
        <v>0.39473684210526316</v>
      </c>
      <c r="I5" s="90">
        <v>2</v>
      </c>
      <c r="K5" s="36">
        <v>3</v>
      </c>
      <c r="L5" s="95">
        <v>20.399999999999999</v>
      </c>
      <c r="N5" s="111" t="s">
        <v>133</v>
      </c>
      <c r="O5" s="118">
        <f t="shared" si="0"/>
        <v>1827.2727272727273</v>
      </c>
      <c r="P5" s="115">
        <v>11</v>
      </c>
      <c r="Q5" s="99">
        <v>20100</v>
      </c>
    </row>
    <row r="6" spans="1:17" x14ac:dyDescent="0.45">
      <c r="A6" s="51" t="s">
        <v>1</v>
      </c>
      <c r="B6" s="150">
        <f>IF(B$2=0,0,(B$7*1+B$8*2+B$9*3)/B$2)</f>
        <v>1.8181818181818181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0.34210526315789475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1550</v>
      </c>
      <c r="P6" s="115">
        <v>10</v>
      </c>
      <c r="Q6" s="99">
        <v>15500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0.45454545454545453</v>
      </c>
      <c r="E7" s="59" t="s">
        <v>166</v>
      </c>
      <c r="F7" s="56" t="s">
        <v>167</v>
      </c>
      <c r="G7" s="44">
        <v>9</v>
      </c>
      <c r="H7" s="129">
        <f>IF(B$15=0,0,G7/B$15)</f>
        <v>0.23684210526315788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0.27272727272727271</v>
      </c>
      <c r="E8" s="59" t="s">
        <v>65</v>
      </c>
      <c r="F8" s="56" t="s">
        <v>21</v>
      </c>
      <c r="G8" s="44">
        <v>7</v>
      </c>
      <c r="H8" s="129">
        <f>IF(B$15=0,0,G8/B$15)</f>
        <v>0.18421052631578946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0.27272727272727271</v>
      </c>
      <c r="E9" s="59" t="s">
        <v>69</v>
      </c>
      <c r="F9" s="56" t="s">
        <v>24</v>
      </c>
      <c r="G9" s="44">
        <v>4</v>
      </c>
      <c r="H9" s="129">
        <f>IF(B$15=0,0,G9/B$15)</f>
        <v>0.10526315789473684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9.0909090909090912E-2</v>
      </c>
      <c r="E10" s="59" t="s">
        <v>70</v>
      </c>
      <c r="F10" s="56" t="s">
        <v>25</v>
      </c>
      <c r="G10" s="44">
        <v>4</v>
      </c>
      <c r="H10" s="129">
        <f>IF(B$15=0,0,G10/B$15)</f>
        <v>0.10526315789473684</v>
      </c>
      <c r="I10" s="90">
        <v>7</v>
      </c>
      <c r="K10" s="36">
        <v>8</v>
      </c>
      <c r="L10" s="95">
        <v>41.3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5">
      <c r="A11" s="54" t="s">
        <v>121</v>
      </c>
      <c r="B11" s="47">
        <v>34</v>
      </c>
      <c r="C11" s="42">
        <f>IF(B$3=0,0,B11/B$3)</f>
        <v>0.34</v>
      </c>
      <c r="E11" s="59" t="s">
        <v>89</v>
      </c>
      <c r="F11" s="56" t="s">
        <v>44</v>
      </c>
      <c r="G11" s="44">
        <v>3</v>
      </c>
      <c r="H11" s="129">
        <f>IF(B$15=0,0,G11/B$15)</f>
        <v>7.8947368421052627E-2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12</v>
      </c>
      <c r="C12" s="37">
        <f>IF(B$3=0,0,B12/B$3)</f>
        <v>0.12</v>
      </c>
      <c r="E12" s="59" t="s">
        <v>83</v>
      </c>
      <c r="F12" s="56" t="s">
        <v>38</v>
      </c>
      <c r="G12" s="44">
        <v>2</v>
      </c>
      <c r="H12" s="129">
        <f>IF(B$15=0,0,G12/B$15)</f>
        <v>5.2631578947368418E-2</v>
      </c>
      <c r="I12" s="90">
        <v>7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0.6470588235294118</v>
      </c>
      <c r="E13" s="59" t="s">
        <v>85</v>
      </c>
      <c r="F13" s="56" t="s">
        <v>40</v>
      </c>
      <c r="G13" s="44">
        <v>2</v>
      </c>
      <c r="H13" s="129">
        <f>IF(B$15=0,0,G13/B$15)</f>
        <v>5.2631578947368418E-2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</v>
      </c>
      <c r="C14" s="35">
        <f>IF(B$12=0,0,B14/B$12)</f>
        <v>0.75</v>
      </c>
      <c r="E14" s="59" t="s">
        <v>71</v>
      </c>
      <c r="F14" s="56" t="s">
        <v>26</v>
      </c>
      <c r="G14" s="44">
        <v>1</v>
      </c>
      <c r="H14" s="129">
        <f>IF(B$15=0,0,G14/B$15)</f>
        <v>2.6315789473684209E-2</v>
      </c>
      <c r="I14" s="90">
        <v>13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38</v>
      </c>
      <c r="C15" s="35">
        <f>IF(B$3=0,0,B15/B$3)</f>
        <v>0.38</v>
      </c>
      <c r="E15" s="59" t="s">
        <v>75</v>
      </c>
      <c r="F15" s="56" t="s">
        <v>30</v>
      </c>
      <c r="G15" s="44">
        <v>1</v>
      </c>
      <c r="H15" s="129">
        <f>IF(B$15=0,0,G15/B$15)</f>
        <v>2.6315789473684209E-2</v>
      </c>
      <c r="I15" s="90">
        <v>1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13</v>
      </c>
      <c r="C16" s="37">
        <f>IF(B$3=0,0,B16/B$3)</f>
        <v>0.13</v>
      </c>
      <c r="E16" s="59" t="s">
        <v>79</v>
      </c>
      <c r="F16" s="56" t="s">
        <v>34</v>
      </c>
      <c r="G16" s="44">
        <v>1</v>
      </c>
      <c r="H16" s="129">
        <f>IF(B$15=0,0,G16/B$15)</f>
        <v>2.6315789473684209E-2</v>
      </c>
      <c r="I16" s="90">
        <v>2</v>
      </c>
      <c r="N16" s="111" t="s">
        <v>171</v>
      </c>
      <c r="O16" s="121">
        <f>IF(P16=0,0,Q16/P16)</f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19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2.6315789473684209E-2</v>
      </c>
      <c r="I17" s="90">
        <v>11</v>
      </c>
      <c r="N17" s="111" t="s">
        <v>170</v>
      </c>
      <c r="O17" s="121">
        <f>IF(P17=0,0,Q17/P17)</f>
        <v>25.316666666666666</v>
      </c>
      <c r="P17" s="115">
        <v>6</v>
      </c>
      <c r="Q17" s="103">
        <v>151.9</v>
      </c>
    </row>
    <row r="18" spans="1:17" x14ac:dyDescent="0.45">
      <c r="A18" s="51" t="s">
        <v>11</v>
      </c>
      <c r="B18" s="44">
        <v>19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172</v>
      </c>
      <c r="O18" s="121">
        <f>IF(P18=0,0,Q18/P18)</f>
        <v>19.249999999999996</v>
      </c>
      <c r="P18" s="115">
        <v>4</v>
      </c>
      <c r="Q18" s="103">
        <v>76.999999999999986</v>
      </c>
    </row>
    <row r="19" spans="1:17" x14ac:dyDescent="0.45">
      <c r="A19" s="51" t="s">
        <v>195</v>
      </c>
      <c r="B19" s="44">
        <v>22</v>
      </c>
      <c r="C19" s="37">
        <f>IF(B$15=0,0,B19/B$15)</f>
        <v>0.57894736842105265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197</v>
      </c>
      <c r="O19" s="121">
        <f>IF(P19=0,0,Q19/P19)</f>
        <v>12.000000000000002</v>
      </c>
      <c r="P19" s="115">
        <v>1</v>
      </c>
      <c r="Q19" s="103">
        <v>12.000000000000002</v>
      </c>
    </row>
    <row r="20" spans="1:17" x14ac:dyDescent="0.45">
      <c r="A20" s="51" t="s">
        <v>193</v>
      </c>
      <c r="B20" s="44">
        <v>9</v>
      </c>
      <c r="C20" s="37">
        <f>IF(B$15=0,0,B20/B$15)</f>
        <v>0.23684210526315788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>IF(P20=0,0,Q20/P20)</f>
        <v>6.2333333333333343</v>
      </c>
      <c r="P20" s="115">
        <v>3</v>
      </c>
      <c r="Q20" s="103">
        <v>18.700000000000003</v>
      </c>
    </row>
    <row r="21" spans="1:17" x14ac:dyDescent="0.45">
      <c r="A21" s="51" t="s">
        <v>194</v>
      </c>
      <c r="B21" s="44">
        <v>7</v>
      </c>
      <c r="C21" s="37">
        <f>IF(B$15=0,0,B21/B$15)</f>
        <v>0.18421052631578946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-29.949999999999996</v>
      </c>
      <c r="P21" s="115">
        <v>2</v>
      </c>
      <c r="Q21" s="103">
        <v>-59.899999999999991</v>
      </c>
    </row>
    <row r="22" spans="1:17" x14ac:dyDescent="0.45">
      <c r="A22" s="51" t="s">
        <v>5</v>
      </c>
      <c r="B22" s="48">
        <f>IF(B$15=0,0,C22/B$15)</f>
        <v>6765.7894736842109</v>
      </c>
      <c r="C22" s="39">
        <v>257100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7234.4827586206893</v>
      </c>
      <c r="C23" s="137">
        <v>209800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5255.5555555555557</v>
      </c>
      <c r="C24" s="137">
        <v>47300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-7800</v>
      </c>
      <c r="C25" s="137">
        <v>-101400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3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4</v>
      </c>
      <c r="C32" s="141">
        <f>IF(B$15=0,0,B32/B$15)</f>
        <v>0.10526315789473684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10</v>
      </c>
      <c r="C33" s="37">
        <f t="shared" ref="C33:C44" si="2">IF(B$15=0,0,B33/B$15)</f>
        <v>0.26315789473684209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5</v>
      </c>
      <c r="C34" s="37">
        <f>IF(B$15=0,0,B34/B$15)</f>
        <v>0.13157894736842105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2"/>
        <v>0.23684210526315788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2"/>
        <v>0.15789473684210525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2.6315789473684209E-2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2"/>
        <v>5.2631578947368418E-2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2"/>
        <v>2.6315789473684209E-2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B558C-F29D-4B81-AD84-8320E1DE089B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9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8BE4F-8688-4B5E-B6F4-C728D5575C5D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F0F5-ABCD-4491-BFE6-FA0AC94AC333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3874B-69A4-4136-8D0C-A3A278D0C55F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A7E39-A4F7-4AC5-88D1-4F9BDA057695}">
  <sheetPr codeName="Sheet28"/>
  <dimension ref="A1:Q1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2C86A-12CA-4FEF-9B88-4A8B5431690C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9D213-C087-48A7-A889-08E268BFBE2C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5E434-7161-4FB7-A879-72565ED7A2E3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A320-6766-4C89-A279-03F82D199659}">
  <sheetPr codeName="Sheet20"/>
  <dimension ref="A1:Q6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2168-54B2-4E12-BADF-FE05B57DF42D}">
  <sheetPr codeName="Sheet18"/>
  <dimension ref="A1:Q13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863E-991F-48B9-852E-595E113ACF3E}">
  <sheetPr codeName="Sheet16"/>
  <dimension ref="A1:Q1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0CC3-FD8B-4C15-B65B-85B4A980437A}">
  <sheetPr codeName="Sheet14"/>
  <dimension ref="A1:Q9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3AA7-FB39-4144-B109-1B9FB849F24C}">
  <sheetPr codeName="Sheet12"/>
  <dimension ref="A1:Q14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F1A7-6EBA-4DE2-A6F1-1818D7199BD9}">
  <sheetPr codeName="Sheet10"/>
  <dimension ref="A1:Q16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9D68-F0CE-435E-B4BA-B07C6FD8E624}">
  <sheetPr codeName="Sheet8"/>
  <dimension ref="A1:Q7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6675-D5A0-40FB-A79B-0896A8E10BA9}">
  <sheetPr codeName="Sheet6"/>
  <dimension ref="A1:Q27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2019-12-19T01:31:19Z</dcterms:modified>
</cp:coreProperties>
</file>