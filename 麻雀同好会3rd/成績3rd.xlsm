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F2046188-720B-4AFF-A18C-91D2F7F78240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413" r:id="rId6"/>
    <sheet name="たかの" sheetId="6415" r:id="rId7"/>
    <sheet name="だいち" sheetId="6417" r:id="rId8"/>
    <sheet name="ただ" sheetId="6419" r:id="rId9"/>
    <sheet name="りくと" sheetId="6421" r:id="rId10"/>
    <sheet name="れんたろう" sheetId="6423" r:id="rId11"/>
    <sheet name="まっつん" sheetId="6425" r:id="rId12"/>
    <sheet name="のり" sheetId="6427" r:id="rId13"/>
    <sheet name="ぱぱ" sheetId="6429" r:id="rId14"/>
    <sheet name="ほたに" sheetId="6431" r:id="rId15"/>
    <sheet name="いっしー" sheetId="6433" r:id="rId16"/>
    <sheet name="ともき" sheetId="6435" r:id="rId17"/>
    <sheet name="たか" sheetId="6437" r:id="rId18"/>
    <sheet name="ゆう" sheetId="6439" r:id="rId19"/>
    <sheet name="ゆう2" sheetId="6440" state="hidden" r:id="rId20"/>
    <sheet name="たか2" sheetId="6438" state="hidden" r:id="rId21"/>
    <sheet name="ともき2" sheetId="6436" state="hidden" r:id="rId22"/>
    <sheet name="いっしー2" sheetId="6434" state="hidden" r:id="rId23"/>
    <sheet name="ほたに2" sheetId="6432" state="hidden" r:id="rId24"/>
    <sheet name="ぱぱ2" sheetId="6430" state="hidden" r:id="rId25"/>
    <sheet name="のり2" sheetId="6428" state="hidden" r:id="rId26"/>
    <sheet name="まっつん2" sheetId="6426" state="hidden" r:id="rId27"/>
    <sheet name="れんたろう2" sheetId="6424" state="hidden" r:id="rId28"/>
    <sheet name="りくと2" sheetId="6422" state="hidden" r:id="rId29"/>
    <sheet name="ただ2" sheetId="6420" state="hidden" r:id="rId30"/>
    <sheet name="だいち2" sheetId="6418" state="hidden" r:id="rId31"/>
    <sheet name="たかの2" sheetId="6416" state="hidden" r:id="rId32"/>
    <sheet name="全体2" sheetId="6414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7">だいち!#REF!</definedName>
    <definedName name="ダマアガリ点" localSheetId="17">たか!#REF!</definedName>
    <definedName name="ダマアガリ点" localSheetId="6">たかの!#REF!</definedName>
    <definedName name="ダマアガリ点" localSheetId="8">ただ!#REF!</definedName>
    <definedName name="ダマアガリ点" localSheetId="16">ともき!#REF!</definedName>
    <definedName name="ダマアガリ点" localSheetId="12">のり!#REF!</definedName>
    <definedName name="ダマアガリ点" localSheetId="13">ぱぱ!#REF!</definedName>
    <definedName name="ダマアガリ点" localSheetId="14">ほたに!#REF!</definedName>
    <definedName name="ダマアガリ点" localSheetId="11">まっつん!#REF!</definedName>
    <definedName name="ダマアガリ点" localSheetId="18">ゆう!#REF!</definedName>
    <definedName name="ダマアガリ点" localSheetId="9">りくと!#REF!</definedName>
    <definedName name="ダマアガリ点" localSheetId="10">れんたろう!#REF!</definedName>
    <definedName name="ダマアガリ点" localSheetId="5">全体!#REF!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7">だいち!#REF!</definedName>
    <definedName name="ふっとばし数" localSheetId="17">たか!#REF!</definedName>
    <definedName name="ふっとばし数" localSheetId="6">たかの!#REF!</definedName>
    <definedName name="ふっとばし数" localSheetId="8">ただ!#REF!</definedName>
    <definedName name="ふっとばし数" localSheetId="16">ともき!#REF!</definedName>
    <definedName name="ふっとばし数" localSheetId="12">のり!#REF!</definedName>
    <definedName name="ふっとばし数" localSheetId="13">ぱぱ!#REF!</definedName>
    <definedName name="ふっとばし数" localSheetId="14">ほたに!#REF!</definedName>
    <definedName name="ふっとばし数" localSheetId="11">まっつん!#REF!</definedName>
    <definedName name="ふっとばし数" localSheetId="18">ゆう!#REF!</definedName>
    <definedName name="ふっとばし数" localSheetId="9">りくと!#REF!</definedName>
    <definedName name="ふっとばし数" localSheetId="10">れんたろう!#REF!</definedName>
    <definedName name="ふっとばし数" localSheetId="5">全体!#REF!</definedName>
    <definedName name="ふっとばし数">Template1!#REF!</definedName>
    <definedName name="ふっとばし率" localSheetId="15">いっしー!#REF!</definedName>
    <definedName name="ふっとばし率" localSheetId="7">だいち!#REF!</definedName>
    <definedName name="ふっとばし率" localSheetId="17">たか!#REF!</definedName>
    <definedName name="ふっとばし率" localSheetId="6">たかの!#REF!</definedName>
    <definedName name="ふっとばし率" localSheetId="8">ただ!#REF!</definedName>
    <definedName name="ふっとばし率" localSheetId="16">ともき!#REF!</definedName>
    <definedName name="ふっとばし率" localSheetId="12">のり!#REF!</definedName>
    <definedName name="ふっとばし率" localSheetId="13">ぱぱ!#REF!</definedName>
    <definedName name="ふっとばし率" localSheetId="14">ほたに!#REF!</definedName>
    <definedName name="ふっとばし率" localSheetId="11">まっつん!#REF!</definedName>
    <definedName name="ふっとばし率" localSheetId="18">ゆう!#REF!</definedName>
    <definedName name="ふっとばし率" localSheetId="9">りくと!#REF!</definedName>
    <definedName name="ふっとばし率" localSheetId="10">れんたろう!#REF!</definedName>
    <definedName name="ふっとばし率" localSheetId="5">全体!#REF!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7">だいち!#REF!</definedName>
    <definedName name="逆転数" localSheetId="17">たか!#REF!</definedName>
    <definedName name="逆転数" localSheetId="6">たかの!#REF!</definedName>
    <definedName name="逆転数" localSheetId="8">ただ!#REF!</definedName>
    <definedName name="逆転数" localSheetId="16">ともき!#REF!</definedName>
    <definedName name="逆転数" localSheetId="12">のり!#REF!</definedName>
    <definedName name="逆転数" localSheetId="13">ぱぱ!#REF!</definedName>
    <definedName name="逆転数" localSheetId="14">ほたに!#REF!</definedName>
    <definedName name="逆転数" localSheetId="11">まっつん!#REF!</definedName>
    <definedName name="逆転数" localSheetId="18">ゆう!#REF!</definedName>
    <definedName name="逆転数" localSheetId="9">りくと!#REF!</definedName>
    <definedName name="逆転数" localSheetId="10">れんたろう!#REF!</definedName>
    <definedName name="逆転数" localSheetId="5">全体!#REF!</definedName>
    <definedName name="逆転数">Template1!#REF!</definedName>
    <definedName name="逆転率" localSheetId="15">いっしー!#REF!</definedName>
    <definedName name="逆転率" localSheetId="7">だいち!#REF!</definedName>
    <definedName name="逆転率" localSheetId="17">たか!#REF!</definedName>
    <definedName name="逆転率" localSheetId="6">たかの!#REF!</definedName>
    <definedName name="逆転率" localSheetId="8">ただ!#REF!</definedName>
    <definedName name="逆転率" localSheetId="16">ともき!#REF!</definedName>
    <definedName name="逆転率" localSheetId="12">のり!#REF!</definedName>
    <definedName name="逆転率" localSheetId="13">ぱぱ!#REF!</definedName>
    <definedName name="逆転率" localSheetId="14">ほたに!#REF!</definedName>
    <definedName name="逆転率" localSheetId="11">まっつん!#REF!</definedName>
    <definedName name="逆転率" localSheetId="18">ゆう!#REF!</definedName>
    <definedName name="逆転率" localSheetId="9">りくと!#REF!</definedName>
    <definedName name="逆転率" localSheetId="10">れんたろう!#REF!</definedName>
    <definedName name="逆転率" localSheetId="5">全体!#REF!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437" l="1"/>
  <c r="O25" i="6425" l="1"/>
  <c r="O15" i="6435"/>
  <c r="O16" i="6437" l="1"/>
  <c r="O23" i="6415"/>
  <c r="O20" i="6425" l="1"/>
  <c r="O16" i="6439"/>
  <c r="O18" i="6437"/>
  <c r="O15" i="6415" l="1"/>
  <c r="O22" i="6435"/>
  <c r="O19" i="6437" l="1"/>
  <c r="O15" i="6439"/>
  <c r="O17" i="6439"/>
  <c r="C30" i="6439"/>
  <c r="B25" i="6439"/>
  <c r="C16" i="6439"/>
  <c r="B15" i="6439"/>
  <c r="H50" i="6439" s="1"/>
  <c r="B14" i="6439"/>
  <c r="B24" i="6439" s="1"/>
  <c r="B13" i="6439"/>
  <c r="C13" i="6439" s="1"/>
  <c r="O12" i="6439"/>
  <c r="C12" i="6439"/>
  <c r="O11" i="6439"/>
  <c r="C11" i="6439"/>
  <c r="O10" i="6439"/>
  <c r="C10" i="6439"/>
  <c r="C9" i="6439"/>
  <c r="C8" i="6439"/>
  <c r="O7" i="6439"/>
  <c r="C7" i="6439"/>
  <c r="O6" i="6439"/>
  <c r="B6" i="6439"/>
  <c r="O5" i="6439"/>
  <c r="B5" i="6439"/>
  <c r="O4" i="6439"/>
  <c r="O3" i="6439"/>
  <c r="O2" i="6439"/>
  <c r="O16" i="6427"/>
  <c r="O15" i="6437"/>
  <c r="O17" i="6437"/>
  <c r="C30" i="6437"/>
  <c r="B25" i="6437"/>
  <c r="C16" i="6437"/>
  <c r="B15" i="6437"/>
  <c r="H50" i="6437" s="1"/>
  <c r="B14" i="6437"/>
  <c r="B24" i="6437" s="1"/>
  <c r="B13" i="6437"/>
  <c r="C13" i="6437" s="1"/>
  <c r="O12" i="6437"/>
  <c r="C12" i="6437"/>
  <c r="O11" i="6437"/>
  <c r="C11" i="6437"/>
  <c r="O10" i="6437"/>
  <c r="C10" i="6437"/>
  <c r="C9" i="6437"/>
  <c r="C8" i="6437"/>
  <c r="O7" i="6437"/>
  <c r="C7" i="6437"/>
  <c r="O6" i="6437"/>
  <c r="B6" i="6437"/>
  <c r="O5" i="6437"/>
  <c r="B5" i="6437"/>
  <c r="O4" i="6437"/>
  <c r="O3" i="6437"/>
  <c r="O2" i="6437"/>
  <c r="O15" i="6413"/>
  <c r="C14" i="6437" l="1"/>
  <c r="C14" i="6439"/>
  <c r="H18" i="6439"/>
  <c r="H2" i="6439"/>
  <c r="H12" i="6439"/>
  <c r="C19" i="6439"/>
  <c r="H13" i="6439"/>
  <c r="H34" i="6439"/>
  <c r="H39" i="6439"/>
  <c r="C44" i="6439"/>
  <c r="H40" i="6439"/>
  <c r="H16" i="6439"/>
  <c r="H47" i="6439"/>
  <c r="C34" i="6439"/>
  <c r="H14" i="6439"/>
  <c r="H35" i="6439"/>
  <c r="H19" i="6439"/>
  <c r="H41" i="6439"/>
  <c r="H48" i="6439"/>
  <c r="H28" i="6439"/>
  <c r="H10" i="6439"/>
  <c r="H8" i="6439"/>
  <c r="C40" i="6439"/>
  <c r="H30" i="6439"/>
  <c r="H3" i="6439"/>
  <c r="H24" i="6439"/>
  <c r="C36" i="6439"/>
  <c r="H42" i="6439"/>
  <c r="H7" i="6439"/>
  <c r="B22" i="6439"/>
  <c r="H32" i="6439"/>
  <c r="H37" i="6439"/>
  <c r="C42" i="6439"/>
  <c r="H51" i="6439"/>
  <c r="H45" i="6439"/>
  <c r="H6" i="6439"/>
  <c r="C20" i="6439"/>
  <c r="H36" i="6439"/>
  <c r="C17" i="6439"/>
  <c r="H20" i="6439"/>
  <c r="H26" i="6439"/>
  <c r="C32" i="6439"/>
  <c r="H38" i="6439"/>
  <c r="H43" i="6439"/>
  <c r="H4" i="6439"/>
  <c r="H22" i="6439"/>
  <c r="C15" i="6439"/>
  <c r="H29" i="6439"/>
  <c r="C21" i="6439"/>
  <c r="H49" i="6439"/>
  <c r="H11" i="6439"/>
  <c r="H15" i="6439"/>
  <c r="C18" i="6439"/>
  <c r="H33" i="6439"/>
  <c r="C38" i="6439"/>
  <c r="H44" i="6439"/>
  <c r="H52" i="6439"/>
  <c r="H21" i="6439"/>
  <c r="H25" i="6439"/>
  <c r="H9" i="6439"/>
  <c r="C33" i="6439"/>
  <c r="C37" i="6439"/>
  <c r="C41" i="6439"/>
  <c r="H46" i="6439"/>
  <c r="B23" i="6439"/>
  <c r="H17" i="6439"/>
  <c r="H5" i="6439"/>
  <c r="H23" i="6439"/>
  <c r="H27" i="6439"/>
  <c r="H31" i="6439"/>
  <c r="C35" i="6439"/>
  <c r="C39" i="6439"/>
  <c r="C43" i="6439"/>
  <c r="H3" i="6437"/>
  <c r="H34" i="6437"/>
  <c r="C19" i="6437"/>
  <c r="H10" i="6437"/>
  <c r="H28" i="6437"/>
  <c r="H18" i="6437"/>
  <c r="H39" i="6437"/>
  <c r="C44" i="6437"/>
  <c r="H29" i="6437"/>
  <c r="C20" i="6437"/>
  <c r="C34" i="6437"/>
  <c r="H9" i="6437"/>
  <c r="H16" i="6437"/>
  <c r="H35" i="6437"/>
  <c r="C21" i="6437"/>
  <c r="H48" i="6437"/>
  <c r="H12" i="6437"/>
  <c r="H36" i="6437"/>
  <c r="H11" i="6437"/>
  <c r="H30" i="6437"/>
  <c r="H19" i="6437"/>
  <c r="H41" i="6437"/>
  <c r="H8" i="6437"/>
  <c r="H24" i="6437"/>
  <c r="C36" i="6437"/>
  <c r="H49" i="6437"/>
  <c r="H32" i="6437"/>
  <c r="C42" i="6437"/>
  <c r="H51" i="6437"/>
  <c r="H45" i="6437"/>
  <c r="C40" i="6437"/>
  <c r="H7" i="6437"/>
  <c r="C17" i="6437"/>
  <c r="B22" i="6437"/>
  <c r="H37" i="6437"/>
  <c r="H21" i="6437"/>
  <c r="C32" i="6437"/>
  <c r="H38" i="6437"/>
  <c r="H43" i="6437"/>
  <c r="H5" i="6437"/>
  <c r="H40" i="6437"/>
  <c r="H6" i="6437"/>
  <c r="C15" i="6437"/>
  <c r="H47" i="6437"/>
  <c r="H14" i="6437"/>
  <c r="H2" i="6437"/>
  <c r="H42" i="6437"/>
  <c r="H26" i="6437"/>
  <c r="H4" i="6437"/>
  <c r="H15" i="6437"/>
  <c r="C18" i="6437"/>
  <c r="H33" i="6437"/>
  <c r="C38" i="6437"/>
  <c r="H44" i="6437"/>
  <c r="H52" i="6437"/>
  <c r="H22" i="6437"/>
  <c r="H25" i="6437"/>
  <c r="H13" i="6437"/>
  <c r="C33" i="6437"/>
  <c r="C37" i="6437"/>
  <c r="C41" i="6437"/>
  <c r="H46" i="6437"/>
  <c r="B23" i="6437"/>
  <c r="H17" i="6437"/>
  <c r="H20" i="6437"/>
  <c r="H23" i="6437"/>
  <c r="H27" i="6437"/>
  <c r="H31" i="6437"/>
  <c r="C35" i="6437"/>
  <c r="C39" i="6437"/>
  <c r="C43" i="6437"/>
  <c r="O21" i="6435" l="1"/>
  <c r="O15" i="6417"/>
  <c r="O20" i="6419" l="1"/>
  <c r="O16" i="6435"/>
  <c r="O19" i="6435"/>
  <c r="O22" i="6421"/>
  <c r="O17" i="6429" l="1"/>
  <c r="O20" i="6435"/>
  <c r="O21" i="6423" l="1"/>
  <c r="O17" i="6435"/>
  <c r="O18" i="6435"/>
  <c r="C30" i="6435"/>
  <c r="B25" i="6435"/>
  <c r="C16" i="6435"/>
  <c r="B15" i="6435"/>
  <c r="H50" i="6435" s="1"/>
  <c r="C14" i="6435"/>
  <c r="B14" i="6435"/>
  <c r="B24" i="6435" s="1"/>
  <c r="B13" i="6435"/>
  <c r="C13" i="6435" s="1"/>
  <c r="O12" i="6435"/>
  <c r="C12" i="6435"/>
  <c r="O11" i="6435"/>
  <c r="C11" i="6435"/>
  <c r="O10" i="6435"/>
  <c r="C10" i="6435"/>
  <c r="C9" i="6435"/>
  <c r="C8" i="6435"/>
  <c r="O7" i="6435"/>
  <c r="C7" i="6435"/>
  <c r="O6" i="6435"/>
  <c r="B6" i="6435"/>
  <c r="O5" i="6435"/>
  <c r="B5" i="6435"/>
  <c r="O4" i="6435"/>
  <c r="O3" i="6435"/>
  <c r="O2" i="6435"/>
  <c r="O18" i="6427"/>
  <c r="O20" i="6413"/>
  <c r="H2" i="6435" l="1"/>
  <c r="C19" i="6435"/>
  <c r="H34" i="6435"/>
  <c r="H9" i="6435"/>
  <c r="H27" i="6435"/>
  <c r="H20" i="6435"/>
  <c r="H39" i="6435"/>
  <c r="C44" i="6435"/>
  <c r="H8" i="6435"/>
  <c r="H47" i="6435"/>
  <c r="H28" i="6435"/>
  <c r="C15" i="6435"/>
  <c r="C40" i="6435"/>
  <c r="H30" i="6435"/>
  <c r="H41" i="6435"/>
  <c r="H48" i="6435"/>
  <c r="C34" i="6435"/>
  <c r="H16" i="6435"/>
  <c r="H42" i="6435"/>
  <c r="H36" i="6435"/>
  <c r="H5" i="6435"/>
  <c r="H14" i="6435"/>
  <c r="H49" i="6435"/>
  <c r="B22" i="6435"/>
  <c r="H37" i="6435"/>
  <c r="H51" i="6435"/>
  <c r="H24" i="6435"/>
  <c r="H40" i="6435"/>
  <c r="H6" i="6435"/>
  <c r="C20" i="6435"/>
  <c r="H21" i="6435"/>
  <c r="H10" i="6435"/>
  <c r="C17" i="6435"/>
  <c r="H32" i="6435"/>
  <c r="C42" i="6435"/>
  <c r="H13" i="6435"/>
  <c r="C32" i="6435"/>
  <c r="H38" i="6435"/>
  <c r="H43" i="6435"/>
  <c r="H7" i="6435"/>
  <c r="H45" i="6435"/>
  <c r="H19" i="6435"/>
  <c r="H29" i="6435"/>
  <c r="H35" i="6435"/>
  <c r="C21" i="6435"/>
  <c r="H3" i="6435"/>
  <c r="C36" i="6435"/>
  <c r="H15" i="6435"/>
  <c r="H4" i="6435"/>
  <c r="H18" i="6435"/>
  <c r="C18" i="6435"/>
  <c r="H33" i="6435"/>
  <c r="C38" i="6435"/>
  <c r="H44" i="6435"/>
  <c r="H52" i="6435"/>
  <c r="H23" i="6435"/>
  <c r="H26" i="6435"/>
  <c r="H11" i="6435"/>
  <c r="C33" i="6435"/>
  <c r="C37" i="6435"/>
  <c r="C41" i="6435"/>
  <c r="H46" i="6435"/>
  <c r="B23" i="6435"/>
  <c r="H12" i="6435"/>
  <c r="H22" i="6435"/>
  <c r="H25" i="6435"/>
  <c r="H17" i="6435"/>
  <c r="H31" i="6435"/>
  <c r="C35" i="6435"/>
  <c r="C39" i="6435"/>
  <c r="C43" i="6435"/>
  <c r="O16" i="6425" l="1"/>
  <c r="O17" i="6433"/>
  <c r="O23" i="6417"/>
  <c r="O16" i="6433"/>
  <c r="O15" i="6433"/>
  <c r="C30" i="6433"/>
  <c r="B25" i="6433"/>
  <c r="C16" i="6433"/>
  <c r="B15" i="6433"/>
  <c r="H50" i="6433" s="1"/>
  <c r="B14" i="6433"/>
  <c r="B24" i="6433" s="1"/>
  <c r="B13" i="6433"/>
  <c r="C13" i="6433" s="1"/>
  <c r="O12" i="6433"/>
  <c r="C12" i="6433"/>
  <c r="O11" i="6433"/>
  <c r="C11" i="6433"/>
  <c r="O10" i="6433"/>
  <c r="C10" i="6433"/>
  <c r="C9" i="6433"/>
  <c r="C8" i="6433"/>
  <c r="O7" i="6433"/>
  <c r="C7" i="6433"/>
  <c r="O6" i="6433"/>
  <c r="B6" i="6433"/>
  <c r="O5" i="6433"/>
  <c r="B5" i="6433"/>
  <c r="O4" i="6433"/>
  <c r="O3" i="6433"/>
  <c r="O2" i="6433"/>
  <c r="O20" i="6427"/>
  <c r="O26" i="6413"/>
  <c r="H6" i="6433" l="1"/>
  <c r="H34" i="6433"/>
  <c r="C19" i="6433"/>
  <c r="H9" i="6433"/>
  <c r="H27" i="6433"/>
  <c r="H17" i="6433"/>
  <c r="H39" i="6433"/>
  <c r="C14" i="6433"/>
  <c r="C44" i="6433"/>
  <c r="H29" i="6433"/>
  <c r="H22" i="6433"/>
  <c r="H45" i="6433"/>
  <c r="H7" i="6433"/>
  <c r="H15" i="6433"/>
  <c r="H35" i="6433"/>
  <c r="H18" i="6433"/>
  <c r="H41" i="6433"/>
  <c r="H48" i="6433"/>
  <c r="H28" i="6433"/>
  <c r="H12" i="6433"/>
  <c r="C36" i="6433"/>
  <c r="C40" i="6433"/>
  <c r="H36" i="6433"/>
  <c r="H3" i="6433"/>
  <c r="H2" i="6433"/>
  <c r="H8" i="6433"/>
  <c r="H42" i="6433"/>
  <c r="H13" i="6433"/>
  <c r="H32" i="6433"/>
  <c r="C42" i="6433"/>
  <c r="H51" i="6433"/>
  <c r="H40" i="6433"/>
  <c r="H10" i="6433"/>
  <c r="C20" i="6433"/>
  <c r="C21" i="6433"/>
  <c r="C17" i="6433"/>
  <c r="B22" i="6433"/>
  <c r="H37" i="6433"/>
  <c r="H20" i="6433"/>
  <c r="H25" i="6433"/>
  <c r="H38" i="6433"/>
  <c r="H43" i="6433"/>
  <c r="H11" i="6433"/>
  <c r="C34" i="6433"/>
  <c r="C15" i="6433"/>
  <c r="H47" i="6433"/>
  <c r="H30" i="6433"/>
  <c r="H49" i="6433"/>
  <c r="C32" i="6433"/>
  <c r="H4" i="6433"/>
  <c r="H14" i="6433"/>
  <c r="C18" i="6433"/>
  <c r="H33" i="6433"/>
  <c r="C38" i="6433"/>
  <c r="H44" i="6433"/>
  <c r="H52" i="6433"/>
  <c r="H21" i="6433"/>
  <c r="H24" i="6433"/>
  <c r="H5" i="6433"/>
  <c r="C33" i="6433"/>
  <c r="C37" i="6433"/>
  <c r="C41" i="6433"/>
  <c r="H46" i="6433"/>
  <c r="B23" i="6433"/>
  <c r="H16" i="6433"/>
  <c r="H19" i="6433"/>
  <c r="H23" i="6433"/>
  <c r="H26" i="6433"/>
  <c r="H31" i="6433"/>
  <c r="C35" i="6433"/>
  <c r="C39" i="6433"/>
  <c r="C43" i="6433"/>
  <c r="O22" i="6415" l="1"/>
  <c r="O16" i="6423"/>
  <c r="O15" i="6423" l="1"/>
  <c r="O19" i="6431"/>
  <c r="O15" i="6421" l="1"/>
  <c r="O22" i="6427"/>
  <c r="O16" i="6431" l="1"/>
  <c r="O23" i="6421"/>
  <c r="O20" i="6415" l="1"/>
  <c r="O17" i="6417"/>
  <c r="O15" i="6427"/>
  <c r="O23" i="6427"/>
  <c r="O19" i="6425" l="1"/>
  <c r="O19" i="6429"/>
  <c r="O18" i="6419" l="1"/>
  <c r="O17" i="6425"/>
  <c r="O17" i="6427"/>
  <c r="O19" i="6427"/>
  <c r="O16" i="6415" l="1"/>
  <c r="O16" i="6429"/>
  <c r="O20" i="6429"/>
  <c r="O18" i="6421"/>
  <c r="O22" i="6419" l="1"/>
  <c r="O20" i="6423"/>
  <c r="O23" i="6423" l="1"/>
  <c r="O22" i="6417"/>
  <c r="O25" i="6427"/>
  <c r="O17" i="6431"/>
  <c r="O15" i="6431"/>
  <c r="O21" i="6429"/>
  <c r="O15" i="6419" l="1"/>
  <c r="O21" i="6419"/>
  <c r="O18" i="6431"/>
  <c r="O20" i="6431"/>
  <c r="C30" i="6431"/>
  <c r="B25" i="6431"/>
  <c r="C16" i="6431"/>
  <c r="B15" i="6431"/>
  <c r="H50" i="6431" s="1"/>
  <c r="B14" i="6431"/>
  <c r="B24" i="6431" s="1"/>
  <c r="B13" i="6431"/>
  <c r="C13" i="6431" s="1"/>
  <c r="O12" i="6431"/>
  <c r="C12" i="6431"/>
  <c r="O11" i="6431"/>
  <c r="C11" i="6431"/>
  <c r="O10" i="6431"/>
  <c r="C10" i="6431"/>
  <c r="C9" i="6431"/>
  <c r="C8" i="6431"/>
  <c r="O7" i="6431"/>
  <c r="C7" i="6431"/>
  <c r="O6" i="6431"/>
  <c r="B6" i="6431"/>
  <c r="O5" i="6431"/>
  <c r="B5" i="6431"/>
  <c r="O4" i="6431"/>
  <c r="O3" i="6431"/>
  <c r="O2" i="6431"/>
  <c r="O21" i="6425"/>
  <c r="O15" i="6425"/>
  <c r="O16" i="6413"/>
  <c r="C14" i="6431" l="1"/>
  <c r="C19" i="6431"/>
  <c r="H27" i="6431"/>
  <c r="C44" i="6431"/>
  <c r="H3" i="6431"/>
  <c r="H11" i="6431"/>
  <c r="H34" i="6431"/>
  <c r="H19" i="6431"/>
  <c r="H39" i="6431"/>
  <c r="H23" i="6431"/>
  <c r="H29" i="6431"/>
  <c r="H45" i="6431"/>
  <c r="H8" i="6431"/>
  <c r="C20" i="6431"/>
  <c r="H20" i="6431"/>
  <c r="H48" i="6431"/>
  <c r="H28" i="6431"/>
  <c r="H7" i="6431"/>
  <c r="C36" i="6431"/>
  <c r="H17" i="6431"/>
  <c r="H47" i="6431"/>
  <c r="C21" i="6431"/>
  <c r="H36" i="6431"/>
  <c r="H41" i="6431"/>
  <c r="H2" i="6431"/>
  <c r="H14" i="6431"/>
  <c r="H49" i="6431"/>
  <c r="C17" i="6431"/>
  <c r="H32" i="6431"/>
  <c r="C42" i="6431"/>
  <c r="H51" i="6431"/>
  <c r="C34" i="6431"/>
  <c r="C15" i="6431"/>
  <c r="H42" i="6431"/>
  <c r="H10" i="6431"/>
  <c r="B22" i="6431"/>
  <c r="H37" i="6431"/>
  <c r="H13" i="6431"/>
  <c r="H26" i="6431"/>
  <c r="H38" i="6431"/>
  <c r="H43" i="6431"/>
  <c r="H6" i="6431"/>
  <c r="H40" i="6431"/>
  <c r="H12" i="6431"/>
  <c r="H35" i="6431"/>
  <c r="C40" i="6431"/>
  <c r="H30" i="6431"/>
  <c r="H5" i="6431"/>
  <c r="C32" i="6431"/>
  <c r="H4" i="6431"/>
  <c r="H16" i="6431"/>
  <c r="C18" i="6431"/>
  <c r="H33" i="6431"/>
  <c r="C38" i="6431"/>
  <c r="H44" i="6431"/>
  <c r="H52" i="6431"/>
  <c r="H22" i="6431"/>
  <c r="H25" i="6431"/>
  <c r="H9" i="6431"/>
  <c r="C33" i="6431"/>
  <c r="C37" i="6431"/>
  <c r="C41" i="6431"/>
  <c r="H46" i="6431"/>
  <c r="B23" i="6431"/>
  <c r="H18" i="6431"/>
  <c r="H21" i="6431"/>
  <c r="H24" i="6431"/>
  <c r="H15" i="6431"/>
  <c r="H31" i="6431"/>
  <c r="C35" i="6431"/>
  <c r="C39" i="6431"/>
  <c r="C43" i="6431"/>
  <c r="O18" i="6417" l="1"/>
  <c r="O20" i="6421"/>
  <c r="O21" i="6417" l="1"/>
  <c r="O22" i="6425"/>
  <c r="O24" i="6425"/>
  <c r="O18" i="6415"/>
  <c r="O17" i="6419"/>
  <c r="O17" i="6421"/>
  <c r="O21" i="6421"/>
  <c r="O17" i="6415"/>
  <c r="O16" i="6419"/>
  <c r="O16" i="6417"/>
  <c r="O22" i="6429"/>
  <c r="O23" i="6429"/>
  <c r="O19" i="6423" l="1"/>
  <c r="O17" i="6423"/>
  <c r="O15" i="6429"/>
  <c r="O18" i="6429"/>
  <c r="C30" i="6429"/>
  <c r="B25" i="6429"/>
  <c r="C16" i="6429"/>
  <c r="B15" i="6429"/>
  <c r="H51" i="6429" s="1"/>
  <c r="B14" i="6429"/>
  <c r="B24" i="6429" s="1"/>
  <c r="B13" i="6429"/>
  <c r="C13" i="6429" s="1"/>
  <c r="O12" i="6429"/>
  <c r="C12" i="6429"/>
  <c r="O11" i="6429"/>
  <c r="C11" i="6429"/>
  <c r="O10" i="6429"/>
  <c r="C10" i="6429"/>
  <c r="C9" i="6429"/>
  <c r="C8" i="6429"/>
  <c r="O7" i="6429"/>
  <c r="C7" i="6429"/>
  <c r="O6" i="6429"/>
  <c r="B6" i="6429"/>
  <c r="O5" i="6429"/>
  <c r="B5" i="6429"/>
  <c r="O4" i="6429"/>
  <c r="O3" i="6429"/>
  <c r="O2" i="6429"/>
  <c r="O17" i="6413"/>
  <c r="O21" i="6427"/>
  <c r="O24" i="6427"/>
  <c r="C30" i="6427"/>
  <c r="B25" i="6427"/>
  <c r="C16" i="6427"/>
  <c r="B15" i="6427"/>
  <c r="H52" i="6427" s="1"/>
  <c r="B14" i="6427"/>
  <c r="B24" i="6427" s="1"/>
  <c r="B13" i="6427"/>
  <c r="C13" i="6427" s="1"/>
  <c r="O12" i="6427"/>
  <c r="C12" i="6427"/>
  <c r="O11" i="6427"/>
  <c r="C11" i="6427"/>
  <c r="O10" i="6427"/>
  <c r="C10" i="6427"/>
  <c r="C9" i="6427"/>
  <c r="C8" i="6427"/>
  <c r="O7" i="6427"/>
  <c r="C7" i="6427"/>
  <c r="O6" i="6427"/>
  <c r="B6" i="6427"/>
  <c r="O5" i="6427"/>
  <c r="B5" i="6427"/>
  <c r="O4" i="6427"/>
  <c r="O3" i="6427"/>
  <c r="O2" i="6427"/>
  <c r="O21" i="6413"/>
  <c r="C14" i="6427" l="1"/>
  <c r="C14" i="6429"/>
  <c r="H12" i="6429"/>
  <c r="H10" i="6429"/>
  <c r="C19" i="6429"/>
  <c r="H19" i="6429"/>
  <c r="H35" i="6429"/>
  <c r="H3" i="6429"/>
  <c r="H23" i="6429"/>
  <c r="H40" i="6429"/>
  <c r="C44" i="6429"/>
  <c r="H17" i="6429"/>
  <c r="H4" i="6429"/>
  <c r="H48" i="6429"/>
  <c r="H46" i="6429"/>
  <c r="H22" i="6429"/>
  <c r="H36" i="6429"/>
  <c r="H31" i="6429"/>
  <c r="H37" i="6429"/>
  <c r="H42" i="6429"/>
  <c r="H49" i="6429"/>
  <c r="H29" i="6429"/>
  <c r="H9" i="6429"/>
  <c r="H50" i="6429"/>
  <c r="C40" i="6429"/>
  <c r="H6" i="6429"/>
  <c r="H15" i="6429"/>
  <c r="C36" i="6429"/>
  <c r="H8" i="6429"/>
  <c r="C17" i="6429"/>
  <c r="B22" i="6429"/>
  <c r="H38" i="6429"/>
  <c r="C42" i="6429"/>
  <c r="H20" i="6429"/>
  <c r="H41" i="6429"/>
  <c r="C20" i="6429"/>
  <c r="H24" i="6429"/>
  <c r="H33" i="6429"/>
  <c r="H25" i="6429"/>
  <c r="H18" i="6429"/>
  <c r="C32" i="6429"/>
  <c r="H39" i="6429"/>
  <c r="H44" i="6429"/>
  <c r="H5" i="6429"/>
  <c r="C34" i="6429"/>
  <c r="C15" i="6429"/>
  <c r="H30" i="6429"/>
  <c r="C21" i="6429"/>
  <c r="H2" i="6429"/>
  <c r="H43" i="6429"/>
  <c r="H7" i="6429"/>
  <c r="H21" i="6429"/>
  <c r="C18" i="6429"/>
  <c r="H34" i="6429"/>
  <c r="C38" i="6429"/>
  <c r="H45" i="6429"/>
  <c r="H52" i="6429"/>
  <c r="H26" i="6429"/>
  <c r="H28" i="6429"/>
  <c r="H11" i="6429"/>
  <c r="C33" i="6429"/>
  <c r="C37" i="6429"/>
  <c r="C41" i="6429"/>
  <c r="H47" i="6429"/>
  <c r="B23" i="6429"/>
  <c r="H16" i="6429"/>
  <c r="H13" i="6429"/>
  <c r="H27" i="6429"/>
  <c r="H14" i="6429"/>
  <c r="H32" i="6429"/>
  <c r="C35" i="6429"/>
  <c r="C39" i="6429"/>
  <c r="C43" i="6429"/>
  <c r="H9" i="6427"/>
  <c r="C15" i="6427"/>
  <c r="H6" i="6427"/>
  <c r="H29" i="6427"/>
  <c r="H47" i="6427"/>
  <c r="B23" i="6427"/>
  <c r="H43" i="6427"/>
  <c r="H3" i="6427"/>
  <c r="H26" i="6427"/>
  <c r="H16" i="6427"/>
  <c r="C42" i="6427"/>
  <c r="H49" i="6427"/>
  <c r="H11" i="6427"/>
  <c r="C20" i="6427"/>
  <c r="H36" i="6427"/>
  <c r="H40" i="6427"/>
  <c r="H44" i="6427"/>
  <c r="H50" i="6427"/>
  <c r="H19" i="6427"/>
  <c r="H27" i="6427"/>
  <c r="C37" i="6427"/>
  <c r="H33" i="6427"/>
  <c r="H2" i="6427"/>
  <c r="C38" i="6427"/>
  <c r="H24" i="6427"/>
  <c r="H17" i="6427"/>
  <c r="H28" i="6427"/>
  <c r="H15" i="6427"/>
  <c r="H21" i="6427"/>
  <c r="C35" i="6427"/>
  <c r="C39" i="6427"/>
  <c r="C43" i="6427"/>
  <c r="H51" i="6427"/>
  <c r="H39" i="6427"/>
  <c r="H30" i="6427"/>
  <c r="H7" i="6427"/>
  <c r="C17" i="6427"/>
  <c r="C21" i="6427"/>
  <c r="H34" i="6427"/>
  <c r="H37" i="6427"/>
  <c r="H41" i="6427"/>
  <c r="H45" i="6427"/>
  <c r="H23" i="6427"/>
  <c r="C33" i="6427"/>
  <c r="H48" i="6427"/>
  <c r="H13" i="6427"/>
  <c r="H12" i="6427"/>
  <c r="H20" i="6427"/>
  <c r="H14" i="6427"/>
  <c r="H31" i="6427"/>
  <c r="C32" i="6427"/>
  <c r="C36" i="6427"/>
  <c r="C40" i="6427"/>
  <c r="C44" i="6427"/>
  <c r="H5" i="6427"/>
  <c r="H10" i="6427"/>
  <c r="H8" i="6427"/>
  <c r="C41" i="6427"/>
  <c r="C19" i="6427"/>
  <c r="H22" i="6427"/>
  <c r="C34" i="6427"/>
  <c r="H18" i="6427"/>
  <c r="H4" i="6427"/>
  <c r="H25" i="6427"/>
  <c r="C18" i="6427"/>
  <c r="B22" i="6427"/>
  <c r="H32" i="6427"/>
  <c r="H35" i="6427"/>
  <c r="H38" i="6427"/>
  <c r="H42" i="6427"/>
  <c r="H46" i="6427"/>
  <c r="O23" i="6425" l="1"/>
  <c r="O18" i="6425"/>
  <c r="C30" i="6425"/>
  <c r="B25" i="6425"/>
  <c r="C16" i="6425"/>
  <c r="B15" i="6425"/>
  <c r="H51" i="6425" s="1"/>
  <c r="B14" i="6425"/>
  <c r="B24" i="6425" s="1"/>
  <c r="C13" i="6425"/>
  <c r="B13" i="6425"/>
  <c r="O12" i="6425"/>
  <c r="C12" i="6425"/>
  <c r="O11" i="6425"/>
  <c r="C11" i="6425"/>
  <c r="O10" i="6425"/>
  <c r="C10" i="6425"/>
  <c r="C9" i="6425"/>
  <c r="C8" i="6425"/>
  <c r="O7" i="6425"/>
  <c r="C7" i="6425"/>
  <c r="O6" i="6425"/>
  <c r="B6" i="6425"/>
  <c r="O5" i="6425"/>
  <c r="B5" i="6425"/>
  <c r="O4" i="6425"/>
  <c r="O3" i="6425"/>
  <c r="O2" i="6425"/>
  <c r="O22" i="6423"/>
  <c r="O18" i="6423"/>
  <c r="C30" i="6423"/>
  <c r="B25" i="6423"/>
  <c r="B24" i="6423"/>
  <c r="C16" i="6423"/>
  <c r="B15" i="6423"/>
  <c r="H13" i="6423" s="1"/>
  <c r="B14" i="6423"/>
  <c r="C14" i="6423" s="1"/>
  <c r="B13" i="6423"/>
  <c r="C13" i="6423" s="1"/>
  <c r="O12" i="6423"/>
  <c r="C12" i="6423"/>
  <c r="O11" i="6423"/>
  <c r="C11" i="6423"/>
  <c r="O10" i="6423"/>
  <c r="C10" i="6423"/>
  <c r="C9" i="6423"/>
  <c r="C8" i="6423"/>
  <c r="O7" i="6423"/>
  <c r="C7" i="6423"/>
  <c r="O6" i="6423"/>
  <c r="B6" i="6423"/>
  <c r="O5" i="6423"/>
  <c r="B5" i="6423"/>
  <c r="O4" i="6423"/>
  <c r="O3" i="6423"/>
  <c r="O2" i="6423"/>
  <c r="O18" i="6413"/>
  <c r="O19" i="6421"/>
  <c r="O16" i="6421"/>
  <c r="C30" i="6421"/>
  <c r="B25" i="6421"/>
  <c r="C16" i="6421"/>
  <c r="B15" i="6421"/>
  <c r="H51" i="6421" s="1"/>
  <c r="B14" i="6421"/>
  <c r="B24" i="6421" s="1"/>
  <c r="B13" i="6421"/>
  <c r="C13" i="6421" s="1"/>
  <c r="O12" i="6421"/>
  <c r="C12" i="6421"/>
  <c r="O11" i="6421"/>
  <c r="C11" i="6421"/>
  <c r="O10" i="6421"/>
  <c r="C10" i="6421"/>
  <c r="C9" i="6421"/>
  <c r="C8" i="6421"/>
  <c r="O7" i="6421"/>
  <c r="C7" i="6421"/>
  <c r="O6" i="6421"/>
  <c r="B6" i="6421"/>
  <c r="O5" i="6421"/>
  <c r="B5" i="6421"/>
  <c r="O4" i="6421"/>
  <c r="O3" i="6421"/>
  <c r="O2" i="6421"/>
  <c r="O23" i="6413"/>
  <c r="O24" i="6413"/>
  <c r="H32" i="6423" l="1"/>
  <c r="C19" i="6421"/>
  <c r="H3" i="6421"/>
  <c r="H29" i="6421"/>
  <c r="H9" i="6421"/>
  <c r="H35" i="6421"/>
  <c r="H24" i="6421"/>
  <c r="H40" i="6421"/>
  <c r="C14" i="6421"/>
  <c r="C44" i="6421"/>
  <c r="C14" i="6425"/>
  <c r="H29" i="6425"/>
  <c r="C19" i="6425"/>
  <c r="H26" i="6425"/>
  <c r="H4" i="6425"/>
  <c r="H12" i="6425"/>
  <c r="H36" i="6425"/>
  <c r="H41" i="6425"/>
  <c r="C44" i="6425"/>
  <c r="H24" i="6425"/>
  <c r="H11" i="6425"/>
  <c r="H10" i="6425"/>
  <c r="H34" i="6425"/>
  <c r="C40" i="6425"/>
  <c r="H48" i="6425"/>
  <c r="H7" i="6425"/>
  <c r="H25" i="6425"/>
  <c r="H37" i="6425"/>
  <c r="H30" i="6425"/>
  <c r="C21" i="6425"/>
  <c r="H20" i="6425"/>
  <c r="H38" i="6425"/>
  <c r="H42" i="6425"/>
  <c r="H49" i="6425"/>
  <c r="H19" i="6425"/>
  <c r="H50" i="6425"/>
  <c r="C34" i="6425"/>
  <c r="H2" i="6425"/>
  <c r="H3" i="6425"/>
  <c r="C36" i="6425"/>
  <c r="H43" i="6425"/>
  <c r="H9" i="6425"/>
  <c r="C17" i="6425"/>
  <c r="B22" i="6425"/>
  <c r="H27" i="6425"/>
  <c r="H39" i="6425"/>
  <c r="C42" i="6425"/>
  <c r="H17" i="6425"/>
  <c r="H28" i="6425"/>
  <c r="C20" i="6425"/>
  <c r="H15" i="6425"/>
  <c r="H21" i="6425"/>
  <c r="C32" i="6425"/>
  <c r="H40" i="6425"/>
  <c r="H44" i="6425"/>
  <c r="H5" i="6425"/>
  <c r="H46" i="6425"/>
  <c r="C15" i="6425"/>
  <c r="H14" i="6425"/>
  <c r="H6" i="6425"/>
  <c r="H18" i="6425"/>
  <c r="C18" i="6425"/>
  <c r="H35" i="6425"/>
  <c r="C38" i="6425"/>
  <c r="H45" i="6425"/>
  <c r="H52" i="6425"/>
  <c r="H31" i="6425"/>
  <c r="H33" i="6425"/>
  <c r="H8" i="6425"/>
  <c r="C33" i="6425"/>
  <c r="C37" i="6425"/>
  <c r="C41" i="6425"/>
  <c r="H47" i="6425"/>
  <c r="B23" i="6425"/>
  <c r="H23" i="6425"/>
  <c r="H16" i="6425"/>
  <c r="H32" i="6425"/>
  <c r="H13" i="6425"/>
  <c r="H22" i="6425"/>
  <c r="C35" i="6425"/>
  <c r="C39" i="6425"/>
  <c r="C43" i="6425"/>
  <c r="H9" i="6423"/>
  <c r="C15" i="6423"/>
  <c r="H31" i="6423"/>
  <c r="C18" i="6423"/>
  <c r="H11" i="6423"/>
  <c r="C32" i="6423"/>
  <c r="C38" i="6423"/>
  <c r="H2" i="6423"/>
  <c r="H27" i="6423"/>
  <c r="H38" i="6423"/>
  <c r="H17" i="6423"/>
  <c r="H4" i="6423"/>
  <c r="B22" i="6423"/>
  <c r="C42" i="6423"/>
  <c r="H6" i="6423"/>
  <c r="H35" i="6423"/>
  <c r="H52" i="6423"/>
  <c r="C20" i="6423"/>
  <c r="H16" i="6423"/>
  <c r="C40" i="6423"/>
  <c r="H14" i="6423"/>
  <c r="H42" i="6423"/>
  <c r="H12" i="6423"/>
  <c r="H46" i="6423"/>
  <c r="H5" i="6423"/>
  <c r="H25" i="6423"/>
  <c r="H21" i="6423"/>
  <c r="H36" i="6423"/>
  <c r="C44" i="6423"/>
  <c r="H10" i="6423"/>
  <c r="C34" i="6423"/>
  <c r="H3" i="6423"/>
  <c r="H20" i="6423"/>
  <c r="C36" i="6423"/>
  <c r="H49" i="6423"/>
  <c r="H33" i="6423"/>
  <c r="H22" i="6423"/>
  <c r="H8" i="6423"/>
  <c r="C33" i="6423"/>
  <c r="C37" i="6423"/>
  <c r="C41" i="6423"/>
  <c r="H47" i="6423"/>
  <c r="C19" i="6423"/>
  <c r="B23" i="6423"/>
  <c r="H26" i="6423"/>
  <c r="H29" i="6423"/>
  <c r="H39" i="6423"/>
  <c r="H43" i="6423"/>
  <c r="H48" i="6423"/>
  <c r="H44" i="6423"/>
  <c r="H24" i="6423"/>
  <c r="H19" i="6423"/>
  <c r="H34" i="6423"/>
  <c r="H15" i="6423"/>
  <c r="H18" i="6423"/>
  <c r="C35" i="6423"/>
  <c r="C39" i="6423"/>
  <c r="C43" i="6423"/>
  <c r="H51" i="6423"/>
  <c r="H37" i="6423"/>
  <c r="H40" i="6423"/>
  <c r="H50" i="6423"/>
  <c r="H7" i="6423"/>
  <c r="H23" i="6423"/>
  <c r="C17" i="6423"/>
  <c r="C21" i="6423"/>
  <c r="H28" i="6423"/>
  <c r="H30" i="6423"/>
  <c r="H41" i="6423"/>
  <c r="H45" i="6423"/>
  <c r="C40" i="6421"/>
  <c r="H16" i="6421"/>
  <c r="H41" i="6421"/>
  <c r="H14" i="6421"/>
  <c r="C20" i="6421"/>
  <c r="H21" i="6421"/>
  <c r="H49" i="6421"/>
  <c r="H46" i="6421"/>
  <c r="C36" i="6421"/>
  <c r="H10" i="6421"/>
  <c r="H23" i="6421"/>
  <c r="H31" i="6421"/>
  <c r="C21" i="6421"/>
  <c r="H42" i="6421"/>
  <c r="H4" i="6421"/>
  <c r="H12" i="6421"/>
  <c r="H50" i="6421"/>
  <c r="B22" i="6421"/>
  <c r="H38" i="6421"/>
  <c r="C42" i="6421"/>
  <c r="H18" i="6421"/>
  <c r="C34" i="6421"/>
  <c r="H6" i="6421"/>
  <c r="H36" i="6421"/>
  <c r="H25" i="6421"/>
  <c r="H8" i="6421"/>
  <c r="C17" i="6421"/>
  <c r="H33" i="6421"/>
  <c r="H17" i="6421"/>
  <c r="C32" i="6421"/>
  <c r="H39" i="6421"/>
  <c r="H44" i="6421"/>
  <c r="H5" i="6421"/>
  <c r="H30" i="6421"/>
  <c r="C15" i="6421"/>
  <c r="H48" i="6421"/>
  <c r="H37" i="6421"/>
  <c r="H2" i="6421"/>
  <c r="H43" i="6421"/>
  <c r="H20" i="6421"/>
  <c r="H7" i="6421"/>
  <c r="H22" i="6421"/>
  <c r="C18" i="6421"/>
  <c r="H34" i="6421"/>
  <c r="C38" i="6421"/>
  <c r="H45" i="6421"/>
  <c r="H52" i="6421"/>
  <c r="H26" i="6421"/>
  <c r="H28" i="6421"/>
  <c r="H11" i="6421"/>
  <c r="C33" i="6421"/>
  <c r="C37" i="6421"/>
  <c r="C41" i="6421"/>
  <c r="H47" i="6421"/>
  <c r="B23" i="6421"/>
  <c r="H19" i="6421"/>
  <c r="H15" i="6421"/>
  <c r="H27" i="6421"/>
  <c r="H13" i="6421"/>
  <c r="H32" i="6421"/>
  <c r="C35" i="6421"/>
  <c r="C39" i="6421"/>
  <c r="C43" i="6421"/>
  <c r="O23" i="6419" l="1"/>
  <c r="O19" i="6419"/>
  <c r="C30" i="6419"/>
  <c r="B25" i="6419"/>
  <c r="C16" i="6419"/>
  <c r="B15" i="6419"/>
  <c r="H51" i="6419" s="1"/>
  <c r="B14" i="6419"/>
  <c r="B24" i="6419" s="1"/>
  <c r="B13" i="6419"/>
  <c r="C13" i="6419" s="1"/>
  <c r="O12" i="6419"/>
  <c r="C12" i="6419"/>
  <c r="O11" i="6419"/>
  <c r="C11" i="6419"/>
  <c r="O10" i="6419"/>
  <c r="C10" i="6419"/>
  <c r="C9" i="6419"/>
  <c r="C8" i="6419"/>
  <c r="O7" i="6419"/>
  <c r="C7" i="6419"/>
  <c r="O6" i="6419"/>
  <c r="B6" i="6419"/>
  <c r="O5" i="6419"/>
  <c r="B5" i="6419"/>
  <c r="O4" i="6419"/>
  <c r="O3" i="6419"/>
  <c r="O2" i="6419"/>
  <c r="O19" i="6417"/>
  <c r="O20" i="6417"/>
  <c r="C30" i="6417"/>
  <c r="B25" i="6417"/>
  <c r="C16" i="6417"/>
  <c r="B15" i="6417"/>
  <c r="H51" i="6417" s="1"/>
  <c r="B14" i="6417"/>
  <c r="B24" i="6417" s="1"/>
  <c r="B13" i="6417"/>
  <c r="C13" i="6417" s="1"/>
  <c r="O12" i="6417"/>
  <c r="C12" i="6417"/>
  <c r="O11" i="6417"/>
  <c r="C11" i="6417"/>
  <c r="O10" i="6417"/>
  <c r="C10" i="6417"/>
  <c r="C9" i="6417"/>
  <c r="C8" i="6417"/>
  <c r="O7" i="6417"/>
  <c r="C7" i="6417"/>
  <c r="O6" i="6417"/>
  <c r="B6" i="6417"/>
  <c r="O5" i="6417"/>
  <c r="B5" i="6417"/>
  <c r="O4" i="6417"/>
  <c r="O3" i="6417"/>
  <c r="O2" i="6417"/>
  <c r="O19" i="6413"/>
  <c r="O19" i="6415"/>
  <c r="O21" i="6415"/>
  <c r="C30" i="6415"/>
  <c r="B25" i="6415"/>
  <c r="C16" i="6415"/>
  <c r="B15" i="6415"/>
  <c r="H51" i="6415" s="1"/>
  <c r="B14" i="6415"/>
  <c r="B24" i="6415" s="1"/>
  <c r="B13" i="6415"/>
  <c r="C13" i="6415" s="1"/>
  <c r="O12" i="6415"/>
  <c r="C12" i="6415"/>
  <c r="O11" i="6415"/>
  <c r="C11" i="6415"/>
  <c r="O10" i="6415"/>
  <c r="C10" i="6415"/>
  <c r="C9" i="6415"/>
  <c r="C8" i="6415"/>
  <c r="O7" i="6415"/>
  <c r="C7" i="6415"/>
  <c r="O6" i="6415"/>
  <c r="B6" i="6415"/>
  <c r="O5" i="6415"/>
  <c r="B5" i="6415"/>
  <c r="O4" i="6415"/>
  <c r="O3" i="6415"/>
  <c r="O2" i="6415"/>
  <c r="O22" i="6413"/>
  <c r="O25" i="6413"/>
  <c r="C30" i="6413"/>
  <c r="B25" i="6413"/>
  <c r="C16" i="6413"/>
  <c r="B15" i="6413"/>
  <c r="H51" i="6413" s="1"/>
  <c r="B14" i="6413"/>
  <c r="B24" i="6413" s="1"/>
  <c r="B13" i="6413"/>
  <c r="C13" i="6413" s="1"/>
  <c r="O12" i="6413"/>
  <c r="C12" i="6413"/>
  <c r="O11" i="6413"/>
  <c r="C11" i="6413"/>
  <c r="O10" i="6413"/>
  <c r="C10" i="6413"/>
  <c r="C9" i="6413"/>
  <c r="C8" i="6413"/>
  <c r="O7" i="6413"/>
  <c r="C7" i="6413"/>
  <c r="O6" i="6413"/>
  <c r="B6" i="6413"/>
  <c r="O5" i="6413"/>
  <c r="B5" i="6413"/>
  <c r="O4" i="6413"/>
  <c r="O3" i="6413"/>
  <c r="O2" i="6413"/>
  <c r="C14" i="6419" l="1"/>
  <c r="H10" i="6419"/>
  <c r="H32" i="6419"/>
  <c r="H25" i="6419"/>
  <c r="H40" i="6419"/>
  <c r="C19" i="6419"/>
  <c r="H28" i="6419"/>
  <c r="C14" i="6417"/>
  <c r="H5" i="6419"/>
  <c r="C14" i="6415"/>
  <c r="C44" i="6419"/>
  <c r="H17" i="6419"/>
  <c r="H33" i="6419"/>
  <c r="C34" i="6419"/>
  <c r="H41" i="6419"/>
  <c r="H46" i="6419"/>
  <c r="H12" i="6419"/>
  <c r="H6" i="6419"/>
  <c r="H11" i="6419"/>
  <c r="H21" i="6419"/>
  <c r="C15" i="6419"/>
  <c r="C20" i="6419"/>
  <c r="H23" i="6419"/>
  <c r="H36" i="6419"/>
  <c r="C40" i="6419"/>
  <c r="H48" i="6419"/>
  <c r="H26" i="6419"/>
  <c r="C21" i="6419"/>
  <c r="H16" i="6419"/>
  <c r="H37" i="6419"/>
  <c r="H42" i="6419"/>
  <c r="H49" i="6419"/>
  <c r="H2" i="6419"/>
  <c r="H3" i="6419"/>
  <c r="H14" i="6419"/>
  <c r="C36" i="6419"/>
  <c r="H43" i="6419"/>
  <c r="H50" i="6419"/>
  <c r="H8" i="6419"/>
  <c r="C17" i="6419"/>
  <c r="B22" i="6419"/>
  <c r="H34" i="6419"/>
  <c r="H38" i="6419"/>
  <c r="C42" i="6419"/>
  <c r="H19" i="6419"/>
  <c r="H18" i="6419"/>
  <c r="H31" i="6419"/>
  <c r="C32" i="6419"/>
  <c r="H39" i="6419"/>
  <c r="H44" i="6419"/>
  <c r="H4" i="6419"/>
  <c r="H7" i="6419"/>
  <c r="H24" i="6419"/>
  <c r="C18" i="6419"/>
  <c r="H35" i="6419"/>
  <c r="C38" i="6419"/>
  <c r="H45" i="6419"/>
  <c r="H52" i="6419"/>
  <c r="H29" i="6419"/>
  <c r="H27" i="6419"/>
  <c r="H9" i="6419"/>
  <c r="C33" i="6419"/>
  <c r="C37" i="6419"/>
  <c r="C41" i="6419"/>
  <c r="H47" i="6419"/>
  <c r="B23" i="6419"/>
  <c r="H22" i="6419"/>
  <c r="H15" i="6419"/>
  <c r="H30" i="6419"/>
  <c r="H13" i="6419"/>
  <c r="H20" i="6419"/>
  <c r="C35" i="6419"/>
  <c r="C39" i="6419"/>
  <c r="C43" i="6419"/>
  <c r="C14" i="6413"/>
  <c r="C19" i="6417"/>
  <c r="H4" i="6417"/>
  <c r="H12" i="6417"/>
  <c r="H28" i="6417"/>
  <c r="H27" i="6417"/>
  <c r="H32" i="6417"/>
  <c r="H41" i="6417"/>
  <c r="C44" i="6417"/>
  <c r="H17" i="6417"/>
  <c r="H10" i="6417"/>
  <c r="C20" i="6417"/>
  <c r="H48" i="6417"/>
  <c r="H42" i="6417"/>
  <c r="H6" i="6417"/>
  <c r="H29" i="6417"/>
  <c r="H23" i="6417"/>
  <c r="C21" i="6417"/>
  <c r="H18" i="6417"/>
  <c r="H38" i="6417"/>
  <c r="H43" i="6417"/>
  <c r="H49" i="6417"/>
  <c r="C15" i="6417"/>
  <c r="H50" i="6417"/>
  <c r="C34" i="6417"/>
  <c r="C36" i="6417"/>
  <c r="C17" i="6417"/>
  <c r="B22" i="6417"/>
  <c r="H35" i="6417"/>
  <c r="H39" i="6417"/>
  <c r="C42" i="6417"/>
  <c r="H16" i="6417"/>
  <c r="H26" i="6417"/>
  <c r="H11" i="6417"/>
  <c r="C40" i="6417"/>
  <c r="H3" i="6417"/>
  <c r="H21" i="6417"/>
  <c r="H22" i="6417"/>
  <c r="C32" i="6417"/>
  <c r="H40" i="6417"/>
  <c r="H45" i="6417"/>
  <c r="H5" i="6417"/>
  <c r="H30" i="6417"/>
  <c r="H25" i="6417"/>
  <c r="H37" i="6417"/>
  <c r="H2" i="6417"/>
  <c r="H14" i="6417"/>
  <c r="H44" i="6417"/>
  <c r="H9" i="6417"/>
  <c r="H7" i="6417"/>
  <c r="H31" i="6417"/>
  <c r="C18" i="6417"/>
  <c r="H36" i="6417"/>
  <c r="C38" i="6417"/>
  <c r="H46" i="6417"/>
  <c r="H52" i="6417"/>
  <c r="H33" i="6417"/>
  <c r="H24" i="6417"/>
  <c r="H8" i="6417"/>
  <c r="C33" i="6417"/>
  <c r="C37" i="6417"/>
  <c r="C41" i="6417"/>
  <c r="H47" i="6417"/>
  <c r="B23" i="6417"/>
  <c r="H20" i="6417"/>
  <c r="H15" i="6417"/>
  <c r="H34" i="6417"/>
  <c r="H13" i="6417"/>
  <c r="H19" i="6417"/>
  <c r="C35" i="6417"/>
  <c r="C39" i="6417"/>
  <c r="C43" i="6417"/>
  <c r="H4" i="6413"/>
  <c r="B22" i="6415"/>
  <c r="H13" i="6415"/>
  <c r="C36" i="6415"/>
  <c r="H27" i="6415"/>
  <c r="C40" i="6415"/>
  <c r="H18" i="6415"/>
  <c r="C15" i="6415"/>
  <c r="H25" i="6415"/>
  <c r="H21" i="6415"/>
  <c r="H16" i="6415"/>
  <c r="H45" i="6415"/>
  <c r="C44" i="6415"/>
  <c r="H9" i="6415"/>
  <c r="H5" i="6415"/>
  <c r="C32" i="6415"/>
  <c r="H4" i="6415"/>
  <c r="H37" i="6415"/>
  <c r="H10" i="6415"/>
  <c r="H41" i="6415"/>
  <c r="H6" i="6415"/>
  <c r="C18" i="6415"/>
  <c r="H11" i="6415"/>
  <c r="H33" i="6415"/>
  <c r="H52" i="6415"/>
  <c r="H28" i="6415"/>
  <c r="H24" i="6415"/>
  <c r="H12" i="6415"/>
  <c r="C33" i="6415"/>
  <c r="C37" i="6415"/>
  <c r="C41" i="6415"/>
  <c r="H46" i="6415"/>
  <c r="C19" i="6415"/>
  <c r="B23" i="6415"/>
  <c r="H31" i="6415"/>
  <c r="H34" i="6415"/>
  <c r="H38" i="6415"/>
  <c r="H42" i="6415"/>
  <c r="H47" i="6415"/>
  <c r="H2" i="6415"/>
  <c r="H3" i="6415"/>
  <c r="H23" i="6415"/>
  <c r="H17" i="6415"/>
  <c r="C42" i="6415"/>
  <c r="H35" i="6415"/>
  <c r="H49" i="6415"/>
  <c r="H19" i="6415"/>
  <c r="H20" i="6415"/>
  <c r="H29" i="6415"/>
  <c r="H15" i="6415"/>
  <c r="H32" i="6415"/>
  <c r="C35" i="6415"/>
  <c r="C39" i="6415"/>
  <c r="C43" i="6415"/>
  <c r="H50" i="6415"/>
  <c r="H14" i="6415"/>
  <c r="H30" i="6415"/>
  <c r="C34" i="6415"/>
  <c r="C38" i="6415"/>
  <c r="H48" i="6415"/>
  <c r="H8" i="6415"/>
  <c r="C20" i="6415"/>
  <c r="H39" i="6415"/>
  <c r="H43" i="6415"/>
  <c r="H7" i="6415"/>
  <c r="H26" i="6415"/>
  <c r="C17" i="6415"/>
  <c r="C21" i="6415"/>
  <c r="H22" i="6415"/>
  <c r="H36" i="6415"/>
  <c r="H40" i="6415"/>
  <c r="H44" i="6415"/>
  <c r="C19" i="6413"/>
  <c r="H30" i="6413"/>
  <c r="H11" i="6413"/>
  <c r="H28" i="6413"/>
  <c r="H32" i="6413"/>
  <c r="H42" i="6413"/>
  <c r="C44" i="6413"/>
  <c r="H48" i="6413"/>
  <c r="H27" i="6413"/>
  <c r="H35" i="6413"/>
  <c r="H6" i="6413"/>
  <c r="H24" i="6413"/>
  <c r="H29" i="6413"/>
  <c r="H49" i="6413"/>
  <c r="C20" i="6413"/>
  <c r="C36" i="6413"/>
  <c r="C40" i="6413"/>
  <c r="C21" i="6413"/>
  <c r="H33" i="6413"/>
  <c r="H3" i="6413"/>
  <c r="H44" i="6413"/>
  <c r="C17" i="6413"/>
  <c r="H31" i="6413"/>
  <c r="C42" i="6413"/>
  <c r="H17" i="6413"/>
  <c r="C34" i="6413"/>
  <c r="C15" i="6413"/>
  <c r="H50" i="6413"/>
  <c r="H9" i="6413"/>
  <c r="B22" i="6413"/>
  <c r="H40" i="6413"/>
  <c r="H22" i="6413"/>
  <c r="H41" i="6413"/>
  <c r="H45" i="6413"/>
  <c r="H5" i="6413"/>
  <c r="H16" i="6413"/>
  <c r="H34" i="6413"/>
  <c r="H10" i="6413"/>
  <c r="H12" i="6413"/>
  <c r="H39" i="6413"/>
  <c r="H26" i="6413"/>
  <c r="H18" i="6413"/>
  <c r="H43" i="6413"/>
  <c r="H2" i="6413"/>
  <c r="H13" i="6413"/>
  <c r="H19" i="6413"/>
  <c r="C32" i="6413"/>
  <c r="H7" i="6413"/>
  <c r="H23" i="6413"/>
  <c r="C18" i="6413"/>
  <c r="H38" i="6413"/>
  <c r="C38" i="6413"/>
  <c r="H46" i="6413"/>
  <c r="H52" i="6413"/>
  <c r="H36" i="6413"/>
  <c r="H25" i="6413"/>
  <c r="H8" i="6413"/>
  <c r="C33" i="6413"/>
  <c r="C37" i="6413"/>
  <c r="C41" i="6413"/>
  <c r="H47" i="6413"/>
  <c r="B23" i="6413"/>
  <c r="H20" i="6413"/>
  <c r="H15" i="6413"/>
  <c r="H37" i="6413"/>
  <c r="H14" i="6413"/>
  <c r="H21" i="6413"/>
  <c r="C35" i="6413"/>
  <c r="C39" i="6413"/>
  <c r="C43" i="6413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<sst xmlns="http://schemas.openxmlformats.org/spreadsheetml/2006/main" count="3919" uniqueCount="320">
  <si>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</si>
  <si>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</si>
  <si>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</si>
  <si>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</si>
  <si>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</si>
  <si>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</si>
  <si>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</si>
  <si>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</si>
  <si>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</si>
  <si>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</si>
  <si>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</si>
  <si>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</si>
  <si>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</si>
  <si>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</si>
  <si>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</si>
  <si>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</si>
  <si>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</si>
  <si>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</si>
  <si>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</si>
  <si>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</si>
  <si>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</si>
  <si>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</si>
  <si>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</si>
  <si>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</si>
  <si>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</si>
  <si>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</si>
  <si>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</si>
  <si>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</si>
  <si>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</si>
  <si>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</si>
  <si>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</si>
  <si>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</si>
  <si>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</si>
  <si>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</si>
  <si>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</si>
  <si>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</si>
  <si>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</si>
  <si>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</si>
  <si>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</si>
  <si>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</si>
  <si>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</si>
  <si>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</si>
  <si>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</si>
  <si>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</si>
  <si>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</si>
  <si>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</si>
  <si>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</si>
  <si>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</si>
  <si>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</si>
  <si>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</si>
  <si>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</si>
  <si>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</si>
  <si>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</si>
  <si>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</si>
  <si>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</si>
  <si>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</si>
  <si>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</si>
  <si>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</si>
  <si>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</si>
  <si>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</si>
  <si>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</si>
  <si>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</si>
  <si>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</si>
  <si>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</si>
  <si>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</si>
  <si>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</si>
  <si>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</si>
  <si>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</si>
  <si>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</si>
  <si>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</si>
  <si>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</si>
  <si>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</si>
  <si>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</si>
  <si>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</si>
  <si>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</si>
  <si>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</si>
  <si>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</si>
  <si>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</si>
  <si>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</si>
  <si>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</si>
  <si>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</si>
  <si>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</si>
  <si>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</si>
  <si>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</si>
  <si>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</si>
  <si>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</si>
  <si>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</si>
  <si>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</si>
  <si>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</si>
  <si>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</si>
  <si>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</si>
  <si>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</si>
  <si>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</si>
  <si>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</si>
  <si>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</si>
  <si>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</si>
  <si>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</si>
  <si>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</si>
  <si>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</si>
  <si>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</si>
  <si>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</si>
  <si>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</si>
  <si>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</si>
  <si>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</si>
  <si>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</si>
  <si>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</si>
  <si>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</si>
  <si>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</si>
  <si>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</si>
  <si>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</si>
  <si>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</si>
  <si>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</si>
  <si>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</si>
  <si>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</si>
  <si>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</si>
  <si>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</si>
  <si>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</si>
  <si>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</si>
  <si>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</si>
  <si>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</si>
  <si>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</si>
  <si>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</si>
  <si>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</si>
  <si>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</si>
  <si>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</si>
  <si>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</si>
  <si>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</si>
  <si>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</si>
  <si>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</si>
  <si>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</si>
  <si>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</si>
  <si>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</si>
  <si>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</si>
  <si>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</si>
  <si>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</si>
  <si>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</si>
  <si>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</si>
  <si>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</si>
  <si>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</si>
  <si>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</si>
  <si>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</si>
  <si>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</si>
  <si>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</si>
  <si>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</si>
  <si>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</si>
  <si>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</si>
  <si>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</si>
  <si>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</si>
  <si>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</si>
  <si>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</si>
  <si>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</si>
  <si>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</si>
  <si>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</si>
  <si>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</si>
  <si>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</si>
  <si>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</si>
  <si>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</si>
  <si>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</si>
  <si>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</si>
  <si>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</si>
  <si>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</si>
  <si>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</si>
  <si>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</si>
  <si>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</si>
  <si>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</si>
  <si>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</si>
  <si>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</si>
  <si>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</si>
  <si>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</si>
  <si>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</si>
  <si>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</si>
  <si>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</si>
  <si>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</si>
  <si>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</si>
  <si>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</si>
  <si>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</si>
  <si>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</si>
  <si>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</si>
  <si>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</si>
  <si>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</si>
  <si>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</si>
  <si>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</si>
  <si>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</si>
  <si>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</si>
  <si>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</si>
  <si>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</si>
  <si>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</si>
  <si>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</si>
  <si>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</si>
  <si>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</si>
  <si>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</si>
  <si>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</si>
  <si>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</si>
  <si>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</si>
  <si>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</si>
  <si>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</si>
  <si>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</si>
  <si>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</si>
  <si>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</si>
  <si>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</si>
  <si>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ともき</t>
  </si>
  <si>
    <t>たか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</si>
  <si>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</si>
  <si>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</si>
  <si>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</si>
  <si>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</si>
  <si>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</si>
  <si>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</si>
  <si>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</si>
  <si>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</si>
  <si>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</si>
  <si>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</si>
  <si>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</si>
  <si>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</si>
  <si>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</si>
  <si>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</si>
  <si>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</si>
  <si>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</si>
  <si>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</si>
  <si>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</si>
  <si>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</si>
  <si>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</si>
  <si>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</si>
  <si>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</si>
  <si>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</si>
  <si>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</si>
  <si>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</si>
  <si>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</si>
  <si>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</si>
  <si>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</si>
  <si>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</si>
  <si>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</si>
  <si>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</si>
  <si>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</si>
  <si>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</si>
  <si>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</si>
  <si>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</si>
  <si>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</si>
  <si>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</si>
  <si>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</si>
  <si>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</si>
  <si>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</si>
  <si>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</si>
  <si>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</si>
  <si>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</si>
  <si>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</si>
  <si>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</si>
  <si>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</si>
  <si>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</si>
  <si>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</si>
  <si>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</si>
  <si>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</si>
  <si>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</si>
  <si>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</si>
  <si>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</si>
  <si>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</si>
  <si>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</si>
  <si>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</si>
  <si>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</si>
  <si>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</si>
  <si>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</si>
  <si>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</si>
  <si>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</si>
  <si>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</si>
  <si>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</si>
  <si>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</si>
  <si>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</si>
  <si>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</si>
  <si>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</si>
  <si>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</si>
  <si>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</si>
  <si>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</si>
  <si>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</si>
  <si>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</si>
  <si>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</si>
  <si>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</si>
  <si>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</si>
  <si>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</si>
  <si>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</si>
  <si>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</si>
  <si>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</si>
  <si>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</si>
  <si>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</si>
  <si>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</si>
  <si>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</si>
  <si>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</si>
  <si>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</si>
  <si>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</si>
  <si>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</si>
  <si>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</si>
  <si>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</si>
  <si>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</si>
  <si>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</si>
  <si>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</si>
  <si>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</si>
  <si>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</si>
  <si>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</si>
  <si>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</si>
  <si>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</si>
  <si>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</si>
  <si>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</si>
  <si>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</si>
  <si>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</si>
  <si>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</si>
  <si>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</si>
  <si>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</si>
  <si>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</si>
  <si>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</si>
  <si>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</si>
  <si>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</si>
  <si>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</si>
  <si>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</si>
  <si>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</si>
  <si>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2020-02-01@2.xlsm</t>
  </si>
  <si>
    <t>2020-02-03@5.xlsm</t>
  </si>
  <si>
    <t>2020-02-04@2.xlsm</t>
  </si>
  <si>
    <t>2020-02-05@2.xlsm</t>
  </si>
  <si>
    <t>2020-02-10@2.xlsm</t>
  </si>
  <si>
    <t>2020-02-13@2.xlsm</t>
  </si>
  <si>
    <t>2020-02-14@2.xlsm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</si>
</sst>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全体!$K$2:$K$1055</c:f>
              <c:numCache>
                <c:formatCode>General</c:formatCode>
                <c:ptCount val="10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</c:numCache>
            </c:numRef>
          </c:xVal>
          <c:yVal>
            <c:numRef>
              <c:f>全体!$L$2:$L$1055</c:f>
              <c:numCache>
                <c:formatCode>\+0.0;\-0.0;\±0</c:formatCode>
                <c:ptCount val="105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  <c:pt idx="1036">
                  <c:v>20.899999999999924</c:v>
                </c:pt>
                <c:pt idx="1037">
                  <c:v>2.1999999999999247</c:v>
                </c:pt>
                <c:pt idx="1038">
                  <c:v>-7.5495165674510645E-14</c:v>
                </c:pt>
                <c:pt idx="1039">
                  <c:v>60.89999999999992</c:v>
                </c:pt>
                <c:pt idx="1040">
                  <c:v>51.099999999999923</c:v>
                </c:pt>
                <c:pt idx="1041">
                  <c:v>-7.815970093361102E-14</c:v>
                </c:pt>
                <c:pt idx="1042">
                  <c:v>-3.9000000000000781</c:v>
                </c:pt>
                <c:pt idx="1043">
                  <c:v>14.399999999999922</c:v>
                </c:pt>
                <c:pt idx="1044">
                  <c:v>-7.815970093361102E-14</c:v>
                </c:pt>
                <c:pt idx="1045">
                  <c:v>-21.200000000000077</c:v>
                </c:pt>
                <c:pt idx="1046">
                  <c:v>4.0999999999999233</c:v>
                </c:pt>
                <c:pt idx="1047">
                  <c:v>-7.638334409421077E-14</c:v>
                </c:pt>
                <c:pt idx="1048">
                  <c:v>-42.000000000000078</c:v>
                </c:pt>
                <c:pt idx="1049">
                  <c:v>-48.900000000000077</c:v>
                </c:pt>
                <c:pt idx="1050">
                  <c:v>-7.815970093361102E-14</c:v>
                </c:pt>
                <c:pt idx="1051">
                  <c:v>21.699999999999921</c:v>
                </c:pt>
                <c:pt idx="1052">
                  <c:v>26.89999999999992</c:v>
                </c:pt>
                <c:pt idx="1053">
                  <c:v>-7.815970093361102E-14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CA-4E19-BC40-19A27ACA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-29.608404966571154</c:v>
                </c:pt>
                <c:pt idx="1">
                  <c:v>7.7745383867832851</c:v>
                </c:pt>
                <c:pt idx="2">
                  <c:v>1.0319917440660475</c:v>
                </c:pt>
                <c:pt idx="3">
                  <c:v>-2.2075055187637971</c:v>
                </c:pt>
                <c:pt idx="4">
                  <c:v>10.75268817204301</c:v>
                </c:pt>
                <c:pt idx="5">
                  <c:v>20.114942528735632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37-44CB-83AD-5D4B49F84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201</c:v>
                </c:pt>
                <c:pt idx="1">
                  <c:v>443</c:v>
                </c:pt>
                <c:pt idx="2">
                  <c:v>498</c:v>
                </c:pt>
                <c:pt idx="3">
                  <c:v>469</c:v>
                </c:pt>
                <c:pt idx="4">
                  <c:v>403</c:v>
                </c:pt>
                <c:pt idx="5">
                  <c:v>269</c:v>
                </c:pt>
                <c:pt idx="6">
                  <c:v>132</c:v>
                </c:pt>
                <c:pt idx="7">
                  <c:v>76</c:v>
                </c:pt>
                <c:pt idx="8">
                  <c:v>35</c:v>
                </c:pt>
                <c:pt idx="9">
                  <c:v>13</c:v>
                </c:pt>
                <c:pt idx="10">
                  <c:v>9</c:v>
                </c:pt>
                <c:pt idx="11">
                  <c:v>6</c:v>
                </c:pt>
                <c:pt idx="1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23-4297-B5D8-F0CA0148C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たかの!$L$2:$L$93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  <c:pt idx="90">
                  <c:v>-584.9000000000002</c:v>
                </c:pt>
                <c:pt idx="91">
                  <c:v>-589.00000000000023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A-4CA8-80E4-4BBC48249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2140.6593406593406</c:v>
                </c:pt>
                <c:pt idx="1">
                  <c:v>-1879.7752808988764</c:v>
                </c:pt>
                <c:pt idx="2">
                  <c:v>-2587.3563218390805</c:v>
                </c:pt>
                <c:pt idx="3">
                  <c:v>-706.17283950617286</c:v>
                </c:pt>
                <c:pt idx="4">
                  <c:v>-311.39240506329116</c:v>
                </c:pt>
                <c:pt idx="5">
                  <c:v>-2504.5454545454545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26-4335-A336-2C4029225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29</c:v>
                </c:pt>
                <c:pt idx="1">
                  <c:v>46</c:v>
                </c:pt>
                <c:pt idx="2">
                  <c:v>47</c:v>
                </c:pt>
                <c:pt idx="3">
                  <c:v>42</c:v>
                </c:pt>
                <c:pt idx="4">
                  <c:v>22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C-4953-97E6-646B2C303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だいち!$K$2:$K$213</c:f>
              <c:numCache>
                <c:formatCode>General</c:formatCode>
                <c:ptCount val="2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</c:numCache>
            </c:numRef>
          </c:xVal>
          <c:yVal>
            <c:numRef>
              <c:f>だいち!$L$2:$L$213</c:f>
              <c:numCache>
                <c:formatCode>\+0.0;\-0.0;\±0</c:formatCode>
                <c:ptCount val="212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  <c:pt idx="208">
                  <c:v>1974.9999999999998</c:v>
                </c:pt>
                <c:pt idx="209">
                  <c:v>1923.8999999999999</c:v>
                </c:pt>
                <c:pt idx="210">
                  <c:v>1949.1999999999998</c:v>
                </c:pt>
                <c:pt idx="211">
                  <c:v>1970.8999999999999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DE-42F6-A958-3962008CD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1274.2857142857142</c:v>
                </c:pt>
                <c:pt idx="1">
                  <c:v>1752.6570048309179</c:v>
                </c:pt>
                <c:pt idx="2">
                  <c:v>1196.4824120603016</c:v>
                </c:pt>
                <c:pt idx="3">
                  <c:v>137.09677419354838</c:v>
                </c:pt>
                <c:pt idx="4">
                  <c:v>1558.9595375722542</c:v>
                </c:pt>
                <c:pt idx="5">
                  <c:v>1921.8309859154929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56-450F-A207-E811DF9B9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55</c:v>
                </c:pt>
                <c:pt idx="1">
                  <c:v>113</c:v>
                </c:pt>
                <c:pt idx="2">
                  <c:v>118</c:v>
                </c:pt>
                <c:pt idx="3">
                  <c:v>109</c:v>
                </c:pt>
                <c:pt idx="4">
                  <c:v>87</c:v>
                </c:pt>
                <c:pt idx="5">
                  <c:v>56</c:v>
                </c:pt>
                <c:pt idx="6">
                  <c:v>27</c:v>
                </c:pt>
                <c:pt idx="7">
                  <c:v>12</c:v>
                </c:pt>
                <c:pt idx="8">
                  <c:v>11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46-42C3-87E0-DE26BFEE1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ただ!$K$2:$K$185</c:f>
              <c:numCache>
                <c:formatCode>General</c:formatCode>
                <c:ptCount val="1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</c:numCache>
            </c:numRef>
          </c:xVal>
          <c:yVal>
            <c:numRef>
              <c:f>ただ!$L$2:$L$185</c:f>
              <c:numCache>
                <c:formatCode>\+0.0;\-0.0;\±0</c:formatCode>
                <c:ptCount val="184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  <c:pt idx="180">
                  <c:v>-80.80000000000021</c:v>
                </c:pt>
                <c:pt idx="181">
                  <c:v>-90.600000000000207</c:v>
                </c:pt>
                <c:pt idx="182">
                  <c:v>-97.500000000000213</c:v>
                </c:pt>
                <c:pt idx="183">
                  <c:v>-92.30000000000021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D-480D-AE60-856C2E85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-1087.2928176795581</c:v>
                </c:pt>
                <c:pt idx="1">
                  <c:v>1047.7528089887639</c:v>
                </c:pt>
                <c:pt idx="2">
                  <c:v>-306.62650602409639</c:v>
                </c:pt>
                <c:pt idx="3">
                  <c:v>4.4303797468354427</c:v>
                </c:pt>
                <c:pt idx="4">
                  <c:v>-1328.2758620689656</c:v>
                </c:pt>
                <c:pt idx="5">
                  <c:v>1210.5691056910568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8C-42F2-8624-73C24EE6A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38</c:v>
                </c:pt>
                <c:pt idx="1">
                  <c:v>91</c:v>
                </c:pt>
                <c:pt idx="2">
                  <c:v>102</c:v>
                </c:pt>
                <c:pt idx="3">
                  <c:v>96</c:v>
                </c:pt>
                <c:pt idx="4">
                  <c:v>67</c:v>
                </c:pt>
                <c:pt idx="5">
                  <c:v>44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2-4BF4-9CCC-3629F3650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りくと!$L$2:$L$106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  <c:pt idx="103">
                  <c:v>-740.9</c:v>
                </c:pt>
                <c:pt idx="104">
                  <c:v>-762.1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B-40B6-9F5E-1C5058BA28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-624.27184466019412</c:v>
                </c:pt>
                <c:pt idx="1">
                  <c:v>-937.86407766990294</c:v>
                </c:pt>
                <c:pt idx="2">
                  <c:v>632.98969072164948</c:v>
                </c:pt>
                <c:pt idx="3">
                  <c:v>-985.26315789473688</c:v>
                </c:pt>
                <c:pt idx="4">
                  <c:v>-2636.6666666666665</c:v>
                </c:pt>
                <c:pt idx="5">
                  <c:v>-1740.506329113924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3-4381-BD77-035AC3829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18</c:v>
                </c:pt>
                <c:pt idx="1">
                  <c:v>39</c:v>
                </c:pt>
                <c:pt idx="2">
                  <c:v>56</c:v>
                </c:pt>
                <c:pt idx="3">
                  <c:v>39</c:v>
                </c:pt>
                <c:pt idx="4">
                  <c:v>40</c:v>
                </c:pt>
                <c:pt idx="5">
                  <c:v>23</c:v>
                </c:pt>
                <c:pt idx="6">
                  <c:v>14</c:v>
                </c:pt>
                <c:pt idx="7">
                  <c:v>7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12-4FAC-A71A-833379A6E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れんたろう!$K$2:$K$161</c:f>
              <c:numCache>
                <c:formatCode>General</c:formatCode>
                <c:ptCount val="1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</c:numCache>
            </c:numRef>
          </c:xVal>
          <c:yVal>
            <c:numRef>
              <c:f>れんたろう!$L$2:$L$161</c:f>
              <c:numCache>
                <c:formatCode>\+0.0;\-0.0;\±0</c:formatCode>
                <c:ptCount val="160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  <c:pt idx="157">
                  <c:v>756.00000000000045</c:v>
                </c:pt>
                <c:pt idx="158">
                  <c:v>741.60000000000048</c:v>
                </c:pt>
                <c:pt idx="159">
                  <c:v>699.60000000000048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55-47A2-B75E-9514E898C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1745.5696202531647</c:v>
                </c:pt>
                <c:pt idx="1">
                  <c:v>-2301.9480519480521</c:v>
                </c:pt>
                <c:pt idx="2">
                  <c:v>168.57142857142858</c:v>
                </c:pt>
                <c:pt idx="3">
                  <c:v>2275.968992248062</c:v>
                </c:pt>
                <c:pt idx="4">
                  <c:v>1589.7435897435898</c:v>
                </c:pt>
                <c:pt idx="5">
                  <c:v>224.71910112359549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00-4B95-8552-860A1CE4E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10</c:v>
                </c:pt>
                <c:pt idx="1">
                  <c:v>29</c:v>
                </c:pt>
                <c:pt idx="2">
                  <c:v>46</c:v>
                </c:pt>
                <c:pt idx="3">
                  <c:v>65</c:v>
                </c:pt>
                <c:pt idx="4">
                  <c:v>76</c:v>
                </c:pt>
                <c:pt idx="5">
                  <c:v>49</c:v>
                </c:pt>
                <c:pt idx="6">
                  <c:v>26</c:v>
                </c:pt>
                <c:pt idx="7">
                  <c:v>24</c:v>
                </c:pt>
                <c:pt idx="8">
                  <c:v>11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9E-44D5-ABAF-2D9517F8E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まっつん!$K$2:$K$160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まっつん!$L$2:$L$160</c:f>
              <c:numCache>
                <c:formatCode>\+0.0;\-0.0;\±0</c:formatCode>
                <c:ptCount val="159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  <c:pt idx="157">
                  <c:v>-33.199999999999996</c:v>
                </c:pt>
                <c:pt idx="158">
                  <c:v>-60.099999999999994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AF-41A3-807C-5F18A3746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-352.53164556962025</c:v>
                </c:pt>
                <c:pt idx="1">
                  <c:v>551.61290322580646</c:v>
                </c:pt>
                <c:pt idx="2">
                  <c:v>234.93150684931507</c:v>
                </c:pt>
                <c:pt idx="3">
                  <c:v>200.75757575757575</c:v>
                </c:pt>
                <c:pt idx="4">
                  <c:v>42.5</c:v>
                </c:pt>
                <c:pt idx="5">
                  <c:v>-770.58823529411768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7B-4149-B95A-40795D3A1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20</c:v>
                </c:pt>
                <c:pt idx="1">
                  <c:v>64</c:v>
                </c:pt>
                <c:pt idx="2">
                  <c:v>68</c:v>
                </c:pt>
                <c:pt idx="3">
                  <c:v>68</c:v>
                </c:pt>
                <c:pt idx="4">
                  <c:v>51</c:v>
                </c:pt>
                <c:pt idx="5">
                  <c:v>41</c:v>
                </c:pt>
                <c:pt idx="6">
                  <c:v>19</c:v>
                </c:pt>
                <c:pt idx="7">
                  <c:v>9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1-4537-BD74-C6711431B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D1-49CC-90B1-A4AF843F9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-3816.4383561643835</c:v>
                </c:pt>
                <c:pt idx="1">
                  <c:v>1436.1111111111111</c:v>
                </c:pt>
                <c:pt idx="2">
                  <c:v>-1208.8235294117646</c:v>
                </c:pt>
                <c:pt idx="3">
                  <c:v>-1706.5573770491803</c:v>
                </c:pt>
                <c:pt idx="4">
                  <c:v>-1807.0175438596491</c:v>
                </c:pt>
                <c:pt idx="5">
                  <c:v>-2165.9574468085107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90-43A9-AC7F-AA0AE8528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27</c:v>
                </c:pt>
                <c:pt idx="2">
                  <c:v>30</c:v>
                </c:pt>
                <c:pt idx="3">
                  <c:v>27</c:v>
                </c:pt>
                <c:pt idx="4">
                  <c:v>22</c:v>
                </c:pt>
                <c:pt idx="5">
                  <c:v>12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7B-42E5-99AE-9D2047541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9B-47A5-9E7A-97CC43D15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-2816.1290322580644</c:v>
                </c:pt>
                <c:pt idx="1">
                  <c:v>-1836.6666666666667</c:v>
                </c:pt>
                <c:pt idx="2">
                  <c:v>1862.0689655172414</c:v>
                </c:pt>
                <c:pt idx="3">
                  <c:v>-2503.4482758620688</c:v>
                </c:pt>
                <c:pt idx="4">
                  <c:v>3992.3076923076924</c:v>
                </c:pt>
                <c:pt idx="5">
                  <c:v>772.72727272727275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AE-4301-8BE8-1B7E42BEF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69-4910-AE47-5BF1F556F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40-48B0-8A9D-A5FE76A0F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5-4EA5-9CF6-BCDB92051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A3-49F0-93A4-CFD15F84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92-418E-BF3F-11783C0B6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B1-4E24-BC46-3C74CFAF9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9-4BAA-9512-C1D00FC2B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ともき!$L$2:$L$20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D9-4013-AF0F-3583C7341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-2194.4444444444443</c:v>
                </c:pt>
                <c:pt idx="1">
                  <c:v>-188.88888888888889</c:v>
                </c:pt>
                <c:pt idx="2">
                  <c:v>-2300</c:v>
                </c:pt>
                <c:pt idx="3">
                  <c:v>1650</c:v>
                </c:pt>
                <c:pt idx="4">
                  <c:v>-1150</c:v>
                </c:pt>
                <c:pt idx="5">
                  <c:v>2558.3333333333335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E9-4DE6-9D1A-E2498545F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6-4534-80DF-85171021A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82-4F2B-A32C-8C1494C58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D7-44A0-A8E6-0385975CE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C1-4CB5-AB91-ADC4ABF6E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A-4DC2-9F2E-D5704612D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F8-4E05-AB3D-016D99898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D7-46E9-90D1-4075FE8ED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まっつん2!$A$3:$A$161</c:f>
              <c:numCache>
                <c:formatCode>0\ "回"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まっつん2!$B$3:$B$161</c:f>
              <c:numCache>
                <c:formatCode>\+0.0;\-0.0;\±0</c:formatCode>
                <c:ptCount val="159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  <c:pt idx="157">
                  <c:v>-33.199999999999996</c:v>
                </c:pt>
                <c:pt idx="158">
                  <c:v>-60.099999999999994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81597009336110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まっつん2!$A$3:$A$161</c:f>
              <c:numCache>
                <c:formatCode>0\ "回"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まっつん2!$C$3:$C$161</c:f>
              <c:numCache>
                <c:formatCode>\+0.0;\-0.0;\±0</c:formatCode>
                <c:ptCount val="159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-1.71025641025641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  <c:pt idx="83">
                  <c:v>-1.5493975903614456</c:v>
                </c:pt>
                <c:pt idx="84">
                  <c:v>-1.4261904761904762</c:v>
                </c:pt>
                <c:pt idx="85">
                  <c:v>-1.1458823529411766</c:v>
                </c:pt>
                <c:pt idx="86">
                  <c:v>-0.97441860465116292</c:v>
                </c:pt>
                <c:pt idx="87">
                  <c:v>-0.65977011494252891</c:v>
                </c:pt>
                <c:pt idx="88">
                  <c:v>-0.71818181818181825</c:v>
                </c:pt>
                <c:pt idx="89">
                  <c:v>-1.3438202247191011</c:v>
                </c:pt>
                <c:pt idx="90">
                  <c:v>-0.64000000000000012</c:v>
                </c:pt>
                <c:pt idx="91">
                  <c:v>-0.60329670329670337</c:v>
                </c:pt>
                <c:pt idx="92">
                  <c:v>-0.1858695652173914</c:v>
                </c:pt>
                <c:pt idx="93">
                  <c:v>9.4623655913978394E-2</c:v>
                </c:pt>
                <c:pt idx="94">
                  <c:v>-4.3617021276595856E-2</c:v>
                </c:pt>
                <c:pt idx="95">
                  <c:v>0.33578947368421042</c:v>
                </c:pt>
                <c:pt idx="96">
                  <c:v>0.54479166666666656</c:v>
                </c:pt>
                <c:pt idx="97">
                  <c:v>0.14432989690721643</c:v>
                </c:pt>
                <c:pt idx="98">
                  <c:v>0.21836734693877544</c:v>
                </c:pt>
                <c:pt idx="99">
                  <c:v>-5.454545454545464E-2</c:v>
                </c:pt>
                <c:pt idx="100">
                  <c:v>-0.25600000000000006</c:v>
                </c:pt>
                <c:pt idx="101">
                  <c:v>0.31881188118811871</c:v>
                </c:pt>
                <c:pt idx="102">
                  <c:v>0.27156862745098026</c:v>
                </c:pt>
                <c:pt idx="103">
                  <c:v>0.44466019417475716</c:v>
                </c:pt>
                <c:pt idx="104">
                  <c:v>1.1749999999999998</c:v>
                </c:pt>
                <c:pt idx="105">
                  <c:v>0.82190476190476169</c:v>
                </c:pt>
                <c:pt idx="106">
                  <c:v>0.79528301886792441</c:v>
                </c:pt>
                <c:pt idx="107">
                  <c:v>0.99345794392523346</c:v>
                </c:pt>
                <c:pt idx="108">
                  <c:v>0.9185185185185184</c:v>
                </c:pt>
                <c:pt idx="109">
                  <c:v>1.2128440366972475</c:v>
                </c:pt>
                <c:pt idx="110">
                  <c:v>1.0918181818181818</c:v>
                </c:pt>
                <c:pt idx="111">
                  <c:v>0.95765765765765765</c:v>
                </c:pt>
                <c:pt idx="112">
                  <c:v>0.9330357142857143</c:v>
                </c:pt>
                <c:pt idx="113">
                  <c:v>0.89823008849557517</c:v>
                </c:pt>
                <c:pt idx="114">
                  <c:v>1.025438596491228</c:v>
                </c:pt>
                <c:pt idx="115">
                  <c:v>0.76347826086956527</c:v>
                </c:pt>
                <c:pt idx="116">
                  <c:v>0.61034482758620701</c:v>
                </c:pt>
                <c:pt idx="117">
                  <c:v>0.54358974358974366</c:v>
                </c:pt>
                <c:pt idx="118">
                  <c:v>0.83389830508474583</c:v>
                </c:pt>
                <c:pt idx="119">
                  <c:v>0.81176470588235305</c:v>
                </c:pt>
                <c:pt idx="120">
                  <c:v>0.55583333333333351</c:v>
                </c:pt>
                <c:pt idx="121">
                  <c:v>0.28264462809917368</c:v>
                </c:pt>
                <c:pt idx="122">
                  <c:v>8.1967213114766914E-4</c:v>
                </c:pt>
                <c:pt idx="123">
                  <c:v>-0.30081300813008116</c:v>
                </c:pt>
                <c:pt idx="124">
                  <c:v>-0.53951612903225787</c:v>
                </c:pt>
                <c:pt idx="125">
                  <c:v>-0.6791999999999998</c:v>
                </c:pt>
                <c:pt idx="126">
                  <c:v>-1.049206349206349</c:v>
                </c:pt>
                <c:pt idx="127">
                  <c:v>-1.0433070866141732</c:v>
                </c:pt>
                <c:pt idx="128">
                  <c:v>-1.41484375</c:v>
                </c:pt>
                <c:pt idx="129">
                  <c:v>-1.6302325581395347</c:v>
                </c:pt>
                <c:pt idx="130">
                  <c:v>-1.776153846153846</c:v>
                </c:pt>
                <c:pt idx="131">
                  <c:v>-1.8503816793893129</c:v>
                </c:pt>
                <c:pt idx="132">
                  <c:v>-1.8045454545454545</c:v>
                </c:pt>
                <c:pt idx="133">
                  <c:v>-1.7105263157894737</c:v>
                </c:pt>
                <c:pt idx="134">
                  <c:v>-1.4447761194029851</c:v>
                </c:pt>
                <c:pt idx="135">
                  <c:v>-1.5711111111111111</c:v>
                </c:pt>
                <c:pt idx="136">
                  <c:v>-1.3169117647058823</c:v>
                </c:pt>
                <c:pt idx="137">
                  <c:v>-1.1116788321167883</c:v>
                </c:pt>
                <c:pt idx="138">
                  <c:v>-1.1775362318840579</c:v>
                </c:pt>
                <c:pt idx="139">
                  <c:v>-1.0812949640287768</c:v>
                </c:pt>
                <c:pt idx="140">
                  <c:v>-0.69142857142857128</c:v>
                </c:pt>
                <c:pt idx="141">
                  <c:v>-0.75177304964538993</c:v>
                </c:pt>
                <c:pt idx="142">
                  <c:v>-1.0021126760563379</c:v>
                </c:pt>
                <c:pt idx="143">
                  <c:v>-0.98951048951048937</c:v>
                </c:pt>
                <c:pt idx="144">
                  <c:v>-0.67152777777777761</c:v>
                </c:pt>
                <c:pt idx="145">
                  <c:v>-0.27793103448275847</c:v>
                </c:pt>
                <c:pt idx="146">
                  <c:v>-0.19246575342465738</c:v>
                </c:pt>
                <c:pt idx="147">
                  <c:v>-0.44965986394557811</c:v>
                </c:pt>
                <c:pt idx="148">
                  <c:v>-0.36891891891891876</c:v>
                </c:pt>
                <c:pt idx="149">
                  <c:v>-0.72348993288590591</c:v>
                </c:pt>
                <c:pt idx="150">
                  <c:v>-0.77666666666666662</c:v>
                </c:pt>
                <c:pt idx="151">
                  <c:v>-0.73245033112582769</c:v>
                </c:pt>
                <c:pt idx="152">
                  <c:v>-0.40131578947368407</c:v>
                </c:pt>
                <c:pt idx="153">
                  <c:v>-0.1614379084967319</c:v>
                </c:pt>
                <c:pt idx="154">
                  <c:v>-0.46233766233766227</c:v>
                </c:pt>
                <c:pt idx="155">
                  <c:v>-0.75290322580645153</c:v>
                </c:pt>
                <c:pt idx="156">
                  <c:v>-0.5262820512820513</c:v>
                </c:pt>
                <c:pt idx="157">
                  <c:v>-0.21146496815286622</c:v>
                </c:pt>
                <c:pt idx="158">
                  <c:v>-0.38037974683544301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4225736879022812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まっつん2!$A$3:$A$161</c:f>
              <c:numCache>
                <c:formatCode>0\ "回"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まっつん2!$D$3:$D$161</c:f>
              <c:numCache>
                <c:formatCode>0.00\ "位"</c:formatCode>
                <c:ptCount val="159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  <c:pt idx="83">
                  <c:v>2.0843373493975905</c:v>
                </c:pt>
                <c:pt idx="84">
                  <c:v>2.0833333333333335</c:v>
                </c:pt>
                <c:pt idx="85">
                  <c:v>2.0705882352941178</c:v>
                </c:pt>
                <c:pt idx="86">
                  <c:v>2.058139534883721</c:v>
                </c:pt>
                <c:pt idx="87">
                  <c:v>2.0459770114942528</c:v>
                </c:pt>
                <c:pt idx="88">
                  <c:v>2.0454545454545454</c:v>
                </c:pt>
                <c:pt idx="89">
                  <c:v>2.0561797752808988</c:v>
                </c:pt>
                <c:pt idx="90">
                  <c:v>2.0444444444444443</c:v>
                </c:pt>
                <c:pt idx="91">
                  <c:v>2.0439560439560438</c:v>
                </c:pt>
                <c:pt idx="92">
                  <c:v>2.0326086956521738</c:v>
                </c:pt>
                <c:pt idx="93">
                  <c:v>2.021505376344086</c:v>
                </c:pt>
                <c:pt idx="94">
                  <c:v>2.021276595744681</c:v>
                </c:pt>
                <c:pt idx="95">
                  <c:v>2.0105263157894737</c:v>
                </c:pt>
                <c:pt idx="96">
                  <c:v>2.0104166666666665</c:v>
                </c:pt>
                <c:pt idx="97">
                  <c:v>2.0206185567010309</c:v>
                </c:pt>
                <c:pt idx="98">
                  <c:v>2.0204081632653059</c:v>
                </c:pt>
                <c:pt idx="99">
                  <c:v>2.0303030303030303</c:v>
                </c:pt>
                <c:pt idx="100">
                  <c:v>2.04</c:v>
                </c:pt>
                <c:pt idx="101">
                  <c:v>2.0297029702970297</c:v>
                </c:pt>
                <c:pt idx="102">
                  <c:v>2.0294117647058822</c:v>
                </c:pt>
                <c:pt idx="103">
                  <c:v>2.0194174757281553</c:v>
                </c:pt>
                <c:pt idx="104">
                  <c:v>2.0096153846153846</c:v>
                </c:pt>
                <c:pt idx="105">
                  <c:v>2.019047619047619</c:v>
                </c:pt>
                <c:pt idx="106">
                  <c:v>2.0188679245283021</c:v>
                </c:pt>
                <c:pt idx="107">
                  <c:v>2.0093457943925235</c:v>
                </c:pt>
                <c:pt idx="108">
                  <c:v>2.0092592592592591</c:v>
                </c:pt>
                <c:pt idx="109">
                  <c:v>2</c:v>
                </c:pt>
                <c:pt idx="110">
                  <c:v>2.0090909090909093</c:v>
                </c:pt>
                <c:pt idx="111">
                  <c:v>2.0180180180180178</c:v>
                </c:pt>
                <c:pt idx="112">
                  <c:v>2.0178571428571428</c:v>
                </c:pt>
                <c:pt idx="113">
                  <c:v>2.0176991150442478</c:v>
                </c:pt>
                <c:pt idx="114">
                  <c:v>2.0175438596491229</c:v>
                </c:pt>
                <c:pt idx="115">
                  <c:v>2.026086956521739</c:v>
                </c:pt>
                <c:pt idx="116">
                  <c:v>2.0344827586206895</c:v>
                </c:pt>
                <c:pt idx="117">
                  <c:v>2.0341880341880341</c:v>
                </c:pt>
                <c:pt idx="118">
                  <c:v>2.0254237288135593</c:v>
                </c:pt>
                <c:pt idx="119">
                  <c:v>2.0252100840336134</c:v>
                </c:pt>
                <c:pt idx="120">
                  <c:v>2.0333333333333332</c:v>
                </c:pt>
                <c:pt idx="121">
                  <c:v>2.0413223140495869</c:v>
                </c:pt>
                <c:pt idx="122">
                  <c:v>2.0491803278688523</c:v>
                </c:pt>
                <c:pt idx="123">
                  <c:v>2.0569105691056913</c:v>
                </c:pt>
                <c:pt idx="124">
                  <c:v>2.064516129032258</c:v>
                </c:pt>
                <c:pt idx="125">
                  <c:v>2.0720000000000001</c:v>
                </c:pt>
                <c:pt idx="126">
                  <c:v>2.0793650793650795</c:v>
                </c:pt>
                <c:pt idx="127">
                  <c:v>2.0787401574803148</c:v>
                </c:pt>
                <c:pt idx="128">
                  <c:v>2.0859375</c:v>
                </c:pt>
                <c:pt idx="129">
                  <c:v>2.0930232558139537</c:v>
                </c:pt>
                <c:pt idx="130">
                  <c:v>2.0923076923076924</c:v>
                </c:pt>
                <c:pt idx="131">
                  <c:v>2.0916030534351147</c:v>
                </c:pt>
                <c:pt idx="132">
                  <c:v>2.0909090909090908</c:v>
                </c:pt>
                <c:pt idx="133">
                  <c:v>2.0902255639097747</c:v>
                </c:pt>
                <c:pt idx="134">
                  <c:v>2.0820895522388061</c:v>
                </c:pt>
                <c:pt idx="135">
                  <c:v>2.0814814814814815</c:v>
                </c:pt>
                <c:pt idx="136">
                  <c:v>2.0735294117647061</c:v>
                </c:pt>
                <c:pt idx="137">
                  <c:v>2.0656934306569341</c:v>
                </c:pt>
                <c:pt idx="138">
                  <c:v>2.0652173913043477</c:v>
                </c:pt>
                <c:pt idx="139">
                  <c:v>2.0575539568345325</c:v>
                </c:pt>
                <c:pt idx="140">
                  <c:v>2.0499999999999998</c:v>
                </c:pt>
                <c:pt idx="141">
                  <c:v>2.0496453900709222</c:v>
                </c:pt>
                <c:pt idx="142">
                  <c:v>2.056338028169014</c:v>
                </c:pt>
                <c:pt idx="143">
                  <c:v>2.0559440559440558</c:v>
                </c:pt>
                <c:pt idx="144">
                  <c:v>2.0486111111111112</c:v>
                </c:pt>
                <c:pt idx="145">
                  <c:v>2.0413793103448277</c:v>
                </c:pt>
                <c:pt idx="146">
                  <c:v>2.0410958904109591</c:v>
                </c:pt>
                <c:pt idx="147">
                  <c:v>2.0476190476190474</c:v>
                </c:pt>
                <c:pt idx="148">
                  <c:v>2.0472972972972974</c:v>
                </c:pt>
                <c:pt idx="149">
                  <c:v>2.0536912751677852</c:v>
                </c:pt>
                <c:pt idx="150">
                  <c:v>2.0533333333333332</c:v>
                </c:pt>
                <c:pt idx="151">
                  <c:v>2.052980132450331</c:v>
                </c:pt>
                <c:pt idx="152">
                  <c:v>2.0460526315789473</c:v>
                </c:pt>
                <c:pt idx="153">
                  <c:v>2.0392156862745097</c:v>
                </c:pt>
                <c:pt idx="154">
                  <c:v>2.0454545454545454</c:v>
                </c:pt>
                <c:pt idx="155">
                  <c:v>2.0516129032258066</c:v>
                </c:pt>
                <c:pt idx="156">
                  <c:v>2.0448717948717947</c:v>
                </c:pt>
                <c:pt idx="157">
                  <c:v>2.0382165605095541</c:v>
                </c:pt>
                <c:pt idx="158">
                  <c:v>2.0443037974683542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まっつん2!$A$3:$A$161</c:f>
              <c:numCache>
                <c:formatCode>0\ "回"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まっつん2!$E$3:$E$161</c:f>
              <c:numCache>
                <c:formatCode>0.0%</c:formatCode>
                <c:ptCount val="159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0.20481927710843373</c:v>
                </c:pt>
                <c:pt idx="84">
                  <c:v>0.20238095238095238</c:v>
                </c:pt>
                <c:pt idx="85">
                  <c:v>0.21176470588235294</c:v>
                </c:pt>
                <c:pt idx="86">
                  <c:v>0.22093023255813954</c:v>
                </c:pt>
                <c:pt idx="87">
                  <c:v>0.22988505747126436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0.23333333333333334</c:v>
                </c:pt>
                <c:pt idx="91">
                  <c:v>0.23076923076923078</c:v>
                </c:pt>
                <c:pt idx="92">
                  <c:v>0.2391304347826087</c:v>
                </c:pt>
                <c:pt idx="93">
                  <c:v>0.24731182795698925</c:v>
                </c:pt>
                <c:pt idx="94">
                  <c:v>0.24468085106382978</c:v>
                </c:pt>
                <c:pt idx="95">
                  <c:v>0.25263157894736843</c:v>
                </c:pt>
                <c:pt idx="96">
                  <c:v>0.25</c:v>
                </c:pt>
                <c:pt idx="97">
                  <c:v>0.24742268041237114</c:v>
                </c:pt>
                <c:pt idx="98">
                  <c:v>0.24489795918367346</c:v>
                </c:pt>
                <c:pt idx="99">
                  <c:v>0.24242424242424243</c:v>
                </c:pt>
                <c:pt idx="100">
                  <c:v>0.24</c:v>
                </c:pt>
                <c:pt idx="101">
                  <c:v>0.24752475247524752</c:v>
                </c:pt>
                <c:pt idx="102">
                  <c:v>0.24509803921568626</c:v>
                </c:pt>
                <c:pt idx="103">
                  <c:v>0.25242718446601942</c:v>
                </c:pt>
                <c:pt idx="104">
                  <c:v>0.25961538461538464</c:v>
                </c:pt>
                <c:pt idx="105">
                  <c:v>0.25714285714285712</c:v>
                </c:pt>
                <c:pt idx="106">
                  <c:v>0.25471698113207547</c:v>
                </c:pt>
                <c:pt idx="107">
                  <c:v>0.26168224299065418</c:v>
                </c:pt>
                <c:pt idx="108">
                  <c:v>0.25925925925925924</c:v>
                </c:pt>
                <c:pt idx="109">
                  <c:v>0.26605504587155965</c:v>
                </c:pt>
                <c:pt idx="110">
                  <c:v>0.26363636363636361</c:v>
                </c:pt>
                <c:pt idx="111">
                  <c:v>0.26126126126126126</c:v>
                </c:pt>
                <c:pt idx="112">
                  <c:v>0.25892857142857145</c:v>
                </c:pt>
                <c:pt idx="113">
                  <c:v>0.25663716814159293</c:v>
                </c:pt>
                <c:pt idx="114">
                  <c:v>0.25438596491228072</c:v>
                </c:pt>
                <c:pt idx="115">
                  <c:v>0.25217391304347825</c:v>
                </c:pt>
                <c:pt idx="116">
                  <c:v>0.25</c:v>
                </c:pt>
                <c:pt idx="117">
                  <c:v>0.24786324786324787</c:v>
                </c:pt>
                <c:pt idx="118">
                  <c:v>0.25423728813559321</c:v>
                </c:pt>
                <c:pt idx="119">
                  <c:v>0.25210084033613445</c:v>
                </c:pt>
                <c:pt idx="120">
                  <c:v>0.25</c:v>
                </c:pt>
                <c:pt idx="121">
                  <c:v>0.24793388429752067</c:v>
                </c:pt>
                <c:pt idx="122">
                  <c:v>0.24590163934426229</c:v>
                </c:pt>
                <c:pt idx="123">
                  <c:v>0.24390243902439024</c:v>
                </c:pt>
                <c:pt idx="124">
                  <c:v>0.24193548387096775</c:v>
                </c:pt>
                <c:pt idx="125">
                  <c:v>0.24</c:v>
                </c:pt>
                <c:pt idx="126">
                  <c:v>0.23809523809523808</c:v>
                </c:pt>
                <c:pt idx="127">
                  <c:v>0.23622047244094488</c:v>
                </c:pt>
                <c:pt idx="128">
                  <c:v>0.234375</c:v>
                </c:pt>
                <c:pt idx="129">
                  <c:v>0.23255813953488372</c:v>
                </c:pt>
                <c:pt idx="130">
                  <c:v>0.23076923076923078</c:v>
                </c:pt>
                <c:pt idx="131">
                  <c:v>0.22900763358778625</c:v>
                </c:pt>
                <c:pt idx="132">
                  <c:v>0.22727272727272727</c:v>
                </c:pt>
                <c:pt idx="133">
                  <c:v>0.22556390977443608</c:v>
                </c:pt>
                <c:pt idx="134">
                  <c:v>0.23134328358208955</c:v>
                </c:pt>
                <c:pt idx="135">
                  <c:v>0.22962962962962963</c:v>
                </c:pt>
                <c:pt idx="136">
                  <c:v>0.23529411764705882</c:v>
                </c:pt>
                <c:pt idx="137">
                  <c:v>0.24087591240875914</c:v>
                </c:pt>
                <c:pt idx="138">
                  <c:v>0.2391304347826087</c:v>
                </c:pt>
                <c:pt idx="139">
                  <c:v>0.2446043165467626</c:v>
                </c:pt>
                <c:pt idx="140">
                  <c:v>0.25</c:v>
                </c:pt>
                <c:pt idx="141">
                  <c:v>0.24822695035460993</c:v>
                </c:pt>
                <c:pt idx="142">
                  <c:v>0.24647887323943662</c:v>
                </c:pt>
                <c:pt idx="143">
                  <c:v>0.24475524475524477</c:v>
                </c:pt>
                <c:pt idx="144">
                  <c:v>0.25</c:v>
                </c:pt>
                <c:pt idx="145">
                  <c:v>0.25517241379310346</c:v>
                </c:pt>
                <c:pt idx="146">
                  <c:v>0.25342465753424659</c:v>
                </c:pt>
                <c:pt idx="147">
                  <c:v>0.25170068027210885</c:v>
                </c:pt>
                <c:pt idx="148">
                  <c:v>0.25</c:v>
                </c:pt>
                <c:pt idx="149">
                  <c:v>0.24832214765100671</c:v>
                </c:pt>
                <c:pt idx="150">
                  <c:v>0.24666666666666667</c:v>
                </c:pt>
                <c:pt idx="151">
                  <c:v>0.24503311258278146</c:v>
                </c:pt>
                <c:pt idx="152">
                  <c:v>0.25</c:v>
                </c:pt>
                <c:pt idx="153">
                  <c:v>0.25490196078431371</c:v>
                </c:pt>
                <c:pt idx="154">
                  <c:v>0.25324675324675322</c:v>
                </c:pt>
                <c:pt idx="155">
                  <c:v>0.25161290322580643</c:v>
                </c:pt>
                <c:pt idx="156">
                  <c:v>0.25641025641025639</c:v>
                </c:pt>
                <c:pt idx="157">
                  <c:v>0.26114649681528662</c:v>
                </c:pt>
                <c:pt idx="158">
                  <c:v>0.25949367088607594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まっつん2!$A$3:$A$161</c:f>
              <c:numCache>
                <c:formatCode>0\ "回"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まっつん2!$F$3:$F$161</c:f>
              <c:numCache>
                <c:formatCode>0.0%</c:formatCode>
                <c:ptCount val="159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  <c:pt idx="87">
                  <c:v>0.27586206896551724</c:v>
                </c:pt>
                <c:pt idx="88">
                  <c:v>0.27272727272727271</c:v>
                </c:pt>
                <c:pt idx="89">
                  <c:v>0.2808988764044944</c:v>
                </c:pt>
                <c:pt idx="90">
                  <c:v>0.27777777777777779</c:v>
                </c:pt>
                <c:pt idx="91">
                  <c:v>0.27472527472527475</c:v>
                </c:pt>
                <c:pt idx="92">
                  <c:v>0.27173913043478259</c:v>
                </c:pt>
                <c:pt idx="93">
                  <c:v>0.26881720430107525</c:v>
                </c:pt>
                <c:pt idx="94">
                  <c:v>0.26595744680851063</c:v>
                </c:pt>
                <c:pt idx="95">
                  <c:v>0.26315789473684209</c:v>
                </c:pt>
                <c:pt idx="96">
                  <c:v>0.26041666666666669</c:v>
                </c:pt>
                <c:pt idx="97">
                  <c:v>0.26804123711340205</c:v>
                </c:pt>
                <c:pt idx="98">
                  <c:v>0.26530612244897961</c:v>
                </c:pt>
                <c:pt idx="99">
                  <c:v>0.27272727272727271</c:v>
                </c:pt>
                <c:pt idx="100">
                  <c:v>0.28000000000000003</c:v>
                </c:pt>
                <c:pt idx="101">
                  <c:v>0.27722772277227725</c:v>
                </c:pt>
                <c:pt idx="102">
                  <c:v>0.27450980392156865</c:v>
                </c:pt>
                <c:pt idx="103">
                  <c:v>0.27184466019417475</c:v>
                </c:pt>
                <c:pt idx="104">
                  <c:v>0.26923076923076922</c:v>
                </c:pt>
                <c:pt idx="105">
                  <c:v>0.27619047619047621</c:v>
                </c:pt>
                <c:pt idx="106">
                  <c:v>0.27358490566037735</c:v>
                </c:pt>
                <c:pt idx="107">
                  <c:v>0.27102803738317754</c:v>
                </c:pt>
                <c:pt idx="108">
                  <c:v>0.26851851851851855</c:v>
                </c:pt>
                <c:pt idx="109">
                  <c:v>0.26605504587155965</c:v>
                </c:pt>
                <c:pt idx="110">
                  <c:v>0.27272727272727271</c:v>
                </c:pt>
                <c:pt idx="111">
                  <c:v>0.27927927927927926</c:v>
                </c:pt>
                <c:pt idx="112">
                  <c:v>0.2767857142857143</c:v>
                </c:pt>
                <c:pt idx="113">
                  <c:v>0.27433628318584069</c:v>
                </c:pt>
                <c:pt idx="114">
                  <c:v>0.27192982456140352</c:v>
                </c:pt>
                <c:pt idx="115">
                  <c:v>0.27826086956521739</c:v>
                </c:pt>
                <c:pt idx="116">
                  <c:v>0.28448275862068967</c:v>
                </c:pt>
                <c:pt idx="117">
                  <c:v>0.28205128205128205</c:v>
                </c:pt>
                <c:pt idx="118">
                  <c:v>0.27966101694915252</c:v>
                </c:pt>
                <c:pt idx="119">
                  <c:v>0.27731092436974791</c:v>
                </c:pt>
                <c:pt idx="120">
                  <c:v>0.28333333333333333</c:v>
                </c:pt>
                <c:pt idx="121">
                  <c:v>0.28925619834710742</c:v>
                </c:pt>
                <c:pt idx="122">
                  <c:v>0.29508196721311475</c:v>
                </c:pt>
                <c:pt idx="123">
                  <c:v>0.30081300813008133</c:v>
                </c:pt>
                <c:pt idx="124">
                  <c:v>0.30645161290322581</c:v>
                </c:pt>
                <c:pt idx="125">
                  <c:v>0.312</c:v>
                </c:pt>
                <c:pt idx="126">
                  <c:v>0.31746031746031744</c:v>
                </c:pt>
                <c:pt idx="127">
                  <c:v>0.31496062992125984</c:v>
                </c:pt>
                <c:pt idx="128">
                  <c:v>0.3203125</c:v>
                </c:pt>
                <c:pt idx="129">
                  <c:v>0.32558139534883723</c:v>
                </c:pt>
                <c:pt idx="130">
                  <c:v>0.32307692307692309</c:v>
                </c:pt>
                <c:pt idx="131">
                  <c:v>0.32061068702290074</c:v>
                </c:pt>
                <c:pt idx="132">
                  <c:v>0.31818181818181818</c:v>
                </c:pt>
                <c:pt idx="133">
                  <c:v>0.31578947368421051</c:v>
                </c:pt>
                <c:pt idx="134">
                  <c:v>0.31343283582089554</c:v>
                </c:pt>
                <c:pt idx="135">
                  <c:v>0.31111111111111112</c:v>
                </c:pt>
                <c:pt idx="136">
                  <c:v>0.30882352941176472</c:v>
                </c:pt>
                <c:pt idx="137">
                  <c:v>0.30656934306569344</c:v>
                </c:pt>
                <c:pt idx="138">
                  <c:v>0.30434782608695654</c:v>
                </c:pt>
                <c:pt idx="139">
                  <c:v>0.30215827338129497</c:v>
                </c:pt>
                <c:pt idx="140">
                  <c:v>0.3</c:v>
                </c:pt>
                <c:pt idx="141">
                  <c:v>0.2978723404255319</c:v>
                </c:pt>
                <c:pt idx="142">
                  <c:v>0.30281690140845069</c:v>
                </c:pt>
                <c:pt idx="143">
                  <c:v>0.30069930069930068</c:v>
                </c:pt>
                <c:pt idx="144">
                  <c:v>0.2986111111111111</c:v>
                </c:pt>
                <c:pt idx="145">
                  <c:v>0.29655172413793102</c:v>
                </c:pt>
                <c:pt idx="146">
                  <c:v>0.29452054794520549</c:v>
                </c:pt>
                <c:pt idx="147">
                  <c:v>0.29931972789115646</c:v>
                </c:pt>
                <c:pt idx="148">
                  <c:v>0.29729729729729731</c:v>
                </c:pt>
                <c:pt idx="149">
                  <c:v>0.30201342281879195</c:v>
                </c:pt>
                <c:pt idx="150">
                  <c:v>0.3</c:v>
                </c:pt>
                <c:pt idx="151">
                  <c:v>0.29801324503311261</c:v>
                </c:pt>
                <c:pt idx="152">
                  <c:v>0.29605263157894735</c:v>
                </c:pt>
                <c:pt idx="153">
                  <c:v>0.29411764705882354</c:v>
                </c:pt>
                <c:pt idx="154">
                  <c:v>0.29870129870129869</c:v>
                </c:pt>
                <c:pt idx="155">
                  <c:v>0.3032258064516129</c:v>
                </c:pt>
                <c:pt idx="156">
                  <c:v>0.30128205128205127</c:v>
                </c:pt>
                <c:pt idx="157">
                  <c:v>0.29936305732484075</c:v>
                </c:pt>
                <c:pt idx="158">
                  <c:v>0.30379746835443039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まっつん2!$A$3:$A$161</c:f>
              <c:numCache>
                <c:formatCode>0\ "回"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まっつん2!$G$3:$G$161</c:f>
              <c:numCache>
                <c:formatCode>0.0%</c:formatCode>
                <c:ptCount val="159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0.27768860353130015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  <c:pt idx="83">
                  <c:v>0.27987897125567324</c:v>
                </c:pt>
                <c:pt idx="84">
                  <c:v>0.28035982008995503</c:v>
                </c:pt>
                <c:pt idx="85">
                  <c:v>0.28041543026706234</c:v>
                </c:pt>
                <c:pt idx="86">
                  <c:v>0.28111273792093705</c:v>
                </c:pt>
                <c:pt idx="87">
                  <c:v>0.28260869565217389</c:v>
                </c:pt>
                <c:pt idx="88">
                  <c:v>0.28307254623044098</c:v>
                </c:pt>
                <c:pt idx="89">
                  <c:v>0.28212290502793297</c:v>
                </c:pt>
                <c:pt idx="90">
                  <c:v>0.28393351800554018</c:v>
                </c:pt>
                <c:pt idx="91">
                  <c:v>0.28434065934065933</c:v>
                </c:pt>
                <c:pt idx="92">
                  <c:v>0.2857142857142857</c:v>
                </c:pt>
                <c:pt idx="93">
                  <c:v>0.28936742934051146</c:v>
                </c:pt>
                <c:pt idx="94">
                  <c:v>0.28894806924101196</c:v>
                </c:pt>
                <c:pt idx="95">
                  <c:v>0.28912466843501328</c:v>
                </c:pt>
                <c:pt idx="96">
                  <c:v>0.29040735873850199</c:v>
                </c:pt>
                <c:pt idx="97">
                  <c:v>0.28793774319066145</c:v>
                </c:pt>
                <c:pt idx="98">
                  <c:v>0.28937259923175418</c:v>
                </c:pt>
                <c:pt idx="99">
                  <c:v>0.2878787878787879</c:v>
                </c:pt>
                <c:pt idx="100">
                  <c:v>0.28714107365792757</c:v>
                </c:pt>
                <c:pt idx="101">
                  <c:v>0.28888888888888886</c:v>
                </c:pt>
                <c:pt idx="102">
                  <c:v>0.28886168910648713</c:v>
                </c:pt>
                <c:pt idx="103">
                  <c:v>0.28950542822677927</c:v>
                </c:pt>
                <c:pt idx="104">
                  <c:v>0.2930622009569378</c:v>
                </c:pt>
                <c:pt idx="105">
                  <c:v>0.29078014184397161</c:v>
                </c:pt>
                <c:pt idx="106">
                  <c:v>0.29024676850763809</c:v>
                </c:pt>
                <c:pt idx="107">
                  <c:v>0.29254079254079252</c:v>
                </c:pt>
                <c:pt idx="108">
                  <c:v>0.29032258064516131</c:v>
                </c:pt>
                <c:pt idx="109">
                  <c:v>0.29142857142857143</c:v>
                </c:pt>
                <c:pt idx="110">
                  <c:v>0.29171396140749151</c:v>
                </c:pt>
                <c:pt idx="111">
                  <c:v>0.29021372328458944</c:v>
                </c:pt>
                <c:pt idx="112">
                  <c:v>0.28938547486033517</c:v>
                </c:pt>
                <c:pt idx="113">
                  <c:v>0.28839779005524863</c:v>
                </c:pt>
                <c:pt idx="114">
                  <c:v>0.28758169934640521</c:v>
                </c:pt>
                <c:pt idx="115">
                  <c:v>0.28663793103448276</c:v>
                </c:pt>
                <c:pt idx="116">
                  <c:v>0.28678038379530918</c:v>
                </c:pt>
                <c:pt idx="117">
                  <c:v>0.28752642706131076</c:v>
                </c:pt>
                <c:pt idx="118">
                  <c:v>0.28856243441762852</c:v>
                </c:pt>
                <c:pt idx="119">
                  <c:v>0.28838174273858919</c:v>
                </c:pt>
                <c:pt idx="120">
                  <c:v>0.28717948717948716</c:v>
                </c:pt>
                <c:pt idx="121">
                  <c:v>0.28629441624365481</c:v>
                </c:pt>
                <c:pt idx="122">
                  <c:v>0.28528225806451613</c:v>
                </c:pt>
                <c:pt idx="123">
                  <c:v>0.28243512974051899</c:v>
                </c:pt>
                <c:pt idx="124">
                  <c:v>0.28019801980198022</c:v>
                </c:pt>
                <c:pt idx="125">
                  <c:v>0.27952755905511811</c:v>
                </c:pt>
                <c:pt idx="126">
                  <c:v>0.27918287937743191</c:v>
                </c:pt>
                <c:pt idx="127">
                  <c:v>0.27895752895752896</c:v>
                </c:pt>
                <c:pt idx="128">
                  <c:v>0.27681992337164751</c:v>
                </c:pt>
                <c:pt idx="129">
                  <c:v>0.27619047619047621</c:v>
                </c:pt>
                <c:pt idx="130">
                  <c:v>0.27573182247403211</c:v>
                </c:pt>
                <c:pt idx="131">
                  <c:v>0.27450980392156865</c:v>
                </c:pt>
                <c:pt idx="132">
                  <c:v>0.27525486561631141</c:v>
                </c:pt>
                <c:pt idx="133">
                  <c:v>0.27532228360957645</c:v>
                </c:pt>
                <c:pt idx="134">
                  <c:v>0.2783882783882784</c:v>
                </c:pt>
                <c:pt idx="135">
                  <c:v>0.27636363636363637</c:v>
                </c:pt>
                <c:pt idx="136">
                  <c:v>0.2788808664259928</c:v>
                </c:pt>
                <c:pt idx="137">
                  <c:v>0.28071748878923769</c:v>
                </c:pt>
                <c:pt idx="138">
                  <c:v>0.27960819234194123</c:v>
                </c:pt>
                <c:pt idx="139">
                  <c:v>0.27939876215738285</c:v>
                </c:pt>
                <c:pt idx="140">
                  <c:v>0.27978817299205649</c:v>
                </c:pt>
                <c:pt idx="141">
                  <c:v>0.27982456140350875</c:v>
                </c:pt>
                <c:pt idx="142">
                  <c:v>0.2795138888888889</c:v>
                </c:pt>
                <c:pt idx="143">
                  <c:v>0.27906976744186046</c:v>
                </c:pt>
                <c:pt idx="144">
                  <c:v>0.28082191780821919</c:v>
                </c:pt>
                <c:pt idx="145">
                  <c:v>0.28194207836456558</c:v>
                </c:pt>
                <c:pt idx="146">
                  <c:v>0.28172588832487311</c:v>
                </c:pt>
                <c:pt idx="147">
                  <c:v>0.28067226890756303</c:v>
                </c:pt>
                <c:pt idx="148">
                  <c:v>0.28056951423785592</c:v>
                </c:pt>
                <c:pt idx="149">
                  <c:v>0.2793017456359102</c:v>
                </c:pt>
                <c:pt idx="150">
                  <c:v>0.27933884297520661</c:v>
                </c:pt>
                <c:pt idx="151">
                  <c:v>0.27937551355792933</c:v>
                </c:pt>
                <c:pt idx="152">
                  <c:v>0.27908868999186331</c:v>
                </c:pt>
                <c:pt idx="153">
                  <c:v>0.27938808373590984</c:v>
                </c:pt>
                <c:pt idx="154">
                  <c:v>0.27817745803357313</c:v>
                </c:pt>
                <c:pt idx="155">
                  <c:v>0.27662957074721778</c:v>
                </c:pt>
                <c:pt idx="156">
                  <c:v>0.27733755942947702</c:v>
                </c:pt>
                <c:pt idx="157">
                  <c:v>0.27795275590551183</c:v>
                </c:pt>
                <c:pt idx="158">
                  <c:v>0.27721221613155833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610259902394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まっつん2!$A$3:$A$161</c:f>
              <c:numCache>
                <c:formatCode>0\ "回"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まっつん2!$H$3:$H$161</c:f>
              <c:numCache>
                <c:formatCode>0.0%</c:formatCode>
                <c:ptCount val="159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0.13643659711075443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  <c:pt idx="83">
                  <c:v>0.13615733736762481</c:v>
                </c:pt>
                <c:pt idx="84">
                  <c:v>0.13493253373313344</c:v>
                </c:pt>
                <c:pt idx="85">
                  <c:v>0.13649851632047477</c:v>
                </c:pt>
                <c:pt idx="86">
                  <c:v>0.13469985358711567</c:v>
                </c:pt>
                <c:pt idx="87">
                  <c:v>0.13333333333333333</c:v>
                </c:pt>
                <c:pt idx="88">
                  <c:v>0.1337126600284495</c:v>
                </c:pt>
                <c:pt idx="89">
                  <c:v>0.13547486033519554</c:v>
                </c:pt>
                <c:pt idx="90">
                  <c:v>0.13434903047091412</c:v>
                </c:pt>
                <c:pt idx="91">
                  <c:v>0.13461538461538461</c:v>
                </c:pt>
                <c:pt idx="92">
                  <c:v>0.13469387755102041</c:v>
                </c:pt>
                <c:pt idx="93">
                  <c:v>0.13458950201884254</c:v>
                </c:pt>
                <c:pt idx="94">
                  <c:v>0.13448735019973368</c:v>
                </c:pt>
                <c:pt idx="95">
                  <c:v>0.13395225464190982</c:v>
                </c:pt>
                <c:pt idx="96">
                  <c:v>0.13403416557161629</c:v>
                </c:pt>
                <c:pt idx="97">
                  <c:v>0.13618677042801555</c:v>
                </c:pt>
                <c:pt idx="98">
                  <c:v>0.13444302176696543</c:v>
                </c:pt>
                <c:pt idx="99">
                  <c:v>0.13636363636363635</c:v>
                </c:pt>
                <c:pt idx="100">
                  <c:v>0.13732833957553059</c:v>
                </c:pt>
                <c:pt idx="101">
                  <c:v>0.13580246913580246</c:v>
                </c:pt>
                <c:pt idx="102">
                  <c:v>0.13586291309669524</c:v>
                </c:pt>
                <c:pt idx="103">
                  <c:v>0.13751507840772015</c:v>
                </c:pt>
                <c:pt idx="104">
                  <c:v>0.13755980861244019</c:v>
                </c:pt>
                <c:pt idx="105">
                  <c:v>0.13593380614657211</c:v>
                </c:pt>
                <c:pt idx="106">
                  <c:v>0.13513513513513514</c:v>
                </c:pt>
                <c:pt idx="107">
                  <c:v>0.1351981351981352</c:v>
                </c:pt>
                <c:pt idx="108">
                  <c:v>0.1347926267281106</c:v>
                </c:pt>
                <c:pt idx="109">
                  <c:v>0.13485714285714287</c:v>
                </c:pt>
                <c:pt idx="110">
                  <c:v>0.1362088535754824</c:v>
                </c:pt>
                <c:pt idx="111">
                  <c:v>0.13610798650168729</c:v>
                </c:pt>
                <c:pt idx="112">
                  <c:v>0.13519553072625698</c:v>
                </c:pt>
                <c:pt idx="113">
                  <c:v>0.13370165745856355</c:v>
                </c:pt>
                <c:pt idx="114">
                  <c:v>0.13180827886710239</c:v>
                </c:pt>
                <c:pt idx="115">
                  <c:v>0.13254310344827586</c:v>
                </c:pt>
                <c:pt idx="116">
                  <c:v>0.13326226012793177</c:v>
                </c:pt>
                <c:pt idx="117">
                  <c:v>0.1331923890063425</c:v>
                </c:pt>
                <c:pt idx="118">
                  <c:v>0.13326337880377753</c:v>
                </c:pt>
                <c:pt idx="119">
                  <c:v>0.13278008298755187</c:v>
                </c:pt>
                <c:pt idx="120">
                  <c:v>0.13435897435897437</c:v>
                </c:pt>
                <c:pt idx="121">
                  <c:v>0.13604060913705585</c:v>
                </c:pt>
                <c:pt idx="122">
                  <c:v>0.13608870967741934</c:v>
                </c:pt>
                <c:pt idx="123">
                  <c:v>0.13672654690618763</c:v>
                </c:pt>
                <c:pt idx="124">
                  <c:v>0.13663366336633664</c:v>
                </c:pt>
                <c:pt idx="125">
                  <c:v>0.13681102362204725</c:v>
                </c:pt>
                <c:pt idx="126">
                  <c:v>0.13910505836575876</c:v>
                </c:pt>
                <c:pt idx="127">
                  <c:v>0.13996138996138996</c:v>
                </c:pt>
                <c:pt idx="128">
                  <c:v>0.1417624521072797</c:v>
                </c:pt>
                <c:pt idx="129">
                  <c:v>0.14190476190476189</c:v>
                </c:pt>
                <c:pt idx="130">
                  <c:v>0.14069877242681775</c:v>
                </c:pt>
                <c:pt idx="131">
                  <c:v>0.1419234360410831</c:v>
                </c:pt>
                <c:pt idx="132">
                  <c:v>0.14179796107506951</c:v>
                </c:pt>
                <c:pt idx="133">
                  <c:v>0.14088397790055249</c:v>
                </c:pt>
                <c:pt idx="134">
                  <c:v>0.14010989010989011</c:v>
                </c:pt>
                <c:pt idx="135">
                  <c:v>0.1390909090909091</c:v>
                </c:pt>
                <c:pt idx="136">
                  <c:v>0.13898916967509026</c:v>
                </c:pt>
                <c:pt idx="137">
                  <c:v>0.13901345291479822</c:v>
                </c:pt>
                <c:pt idx="138">
                  <c:v>0.13802315227070347</c:v>
                </c:pt>
                <c:pt idx="139">
                  <c:v>0.13881520778072501</c:v>
                </c:pt>
                <c:pt idx="140">
                  <c:v>0.13857016769638128</c:v>
                </c:pt>
                <c:pt idx="141">
                  <c:v>0.13859649122807016</c:v>
                </c:pt>
                <c:pt idx="142">
                  <c:v>0.1388888888888889</c:v>
                </c:pt>
                <c:pt idx="143">
                  <c:v>0.13953488372093023</c:v>
                </c:pt>
                <c:pt idx="144">
                  <c:v>0.1386986301369863</c:v>
                </c:pt>
                <c:pt idx="145">
                  <c:v>0.13798977853492334</c:v>
                </c:pt>
                <c:pt idx="146">
                  <c:v>0.13874788494077833</c:v>
                </c:pt>
                <c:pt idx="147">
                  <c:v>0.13781512605042018</c:v>
                </c:pt>
                <c:pt idx="148">
                  <c:v>0.13735343383584589</c:v>
                </c:pt>
                <c:pt idx="149">
                  <c:v>0.1396508728179551</c:v>
                </c:pt>
                <c:pt idx="150">
                  <c:v>0.13884297520661157</c:v>
                </c:pt>
                <c:pt idx="151">
                  <c:v>0.13968775677896467</c:v>
                </c:pt>
                <c:pt idx="152">
                  <c:v>0.13832384052074859</c:v>
                </c:pt>
                <c:pt idx="153">
                  <c:v>0.13687600644122383</c:v>
                </c:pt>
                <c:pt idx="154">
                  <c:v>0.13828936850519585</c:v>
                </c:pt>
                <c:pt idx="155">
                  <c:v>0.13990461049284578</c:v>
                </c:pt>
                <c:pt idx="156">
                  <c:v>0.14025356576862125</c:v>
                </c:pt>
                <c:pt idx="157">
                  <c:v>0.14015748031496064</c:v>
                </c:pt>
                <c:pt idx="158">
                  <c:v>0.14173844949099451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686755192373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まっつん2!$A$3:$A$161</c:f>
              <c:numCache>
                <c:formatCode>0\ "回"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まっつん2!$I$3:$I$161</c:f>
              <c:numCache>
                <c:formatCode>0</c:formatCode>
                <c:ptCount val="159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  <c:pt idx="83">
                  <c:v>8345.405405405405</c:v>
                </c:pt>
                <c:pt idx="84">
                  <c:v>8304.8128342245982</c:v>
                </c:pt>
                <c:pt idx="85">
                  <c:v>8407.4074074074069</c:v>
                </c:pt>
                <c:pt idx="86">
                  <c:v>8382.2916666666661</c:v>
                </c:pt>
                <c:pt idx="87">
                  <c:v>8352.8205128205136</c:v>
                </c:pt>
                <c:pt idx="88">
                  <c:v>8317.5879396984928</c:v>
                </c:pt>
                <c:pt idx="89">
                  <c:v>8315.8415841584156</c:v>
                </c:pt>
                <c:pt idx="90">
                  <c:v>8426.3414634146338</c:v>
                </c:pt>
                <c:pt idx="91">
                  <c:v>8408.6956521739139</c:v>
                </c:pt>
                <c:pt idx="92">
                  <c:v>8431.9047619047615</c:v>
                </c:pt>
                <c:pt idx="93">
                  <c:v>8365.1162790697672</c:v>
                </c:pt>
                <c:pt idx="94">
                  <c:v>8335.9447004608301</c:v>
                </c:pt>
                <c:pt idx="95">
                  <c:v>8407.798165137614</c:v>
                </c:pt>
                <c:pt idx="96">
                  <c:v>8432.1266968325799</c:v>
                </c:pt>
                <c:pt idx="97">
                  <c:v>8403.6036036036039</c:v>
                </c:pt>
                <c:pt idx="98">
                  <c:v>8381.858407079646</c:v>
                </c:pt>
                <c:pt idx="99">
                  <c:v>8326.3157894736851</c:v>
                </c:pt>
                <c:pt idx="100">
                  <c:v>8340.8695652173919</c:v>
                </c:pt>
                <c:pt idx="101">
                  <c:v>8434.6153846153848</c:v>
                </c:pt>
                <c:pt idx="102">
                  <c:v>8447.8813559322025</c:v>
                </c:pt>
                <c:pt idx="103">
                  <c:v>8495</c:v>
                </c:pt>
                <c:pt idx="104">
                  <c:v>8576.7346938775518</c:v>
                </c:pt>
                <c:pt idx="105">
                  <c:v>8552.4390243902435</c:v>
                </c:pt>
                <c:pt idx="106">
                  <c:v>8550.2024291497983</c:v>
                </c:pt>
                <c:pt idx="107">
                  <c:v>8514.3426294820711</c:v>
                </c:pt>
                <c:pt idx="108">
                  <c:v>8511.5079365079364</c:v>
                </c:pt>
                <c:pt idx="109">
                  <c:v>8554.1176470588234</c:v>
                </c:pt>
                <c:pt idx="110">
                  <c:v>8537.7431906614784</c:v>
                </c:pt>
                <c:pt idx="111">
                  <c:v>8524.8062015503874</c:v>
                </c:pt>
                <c:pt idx="112">
                  <c:v>8521.6216216216217</c:v>
                </c:pt>
                <c:pt idx="113">
                  <c:v>8486.9731800766276</c:v>
                </c:pt>
                <c:pt idx="114">
                  <c:v>8470.8333333333339</c:v>
                </c:pt>
                <c:pt idx="115">
                  <c:v>8427.8195488721813</c:v>
                </c:pt>
                <c:pt idx="116">
                  <c:v>8381.0408921933085</c:v>
                </c:pt>
                <c:pt idx="117">
                  <c:v>8388.6029411764703</c:v>
                </c:pt>
                <c:pt idx="118">
                  <c:v>8393.818181818182</c:v>
                </c:pt>
                <c:pt idx="119">
                  <c:v>8341.0071942446048</c:v>
                </c:pt>
                <c:pt idx="120">
                  <c:v>8314.2857142857138</c:v>
                </c:pt>
                <c:pt idx="121">
                  <c:v>8310.9929078014193</c:v>
                </c:pt>
                <c:pt idx="122">
                  <c:v>8295.4063604240291</c:v>
                </c:pt>
                <c:pt idx="123">
                  <c:v>8295.4063604240291</c:v>
                </c:pt>
                <c:pt idx="124">
                  <c:v>8295.4063604240291</c:v>
                </c:pt>
                <c:pt idx="125">
                  <c:v>8294.3661971830988</c:v>
                </c:pt>
                <c:pt idx="126">
                  <c:v>8252.6132404181189</c:v>
                </c:pt>
                <c:pt idx="127">
                  <c:v>8278.5467128027685</c:v>
                </c:pt>
                <c:pt idx="128">
                  <c:v>8278.5467128027685</c:v>
                </c:pt>
                <c:pt idx="129">
                  <c:v>8276.5517241379312</c:v>
                </c:pt>
                <c:pt idx="130">
                  <c:v>8255.1369863013697</c:v>
                </c:pt>
                <c:pt idx="131">
                  <c:v>8236.3945578231287</c:v>
                </c:pt>
                <c:pt idx="132">
                  <c:v>8234.0067340067344</c:v>
                </c:pt>
                <c:pt idx="133">
                  <c:v>8245.8193979933112</c:v>
                </c:pt>
                <c:pt idx="134">
                  <c:v>8185.5263157894733</c:v>
                </c:pt>
                <c:pt idx="135">
                  <c:v>8185.5263157894733</c:v>
                </c:pt>
                <c:pt idx="136">
                  <c:v>8178.9644012944982</c:v>
                </c:pt>
                <c:pt idx="137">
                  <c:v>8156.2300319488822</c:v>
                </c:pt>
                <c:pt idx="138">
                  <c:v>8147.1337579617839</c:v>
                </c:pt>
                <c:pt idx="139">
                  <c:v>8158.8607594936711</c:v>
                </c:pt>
                <c:pt idx="140">
                  <c:v>8284.5425867507893</c:v>
                </c:pt>
                <c:pt idx="141">
                  <c:v>8274.2946708463951</c:v>
                </c:pt>
                <c:pt idx="142">
                  <c:v>8240.9937888198765</c:v>
                </c:pt>
                <c:pt idx="143">
                  <c:v>8250.9259259259252</c:v>
                </c:pt>
                <c:pt idx="144">
                  <c:v>8271.0365853658532</c:v>
                </c:pt>
                <c:pt idx="145">
                  <c:v>8345.9214501510578</c:v>
                </c:pt>
                <c:pt idx="146">
                  <c:v>8336.3363363363369</c:v>
                </c:pt>
                <c:pt idx="147">
                  <c:v>8347.3053892215576</c:v>
                </c:pt>
                <c:pt idx="148">
                  <c:v>8358.2089552238813</c:v>
                </c:pt>
                <c:pt idx="149">
                  <c:v>8404.7619047619046</c:v>
                </c:pt>
                <c:pt idx="150">
                  <c:v>8396.7455621301779</c:v>
                </c:pt>
                <c:pt idx="151">
                  <c:v>8406.176470588236</c:v>
                </c:pt>
                <c:pt idx="152">
                  <c:v>8460.0583090379005</c:v>
                </c:pt>
                <c:pt idx="153">
                  <c:v>8470.8933717579257</c:v>
                </c:pt>
                <c:pt idx="154">
                  <c:v>8463.7931034482754</c:v>
                </c:pt>
                <c:pt idx="155">
                  <c:v>8463.7931034482754</c:v>
                </c:pt>
                <c:pt idx="156">
                  <c:v>8511.1428571428569</c:v>
                </c:pt>
                <c:pt idx="157">
                  <c:v>8562.3229461756382</c:v>
                </c:pt>
                <c:pt idx="158">
                  <c:v>8560.7344632768363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50.56049478160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まっつん2!$A$3:$A$161</c:f>
              <c:numCache>
                <c:formatCode>0\ "回"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まっつん2!$J$3:$J$161</c:f>
              <c:numCache>
                <c:formatCode>0</c:formatCode>
                <c:ptCount val="159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-7997.6470588235297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  <c:pt idx="83">
                  <c:v>-7911.1111111111113</c:v>
                </c:pt>
                <c:pt idx="84">
                  <c:v>-7911.1111111111113</c:v>
                </c:pt>
                <c:pt idx="85">
                  <c:v>-7886.95652173913</c:v>
                </c:pt>
                <c:pt idx="86">
                  <c:v>-7886.95652173913</c:v>
                </c:pt>
                <c:pt idx="87">
                  <c:v>-7886.95652173913</c:v>
                </c:pt>
                <c:pt idx="88">
                  <c:v>-7886.1702127659573</c:v>
                </c:pt>
                <c:pt idx="89">
                  <c:v>-8062.8865979381444</c:v>
                </c:pt>
                <c:pt idx="90">
                  <c:v>-8062.8865979381444</c:v>
                </c:pt>
                <c:pt idx="91">
                  <c:v>-7990.8163265306121</c:v>
                </c:pt>
                <c:pt idx="92">
                  <c:v>-7936.363636363636</c:v>
                </c:pt>
                <c:pt idx="93">
                  <c:v>-7896</c:v>
                </c:pt>
                <c:pt idx="94">
                  <c:v>-7936.6336633663368</c:v>
                </c:pt>
                <c:pt idx="95">
                  <c:v>-7936.6336633663368</c:v>
                </c:pt>
                <c:pt idx="96">
                  <c:v>-7909.8039215686276</c:v>
                </c:pt>
                <c:pt idx="97">
                  <c:v>-7902.8571428571431</c:v>
                </c:pt>
                <c:pt idx="98">
                  <c:v>-7902.8571428571431</c:v>
                </c:pt>
                <c:pt idx="99">
                  <c:v>-7774.0740740740739</c:v>
                </c:pt>
                <c:pt idx="100">
                  <c:v>-7714.545454545455</c:v>
                </c:pt>
                <c:pt idx="101">
                  <c:v>-7714.545454545455</c:v>
                </c:pt>
                <c:pt idx="102">
                  <c:v>-7671.1711711711714</c:v>
                </c:pt>
                <c:pt idx="103">
                  <c:v>-7662.2807017543855</c:v>
                </c:pt>
                <c:pt idx="104">
                  <c:v>-7618.260869565217</c:v>
                </c:pt>
                <c:pt idx="105">
                  <c:v>-7618.260869565217</c:v>
                </c:pt>
                <c:pt idx="106">
                  <c:v>-7618.260869565217</c:v>
                </c:pt>
                <c:pt idx="107">
                  <c:v>-7597.4137931034484</c:v>
                </c:pt>
                <c:pt idx="108">
                  <c:v>-7554.7008547008545</c:v>
                </c:pt>
                <c:pt idx="109">
                  <c:v>-7523.7288135593217</c:v>
                </c:pt>
                <c:pt idx="110">
                  <c:v>-7435.833333333333</c:v>
                </c:pt>
                <c:pt idx="111">
                  <c:v>-7440.4958677685954</c:v>
                </c:pt>
                <c:pt idx="112">
                  <c:v>-7440.4958677685954</c:v>
                </c:pt>
                <c:pt idx="113">
                  <c:v>-7440.4958677685954</c:v>
                </c:pt>
                <c:pt idx="114">
                  <c:v>-7440.4958677685954</c:v>
                </c:pt>
                <c:pt idx="115">
                  <c:v>-7348.7804878048782</c:v>
                </c:pt>
                <c:pt idx="116">
                  <c:v>-7272.8</c:v>
                </c:pt>
                <c:pt idx="117">
                  <c:v>-7310.3174603174602</c:v>
                </c:pt>
                <c:pt idx="118">
                  <c:v>-7262.9921259842522</c:v>
                </c:pt>
                <c:pt idx="119">
                  <c:v>-7268.75</c:v>
                </c:pt>
                <c:pt idx="120">
                  <c:v>-7283.2061068702287</c:v>
                </c:pt>
                <c:pt idx="121">
                  <c:v>-7288.8059701492539</c:v>
                </c:pt>
                <c:pt idx="122">
                  <c:v>-7273.333333333333</c:v>
                </c:pt>
                <c:pt idx="123">
                  <c:v>-7233.5766423357663</c:v>
                </c:pt>
                <c:pt idx="124">
                  <c:v>-7192.753623188406</c:v>
                </c:pt>
                <c:pt idx="125">
                  <c:v>-7198.5611510791368</c:v>
                </c:pt>
                <c:pt idx="126">
                  <c:v>-7162.9370629370633</c:v>
                </c:pt>
                <c:pt idx="127">
                  <c:v>-7157.2413793103451</c:v>
                </c:pt>
                <c:pt idx="128">
                  <c:v>-7159.4594594594591</c:v>
                </c:pt>
                <c:pt idx="129">
                  <c:v>-7191.9463087248323</c:v>
                </c:pt>
                <c:pt idx="130">
                  <c:v>-7191.9463087248323</c:v>
                </c:pt>
                <c:pt idx="131">
                  <c:v>-7076.3157894736842</c:v>
                </c:pt>
                <c:pt idx="132">
                  <c:v>-7108.4967320261439</c:v>
                </c:pt>
                <c:pt idx="133">
                  <c:v>-7108.4967320261439</c:v>
                </c:pt>
                <c:pt idx="134">
                  <c:v>-7108.4967320261439</c:v>
                </c:pt>
                <c:pt idx="135">
                  <c:v>-7108.4967320261439</c:v>
                </c:pt>
                <c:pt idx="136">
                  <c:v>-7140.2597402597403</c:v>
                </c:pt>
                <c:pt idx="137">
                  <c:v>-7102.5806451612907</c:v>
                </c:pt>
                <c:pt idx="138">
                  <c:v>-7102.5806451612907</c:v>
                </c:pt>
                <c:pt idx="139">
                  <c:v>-7075.7961783439487</c:v>
                </c:pt>
                <c:pt idx="140">
                  <c:v>-7075.7961783439487</c:v>
                </c:pt>
                <c:pt idx="141">
                  <c:v>-7106.9620253164558</c:v>
                </c:pt>
                <c:pt idx="142">
                  <c:v>-7051.875</c:v>
                </c:pt>
                <c:pt idx="143">
                  <c:v>-7036.4197530864194</c:v>
                </c:pt>
                <c:pt idx="144">
                  <c:v>-7036.4197530864194</c:v>
                </c:pt>
                <c:pt idx="145">
                  <c:v>-7036.4197530864194</c:v>
                </c:pt>
                <c:pt idx="146">
                  <c:v>-6992.0731707317073</c:v>
                </c:pt>
                <c:pt idx="147">
                  <c:v>-6992.0731707317073</c:v>
                </c:pt>
                <c:pt idx="148">
                  <c:v>-6992.0731707317073</c:v>
                </c:pt>
                <c:pt idx="149">
                  <c:v>-7115.4761904761908</c:v>
                </c:pt>
                <c:pt idx="150">
                  <c:v>-7115.4761904761908</c:v>
                </c:pt>
                <c:pt idx="151">
                  <c:v>-7117.6470588235297</c:v>
                </c:pt>
                <c:pt idx="152">
                  <c:v>-7117.6470588235297</c:v>
                </c:pt>
                <c:pt idx="153">
                  <c:v>-7117.6470588235297</c:v>
                </c:pt>
                <c:pt idx="154">
                  <c:v>-7154.3352601156066</c:v>
                </c:pt>
                <c:pt idx="155">
                  <c:v>-7214.204545454545</c:v>
                </c:pt>
                <c:pt idx="156">
                  <c:v>-7195.4802259887001</c:v>
                </c:pt>
                <c:pt idx="157">
                  <c:v>-7198.3146067415728</c:v>
                </c:pt>
                <c:pt idx="158">
                  <c:v>-7164.0883977900548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78.67803837953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まっつん2!$A$3:$A$161</c:f>
              <c:numCache>
                <c:formatCode>0\ "回"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まっつん2!$K$3:$K$161</c:f>
              <c:numCache>
                <c:formatCode>0.0%</c:formatCode>
                <c:ptCount val="15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8.9743589743589744E-2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8.98876404494382E-2</c:v>
                </c:pt>
                <c:pt idx="90">
                  <c:v>8.8888888888888892E-2</c:v>
                </c:pt>
                <c:pt idx="91">
                  <c:v>8.7912087912087919E-2</c:v>
                </c:pt>
                <c:pt idx="92">
                  <c:v>8.6956521739130432E-2</c:v>
                </c:pt>
                <c:pt idx="93">
                  <c:v>8.6021505376344093E-2</c:v>
                </c:pt>
                <c:pt idx="94">
                  <c:v>8.5106382978723402E-2</c:v>
                </c:pt>
                <c:pt idx="95">
                  <c:v>8.4210526315789472E-2</c:v>
                </c:pt>
                <c:pt idx="96">
                  <c:v>8.3333333333333329E-2</c:v>
                </c:pt>
                <c:pt idx="97">
                  <c:v>8.247422680412371E-2</c:v>
                </c:pt>
                <c:pt idx="98">
                  <c:v>8.1632653061224483E-2</c:v>
                </c:pt>
                <c:pt idx="99">
                  <c:v>8.0808080808080815E-2</c:v>
                </c:pt>
                <c:pt idx="100">
                  <c:v>0.08</c:v>
                </c:pt>
                <c:pt idx="101">
                  <c:v>7.9207920792079209E-2</c:v>
                </c:pt>
                <c:pt idx="102">
                  <c:v>7.8431372549019607E-2</c:v>
                </c:pt>
                <c:pt idx="103">
                  <c:v>7.7669902912621352E-2</c:v>
                </c:pt>
                <c:pt idx="104">
                  <c:v>7.6923076923076927E-2</c:v>
                </c:pt>
                <c:pt idx="105">
                  <c:v>7.6190476190476197E-2</c:v>
                </c:pt>
                <c:pt idx="106">
                  <c:v>7.5471698113207544E-2</c:v>
                </c:pt>
                <c:pt idx="107">
                  <c:v>7.476635514018691E-2</c:v>
                </c:pt>
                <c:pt idx="108">
                  <c:v>7.407407407407407E-2</c:v>
                </c:pt>
                <c:pt idx="109">
                  <c:v>7.3394495412844041E-2</c:v>
                </c:pt>
                <c:pt idx="110">
                  <c:v>7.2727272727272724E-2</c:v>
                </c:pt>
                <c:pt idx="111">
                  <c:v>7.2072072072072071E-2</c:v>
                </c:pt>
                <c:pt idx="112">
                  <c:v>7.1428571428571425E-2</c:v>
                </c:pt>
                <c:pt idx="113">
                  <c:v>7.0796460176991149E-2</c:v>
                </c:pt>
                <c:pt idx="114">
                  <c:v>7.0175438596491224E-2</c:v>
                </c:pt>
                <c:pt idx="115">
                  <c:v>6.9565217391304349E-2</c:v>
                </c:pt>
                <c:pt idx="116">
                  <c:v>6.8965517241379309E-2</c:v>
                </c:pt>
                <c:pt idx="117">
                  <c:v>6.8376068376068383E-2</c:v>
                </c:pt>
                <c:pt idx="118">
                  <c:v>6.7796610169491525E-2</c:v>
                </c:pt>
                <c:pt idx="119">
                  <c:v>6.7226890756302518E-2</c:v>
                </c:pt>
                <c:pt idx="120">
                  <c:v>6.6666666666666666E-2</c:v>
                </c:pt>
                <c:pt idx="121">
                  <c:v>6.6115702479338845E-2</c:v>
                </c:pt>
                <c:pt idx="122">
                  <c:v>6.5573770491803282E-2</c:v>
                </c:pt>
                <c:pt idx="123">
                  <c:v>6.5040650406504072E-2</c:v>
                </c:pt>
                <c:pt idx="124">
                  <c:v>6.4516129032258063E-2</c:v>
                </c:pt>
                <c:pt idx="125">
                  <c:v>6.4000000000000001E-2</c:v>
                </c:pt>
                <c:pt idx="126">
                  <c:v>7.1428571428571425E-2</c:v>
                </c:pt>
                <c:pt idx="127">
                  <c:v>7.0866141732283464E-2</c:v>
                </c:pt>
                <c:pt idx="128">
                  <c:v>7.8125E-2</c:v>
                </c:pt>
                <c:pt idx="129">
                  <c:v>7.7519379844961239E-2</c:v>
                </c:pt>
                <c:pt idx="130">
                  <c:v>7.6923076923076927E-2</c:v>
                </c:pt>
                <c:pt idx="131">
                  <c:v>7.6335877862595422E-2</c:v>
                </c:pt>
                <c:pt idx="132">
                  <c:v>7.575757575757576E-2</c:v>
                </c:pt>
                <c:pt idx="133">
                  <c:v>7.5187969924812026E-2</c:v>
                </c:pt>
                <c:pt idx="134">
                  <c:v>7.4626865671641784E-2</c:v>
                </c:pt>
                <c:pt idx="135">
                  <c:v>7.407407407407407E-2</c:v>
                </c:pt>
                <c:pt idx="136">
                  <c:v>7.3529411764705885E-2</c:v>
                </c:pt>
                <c:pt idx="137">
                  <c:v>7.2992700729927001E-2</c:v>
                </c:pt>
                <c:pt idx="138">
                  <c:v>7.2463768115942032E-2</c:v>
                </c:pt>
                <c:pt idx="139">
                  <c:v>7.1942446043165464E-2</c:v>
                </c:pt>
                <c:pt idx="140">
                  <c:v>7.1428571428571425E-2</c:v>
                </c:pt>
                <c:pt idx="141">
                  <c:v>7.0921985815602842E-2</c:v>
                </c:pt>
                <c:pt idx="142">
                  <c:v>7.0422535211267609E-2</c:v>
                </c:pt>
                <c:pt idx="143">
                  <c:v>6.9930069930069935E-2</c:v>
                </c:pt>
                <c:pt idx="144">
                  <c:v>6.9444444444444448E-2</c:v>
                </c:pt>
                <c:pt idx="145">
                  <c:v>6.8965517241379309E-2</c:v>
                </c:pt>
                <c:pt idx="146">
                  <c:v>6.8493150684931503E-2</c:v>
                </c:pt>
                <c:pt idx="147">
                  <c:v>6.8027210884353748E-2</c:v>
                </c:pt>
                <c:pt idx="148">
                  <c:v>6.7567567567567571E-2</c:v>
                </c:pt>
                <c:pt idx="149">
                  <c:v>7.3825503355704702E-2</c:v>
                </c:pt>
                <c:pt idx="150">
                  <c:v>7.3333333333333334E-2</c:v>
                </c:pt>
                <c:pt idx="151">
                  <c:v>7.2847682119205295E-2</c:v>
                </c:pt>
                <c:pt idx="152">
                  <c:v>7.2368421052631582E-2</c:v>
                </c:pt>
                <c:pt idx="153">
                  <c:v>7.1895424836601302E-2</c:v>
                </c:pt>
                <c:pt idx="154">
                  <c:v>7.792207792207792E-2</c:v>
                </c:pt>
                <c:pt idx="155">
                  <c:v>8.387096774193549E-2</c:v>
                </c:pt>
                <c:pt idx="156">
                  <c:v>8.3333333333333329E-2</c:v>
                </c:pt>
                <c:pt idx="157">
                  <c:v>8.2802547770700632E-2</c:v>
                </c:pt>
                <c:pt idx="158">
                  <c:v>8.2278481012658222E-2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876543209876542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まっつん2!$A$3:$A$161</c:f>
              <c:numCache>
                <c:formatCode>0\ "回"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まっつん2!$L$3:$L$161</c:f>
              <c:numCache>
                <c:formatCode>0.0%</c:formatCode>
                <c:ptCount val="159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0.2504012841091493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  <c:pt idx="83">
                  <c:v>0.25264750378214829</c:v>
                </c:pt>
                <c:pt idx="84">
                  <c:v>0.25337331334332835</c:v>
                </c:pt>
                <c:pt idx="85">
                  <c:v>0.25370919881305637</c:v>
                </c:pt>
                <c:pt idx="86">
                  <c:v>0.25768667642752563</c:v>
                </c:pt>
                <c:pt idx="87">
                  <c:v>0.2608695652173913</c:v>
                </c:pt>
                <c:pt idx="88">
                  <c:v>0.26315789473684209</c:v>
                </c:pt>
                <c:pt idx="89">
                  <c:v>0.26396648044692739</c:v>
                </c:pt>
                <c:pt idx="90">
                  <c:v>0.26592797783933519</c:v>
                </c:pt>
                <c:pt idx="91">
                  <c:v>0.26648351648351648</c:v>
                </c:pt>
                <c:pt idx="92">
                  <c:v>0.26666666666666666</c:v>
                </c:pt>
                <c:pt idx="93">
                  <c:v>0.27052489905787347</c:v>
                </c:pt>
                <c:pt idx="94">
                  <c:v>0.27030625832223704</c:v>
                </c:pt>
                <c:pt idx="95">
                  <c:v>0.27055702917771884</c:v>
                </c:pt>
                <c:pt idx="96">
                  <c:v>0.26938239159001315</c:v>
                </c:pt>
                <c:pt idx="97">
                  <c:v>0.26848249027237353</c:v>
                </c:pt>
                <c:pt idx="98">
                  <c:v>0.26632522407170295</c:v>
                </c:pt>
                <c:pt idx="99">
                  <c:v>0.26767676767676768</c:v>
                </c:pt>
                <c:pt idx="100">
                  <c:v>0.26716604244694131</c:v>
                </c:pt>
                <c:pt idx="101">
                  <c:v>0.26790123456790121</c:v>
                </c:pt>
                <c:pt idx="102">
                  <c:v>0.27050183598531213</c:v>
                </c:pt>
                <c:pt idx="103">
                  <c:v>0.27020506634499397</c:v>
                </c:pt>
                <c:pt idx="104">
                  <c:v>0.27272727272727271</c:v>
                </c:pt>
                <c:pt idx="105">
                  <c:v>0.27304964539007093</c:v>
                </c:pt>
                <c:pt idx="106">
                  <c:v>0.27379553466509987</c:v>
                </c:pt>
                <c:pt idx="107">
                  <c:v>0.27272727272727271</c:v>
                </c:pt>
                <c:pt idx="108">
                  <c:v>0.27073732718894011</c:v>
                </c:pt>
                <c:pt idx="109">
                  <c:v>0.27085714285714285</c:v>
                </c:pt>
                <c:pt idx="110">
                  <c:v>0.26901248581157777</c:v>
                </c:pt>
                <c:pt idx="111">
                  <c:v>0.26884139482564678</c:v>
                </c:pt>
                <c:pt idx="112">
                  <c:v>0.26703910614525139</c:v>
                </c:pt>
                <c:pt idx="113">
                  <c:v>0.26629834254143647</c:v>
                </c:pt>
                <c:pt idx="114">
                  <c:v>0.26361655773420478</c:v>
                </c:pt>
                <c:pt idx="115">
                  <c:v>0.26400862068965519</c:v>
                </c:pt>
                <c:pt idx="116">
                  <c:v>0.26545842217484006</c:v>
                </c:pt>
                <c:pt idx="117">
                  <c:v>0.26427061310782241</c:v>
                </c:pt>
                <c:pt idx="118">
                  <c:v>0.26652675760755506</c:v>
                </c:pt>
                <c:pt idx="119">
                  <c:v>0.26763485477178423</c:v>
                </c:pt>
                <c:pt idx="120">
                  <c:v>0.26871794871794874</c:v>
                </c:pt>
                <c:pt idx="121">
                  <c:v>0.26802030456852793</c:v>
                </c:pt>
                <c:pt idx="122">
                  <c:v>0.26915322580645162</c:v>
                </c:pt>
                <c:pt idx="123">
                  <c:v>0.27045908183632733</c:v>
                </c:pt>
                <c:pt idx="124">
                  <c:v>0.26831683168316833</c:v>
                </c:pt>
                <c:pt idx="125">
                  <c:v>0.26771653543307089</c:v>
                </c:pt>
                <c:pt idx="126">
                  <c:v>0.26653696498054474</c:v>
                </c:pt>
                <c:pt idx="127">
                  <c:v>0.2673745173745174</c:v>
                </c:pt>
                <c:pt idx="128">
                  <c:v>0.26532567049808431</c:v>
                </c:pt>
                <c:pt idx="129">
                  <c:v>0.26476190476190475</c:v>
                </c:pt>
                <c:pt idx="130">
                  <c:v>0.26628895184135976</c:v>
                </c:pt>
                <c:pt idx="131">
                  <c:v>0.26610644257703081</c:v>
                </c:pt>
                <c:pt idx="132">
                  <c:v>0.26413345690454126</c:v>
                </c:pt>
                <c:pt idx="133">
                  <c:v>0.26427255985267034</c:v>
                </c:pt>
                <c:pt idx="134">
                  <c:v>0.26465201465201466</c:v>
                </c:pt>
                <c:pt idx="135">
                  <c:v>0.26363636363636361</c:v>
                </c:pt>
                <c:pt idx="136">
                  <c:v>0.26353790613718414</c:v>
                </c:pt>
                <c:pt idx="137">
                  <c:v>0.26457399103139012</c:v>
                </c:pt>
                <c:pt idx="138">
                  <c:v>0.26357969723953695</c:v>
                </c:pt>
                <c:pt idx="139">
                  <c:v>0.2625994694960212</c:v>
                </c:pt>
                <c:pt idx="140">
                  <c:v>0.26213592233009708</c:v>
                </c:pt>
                <c:pt idx="141">
                  <c:v>0.26315789473684209</c:v>
                </c:pt>
                <c:pt idx="142">
                  <c:v>0.26041666666666669</c:v>
                </c:pt>
                <c:pt idx="143">
                  <c:v>0.26012058570198104</c:v>
                </c:pt>
                <c:pt idx="144">
                  <c:v>0.26113013698630139</c:v>
                </c:pt>
                <c:pt idx="145">
                  <c:v>0.26064735945485518</c:v>
                </c:pt>
                <c:pt idx="146">
                  <c:v>0.25888324873096447</c:v>
                </c:pt>
                <c:pt idx="147">
                  <c:v>0.25798319327731095</c:v>
                </c:pt>
                <c:pt idx="148">
                  <c:v>0.25795644891122277</c:v>
                </c:pt>
                <c:pt idx="149">
                  <c:v>0.256857855361596</c:v>
                </c:pt>
                <c:pt idx="150">
                  <c:v>0.25702479338842976</c:v>
                </c:pt>
                <c:pt idx="151">
                  <c:v>0.2563681183237469</c:v>
                </c:pt>
                <c:pt idx="152">
                  <c:v>0.2563059397884459</c:v>
                </c:pt>
                <c:pt idx="153">
                  <c:v>0.25764895330112719</c:v>
                </c:pt>
                <c:pt idx="154">
                  <c:v>0.25659472422062352</c:v>
                </c:pt>
                <c:pt idx="155">
                  <c:v>0.2559618441971383</c:v>
                </c:pt>
                <c:pt idx="156">
                  <c:v>0.25594294770206022</c:v>
                </c:pt>
                <c:pt idx="157">
                  <c:v>0.25590551181102361</c:v>
                </c:pt>
                <c:pt idx="158">
                  <c:v>0.25685199686765858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595846101464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まっつん2!$A$3:$A$161</c:f>
              <c:numCache>
                <c:formatCode>0\ "回"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まっつん2!$M$3:$M$161</c:f>
              <c:numCache>
                <c:formatCode>0.0%</c:formatCode>
                <c:ptCount val="159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0.23595505617977527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  <c:pt idx="83">
                  <c:v>0.2329803328290469</c:v>
                </c:pt>
                <c:pt idx="84">
                  <c:v>0.23088455772113944</c:v>
                </c:pt>
                <c:pt idx="85">
                  <c:v>0.2314540059347181</c:v>
                </c:pt>
                <c:pt idx="86">
                  <c:v>0.22986822840409957</c:v>
                </c:pt>
                <c:pt idx="87">
                  <c:v>0.22898550724637681</c:v>
                </c:pt>
                <c:pt idx="88">
                  <c:v>0.22759601706970128</c:v>
                </c:pt>
                <c:pt idx="89">
                  <c:v>0.22346368715083798</c:v>
                </c:pt>
                <c:pt idx="90">
                  <c:v>0.22160664819944598</c:v>
                </c:pt>
                <c:pt idx="91">
                  <c:v>0.22115384615384615</c:v>
                </c:pt>
                <c:pt idx="92">
                  <c:v>0.22040816326530613</c:v>
                </c:pt>
                <c:pt idx="93">
                  <c:v>0.21938088829071331</c:v>
                </c:pt>
                <c:pt idx="94">
                  <c:v>0.21970705725699069</c:v>
                </c:pt>
                <c:pt idx="95">
                  <c:v>0.21883289124668434</c:v>
                </c:pt>
                <c:pt idx="96">
                  <c:v>0.21944809461235218</c:v>
                </c:pt>
                <c:pt idx="97">
                  <c:v>0.21789883268482491</c:v>
                </c:pt>
                <c:pt idx="98">
                  <c:v>0.22023047375160051</c:v>
                </c:pt>
                <c:pt idx="99">
                  <c:v>0.2196969696969697</c:v>
                </c:pt>
                <c:pt idx="100">
                  <c:v>0.22097378277153559</c:v>
                </c:pt>
                <c:pt idx="101">
                  <c:v>0.21975308641975308</c:v>
                </c:pt>
                <c:pt idx="102">
                  <c:v>0.21787025703794369</c:v>
                </c:pt>
                <c:pt idx="103">
                  <c:v>0.21833534378769601</c:v>
                </c:pt>
                <c:pt idx="104">
                  <c:v>0.21770334928229665</c:v>
                </c:pt>
                <c:pt idx="105">
                  <c:v>0.21631205673758866</c:v>
                </c:pt>
                <c:pt idx="106">
                  <c:v>0.21504112808460635</c:v>
                </c:pt>
                <c:pt idx="107">
                  <c:v>0.21678321678321677</c:v>
                </c:pt>
                <c:pt idx="108">
                  <c:v>0.21658986175115208</c:v>
                </c:pt>
                <c:pt idx="109">
                  <c:v>0.216</c:v>
                </c:pt>
                <c:pt idx="110">
                  <c:v>0.21793416572077184</c:v>
                </c:pt>
                <c:pt idx="111">
                  <c:v>0.21934758155230596</c:v>
                </c:pt>
                <c:pt idx="112">
                  <c:v>0.2212290502793296</c:v>
                </c:pt>
                <c:pt idx="113">
                  <c:v>0.22209944751381216</c:v>
                </c:pt>
                <c:pt idx="114">
                  <c:v>0.22222222222222221</c:v>
                </c:pt>
                <c:pt idx="115">
                  <c:v>0.22306034482758622</c:v>
                </c:pt>
                <c:pt idx="116">
                  <c:v>0.22388059701492538</c:v>
                </c:pt>
                <c:pt idx="117">
                  <c:v>0.22410147991543342</c:v>
                </c:pt>
                <c:pt idx="118">
                  <c:v>0.22350472193074503</c:v>
                </c:pt>
                <c:pt idx="119">
                  <c:v>0.22095435684647302</c:v>
                </c:pt>
                <c:pt idx="120">
                  <c:v>0.2194871794871795</c:v>
                </c:pt>
                <c:pt idx="121">
                  <c:v>0.22030456852791877</c:v>
                </c:pt>
                <c:pt idx="122">
                  <c:v>0.22076612903225806</c:v>
                </c:pt>
                <c:pt idx="123">
                  <c:v>0.21956087824351297</c:v>
                </c:pt>
                <c:pt idx="124">
                  <c:v>0.22079207920792079</c:v>
                </c:pt>
                <c:pt idx="125">
                  <c:v>0.22244094488188976</c:v>
                </c:pt>
                <c:pt idx="126">
                  <c:v>0.2227626459143969</c:v>
                </c:pt>
                <c:pt idx="127">
                  <c:v>0.22200772200772201</c:v>
                </c:pt>
                <c:pt idx="128">
                  <c:v>0.22318007662835249</c:v>
                </c:pt>
                <c:pt idx="129">
                  <c:v>0.22476190476190477</c:v>
                </c:pt>
                <c:pt idx="130">
                  <c:v>0.22379603399433429</c:v>
                </c:pt>
                <c:pt idx="131">
                  <c:v>0.2250233426704015</c:v>
                </c:pt>
                <c:pt idx="132">
                  <c:v>0.22613531047265986</c:v>
                </c:pt>
                <c:pt idx="133">
                  <c:v>0.22559852670349909</c:v>
                </c:pt>
                <c:pt idx="134">
                  <c:v>0.2271062271062271</c:v>
                </c:pt>
                <c:pt idx="135">
                  <c:v>0.22818181818181818</c:v>
                </c:pt>
                <c:pt idx="136">
                  <c:v>0.23104693140794225</c:v>
                </c:pt>
                <c:pt idx="137">
                  <c:v>0.23139013452914797</c:v>
                </c:pt>
                <c:pt idx="138">
                  <c:v>0.23063223508459482</c:v>
                </c:pt>
                <c:pt idx="139">
                  <c:v>0.23076923076923078</c:v>
                </c:pt>
                <c:pt idx="140">
                  <c:v>0.23036187113857018</c:v>
                </c:pt>
                <c:pt idx="141">
                  <c:v>0.22982456140350876</c:v>
                </c:pt>
                <c:pt idx="142">
                  <c:v>0.23177083333333334</c:v>
                </c:pt>
                <c:pt idx="143">
                  <c:v>0.23083548664944015</c:v>
                </c:pt>
                <c:pt idx="144">
                  <c:v>0.23202054794520549</c:v>
                </c:pt>
                <c:pt idx="145">
                  <c:v>0.23168654173764908</c:v>
                </c:pt>
                <c:pt idx="146">
                  <c:v>0.2326565143824027</c:v>
                </c:pt>
                <c:pt idx="147">
                  <c:v>0.23193277310924371</c:v>
                </c:pt>
                <c:pt idx="148">
                  <c:v>0.23115577889447236</c:v>
                </c:pt>
                <c:pt idx="149">
                  <c:v>0.23108894430590191</c:v>
                </c:pt>
                <c:pt idx="150">
                  <c:v>0.23057851239669422</c:v>
                </c:pt>
                <c:pt idx="151">
                  <c:v>0.23089564502875926</c:v>
                </c:pt>
                <c:pt idx="152">
                  <c:v>0.23026851098454026</c:v>
                </c:pt>
                <c:pt idx="153">
                  <c:v>0.22866344605475039</c:v>
                </c:pt>
                <c:pt idx="154">
                  <c:v>0.22861710631494805</c:v>
                </c:pt>
                <c:pt idx="155">
                  <c:v>0.22813990461049286</c:v>
                </c:pt>
                <c:pt idx="156">
                  <c:v>0.22741679873217116</c:v>
                </c:pt>
                <c:pt idx="157">
                  <c:v>0.2283464566929134</c:v>
                </c:pt>
                <c:pt idx="158">
                  <c:v>0.22944400939702428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43672681874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まっつん2!$A$3:$A$161</c:f>
              <c:numCache>
                <c:formatCode>0\ "回"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まっつん2!$N$3:$N$161</c:f>
              <c:numCache>
                <c:formatCode>0.0%</c:formatCode>
                <c:ptCount val="159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0.57051282051282048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  <c:pt idx="83">
                  <c:v>0.56287425149700598</c:v>
                </c:pt>
                <c:pt idx="84">
                  <c:v>0.56804733727810652</c:v>
                </c:pt>
                <c:pt idx="85">
                  <c:v>0.56140350877192979</c:v>
                </c:pt>
                <c:pt idx="86">
                  <c:v>0.55681818181818177</c:v>
                </c:pt>
                <c:pt idx="87">
                  <c:v>0.56111111111111112</c:v>
                </c:pt>
                <c:pt idx="88">
                  <c:v>0.56216216216216219</c:v>
                </c:pt>
                <c:pt idx="89">
                  <c:v>0.56084656084656082</c:v>
                </c:pt>
                <c:pt idx="90">
                  <c:v>0.56770833333333337</c:v>
                </c:pt>
                <c:pt idx="91">
                  <c:v>0.57216494845360821</c:v>
                </c:pt>
                <c:pt idx="92">
                  <c:v>0.57653061224489799</c:v>
                </c:pt>
                <c:pt idx="93">
                  <c:v>0.58208955223880599</c:v>
                </c:pt>
                <c:pt idx="94">
                  <c:v>0.58128078817733986</c:v>
                </c:pt>
                <c:pt idx="95">
                  <c:v>0.58333333333333337</c:v>
                </c:pt>
                <c:pt idx="96">
                  <c:v>0.58536585365853655</c:v>
                </c:pt>
                <c:pt idx="97">
                  <c:v>0.57971014492753625</c:v>
                </c:pt>
                <c:pt idx="98">
                  <c:v>0.58173076923076927</c:v>
                </c:pt>
                <c:pt idx="99">
                  <c:v>0.57075471698113212</c:v>
                </c:pt>
                <c:pt idx="100">
                  <c:v>0.57009345794392519</c:v>
                </c:pt>
                <c:pt idx="101">
                  <c:v>0.57603686635944695</c:v>
                </c:pt>
                <c:pt idx="102">
                  <c:v>0.57466063348416285</c:v>
                </c:pt>
                <c:pt idx="103">
                  <c:v>0.5758928571428571</c:v>
                </c:pt>
                <c:pt idx="104">
                  <c:v>0.58333333333333337</c:v>
                </c:pt>
                <c:pt idx="105">
                  <c:v>0.58008658008658009</c:v>
                </c:pt>
                <c:pt idx="106">
                  <c:v>0.57510729613733902</c:v>
                </c:pt>
                <c:pt idx="107">
                  <c:v>0.57692307692307687</c:v>
                </c:pt>
                <c:pt idx="108">
                  <c:v>0.5787234042553191</c:v>
                </c:pt>
                <c:pt idx="109">
                  <c:v>0.57805907172995785</c:v>
                </c:pt>
                <c:pt idx="110">
                  <c:v>0.57805907172995785</c:v>
                </c:pt>
                <c:pt idx="111">
                  <c:v>0.57740585774058573</c:v>
                </c:pt>
                <c:pt idx="112">
                  <c:v>0.57740585774058573</c:v>
                </c:pt>
                <c:pt idx="113">
                  <c:v>0.57676348547717837</c:v>
                </c:pt>
                <c:pt idx="114">
                  <c:v>0.57438016528925617</c:v>
                </c:pt>
                <c:pt idx="115">
                  <c:v>0.56734693877551023</c:v>
                </c:pt>
                <c:pt idx="116">
                  <c:v>0.56224899598393574</c:v>
                </c:pt>
                <c:pt idx="117">
                  <c:v>0.56399999999999995</c:v>
                </c:pt>
                <c:pt idx="118">
                  <c:v>0.56692913385826771</c:v>
                </c:pt>
                <c:pt idx="119">
                  <c:v>0.56589147286821706</c:v>
                </c:pt>
                <c:pt idx="120">
                  <c:v>0.56106870229007633</c:v>
                </c:pt>
                <c:pt idx="121">
                  <c:v>0.56060606060606055</c:v>
                </c:pt>
                <c:pt idx="122">
                  <c:v>0.55805243445692887</c:v>
                </c:pt>
                <c:pt idx="123">
                  <c:v>0.54981549815498154</c:v>
                </c:pt>
                <c:pt idx="124">
                  <c:v>0.54981549815498154</c:v>
                </c:pt>
                <c:pt idx="125">
                  <c:v>0.54779411764705888</c:v>
                </c:pt>
                <c:pt idx="126">
                  <c:v>0.54744525547445255</c:v>
                </c:pt>
                <c:pt idx="127">
                  <c:v>0.54512635379061369</c:v>
                </c:pt>
                <c:pt idx="128">
                  <c:v>0.54512635379061369</c:v>
                </c:pt>
                <c:pt idx="129">
                  <c:v>0.5467625899280576</c:v>
                </c:pt>
                <c:pt idx="130">
                  <c:v>0.54609929078014185</c:v>
                </c:pt>
                <c:pt idx="131">
                  <c:v>0.54736842105263162</c:v>
                </c:pt>
                <c:pt idx="132">
                  <c:v>0.54736842105263162</c:v>
                </c:pt>
                <c:pt idx="133">
                  <c:v>0.54703832752613235</c:v>
                </c:pt>
                <c:pt idx="134">
                  <c:v>0.55017301038062283</c:v>
                </c:pt>
                <c:pt idx="135">
                  <c:v>0.5482758620689655</c:v>
                </c:pt>
                <c:pt idx="136">
                  <c:v>0.54794520547945202</c:v>
                </c:pt>
                <c:pt idx="137">
                  <c:v>0.54915254237288136</c:v>
                </c:pt>
                <c:pt idx="138">
                  <c:v>0.55067567567567566</c:v>
                </c:pt>
                <c:pt idx="139">
                  <c:v>0.55218855218855223</c:v>
                </c:pt>
                <c:pt idx="140">
                  <c:v>0.55218855218855223</c:v>
                </c:pt>
                <c:pt idx="141">
                  <c:v>0.55333333333333334</c:v>
                </c:pt>
                <c:pt idx="142">
                  <c:v>0.55333333333333334</c:v>
                </c:pt>
                <c:pt idx="143">
                  <c:v>0.55298013245033117</c:v>
                </c:pt>
                <c:pt idx="144">
                  <c:v>0.5540983606557377</c:v>
                </c:pt>
                <c:pt idx="145">
                  <c:v>0.55555555555555558</c:v>
                </c:pt>
                <c:pt idx="146">
                  <c:v>0.55555555555555558</c:v>
                </c:pt>
                <c:pt idx="147">
                  <c:v>0.55374592833876224</c:v>
                </c:pt>
                <c:pt idx="148">
                  <c:v>0.55519480519480524</c:v>
                </c:pt>
                <c:pt idx="149">
                  <c:v>0.55663430420711979</c:v>
                </c:pt>
                <c:pt idx="150">
                  <c:v>0.5562700964630225</c:v>
                </c:pt>
                <c:pt idx="151">
                  <c:v>0.55769230769230771</c:v>
                </c:pt>
                <c:pt idx="152">
                  <c:v>0.55555555555555558</c:v>
                </c:pt>
                <c:pt idx="153">
                  <c:v>0.55312499999999998</c:v>
                </c:pt>
                <c:pt idx="154">
                  <c:v>0.55140186915887845</c:v>
                </c:pt>
                <c:pt idx="155">
                  <c:v>0.5496894409937888</c:v>
                </c:pt>
                <c:pt idx="156">
                  <c:v>0.54798761609907121</c:v>
                </c:pt>
                <c:pt idx="157">
                  <c:v>0.54461538461538461</c:v>
                </c:pt>
                <c:pt idx="158">
                  <c:v>0.54268292682926833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5289855072463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まっつん2!$A$3:$A$161</c:f>
              <c:numCache>
                <c:formatCode>0\ "回"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まっつん2!$O$3:$O$161</c:f>
              <c:numCache>
                <c:formatCode>0.0%</c:formatCode>
                <c:ptCount val="159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0.40136054421768708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0.41025641025641024</c:v>
                </c:pt>
                <c:pt idx="86">
                  <c:v>0.4140127388535032</c:v>
                </c:pt>
                <c:pt idx="87">
                  <c:v>0.41139240506329117</c:v>
                </c:pt>
                <c:pt idx="88">
                  <c:v>0.41249999999999998</c:v>
                </c:pt>
                <c:pt idx="89">
                  <c:v>0.41249999999999998</c:v>
                </c:pt>
                <c:pt idx="90">
                  <c:v>0.41249999999999998</c:v>
                </c:pt>
                <c:pt idx="91">
                  <c:v>0.40993788819875776</c:v>
                </c:pt>
                <c:pt idx="92">
                  <c:v>0.41358024691358025</c:v>
                </c:pt>
                <c:pt idx="93">
                  <c:v>0.41717791411042943</c:v>
                </c:pt>
                <c:pt idx="94">
                  <c:v>0.41212121212121211</c:v>
                </c:pt>
                <c:pt idx="95">
                  <c:v>0.41212121212121211</c:v>
                </c:pt>
                <c:pt idx="96">
                  <c:v>0.41317365269461076</c:v>
                </c:pt>
                <c:pt idx="97">
                  <c:v>0.4107142857142857</c:v>
                </c:pt>
                <c:pt idx="98">
                  <c:v>0.41860465116279072</c:v>
                </c:pt>
                <c:pt idx="99">
                  <c:v>0.42528735632183906</c:v>
                </c:pt>
                <c:pt idx="100">
                  <c:v>0.42372881355932202</c:v>
                </c:pt>
                <c:pt idx="101">
                  <c:v>0.42696629213483145</c:v>
                </c:pt>
                <c:pt idx="102">
                  <c:v>0.42696629213483145</c:v>
                </c:pt>
                <c:pt idx="103">
                  <c:v>0.43093922651933703</c:v>
                </c:pt>
                <c:pt idx="104">
                  <c:v>0.43406593406593408</c:v>
                </c:pt>
                <c:pt idx="105">
                  <c:v>0.43169398907103823</c:v>
                </c:pt>
                <c:pt idx="106">
                  <c:v>0.43169398907103823</c:v>
                </c:pt>
                <c:pt idx="107">
                  <c:v>0.43548387096774194</c:v>
                </c:pt>
                <c:pt idx="108">
                  <c:v>0.43085106382978722</c:v>
                </c:pt>
                <c:pt idx="109">
                  <c:v>0.43386243386243384</c:v>
                </c:pt>
                <c:pt idx="110">
                  <c:v>0.4375</c:v>
                </c:pt>
                <c:pt idx="111">
                  <c:v>0.43076923076923079</c:v>
                </c:pt>
                <c:pt idx="112">
                  <c:v>0.42929292929292928</c:v>
                </c:pt>
                <c:pt idx="113">
                  <c:v>0.42786069651741293</c:v>
                </c:pt>
                <c:pt idx="114">
                  <c:v>0.43627450980392157</c:v>
                </c:pt>
                <c:pt idx="115">
                  <c:v>0.43961352657004832</c:v>
                </c:pt>
                <c:pt idx="116">
                  <c:v>0.43809523809523809</c:v>
                </c:pt>
                <c:pt idx="117">
                  <c:v>0.44339622641509435</c:v>
                </c:pt>
                <c:pt idx="118">
                  <c:v>0.44131455399061031</c:v>
                </c:pt>
                <c:pt idx="119">
                  <c:v>0.44131455399061031</c:v>
                </c:pt>
                <c:pt idx="120">
                  <c:v>0.44392523364485981</c:v>
                </c:pt>
                <c:pt idx="121">
                  <c:v>0.44239631336405533</c:v>
                </c:pt>
                <c:pt idx="122">
                  <c:v>0.43835616438356162</c:v>
                </c:pt>
                <c:pt idx="123">
                  <c:v>0.43636363636363634</c:v>
                </c:pt>
                <c:pt idx="124">
                  <c:v>0.43049327354260092</c:v>
                </c:pt>
                <c:pt idx="125">
                  <c:v>0.42920353982300885</c:v>
                </c:pt>
                <c:pt idx="126">
                  <c:v>0.43231441048034935</c:v>
                </c:pt>
                <c:pt idx="127">
                  <c:v>0.43043478260869567</c:v>
                </c:pt>
                <c:pt idx="128">
                  <c:v>0.42489270386266093</c:v>
                </c:pt>
                <c:pt idx="129">
                  <c:v>0.41949152542372881</c:v>
                </c:pt>
                <c:pt idx="130">
                  <c:v>0.41772151898734178</c:v>
                </c:pt>
                <c:pt idx="131">
                  <c:v>0.41078838174273857</c:v>
                </c:pt>
                <c:pt idx="132">
                  <c:v>0.41393442622950821</c:v>
                </c:pt>
                <c:pt idx="133">
                  <c:v>0.41632653061224489</c:v>
                </c:pt>
                <c:pt idx="134">
                  <c:v>0.42338709677419356</c:v>
                </c:pt>
                <c:pt idx="135">
                  <c:v>0.41832669322709165</c:v>
                </c:pt>
                <c:pt idx="136">
                  <c:v>0.42578125</c:v>
                </c:pt>
                <c:pt idx="137">
                  <c:v>0.43023255813953487</c:v>
                </c:pt>
                <c:pt idx="138">
                  <c:v>0.42857142857142855</c:v>
                </c:pt>
                <c:pt idx="139">
                  <c:v>0.42528735632183906</c:v>
                </c:pt>
                <c:pt idx="140">
                  <c:v>0.42528735632183906</c:v>
                </c:pt>
                <c:pt idx="141">
                  <c:v>0.42366412213740456</c:v>
                </c:pt>
                <c:pt idx="142">
                  <c:v>0.42322097378277151</c:v>
                </c:pt>
                <c:pt idx="143">
                  <c:v>0.42537313432835822</c:v>
                </c:pt>
                <c:pt idx="144">
                  <c:v>0.4280442804428044</c:v>
                </c:pt>
                <c:pt idx="145">
                  <c:v>0.43014705882352944</c:v>
                </c:pt>
                <c:pt idx="146">
                  <c:v>0.42545454545454547</c:v>
                </c:pt>
                <c:pt idx="147">
                  <c:v>0.42391304347826086</c:v>
                </c:pt>
                <c:pt idx="148">
                  <c:v>0.42391304347826086</c:v>
                </c:pt>
                <c:pt idx="149">
                  <c:v>0.42086330935251798</c:v>
                </c:pt>
                <c:pt idx="150">
                  <c:v>0.42293906810035842</c:v>
                </c:pt>
                <c:pt idx="151">
                  <c:v>0.42348754448398579</c:v>
                </c:pt>
                <c:pt idx="152">
                  <c:v>0.4204946996466431</c:v>
                </c:pt>
                <c:pt idx="153">
                  <c:v>0.41901408450704225</c:v>
                </c:pt>
                <c:pt idx="154">
                  <c:v>0.41958041958041958</c:v>
                </c:pt>
                <c:pt idx="155">
                  <c:v>0.41811846689895471</c:v>
                </c:pt>
                <c:pt idx="156">
                  <c:v>0.41811846689895471</c:v>
                </c:pt>
                <c:pt idx="157">
                  <c:v>0.42413793103448277</c:v>
                </c:pt>
                <c:pt idx="158">
                  <c:v>0.41979522184300339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968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まっつん2!$A$3:$A$161</c:f>
              <c:numCache>
                <c:formatCode>0\ "回"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まっつん2!$P$3:$P$161</c:f>
              <c:numCache>
                <c:formatCode>0.0%</c:formatCode>
                <c:ptCount val="159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  <c:pt idx="83">
                  <c:v>0.44864864864864867</c:v>
                </c:pt>
                <c:pt idx="84">
                  <c:v>0.44385026737967914</c:v>
                </c:pt>
                <c:pt idx="85">
                  <c:v>0.44973544973544971</c:v>
                </c:pt>
                <c:pt idx="86">
                  <c:v>0.44791666666666669</c:v>
                </c:pt>
                <c:pt idx="87">
                  <c:v>0.44615384615384618</c:v>
                </c:pt>
                <c:pt idx="88">
                  <c:v>0.44221105527638194</c:v>
                </c:pt>
                <c:pt idx="89">
                  <c:v>0.4405940594059406</c:v>
                </c:pt>
                <c:pt idx="90">
                  <c:v>0.44878048780487806</c:v>
                </c:pt>
                <c:pt idx="91">
                  <c:v>0.44927536231884058</c:v>
                </c:pt>
                <c:pt idx="92">
                  <c:v>0.45714285714285713</c:v>
                </c:pt>
                <c:pt idx="93">
                  <c:v>0.46046511627906977</c:v>
                </c:pt>
                <c:pt idx="94">
                  <c:v>0.45622119815668205</c:v>
                </c:pt>
                <c:pt idx="95">
                  <c:v>0.45412844036697247</c:v>
                </c:pt>
                <c:pt idx="96">
                  <c:v>0.45248868778280543</c:v>
                </c:pt>
                <c:pt idx="97">
                  <c:v>0.45495495495495497</c:v>
                </c:pt>
                <c:pt idx="98">
                  <c:v>0.44690265486725661</c:v>
                </c:pt>
                <c:pt idx="99">
                  <c:v>0.44736842105263158</c:v>
                </c:pt>
                <c:pt idx="100">
                  <c:v>0.45217391304347826</c:v>
                </c:pt>
                <c:pt idx="101">
                  <c:v>0.45299145299145299</c:v>
                </c:pt>
                <c:pt idx="102">
                  <c:v>0.45338983050847459</c:v>
                </c:pt>
                <c:pt idx="103">
                  <c:v>0.44583333333333336</c:v>
                </c:pt>
                <c:pt idx="104">
                  <c:v>0.44897959183673469</c:v>
                </c:pt>
                <c:pt idx="105">
                  <c:v>0.44715447154471544</c:v>
                </c:pt>
                <c:pt idx="106">
                  <c:v>0.44534412955465585</c:v>
                </c:pt>
                <c:pt idx="107">
                  <c:v>0.44621513944223107</c:v>
                </c:pt>
                <c:pt idx="108">
                  <c:v>0.44841269841269843</c:v>
                </c:pt>
                <c:pt idx="109">
                  <c:v>0.45098039215686275</c:v>
                </c:pt>
                <c:pt idx="110">
                  <c:v>0.44747081712062259</c:v>
                </c:pt>
                <c:pt idx="111">
                  <c:v>0.44573643410852715</c:v>
                </c:pt>
                <c:pt idx="112">
                  <c:v>0.44401544401544402</c:v>
                </c:pt>
                <c:pt idx="113">
                  <c:v>0.44827586206896552</c:v>
                </c:pt>
                <c:pt idx="114">
                  <c:v>0.44696969696969696</c:v>
                </c:pt>
                <c:pt idx="115">
                  <c:v>0.44736842105263158</c:v>
                </c:pt>
                <c:pt idx="116">
                  <c:v>0.44981412639405205</c:v>
                </c:pt>
                <c:pt idx="117">
                  <c:v>0.4485294117647059</c:v>
                </c:pt>
                <c:pt idx="118">
                  <c:v>0.44727272727272727</c:v>
                </c:pt>
                <c:pt idx="119">
                  <c:v>0.4460431654676259</c:v>
                </c:pt>
                <c:pt idx="120">
                  <c:v>0.44642857142857145</c:v>
                </c:pt>
                <c:pt idx="121">
                  <c:v>0.44680851063829785</c:v>
                </c:pt>
                <c:pt idx="122">
                  <c:v>0.44522968197879859</c:v>
                </c:pt>
                <c:pt idx="123">
                  <c:v>0.44522968197879859</c:v>
                </c:pt>
                <c:pt idx="124">
                  <c:v>0.44522968197879859</c:v>
                </c:pt>
                <c:pt idx="125">
                  <c:v>0.44718309859154931</c:v>
                </c:pt>
                <c:pt idx="126">
                  <c:v>0.44599303135888502</c:v>
                </c:pt>
                <c:pt idx="127">
                  <c:v>0.44636678200692043</c:v>
                </c:pt>
                <c:pt idx="128">
                  <c:v>0.44636678200692043</c:v>
                </c:pt>
                <c:pt idx="129">
                  <c:v>0.44827586206896552</c:v>
                </c:pt>
                <c:pt idx="130">
                  <c:v>0.4452054794520548</c:v>
                </c:pt>
                <c:pt idx="131">
                  <c:v>0.445578231292517</c:v>
                </c:pt>
                <c:pt idx="132">
                  <c:v>0.44444444444444442</c:v>
                </c:pt>
                <c:pt idx="133">
                  <c:v>0.44481605351170567</c:v>
                </c:pt>
                <c:pt idx="134">
                  <c:v>0.44407894736842107</c:v>
                </c:pt>
                <c:pt idx="135">
                  <c:v>0.44407894736842107</c:v>
                </c:pt>
                <c:pt idx="136">
                  <c:v>0.44336569579288027</c:v>
                </c:pt>
                <c:pt idx="137">
                  <c:v>0.44089456869009586</c:v>
                </c:pt>
                <c:pt idx="138">
                  <c:v>0.4426751592356688</c:v>
                </c:pt>
                <c:pt idx="139">
                  <c:v>0.44303797468354428</c:v>
                </c:pt>
                <c:pt idx="140">
                  <c:v>0.44164037854889587</c:v>
                </c:pt>
                <c:pt idx="141">
                  <c:v>0.44200626959247646</c:v>
                </c:pt>
                <c:pt idx="142">
                  <c:v>0.44409937888198758</c:v>
                </c:pt>
                <c:pt idx="143">
                  <c:v>0.44753086419753085</c:v>
                </c:pt>
                <c:pt idx="144">
                  <c:v>0.44817073170731708</c:v>
                </c:pt>
                <c:pt idx="145">
                  <c:v>0.44712990936555891</c:v>
                </c:pt>
                <c:pt idx="146">
                  <c:v>0.44744744744744747</c:v>
                </c:pt>
                <c:pt idx="147">
                  <c:v>0.44610778443113774</c:v>
                </c:pt>
                <c:pt idx="148">
                  <c:v>0.44776119402985076</c:v>
                </c:pt>
                <c:pt idx="149">
                  <c:v>0.44642857142857145</c:v>
                </c:pt>
                <c:pt idx="150">
                  <c:v>0.44970414201183434</c:v>
                </c:pt>
                <c:pt idx="151">
                  <c:v>0.45294117647058824</c:v>
                </c:pt>
                <c:pt idx="152">
                  <c:v>0.45772594752186591</c:v>
                </c:pt>
                <c:pt idx="153">
                  <c:v>0.45821325648414984</c:v>
                </c:pt>
                <c:pt idx="154">
                  <c:v>0.45977011494252873</c:v>
                </c:pt>
                <c:pt idx="155">
                  <c:v>0.45977011494252873</c:v>
                </c:pt>
                <c:pt idx="156">
                  <c:v>0.46</c:v>
                </c:pt>
                <c:pt idx="157">
                  <c:v>0.45892351274787535</c:v>
                </c:pt>
                <c:pt idx="158">
                  <c:v>0.46045197740112992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0715114031696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13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222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223</v>
      </c>
      <c r="B3" s="29">
        <v>43737.532500000001</v>
      </c>
      <c r="C3" s="28" t="s">
        <v>128</v>
      </c>
    </row>
    <row r="4" spans="1:12" x14ac:dyDescent="0.45">
      <c r="A4" s="28" t="s">
        <v>224</v>
      </c>
      <c r="B4" s="29">
        <v>43737.532500000001</v>
      </c>
      <c r="C4" s="28" t="s">
        <v>128</v>
      </c>
    </row>
    <row r="5" spans="1:12" x14ac:dyDescent="0.45">
      <c r="A5" s="28" t="s">
        <v>225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226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227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228</v>
      </c>
      <c r="K7" s="28" t="s">
        <v>229</v>
      </c>
      <c r="L7" s="28" t="s">
        <v>230</v>
      </c>
    </row>
    <row r="8" spans="1:12" x14ac:dyDescent="0.45">
      <c r="A8" s="28" t="s">
        <v>231</v>
      </c>
      <c r="B8" s="29">
        <v>43740.96733796296</v>
      </c>
      <c r="C8" s="28" t="s">
        <v>128</v>
      </c>
    </row>
    <row r="9" spans="1:12" x14ac:dyDescent="0.45">
      <c r="A9" s="28" t="s">
        <v>233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234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235</v>
      </c>
      <c r="B11" s="29">
        <v>43741.028969907406</v>
      </c>
      <c r="C11" s="28" t="s">
        <v>128</v>
      </c>
    </row>
    <row r="12" spans="1:12" x14ac:dyDescent="0.45">
      <c r="A12" s="28" t="s">
        <v>236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237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238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239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240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241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242</v>
      </c>
      <c r="B18" s="29">
        <v>43745.374525462961</v>
      </c>
      <c r="C18" s="28" t="s">
        <v>128</v>
      </c>
    </row>
    <row r="19" spans="1:12" x14ac:dyDescent="0.45">
      <c r="A19" s="28" t="s">
        <v>243</v>
      </c>
      <c r="B19" s="29">
        <v>43750.963090277779</v>
      </c>
      <c r="C19" s="28" t="s">
        <v>128</v>
      </c>
    </row>
    <row r="20" spans="1:12" x14ac:dyDescent="0.45">
      <c r="A20" s="28" t="s">
        <v>244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245</v>
      </c>
      <c r="B21" s="29">
        <v>43750.963090277779</v>
      </c>
      <c r="C21" s="28" t="s">
        <v>128</v>
      </c>
    </row>
    <row r="22" spans="1:12" x14ac:dyDescent="0.45">
      <c r="A22" s="28" t="s">
        <v>246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247</v>
      </c>
      <c r="B23" s="29">
        <v>43800.062326388892</v>
      </c>
      <c r="C23" s="28" t="s">
        <v>128</v>
      </c>
    </row>
    <row r="24" spans="1:12" x14ac:dyDescent="0.45">
      <c r="A24" s="28" t="s">
        <v>248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249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228</v>
      </c>
      <c r="K25" s="28" t="s">
        <v>229</v>
      </c>
      <c r="L25" s="28" t="s">
        <v>230</v>
      </c>
    </row>
    <row r="26" spans="1:12" x14ac:dyDescent="0.45">
      <c r="A26" s="28" t="s">
        <v>250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251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228</v>
      </c>
      <c r="K27" s="28" t="s">
        <v>229</v>
      </c>
    </row>
    <row r="28" spans="1:12" x14ac:dyDescent="0.45">
      <c r="A28" s="28" t="s">
        <v>252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228</v>
      </c>
      <c r="K28" s="28" t="s">
        <v>229</v>
      </c>
    </row>
    <row r="29" spans="1:12" x14ac:dyDescent="0.45">
      <c r="A29" s="28" t="s">
        <v>253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254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255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257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258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259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260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261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262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263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264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265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266</v>
      </c>
      <c r="B41" s="29">
        <v>43766.037835648145</v>
      </c>
      <c r="C41" s="28" t="s">
        <v>128</v>
      </c>
    </row>
    <row r="42" spans="1:9" x14ac:dyDescent="0.45">
      <c r="A42" s="28" t="s">
        <v>267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268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269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270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271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272</v>
      </c>
      <c r="B47" s="29">
        <v>43770.815983796296</v>
      </c>
      <c r="C47" s="28" t="s">
        <v>128</v>
      </c>
    </row>
    <row r="48" spans="1:9" x14ac:dyDescent="0.45">
      <c r="A48" s="28" t="s">
        <v>273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274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275</v>
      </c>
      <c r="B50" s="29">
        <v>43773.722453703704</v>
      </c>
      <c r="C50" s="28" t="s">
        <v>128</v>
      </c>
    </row>
    <row r="51" spans="1:9" x14ac:dyDescent="0.45">
      <c r="A51" s="28" t="s">
        <v>276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277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278</v>
      </c>
      <c r="B53" s="29">
        <v>43781.637499999997</v>
      </c>
      <c r="C53" s="28" t="s">
        <v>128</v>
      </c>
    </row>
    <row r="54" spans="1:9" x14ac:dyDescent="0.45">
      <c r="A54" s="28" t="s">
        <v>279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280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281</v>
      </c>
      <c r="B56" s="29">
        <v>43783.744745370372</v>
      </c>
      <c r="C56" s="28" t="s">
        <v>128</v>
      </c>
    </row>
    <row r="57" spans="1:9" x14ac:dyDescent="0.45">
      <c r="A57" s="28" t="s">
        <v>282</v>
      </c>
      <c r="B57" s="29">
        <v>43784.974247685182</v>
      </c>
      <c r="C57" s="28" t="s">
        <v>128</v>
      </c>
    </row>
    <row r="58" spans="1:9" x14ac:dyDescent="0.45">
      <c r="A58" s="28" t="s">
        <v>283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284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285</v>
      </c>
      <c r="B60" s="29">
        <v>43787.745706018519</v>
      </c>
      <c r="C60" s="28" t="s">
        <v>128</v>
      </c>
    </row>
    <row r="61" spans="1:9" x14ac:dyDescent="0.45">
      <c r="A61" s="28" t="s">
        <v>286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287</v>
      </c>
      <c r="B62" s="29">
        <v>43789.730671296296</v>
      </c>
      <c r="C62" s="28" t="s">
        <v>128</v>
      </c>
    </row>
    <row r="63" spans="1:9" x14ac:dyDescent="0.45">
      <c r="A63" s="28" t="s">
        <v>288</v>
      </c>
      <c r="B63" s="29">
        <v>43790.974027777775</v>
      </c>
      <c r="C63" s="28" t="s">
        <v>128</v>
      </c>
    </row>
    <row r="64" spans="1:9" x14ac:dyDescent="0.45">
      <c r="A64" s="28" t="s">
        <v>289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290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291</v>
      </c>
      <c r="B66" s="29">
        <v>43795.03466435185</v>
      </c>
      <c r="C66" s="28" t="s">
        <v>128</v>
      </c>
    </row>
    <row r="67" spans="1:12" x14ac:dyDescent="0.45">
      <c r="A67" s="28" t="s">
        <v>292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228</v>
      </c>
      <c r="K67" s="28" t="s">
        <v>229</v>
      </c>
      <c r="L67" s="28" t="s">
        <v>230</v>
      </c>
    </row>
    <row r="68" spans="1:12" x14ac:dyDescent="0.45">
      <c r="A68" s="28" t="s">
        <v>293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294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295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296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297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298</v>
      </c>
      <c r="B73" s="29">
        <v>43805.880937499998</v>
      </c>
      <c r="C73" s="28" t="s">
        <v>128</v>
      </c>
    </row>
    <row r="74" spans="1:12" x14ac:dyDescent="0.45">
      <c r="A74" s="28" t="s">
        <v>299</v>
      </c>
      <c r="B74" s="29">
        <v>43806.068379629629</v>
      </c>
      <c r="C74" s="28" t="s">
        <v>128</v>
      </c>
    </row>
    <row r="75" spans="1:12" x14ac:dyDescent="0.45">
      <c r="A75" s="28" t="s">
        <v>300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302</v>
      </c>
      <c r="B76" s="29">
        <v>43809.906898148147</v>
      </c>
      <c r="C76" s="28" t="s">
        <v>128</v>
      </c>
    </row>
    <row r="77" spans="1:12" x14ac:dyDescent="0.45">
      <c r="A77" s="28" t="s">
        <v>303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304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305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306</v>
      </c>
      <c r="B80" s="29">
        <v>43812.000752314816</v>
      </c>
      <c r="C80" s="28" t="s">
        <v>128</v>
      </c>
    </row>
    <row r="81" spans="1:9" x14ac:dyDescent="0.45">
      <c r="A81" s="28" t="s">
        <v>307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308</v>
      </c>
      <c r="B82" s="29">
        <v>43814.578449074077</v>
      </c>
      <c r="C82" s="28" t="s">
        <v>128</v>
      </c>
    </row>
    <row r="83" spans="1:9" x14ac:dyDescent="0.45">
      <c r="A83" s="28" t="s">
        <v>309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310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311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312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202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203</v>
      </c>
      <c r="B88" s="29">
        <v>43838.76290509259</v>
      </c>
      <c r="C88" s="28" t="s">
        <v>128</v>
      </c>
    </row>
    <row r="89" spans="1:9" x14ac:dyDescent="0.45">
      <c r="A89" s="28" t="s">
        <v>204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205</v>
      </c>
      <c r="B90" s="29">
        <v>43840.436331018522</v>
      </c>
      <c r="C90" s="28" t="s">
        <v>128</v>
      </c>
    </row>
    <row r="91" spans="1:9" x14ac:dyDescent="0.45">
      <c r="A91" s="28" t="s">
        <v>206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207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5">
      <c r="A93" s="28" t="s">
        <v>208</v>
      </c>
      <c r="B93" s="29">
        <v>43844.951261574075</v>
      </c>
      <c r="C93" s="28" t="s">
        <v>128</v>
      </c>
      <c r="D93" s="28" t="s">
        <v>129</v>
      </c>
      <c r="E93" s="28" t="s">
        <v>173</v>
      </c>
    </row>
    <row r="94" spans="1:9" x14ac:dyDescent="0.45">
      <c r="A94" s="28" t="s">
        <v>209</v>
      </c>
      <c r="B94" s="29">
        <v>43845.034178240741</v>
      </c>
      <c r="C94" s="28" t="s">
        <v>128</v>
      </c>
      <c r="D94" s="28" t="s">
        <v>129</v>
      </c>
      <c r="E94" s="28" t="s">
        <v>173</v>
      </c>
    </row>
    <row r="95" spans="1:9" x14ac:dyDescent="0.45">
      <c r="A95" s="28" t="s">
        <v>210</v>
      </c>
      <c r="B95" s="29">
        <v>43846.004641203705</v>
      </c>
      <c r="C95" s="28" t="s">
        <v>128</v>
      </c>
    </row>
    <row r="96" spans="1:9" x14ac:dyDescent="0.45">
      <c r="A96" s="28" t="s">
        <v>211</v>
      </c>
      <c r="B96" s="29">
        <v>43847.005300925928</v>
      </c>
      <c r="C96" s="28" t="s">
        <v>128</v>
      </c>
      <c r="D96" s="28" t="s">
        <v>129</v>
      </c>
      <c r="E96" s="28" t="s">
        <v>173</v>
      </c>
      <c r="F96" s="28" t="s">
        <v>174</v>
      </c>
    </row>
    <row r="97" spans="1:7" x14ac:dyDescent="0.45">
      <c r="A97" s="28" t="s">
        <v>212</v>
      </c>
      <c r="B97" s="29">
        <v>43847.644155092596</v>
      </c>
      <c r="C97" s="28" t="s">
        <v>128</v>
      </c>
      <c r="D97" s="28" t="s">
        <v>129</v>
      </c>
      <c r="E97" s="28" t="s">
        <v>173</v>
      </c>
    </row>
    <row r="98" spans="1:7" x14ac:dyDescent="0.45">
      <c r="A98" s="28" t="s">
        <v>213</v>
      </c>
      <c r="B98" s="29">
        <v>43848.686238425929</v>
      </c>
      <c r="C98" s="28" t="s">
        <v>128</v>
      </c>
      <c r="D98" s="28" t="s">
        <v>129</v>
      </c>
    </row>
    <row r="99" spans="1:7" x14ac:dyDescent="0.45">
      <c r="A99" s="28" t="s">
        <v>214</v>
      </c>
      <c r="B99" s="29">
        <v>43852.043136574073</v>
      </c>
      <c r="C99" s="28" t="s">
        <v>128</v>
      </c>
      <c r="D99" s="28" t="s">
        <v>129</v>
      </c>
      <c r="E99" s="28" t="s">
        <v>173</v>
      </c>
      <c r="F99" s="28" t="s">
        <v>174</v>
      </c>
      <c r="G99" s="28" t="s">
        <v>175</v>
      </c>
    </row>
    <row r="100" spans="1:7" x14ac:dyDescent="0.45">
      <c r="A100" s="28" t="s">
        <v>215</v>
      </c>
      <c r="B100" s="29">
        <v>43856.016423611109</v>
      </c>
      <c r="C100" s="28" t="s">
        <v>128</v>
      </c>
      <c r="D100" s="28" t="s">
        <v>129</v>
      </c>
      <c r="E100" s="28" t="s">
        <v>173</v>
      </c>
    </row>
    <row r="101" spans="1:7" x14ac:dyDescent="0.45">
      <c r="A101" s="28" t="s">
        <v>216</v>
      </c>
      <c r="B101" s="29">
        <v>43857.063576388886</v>
      </c>
      <c r="C101" s="28" t="s">
        <v>128</v>
      </c>
      <c r="D101" s="28" t="s">
        <v>129</v>
      </c>
      <c r="E101" s="28" t="s">
        <v>173</v>
      </c>
    </row>
    <row r="102" spans="1:7" x14ac:dyDescent="0.45">
      <c r="A102" s="28" t="s">
        <v>217</v>
      </c>
      <c r="B102" s="29">
        <v>43858.020173611112</v>
      </c>
      <c r="C102" s="28" t="s">
        <v>128</v>
      </c>
      <c r="D102" s="28" t="s">
        <v>129</v>
      </c>
      <c r="E102" s="28" t="s">
        <v>173</v>
      </c>
    </row>
    <row r="103" spans="1:7" x14ac:dyDescent="0.45">
      <c r="A103" s="28" t="s">
        <v>218</v>
      </c>
      <c r="B103" s="29">
        <v>43862.05269675926</v>
      </c>
      <c r="C103" s="28" t="s">
        <v>128</v>
      </c>
      <c r="D103" s="28" t="s">
        <v>129</v>
      </c>
      <c r="E103" s="28" t="s">
        <v>173</v>
      </c>
      <c r="F103" s="28" t="s">
        <v>174</v>
      </c>
    </row>
    <row r="104" spans="1:7" x14ac:dyDescent="0.45">
      <c r="A104" s="28" t="s">
        <v>219</v>
      </c>
      <c r="B104" s="29">
        <v>43860.026909722219</v>
      </c>
      <c r="C104" s="28" t="s">
        <v>128</v>
      </c>
      <c r="D104" s="28" t="s">
        <v>129</v>
      </c>
      <c r="E104" s="28" t="s">
        <v>173</v>
      </c>
    </row>
    <row r="105" spans="1:7" x14ac:dyDescent="0.45">
      <c r="A105" s="28" t="s">
        <v>220</v>
      </c>
      <c r="B105" s="29">
        <v>43862.053043981483</v>
      </c>
      <c r="C105" s="28" t="s">
        <v>128</v>
      </c>
      <c r="D105" s="28" t="s">
        <v>129</v>
      </c>
    </row>
    <row r="106" spans="1:7" x14ac:dyDescent="0.45">
      <c r="A106" s="28" t="s">
        <v>221</v>
      </c>
      <c r="B106" s="29">
        <v>43862.101307870369</v>
      </c>
      <c r="C106" s="28" t="s">
        <v>128</v>
      </c>
      <c r="D106" s="28" t="s">
        <v>129</v>
      </c>
      <c r="E106" s="28" t="s">
        <v>173</v>
      </c>
    </row>
    <row r="107" spans="1:7" x14ac:dyDescent="0.45">
      <c r="A107" s="28" t="s">
        <v>313</v>
      </c>
      <c r="B107" s="29">
        <v>43863.061215277776</v>
      </c>
      <c r="C107" s="28" t="s">
        <v>128</v>
      </c>
      <c r="D107" s="28" t="s">
        <v>129</v>
      </c>
      <c r="E107" s="28" t="s">
        <v>173</v>
      </c>
    </row>
    <row r="108" spans="1:7" x14ac:dyDescent="0.45">
      <c r="A108" s="28" t="s">
        <v>314</v>
      </c>
      <c r="B108" s="29">
        <v>43865.925081018519</v>
      </c>
      <c r="C108" s="28" t="s">
        <v>128</v>
      </c>
    </row>
    <row r="109" spans="1:7" x14ac:dyDescent="0.45">
      <c r="A109" s="28" t="s">
        <v>315</v>
      </c>
      <c r="B109" s="29">
        <v>43865.989189814813</v>
      </c>
      <c r="C109" s="28" t="s">
        <v>128</v>
      </c>
      <c r="D109" s="28" t="s">
        <v>129</v>
      </c>
    </row>
    <row r="110" spans="1:7" x14ac:dyDescent="0.45">
      <c r="A110" s="28" t="s">
        <v>316</v>
      </c>
      <c r="B110" s="29">
        <v>43866.98027777778</v>
      </c>
      <c r="C110" s="28" t="s">
        <v>128</v>
      </c>
    </row>
    <row r="111" spans="1:7" x14ac:dyDescent="0.45">
      <c r="A111" s="28" t="s">
        <v>317</v>
      </c>
      <c r="B111" s="29">
        <v>43871.735081018516</v>
      </c>
      <c r="C111" s="28" t="s">
        <v>128</v>
      </c>
      <c r="D111" s="28" t="s">
        <v>129</v>
      </c>
    </row>
    <row r="112" spans="1:7" x14ac:dyDescent="0.45">
      <c r="A112" s="28" t="s">
        <v>318</v>
      </c>
      <c r="B112" s="29">
        <v>43874.753379629627</v>
      </c>
      <c r="C112" s="28" t="s">
        <v>128</v>
      </c>
      <c r="D112" s="28" t="s">
        <v>129</v>
      </c>
    </row>
    <row r="113" spans="1:4" x14ac:dyDescent="0.45">
      <c r="A113" s="28" t="s">
        <v>319</v>
      </c>
      <c r="B113" s="29">
        <v>43875.767372685186</v>
      </c>
      <c r="C113" s="28" t="s">
        <v>128</v>
      </c>
      <c r="D113" s="28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1053</v>
      </c>
    </row>
    <row r="2" spans="1:2" x14ac:dyDescent="0.45">
      <c r="A2" t="s">
        <v>161</v>
      </c>
      <c r="B2">
        <v>91</v>
      </c>
    </row>
    <row r="3" spans="1:2" x14ac:dyDescent="0.45">
      <c r="A3" t="s">
        <v>126</v>
      </c>
      <c r="B3">
        <v>211</v>
      </c>
    </row>
    <row r="4" spans="1:2" x14ac:dyDescent="0.45">
      <c r="A4" t="s">
        <v>127</v>
      </c>
      <c r="B4">
        <v>183</v>
      </c>
    </row>
    <row r="5" spans="1:2" x14ac:dyDescent="0.45">
      <c r="A5" t="s">
        <v>172</v>
      </c>
      <c r="B5">
        <v>104</v>
      </c>
    </row>
    <row r="6" spans="1:2" x14ac:dyDescent="0.45">
      <c r="A6" t="s">
        <v>170</v>
      </c>
      <c r="B6">
        <v>159</v>
      </c>
    </row>
    <row r="7" spans="1:2" x14ac:dyDescent="0.45">
      <c r="A7" t="s">
        <v>171</v>
      </c>
      <c r="B7">
        <v>158</v>
      </c>
    </row>
    <row r="8" spans="1:2" x14ac:dyDescent="0.45">
      <c r="A8" t="s">
        <v>197</v>
      </c>
      <c r="B8">
        <v>73</v>
      </c>
    </row>
    <row r="9" spans="1:2" x14ac:dyDescent="0.45">
      <c r="A9" t="s">
        <v>196</v>
      </c>
      <c r="B9">
        <v>32</v>
      </c>
    </row>
    <row r="10" spans="1:2" x14ac:dyDescent="0.45">
      <c r="A10" t="s">
        <v>232</v>
      </c>
      <c r="B10">
        <v>7</v>
      </c>
    </row>
    <row r="11" spans="1:2" x14ac:dyDescent="0.45">
      <c r="A11" t="s">
        <v>256</v>
      </c>
      <c r="B11">
        <v>2</v>
      </c>
    </row>
    <row r="12" spans="1:2" x14ac:dyDescent="0.45">
      <c r="A12" t="s">
        <v>200</v>
      </c>
      <c r="B12">
        <v>18</v>
      </c>
    </row>
    <row r="13" spans="1:2" x14ac:dyDescent="0.45">
      <c r="A13" t="s">
        <v>201</v>
      </c>
      <c r="B13">
        <v>10</v>
      </c>
    </row>
    <row r="14" spans="1:2" x14ac:dyDescent="0.45">
      <c r="A14" t="s">
        <v>301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>
      <selection activeCell="A2" sqref="A2"/>
    </sheetView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5">
      <c r="A2" s="68" t="s">
        <v>154</v>
      </c>
      <c r="B2" s="164"/>
      <c r="C2" s="165"/>
      <c r="D2" s="164"/>
      <c r="E2" s="165"/>
      <c r="F2" s="166">
        <v>0.97540571341302151</v>
      </c>
      <c r="G2" s="167"/>
      <c r="H2" s="166">
        <v>0.83493683670323193</v>
      </c>
      <c r="I2" s="167"/>
      <c r="J2" s="166">
        <v>0.67792864338407566</v>
      </c>
      <c r="K2" s="167"/>
      <c r="L2" s="166">
        <v>0.60032666391701517</v>
      </c>
      <c r="M2" s="167"/>
      <c r="N2" s="166">
        <v>0.2721599937955948</v>
      </c>
      <c r="O2" s="167"/>
      <c r="P2" s="166">
        <v>0.44146363359452762</v>
      </c>
      <c r="Q2" s="167"/>
      <c r="R2" s="166">
        <v>-4.7786820206064159E-2</v>
      </c>
      <c r="S2" s="167"/>
      <c r="T2" s="166">
        <v>0.32611613672337497</v>
      </c>
      <c r="U2" s="167"/>
      <c r="V2" s="166">
        <v>0.36909824368781313</v>
      </c>
      <c r="W2" s="167"/>
      <c r="X2" s="166">
        <v>1.377341242966622E-2</v>
      </c>
      <c r="Y2" s="167"/>
      <c r="Z2" s="166">
        <v>0.48576330981953875</v>
      </c>
      <c r="AA2" s="167"/>
      <c r="AB2" s="166">
        <v>8.2276059506614568E-2</v>
      </c>
      <c r="AC2" s="167"/>
      <c r="AD2" s="166">
        <v>-0.12331000684900621</v>
      </c>
      <c r="AE2" s="167"/>
      <c r="AF2" s="166">
        <v>0.73105166052132819</v>
      </c>
      <c r="AG2" s="167"/>
    </row>
    <row r="3" spans="1:33" x14ac:dyDescent="0.45">
      <c r="A3" s="70">
        <v>1</v>
      </c>
      <c r="B3" s="71" t="s">
        <v>126</v>
      </c>
      <c r="C3" s="72">
        <v>1970.8999999999999</v>
      </c>
      <c r="D3" s="73" t="s">
        <v>256</v>
      </c>
      <c r="E3" s="92">
        <v>13.1</v>
      </c>
      <c r="F3" s="73" t="s">
        <v>256</v>
      </c>
      <c r="G3" s="74">
        <v>1.5</v>
      </c>
      <c r="H3" s="73" t="s">
        <v>201</v>
      </c>
      <c r="I3" s="75">
        <v>0.5</v>
      </c>
      <c r="J3" s="73" t="s">
        <v>256</v>
      </c>
      <c r="K3" s="75">
        <v>0</v>
      </c>
      <c r="L3" s="73" t="s">
        <v>256</v>
      </c>
      <c r="M3" s="76">
        <v>0.46666666666666667</v>
      </c>
      <c r="N3" s="73" t="s">
        <v>256</v>
      </c>
      <c r="O3" s="76">
        <v>6.6666666666666666E-2</v>
      </c>
      <c r="P3" s="73" t="s">
        <v>170</v>
      </c>
      <c r="Q3" s="77">
        <v>11125.141242937852</v>
      </c>
      <c r="R3" s="73" t="s">
        <v>196</v>
      </c>
      <c r="S3" s="77">
        <v>-7102</v>
      </c>
      <c r="T3" s="73" t="s">
        <v>256</v>
      </c>
      <c r="U3" s="75">
        <v>0</v>
      </c>
      <c r="V3" s="73" t="s">
        <v>201</v>
      </c>
      <c r="W3" s="76">
        <v>0.38461538461538464</v>
      </c>
      <c r="X3" s="73" t="s">
        <v>232</v>
      </c>
      <c r="Y3" s="76">
        <v>0.35483870967741937</v>
      </c>
      <c r="Z3" s="73" t="s">
        <v>201</v>
      </c>
      <c r="AA3" s="76">
        <v>0.6333333333333333</v>
      </c>
      <c r="AB3" s="73" t="s">
        <v>256</v>
      </c>
      <c r="AC3" s="76">
        <v>1</v>
      </c>
      <c r="AD3" s="73" t="s">
        <v>196</v>
      </c>
      <c r="AE3" s="76">
        <v>0.58441558441558439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699.60000000000048</v>
      </c>
      <c r="D4" s="81" t="s">
        <v>126</v>
      </c>
      <c r="E4" s="93">
        <v>9.3407582938388618</v>
      </c>
      <c r="F4" s="81" t="s">
        <v>126</v>
      </c>
      <c r="G4" s="82">
        <v>1.7630331753554502</v>
      </c>
      <c r="H4" s="81" t="s">
        <v>256</v>
      </c>
      <c r="I4" s="83">
        <v>0.5</v>
      </c>
      <c r="J4" s="81" t="s">
        <v>126</v>
      </c>
      <c r="K4" s="83">
        <v>0.23696682464454977</v>
      </c>
      <c r="L4" s="81" t="s">
        <v>200</v>
      </c>
      <c r="M4" s="84">
        <v>0.34838709677419355</v>
      </c>
      <c r="N4" s="81" t="s">
        <v>126</v>
      </c>
      <c r="O4" s="84">
        <v>0.12371721778791334</v>
      </c>
      <c r="P4" s="81" t="s">
        <v>201</v>
      </c>
      <c r="Q4" s="85">
        <v>9534.6153846153848</v>
      </c>
      <c r="R4" s="81" t="s">
        <v>171</v>
      </c>
      <c r="S4" s="85">
        <v>-7164.0883977900548</v>
      </c>
      <c r="T4" s="81" t="s">
        <v>126</v>
      </c>
      <c r="U4" s="83">
        <v>4.7393364928909949E-2</v>
      </c>
      <c r="V4" s="81" t="s">
        <v>301</v>
      </c>
      <c r="W4" s="84">
        <v>0.375</v>
      </c>
      <c r="X4" s="81" t="s">
        <v>256</v>
      </c>
      <c r="Y4" s="84">
        <v>0.33333333333333331</v>
      </c>
      <c r="Z4" s="81" t="s">
        <v>126</v>
      </c>
      <c r="AA4" s="84">
        <v>0.58405172413793105</v>
      </c>
      <c r="AB4" s="81" t="s">
        <v>200</v>
      </c>
      <c r="AC4" s="84">
        <v>0.68421052631578949</v>
      </c>
      <c r="AD4" s="81" t="s">
        <v>200</v>
      </c>
      <c r="AE4" s="84">
        <v>0.53703703703703709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256</v>
      </c>
      <c r="C5" s="80">
        <v>26.2</v>
      </c>
      <c r="D5" s="81" t="s">
        <v>170</v>
      </c>
      <c r="E5" s="93">
        <v>4.400000000000003</v>
      </c>
      <c r="F5" s="81" t="s">
        <v>170</v>
      </c>
      <c r="G5" s="82">
        <v>1.9245283018867925</v>
      </c>
      <c r="H5" s="81" t="s">
        <v>126</v>
      </c>
      <c r="I5" s="83">
        <v>0.47393364928909953</v>
      </c>
      <c r="J5" s="81" t="s">
        <v>171</v>
      </c>
      <c r="K5" s="83">
        <v>0.30379746835443039</v>
      </c>
      <c r="L5" s="81" t="s">
        <v>126</v>
      </c>
      <c r="M5" s="84">
        <v>0.34264538198403649</v>
      </c>
      <c r="N5" s="81" t="s">
        <v>171</v>
      </c>
      <c r="O5" s="84">
        <v>0.14173844949099451</v>
      </c>
      <c r="P5" s="81" t="s">
        <v>171</v>
      </c>
      <c r="Q5" s="85">
        <v>8560.7344632768363</v>
      </c>
      <c r="R5" s="81" t="s">
        <v>161</v>
      </c>
      <c r="S5" s="85">
        <v>-7565.909090909091</v>
      </c>
      <c r="T5" s="81" t="s">
        <v>161</v>
      </c>
      <c r="U5" s="83">
        <v>7.6923076923076927E-2</v>
      </c>
      <c r="V5" s="81" t="s">
        <v>200</v>
      </c>
      <c r="W5" s="84">
        <v>0.34838709677419355</v>
      </c>
      <c r="X5" s="81" t="s">
        <v>127</v>
      </c>
      <c r="Y5" s="84">
        <v>0.29717291255752792</v>
      </c>
      <c r="Z5" s="81" t="s">
        <v>200</v>
      </c>
      <c r="AA5" s="84">
        <v>0.57407407407407407</v>
      </c>
      <c r="AB5" s="81" t="s">
        <v>126</v>
      </c>
      <c r="AC5" s="84">
        <v>0.47980997624703087</v>
      </c>
      <c r="AD5" s="81" t="s">
        <v>170</v>
      </c>
      <c r="AE5" s="84">
        <v>0.51412429378531077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201</v>
      </c>
      <c r="C6" s="80">
        <v>9.2999999999999972</v>
      </c>
      <c r="D6" s="81" t="s">
        <v>201</v>
      </c>
      <c r="E6" s="93">
        <v>0.92999999999999972</v>
      </c>
      <c r="F6" s="81" t="s">
        <v>127</v>
      </c>
      <c r="G6" s="82">
        <v>1.9836065573770492</v>
      </c>
      <c r="H6" s="81" t="s">
        <v>232</v>
      </c>
      <c r="I6" s="83">
        <v>0.42857142857142855</v>
      </c>
      <c r="J6" s="81" t="s">
        <v>127</v>
      </c>
      <c r="K6" s="83">
        <v>0.31693989071038253</v>
      </c>
      <c r="L6" s="81" t="s">
        <v>201</v>
      </c>
      <c r="M6" s="84">
        <v>0.33333333333333331</v>
      </c>
      <c r="N6" s="81" t="s">
        <v>141</v>
      </c>
      <c r="O6" s="84">
        <v>0.15968675519237316</v>
      </c>
      <c r="P6" s="81" t="s">
        <v>301</v>
      </c>
      <c r="Q6" s="85">
        <v>8512.5</v>
      </c>
      <c r="R6" s="81" t="s">
        <v>126</v>
      </c>
      <c r="S6" s="85">
        <v>-7690.7834101382487</v>
      </c>
      <c r="T6" s="81" t="s">
        <v>172</v>
      </c>
      <c r="U6" s="83">
        <v>7.6923076923076927E-2</v>
      </c>
      <c r="V6" s="81" t="s">
        <v>170</v>
      </c>
      <c r="W6" s="84">
        <v>0.29471228615863143</v>
      </c>
      <c r="X6" s="81" t="s">
        <v>161</v>
      </c>
      <c r="Y6" s="84">
        <v>0.26535626535626533</v>
      </c>
      <c r="Z6" s="81" t="s">
        <v>196</v>
      </c>
      <c r="AA6" s="84">
        <v>0.5662650602409639</v>
      </c>
      <c r="AB6" s="81" t="s">
        <v>171</v>
      </c>
      <c r="AC6" s="84">
        <v>0.41979522184300339</v>
      </c>
      <c r="AD6" s="81" t="s">
        <v>172</v>
      </c>
      <c r="AE6" s="84">
        <v>0.47302904564315351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141</v>
      </c>
      <c r="C7" s="80">
        <v>-7.815970093361102E-14</v>
      </c>
      <c r="D7" s="81" t="s">
        <v>141</v>
      </c>
      <c r="E7" s="93">
        <v>-7.4225736879022812E-17</v>
      </c>
      <c r="F7" s="81" t="s">
        <v>196</v>
      </c>
      <c r="G7" s="82">
        <v>2</v>
      </c>
      <c r="H7" s="81" t="s">
        <v>170</v>
      </c>
      <c r="I7" s="83">
        <v>0.39622641509433965</v>
      </c>
      <c r="J7" s="81" t="s">
        <v>170</v>
      </c>
      <c r="K7" s="83">
        <v>0.32075471698113206</v>
      </c>
      <c r="L7" s="81" t="s">
        <v>127</v>
      </c>
      <c r="M7" s="84">
        <v>0.31295200525969757</v>
      </c>
      <c r="N7" s="81" t="s">
        <v>200</v>
      </c>
      <c r="O7" s="84">
        <v>0.16129032258064516</v>
      </c>
      <c r="P7" s="81" t="s">
        <v>141</v>
      </c>
      <c r="Q7" s="85">
        <v>8450.5604947816009</v>
      </c>
      <c r="R7" s="81" t="s">
        <v>172</v>
      </c>
      <c r="S7" s="85">
        <v>-7790.9638554216872</v>
      </c>
      <c r="T7" s="81" t="s">
        <v>171</v>
      </c>
      <c r="U7" s="83">
        <v>8.2278481012658222E-2</v>
      </c>
      <c r="V7" s="81" t="s">
        <v>196</v>
      </c>
      <c r="W7" s="84">
        <v>0.27852348993288589</v>
      </c>
      <c r="X7" s="81" t="s">
        <v>126</v>
      </c>
      <c r="Y7" s="84">
        <v>0.24002280501710377</v>
      </c>
      <c r="Z7" s="81" t="s">
        <v>141</v>
      </c>
      <c r="AA7" s="84">
        <v>0.54528985507246375</v>
      </c>
      <c r="AB7" s="81" t="s">
        <v>141</v>
      </c>
      <c r="AC7" s="84">
        <v>0.41796875</v>
      </c>
      <c r="AD7" s="81" t="s">
        <v>201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200</v>
      </c>
      <c r="C8" s="80">
        <v>-55.6</v>
      </c>
      <c r="D8" s="81" t="s">
        <v>171</v>
      </c>
      <c r="E8" s="93">
        <v>-0.38037974683544301</v>
      </c>
      <c r="F8" s="81" t="s">
        <v>201</v>
      </c>
      <c r="G8" s="82">
        <v>2</v>
      </c>
      <c r="H8" s="81" t="s">
        <v>196</v>
      </c>
      <c r="I8" s="83">
        <v>0.375</v>
      </c>
      <c r="J8" s="81" t="s">
        <v>141</v>
      </c>
      <c r="K8" s="83">
        <v>0.33333333333333331</v>
      </c>
      <c r="L8" s="81" t="s">
        <v>141</v>
      </c>
      <c r="M8" s="84">
        <v>0.29361025990239475</v>
      </c>
      <c r="N8" s="81" t="s">
        <v>161</v>
      </c>
      <c r="O8" s="84">
        <v>0.16216216216216217</v>
      </c>
      <c r="P8" s="81" t="s">
        <v>197</v>
      </c>
      <c r="Q8" s="85">
        <v>8326.6666666666661</v>
      </c>
      <c r="R8" s="81" t="s">
        <v>141</v>
      </c>
      <c r="S8" s="85">
        <v>-7878.6780383795312</v>
      </c>
      <c r="T8" s="81" t="s">
        <v>141</v>
      </c>
      <c r="U8" s="83">
        <v>9.8765432098765427E-2</v>
      </c>
      <c r="V8" s="81" t="s">
        <v>172</v>
      </c>
      <c r="W8" s="84">
        <v>0.27624309392265195</v>
      </c>
      <c r="X8" s="81" t="s">
        <v>141</v>
      </c>
      <c r="Y8" s="84">
        <v>0.2324367268187493</v>
      </c>
      <c r="Z8" s="81" t="s">
        <v>171</v>
      </c>
      <c r="AA8" s="84">
        <v>0.54268292682926833</v>
      </c>
      <c r="AB8" s="81" t="s">
        <v>197</v>
      </c>
      <c r="AC8" s="84">
        <v>0.41304347826086957</v>
      </c>
      <c r="AD8" s="81" t="s">
        <v>171</v>
      </c>
      <c r="AE8" s="84">
        <v>0.46045197740112992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171</v>
      </c>
      <c r="C9" s="80">
        <v>-60.099999999999994</v>
      </c>
      <c r="D9" s="81" t="s">
        <v>127</v>
      </c>
      <c r="E9" s="93">
        <v>-0.50437158469945476</v>
      </c>
      <c r="F9" s="81" t="s">
        <v>141</v>
      </c>
      <c r="G9" s="82">
        <v>2</v>
      </c>
      <c r="H9" s="81" t="s">
        <v>127</v>
      </c>
      <c r="I9" s="83">
        <v>0.33333333333333331</v>
      </c>
      <c r="J9" s="81" t="s">
        <v>196</v>
      </c>
      <c r="K9" s="83">
        <v>0.375</v>
      </c>
      <c r="L9" s="81" t="s">
        <v>171</v>
      </c>
      <c r="M9" s="84">
        <v>0.27721221613155833</v>
      </c>
      <c r="N9" s="81" t="s">
        <v>196</v>
      </c>
      <c r="O9" s="84">
        <v>0.16778523489932887</v>
      </c>
      <c r="P9" s="81" t="s">
        <v>126</v>
      </c>
      <c r="Q9" s="85">
        <v>8239.4342762063225</v>
      </c>
      <c r="R9" s="81" t="s">
        <v>127</v>
      </c>
      <c r="S9" s="85">
        <v>-7979.7752808988762</v>
      </c>
      <c r="T9" s="81" t="s">
        <v>127</v>
      </c>
      <c r="U9" s="83">
        <v>0.10382513661202186</v>
      </c>
      <c r="V9" s="81" t="s">
        <v>256</v>
      </c>
      <c r="W9" s="84">
        <v>0.26666666666666666</v>
      </c>
      <c r="X9" s="81" t="s">
        <v>171</v>
      </c>
      <c r="Y9" s="84">
        <v>0.22944400939702428</v>
      </c>
      <c r="Z9" s="81" t="s">
        <v>170</v>
      </c>
      <c r="AA9" s="84">
        <v>0.54089709762532978</v>
      </c>
      <c r="AB9" s="81" t="s">
        <v>127</v>
      </c>
      <c r="AC9" s="84">
        <v>0.39823008849557523</v>
      </c>
      <c r="AD9" s="81" t="s">
        <v>197</v>
      </c>
      <c r="AE9" s="84">
        <v>0.46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301</v>
      </c>
      <c r="C10" s="80">
        <v>-80.800000000000011</v>
      </c>
      <c r="D10" s="81" t="s">
        <v>196</v>
      </c>
      <c r="E10" s="93">
        <v>-3.0218749999999992</v>
      </c>
      <c r="F10" s="81" t="s">
        <v>171</v>
      </c>
      <c r="G10" s="82">
        <v>2.0443037974683542</v>
      </c>
      <c r="H10" s="81" t="s">
        <v>200</v>
      </c>
      <c r="I10" s="83">
        <v>0.33333333333333331</v>
      </c>
      <c r="J10" s="81" t="s">
        <v>200</v>
      </c>
      <c r="K10" s="83">
        <v>0.3888888888888889</v>
      </c>
      <c r="L10" s="81" t="s">
        <v>170</v>
      </c>
      <c r="M10" s="84">
        <v>0.27527216174183516</v>
      </c>
      <c r="N10" s="81" t="s">
        <v>170</v>
      </c>
      <c r="O10" s="84">
        <v>0.17107309486780714</v>
      </c>
      <c r="P10" s="81" t="s">
        <v>196</v>
      </c>
      <c r="Q10" s="85">
        <v>8164.9350649350654</v>
      </c>
      <c r="R10" s="81" t="s">
        <v>301</v>
      </c>
      <c r="S10" s="85">
        <v>-7987.5</v>
      </c>
      <c r="T10" s="81" t="s">
        <v>170</v>
      </c>
      <c r="U10" s="83">
        <v>0.11949685534591195</v>
      </c>
      <c r="V10" s="81" t="s">
        <v>126</v>
      </c>
      <c r="W10" s="84">
        <v>0.26453819840364878</v>
      </c>
      <c r="X10" s="81" t="s">
        <v>197</v>
      </c>
      <c r="Y10" s="84">
        <v>0.22772277227722773</v>
      </c>
      <c r="Z10" s="81" t="s">
        <v>172</v>
      </c>
      <c r="AA10" s="84">
        <v>0.54</v>
      </c>
      <c r="AB10" s="81" t="s">
        <v>161</v>
      </c>
      <c r="AC10" s="84">
        <v>0.39814814814814814</v>
      </c>
      <c r="AD10" s="81" t="s">
        <v>141</v>
      </c>
      <c r="AE10" s="84">
        <v>0.45071511403169695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127</v>
      </c>
      <c r="C11" s="80">
        <v>-92.30000000000021</v>
      </c>
      <c r="D11" s="81" t="s">
        <v>200</v>
      </c>
      <c r="E11" s="93">
        <v>-3.088888888888889</v>
      </c>
      <c r="F11" s="81" t="s">
        <v>200</v>
      </c>
      <c r="G11" s="82">
        <v>2.0555555555555554</v>
      </c>
      <c r="H11" s="81" t="s">
        <v>141</v>
      </c>
      <c r="I11" s="83">
        <v>0.33333333333333331</v>
      </c>
      <c r="J11" s="81" t="s">
        <v>301</v>
      </c>
      <c r="K11" s="83">
        <v>0.4</v>
      </c>
      <c r="L11" s="81" t="s">
        <v>161</v>
      </c>
      <c r="M11" s="84">
        <v>0.27518427518427518</v>
      </c>
      <c r="N11" s="81" t="s">
        <v>127</v>
      </c>
      <c r="O11" s="84">
        <v>0.17554240631163709</v>
      </c>
      <c r="P11" s="81" t="s">
        <v>127</v>
      </c>
      <c r="Q11" s="85">
        <v>7865.7563025210084</v>
      </c>
      <c r="R11" s="81" t="s">
        <v>256</v>
      </c>
      <c r="S11" s="85">
        <v>-8000</v>
      </c>
      <c r="T11" s="81" t="s">
        <v>196</v>
      </c>
      <c r="U11" s="83">
        <v>0.15625</v>
      </c>
      <c r="V11" s="81" t="s">
        <v>171</v>
      </c>
      <c r="W11" s="84">
        <v>0.25685199686765858</v>
      </c>
      <c r="X11" s="81" t="s">
        <v>172</v>
      </c>
      <c r="Y11" s="84">
        <v>0.19337016574585636</v>
      </c>
      <c r="Z11" s="81" t="s">
        <v>161</v>
      </c>
      <c r="AA11" s="84">
        <v>0.53508771929824561</v>
      </c>
      <c r="AB11" s="81" t="s">
        <v>172</v>
      </c>
      <c r="AC11" s="84">
        <v>0.39428571428571429</v>
      </c>
      <c r="AD11" s="81" t="s">
        <v>161</v>
      </c>
      <c r="AE11" s="84">
        <v>0.42857142857142855</v>
      </c>
      <c r="AF11" s="81" t="s">
        <v>201</v>
      </c>
      <c r="AG11" s="88">
        <v>70900</v>
      </c>
    </row>
    <row r="12" spans="1:33" x14ac:dyDescent="0.45">
      <c r="A12" s="78">
        <v>10</v>
      </c>
      <c r="B12" s="79" t="s">
        <v>196</v>
      </c>
      <c r="C12" s="80">
        <v>-96.699999999999974</v>
      </c>
      <c r="D12" s="81" t="s">
        <v>161</v>
      </c>
      <c r="E12" s="93">
        <v>-6.4725274725274753</v>
      </c>
      <c r="F12" s="81" t="s">
        <v>232</v>
      </c>
      <c r="G12" s="82">
        <v>2.1428571428571428</v>
      </c>
      <c r="H12" s="81" t="s">
        <v>161</v>
      </c>
      <c r="I12" s="83">
        <v>0.27472527472527475</v>
      </c>
      <c r="J12" s="81" t="s">
        <v>172</v>
      </c>
      <c r="K12" s="83">
        <v>0.40384615384615385</v>
      </c>
      <c r="L12" s="81" t="s">
        <v>172</v>
      </c>
      <c r="M12" s="84">
        <v>0.26629834254143647</v>
      </c>
      <c r="N12" s="81" t="s">
        <v>197</v>
      </c>
      <c r="O12" s="84">
        <v>0.17986798679867988</v>
      </c>
      <c r="P12" s="81" t="s">
        <v>172</v>
      </c>
      <c r="Q12" s="85">
        <v>7848.1327800829877</v>
      </c>
      <c r="R12" s="81" t="s">
        <v>200</v>
      </c>
      <c r="S12" s="85">
        <v>-8220</v>
      </c>
      <c r="T12" s="81" t="s">
        <v>200</v>
      </c>
      <c r="U12" s="83">
        <v>0.16666666666666666</v>
      </c>
      <c r="V12" s="81" t="s">
        <v>141</v>
      </c>
      <c r="W12" s="84">
        <v>0.25059584610146407</v>
      </c>
      <c r="X12" s="81" t="s">
        <v>170</v>
      </c>
      <c r="Y12" s="84">
        <v>0.18662519440124417</v>
      </c>
      <c r="Z12" s="81" t="s">
        <v>232</v>
      </c>
      <c r="AA12" s="84">
        <v>0.53333333333333333</v>
      </c>
      <c r="AB12" s="81" t="s">
        <v>170</v>
      </c>
      <c r="AC12" s="84">
        <v>0.38750000000000001</v>
      </c>
      <c r="AD12" s="81" t="s">
        <v>126</v>
      </c>
      <c r="AE12" s="84">
        <v>0.41763727121464228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232</v>
      </c>
      <c r="C13" s="80">
        <v>-104.80000000000001</v>
      </c>
      <c r="D13" s="81" t="s">
        <v>172</v>
      </c>
      <c r="E13" s="93">
        <v>-7.3278846153846153</v>
      </c>
      <c r="F13" s="81" t="s">
        <v>161</v>
      </c>
      <c r="G13" s="82">
        <v>2.1538461538461537</v>
      </c>
      <c r="H13" s="81" t="s">
        <v>171</v>
      </c>
      <c r="I13" s="83">
        <v>0.25949367088607594</v>
      </c>
      <c r="J13" s="81" t="s">
        <v>161</v>
      </c>
      <c r="K13" s="83">
        <v>0.42857142857142855</v>
      </c>
      <c r="L13" s="81" t="s">
        <v>196</v>
      </c>
      <c r="M13" s="84">
        <v>0.25838926174496646</v>
      </c>
      <c r="N13" s="81" t="s">
        <v>172</v>
      </c>
      <c r="O13" s="84">
        <v>0.18342541436464088</v>
      </c>
      <c r="P13" s="81" t="s">
        <v>232</v>
      </c>
      <c r="Q13" s="85">
        <v>7473.333333333333</v>
      </c>
      <c r="R13" s="81" t="s">
        <v>170</v>
      </c>
      <c r="S13" s="85">
        <v>-8364.545454545454</v>
      </c>
      <c r="T13" s="81" t="s">
        <v>197</v>
      </c>
      <c r="U13" s="83">
        <v>0.17808219178082191</v>
      </c>
      <c r="V13" s="81" t="s">
        <v>232</v>
      </c>
      <c r="W13" s="84">
        <v>0.24193548387096775</v>
      </c>
      <c r="X13" s="81" t="s">
        <v>201</v>
      </c>
      <c r="Y13" s="84">
        <v>0.16666666666666666</v>
      </c>
      <c r="Z13" s="81" t="s">
        <v>127</v>
      </c>
      <c r="AA13" s="84">
        <v>0.51162790697674421</v>
      </c>
      <c r="AB13" s="81" t="s">
        <v>201</v>
      </c>
      <c r="AC13" s="84">
        <v>0.38461538461538464</v>
      </c>
      <c r="AD13" s="81" t="s">
        <v>127</v>
      </c>
      <c r="AE13" s="84">
        <v>0.41176470588235292</v>
      </c>
      <c r="AF13" s="81" t="s">
        <v>200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-589.00000000000023</v>
      </c>
      <c r="D14" s="81" t="s">
        <v>197</v>
      </c>
      <c r="E14" s="93">
        <v>-11.84383561643836</v>
      </c>
      <c r="F14" s="81" t="s">
        <v>172</v>
      </c>
      <c r="G14" s="82">
        <v>2.1923076923076925</v>
      </c>
      <c r="H14" s="81" t="s">
        <v>172</v>
      </c>
      <c r="I14" s="83">
        <v>0.21153846153846154</v>
      </c>
      <c r="J14" s="81" t="s">
        <v>197</v>
      </c>
      <c r="K14" s="83">
        <v>0.45205479452054792</v>
      </c>
      <c r="L14" s="81" t="s">
        <v>197</v>
      </c>
      <c r="M14" s="84">
        <v>0.24752475247524752</v>
      </c>
      <c r="N14" s="81" t="s">
        <v>232</v>
      </c>
      <c r="O14" s="84">
        <v>0.19354838709677419</v>
      </c>
      <c r="P14" s="81" t="s">
        <v>256</v>
      </c>
      <c r="Q14" s="85">
        <v>7385.7142857142853</v>
      </c>
      <c r="R14" s="81" t="s">
        <v>197</v>
      </c>
      <c r="S14" s="85">
        <v>-8488.9908256880735</v>
      </c>
      <c r="T14" s="81" t="s">
        <v>201</v>
      </c>
      <c r="U14" s="83">
        <v>0.2</v>
      </c>
      <c r="V14" s="81" t="s">
        <v>127</v>
      </c>
      <c r="W14" s="84">
        <v>0.22616699539776464</v>
      </c>
      <c r="X14" s="81" t="s">
        <v>196</v>
      </c>
      <c r="Y14" s="84">
        <v>0.16107382550335569</v>
      </c>
      <c r="Z14" s="81" t="s">
        <v>197</v>
      </c>
      <c r="AA14" s="84">
        <v>0.5078125</v>
      </c>
      <c r="AB14" s="81" t="s">
        <v>301</v>
      </c>
      <c r="AC14" s="84">
        <v>0.33333333333333331</v>
      </c>
      <c r="AD14" s="81" t="s">
        <v>232</v>
      </c>
      <c r="AE14" s="84">
        <v>0.33333333333333331</v>
      </c>
      <c r="AF14" s="81" t="s">
        <v>232</v>
      </c>
      <c r="AG14" s="88">
        <v>59500</v>
      </c>
    </row>
    <row r="15" spans="1:33" x14ac:dyDescent="0.45">
      <c r="A15" s="78">
        <v>13</v>
      </c>
      <c r="B15" s="79" t="s">
        <v>172</v>
      </c>
      <c r="C15" s="80">
        <v>-762.1</v>
      </c>
      <c r="D15" s="81" t="s">
        <v>232</v>
      </c>
      <c r="E15" s="93">
        <v>-14.971428571428573</v>
      </c>
      <c r="F15" s="81" t="s">
        <v>301</v>
      </c>
      <c r="G15" s="82">
        <v>2.2000000000000002</v>
      </c>
      <c r="H15" s="81" t="s">
        <v>301</v>
      </c>
      <c r="I15" s="83">
        <v>0.2</v>
      </c>
      <c r="J15" s="81" t="s">
        <v>201</v>
      </c>
      <c r="K15" s="83">
        <v>0.5</v>
      </c>
      <c r="L15" s="81" t="s">
        <v>232</v>
      </c>
      <c r="M15" s="84">
        <v>0.24193548387096775</v>
      </c>
      <c r="N15" s="81" t="s">
        <v>301</v>
      </c>
      <c r="O15" s="84">
        <v>0.2</v>
      </c>
      <c r="P15" s="81" t="s">
        <v>161</v>
      </c>
      <c r="Q15" s="85">
        <v>7093.3035714285716</v>
      </c>
      <c r="R15" s="81" t="s">
        <v>232</v>
      </c>
      <c r="S15" s="85">
        <v>-9075</v>
      </c>
      <c r="T15" s="81" t="s">
        <v>301</v>
      </c>
      <c r="U15" s="83">
        <v>0.2</v>
      </c>
      <c r="V15" s="81" t="s">
        <v>197</v>
      </c>
      <c r="W15" s="84">
        <v>0.21122112211221122</v>
      </c>
      <c r="X15" s="81" t="s">
        <v>301</v>
      </c>
      <c r="Y15" s="84">
        <v>0.15</v>
      </c>
      <c r="Z15" s="81" t="s">
        <v>256</v>
      </c>
      <c r="AA15" s="84">
        <v>0.5</v>
      </c>
      <c r="AB15" s="81" t="s">
        <v>196</v>
      </c>
      <c r="AC15" s="84">
        <v>0.3125</v>
      </c>
      <c r="AD15" s="81" t="s">
        <v>256</v>
      </c>
      <c r="AE15" s="84">
        <v>0.2857142857142857</v>
      </c>
      <c r="AF15" s="81" t="s">
        <v>256</v>
      </c>
      <c r="AG15" s="88">
        <v>52800</v>
      </c>
    </row>
    <row r="16" spans="1:33" x14ac:dyDescent="0.45">
      <c r="A16" s="78">
        <v>14</v>
      </c>
      <c r="B16" s="79" t="s">
        <v>197</v>
      </c>
      <c r="C16" s="80">
        <v>-864.60000000000025</v>
      </c>
      <c r="D16" s="81" t="s">
        <v>301</v>
      </c>
      <c r="E16" s="93">
        <v>-16.160000000000004</v>
      </c>
      <c r="F16" s="81" t="s">
        <v>197</v>
      </c>
      <c r="G16" s="82">
        <v>2.3013698630136985</v>
      </c>
      <c r="H16" s="81" t="s">
        <v>197</v>
      </c>
      <c r="I16" s="83">
        <v>0.15068493150684931</v>
      </c>
      <c r="J16" s="81" t="s">
        <v>232</v>
      </c>
      <c r="K16" s="83">
        <v>0.5714285714285714</v>
      </c>
      <c r="L16" s="81" t="s">
        <v>301</v>
      </c>
      <c r="M16" s="84">
        <v>0.2</v>
      </c>
      <c r="N16" s="81" t="s">
        <v>201</v>
      </c>
      <c r="O16" s="84">
        <v>0.24358974358974358</v>
      </c>
      <c r="P16" s="81" t="s">
        <v>200</v>
      </c>
      <c r="Q16" s="85">
        <v>6648.1481481481478</v>
      </c>
      <c r="R16" s="81" t="s">
        <v>201</v>
      </c>
      <c r="S16" s="85">
        <v>-10010.526315789473</v>
      </c>
      <c r="T16" s="81" t="s">
        <v>232</v>
      </c>
      <c r="U16" s="83">
        <v>0.5714285714285714</v>
      </c>
      <c r="V16" s="81" t="s">
        <v>161</v>
      </c>
      <c r="W16" s="84">
        <v>0.14004914004914004</v>
      </c>
      <c r="X16" s="81" t="s">
        <v>200</v>
      </c>
      <c r="Y16" s="84">
        <v>0.12258064516129032</v>
      </c>
      <c r="Z16" s="81" t="s">
        <v>301</v>
      </c>
      <c r="AA16" s="84">
        <v>0.4</v>
      </c>
      <c r="AB16" s="81" t="s">
        <v>232</v>
      </c>
      <c r="AC16" s="84">
        <v>0.27272727272727271</v>
      </c>
      <c r="AD16" s="81" t="s">
        <v>301</v>
      </c>
      <c r="AE16" s="84">
        <v>0.25</v>
      </c>
      <c r="AF16" s="81" t="s">
        <v>301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6C4-1876-4A94-9631-C8294204B62B}">
  <sheetPr codeName="Sheet4"/>
  <dimension ref="A1:Q105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1053</v>
      </c>
      <c r="C2" s="155"/>
      <c r="E2" s="58" t="s">
        <v>66</v>
      </c>
      <c r="F2" s="55" t="s">
        <v>22</v>
      </c>
      <c r="G2" s="43">
        <v>1939</v>
      </c>
      <c r="H2" s="128">
        <f>IF(B$15=0,0,G2/B$15)</f>
        <v>0.74951681484344801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-29.608404966571154</v>
      </c>
      <c r="P2" s="114">
        <v>1047</v>
      </c>
      <c r="Q2" s="98">
        <v>-31000</v>
      </c>
    </row>
    <row r="3" spans="1:17" x14ac:dyDescent="0.45">
      <c r="A3" s="51" t="s">
        <v>8</v>
      </c>
      <c r="B3" s="156">
        <v>8811</v>
      </c>
      <c r="C3" s="157"/>
      <c r="E3" s="59" t="s">
        <v>72</v>
      </c>
      <c r="F3" s="56" t="s">
        <v>27</v>
      </c>
      <c r="G3" s="44">
        <v>1408</v>
      </c>
      <c r="H3" s="129">
        <f>IF(B$15=0,0,G3/B$15)</f>
        <v>0.54425976034016232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7.7745383867832851</v>
      </c>
      <c r="P3" s="115">
        <v>1029</v>
      </c>
      <c r="Q3" s="99">
        <v>8000</v>
      </c>
    </row>
    <row r="4" spans="1:17" x14ac:dyDescent="0.45">
      <c r="A4" s="51" t="s">
        <v>6</v>
      </c>
      <c r="B4" s="158">
        <v>-7.815970093361102E-14</v>
      </c>
      <c r="C4" s="159"/>
      <c r="E4" s="59" t="s">
        <v>64</v>
      </c>
      <c r="F4" s="56" t="s">
        <v>20</v>
      </c>
      <c r="G4" s="44">
        <v>1167</v>
      </c>
      <c r="H4" s="129">
        <f>IF(B$15=0,0,G4/B$15)</f>
        <v>0.45110166215693853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1.0319917440660475</v>
      </c>
      <c r="P4" s="115">
        <v>969</v>
      </c>
      <c r="Q4" s="99">
        <v>1000</v>
      </c>
    </row>
    <row r="5" spans="1:17" x14ac:dyDescent="0.45">
      <c r="A5" s="51" t="s">
        <v>7</v>
      </c>
      <c r="B5" s="160">
        <f>IF(B$2=0,0,B$4/B$2)</f>
        <v>-7.4225736879022812E-17</v>
      </c>
      <c r="C5" s="161"/>
      <c r="E5" s="59" t="s">
        <v>166</v>
      </c>
      <c r="F5" s="56" t="s">
        <v>167</v>
      </c>
      <c r="G5" s="44">
        <v>1020</v>
      </c>
      <c r="H5" s="129">
        <f>IF(B$15=0,0,G5/B$15)</f>
        <v>0.39427908774642445</v>
      </c>
      <c r="I5" s="90">
        <v>7</v>
      </c>
      <c r="K5" s="36">
        <v>3</v>
      </c>
      <c r="L5" s="95">
        <v>0</v>
      </c>
      <c r="N5" s="111" t="s">
        <v>133</v>
      </c>
      <c r="O5" s="118">
        <f t="shared" si="0"/>
        <v>-2.2075055187637971</v>
      </c>
      <c r="P5" s="115">
        <v>906</v>
      </c>
      <c r="Q5" s="99">
        <v>-2000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810</v>
      </c>
      <c r="H6" s="129">
        <f>IF(B$15=0,0,G6/B$15)</f>
        <v>0.31310398144569002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10.75268817204301</v>
      </c>
      <c r="P6" s="115">
        <v>837</v>
      </c>
      <c r="Q6" s="99">
        <v>9000</v>
      </c>
    </row>
    <row r="7" spans="1:17" x14ac:dyDescent="0.45">
      <c r="A7" s="51" t="s">
        <v>2</v>
      </c>
      <c r="B7" s="44">
        <v>351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711</v>
      </c>
      <c r="H7" s="129">
        <f>IF(B$15=0,0,G7/B$15)</f>
        <v>0.27483571704677234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20.114942528735632</v>
      </c>
      <c r="P7" s="116">
        <v>696</v>
      </c>
      <c r="Q7" s="100">
        <v>14000</v>
      </c>
    </row>
    <row r="8" spans="1:17" x14ac:dyDescent="0.45">
      <c r="A8" s="51" t="s">
        <v>3</v>
      </c>
      <c r="B8" s="44">
        <v>351</v>
      </c>
      <c r="C8" s="37">
        <f t="shared" si="1"/>
        <v>0.33333333333333331</v>
      </c>
      <c r="E8" s="59" t="s">
        <v>89</v>
      </c>
      <c r="F8" s="56" t="s">
        <v>44</v>
      </c>
      <c r="G8" s="44">
        <v>364</v>
      </c>
      <c r="H8" s="129">
        <f>IF(B$15=0,0,G8/B$15)</f>
        <v>0.1407035175879397</v>
      </c>
      <c r="I8" s="90">
        <v>7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351</v>
      </c>
      <c r="C9" s="38">
        <f t="shared" si="1"/>
        <v>0.33333333333333331</v>
      </c>
      <c r="E9" s="59" t="s">
        <v>69</v>
      </c>
      <c r="F9" s="56" t="s">
        <v>24</v>
      </c>
      <c r="G9" s="44">
        <v>358</v>
      </c>
      <c r="H9" s="129">
        <f>IF(B$15=0,0,G9/B$15)</f>
        <v>0.13838422883649015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104</v>
      </c>
      <c r="C10" s="40">
        <f t="shared" si="1"/>
        <v>9.8765432098765427E-2</v>
      </c>
      <c r="E10" s="59" t="s">
        <v>65</v>
      </c>
      <c r="F10" s="56" t="s">
        <v>21</v>
      </c>
      <c r="G10" s="44">
        <v>262</v>
      </c>
      <c r="H10" s="129">
        <f>IF(B$15=0,0,G10/B$15)</f>
        <v>0.10127560881329725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-4.0837606837606844</v>
      </c>
      <c r="P10" s="114">
        <v>351</v>
      </c>
      <c r="Q10" s="102">
        <v>-1433.4</v>
      </c>
    </row>
    <row r="11" spans="1:17" x14ac:dyDescent="0.45">
      <c r="A11" s="54" t="s">
        <v>121</v>
      </c>
      <c r="B11" s="47">
        <v>2208</v>
      </c>
      <c r="C11" s="42">
        <f>IF(B$3=0,0,B11/B$3)</f>
        <v>0.25059584610146407</v>
      </c>
      <c r="E11" s="59" t="s">
        <v>70</v>
      </c>
      <c r="F11" s="56" t="s">
        <v>25</v>
      </c>
      <c r="G11" s="44">
        <v>244</v>
      </c>
      <c r="H11" s="129">
        <f>IF(B$15=0,0,G11/B$15)</f>
        <v>9.4317742558948592E-2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1.572934472934473</v>
      </c>
      <c r="P11" s="115">
        <v>351</v>
      </c>
      <c r="Q11" s="103">
        <v>552.1</v>
      </c>
    </row>
    <row r="12" spans="1:17" x14ac:dyDescent="0.45">
      <c r="A12" s="51" t="s">
        <v>118</v>
      </c>
      <c r="B12" s="44">
        <v>2048</v>
      </c>
      <c r="C12" s="37">
        <f>IF(B$3=0,0,B12/B$3)</f>
        <v>0.2324367268187493</v>
      </c>
      <c r="E12" s="59" t="s">
        <v>71</v>
      </c>
      <c r="F12" s="56" t="s">
        <v>26</v>
      </c>
      <c r="G12" s="44">
        <v>212</v>
      </c>
      <c r="H12" s="129">
        <f>IF(B$15=0,0,G12/B$15)</f>
        <v>8.1948202551217625E-2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2.5108262108262092</v>
      </c>
      <c r="P12" s="116">
        <v>351</v>
      </c>
      <c r="Q12" s="104">
        <v>881.29999999999939</v>
      </c>
    </row>
    <row r="13" spans="1:17" x14ac:dyDescent="0.45">
      <c r="A13" s="50" t="s">
        <v>123</v>
      </c>
      <c r="B13" s="43">
        <f>B19</f>
        <v>1204</v>
      </c>
      <c r="C13" s="35">
        <f>IF(B$11=0,0,B13/B$11)</f>
        <v>0.54528985507246375</v>
      </c>
      <c r="E13" s="59" t="s">
        <v>83</v>
      </c>
      <c r="F13" s="56" t="s">
        <v>38</v>
      </c>
      <c r="G13" s="44">
        <v>129</v>
      </c>
      <c r="H13" s="129">
        <f>IF(B$15=0,0,G13/B$15)</f>
        <v>4.9864708156165442E-2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856</v>
      </c>
      <c r="C14" s="35">
        <f>IF(B$12=0,0,B14/B$12)</f>
        <v>0.41796875</v>
      </c>
      <c r="E14" s="59" t="s">
        <v>86</v>
      </c>
      <c r="F14" s="56" t="s">
        <v>41</v>
      </c>
      <c r="G14" s="44">
        <v>125</v>
      </c>
      <c r="H14" s="129">
        <f>IF(B$15=0,0,G14/B$15)</f>
        <v>4.8318515655199075E-2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2587</v>
      </c>
      <c r="C15" s="35">
        <f>IF(B$3=0,0,B15/B$3)</f>
        <v>0.29361025990239475</v>
      </c>
      <c r="E15" s="59" t="s">
        <v>78</v>
      </c>
      <c r="F15" s="56" t="s">
        <v>33</v>
      </c>
      <c r="G15" s="44">
        <v>71</v>
      </c>
      <c r="H15" s="129">
        <f>IF(B$15=0,0,G15/B$15)</f>
        <v>2.7444916892153073E-2</v>
      </c>
      <c r="I15" s="90">
        <v>6</v>
      </c>
      <c r="K15" s="36">
        <v>13</v>
      </c>
      <c r="L15" s="95">
        <v>-1.7</v>
      </c>
      <c r="N15" s="110" t="s">
        <v>301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1407</v>
      </c>
      <c r="C16" s="37">
        <f>IF(B$3=0,0,B16/B$3)</f>
        <v>0.15968675519237316</v>
      </c>
      <c r="E16" s="59" t="s">
        <v>81</v>
      </c>
      <c r="F16" s="56" t="s">
        <v>36</v>
      </c>
      <c r="G16" s="44">
        <v>60</v>
      </c>
      <c r="H16" s="129">
        <f>IF(B$15=0,0,G16/B$15)</f>
        <v>2.3192887514495556E-2</v>
      </c>
      <c r="I16" s="90">
        <v>6</v>
      </c>
      <c r="K16" s="36">
        <v>14</v>
      </c>
      <c r="L16" s="95">
        <v>24.3</v>
      </c>
      <c r="N16" s="111" t="s">
        <v>232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1166</v>
      </c>
      <c r="C17" s="37">
        <f>IF(B$15=0,0,B17/B$15)</f>
        <v>0.45071511403169695</v>
      </c>
      <c r="E17" s="59" t="s">
        <v>162</v>
      </c>
      <c r="F17" s="56" t="s">
        <v>163</v>
      </c>
      <c r="G17" s="44">
        <v>51</v>
      </c>
      <c r="H17" s="129">
        <f>IF(B$15=0,0,G17/B$15)</f>
        <v>1.9713954387321223E-2</v>
      </c>
      <c r="I17" s="90">
        <v>3</v>
      </c>
      <c r="K17" s="36">
        <v>15</v>
      </c>
      <c r="L17" s="95">
        <v>0</v>
      </c>
      <c r="N17" s="111" t="s">
        <v>197</v>
      </c>
      <c r="O17" s="121">
        <f>IF(P17=0,0,Q17/P17)</f>
        <v>17.765753424657508</v>
      </c>
      <c r="P17" s="115">
        <v>146</v>
      </c>
      <c r="Q17" s="103">
        <v>2593.7999999999961</v>
      </c>
    </row>
    <row r="18" spans="1:17" x14ac:dyDescent="0.45">
      <c r="A18" s="51" t="s">
        <v>11</v>
      </c>
      <c r="B18" s="44">
        <v>1421</v>
      </c>
      <c r="C18" s="37">
        <f>IF(B$15=0,0,B18/B$15)</f>
        <v>0.54928488596830305</v>
      </c>
      <c r="E18" s="59" t="s">
        <v>91</v>
      </c>
      <c r="F18" s="56" t="s">
        <v>46</v>
      </c>
      <c r="G18" s="44">
        <v>41</v>
      </c>
      <c r="H18" s="129">
        <f>IF(B$15=0,0,G18/B$15)</f>
        <v>1.5848473134905297E-2</v>
      </c>
      <c r="I18" s="90">
        <v>6</v>
      </c>
      <c r="K18" s="36">
        <v>16</v>
      </c>
      <c r="L18" s="95">
        <v>-28.2</v>
      </c>
      <c r="N18" s="111" t="s">
        <v>172</v>
      </c>
      <c r="O18" s="121">
        <f>IF(P18=0,0,Q18/P18)</f>
        <v>10.991826923076916</v>
      </c>
      <c r="P18" s="115">
        <v>208</v>
      </c>
      <c r="Q18" s="103">
        <v>2286.2999999999984</v>
      </c>
    </row>
    <row r="19" spans="1:17" x14ac:dyDescent="0.45">
      <c r="A19" s="51" t="s">
        <v>195</v>
      </c>
      <c r="B19" s="44">
        <v>1204</v>
      </c>
      <c r="C19" s="37">
        <f>IF(B$15=0,0,B19/B$15)</f>
        <v>0.46540394279087749</v>
      </c>
      <c r="E19" s="59" t="s">
        <v>79</v>
      </c>
      <c r="F19" s="56" t="s">
        <v>34</v>
      </c>
      <c r="G19" s="44">
        <v>37</v>
      </c>
      <c r="H19" s="129">
        <f>IF(B$15=0,0,G19/B$15)</f>
        <v>1.4302280633938926E-2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8.6094059405940531</v>
      </c>
      <c r="P19" s="115">
        <v>202</v>
      </c>
      <c r="Q19" s="103">
        <v>1739.0999999999985</v>
      </c>
    </row>
    <row r="20" spans="1:17" x14ac:dyDescent="0.45">
      <c r="A20" s="51" t="s">
        <v>193</v>
      </c>
      <c r="B20" s="44">
        <v>856</v>
      </c>
      <c r="C20" s="37">
        <f>IF(B$15=0,0,B20/B$15)</f>
        <v>0.33088519520680326</v>
      </c>
      <c r="E20" s="59" t="s">
        <v>75</v>
      </c>
      <c r="F20" s="56" t="s">
        <v>30</v>
      </c>
      <c r="G20" s="44">
        <v>19</v>
      </c>
      <c r="H20" s="129">
        <f>IF(B$15=0,0,G20/B$15)</f>
        <v>7.344414379590259E-3</v>
      </c>
      <c r="I20" s="90">
        <v>6</v>
      </c>
      <c r="K20" s="36">
        <v>18</v>
      </c>
      <c r="L20" s="95">
        <v>0</v>
      </c>
      <c r="N20" s="111" t="s">
        <v>200</v>
      </c>
      <c r="O20" s="121">
        <f>IF(P20=0,0,Q20/P20)</f>
        <v>4.6333333333333302</v>
      </c>
      <c r="P20" s="115">
        <v>36</v>
      </c>
      <c r="Q20" s="103">
        <v>166.7999999999999</v>
      </c>
    </row>
    <row r="21" spans="1:17" x14ac:dyDescent="0.45">
      <c r="A21" s="51" t="s">
        <v>194</v>
      </c>
      <c r="B21" s="44">
        <v>527</v>
      </c>
      <c r="C21" s="37">
        <f>IF(B$15=0,0,B21/B$15)</f>
        <v>0.20371086200231928</v>
      </c>
      <c r="E21" s="59" t="s">
        <v>92</v>
      </c>
      <c r="F21" s="56" t="s">
        <v>47</v>
      </c>
      <c r="G21" s="44">
        <v>19</v>
      </c>
      <c r="H21" s="129">
        <f>IF(B$15=0,0,G21/B$15)</f>
        <v>7.344414379590259E-3</v>
      </c>
      <c r="I21" s="90">
        <v>4</v>
      </c>
      <c r="K21" s="36">
        <v>19</v>
      </c>
      <c r="L21" s="95">
        <v>-22.4</v>
      </c>
      <c r="N21" s="111" t="s">
        <v>196</v>
      </c>
      <c r="O21" s="121">
        <f>IF(P21=0,0,Q21/P21)</f>
        <v>4.532812500000003</v>
      </c>
      <c r="P21" s="115">
        <v>64</v>
      </c>
      <c r="Q21" s="103">
        <v>290.10000000000019</v>
      </c>
    </row>
    <row r="22" spans="1:17" x14ac:dyDescent="0.45">
      <c r="A22" s="51" t="s">
        <v>5</v>
      </c>
      <c r="B22" s="48">
        <f>IF(B$15=0,0,C22/B$15)</f>
        <v>8450.5604947816009</v>
      </c>
      <c r="C22" s="39">
        <v>21861600</v>
      </c>
      <c r="E22" s="59" t="s">
        <v>85</v>
      </c>
      <c r="F22" s="56" t="s">
        <v>40</v>
      </c>
      <c r="G22" s="44">
        <v>15</v>
      </c>
      <c r="H22" s="129">
        <f>IF(B$15=0,0,G22/B$15)</f>
        <v>5.798221878623889E-3</v>
      </c>
      <c r="I22" s="90">
        <v>6</v>
      </c>
      <c r="K22" s="36">
        <v>20</v>
      </c>
      <c r="L22" s="95">
        <v>-61.199999999999996</v>
      </c>
      <c r="N22" s="111" t="s">
        <v>127</v>
      </c>
      <c r="O22" s="121">
        <f>IF(P22=0,0,Q22/P22)</f>
        <v>0.75655737704917736</v>
      </c>
      <c r="P22" s="115">
        <v>366</v>
      </c>
      <c r="Q22" s="103">
        <v>276.8999999999989</v>
      </c>
    </row>
    <row r="23" spans="1:17" x14ac:dyDescent="0.45">
      <c r="A23" s="52" t="s">
        <v>177</v>
      </c>
      <c r="B23" s="136">
        <f>IF($B$15-B$14=0,0,C23/($B$15-B$14))</f>
        <v>9129.2894280762557</v>
      </c>
      <c r="C23" s="137">
        <v>15802800</v>
      </c>
      <c r="E23" s="59" t="s">
        <v>73</v>
      </c>
      <c r="F23" s="56" t="s">
        <v>28</v>
      </c>
      <c r="G23" s="44">
        <v>9</v>
      </c>
      <c r="H23" s="129">
        <f>IF(B$15=0,0,G23/B$15)</f>
        <v>3.4789331271743332E-3</v>
      </c>
      <c r="I23" s="90">
        <v>4</v>
      </c>
      <c r="K23" s="36">
        <v>21</v>
      </c>
      <c r="L23" s="95">
        <v>7.1054273576010019E-15</v>
      </c>
      <c r="N23" s="111" t="s">
        <v>171</v>
      </c>
      <c r="O23" s="121">
        <f>IF(P23=0,0,Q23/P23)</f>
        <v>0.57056962025316482</v>
      </c>
      <c r="P23" s="115">
        <v>316</v>
      </c>
      <c r="Q23" s="103">
        <v>180.30000000000007</v>
      </c>
    </row>
    <row r="24" spans="1:17" x14ac:dyDescent="0.45">
      <c r="A24" s="52" t="s">
        <v>178</v>
      </c>
      <c r="B24" s="136">
        <f>IF(B$14=0,0,C24/B$14)</f>
        <v>7078.0373831775705</v>
      </c>
      <c r="C24" s="137">
        <v>6058800</v>
      </c>
      <c r="E24" s="59" t="s">
        <v>74</v>
      </c>
      <c r="F24" s="56" t="s">
        <v>29</v>
      </c>
      <c r="G24" s="44">
        <v>8</v>
      </c>
      <c r="H24" s="129">
        <f>IF(B$15=0,0,G24/B$15)</f>
        <v>3.0923850019327404E-3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-6.5999999999999934</v>
      </c>
      <c r="P24" s="115">
        <v>318</v>
      </c>
      <c r="Q24" s="103">
        <v>-2098.7999999999979</v>
      </c>
    </row>
    <row r="25" spans="1:17" x14ac:dyDescent="0.45">
      <c r="A25" s="52" t="s">
        <v>176</v>
      </c>
      <c r="B25" s="136">
        <f>IF(B$16=0,0,C25/B$16)</f>
        <v>-7878.6780383795312</v>
      </c>
      <c r="C25" s="137">
        <v>-11085300</v>
      </c>
      <c r="E25" s="59" t="s">
        <v>84</v>
      </c>
      <c r="F25" s="56" t="s">
        <v>39</v>
      </c>
      <c r="G25" s="44">
        <v>8</v>
      </c>
      <c r="H25" s="129">
        <f>IF(B$15=0,0,G25/B$15)</f>
        <v>3.0923850019327404E-3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-14.011137440758292</v>
      </c>
      <c r="P25" s="115">
        <v>422</v>
      </c>
      <c r="Q25" s="103">
        <v>-5912.6999999999989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7</v>
      </c>
      <c r="H26" s="129">
        <f>IF(B$15=0,0,G26/B$15)</f>
        <v>2.7058368766911482E-3</v>
      </c>
      <c r="I26" s="90">
        <v>4</v>
      </c>
      <c r="K26" s="36">
        <v>24</v>
      </c>
      <c r="L26" s="95">
        <v>7.1054273576010019E-15</v>
      </c>
      <c r="N26" s="111" t="s">
        <v>256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0</v>
      </c>
      <c r="E27" s="59" t="s">
        <v>88</v>
      </c>
      <c r="F27" s="56" t="s">
        <v>43</v>
      </c>
      <c r="G27" s="44">
        <v>7</v>
      </c>
      <c r="H27" s="129">
        <f>IF(B$15=0,0,G27/B$15)</f>
        <v>2.7058368766911482E-3</v>
      </c>
      <c r="I27" s="90">
        <v>5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5</v>
      </c>
      <c r="H28" s="129">
        <f>IF(B$15=0,0,G28/B$15)</f>
        <v>1.9327406262079629E-3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5</v>
      </c>
      <c r="H29" s="129">
        <f>IF(B$15=0,0,G29/B$15)</f>
        <v>1.9327406262079629E-3</v>
      </c>
      <c r="I29" s="90">
        <v>3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24</v>
      </c>
      <c r="C30" s="40">
        <f>IF(B$3=0,0,B30/B$3)</f>
        <v>2.723867892407218E-3</v>
      </c>
      <c r="E30" s="59" t="s">
        <v>95</v>
      </c>
      <c r="F30" s="56" t="s">
        <v>50</v>
      </c>
      <c r="G30" s="44">
        <v>5</v>
      </c>
      <c r="H30" s="129">
        <f>IF(B$15=0,0,G30/B$15)</f>
        <v>1.9327406262079629E-3</v>
      </c>
      <c r="I30" s="90">
        <v>5</v>
      </c>
      <c r="K30" s="36">
        <v>28</v>
      </c>
      <c r="L30" s="95">
        <v>-30.199999999999992</v>
      </c>
    </row>
    <row r="31" spans="1:17" x14ac:dyDescent="0.45">
      <c r="E31" s="59" t="s">
        <v>93</v>
      </c>
      <c r="F31" s="56" t="s">
        <v>48</v>
      </c>
      <c r="G31" s="44">
        <v>4</v>
      </c>
      <c r="H31" s="129">
        <f>IF(B$15=0,0,G31/B$15)</f>
        <v>1.5461925009663702E-3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201</v>
      </c>
      <c r="C32" s="141">
        <f>IF(B$15=0,0,B32/B$15)</f>
        <v>7.7696173173560104E-2</v>
      </c>
      <c r="E32" s="59" t="s">
        <v>76</v>
      </c>
      <c r="F32" s="56" t="s">
        <v>31</v>
      </c>
      <c r="G32" s="44">
        <v>1</v>
      </c>
      <c r="H32" s="129">
        <f>IF(B$15=0,0,G32/B$15)</f>
        <v>3.8654812524159255E-4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443</v>
      </c>
      <c r="C33" s="37">
        <f t="shared" ref="C33:C44" si="2">IF(B$15=0,0,B33/B$15)</f>
        <v>0.17124081948202552</v>
      </c>
      <c r="E33" s="59" t="s">
        <v>97</v>
      </c>
      <c r="F33" s="56" t="s">
        <v>52</v>
      </c>
      <c r="G33" s="44">
        <v>1</v>
      </c>
      <c r="H33" s="129">
        <f>IF(B$15=0,0,G33/B$15)</f>
        <v>3.8654812524159255E-4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498</v>
      </c>
      <c r="C34" s="37">
        <f>IF(B$15=0,0,B34/B$15)</f>
        <v>0.19250096637031311</v>
      </c>
      <c r="E34" s="59" t="s">
        <v>101</v>
      </c>
      <c r="F34" s="56" t="s">
        <v>56</v>
      </c>
      <c r="G34" s="44">
        <v>1</v>
      </c>
      <c r="H34" s="129">
        <f>IF(B$15=0,0,G34/B$15)</f>
        <v>3.8654812524159255E-4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469</v>
      </c>
      <c r="C35" s="37">
        <f t="shared" si="2"/>
        <v>0.18129107073830691</v>
      </c>
      <c r="E35" s="59" t="s">
        <v>106</v>
      </c>
      <c r="F35" s="56" t="s">
        <v>113</v>
      </c>
      <c r="G35" s="44">
        <v>1</v>
      </c>
      <c r="H35" s="129">
        <f>IF(B$15=0,0,G35/B$15)</f>
        <v>3.8654812524159255E-4</v>
      </c>
      <c r="I35" s="90">
        <v>2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403</v>
      </c>
      <c r="C36" s="37">
        <f t="shared" si="2"/>
        <v>0.15577889447236182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269</v>
      </c>
      <c r="C37" s="37">
        <f t="shared" si="2"/>
        <v>0.10398144568998841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132</v>
      </c>
      <c r="C38" s="37">
        <f t="shared" si="2"/>
        <v>5.1024352531890221E-2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76</v>
      </c>
      <c r="C39" s="37">
        <f t="shared" si="2"/>
        <v>2.9377657518361036E-2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35</v>
      </c>
      <c r="C40" s="37">
        <f t="shared" si="2"/>
        <v>1.3529184383455741E-2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13</v>
      </c>
      <c r="C41" s="37">
        <f t="shared" si="2"/>
        <v>5.0251256281407036E-3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9</v>
      </c>
      <c r="C42" s="37">
        <f t="shared" si="2"/>
        <v>3.4789331271743332E-3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2.3192887514495554E-3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33</v>
      </c>
      <c r="C44" s="40">
        <f t="shared" si="2"/>
        <v>1.2756088132972555E-2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  <row r="891" spans="11:12" x14ac:dyDescent="0.45">
      <c r="K891" s="36">
        <v>889</v>
      </c>
      <c r="L891" s="95">
        <v>-65.500000000000057</v>
      </c>
    </row>
    <row r="892" spans="11:12" x14ac:dyDescent="0.45">
      <c r="K892" s="36">
        <v>890</v>
      </c>
      <c r="L892" s="95">
        <v>-12.000000000000057</v>
      </c>
    </row>
    <row r="893" spans="11:12" x14ac:dyDescent="0.45">
      <c r="K893" s="36">
        <v>891</v>
      </c>
      <c r="L893" s="95">
        <v>-5.6843418860808015E-14</v>
      </c>
    </row>
    <row r="894" spans="11:12" x14ac:dyDescent="0.45">
      <c r="K894" s="36">
        <v>892</v>
      </c>
      <c r="L894" s="95">
        <v>-9.2000000000000561</v>
      </c>
    </row>
    <row r="895" spans="11:12" x14ac:dyDescent="0.45">
      <c r="K895" s="36">
        <v>893</v>
      </c>
      <c r="L895" s="95">
        <v>-39.70000000000006</v>
      </c>
    </row>
    <row r="896" spans="11:12" x14ac:dyDescent="0.45">
      <c r="K896" s="36">
        <v>894</v>
      </c>
      <c r="L896" s="95">
        <v>-5.6843418860808015E-14</v>
      </c>
    </row>
    <row r="897" spans="11:12" x14ac:dyDescent="0.45">
      <c r="K897" s="36">
        <v>895</v>
      </c>
      <c r="L897" s="95">
        <v>-36.300000000000054</v>
      </c>
    </row>
    <row r="898" spans="11:12" x14ac:dyDescent="0.45">
      <c r="K898" s="36">
        <v>896</v>
      </c>
      <c r="L898" s="95">
        <v>-56.300000000000054</v>
      </c>
    </row>
    <row r="899" spans="11:12" x14ac:dyDescent="0.45">
      <c r="K899" s="36">
        <v>897</v>
      </c>
      <c r="L899" s="95">
        <v>-5.6843418860808015E-14</v>
      </c>
    </row>
    <row r="900" spans="11:12" x14ac:dyDescent="0.45">
      <c r="K900" s="36">
        <v>898</v>
      </c>
      <c r="L900" s="95">
        <v>-37.20000000000006</v>
      </c>
    </row>
    <row r="901" spans="11:12" x14ac:dyDescent="0.45">
      <c r="K901" s="36">
        <v>899</v>
      </c>
      <c r="L901" s="95">
        <v>-8.400000000000059</v>
      </c>
    </row>
    <row r="902" spans="11:12" x14ac:dyDescent="0.45">
      <c r="K902" s="36">
        <v>900</v>
      </c>
      <c r="L902" s="95">
        <v>-5.8619775700208265E-14</v>
      </c>
    </row>
    <row r="903" spans="11:12" x14ac:dyDescent="0.45">
      <c r="K903" s="36">
        <v>901</v>
      </c>
      <c r="L903" s="95">
        <v>-27.400000000000055</v>
      </c>
    </row>
    <row r="904" spans="11:12" x14ac:dyDescent="0.45">
      <c r="K904" s="36">
        <v>902</v>
      </c>
      <c r="L904" s="95">
        <v>-35.70000000000006</v>
      </c>
    </row>
    <row r="905" spans="11:12" x14ac:dyDescent="0.45">
      <c r="K905" s="36">
        <v>903</v>
      </c>
      <c r="L905" s="95">
        <v>-5.6843418860808015E-14</v>
      </c>
    </row>
    <row r="906" spans="11:12" x14ac:dyDescent="0.45">
      <c r="K906" s="36">
        <v>904</v>
      </c>
      <c r="L906" s="95">
        <v>-3.4000000000000568</v>
      </c>
    </row>
    <row r="907" spans="11:12" x14ac:dyDescent="0.45">
      <c r="K907" s="36">
        <v>905</v>
      </c>
      <c r="L907" s="95">
        <v>17.599999999999945</v>
      </c>
    </row>
    <row r="908" spans="11:12" x14ac:dyDescent="0.45">
      <c r="K908" s="36">
        <v>906</v>
      </c>
      <c r="L908" s="95">
        <v>-5.6843418860808015E-14</v>
      </c>
    </row>
    <row r="909" spans="11:12" x14ac:dyDescent="0.45">
      <c r="K909" s="36">
        <v>907</v>
      </c>
      <c r="L909" s="95">
        <v>-11.000000000000057</v>
      </c>
    </row>
    <row r="910" spans="11:12" x14ac:dyDescent="0.45">
      <c r="K910" s="36">
        <v>908</v>
      </c>
      <c r="L910" s="95">
        <v>27.199999999999946</v>
      </c>
    </row>
    <row r="911" spans="11:12" x14ac:dyDescent="0.45">
      <c r="K911" s="36">
        <v>909</v>
      </c>
      <c r="L911" s="95">
        <v>-5.3290705182007514E-14</v>
      </c>
    </row>
    <row r="912" spans="11:12" x14ac:dyDescent="0.45">
      <c r="K912" s="36">
        <v>910</v>
      </c>
      <c r="L912" s="95">
        <v>-28.700000000000053</v>
      </c>
    </row>
    <row r="913" spans="11:12" x14ac:dyDescent="0.45">
      <c r="K913" s="36">
        <v>911</v>
      </c>
      <c r="L913" s="95">
        <v>-27.900000000000052</v>
      </c>
    </row>
    <row r="914" spans="11:12" x14ac:dyDescent="0.45">
      <c r="K914" s="36">
        <v>912</v>
      </c>
      <c r="L914" s="95">
        <v>-5.3290705182007514E-14</v>
      </c>
    </row>
    <row r="915" spans="11:12" x14ac:dyDescent="0.45">
      <c r="K915" s="36">
        <v>913</v>
      </c>
      <c r="L915" s="95">
        <v>-44.000000000000057</v>
      </c>
    </row>
    <row r="916" spans="11:12" x14ac:dyDescent="0.45">
      <c r="K916" s="36">
        <v>914</v>
      </c>
      <c r="L916" s="95">
        <v>0.79999999999994031</v>
      </c>
    </row>
    <row r="917" spans="11:12" x14ac:dyDescent="0.45">
      <c r="K917" s="36">
        <v>915</v>
      </c>
      <c r="L917" s="95">
        <v>-5.9729998724833422E-14</v>
      </c>
    </row>
    <row r="918" spans="11:12" x14ac:dyDescent="0.45">
      <c r="K918" s="36">
        <v>916</v>
      </c>
      <c r="L918" s="95">
        <v>-18.900000000000059</v>
      </c>
    </row>
    <row r="919" spans="11:12" x14ac:dyDescent="0.45">
      <c r="K919" s="36">
        <v>917</v>
      </c>
      <c r="L919" s="95">
        <v>-56.400000000000063</v>
      </c>
    </row>
    <row r="920" spans="11:12" x14ac:dyDescent="0.45">
      <c r="K920" s="36">
        <v>918</v>
      </c>
      <c r="L920" s="95">
        <v>-6.3948846218409017E-14</v>
      </c>
    </row>
    <row r="921" spans="11:12" x14ac:dyDescent="0.45">
      <c r="K921" s="36">
        <v>919</v>
      </c>
      <c r="L921" s="95">
        <v>12.199999999999935</v>
      </c>
    </row>
    <row r="922" spans="11:12" x14ac:dyDescent="0.45">
      <c r="K922" s="36">
        <v>920</v>
      </c>
      <c r="L922" s="95">
        <v>34.499999999999936</v>
      </c>
    </row>
    <row r="923" spans="11:12" x14ac:dyDescent="0.45">
      <c r="K923" s="36">
        <v>921</v>
      </c>
      <c r="L923" s="95">
        <v>-6.3948846218409017E-14</v>
      </c>
    </row>
    <row r="924" spans="11:12" x14ac:dyDescent="0.45">
      <c r="K924" s="36">
        <v>922</v>
      </c>
      <c r="L924" s="95">
        <v>-47.000000000000064</v>
      </c>
    </row>
    <row r="925" spans="11:12" x14ac:dyDescent="0.45">
      <c r="K925" s="36">
        <v>923</v>
      </c>
      <c r="L925" s="95">
        <v>-47.300000000000061</v>
      </c>
    </row>
    <row r="926" spans="11:12" x14ac:dyDescent="0.45">
      <c r="K926" s="36">
        <v>924</v>
      </c>
      <c r="L926" s="95">
        <v>-6.3948846218409017E-14</v>
      </c>
    </row>
    <row r="927" spans="11:12" x14ac:dyDescent="0.45">
      <c r="K927" s="36">
        <v>925</v>
      </c>
      <c r="L927" s="95">
        <v>-34.500000000000064</v>
      </c>
    </row>
    <row r="928" spans="11:12" x14ac:dyDescent="0.45">
      <c r="K928" s="36">
        <v>926</v>
      </c>
      <c r="L928" s="95">
        <v>-47.500000000000064</v>
      </c>
    </row>
    <row r="929" spans="11:12" x14ac:dyDescent="0.45">
      <c r="K929" s="36">
        <v>927</v>
      </c>
      <c r="L929" s="95">
        <v>-6.3948846218409017E-14</v>
      </c>
    </row>
    <row r="930" spans="11:12" x14ac:dyDescent="0.45">
      <c r="K930" s="36">
        <v>928</v>
      </c>
      <c r="L930" s="95">
        <v>-22.000000000000064</v>
      </c>
    </row>
    <row r="931" spans="11:12" x14ac:dyDescent="0.45">
      <c r="K931" s="36">
        <v>929</v>
      </c>
      <c r="L931" s="95">
        <v>-60.700000000000067</v>
      </c>
    </row>
    <row r="932" spans="11:12" x14ac:dyDescent="0.45">
      <c r="K932" s="36">
        <v>930</v>
      </c>
      <c r="L932" s="95">
        <v>-6.3948846218409017E-14</v>
      </c>
    </row>
    <row r="933" spans="11:12" x14ac:dyDescent="0.45">
      <c r="K933" s="36">
        <v>931</v>
      </c>
      <c r="L933" s="95">
        <v>31.199999999999935</v>
      </c>
    </row>
    <row r="934" spans="11:12" x14ac:dyDescent="0.45">
      <c r="K934" s="36">
        <v>932</v>
      </c>
      <c r="L934" s="95">
        <v>6.6999999999999353</v>
      </c>
    </row>
    <row r="935" spans="11:12" x14ac:dyDescent="0.45">
      <c r="K935" s="36">
        <v>933</v>
      </c>
      <c r="L935" s="95">
        <v>-6.4837024638109142E-14</v>
      </c>
    </row>
    <row r="936" spans="11:12" x14ac:dyDescent="0.45">
      <c r="K936" s="36">
        <v>934</v>
      </c>
      <c r="L936" s="95">
        <v>-45.300000000000061</v>
      </c>
    </row>
    <row r="937" spans="11:12" x14ac:dyDescent="0.45">
      <c r="K937" s="36">
        <v>935</v>
      </c>
      <c r="L937" s="95">
        <v>-4.5000000000000639</v>
      </c>
    </row>
    <row r="938" spans="11:12" x14ac:dyDescent="0.45">
      <c r="K938" s="36">
        <v>936</v>
      </c>
      <c r="L938" s="95">
        <v>-6.3948846218409017E-14</v>
      </c>
    </row>
    <row r="939" spans="11:12" x14ac:dyDescent="0.45">
      <c r="K939" s="36">
        <v>937</v>
      </c>
      <c r="L939" s="95">
        <v>-31.700000000000063</v>
      </c>
    </row>
    <row r="940" spans="11:12" x14ac:dyDescent="0.45">
      <c r="K940" s="36">
        <v>938</v>
      </c>
      <c r="L940" s="95">
        <v>-25.200000000000063</v>
      </c>
    </row>
    <row r="941" spans="11:12" x14ac:dyDescent="0.45">
      <c r="K941" s="36">
        <v>939</v>
      </c>
      <c r="L941" s="95">
        <v>-6.3948846218409017E-14</v>
      </c>
    </row>
    <row r="942" spans="11:12" x14ac:dyDescent="0.45">
      <c r="K942" s="36">
        <v>940</v>
      </c>
      <c r="L942" s="95">
        <v>-61.300000000000061</v>
      </c>
    </row>
    <row r="943" spans="11:12" x14ac:dyDescent="0.45">
      <c r="K943" s="36">
        <v>941</v>
      </c>
      <c r="L943" s="95">
        <v>-20.100000000000058</v>
      </c>
    </row>
    <row r="944" spans="11:12" x14ac:dyDescent="0.45">
      <c r="K944" s="36">
        <v>942</v>
      </c>
      <c r="L944" s="95">
        <v>-5.6843418860808015E-14</v>
      </c>
    </row>
    <row r="945" spans="11:12" x14ac:dyDescent="0.45">
      <c r="K945" s="36">
        <v>943</v>
      </c>
      <c r="L945" s="95">
        <v>-25.700000000000056</v>
      </c>
    </row>
    <row r="946" spans="11:12" x14ac:dyDescent="0.45">
      <c r="K946" s="36">
        <v>944</v>
      </c>
      <c r="L946" s="95">
        <v>7.6999999999999424</v>
      </c>
    </row>
    <row r="947" spans="11:12" x14ac:dyDescent="0.45">
      <c r="K947" s="36">
        <v>945</v>
      </c>
      <c r="L947" s="95">
        <v>-5.773159728050814E-14</v>
      </c>
    </row>
    <row r="948" spans="11:12" x14ac:dyDescent="0.45">
      <c r="K948" s="36">
        <v>946</v>
      </c>
      <c r="L948" s="95">
        <v>-31.800000000000058</v>
      </c>
    </row>
    <row r="949" spans="11:12" x14ac:dyDescent="0.45">
      <c r="K949" s="36">
        <v>947</v>
      </c>
      <c r="L949" s="95">
        <v>-24.20000000000006</v>
      </c>
    </row>
    <row r="950" spans="11:12" x14ac:dyDescent="0.45">
      <c r="K950" s="36">
        <v>948</v>
      </c>
      <c r="L950" s="95">
        <v>-6.0396132539608516E-14</v>
      </c>
    </row>
    <row r="951" spans="11:12" x14ac:dyDescent="0.45">
      <c r="K951" s="36">
        <v>949</v>
      </c>
      <c r="L951" s="95">
        <v>-0.60000000000006037</v>
      </c>
    </row>
    <row r="952" spans="11:12" x14ac:dyDescent="0.45">
      <c r="K952" s="36">
        <v>950</v>
      </c>
      <c r="L952" s="95">
        <v>-25.200000000000063</v>
      </c>
    </row>
    <row r="953" spans="11:12" x14ac:dyDescent="0.45">
      <c r="K953" s="36">
        <v>951</v>
      </c>
      <c r="L953" s="95">
        <v>-6.3948846218409017E-14</v>
      </c>
    </row>
    <row r="954" spans="11:12" x14ac:dyDescent="0.45">
      <c r="K954" s="36">
        <v>952</v>
      </c>
      <c r="L954" s="95">
        <v>31.699999999999935</v>
      </c>
    </row>
    <row r="955" spans="11:12" x14ac:dyDescent="0.45">
      <c r="K955" s="36">
        <v>953</v>
      </c>
      <c r="L955" s="95">
        <v>23.799999999999933</v>
      </c>
    </row>
    <row r="956" spans="11:12" x14ac:dyDescent="0.45">
      <c r="K956" s="36">
        <v>954</v>
      </c>
      <c r="L956" s="95">
        <v>-6.7501559897209518E-14</v>
      </c>
    </row>
    <row r="957" spans="11:12" x14ac:dyDescent="0.45">
      <c r="K957" s="36">
        <v>955</v>
      </c>
      <c r="L957" s="95">
        <v>-7.8000000000000673</v>
      </c>
    </row>
    <row r="958" spans="11:12" x14ac:dyDescent="0.45">
      <c r="K958" s="36">
        <v>956</v>
      </c>
      <c r="L958" s="95">
        <v>-32.200000000000067</v>
      </c>
    </row>
    <row r="959" spans="11:12" x14ac:dyDescent="0.45">
      <c r="K959" s="36">
        <v>957</v>
      </c>
      <c r="L959" s="95">
        <v>-6.3948846218409017E-14</v>
      </c>
    </row>
    <row r="960" spans="11:12" x14ac:dyDescent="0.45">
      <c r="K960" s="36">
        <v>958</v>
      </c>
      <c r="L960" s="95">
        <v>-2.9000000000000639</v>
      </c>
    </row>
    <row r="961" spans="11:12" x14ac:dyDescent="0.45">
      <c r="K961" s="36">
        <v>959</v>
      </c>
      <c r="L961" s="95">
        <v>33.099999999999937</v>
      </c>
    </row>
    <row r="962" spans="11:12" x14ac:dyDescent="0.45">
      <c r="K962" s="36">
        <v>960</v>
      </c>
      <c r="L962" s="95">
        <v>-6.3948846218409017E-14</v>
      </c>
    </row>
    <row r="963" spans="11:12" x14ac:dyDescent="0.45">
      <c r="K963" s="36">
        <v>961</v>
      </c>
      <c r="L963" s="95">
        <v>31.999999999999936</v>
      </c>
    </row>
    <row r="964" spans="11:12" x14ac:dyDescent="0.45">
      <c r="K964" s="36">
        <v>962</v>
      </c>
      <c r="L964" s="95">
        <v>37.999999999999936</v>
      </c>
    </row>
    <row r="965" spans="11:12" x14ac:dyDescent="0.45">
      <c r="K965" s="36">
        <v>963</v>
      </c>
      <c r="L965" s="95">
        <v>-6.3948846218409017E-14</v>
      </c>
    </row>
    <row r="966" spans="11:12" x14ac:dyDescent="0.45">
      <c r="K966" s="36">
        <v>964</v>
      </c>
      <c r="L966" s="95">
        <v>-53.000000000000064</v>
      </c>
    </row>
    <row r="967" spans="11:12" x14ac:dyDescent="0.45">
      <c r="K967" s="36">
        <v>965</v>
      </c>
      <c r="L967" s="95">
        <v>-11.500000000000064</v>
      </c>
    </row>
    <row r="968" spans="11:12" x14ac:dyDescent="0.45">
      <c r="K968" s="36">
        <v>966</v>
      </c>
      <c r="L968" s="95">
        <v>-6.3948846218409017E-14</v>
      </c>
    </row>
    <row r="969" spans="11:12" x14ac:dyDescent="0.45">
      <c r="K969" s="36">
        <v>967</v>
      </c>
      <c r="L969" s="95">
        <v>-53.200000000000067</v>
      </c>
    </row>
    <row r="970" spans="11:12" x14ac:dyDescent="0.45">
      <c r="K970" s="36">
        <v>968</v>
      </c>
      <c r="L970" s="95">
        <v>-16.600000000000065</v>
      </c>
    </row>
    <row r="971" spans="11:12" x14ac:dyDescent="0.45">
      <c r="K971" s="36">
        <v>969</v>
      </c>
      <c r="L971" s="95">
        <v>-6.3948846218409017E-14</v>
      </c>
    </row>
    <row r="972" spans="11:12" x14ac:dyDescent="0.45">
      <c r="K972" s="36">
        <v>970</v>
      </c>
      <c r="L972" s="95">
        <v>-23.200000000000063</v>
      </c>
    </row>
    <row r="973" spans="11:12" x14ac:dyDescent="0.45">
      <c r="K973" s="36">
        <v>971</v>
      </c>
      <c r="L973" s="95">
        <v>-31.900000000000063</v>
      </c>
    </row>
    <row r="974" spans="11:12" x14ac:dyDescent="0.45">
      <c r="K974" s="36">
        <v>972</v>
      </c>
      <c r="L974" s="95">
        <v>-6.3948846218409017E-14</v>
      </c>
    </row>
    <row r="975" spans="11:12" x14ac:dyDescent="0.45">
      <c r="K975" s="36">
        <v>973</v>
      </c>
      <c r="L975" s="95">
        <v>-47.400000000000063</v>
      </c>
    </row>
    <row r="976" spans="11:12" x14ac:dyDescent="0.45">
      <c r="K976" s="36">
        <v>974</v>
      </c>
      <c r="L976" s="95">
        <v>-41.500000000000064</v>
      </c>
    </row>
    <row r="977" spans="11:12" x14ac:dyDescent="0.45">
      <c r="K977" s="36">
        <v>975</v>
      </c>
      <c r="L977" s="95">
        <v>-6.3948846218409017E-14</v>
      </c>
    </row>
    <row r="978" spans="11:12" x14ac:dyDescent="0.45">
      <c r="K978" s="36">
        <v>976</v>
      </c>
      <c r="L978" s="95">
        <v>-10.900000000000064</v>
      </c>
    </row>
    <row r="979" spans="11:12" x14ac:dyDescent="0.45">
      <c r="K979" s="36">
        <v>977</v>
      </c>
      <c r="L979" s="95">
        <v>-49.600000000000065</v>
      </c>
    </row>
    <row r="980" spans="11:12" x14ac:dyDescent="0.45">
      <c r="K980" s="36">
        <v>978</v>
      </c>
      <c r="L980" s="95">
        <v>-6.3948846218409017E-14</v>
      </c>
    </row>
    <row r="981" spans="11:12" x14ac:dyDescent="0.45">
      <c r="K981" s="36">
        <v>979</v>
      </c>
      <c r="L981" s="95">
        <v>9.1999999999999353</v>
      </c>
    </row>
    <row r="982" spans="11:12" x14ac:dyDescent="0.45">
      <c r="K982" s="36">
        <v>980</v>
      </c>
      <c r="L982" s="95">
        <v>45.499999999999929</v>
      </c>
    </row>
    <row r="983" spans="11:12" x14ac:dyDescent="0.45">
      <c r="K983" s="36">
        <v>981</v>
      </c>
      <c r="L983" s="95">
        <v>-7.1054273576010019E-14</v>
      </c>
    </row>
    <row r="984" spans="11:12" x14ac:dyDescent="0.45">
      <c r="K984" s="36">
        <v>982</v>
      </c>
      <c r="L984" s="95">
        <v>30.29999999999993</v>
      </c>
    </row>
    <row r="985" spans="11:12" x14ac:dyDescent="0.45">
      <c r="K985" s="36">
        <v>983</v>
      </c>
      <c r="L985" s="95">
        <v>46.499999999999929</v>
      </c>
    </row>
    <row r="986" spans="11:12" x14ac:dyDescent="0.45">
      <c r="K986" s="36">
        <v>984</v>
      </c>
      <c r="L986" s="95">
        <v>-7.1054273576010019E-14</v>
      </c>
    </row>
    <row r="987" spans="11:12" x14ac:dyDescent="0.45">
      <c r="K987" s="36">
        <v>985</v>
      </c>
      <c r="L987" s="95">
        <v>30.399999999999928</v>
      </c>
    </row>
    <row r="988" spans="11:12" x14ac:dyDescent="0.45">
      <c r="K988" s="36">
        <v>986</v>
      </c>
      <c r="L988" s="95">
        <v>45.499999999999929</v>
      </c>
    </row>
    <row r="989" spans="11:12" x14ac:dyDescent="0.45">
      <c r="K989" s="36">
        <v>987</v>
      </c>
      <c r="L989" s="95">
        <v>-7.1054273576010019E-14</v>
      </c>
    </row>
    <row r="990" spans="11:12" x14ac:dyDescent="0.45">
      <c r="K990" s="36">
        <v>988</v>
      </c>
      <c r="L990" s="95">
        <v>34.59999999999993</v>
      </c>
    </row>
    <row r="991" spans="11:12" x14ac:dyDescent="0.45">
      <c r="K991" s="36">
        <v>989</v>
      </c>
      <c r="L991" s="95">
        <v>-11.500000000000071</v>
      </c>
    </row>
    <row r="992" spans="11:12" x14ac:dyDescent="0.45">
      <c r="K992" s="36">
        <v>990</v>
      </c>
      <c r="L992" s="95">
        <v>-7.1054273576010019E-14</v>
      </c>
    </row>
    <row r="993" spans="11:12" x14ac:dyDescent="0.45">
      <c r="K993" s="36">
        <v>991</v>
      </c>
      <c r="L993" s="95">
        <v>1.299999999999929</v>
      </c>
    </row>
    <row r="994" spans="11:12" x14ac:dyDescent="0.45">
      <c r="K994" s="36">
        <v>992</v>
      </c>
      <c r="L994" s="95">
        <v>-15.800000000000072</v>
      </c>
    </row>
    <row r="995" spans="11:12" x14ac:dyDescent="0.45">
      <c r="K995" s="36">
        <v>993</v>
      </c>
      <c r="L995" s="95">
        <v>-7.1054273576010019E-14</v>
      </c>
    </row>
    <row r="996" spans="11:12" x14ac:dyDescent="0.45">
      <c r="K996" s="36">
        <v>994</v>
      </c>
      <c r="L996" s="95">
        <v>74.099999999999923</v>
      </c>
    </row>
    <row r="997" spans="11:12" x14ac:dyDescent="0.45">
      <c r="K997" s="36">
        <v>995</v>
      </c>
      <c r="L997" s="95">
        <v>27.499999999999922</v>
      </c>
    </row>
    <row r="998" spans="11:12" x14ac:dyDescent="0.45">
      <c r="K998" s="36">
        <v>996</v>
      </c>
      <c r="L998" s="95">
        <v>-7.815970093361102E-14</v>
      </c>
    </row>
    <row r="999" spans="11:12" x14ac:dyDescent="0.45">
      <c r="K999" s="36">
        <v>997</v>
      </c>
      <c r="L999" s="95">
        <v>62.599999999999923</v>
      </c>
    </row>
    <row r="1000" spans="11:12" x14ac:dyDescent="0.45">
      <c r="K1000" s="36">
        <v>998</v>
      </c>
      <c r="L1000" s="95">
        <v>9.4999999999999218</v>
      </c>
    </row>
    <row r="1001" spans="11:12" x14ac:dyDescent="0.45">
      <c r="K1001" s="36">
        <v>999</v>
      </c>
      <c r="L1001" s="95">
        <v>-7.815970093361102E-14</v>
      </c>
    </row>
    <row r="1002" spans="11:12" x14ac:dyDescent="0.45">
      <c r="K1002" s="36">
        <v>1000</v>
      </c>
      <c r="L1002" s="95">
        <v>-52.000000000000078</v>
      </c>
    </row>
    <row r="1003" spans="11:12" x14ac:dyDescent="0.45">
      <c r="K1003" s="36">
        <v>1001</v>
      </c>
      <c r="L1003" s="95">
        <v>-55.500000000000078</v>
      </c>
    </row>
    <row r="1004" spans="11:12" x14ac:dyDescent="0.45">
      <c r="K1004" s="36">
        <v>1002</v>
      </c>
      <c r="L1004" s="95">
        <v>-7.815970093361102E-14</v>
      </c>
    </row>
    <row r="1005" spans="11:12" x14ac:dyDescent="0.45">
      <c r="K1005" s="36">
        <v>1003</v>
      </c>
      <c r="L1005" s="95">
        <v>-45.200000000000081</v>
      </c>
    </row>
    <row r="1006" spans="11:12" x14ac:dyDescent="0.45">
      <c r="K1006" s="36">
        <v>1004</v>
      </c>
      <c r="L1006" s="95">
        <v>-28.200000000000081</v>
      </c>
    </row>
    <row r="1007" spans="11:12" x14ac:dyDescent="0.45">
      <c r="K1007" s="36">
        <v>1005</v>
      </c>
      <c r="L1007" s="95">
        <v>-8.1712414612411521E-14</v>
      </c>
    </row>
    <row r="1008" spans="11:12" x14ac:dyDescent="0.45">
      <c r="K1008" s="36">
        <v>1006</v>
      </c>
      <c r="L1008" s="95">
        <v>24.09999999999992</v>
      </c>
    </row>
    <row r="1009" spans="11:12" x14ac:dyDescent="0.45">
      <c r="K1009" s="36">
        <v>1007</v>
      </c>
      <c r="L1009" s="95">
        <v>24.89999999999992</v>
      </c>
    </row>
    <row r="1010" spans="11:12" x14ac:dyDescent="0.45">
      <c r="K1010" s="36">
        <v>1008</v>
      </c>
      <c r="L1010" s="95">
        <v>-7.815970093361102E-14</v>
      </c>
    </row>
    <row r="1011" spans="11:12" x14ac:dyDescent="0.45">
      <c r="K1011" s="36">
        <v>1009</v>
      </c>
      <c r="L1011" s="95">
        <v>22.39999999999992</v>
      </c>
    </row>
    <row r="1012" spans="11:12" x14ac:dyDescent="0.45">
      <c r="K1012" s="36">
        <v>1010</v>
      </c>
      <c r="L1012" s="95">
        <v>17.39999999999992</v>
      </c>
    </row>
    <row r="1013" spans="11:12" x14ac:dyDescent="0.45">
      <c r="K1013" s="36">
        <v>1011</v>
      </c>
      <c r="L1013" s="95">
        <v>-7.815970093361102E-14</v>
      </c>
    </row>
    <row r="1014" spans="11:12" x14ac:dyDescent="0.45">
      <c r="K1014" s="36">
        <v>1012</v>
      </c>
      <c r="L1014" s="95">
        <v>-36.000000000000078</v>
      </c>
    </row>
    <row r="1015" spans="11:12" x14ac:dyDescent="0.45">
      <c r="K1015" s="36">
        <v>1013</v>
      </c>
      <c r="L1015" s="95">
        <v>4.6999999999999247</v>
      </c>
    </row>
    <row r="1016" spans="11:12" x14ac:dyDescent="0.45">
      <c r="K1016" s="36">
        <v>1014</v>
      </c>
      <c r="L1016" s="95">
        <v>-7.5495165674510645E-14</v>
      </c>
    </row>
    <row r="1017" spans="11:12" x14ac:dyDescent="0.45">
      <c r="K1017" s="36">
        <v>1015</v>
      </c>
      <c r="L1017" s="95">
        <v>-13.300000000000075</v>
      </c>
    </row>
    <row r="1018" spans="11:12" x14ac:dyDescent="0.45">
      <c r="K1018" s="36">
        <v>1016</v>
      </c>
      <c r="L1018" s="95">
        <v>-14.000000000000075</v>
      </c>
    </row>
    <row r="1019" spans="11:12" x14ac:dyDescent="0.45">
      <c r="K1019" s="36">
        <v>1017</v>
      </c>
      <c r="L1019" s="95">
        <v>-7.460698725481052E-14</v>
      </c>
    </row>
    <row r="1020" spans="11:12" x14ac:dyDescent="0.45">
      <c r="K1020" s="36">
        <v>1018</v>
      </c>
      <c r="L1020" s="95">
        <v>6.7999999999999252</v>
      </c>
    </row>
    <row r="1021" spans="11:12" x14ac:dyDescent="0.45">
      <c r="K1021" s="36">
        <v>1019</v>
      </c>
      <c r="L1021" s="95">
        <v>35.799999999999926</v>
      </c>
    </row>
    <row r="1022" spans="11:12" x14ac:dyDescent="0.45">
      <c r="K1022" s="36">
        <v>1020</v>
      </c>
      <c r="L1022" s="95">
        <v>-7.1054273576010019E-14</v>
      </c>
    </row>
    <row r="1023" spans="11:12" x14ac:dyDescent="0.45">
      <c r="K1023" s="36">
        <v>1021</v>
      </c>
      <c r="L1023" s="95">
        <v>-47.600000000000072</v>
      </c>
    </row>
    <row r="1024" spans="11:12" x14ac:dyDescent="0.45">
      <c r="K1024" s="36">
        <v>1022</v>
      </c>
      <c r="L1024" s="95">
        <v>19.299999999999933</v>
      </c>
    </row>
    <row r="1025" spans="11:12" x14ac:dyDescent="0.45">
      <c r="K1025" s="36">
        <v>1023</v>
      </c>
      <c r="L1025" s="95">
        <v>-6.7501559897209518E-14</v>
      </c>
    </row>
    <row r="1026" spans="11:12" x14ac:dyDescent="0.45">
      <c r="K1026" s="36">
        <v>1024</v>
      </c>
      <c r="L1026" s="95">
        <v>16.699999999999932</v>
      </c>
    </row>
    <row r="1027" spans="11:12" x14ac:dyDescent="0.45">
      <c r="K1027" s="36">
        <v>1025</v>
      </c>
      <c r="L1027" s="95">
        <v>46.699999999999932</v>
      </c>
    </row>
    <row r="1028" spans="11:12" x14ac:dyDescent="0.45">
      <c r="K1028" s="36">
        <v>1026</v>
      </c>
      <c r="L1028" s="95">
        <v>-7.1054273576010019E-14</v>
      </c>
    </row>
    <row r="1029" spans="11:12" x14ac:dyDescent="0.45">
      <c r="K1029" s="36">
        <v>1027</v>
      </c>
      <c r="L1029" s="95">
        <v>-62.200000000000074</v>
      </c>
    </row>
    <row r="1030" spans="11:12" x14ac:dyDescent="0.45">
      <c r="K1030" s="36">
        <v>1028</v>
      </c>
      <c r="L1030" s="95">
        <v>-3.2000000000000739</v>
      </c>
    </row>
    <row r="1031" spans="11:12" x14ac:dyDescent="0.45">
      <c r="K1031" s="36">
        <v>1029</v>
      </c>
      <c r="L1031" s="95">
        <v>-7.3718808835110394E-14</v>
      </c>
    </row>
    <row r="1032" spans="11:12" x14ac:dyDescent="0.45">
      <c r="K1032" s="36">
        <v>1030</v>
      </c>
      <c r="L1032" s="95">
        <v>16.499999999999925</v>
      </c>
    </row>
    <row r="1033" spans="11:12" x14ac:dyDescent="0.45">
      <c r="K1033" s="36">
        <v>1031</v>
      </c>
      <c r="L1033" s="95">
        <v>16.199999999999925</v>
      </c>
    </row>
    <row r="1034" spans="11:12" x14ac:dyDescent="0.45">
      <c r="K1034" s="36">
        <v>1032</v>
      </c>
      <c r="L1034" s="95">
        <v>-7.460698725481052E-14</v>
      </c>
    </row>
    <row r="1035" spans="11:12" x14ac:dyDescent="0.45">
      <c r="K1035" s="36">
        <v>1033</v>
      </c>
      <c r="L1035" s="95">
        <v>-54.700000000000074</v>
      </c>
    </row>
    <row r="1036" spans="11:12" x14ac:dyDescent="0.45">
      <c r="K1036" s="36">
        <v>1034</v>
      </c>
      <c r="L1036" s="95">
        <v>-14.800000000000075</v>
      </c>
    </row>
    <row r="1037" spans="11:12" x14ac:dyDescent="0.45">
      <c r="K1037" s="36">
        <v>1035</v>
      </c>
      <c r="L1037" s="95">
        <v>-7.460698725481052E-14</v>
      </c>
    </row>
    <row r="1038" spans="11:12" x14ac:dyDescent="0.45">
      <c r="K1038" s="36">
        <v>1036</v>
      </c>
      <c r="L1038" s="95">
        <v>20.899999999999924</v>
      </c>
    </row>
    <row r="1039" spans="11:12" x14ac:dyDescent="0.45">
      <c r="K1039" s="36">
        <v>1037</v>
      </c>
      <c r="L1039" s="95">
        <v>2.1999999999999247</v>
      </c>
    </row>
    <row r="1040" spans="11:12" x14ac:dyDescent="0.45">
      <c r="K1040" s="36">
        <v>1038</v>
      </c>
      <c r="L1040" s="95">
        <v>-7.5495165674510645E-14</v>
      </c>
    </row>
    <row r="1041" spans="11:12" x14ac:dyDescent="0.45">
      <c r="K1041" s="36">
        <v>1039</v>
      </c>
      <c r="L1041" s="95">
        <v>60.89999999999992</v>
      </c>
    </row>
    <row r="1042" spans="11:12" x14ac:dyDescent="0.45">
      <c r="K1042" s="36">
        <v>1040</v>
      </c>
      <c r="L1042" s="95">
        <v>51.099999999999923</v>
      </c>
    </row>
    <row r="1043" spans="11:12" x14ac:dyDescent="0.45">
      <c r="K1043" s="36">
        <v>1041</v>
      </c>
      <c r="L1043" s="95">
        <v>-7.815970093361102E-14</v>
      </c>
    </row>
    <row r="1044" spans="11:12" x14ac:dyDescent="0.45">
      <c r="K1044" s="36">
        <v>1042</v>
      </c>
      <c r="L1044" s="95">
        <v>-3.9000000000000781</v>
      </c>
    </row>
    <row r="1045" spans="11:12" x14ac:dyDescent="0.45">
      <c r="K1045" s="36">
        <v>1043</v>
      </c>
      <c r="L1045" s="95">
        <v>14.399999999999922</v>
      </c>
    </row>
    <row r="1046" spans="11:12" x14ac:dyDescent="0.45">
      <c r="K1046" s="36">
        <v>1044</v>
      </c>
      <c r="L1046" s="95">
        <v>-7.815970093361102E-14</v>
      </c>
    </row>
    <row r="1047" spans="11:12" x14ac:dyDescent="0.45">
      <c r="K1047" s="36">
        <v>1045</v>
      </c>
      <c r="L1047" s="95">
        <v>-21.200000000000077</v>
      </c>
    </row>
    <row r="1048" spans="11:12" x14ac:dyDescent="0.45">
      <c r="K1048" s="36">
        <v>1046</v>
      </c>
      <c r="L1048" s="95">
        <v>4.0999999999999233</v>
      </c>
    </row>
    <row r="1049" spans="11:12" x14ac:dyDescent="0.45">
      <c r="K1049" s="36">
        <v>1047</v>
      </c>
      <c r="L1049" s="95">
        <v>-7.638334409421077E-14</v>
      </c>
    </row>
    <row r="1050" spans="11:12" x14ac:dyDescent="0.45">
      <c r="K1050" s="36">
        <v>1048</v>
      </c>
      <c r="L1050" s="95">
        <v>-42.000000000000078</v>
      </c>
    </row>
    <row r="1051" spans="11:12" x14ac:dyDescent="0.45">
      <c r="K1051" s="36">
        <v>1049</v>
      </c>
      <c r="L1051" s="95">
        <v>-48.900000000000077</v>
      </c>
    </row>
    <row r="1052" spans="11:12" x14ac:dyDescent="0.45">
      <c r="K1052" s="36">
        <v>1050</v>
      </c>
      <c r="L1052" s="95">
        <v>-7.815970093361102E-14</v>
      </c>
    </row>
    <row r="1053" spans="11:12" x14ac:dyDescent="0.45">
      <c r="K1053" s="36">
        <v>1051</v>
      </c>
      <c r="L1053" s="95">
        <v>21.699999999999921</v>
      </c>
    </row>
    <row r="1054" spans="11:12" x14ac:dyDescent="0.45">
      <c r="K1054" s="36">
        <v>1052</v>
      </c>
      <c r="L1054" s="95">
        <v>26.89999999999992</v>
      </c>
    </row>
    <row r="1055" spans="11:12" x14ac:dyDescent="0.45">
      <c r="K1055" s="36">
        <v>1053</v>
      </c>
      <c r="L1055" s="95">
        <v>-7.815970093361102E-14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1FD05-25F2-419F-8E4D-F378C493799E}">
  <sheetPr codeName="Sheet7"/>
  <dimension ref="A1:Q9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91</v>
      </c>
      <c r="C2" s="155"/>
      <c r="E2" s="58" t="s">
        <v>66</v>
      </c>
      <c r="F2" s="55" t="s">
        <v>22</v>
      </c>
      <c r="G2" s="43">
        <v>151</v>
      </c>
      <c r="H2" s="128">
        <f>IF(B$15=0,0,G2/B$15)</f>
        <v>0.6741071428571429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2140.6593406593406</v>
      </c>
      <c r="P2" s="114">
        <v>91</v>
      </c>
      <c r="Q2" s="98">
        <v>194800</v>
      </c>
    </row>
    <row r="3" spans="1:17" x14ac:dyDescent="0.45">
      <c r="A3" s="51" t="s">
        <v>8</v>
      </c>
      <c r="B3" s="156">
        <v>814</v>
      </c>
      <c r="C3" s="157"/>
      <c r="E3" s="59" t="s">
        <v>72</v>
      </c>
      <c r="F3" s="56" t="s">
        <v>27</v>
      </c>
      <c r="G3" s="44">
        <v>124</v>
      </c>
      <c r="H3" s="129">
        <f>IF(B$15=0,0,G3/B$15)</f>
        <v>0.5535714285714286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-1879.7752808988764</v>
      </c>
      <c r="P3" s="115">
        <v>89</v>
      </c>
      <c r="Q3" s="99">
        <v>-167300</v>
      </c>
    </row>
    <row r="4" spans="1:17" x14ac:dyDescent="0.45">
      <c r="A4" s="51" t="s">
        <v>6</v>
      </c>
      <c r="B4" s="158">
        <v>-589.00000000000023</v>
      </c>
      <c r="C4" s="159"/>
      <c r="E4" s="59" t="s">
        <v>166</v>
      </c>
      <c r="F4" s="56" t="s">
        <v>167</v>
      </c>
      <c r="G4" s="44">
        <v>79</v>
      </c>
      <c r="H4" s="129">
        <f>IF(B$15=0,0,G4/B$15)</f>
        <v>0.35267857142857145</v>
      </c>
      <c r="I4" s="90">
        <v>11</v>
      </c>
      <c r="K4" s="36">
        <v>2</v>
      </c>
      <c r="L4" s="95">
        <v>19.899999999999999</v>
      </c>
      <c r="N4" s="111" t="s">
        <v>132</v>
      </c>
      <c r="O4" s="118">
        <f t="shared" si="0"/>
        <v>-2587.3563218390805</v>
      </c>
      <c r="P4" s="115">
        <v>87</v>
      </c>
      <c r="Q4" s="99">
        <v>-225100</v>
      </c>
    </row>
    <row r="5" spans="1:17" x14ac:dyDescent="0.45">
      <c r="A5" s="51" t="s">
        <v>7</v>
      </c>
      <c r="B5" s="160">
        <f>IF(B$2=0,0,B$4/B$2)</f>
        <v>-6.4725274725274753</v>
      </c>
      <c r="C5" s="161"/>
      <c r="E5" s="59" t="s">
        <v>68</v>
      </c>
      <c r="F5" s="56" t="s">
        <v>12</v>
      </c>
      <c r="G5" s="44">
        <v>62</v>
      </c>
      <c r="H5" s="129">
        <f>IF(B$15=0,0,G5/B$15)</f>
        <v>0.2767857142857143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-706.17283950617286</v>
      </c>
      <c r="P5" s="115">
        <v>81</v>
      </c>
      <c r="Q5" s="99">
        <v>-57200</v>
      </c>
    </row>
    <row r="6" spans="1:17" x14ac:dyDescent="0.45">
      <c r="A6" s="51" t="s">
        <v>1</v>
      </c>
      <c r="B6" s="150">
        <f>IF(B$2=0,0,(B$7*1+B$8*2+B$9*3)/B$2)</f>
        <v>2.1538461538461537</v>
      </c>
      <c r="C6" s="151"/>
      <c r="E6" s="59" t="s">
        <v>64</v>
      </c>
      <c r="F6" s="56" t="s">
        <v>20</v>
      </c>
      <c r="G6" s="44">
        <v>60</v>
      </c>
      <c r="H6" s="129">
        <f>IF(B$15=0,0,G6/B$15)</f>
        <v>0.26785714285714285</v>
      </c>
      <c r="I6" s="90">
        <v>14</v>
      </c>
      <c r="K6" s="36">
        <v>4</v>
      </c>
      <c r="L6" s="95">
        <v>-30.7</v>
      </c>
      <c r="N6" s="111" t="s">
        <v>134</v>
      </c>
      <c r="O6" s="118">
        <f t="shared" si="0"/>
        <v>-311.39240506329116</v>
      </c>
      <c r="P6" s="115">
        <v>79</v>
      </c>
      <c r="Q6" s="99">
        <v>-24600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0.27472527472527475</v>
      </c>
      <c r="E7" s="59" t="s">
        <v>67</v>
      </c>
      <c r="F7" s="56" t="s">
        <v>23</v>
      </c>
      <c r="G7" s="44">
        <v>41</v>
      </c>
      <c r="H7" s="129">
        <f>IF(B$15=0,0,G7/B$15)</f>
        <v>0.18303571428571427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-2504.5454545454545</v>
      </c>
      <c r="P7" s="116">
        <v>66</v>
      </c>
      <c r="Q7" s="100">
        <v>-165300</v>
      </c>
    </row>
    <row r="8" spans="1:17" x14ac:dyDescent="0.45">
      <c r="A8" s="51" t="s">
        <v>3</v>
      </c>
      <c r="B8" s="44">
        <v>27</v>
      </c>
      <c r="C8" s="37">
        <f t="shared" si="1"/>
        <v>0.2967032967032967</v>
      </c>
      <c r="E8" s="59" t="s">
        <v>69</v>
      </c>
      <c r="F8" s="56" t="s">
        <v>24</v>
      </c>
      <c r="G8" s="44">
        <v>37</v>
      </c>
      <c r="H8" s="129">
        <f>IF(B$15=0,0,G8/B$15)</f>
        <v>0.16517857142857142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0.42857142857142855</v>
      </c>
      <c r="E9" s="59" t="s">
        <v>71</v>
      </c>
      <c r="F9" s="56" t="s">
        <v>26</v>
      </c>
      <c r="G9" s="44">
        <v>31</v>
      </c>
      <c r="H9" s="129">
        <f>IF(B$15=0,0,G9/B$15)</f>
        <v>0.13839285714285715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7.6923076923076927E-2</v>
      </c>
      <c r="E10" s="59" t="s">
        <v>70</v>
      </c>
      <c r="F10" s="56" t="s">
        <v>25</v>
      </c>
      <c r="G10" s="44">
        <v>27</v>
      </c>
      <c r="H10" s="129">
        <f>IF(B$15=0,0,G10/B$15)</f>
        <v>0.12053571428571429</v>
      </c>
      <c r="I10" s="90">
        <v>4</v>
      </c>
      <c r="K10" s="36">
        <v>8</v>
      </c>
      <c r="L10" s="95">
        <v>-76.900000000000006</v>
      </c>
      <c r="N10" s="110" t="s">
        <v>157</v>
      </c>
      <c r="O10" s="120">
        <f>IF(P10=0,0,Q10/P10)</f>
        <v>-11.557575757575757</v>
      </c>
      <c r="P10" s="114">
        <v>33</v>
      </c>
      <c r="Q10" s="102">
        <v>-381.4</v>
      </c>
    </row>
    <row r="11" spans="1:17" x14ac:dyDescent="0.45">
      <c r="A11" s="54" t="s">
        <v>121</v>
      </c>
      <c r="B11" s="47">
        <v>114</v>
      </c>
      <c r="C11" s="42">
        <f>IF(B$3=0,0,B11/B$3)</f>
        <v>0.14004914004914004</v>
      </c>
      <c r="E11" s="59" t="s">
        <v>83</v>
      </c>
      <c r="F11" s="56" t="s">
        <v>38</v>
      </c>
      <c r="G11" s="44">
        <v>20</v>
      </c>
      <c r="H11" s="129">
        <f>IF(B$15=0,0,G11/B$15)</f>
        <v>8.9285714285714288E-2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-6.7178571428571425</v>
      </c>
      <c r="P11" s="115">
        <v>28</v>
      </c>
      <c r="Q11" s="103">
        <v>-188.1</v>
      </c>
    </row>
    <row r="12" spans="1:17" x14ac:dyDescent="0.45">
      <c r="A12" s="51" t="s">
        <v>118</v>
      </c>
      <c r="B12" s="44">
        <v>216</v>
      </c>
      <c r="C12" s="37">
        <f>IF(B$3=0,0,B12/B$3)</f>
        <v>0.26535626535626533</v>
      </c>
      <c r="E12" s="59" t="s">
        <v>89</v>
      </c>
      <c r="F12" s="56" t="s">
        <v>44</v>
      </c>
      <c r="G12" s="44">
        <v>15</v>
      </c>
      <c r="H12" s="129">
        <f>IF(B$15=0,0,G12/B$15)</f>
        <v>6.6964285714285712E-2</v>
      </c>
      <c r="I12" s="90">
        <v>12</v>
      </c>
      <c r="K12" s="36">
        <v>10</v>
      </c>
      <c r="L12" s="95">
        <v>-32.700000000000003</v>
      </c>
      <c r="N12" s="112" t="s">
        <v>159</v>
      </c>
      <c r="O12" s="122">
        <f>IF(P12=0,0,Q12/P12)</f>
        <v>-0.6499999999999998</v>
      </c>
      <c r="P12" s="116">
        <v>30</v>
      </c>
      <c r="Q12" s="104">
        <v>-19.499999999999993</v>
      </c>
    </row>
    <row r="13" spans="1:17" x14ac:dyDescent="0.45">
      <c r="A13" s="50" t="s">
        <v>123</v>
      </c>
      <c r="B13" s="43">
        <f>B19</f>
        <v>61</v>
      </c>
      <c r="C13" s="35">
        <f>IF(B$11=0,0,B13/B$11)</f>
        <v>0.53508771929824561</v>
      </c>
      <c r="E13" s="59" t="s">
        <v>65</v>
      </c>
      <c r="F13" s="56" t="s">
        <v>21</v>
      </c>
      <c r="G13" s="44">
        <v>13</v>
      </c>
      <c r="H13" s="129">
        <f>IF(B$15=0,0,G13/B$15)</f>
        <v>5.8035714285714288E-2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86</v>
      </c>
      <c r="C14" s="35">
        <f>IF(B$12=0,0,B14/B$12)</f>
        <v>0.39814814814814814</v>
      </c>
      <c r="E14" s="59" t="s">
        <v>81</v>
      </c>
      <c r="F14" s="56" t="s">
        <v>36</v>
      </c>
      <c r="G14" s="44">
        <v>10</v>
      </c>
      <c r="H14" s="129">
        <f>IF(B$15=0,0,G14/B$15)</f>
        <v>4.4642857142857144E-2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224</v>
      </c>
      <c r="C15" s="35">
        <f>IF(B$3=0,0,B15/B$3)</f>
        <v>0.27518427518427518</v>
      </c>
      <c r="E15" s="59" t="s">
        <v>86</v>
      </c>
      <c r="F15" s="56" t="s">
        <v>41</v>
      </c>
      <c r="G15" s="44">
        <v>7</v>
      </c>
      <c r="H15" s="129">
        <f>IF(B$15=0,0,G15/B$15)</f>
        <v>3.125E-2</v>
      </c>
      <c r="I15" s="90">
        <v>10</v>
      </c>
      <c r="K15" s="36">
        <v>13</v>
      </c>
      <c r="L15" s="95">
        <v>-66.2</v>
      </c>
      <c r="N15" s="110" t="s">
        <v>200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132</v>
      </c>
      <c r="C16" s="37">
        <f>IF(B$3=0,0,B16/B$3)</f>
        <v>0.16216216216216217</v>
      </c>
      <c r="E16" s="59" t="s">
        <v>79</v>
      </c>
      <c r="F16" s="56" t="s">
        <v>34</v>
      </c>
      <c r="G16" s="44">
        <v>5</v>
      </c>
      <c r="H16" s="129">
        <f>IF(B$15=0,0,G16/B$15)</f>
        <v>2.2321428571428572E-2</v>
      </c>
      <c r="I16" s="90">
        <v>3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96</v>
      </c>
      <c r="C17" s="37">
        <f>IF(B$15=0,0,B17/B$15)</f>
        <v>0.42857142857142855</v>
      </c>
      <c r="E17" s="59" t="s">
        <v>91</v>
      </c>
      <c r="F17" s="56" t="s">
        <v>46</v>
      </c>
      <c r="G17" s="44">
        <v>4</v>
      </c>
      <c r="H17" s="129">
        <f>IF(B$15=0,0,G17/B$15)</f>
        <v>1.7857142857142856E-2</v>
      </c>
      <c r="I17" s="90">
        <v>5</v>
      </c>
      <c r="K17" s="36">
        <v>15</v>
      </c>
      <c r="L17" s="95">
        <v>-65.2</v>
      </c>
      <c r="N17" s="111" t="s">
        <v>172</v>
      </c>
      <c r="O17" s="121">
        <f t="shared" si="2"/>
        <v>-1.5750000000000026</v>
      </c>
      <c r="P17" s="115">
        <v>20</v>
      </c>
      <c r="Q17" s="103">
        <v>-31.500000000000053</v>
      </c>
    </row>
    <row r="18" spans="1:17" x14ac:dyDescent="0.45">
      <c r="A18" s="51" t="s">
        <v>11</v>
      </c>
      <c r="B18" s="44">
        <v>128</v>
      </c>
      <c r="C18" s="37">
        <f>IF(B$15=0,0,B18/B$15)</f>
        <v>0.5714285714285714</v>
      </c>
      <c r="E18" s="59" t="s">
        <v>74</v>
      </c>
      <c r="F18" s="56" t="s">
        <v>29</v>
      </c>
      <c r="G18" s="44">
        <v>2</v>
      </c>
      <c r="H18" s="129">
        <f>IF(B$15=0,0,G18/B$15)</f>
        <v>8.9285714285714281E-3</v>
      </c>
      <c r="I18" s="90">
        <v>1</v>
      </c>
      <c r="K18" s="36">
        <v>16</v>
      </c>
      <c r="L18" s="95">
        <v>-70.600000000000009</v>
      </c>
      <c r="N18" s="111" t="s">
        <v>171</v>
      </c>
      <c r="O18" s="121">
        <f t="shared" si="2"/>
        <v>-1.6133333333333333</v>
      </c>
      <c r="P18" s="115">
        <v>30</v>
      </c>
      <c r="Q18" s="103">
        <v>-48.4</v>
      </c>
    </row>
    <row r="19" spans="1:17" x14ac:dyDescent="0.45">
      <c r="A19" s="51" t="s">
        <v>195</v>
      </c>
      <c r="B19" s="44">
        <v>61</v>
      </c>
      <c r="C19" s="37">
        <f>IF(B$15=0,0,B19/B$15)</f>
        <v>0.27232142857142855</v>
      </c>
      <c r="E19" s="59" t="s">
        <v>75</v>
      </c>
      <c r="F19" s="56" t="s">
        <v>30</v>
      </c>
      <c r="G19" s="44">
        <v>2</v>
      </c>
      <c r="H19" s="129">
        <f>IF(B$15=0,0,G19/B$15)</f>
        <v>8.9285714285714281E-3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 t="shared" si="2"/>
        <v>-10.769444444444446</v>
      </c>
      <c r="P19" s="115">
        <v>36</v>
      </c>
      <c r="Q19" s="103">
        <v>-387.70000000000005</v>
      </c>
    </row>
    <row r="20" spans="1:17" x14ac:dyDescent="0.45">
      <c r="A20" s="51" t="s">
        <v>193</v>
      </c>
      <c r="B20" s="44">
        <v>86</v>
      </c>
      <c r="C20" s="37">
        <f>IF(B$15=0,0,B20/B$15)</f>
        <v>0.38392857142857145</v>
      </c>
      <c r="E20" s="59" t="s">
        <v>78</v>
      </c>
      <c r="F20" s="56" t="s">
        <v>33</v>
      </c>
      <c r="G20" s="44">
        <v>2</v>
      </c>
      <c r="H20" s="129">
        <f>IF(B$15=0,0,G20/B$15)</f>
        <v>8.9285714285714281E-3</v>
      </c>
      <c r="I20" s="90">
        <v>10</v>
      </c>
      <c r="K20" s="36">
        <v>18</v>
      </c>
      <c r="L20" s="95">
        <v>-80.2</v>
      </c>
      <c r="N20" s="111" t="s">
        <v>197</v>
      </c>
      <c r="O20" s="121">
        <f t="shared" si="2"/>
        <v>-12.007692307692306</v>
      </c>
      <c r="P20" s="115">
        <v>13</v>
      </c>
      <c r="Q20" s="103">
        <v>-156.09999999999997</v>
      </c>
    </row>
    <row r="21" spans="1:17" x14ac:dyDescent="0.45">
      <c r="A21" s="51" t="s">
        <v>194</v>
      </c>
      <c r="B21" s="44">
        <v>77</v>
      </c>
      <c r="C21" s="37">
        <f>IF(B$15=0,0,B21/B$15)</f>
        <v>0.34375</v>
      </c>
      <c r="E21" s="59" t="s">
        <v>88</v>
      </c>
      <c r="F21" s="56" t="s">
        <v>43</v>
      </c>
      <c r="G21" s="44">
        <v>2</v>
      </c>
      <c r="H21" s="129">
        <f>IF(B$15=0,0,G21/B$15)</f>
        <v>8.9285714285714281E-3</v>
      </c>
      <c r="I21" s="90">
        <v>1</v>
      </c>
      <c r="K21" s="36">
        <v>19</v>
      </c>
      <c r="L21" s="95">
        <v>-115.1</v>
      </c>
      <c r="N21" s="111" t="s">
        <v>126</v>
      </c>
      <c r="O21" s="121">
        <f t="shared" si="2"/>
        <v>-13.073809523809526</v>
      </c>
      <c r="P21" s="115">
        <v>42</v>
      </c>
      <c r="Q21" s="103">
        <v>-549.10000000000014</v>
      </c>
    </row>
    <row r="22" spans="1:17" x14ac:dyDescent="0.45">
      <c r="A22" s="51" t="s">
        <v>5</v>
      </c>
      <c r="B22" s="48">
        <f>IF(B$15=0,0,C22/B$15)</f>
        <v>7093.3035714285716</v>
      </c>
      <c r="C22" s="39">
        <v>1588900</v>
      </c>
      <c r="E22" s="59" t="s">
        <v>93</v>
      </c>
      <c r="F22" s="56" t="s">
        <v>48</v>
      </c>
      <c r="G22" s="44">
        <v>2</v>
      </c>
      <c r="H22" s="129">
        <f>IF(B$15=0,0,G22/B$15)</f>
        <v>8.9285714285714281E-3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 t="shared" si="2"/>
        <v>-24.919354838709676</v>
      </c>
      <c r="P22" s="115">
        <v>31</v>
      </c>
      <c r="Q22" s="103">
        <v>-772.5</v>
      </c>
    </row>
    <row r="23" spans="1:17" x14ac:dyDescent="0.45">
      <c r="A23" s="52" t="s">
        <v>177</v>
      </c>
      <c r="B23" s="136">
        <f>IF($B$15-B$14=0,0,C23/($B$15-B$14))</f>
        <v>7634.782608695652</v>
      </c>
      <c r="C23" s="137">
        <v>1053600</v>
      </c>
      <c r="E23" s="59" t="s">
        <v>77</v>
      </c>
      <c r="F23" s="56" t="s">
        <v>32</v>
      </c>
      <c r="G23" s="44">
        <v>1</v>
      </c>
      <c r="H23" s="129">
        <f>IF(B$15=0,0,G23/B$15)</f>
        <v>4.464285714285714E-3</v>
      </c>
      <c r="I23" s="90">
        <v>3</v>
      </c>
      <c r="K23" s="36">
        <v>21</v>
      </c>
      <c r="L23" s="95">
        <v>-111.4</v>
      </c>
      <c r="N23" s="111" t="s">
        <v>201</v>
      </c>
      <c r="O23" s="121">
        <f t="shared" si="2"/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6224.4186046511632</v>
      </c>
      <c r="C24" s="137">
        <v>535300</v>
      </c>
      <c r="E24" s="59" t="s">
        <v>84</v>
      </c>
      <c r="F24" s="56" t="s">
        <v>39</v>
      </c>
      <c r="G24" s="44">
        <v>1</v>
      </c>
      <c r="H24" s="129">
        <f>IF(B$15=0,0,G24/B$15)</f>
        <v>4.464285714285714E-3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-7565.909090909091</v>
      </c>
      <c r="C25" s="137">
        <v>-998700</v>
      </c>
      <c r="E25" s="59" t="s">
        <v>87</v>
      </c>
      <c r="F25" s="56" t="s">
        <v>42</v>
      </c>
      <c r="G25" s="44">
        <v>1</v>
      </c>
      <c r="H25" s="129">
        <f>IF(B$15=0,0,G25/B$15)</f>
        <v>4.464285714285714E-3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4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3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2.4570024570024569E-3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29</v>
      </c>
      <c r="C32" s="141">
        <f>IF(B$15=0,0,B32/B$15)</f>
        <v>0.12946428571428573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46</v>
      </c>
      <c r="C33" s="37">
        <f t="shared" ref="C33:C44" si="3">IF(B$15=0,0,B33/B$15)</f>
        <v>0.20535714285714285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47</v>
      </c>
      <c r="C34" s="37">
        <f>IF(B$15=0,0,B34/B$15)</f>
        <v>0.20982142857142858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42</v>
      </c>
      <c r="C35" s="37">
        <f t="shared" si="3"/>
        <v>0.1875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22</v>
      </c>
      <c r="C36" s="37">
        <f t="shared" si="3"/>
        <v>9.8214285714285712E-2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18</v>
      </c>
      <c r="C37" s="37">
        <f t="shared" si="3"/>
        <v>8.0357142857142863E-2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3"/>
        <v>4.9107142857142856E-2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3"/>
        <v>2.6785714285714284E-2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3"/>
        <v>4.464285714285714E-3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3"/>
        <v>8.9285714285714281E-3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  <row r="81" spans="11:12" x14ac:dyDescent="0.45">
      <c r="K81" s="36">
        <v>79</v>
      </c>
      <c r="L81" s="95">
        <v>-419.20000000000027</v>
      </c>
    </row>
    <row r="82" spans="11:12" x14ac:dyDescent="0.45">
      <c r="K82" s="36">
        <v>80</v>
      </c>
      <c r="L82" s="95">
        <v>-427.50000000000028</v>
      </c>
    </row>
    <row r="83" spans="11:12" x14ac:dyDescent="0.45">
      <c r="K83" s="36">
        <v>81</v>
      </c>
      <c r="L83" s="95">
        <v>-430.90000000000026</v>
      </c>
    </row>
    <row r="84" spans="11:12" x14ac:dyDescent="0.45">
      <c r="K84" s="36">
        <v>82</v>
      </c>
      <c r="L84" s="95">
        <v>-468.40000000000026</v>
      </c>
    </row>
    <row r="85" spans="11:12" x14ac:dyDescent="0.45">
      <c r="K85" s="36">
        <v>83</v>
      </c>
      <c r="L85" s="95">
        <v>-502.90000000000026</v>
      </c>
    </row>
    <row r="86" spans="11:12" x14ac:dyDescent="0.45">
      <c r="K86" s="36">
        <v>84</v>
      </c>
      <c r="L86" s="95">
        <v>-564.20000000000027</v>
      </c>
    </row>
    <row r="87" spans="11:12" x14ac:dyDescent="0.45">
      <c r="K87" s="36">
        <v>85</v>
      </c>
      <c r="L87" s="95">
        <v>-589.90000000000032</v>
      </c>
    </row>
    <row r="88" spans="11:12" x14ac:dyDescent="0.45">
      <c r="K88" s="36">
        <v>86</v>
      </c>
      <c r="L88" s="95">
        <v>-582.3000000000003</v>
      </c>
    </row>
    <row r="89" spans="11:12" x14ac:dyDescent="0.45">
      <c r="K89" s="36">
        <v>87</v>
      </c>
      <c r="L89" s="95">
        <v>-606.90000000000032</v>
      </c>
    </row>
    <row r="90" spans="11:12" x14ac:dyDescent="0.45">
      <c r="K90" s="36">
        <v>88</v>
      </c>
      <c r="L90" s="95">
        <v>-597.70000000000027</v>
      </c>
    </row>
    <row r="91" spans="11:12" x14ac:dyDescent="0.45">
      <c r="K91" s="36">
        <v>89</v>
      </c>
      <c r="L91" s="95">
        <v>-581.00000000000023</v>
      </c>
    </row>
    <row r="92" spans="11:12" x14ac:dyDescent="0.45">
      <c r="K92" s="36">
        <v>90</v>
      </c>
      <c r="L92" s="95">
        <v>-584.9000000000002</v>
      </c>
    </row>
    <row r="93" spans="11:12" x14ac:dyDescent="0.45">
      <c r="K93" s="36">
        <v>91</v>
      </c>
      <c r="L93" s="95">
        <v>-589.00000000000023</v>
      </c>
    </row>
  </sheetData>
  <sortState xmlns:xlrd2="http://schemas.microsoft.com/office/spreadsheetml/2017/richdata2" ref="E2:I9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F23CC-8C29-405F-8E09-025E3879AD4A}">
  <sheetPr codeName="Sheet9"/>
  <dimension ref="A1:Q21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211</v>
      </c>
      <c r="C2" s="155"/>
      <c r="E2" s="58" t="s">
        <v>66</v>
      </c>
      <c r="F2" s="55" t="s">
        <v>22</v>
      </c>
      <c r="G2" s="43">
        <v>413</v>
      </c>
      <c r="H2" s="128">
        <f>IF(B$15=0,0,G2/B$15)</f>
        <v>0.68718801996672207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1274.2857142857142</v>
      </c>
      <c r="P2" s="114">
        <v>210</v>
      </c>
      <c r="Q2" s="98">
        <v>267600</v>
      </c>
    </row>
    <row r="3" spans="1:17" x14ac:dyDescent="0.45">
      <c r="A3" s="51" t="s">
        <v>8</v>
      </c>
      <c r="B3" s="156">
        <v>1754</v>
      </c>
      <c r="C3" s="157"/>
      <c r="E3" s="59" t="s">
        <v>72</v>
      </c>
      <c r="F3" s="56" t="s">
        <v>27</v>
      </c>
      <c r="G3" s="44">
        <v>323</v>
      </c>
      <c r="H3" s="129">
        <f>IF(B$15=0,0,G3/B$15)</f>
        <v>0.53743760399334439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1752.6570048309179</v>
      </c>
      <c r="P3" s="115">
        <v>207</v>
      </c>
      <c r="Q3" s="99">
        <v>362800</v>
      </c>
    </row>
    <row r="4" spans="1:17" x14ac:dyDescent="0.45">
      <c r="A4" s="51" t="s">
        <v>6</v>
      </c>
      <c r="B4" s="158">
        <v>1970.8999999999999</v>
      </c>
      <c r="C4" s="159"/>
      <c r="E4" s="59" t="s">
        <v>64</v>
      </c>
      <c r="F4" s="56" t="s">
        <v>20</v>
      </c>
      <c r="G4" s="44">
        <v>259</v>
      </c>
      <c r="H4" s="129">
        <f>IF(B$15=0,0,G4/B$15)</f>
        <v>0.43094841930116473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1196.4824120603016</v>
      </c>
      <c r="P4" s="115">
        <v>199</v>
      </c>
      <c r="Q4" s="99">
        <v>238100</v>
      </c>
    </row>
    <row r="5" spans="1:17" x14ac:dyDescent="0.45">
      <c r="A5" s="51" t="s">
        <v>7</v>
      </c>
      <c r="B5" s="160">
        <f>IF(B$2=0,0,B$4/B$2)</f>
        <v>9.3407582938388618</v>
      </c>
      <c r="C5" s="161"/>
      <c r="E5" s="59" t="s">
        <v>166</v>
      </c>
      <c r="F5" s="56" t="s">
        <v>167</v>
      </c>
      <c r="G5" s="44">
        <v>231</v>
      </c>
      <c r="H5" s="129">
        <f>IF(B$15=0,0,G5/B$15)</f>
        <v>0.3843594009983361</v>
      </c>
      <c r="I5" s="90">
        <v>9</v>
      </c>
      <c r="K5" s="36">
        <v>3</v>
      </c>
      <c r="L5" s="95">
        <v>40.400000000000006</v>
      </c>
      <c r="N5" s="111" t="s">
        <v>133</v>
      </c>
      <c r="O5" s="118">
        <f t="shared" si="0"/>
        <v>137.09677419354838</v>
      </c>
      <c r="P5" s="115">
        <v>186</v>
      </c>
      <c r="Q5" s="99">
        <v>25500</v>
      </c>
    </row>
    <row r="6" spans="1:17" x14ac:dyDescent="0.45">
      <c r="A6" s="51" t="s">
        <v>1</v>
      </c>
      <c r="B6" s="150">
        <f>IF(B$2=0,0,(B$7*1+B$8*2+B$9*3)/B$2)</f>
        <v>1.7630331753554502</v>
      </c>
      <c r="C6" s="151"/>
      <c r="E6" s="59" t="s">
        <v>68</v>
      </c>
      <c r="F6" s="56" t="s">
        <v>12</v>
      </c>
      <c r="G6" s="44">
        <v>167</v>
      </c>
      <c r="H6" s="129">
        <f>IF(B$15=0,0,G6/B$15)</f>
        <v>0.27787021630615638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1558.9595375722542</v>
      </c>
      <c r="P6" s="115">
        <v>173</v>
      </c>
      <c r="Q6" s="99">
        <v>269700</v>
      </c>
    </row>
    <row r="7" spans="1:17" x14ac:dyDescent="0.45">
      <c r="A7" s="51" t="s">
        <v>2</v>
      </c>
      <c r="B7" s="44">
        <v>100</v>
      </c>
      <c r="C7" s="37">
        <f t="shared" ref="C7:C10" si="1">IF(B$2=0,0,B7/B$2)</f>
        <v>0.47393364928909953</v>
      </c>
      <c r="E7" s="59" t="s">
        <v>67</v>
      </c>
      <c r="F7" s="56" t="s">
        <v>23</v>
      </c>
      <c r="G7" s="44">
        <v>142</v>
      </c>
      <c r="H7" s="129">
        <f>IF(B$15=0,0,G7/B$15)</f>
        <v>0.23627287853577372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1921.8309859154929</v>
      </c>
      <c r="P7" s="116">
        <v>142</v>
      </c>
      <c r="Q7" s="100">
        <v>272900</v>
      </c>
    </row>
    <row r="8" spans="1:17" x14ac:dyDescent="0.45">
      <c r="A8" s="51" t="s">
        <v>3</v>
      </c>
      <c r="B8" s="44">
        <v>61</v>
      </c>
      <c r="C8" s="37">
        <f t="shared" si="1"/>
        <v>0.2890995260663507</v>
      </c>
      <c r="E8" s="59" t="s">
        <v>89</v>
      </c>
      <c r="F8" s="56" t="s">
        <v>44</v>
      </c>
      <c r="G8" s="44">
        <v>91</v>
      </c>
      <c r="H8" s="129">
        <f>IF(B$15=0,0,G8/B$15)</f>
        <v>0.15141430948419302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50</v>
      </c>
      <c r="C9" s="38">
        <f t="shared" si="1"/>
        <v>0.23696682464454977</v>
      </c>
      <c r="E9" s="59" t="s">
        <v>69</v>
      </c>
      <c r="F9" s="56" t="s">
        <v>24</v>
      </c>
      <c r="G9" s="44">
        <v>74</v>
      </c>
      <c r="H9" s="129">
        <f>IF(B$15=0,0,G9/B$15)</f>
        <v>0.12312811980033278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4.7393364928909949E-2</v>
      </c>
      <c r="E10" s="59" t="s">
        <v>65</v>
      </c>
      <c r="F10" s="56" t="s">
        <v>21</v>
      </c>
      <c r="G10" s="44">
        <v>65</v>
      </c>
      <c r="H10" s="129">
        <f>IF(B$15=0,0,G10/B$15)</f>
        <v>0.10815307820299501</v>
      </c>
      <c r="I10" s="90">
        <v>8</v>
      </c>
      <c r="K10" s="36">
        <v>8</v>
      </c>
      <c r="L10" s="95">
        <v>148.1</v>
      </c>
      <c r="N10" s="110" t="s">
        <v>157</v>
      </c>
      <c r="O10" s="120">
        <f>IF(P10=0,0,Q10/P10)</f>
        <v>12.205</v>
      </c>
      <c r="P10" s="114">
        <v>60</v>
      </c>
      <c r="Q10" s="102">
        <v>732.3</v>
      </c>
    </row>
    <row r="11" spans="1:17" x14ac:dyDescent="0.45">
      <c r="A11" s="54" t="s">
        <v>121</v>
      </c>
      <c r="B11" s="47">
        <v>464</v>
      </c>
      <c r="C11" s="42">
        <f>IF(B$3=0,0,B11/B$3)</f>
        <v>0.26453819840364878</v>
      </c>
      <c r="E11" s="59" t="s">
        <v>71</v>
      </c>
      <c r="F11" s="56" t="s">
        <v>26</v>
      </c>
      <c r="G11" s="44">
        <v>44</v>
      </c>
      <c r="H11" s="129">
        <f>IF(B$15=0,0,G11/B$15)</f>
        <v>7.3211314475873548E-2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6.8287671232876717</v>
      </c>
      <c r="P11" s="115">
        <v>73</v>
      </c>
      <c r="Q11" s="103">
        <v>498.5</v>
      </c>
    </row>
    <row r="12" spans="1:17" x14ac:dyDescent="0.45">
      <c r="A12" s="51" t="s">
        <v>118</v>
      </c>
      <c r="B12" s="44">
        <v>421</v>
      </c>
      <c r="C12" s="37">
        <f>IF(B$3=0,0,B12/B$3)</f>
        <v>0.24002280501710377</v>
      </c>
      <c r="E12" s="59" t="s">
        <v>70</v>
      </c>
      <c r="F12" s="56" t="s">
        <v>25</v>
      </c>
      <c r="G12" s="44">
        <v>40</v>
      </c>
      <c r="H12" s="129">
        <f>IF(B$15=0,0,G12/B$15)</f>
        <v>6.6555740432612309E-2</v>
      </c>
      <c r="I12" s="90">
        <v>13</v>
      </c>
      <c r="K12" s="36">
        <v>10</v>
      </c>
      <c r="L12" s="95">
        <v>158.19999999999999</v>
      </c>
      <c r="N12" s="112" t="s">
        <v>159</v>
      </c>
      <c r="O12" s="122">
        <f>IF(P12=0,0,Q12/P12)</f>
        <v>9.4884615384615358</v>
      </c>
      <c r="P12" s="116">
        <v>78</v>
      </c>
      <c r="Q12" s="104">
        <v>740.0999999999998</v>
      </c>
    </row>
    <row r="13" spans="1:17" x14ac:dyDescent="0.45">
      <c r="A13" s="50" t="s">
        <v>123</v>
      </c>
      <c r="B13" s="43">
        <f>B19</f>
        <v>271</v>
      </c>
      <c r="C13" s="35">
        <f>IF(B$11=0,0,B13/B$11)</f>
        <v>0.58405172413793105</v>
      </c>
      <c r="E13" s="59" t="s">
        <v>86</v>
      </c>
      <c r="F13" s="56" t="s">
        <v>41</v>
      </c>
      <c r="G13" s="44">
        <v>37</v>
      </c>
      <c r="H13" s="129">
        <f>IF(B$15=0,0,G13/B$15)</f>
        <v>6.156405990016639E-2</v>
      </c>
      <c r="I13" s="90">
        <v>2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202</v>
      </c>
      <c r="C14" s="35">
        <f>IF(B$12=0,0,B14/B$12)</f>
        <v>0.47980997624703087</v>
      </c>
      <c r="E14" s="59" t="s">
        <v>83</v>
      </c>
      <c r="F14" s="56" t="s">
        <v>38</v>
      </c>
      <c r="G14" s="44">
        <v>30</v>
      </c>
      <c r="H14" s="129">
        <f>IF(B$15=0,0,G14/B$15)</f>
        <v>4.9916805324459232E-2</v>
      </c>
      <c r="I14" s="90">
        <v>6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601</v>
      </c>
      <c r="C15" s="35">
        <f>IF(B$3=0,0,B15/B$3)</f>
        <v>0.34264538198403649</v>
      </c>
      <c r="E15" s="59" t="s">
        <v>78</v>
      </c>
      <c r="F15" s="56" t="s">
        <v>33</v>
      </c>
      <c r="G15" s="44">
        <v>21</v>
      </c>
      <c r="H15" s="129">
        <f>IF(B$15=0,0,G15/B$15)</f>
        <v>3.4941763727121461E-2</v>
      </c>
      <c r="I15" s="90">
        <v>4</v>
      </c>
      <c r="K15" s="36">
        <v>13</v>
      </c>
      <c r="L15" s="95">
        <v>206.39999999999998</v>
      </c>
      <c r="N15" s="110" t="s">
        <v>200</v>
      </c>
      <c r="O15" s="120">
        <f>IF(P15=0,0,Q15/P15)</f>
        <v>42.716666666666661</v>
      </c>
      <c r="P15" s="114">
        <v>6</v>
      </c>
      <c r="Q15" s="102">
        <v>256.29999999999995</v>
      </c>
    </row>
    <row r="16" spans="1:17" x14ac:dyDescent="0.45">
      <c r="A16" s="51" t="s">
        <v>13</v>
      </c>
      <c r="B16" s="44">
        <v>217</v>
      </c>
      <c r="C16" s="37">
        <f>IF(B$3=0,0,B16/B$3)</f>
        <v>0.12371721778791334</v>
      </c>
      <c r="E16" s="59" t="s">
        <v>162</v>
      </c>
      <c r="F16" s="56" t="s">
        <v>163</v>
      </c>
      <c r="G16" s="44">
        <v>15</v>
      </c>
      <c r="H16" s="129">
        <f>IF(B$15=0,0,G16/B$15)</f>
        <v>2.4958402662229616E-2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31.041666666666682</v>
      </c>
      <c r="P16" s="115">
        <v>12</v>
      </c>
      <c r="Q16" s="103">
        <v>372.50000000000017</v>
      </c>
    </row>
    <row r="17" spans="1:17" x14ac:dyDescent="0.45">
      <c r="A17" s="51" t="s">
        <v>12</v>
      </c>
      <c r="B17" s="44">
        <v>251</v>
      </c>
      <c r="C17" s="37">
        <f>IF(B$15=0,0,B17/B$15)</f>
        <v>0.41763727121464228</v>
      </c>
      <c r="E17" s="59" t="s">
        <v>81</v>
      </c>
      <c r="F17" s="56" t="s">
        <v>36</v>
      </c>
      <c r="G17" s="44">
        <v>9</v>
      </c>
      <c r="H17" s="129">
        <f>IF(B$15=0,0,G17/B$15)</f>
        <v>1.4975041597337771E-2</v>
      </c>
      <c r="I17" s="90">
        <v>8</v>
      </c>
      <c r="K17" s="36">
        <v>15</v>
      </c>
      <c r="L17" s="95">
        <v>269.49999999999994</v>
      </c>
      <c r="N17" s="111" t="s">
        <v>197</v>
      </c>
      <c r="O17" s="121">
        <f>IF(P17=0,0,Q17/P17)</f>
        <v>28.71200000000001</v>
      </c>
      <c r="P17" s="115">
        <v>25</v>
      </c>
      <c r="Q17" s="103">
        <v>717.8000000000003</v>
      </c>
    </row>
    <row r="18" spans="1:17" x14ac:dyDescent="0.45">
      <c r="A18" s="51" t="s">
        <v>11</v>
      </c>
      <c r="B18" s="44">
        <v>350</v>
      </c>
      <c r="C18" s="37">
        <f>IF(B$15=0,0,B18/B$15)</f>
        <v>0.58236272878535777</v>
      </c>
      <c r="E18" s="59" t="s">
        <v>91</v>
      </c>
      <c r="F18" s="56" t="s">
        <v>46</v>
      </c>
      <c r="G18" s="44">
        <v>6</v>
      </c>
      <c r="H18" s="129">
        <f>IF(B$15=0,0,G18/B$15)</f>
        <v>9.9833610648918467E-3</v>
      </c>
      <c r="I18" s="90">
        <v>8</v>
      </c>
      <c r="K18" s="36">
        <v>16</v>
      </c>
      <c r="L18" s="95">
        <v>323.69999999999993</v>
      </c>
      <c r="N18" s="111" t="s">
        <v>172</v>
      </c>
      <c r="O18" s="121">
        <f>IF(P18=0,0,Q18/P18)</f>
        <v>16.403030303030302</v>
      </c>
      <c r="P18" s="115">
        <v>66</v>
      </c>
      <c r="Q18" s="103">
        <v>1082.5999999999999</v>
      </c>
    </row>
    <row r="19" spans="1:17" x14ac:dyDescent="0.45">
      <c r="A19" s="51" t="s">
        <v>195</v>
      </c>
      <c r="B19" s="44">
        <v>271</v>
      </c>
      <c r="C19" s="37">
        <f>IF(B$15=0,0,B19/B$15)</f>
        <v>0.45091514143094841</v>
      </c>
      <c r="E19" s="59" t="s">
        <v>92</v>
      </c>
      <c r="F19" s="56" t="s">
        <v>47</v>
      </c>
      <c r="G19" s="44">
        <v>6</v>
      </c>
      <c r="H19" s="129">
        <f>IF(B$15=0,0,G19/B$15)</f>
        <v>9.9833610648918467E-3</v>
      </c>
      <c r="I19" s="90">
        <v>2</v>
      </c>
      <c r="K19" s="36">
        <v>17</v>
      </c>
      <c r="L19" s="95">
        <v>359.09999999999991</v>
      </c>
      <c r="N19" s="111" t="s">
        <v>161</v>
      </c>
      <c r="O19" s="121">
        <f>IF(P19=0,0,Q19/P19)</f>
        <v>13.495348837209301</v>
      </c>
      <c r="P19" s="115">
        <v>43</v>
      </c>
      <c r="Q19" s="103">
        <v>580.29999999999995</v>
      </c>
    </row>
    <row r="20" spans="1:17" x14ac:dyDescent="0.45">
      <c r="A20" s="51" t="s">
        <v>193</v>
      </c>
      <c r="B20" s="44">
        <v>202</v>
      </c>
      <c r="C20" s="37">
        <f>IF(B$15=0,0,B20/B$15)</f>
        <v>0.33610648918469216</v>
      </c>
      <c r="E20" s="59" t="s">
        <v>75</v>
      </c>
      <c r="F20" s="56" t="s">
        <v>30</v>
      </c>
      <c r="G20" s="44">
        <v>5</v>
      </c>
      <c r="H20" s="129">
        <f>IF(B$15=0,0,G20/B$15)</f>
        <v>8.3194675540765387E-3</v>
      </c>
      <c r="I20" s="90">
        <v>5</v>
      </c>
      <c r="K20" s="36">
        <v>18</v>
      </c>
      <c r="L20" s="95">
        <v>352.39999999999992</v>
      </c>
      <c r="N20" s="111" t="s">
        <v>127</v>
      </c>
      <c r="O20" s="121">
        <f>IF(P20=0,0,Q20/P20)</f>
        <v>13.436885245901642</v>
      </c>
      <c r="P20" s="115">
        <v>122</v>
      </c>
      <c r="Q20" s="103">
        <v>1639.3000000000004</v>
      </c>
    </row>
    <row r="21" spans="1:17" x14ac:dyDescent="0.45">
      <c r="A21" s="51" t="s">
        <v>194</v>
      </c>
      <c r="B21" s="44">
        <v>128</v>
      </c>
      <c r="C21" s="37">
        <f>IF(B$15=0,0,B21/B$15)</f>
        <v>0.21297836938435941</v>
      </c>
      <c r="E21" s="59" t="s">
        <v>79</v>
      </c>
      <c r="F21" s="56" t="s">
        <v>34</v>
      </c>
      <c r="G21" s="44">
        <v>5</v>
      </c>
      <c r="H21" s="129">
        <f>IF(B$15=0,0,G21/B$15)</f>
        <v>8.3194675540765387E-3</v>
      </c>
      <c r="I21" s="90">
        <v>9</v>
      </c>
      <c r="K21" s="36">
        <v>19</v>
      </c>
      <c r="L21" s="95">
        <v>383.19999999999993</v>
      </c>
      <c r="N21" s="111" t="s">
        <v>171</v>
      </c>
      <c r="O21" s="121">
        <f>IF(P21=0,0,Q21/P21)</f>
        <v>13.262820512820516</v>
      </c>
      <c r="P21" s="115">
        <v>78</v>
      </c>
      <c r="Q21" s="103">
        <v>1034.5000000000002</v>
      </c>
    </row>
    <row r="22" spans="1:17" x14ac:dyDescent="0.45">
      <c r="A22" s="51" t="s">
        <v>5</v>
      </c>
      <c r="B22" s="48">
        <f>IF(B$15=0,0,C22/B$15)</f>
        <v>8239.4342762063225</v>
      </c>
      <c r="C22" s="39">
        <v>4951900</v>
      </c>
      <c r="E22" s="59" t="s">
        <v>85</v>
      </c>
      <c r="F22" s="56" t="s">
        <v>40</v>
      </c>
      <c r="G22" s="44">
        <v>4</v>
      </c>
      <c r="H22" s="129">
        <f>IF(B$15=0,0,G22/B$15)</f>
        <v>6.6555740432612314E-3</v>
      </c>
      <c r="I22" s="90">
        <v>5</v>
      </c>
      <c r="K22" s="36">
        <v>20</v>
      </c>
      <c r="L22" s="95">
        <v>365.49999999999994</v>
      </c>
      <c r="N22" s="111" t="s">
        <v>170</v>
      </c>
      <c r="O22" s="121">
        <f>IF(P22=0,0,Q22/P22)</f>
        <v>4.3463768115942019</v>
      </c>
      <c r="P22" s="115">
        <v>69</v>
      </c>
      <c r="Q22" s="103">
        <v>299.89999999999992</v>
      </c>
    </row>
    <row r="23" spans="1:17" x14ac:dyDescent="0.45">
      <c r="A23" s="52" t="s">
        <v>177</v>
      </c>
      <c r="B23" s="136">
        <f>IF($B$15-B$14=0,0,C23/($B$15-B$14))</f>
        <v>8798.2456140350878</v>
      </c>
      <c r="C23" s="137">
        <v>3510500</v>
      </c>
      <c r="E23" s="59" t="s">
        <v>77</v>
      </c>
      <c r="F23" s="56" t="s">
        <v>32</v>
      </c>
      <c r="G23" s="44">
        <v>3</v>
      </c>
      <c r="H23" s="129">
        <f>IF(B$15=0,0,G23/B$15)</f>
        <v>4.9916805324459234E-3</v>
      </c>
      <c r="I23" s="90">
        <v>2</v>
      </c>
      <c r="K23" s="36">
        <v>21</v>
      </c>
      <c r="L23" s="95">
        <v>371.39999999999992</v>
      </c>
      <c r="N23" s="111" t="s">
        <v>256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7135.6435643564355</v>
      </c>
      <c r="C24" s="137">
        <v>1441400</v>
      </c>
      <c r="E24" s="59" t="s">
        <v>84</v>
      </c>
      <c r="F24" s="56" t="s">
        <v>39</v>
      </c>
      <c r="G24" s="44">
        <v>3</v>
      </c>
      <c r="H24" s="129">
        <f>IF(B$15=0,0,G24/B$15)</f>
        <v>4.9916805324459234E-3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-7690.7834101382487</v>
      </c>
      <c r="C25" s="137">
        <v>-1668900</v>
      </c>
      <c r="E25" s="59" t="s">
        <v>74</v>
      </c>
      <c r="F25" s="56" t="s">
        <v>29</v>
      </c>
      <c r="G25" s="44">
        <v>2</v>
      </c>
      <c r="H25" s="129">
        <f>IF(B$15=0,0,G25/B$15)</f>
        <v>3.3277870216306157E-3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2</v>
      </c>
      <c r="E26" s="59" t="s">
        <v>88</v>
      </c>
      <c r="F26" s="56" t="s">
        <v>43</v>
      </c>
      <c r="G26" s="44">
        <v>2</v>
      </c>
      <c r="H26" s="129">
        <f>IF(B$15=0,0,G26/B$15)</f>
        <v>3.3277870216306157E-3</v>
      </c>
      <c r="I26" s="90">
        <v>3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8</v>
      </c>
      <c r="E27" s="59" t="s">
        <v>95</v>
      </c>
      <c r="F27" s="56" t="s">
        <v>50</v>
      </c>
      <c r="G27" s="44">
        <v>2</v>
      </c>
      <c r="H27" s="129">
        <f>IF(B$15=0,0,G27/B$15)</f>
        <v>3.3277870216306157E-3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1.6638935108153079E-3</v>
      </c>
      <c r="I28" s="90">
        <v>6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1.6638935108153079E-3</v>
      </c>
      <c r="I29" s="90">
        <v>4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2</v>
      </c>
      <c r="C30" s="40">
        <f>IF(B$3=0,0,B30/B$3)</f>
        <v>1.1402508551881414E-3</v>
      </c>
      <c r="E30" s="59" t="s">
        <v>106</v>
      </c>
      <c r="F30" s="56" t="s">
        <v>113</v>
      </c>
      <c r="G30" s="44">
        <v>1</v>
      </c>
      <c r="H30" s="129">
        <f>IF(B$15=0,0,G30/B$15)</f>
        <v>1.6638935108153079E-3</v>
      </c>
      <c r="I30" s="90">
        <v>1</v>
      </c>
      <c r="K30" s="36">
        <v>28</v>
      </c>
      <c r="L30" s="95">
        <v>375.79999999999995</v>
      </c>
    </row>
    <row r="31" spans="1:17" x14ac:dyDescent="0.45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55</v>
      </c>
      <c r="C32" s="141">
        <f>IF(B$15=0,0,B32/B$15)</f>
        <v>9.1514143094841932E-2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3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113</v>
      </c>
      <c r="C33" s="37">
        <f t="shared" ref="C33:C44" si="2">IF(B$15=0,0,B33/B$15)</f>
        <v>0.18801996672212978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118</v>
      </c>
      <c r="C34" s="37">
        <f>IF(B$15=0,0,B34/B$15)</f>
        <v>0.19633943427620631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109</v>
      </c>
      <c r="C35" s="37">
        <f t="shared" si="2"/>
        <v>0.18136439267886856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87</v>
      </c>
      <c r="C36" s="37">
        <f t="shared" si="2"/>
        <v>0.14475873544093179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56</v>
      </c>
      <c r="C37" s="37">
        <f t="shared" si="2"/>
        <v>9.3178036605657238E-2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27</v>
      </c>
      <c r="C38" s="37">
        <f t="shared" si="2"/>
        <v>4.4925124792013313E-2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12</v>
      </c>
      <c r="C39" s="37">
        <f t="shared" si="2"/>
        <v>1.9966722129783693E-2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11</v>
      </c>
      <c r="C40" s="37">
        <f t="shared" si="2"/>
        <v>1.8302828618968387E-2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3</v>
      </c>
      <c r="C41" s="37">
        <f t="shared" si="2"/>
        <v>4.9916805324459234E-3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1.6638935108153079E-3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9</v>
      </c>
      <c r="C44" s="40">
        <f t="shared" si="2"/>
        <v>1.4975041597337771E-2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  <row r="178" spans="11:12" x14ac:dyDescent="0.45">
      <c r="K178" s="36">
        <v>176</v>
      </c>
      <c r="L178" s="95">
        <v>1564.5999999999997</v>
      </c>
    </row>
    <row r="179" spans="11:12" x14ac:dyDescent="0.45">
      <c r="K179" s="36">
        <v>177</v>
      </c>
      <c r="L179" s="95">
        <v>1537.1999999999996</v>
      </c>
    </row>
    <row r="180" spans="11:12" x14ac:dyDescent="0.45">
      <c r="K180" s="36">
        <v>178</v>
      </c>
      <c r="L180" s="95">
        <v>1526.1999999999996</v>
      </c>
    </row>
    <row r="181" spans="11:12" x14ac:dyDescent="0.45">
      <c r="K181" s="36">
        <v>179</v>
      </c>
      <c r="L181" s="95">
        <v>1554.0999999999997</v>
      </c>
    </row>
    <row r="182" spans="11:12" x14ac:dyDescent="0.45">
      <c r="K182" s="36">
        <v>180</v>
      </c>
      <c r="L182" s="95">
        <v>1553.2999999999997</v>
      </c>
    </row>
    <row r="183" spans="11:12" x14ac:dyDescent="0.45">
      <c r="K183" s="36">
        <v>181</v>
      </c>
      <c r="L183" s="95">
        <v>1552.9999999999998</v>
      </c>
    </row>
    <row r="184" spans="11:12" x14ac:dyDescent="0.45">
      <c r="K184" s="36">
        <v>182</v>
      </c>
      <c r="L184" s="95">
        <v>1600.4999999999998</v>
      </c>
    </row>
    <row r="185" spans="11:12" x14ac:dyDescent="0.45">
      <c r="K185" s="36">
        <v>183</v>
      </c>
      <c r="L185" s="95">
        <v>1578.4999999999998</v>
      </c>
    </row>
    <row r="186" spans="11:12" x14ac:dyDescent="0.45">
      <c r="K186" s="36">
        <v>184</v>
      </c>
      <c r="L186" s="95">
        <v>1553.9999999999998</v>
      </c>
    </row>
    <row r="187" spans="11:12" x14ac:dyDescent="0.45">
      <c r="K187" s="36">
        <v>185</v>
      </c>
      <c r="L187" s="95">
        <v>1594.7999999999997</v>
      </c>
    </row>
    <row r="188" spans="11:12" x14ac:dyDescent="0.45">
      <c r="K188" s="36">
        <v>186</v>
      </c>
      <c r="L188" s="95">
        <v>1635.9999999999998</v>
      </c>
    </row>
    <row r="189" spans="11:12" x14ac:dyDescent="0.45">
      <c r="K189" s="36">
        <v>187</v>
      </c>
      <c r="L189" s="95">
        <v>1628.2999999999997</v>
      </c>
    </row>
    <row r="190" spans="11:12" x14ac:dyDescent="0.45">
      <c r="K190" s="36">
        <v>188</v>
      </c>
      <c r="L190" s="95">
        <v>1659.9999999999998</v>
      </c>
    </row>
    <row r="191" spans="11:12" x14ac:dyDescent="0.45">
      <c r="K191" s="36">
        <v>189</v>
      </c>
      <c r="L191" s="95">
        <v>1692.1999999999998</v>
      </c>
    </row>
    <row r="192" spans="11:12" x14ac:dyDescent="0.45">
      <c r="K192" s="36">
        <v>190</v>
      </c>
      <c r="L192" s="95">
        <v>1689.2999999999997</v>
      </c>
    </row>
    <row r="193" spans="11:12" x14ac:dyDescent="0.45">
      <c r="K193" s="36">
        <v>191</v>
      </c>
      <c r="L193" s="95">
        <v>1721.2999999999997</v>
      </c>
    </row>
    <row r="194" spans="11:12" x14ac:dyDescent="0.45">
      <c r="K194" s="36">
        <v>192</v>
      </c>
      <c r="L194" s="95">
        <v>1762.7999999999997</v>
      </c>
    </row>
    <row r="195" spans="11:12" x14ac:dyDescent="0.45">
      <c r="K195" s="36">
        <v>193</v>
      </c>
      <c r="L195" s="95">
        <v>1799.3999999999996</v>
      </c>
    </row>
    <row r="196" spans="11:12" x14ac:dyDescent="0.45">
      <c r="K196" s="36">
        <v>194</v>
      </c>
      <c r="L196" s="95">
        <v>1831.2999999999997</v>
      </c>
    </row>
    <row r="197" spans="11:12" x14ac:dyDescent="0.45">
      <c r="K197" s="36">
        <v>195</v>
      </c>
      <c r="L197" s="95">
        <v>1872.7999999999997</v>
      </c>
    </row>
    <row r="198" spans="11:12" x14ac:dyDescent="0.45">
      <c r="K198" s="36">
        <v>196</v>
      </c>
      <c r="L198" s="95">
        <v>1834.0999999999997</v>
      </c>
    </row>
    <row r="199" spans="11:12" x14ac:dyDescent="0.45">
      <c r="K199" s="36">
        <v>197</v>
      </c>
      <c r="L199" s="95">
        <v>1788.5999999999997</v>
      </c>
    </row>
    <row r="200" spans="11:12" x14ac:dyDescent="0.45">
      <c r="K200" s="36">
        <v>198</v>
      </c>
      <c r="L200" s="95">
        <v>1804.7999999999997</v>
      </c>
    </row>
    <row r="201" spans="11:12" x14ac:dyDescent="0.45">
      <c r="K201" s="36">
        <v>199</v>
      </c>
      <c r="L201" s="95">
        <v>1806.0999999999997</v>
      </c>
    </row>
    <row r="202" spans="11:12" x14ac:dyDescent="0.45">
      <c r="K202" s="36">
        <v>200</v>
      </c>
      <c r="L202" s="95">
        <v>1830.1999999999996</v>
      </c>
    </row>
    <row r="203" spans="11:12" x14ac:dyDescent="0.45">
      <c r="K203" s="36">
        <v>201</v>
      </c>
      <c r="L203" s="95">
        <v>1812.7999999999995</v>
      </c>
    </row>
    <row r="204" spans="11:12" x14ac:dyDescent="0.45">
      <c r="K204" s="36">
        <v>202</v>
      </c>
      <c r="L204" s="95">
        <v>1853.4999999999995</v>
      </c>
    </row>
    <row r="205" spans="11:12" x14ac:dyDescent="0.45">
      <c r="K205" s="36">
        <v>203</v>
      </c>
      <c r="L205" s="95">
        <v>1867.4999999999995</v>
      </c>
    </row>
    <row r="206" spans="11:12" x14ac:dyDescent="0.45">
      <c r="K206" s="36">
        <v>204</v>
      </c>
      <c r="L206" s="95">
        <v>1934.3999999999996</v>
      </c>
    </row>
    <row r="207" spans="11:12" x14ac:dyDescent="0.45">
      <c r="K207" s="36">
        <v>205</v>
      </c>
      <c r="L207" s="95">
        <v>1937.5999999999997</v>
      </c>
    </row>
    <row r="208" spans="11:12" x14ac:dyDescent="0.45">
      <c r="K208" s="36">
        <v>206</v>
      </c>
      <c r="L208" s="95">
        <v>1937.2999999999997</v>
      </c>
    </row>
    <row r="209" spans="11:12" x14ac:dyDescent="0.45">
      <c r="K209" s="36">
        <v>207</v>
      </c>
      <c r="L209" s="95">
        <v>1977.1999999999998</v>
      </c>
    </row>
    <row r="210" spans="11:12" x14ac:dyDescent="0.45">
      <c r="K210" s="36">
        <v>208</v>
      </c>
      <c r="L210" s="95">
        <v>1974.9999999999998</v>
      </c>
    </row>
    <row r="211" spans="11:12" x14ac:dyDescent="0.45">
      <c r="K211" s="36">
        <v>209</v>
      </c>
      <c r="L211" s="95">
        <v>1923.8999999999999</v>
      </c>
    </row>
    <row r="212" spans="11:12" x14ac:dyDescent="0.45">
      <c r="K212" s="36">
        <v>210</v>
      </c>
      <c r="L212" s="95">
        <v>1949.1999999999998</v>
      </c>
    </row>
    <row r="213" spans="11:12" x14ac:dyDescent="0.45">
      <c r="K213" s="36">
        <v>211</v>
      </c>
      <c r="L213" s="95">
        <v>1970.8999999999999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AC24C-5E94-43C8-BE4B-38B75A645D8C}">
  <sheetPr codeName="Sheet11"/>
  <dimension ref="A1:Q18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183</v>
      </c>
      <c r="C2" s="155"/>
      <c r="E2" s="58" t="s">
        <v>66</v>
      </c>
      <c r="F2" s="55" t="s">
        <v>22</v>
      </c>
      <c r="G2" s="43">
        <v>355</v>
      </c>
      <c r="H2" s="128">
        <f>IF(B$15=0,0,G2/B$15)</f>
        <v>0.74579831932773111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-1087.2928176795581</v>
      </c>
      <c r="P2" s="114">
        <v>181</v>
      </c>
      <c r="Q2" s="98">
        <v>-196800</v>
      </c>
    </row>
    <row r="3" spans="1:17" x14ac:dyDescent="0.45">
      <c r="A3" s="51" t="s">
        <v>8</v>
      </c>
      <c r="B3" s="156">
        <v>1521</v>
      </c>
      <c r="C3" s="157"/>
      <c r="E3" s="59" t="s">
        <v>72</v>
      </c>
      <c r="F3" s="56" t="s">
        <v>27</v>
      </c>
      <c r="G3" s="44">
        <v>272</v>
      </c>
      <c r="H3" s="129">
        <f>IF(B$15=0,0,G3/B$15)</f>
        <v>0.5714285714285714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1047.7528089887639</v>
      </c>
      <c r="P3" s="115">
        <v>178</v>
      </c>
      <c r="Q3" s="99">
        <v>186500</v>
      </c>
    </row>
    <row r="4" spans="1:17" x14ac:dyDescent="0.45">
      <c r="A4" s="51" t="s">
        <v>6</v>
      </c>
      <c r="B4" s="158">
        <v>-92.30000000000021</v>
      </c>
      <c r="C4" s="159"/>
      <c r="E4" s="59" t="s">
        <v>166</v>
      </c>
      <c r="F4" s="56" t="s">
        <v>167</v>
      </c>
      <c r="G4" s="44">
        <v>195</v>
      </c>
      <c r="H4" s="129">
        <f>IF(B$15=0,0,G4/B$15)</f>
        <v>0.40966386554621848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-306.62650602409639</v>
      </c>
      <c r="P4" s="115">
        <v>166</v>
      </c>
      <c r="Q4" s="99">
        <v>-50900</v>
      </c>
    </row>
    <row r="5" spans="1:17" x14ac:dyDescent="0.45">
      <c r="A5" s="51" t="s">
        <v>7</v>
      </c>
      <c r="B5" s="160">
        <f>IF(B$2=0,0,B$4/B$2)</f>
        <v>-0.50437158469945476</v>
      </c>
      <c r="C5" s="161"/>
      <c r="E5" s="59" t="s">
        <v>64</v>
      </c>
      <c r="F5" s="56" t="s">
        <v>20</v>
      </c>
      <c r="G5" s="44">
        <v>178</v>
      </c>
      <c r="H5" s="129">
        <f>IF(B$15=0,0,G5/B$15)</f>
        <v>0.37394957983193278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4.4303797468354427</v>
      </c>
      <c r="P5" s="115">
        <v>158</v>
      </c>
      <c r="Q5" s="99">
        <v>700</v>
      </c>
    </row>
    <row r="6" spans="1:17" x14ac:dyDescent="0.45">
      <c r="A6" s="51" t="s">
        <v>1</v>
      </c>
      <c r="B6" s="150">
        <f>IF(B$2=0,0,(B$7*1+B$8*2+B$9*3)/B$2)</f>
        <v>1.9836065573770492</v>
      </c>
      <c r="C6" s="151"/>
      <c r="E6" s="59" t="s">
        <v>68</v>
      </c>
      <c r="F6" s="56" t="s">
        <v>12</v>
      </c>
      <c r="G6" s="44">
        <v>128</v>
      </c>
      <c r="H6" s="129">
        <f>IF(B$15=0,0,G6/B$15)</f>
        <v>0.26890756302521007</v>
      </c>
      <c r="I6" s="90">
        <v>12</v>
      </c>
      <c r="K6" s="36">
        <v>4</v>
      </c>
      <c r="L6" s="95">
        <v>-38.099999999999994</v>
      </c>
      <c r="N6" s="111" t="s">
        <v>134</v>
      </c>
      <c r="O6" s="118">
        <f t="shared" si="0"/>
        <v>-1328.2758620689656</v>
      </c>
      <c r="P6" s="115">
        <v>145</v>
      </c>
      <c r="Q6" s="99">
        <v>-192600</v>
      </c>
    </row>
    <row r="7" spans="1:17" x14ac:dyDescent="0.45">
      <c r="A7" s="51" t="s">
        <v>2</v>
      </c>
      <c r="B7" s="44">
        <v>61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95</v>
      </c>
      <c r="H7" s="129">
        <f>IF(B$15=0,0,G7/B$15)</f>
        <v>0.19957983193277312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1210.5691056910568</v>
      </c>
      <c r="P7" s="116">
        <v>123</v>
      </c>
      <c r="Q7" s="100">
        <v>148900</v>
      </c>
    </row>
    <row r="8" spans="1:17" x14ac:dyDescent="0.45">
      <c r="A8" s="51" t="s">
        <v>3</v>
      </c>
      <c r="B8" s="44">
        <v>64</v>
      </c>
      <c r="C8" s="37">
        <f t="shared" si="1"/>
        <v>0.34972677595628415</v>
      </c>
      <c r="E8" s="59" t="s">
        <v>69</v>
      </c>
      <c r="F8" s="56" t="s">
        <v>24</v>
      </c>
      <c r="G8" s="44">
        <v>52</v>
      </c>
      <c r="H8" s="129">
        <f>IF(B$15=0,0,G8/B$15)</f>
        <v>0.1092436974789916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58</v>
      </c>
      <c r="C9" s="38">
        <f t="shared" si="1"/>
        <v>0.31693989071038253</v>
      </c>
      <c r="E9" s="59" t="s">
        <v>89</v>
      </c>
      <c r="F9" s="56" t="s">
        <v>44</v>
      </c>
      <c r="G9" s="44">
        <v>50</v>
      </c>
      <c r="H9" s="129">
        <f>IF(B$15=0,0,G9/B$15)</f>
        <v>0.10504201680672269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19</v>
      </c>
      <c r="C10" s="40">
        <f t="shared" si="1"/>
        <v>0.10382513661202186</v>
      </c>
      <c r="E10" s="59" t="s">
        <v>70</v>
      </c>
      <c r="F10" s="56" t="s">
        <v>25</v>
      </c>
      <c r="G10" s="44">
        <v>45</v>
      </c>
      <c r="H10" s="129">
        <f>IF(B$15=0,0,G10/B$15)</f>
        <v>9.4537815126050417E-2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-0.61228070175438565</v>
      </c>
      <c r="P10" s="114">
        <v>57</v>
      </c>
      <c r="Q10" s="102">
        <v>-34.899999999999984</v>
      </c>
    </row>
    <row r="11" spans="1:17" x14ac:dyDescent="0.45">
      <c r="A11" s="54" t="s">
        <v>121</v>
      </c>
      <c r="B11" s="47">
        <v>344</v>
      </c>
      <c r="C11" s="42">
        <f>IF(B$3=0,0,B11/B$3)</f>
        <v>0.22616699539776464</v>
      </c>
      <c r="E11" s="59" t="s">
        <v>71</v>
      </c>
      <c r="F11" s="56" t="s">
        <v>26</v>
      </c>
      <c r="G11" s="44">
        <v>42</v>
      </c>
      <c r="H11" s="129">
        <f>IF(B$15=0,0,G11/B$15)</f>
        <v>8.8235294117647065E-2</v>
      </c>
      <c r="I11" s="90">
        <v>5</v>
      </c>
      <c r="K11" s="36">
        <v>9</v>
      </c>
      <c r="L11" s="95">
        <v>-83.699999999999989</v>
      </c>
      <c r="N11" s="111" t="s">
        <v>158</v>
      </c>
      <c r="O11" s="121">
        <f>IF(P11=0,0,Q11/P11)</f>
        <v>2.4627118644067809</v>
      </c>
      <c r="P11" s="115">
        <v>59</v>
      </c>
      <c r="Q11" s="103">
        <v>145.30000000000007</v>
      </c>
    </row>
    <row r="12" spans="1:17" x14ac:dyDescent="0.45">
      <c r="A12" s="51" t="s">
        <v>118</v>
      </c>
      <c r="B12" s="44">
        <v>452</v>
      </c>
      <c r="C12" s="37">
        <f>IF(B$3=0,0,B12/B$3)</f>
        <v>0.29717291255752792</v>
      </c>
      <c r="E12" s="59" t="s">
        <v>65</v>
      </c>
      <c r="F12" s="56" t="s">
        <v>21</v>
      </c>
      <c r="G12" s="44">
        <v>36</v>
      </c>
      <c r="H12" s="129">
        <f>IF(B$15=0,0,G12/B$15)</f>
        <v>7.5630252100840331E-2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-3.0253731343283583</v>
      </c>
      <c r="P12" s="116">
        <v>67</v>
      </c>
      <c r="Q12" s="104">
        <v>-202.70000000000002</v>
      </c>
    </row>
    <row r="13" spans="1:17" x14ac:dyDescent="0.45">
      <c r="A13" s="50" t="s">
        <v>123</v>
      </c>
      <c r="B13" s="43">
        <f>B19</f>
        <v>176</v>
      </c>
      <c r="C13" s="35">
        <f>IF(B$11=0,0,B13/B$11)</f>
        <v>0.51162790697674421</v>
      </c>
      <c r="E13" s="59" t="s">
        <v>86</v>
      </c>
      <c r="F13" s="56" t="s">
        <v>41</v>
      </c>
      <c r="G13" s="44">
        <v>26</v>
      </c>
      <c r="H13" s="129">
        <f>IF(B$15=0,0,G13/B$15)</f>
        <v>5.4621848739495799E-2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180</v>
      </c>
      <c r="C14" s="35">
        <f>IF(B$12=0,0,B14/B$12)</f>
        <v>0.39823008849557523</v>
      </c>
      <c r="E14" s="59" t="s">
        <v>83</v>
      </c>
      <c r="F14" s="56" t="s">
        <v>38</v>
      </c>
      <c r="G14" s="44">
        <v>22</v>
      </c>
      <c r="H14" s="129">
        <f>IF(B$15=0,0,G14/B$15)</f>
        <v>4.6218487394957986E-2</v>
      </c>
      <c r="I14" s="90">
        <v>8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476</v>
      </c>
      <c r="C15" s="35">
        <f>IF(B$3=0,0,B15/B$3)</f>
        <v>0.31295200525969757</v>
      </c>
      <c r="E15" s="59" t="s">
        <v>78</v>
      </c>
      <c r="F15" s="56" t="s">
        <v>33</v>
      </c>
      <c r="G15" s="44">
        <v>19</v>
      </c>
      <c r="H15" s="129">
        <f>IF(B$15=0,0,G15/B$15)</f>
        <v>3.9915966386554619E-2</v>
      </c>
      <c r="I15" s="90">
        <v>3</v>
      </c>
      <c r="K15" s="36">
        <v>13</v>
      </c>
      <c r="L15" s="95">
        <v>-86.8</v>
      </c>
      <c r="N15" s="110" t="s">
        <v>232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267</v>
      </c>
      <c r="C16" s="37">
        <f>IF(B$3=0,0,B16/B$3)</f>
        <v>0.17554240631163709</v>
      </c>
      <c r="E16" s="59" t="s">
        <v>91</v>
      </c>
      <c r="F16" s="56" t="s">
        <v>46</v>
      </c>
      <c r="G16" s="44">
        <v>14</v>
      </c>
      <c r="H16" s="129">
        <f>IF(B$15=0,0,G16/B$15)</f>
        <v>2.9411764705882353E-2</v>
      </c>
      <c r="I16" s="90">
        <v>2</v>
      </c>
      <c r="K16" s="36">
        <v>14</v>
      </c>
      <c r="L16" s="95">
        <v>-138.4</v>
      </c>
      <c r="N16" s="111" t="s">
        <v>196</v>
      </c>
      <c r="O16" s="121">
        <f>IF(P16=0,0,Q16/P16)</f>
        <v>21.862499999999997</v>
      </c>
      <c r="P16" s="115">
        <v>8</v>
      </c>
      <c r="Q16" s="103">
        <v>174.89999999999998</v>
      </c>
    </row>
    <row r="17" spans="1:17" x14ac:dyDescent="0.45">
      <c r="A17" s="51" t="s">
        <v>12</v>
      </c>
      <c r="B17" s="44">
        <v>196</v>
      </c>
      <c r="C17" s="37">
        <f>IF(B$15=0,0,B17/B$15)</f>
        <v>0.41176470588235292</v>
      </c>
      <c r="E17" s="59" t="s">
        <v>81</v>
      </c>
      <c r="F17" s="56" t="s">
        <v>36</v>
      </c>
      <c r="G17" s="44">
        <v>12</v>
      </c>
      <c r="H17" s="129">
        <f>IF(B$15=0,0,G17/B$15)</f>
        <v>2.5210084033613446E-2</v>
      </c>
      <c r="I17" s="90">
        <v>4</v>
      </c>
      <c r="K17" s="36">
        <v>15</v>
      </c>
      <c r="L17" s="95">
        <v>-144.30000000000001</v>
      </c>
      <c r="N17" s="111" t="s">
        <v>172</v>
      </c>
      <c r="O17" s="121">
        <f>IF(P17=0,0,Q17/P17)</f>
        <v>18.434693877551016</v>
      </c>
      <c r="P17" s="115">
        <v>49</v>
      </c>
      <c r="Q17" s="103">
        <v>903.29999999999973</v>
      </c>
    </row>
    <row r="18" spans="1:17" x14ac:dyDescent="0.45">
      <c r="A18" s="51" t="s">
        <v>11</v>
      </c>
      <c r="B18" s="44">
        <v>280</v>
      </c>
      <c r="C18" s="37">
        <f>IF(B$15=0,0,B18/B$15)</f>
        <v>0.58823529411764708</v>
      </c>
      <c r="E18" s="59" t="s">
        <v>79</v>
      </c>
      <c r="F18" s="56" t="s">
        <v>34</v>
      </c>
      <c r="G18" s="44">
        <v>8</v>
      </c>
      <c r="H18" s="129">
        <f>IF(B$15=0,0,G18/B$15)</f>
        <v>1.680672268907563E-2</v>
      </c>
      <c r="I18" s="90">
        <v>5</v>
      </c>
      <c r="K18" s="36">
        <v>16</v>
      </c>
      <c r="L18" s="95">
        <v>-187.3</v>
      </c>
      <c r="N18" s="111" t="s">
        <v>197</v>
      </c>
      <c r="O18" s="121">
        <f>IF(P18=0,0,Q18/P18)</f>
        <v>12.000000000000002</v>
      </c>
      <c r="P18" s="115">
        <v>17</v>
      </c>
      <c r="Q18" s="103">
        <v>204.00000000000003</v>
      </c>
    </row>
    <row r="19" spans="1:17" x14ac:dyDescent="0.45">
      <c r="A19" s="51" t="s">
        <v>195</v>
      </c>
      <c r="B19" s="44">
        <v>176</v>
      </c>
      <c r="C19" s="37">
        <f>IF(B$15=0,0,B19/B$15)</f>
        <v>0.36974789915966388</v>
      </c>
      <c r="E19" s="59" t="s">
        <v>162</v>
      </c>
      <c r="F19" s="56" t="s">
        <v>163</v>
      </c>
      <c r="G19" s="44">
        <v>5</v>
      </c>
      <c r="H19" s="129">
        <f>IF(B$15=0,0,G19/B$15)</f>
        <v>1.050420168067227E-2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10.769444444444444</v>
      </c>
      <c r="P19" s="115">
        <v>36</v>
      </c>
      <c r="Q19" s="103">
        <v>387.7</v>
      </c>
    </row>
    <row r="20" spans="1:17" x14ac:dyDescent="0.45">
      <c r="A20" s="51" t="s">
        <v>193</v>
      </c>
      <c r="B20" s="44">
        <v>180</v>
      </c>
      <c r="C20" s="37">
        <f>IF(B$15=0,0,B20/B$15)</f>
        <v>0.37815126050420167</v>
      </c>
      <c r="E20" s="59" t="s">
        <v>92</v>
      </c>
      <c r="F20" s="56" t="s">
        <v>47</v>
      </c>
      <c r="G20" s="44">
        <v>3</v>
      </c>
      <c r="H20" s="129">
        <f>IF(B$15=0,0,G20/B$15)</f>
        <v>6.3025210084033615E-3</v>
      </c>
      <c r="I20" s="90">
        <v>6</v>
      </c>
      <c r="K20" s="36">
        <v>18</v>
      </c>
      <c r="L20" s="95">
        <v>-112.90000000000002</v>
      </c>
      <c r="N20" s="111" t="s">
        <v>200</v>
      </c>
      <c r="O20" s="121">
        <f>IF(P20=0,0,Q20/P20)</f>
        <v>-2.86</v>
      </c>
      <c r="P20" s="115">
        <v>5</v>
      </c>
      <c r="Q20" s="103">
        <v>-14.299999999999999</v>
      </c>
    </row>
    <row r="21" spans="1:17" x14ac:dyDescent="0.45">
      <c r="A21" s="51" t="s">
        <v>194</v>
      </c>
      <c r="B21" s="44">
        <v>120</v>
      </c>
      <c r="C21" s="37">
        <f>IF(B$15=0,0,B21/B$15)</f>
        <v>0.25210084033613445</v>
      </c>
      <c r="E21" s="59" t="s">
        <v>74</v>
      </c>
      <c r="F21" s="56" t="s">
        <v>29</v>
      </c>
      <c r="G21" s="44">
        <v>2</v>
      </c>
      <c r="H21" s="129">
        <f>IF(B$15=0,0,G21/B$15)</f>
        <v>4.2016806722689074E-3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-3.1396825396825383</v>
      </c>
      <c r="P21" s="115">
        <v>63</v>
      </c>
      <c r="Q21" s="103">
        <v>-197.79999999999993</v>
      </c>
    </row>
    <row r="22" spans="1:17" x14ac:dyDescent="0.45">
      <c r="A22" s="51" t="s">
        <v>5</v>
      </c>
      <c r="B22" s="48">
        <f>IF(B$15=0,0,C22/B$15)</f>
        <v>7865.7563025210084</v>
      </c>
      <c r="C22" s="39">
        <v>3744100</v>
      </c>
      <c r="E22" s="59" t="s">
        <v>75</v>
      </c>
      <c r="F22" s="56" t="s">
        <v>30</v>
      </c>
      <c r="G22" s="44">
        <v>2</v>
      </c>
      <c r="H22" s="129">
        <f>IF(B$15=0,0,G22/B$15)</f>
        <v>4.2016806722689074E-3</v>
      </c>
      <c r="I22" s="90">
        <v>9</v>
      </c>
      <c r="K22" s="36">
        <v>20</v>
      </c>
      <c r="L22" s="95">
        <v>-96.000000000000028</v>
      </c>
      <c r="N22" s="111" t="s">
        <v>170</v>
      </c>
      <c r="O22" s="121">
        <f>IF(P22=0,0,Q22/P22)</f>
        <v>-3.8437499999999973</v>
      </c>
      <c r="P22" s="115">
        <v>64</v>
      </c>
      <c r="Q22" s="103">
        <v>-245.99999999999983</v>
      </c>
    </row>
    <row r="23" spans="1:17" x14ac:dyDescent="0.45">
      <c r="A23" s="52" t="s">
        <v>177</v>
      </c>
      <c r="B23" s="136">
        <f>IF($B$15-B$14=0,0,C23/($B$15-B$14))</f>
        <v>8498.3108108108099</v>
      </c>
      <c r="C23" s="137">
        <v>2515500</v>
      </c>
      <c r="E23" s="59" t="s">
        <v>90</v>
      </c>
      <c r="F23" s="56" t="s">
        <v>45</v>
      </c>
      <c r="G23" s="44">
        <v>2</v>
      </c>
      <c r="H23" s="129">
        <f>IF(B$15=0,0,G23/B$15)</f>
        <v>4.2016806722689074E-3</v>
      </c>
      <c r="I23" s="90">
        <v>2</v>
      </c>
      <c r="K23" s="36">
        <v>21</v>
      </c>
      <c r="L23" s="95">
        <v>-67.200000000000031</v>
      </c>
      <c r="N23" s="111" t="s">
        <v>126</v>
      </c>
      <c r="O23" s="121">
        <f>IF(P23=0,0,Q23/P23)</f>
        <v>-13.436885245901642</v>
      </c>
      <c r="P23" s="115">
        <v>122</v>
      </c>
      <c r="Q23" s="103">
        <v>-1639.3000000000004</v>
      </c>
    </row>
    <row r="24" spans="1:17" x14ac:dyDescent="0.45">
      <c r="A24" s="52" t="s">
        <v>178</v>
      </c>
      <c r="B24" s="136">
        <f>IF(B$14=0,0,C24/B$14)</f>
        <v>6825.5555555555557</v>
      </c>
      <c r="C24" s="137">
        <v>1228600</v>
      </c>
      <c r="E24" s="59" t="s">
        <v>73</v>
      </c>
      <c r="F24" s="56" t="s">
        <v>28</v>
      </c>
      <c r="G24" s="44">
        <v>1</v>
      </c>
      <c r="H24" s="129">
        <f>IF(B$15=0,0,G24/B$15)</f>
        <v>2.1008403361344537E-3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-7979.7752808988762</v>
      </c>
      <c r="C25" s="137">
        <v>-2130600</v>
      </c>
      <c r="E25" s="59" t="s">
        <v>76</v>
      </c>
      <c r="F25" s="56" t="s">
        <v>31</v>
      </c>
      <c r="G25" s="44">
        <v>1</v>
      </c>
      <c r="H25" s="129">
        <f>IF(B$15=0,0,G25/B$15)</f>
        <v>2.1008403361344537E-3</v>
      </c>
      <c r="I25" s="90">
        <v>1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1</v>
      </c>
      <c r="H26" s="129">
        <f>IF(B$15=0,0,G26/B$15)</f>
        <v>2.1008403361344537E-3</v>
      </c>
      <c r="I26" s="90">
        <v>5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36</v>
      </c>
      <c r="C27" s="131">
        <v>4</v>
      </c>
      <c r="E27" s="59" t="s">
        <v>84</v>
      </c>
      <c r="F27" s="56" t="s">
        <v>39</v>
      </c>
      <c r="G27" s="44">
        <v>1</v>
      </c>
      <c r="H27" s="129">
        <f>IF(B$15=0,0,G27/B$15)</f>
        <v>2.1008403361344537E-3</v>
      </c>
      <c r="I27" s="90">
        <v>5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95</v>
      </c>
      <c r="F28" s="56" t="s">
        <v>50</v>
      </c>
      <c r="G28" s="44">
        <v>1</v>
      </c>
      <c r="H28" s="129">
        <f>IF(B$15=0,0,G28/B$15)</f>
        <v>2.1008403361344537E-3</v>
      </c>
      <c r="I28" s="90">
        <v>4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6</v>
      </c>
      <c r="C30" s="40">
        <f>IF(B$3=0,0,B30/B$3)</f>
        <v>3.9447731755424065E-3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8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38</v>
      </c>
      <c r="C32" s="141">
        <f>IF(B$15=0,0,B32/B$15)</f>
        <v>7.9831932773109238E-2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91</v>
      </c>
      <c r="C33" s="37">
        <f t="shared" ref="C33:C44" si="2">IF(B$15=0,0,B33/B$15)</f>
        <v>0.19117647058823528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102</v>
      </c>
      <c r="C34" s="37">
        <f>IF(B$15=0,0,B34/B$15)</f>
        <v>0.21428571428571427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96</v>
      </c>
      <c r="C35" s="37">
        <f t="shared" si="2"/>
        <v>0.20168067226890757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67</v>
      </c>
      <c r="C36" s="37">
        <f t="shared" si="2"/>
        <v>0.1407563025210084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44</v>
      </c>
      <c r="C37" s="37">
        <f t="shared" si="2"/>
        <v>9.2436974789915971E-2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15</v>
      </c>
      <c r="C38" s="37">
        <f t="shared" si="2"/>
        <v>3.1512605042016806E-2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2"/>
        <v>1.8907563025210083E-2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2"/>
        <v>1.2605042016806723E-2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2.1008403361344537E-3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3</v>
      </c>
      <c r="C42" s="37">
        <f t="shared" si="2"/>
        <v>6.3025210084033615E-3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8.4033613445378148E-3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  <row r="156" spans="11:12" x14ac:dyDescent="0.45">
      <c r="K156" s="36">
        <v>154</v>
      </c>
      <c r="L156" s="95">
        <v>-31.800000000000189</v>
      </c>
    </row>
    <row r="157" spans="11:12" x14ac:dyDescent="0.45">
      <c r="K157" s="36">
        <v>155</v>
      </c>
      <c r="L157" s="95">
        <v>7.8999999999998138</v>
      </c>
    </row>
    <row r="158" spans="11:12" x14ac:dyDescent="0.45">
      <c r="K158" s="36">
        <v>156</v>
      </c>
      <c r="L158" s="95">
        <v>-12.100000000000186</v>
      </c>
    </row>
    <row r="159" spans="11:12" x14ac:dyDescent="0.45">
      <c r="K159" s="36">
        <v>157</v>
      </c>
      <c r="L159" s="95">
        <v>8.8999999999998138</v>
      </c>
    </row>
    <row r="160" spans="11:12" x14ac:dyDescent="0.45">
      <c r="K160" s="36">
        <v>158</v>
      </c>
      <c r="L160" s="95">
        <v>47.099999999999817</v>
      </c>
    </row>
    <row r="161" spans="11:12" x14ac:dyDescent="0.45">
      <c r="K161" s="36">
        <v>159</v>
      </c>
      <c r="L161" s="95">
        <v>18.399999999999817</v>
      </c>
    </row>
    <row r="162" spans="11:12" x14ac:dyDescent="0.45">
      <c r="K162" s="36">
        <v>160</v>
      </c>
      <c r="L162" s="95">
        <v>-25.600000000000183</v>
      </c>
    </row>
    <row r="163" spans="11:12" x14ac:dyDescent="0.45">
      <c r="K163" s="36">
        <v>161</v>
      </c>
      <c r="L163" s="95">
        <v>-44.500000000000185</v>
      </c>
    </row>
    <row r="164" spans="11:12" x14ac:dyDescent="0.45">
      <c r="K164" s="36">
        <v>162</v>
      </c>
      <c r="L164" s="95">
        <v>-22.200000000000184</v>
      </c>
    </row>
    <row r="165" spans="11:12" x14ac:dyDescent="0.45">
      <c r="K165" s="36">
        <v>163</v>
      </c>
      <c r="L165" s="95">
        <v>25.099999999999813</v>
      </c>
    </row>
    <row r="166" spans="11:12" x14ac:dyDescent="0.45">
      <c r="K166" s="36">
        <v>164</v>
      </c>
      <c r="L166" s="95">
        <v>-9.4000000000001869</v>
      </c>
    </row>
    <row r="167" spans="11:12" x14ac:dyDescent="0.45">
      <c r="K167" s="36">
        <v>165</v>
      </c>
      <c r="L167" s="95">
        <v>-48.100000000000193</v>
      </c>
    </row>
    <row r="168" spans="11:12" x14ac:dyDescent="0.45">
      <c r="K168" s="36">
        <v>166</v>
      </c>
      <c r="L168" s="95">
        <v>-22.900000000000194</v>
      </c>
    </row>
    <row r="169" spans="11:12" x14ac:dyDescent="0.45">
      <c r="K169" s="36">
        <v>167</v>
      </c>
      <c r="L169" s="95">
        <v>-2.8000000000001926</v>
      </c>
    </row>
    <row r="170" spans="11:12" x14ac:dyDescent="0.45">
      <c r="K170" s="36">
        <v>168</v>
      </c>
      <c r="L170" s="95">
        <v>21.399999999999807</v>
      </c>
    </row>
    <row r="171" spans="11:12" x14ac:dyDescent="0.45">
      <c r="K171" s="36">
        <v>169</v>
      </c>
      <c r="L171" s="95">
        <v>20.799999999999805</v>
      </c>
    </row>
    <row r="172" spans="11:12" x14ac:dyDescent="0.45">
      <c r="K172" s="36">
        <v>170</v>
      </c>
      <c r="L172" s="95">
        <v>-3.0000000000001954</v>
      </c>
    </row>
    <row r="173" spans="11:12" x14ac:dyDescent="0.45">
      <c r="K173" s="36">
        <v>171</v>
      </c>
      <c r="L173" s="95">
        <v>-27.400000000000194</v>
      </c>
    </row>
    <row r="174" spans="11:12" x14ac:dyDescent="0.45">
      <c r="K174" s="36">
        <v>172</v>
      </c>
      <c r="L174" s="95">
        <v>-60.500000000000199</v>
      </c>
    </row>
    <row r="175" spans="11:12" x14ac:dyDescent="0.45">
      <c r="K175" s="36">
        <v>173</v>
      </c>
      <c r="L175" s="95">
        <v>-71.400000000000205</v>
      </c>
    </row>
    <row r="176" spans="11:12" x14ac:dyDescent="0.45">
      <c r="K176" s="36">
        <v>174</v>
      </c>
      <c r="L176" s="95">
        <v>-41.100000000000207</v>
      </c>
    </row>
    <row r="177" spans="11:12" x14ac:dyDescent="0.45">
      <c r="K177" s="36">
        <v>175</v>
      </c>
      <c r="L177" s="95">
        <v>-68.600000000000207</v>
      </c>
    </row>
    <row r="178" spans="11:12" x14ac:dyDescent="0.45">
      <c r="K178" s="36">
        <v>176</v>
      </c>
      <c r="L178" s="95">
        <v>-6.0000000000002061</v>
      </c>
    </row>
    <row r="179" spans="11:12" x14ac:dyDescent="0.45">
      <c r="K179" s="36">
        <v>177</v>
      </c>
      <c r="L179" s="95">
        <v>-11.000000000000206</v>
      </c>
    </row>
    <row r="180" spans="11:12" x14ac:dyDescent="0.45">
      <c r="K180" s="36">
        <v>178</v>
      </c>
      <c r="L180" s="95">
        <v>-47.000000000000206</v>
      </c>
    </row>
    <row r="181" spans="11:12" x14ac:dyDescent="0.45">
      <c r="K181" s="36">
        <v>179</v>
      </c>
      <c r="L181" s="95">
        <v>-101.70000000000022</v>
      </c>
    </row>
    <row r="182" spans="11:12" x14ac:dyDescent="0.45">
      <c r="K182" s="36">
        <v>180</v>
      </c>
      <c r="L182" s="95">
        <v>-80.80000000000021</v>
      </c>
    </row>
    <row r="183" spans="11:12" x14ac:dyDescent="0.45">
      <c r="K183" s="36">
        <v>181</v>
      </c>
      <c r="L183" s="95">
        <v>-90.600000000000207</v>
      </c>
    </row>
    <row r="184" spans="11:12" x14ac:dyDescent="0.45">
      <c r="K184" s="36">
        <v>182</v>
      </c>
      <c r="L184" s="95">
        <v>-97.500000000000213</v>
      </c>
    </row>
    <row r="185" spans="11:12" x14ac:dyDescent="0.45">
      <c r="K185" s="36">
        <v>183</v>
      </c>
      <c r="L185" s="95">
        <v>-92.30000000000021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0747F-5897-4641-A63E-3A627410BE45}">
  <sheetPr codeName="Sheet13"/>
  <dimension ref="A1:Q106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104</v>
      </c>
      <c r="C2" s="155"/>
      <c r="E2" s="58" t="s">
        <v>66</v>
      </c>
      <c r="F2" s="55" t="s">
        <v>22</v>
      </c>
      <c r="G2" s="43">
        <v>182</v>
      </c>
      <c r="H2" s="128">
        <f>IF(B$15=0,0,G2/B$15)</f>
        <v>0.75518672199170123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-624.27184466019412</v>
      </c>
      <c r="P2" s="114">
        <v>103</v>
      </c>
      <c r="Q2" s="98">
        <v>-64300</v>
      </c>
    </row>
    <row r="3" spans="1:17" x14ac:dyDescent="0.45">
      <c r="A3" s="51" t="s">
        <v>8</v>
      </c>
      <c r="B3" s="156">
        <v>905</v>
      </c>
      <c r="C3" s="157"/>
      <c r="E3" s="59" t="s">
        <v>64</v>
      </c>
      <c r="F3" s="56" t="s">
        <v>20</v>
      </c>
      <c r="G3" s="44">
        <v>135</v>
      </c>
      <c r="H3" s="129">
        <f>IF(B$15=0,0,G3/B$15)</f>
        <v>0.56016597510373445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-937.86407766990294</v>
      </c>
      <c r="P3" s="115">
        <v>103</v>
      </c>
      <c r="Q3" s="99">
        <v>-96600</v>
      </c>
    </row>
    <row r="4" spans="1:17" x14ac:dyDescent="0.45">
      <c r="A4" s="51" t="s">
        <v>6</v>
      </c>
      <c r="B4" s="158">
        <v>-762.1</v>
      </c>
      <c r="C4" s="159"/>
      <c r="E4" s="59" t="s">
        <v>72</v>
      </c>
      <c r="F4" s="56" t="s">
        <v>27</v>
      </c>
      <c r="G4" s="44">
        <v>121</v>
      </c>
      <c r="H4" s="129">
        <f>IF(B$15=0,0,G4/B$15)</f>
        <v>0.50207468879668049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632.98969072164948</v>
      </c>
      <c r="P4" s="115">
        <v>97</v>
      </c>
      <c r="Q4" s="99">
        <v>61400</v>
      </c>
    </row>
    <row r="5" spans="1:17" x14ac:dyDescent="0.45">
      <c r="A5" s="51" t="s">
        <v>7</v>
      </c>
      <c r="B5" s="160">
        <f>IF(B$2=0,0,B$4/B$2)</f>
        <v>-7.3278846153846153</v>
      </c>
      <c r="C5" s="161"/>
      <c r="E5" s="59" t="s">
        <v>166</v>
      </c>
      <c r="F5" s="56" t="s">
        <v>167</v>
      </c>
      <c r="G5" s="44">
        <v>100</v>
      </c>
      <c r="H5" s="129">
        <f>IF(B$15=0,0,G5/B$15)</f>
        <v>0.41493775933609961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-985.26315789473688</v>
      </c>
      <c r="P5" s="115">
        <v>95</v>
      </c>
      <c r="Q5" s="99">
        <v>-93600</v>
      </c>
    </row>
    <row r="6" spans="1:17" x14ac:dyDescent="0.45">
      <c r="A6" s="51" t="s">
        <v>1</v>
      </c>
      <c r="B6" s="150">
        <f>IF(B$2=0,0,(B$7*1+B$8*2+B$9*3)/B$2)</f>
        <v>2.1923076923076925</v>
      </c>
      <c r="C6" s="151"/>
      <c r="E6" s="59" t="s">
        <v>68</v>
      </c>
      <c r="F6" s="56" t="s">
        <v>12</v>
      </c>
      <c r="G6" s="44">
        <v>86</v>
      </c>
      <c r="H6" s="129">
        <f>IF(B$15=0,0,G6/B$15)</f>
        <v>0.35684647302904565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-2636.6666666666665</v>
      </c>
      <c r="P6" s="115">
        <v>90</v>
      </c>
      <c r="Q6" s="99">
        <v>-237300</v>
      </c>
    </row>
    <row r="7" spans="1:17" x14ac:dyDescent="0.45">
      <c r="A7" s="51" t="s">
        <v>2</v>
      </c>
      <c r="B7" s="44">
        <v>22</v>
      </c>
      <c r="C7" s="37">
        <f t="shared" ref="C7:C10" si="1">IF(B$2=0,0,B7/B$2)</f>
        <v>0.21153846153846154</v>
      </c>
      <c r="E7" s="59" t="s">
        <v>67</v>
      </c>
      <c r="F7" s="56" t="s">
        <v>23</v>
      </c>
      <c r="G7" s="44">
        <v>74</v>
      </c>
      <c r="H7" s="129">
        <f>IF(B$15=0,0,G7/B$15)</f>
        <v>0.30705394190871371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-1740.506329113924</v>
      </c>
      <c r="P7" s="116">
        <v>79</v>
      </c>
      <c r="Q7" s="100">
        <v>-137500</v>
      </c>
    </row>
    <row r="8" spans="1:17" x14ac:dyDescent="0.45">
      <c r="A8" s="51" t="s">
        <v>3</v>
      </c>
      <c r="B8" s="44">
        <v>40</v>
      </c>
      <c r="C8" s="37">
        <f t="shared" si="1"/>
        <v>0.38461538461538464</v>
      </c>
      <c r="E8" s="59" t="s">
        <v>69</v>
      </c>
      <c r="F8" s="56" t="s">
        <v>24</v>
      </c>
      <c r="G8" s="44">
        <v>36</v>
      </c>
      <c r="H8" s="129">
        <f>IF(B$15=0,0,G8/B$15)</f>
        <v>0.14937759336099585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42</v>
      </c>
      <c r="C9" s="38">
        <f t="shared" si="1"/>
        <v>0.40384615384615385</v>
      </c>
      <c r="E9" s="59" t="s">
        <v>70</v>
      </c>
      <c r="F9" s="56" t="s">
        <v>25</v>
      </c>
      <c r="G9" s="44">
        <v>29</v>
      </c>
      <c r="H9" s="129">
        <f>IF(B$15=0,0,G9/B$15)</f>
        <v>0.12033195020746888</v>
      </c>
      <c r="I9" s="90">
        <v>5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7.6923076923076927E-2</v>
      </c>
      <c r="E10" s="59" t="s">
        <v>65</v>
      </c>
      <c r="F10" s="56" t="s">
        <v>21</v>
      </c>
      <c r="G10" s="44">
        <v>28</v>
      </c>
      <c r="H10" s="129">
        <f>IF(B$15=0,0,G10/B$15)</f>
        <v>0.11618257261410789</v>
      </c>
      <c r="I10" s="90">
        <v>7</v>
      </c>
      <c r="K10" s="36">
        <v>8</v>
      </c>
      <c r="L10" s="95">
        <v>-62.999999999999993</v>
      </c>
      <c r="N10" s="110" t="s">
        <v>157</v>
      </c>
      <c r="O10" s="120">
        <f>IF(P10=0,0,Q10/P10)</f>
        <v>-7.102325581395351</v>
      </c>
      <c r="P10" s="114">
        <v>43</v>
      </c>
      <c r="Q10" s="102">
        <v>-305.40000000000009</v>
      </c>
    </row>
    <row r="11" spans="1:17" x14ac:dyDescent="0.45">
      <c r="A11" s="54" t="s">
        <v>121</v>
      </c>
      <c r="B11" s="47">
        <v>250</v>
      </c>
      <c r="C11" s="42">
        <f>IF(B$3=0,0,B11/B$3)</f>
        <v>0.27624309392265195</v>
      </c>
      <c r="E11" s="59" t="s">
        <v>89</v>
      </c>
      <c r="F11" s="56" t="s">
        <v>44</v>
      </c>
      <c r="G11" s="44">
        <v>28</v>
      </c>
      <c r="H11" s="129">
        <f>IF(B$15=0,0,G11/B$15)</f>
        <v>0.11618257261410789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-5.4066666666666681</v>
      </c>
      <c r="P11" s="115">
        <v>30</v>
      </c>
      <c r="Q11" s="103">
        <v>-162.20000000000005</v>
      </c>
    </row>
    <row r="12" spans="1:17" x14ac:dyDescent="0.45">
      <c r="A12" s="51" t="s">
        <v>118</v>
      </c>
      <c r="B12" s="44">
        <v>175</v>
      </c>
      <c r="C12" s="37">
        <f>IF(B$3=0,0,B12/B$3)</f>
        <v>0.19337016574585636</v>
      </c>
      <c r="E12" s="59" t="s">
        <v>83</v>
      </c>
      <c r="F12" s="56" t="s">
        <v>38</v>
      </c>
      <c r="G12" s="44">
        <v>15</v>
      </c>
      <c r="H12" s="129">
        <f>IF(B$15=0,0,G12/B$15)</f>
        <v>6.2240663900414939E-2</v>
      </c>
      <c r="I12" s="90">
        <v>4</v>
      </c>
      <c r="K12" s="36">
        <v>10</v>
      </c>
      <c r="L12" s="95">
        <v>-117.19999999999999</v>
      </c>
      <c r="N12" s="112" t="s">
        <v>159</v>
      </c>
      <c r="O12" s="122">
        <f>IF(P12=0,0,Q12/P12)</f>
        <v>-9.4999999999999982</v>
      </c>
      <c r="P12" s="116">
        <v>31</v>
      </c>
      <c r="Q12" s="104">
        <v>-294.49999999999994</v>
      </c>
    </row>
    <row r="13" spans="1:17" x14ac:dyDescent="0.45">
      <c r="A13" s="50" t="s">
        <v>123</v>
      </c>
      <c r="B13" s="43">
        <f>B19</f>
        <v>135</v>
      </c>
      <c r="C13" s="35">
        <f>IF(B$11=0,0,B13/B$11)</f>
        <v>0.54</v>
      </c>
      <c r="E13" s="59" t="s">
        <v>86</v>
      </c>
      <c r="F13" s="56" t="s">
        <v>41</v>
      </c>
      <c r="G13" s="44">
        <v>11</v>
      </c>
      <c r="H13" s="129">
        <f>IF(B$15=0,0,G13/B$15)</f>
        <v>4.5643153526970952E-2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69</v>
      </c>
      <c r="C14" s="35">
        <f>IF(B$12=0,0,B14/B$12)</f>
        <v>0.39428571428571429</v>
      </c>
      <c r="E14" s="59" t="s">
        <v>71</v>
      </c>
      <c r="F14" s="56" t="s">
        <v>26</v>
      </c>
      <c r="G14" s="44">
        <v>10</v>
      </c>
      <c r="H14" s="129">
        <f>IF(B$15=0,0,G14/B$15)</f>
        <v>4.1493775933609957E-2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241</v>
      </c>
      <c r="C15" s="35">
        <f>IF(B$3=0,0,B15/B$3)</f>
        <v>0.26629834254143647</v>
      </c>
      <c r="E15" s="59" t="s">
        <v>78</v>
      </c>
      <c r="F15" s="56" t="s">
        <v>33</v>
      </c>
      <c r="G15" s="44">
        <v>8</v>
      </c>
      <c r="H15" s="129">
        <f>IF(B$15=0,0,G15/B$15)</f>
        <v>3.3195020746887967E-2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21.183333333333334</v>
      </c>
      <c r="P15" s="114">
        <v>6</v>
      </c>
      <c r="Q15" s="102">
        <v>127.1</v>
      </c>
    </row>
    <row r="16" spans="1:17" x14ac:dyDescent="0.45">
      <c r="A16" s="51" t="s">
        <v>13</v>
      </c>
      <c r="B16" s="44">
        <v>166</v>
      </c>
      <c r="C16" s="37">
        <f>IF(B$3=0,0,B16/B$3)</f>
        <v>0.18342541436464088</v>
      </c>
      <c r="E16" s="59" t="s">
        <v>81</v>
      </c>
      <c r="F16" s="56" t="s">
        <v>36</v>
      </c>
      <c r="G16" s="44">
        <v>6</v>
      </c>
      <c r="H16" s="129">
        <f>IF(B$15=0,0,G16/B$15)</f>
        <v>2.4896265560165973E-2</v>
      </c>
      <c r="I16" s="90">
        <v>5</v>
      </c>
      <c r="K16" s="36">
        <v>14</v>
      </c>
      <c r="L16" s="95">
        <v>-204.8</v>
      </c>
      <c r="N16" s="111" t="s">
        <v>170</v>
      </c>
      <c r="O16" s="121">
        <f t="shared" si="2"/>
        <v>4.1120000000000019</v>
      </c>
      <c r="P16" s="115">
        <v>25</v>
      </c>
      <c r="Q16" s="103">
        <v>102.80000000000005</v>
      </c>
    </row>
    <row r="17" spans="1:17" x14ac:dyDescent="0.45">
      <c r="A17" s="51" t="s">
        <v>12</v>
      </c>
      <c r="B17" s="44">
        <v>114</v>
      </c>
      <c r="C17" s="37">
        <f>IF(B$15=0,0,B17/B$15)</f>
        <v>0.47302904564315351</v>
      </c>
      <c r="E17" s="59" t="s">
        <v>79</v>
      </c>
      <c r="F17" s="56" t="s">
        <v>34</v>
      </c>
      <c r="G17" s="44">
        <v>4</v>
      </c>
      <c r="H17" s="129">
        <f>IF(B$15=0,0,G17/B$15)</f>
        <v>1.6597510373443983E-2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1.5750000000000028</v>
      </c>
      <c r="P17" s="115">
        <v>20</v>
      </c>
      <c r="Q17" s="103">
        <v>31.500000000000057</v>
      </c>
    </row>
    <row r="18" spans="1:17" x14ac:dyDescent="0.45">
      <c r="A18" s="51" t="s">
        <v>11</v>
      </c>
      <c r="B18" s="44">
        <v>127</v>
      </c>
      <c r="C18" s="37">
        <f>IF(B$15=0,0,B18/B$15)</f>
        <v>0.52697095435684649</v>
      </c>
      <c r="E18" s="59" t="s">
        <v>162</v>
      </c>
      <c r="F18" s="56" t="s">
        <v>163</v>
      </c>
      <c r="G18" s="44">
        <v>4</v>
      </c>
      <c r="H18" s="129">
        <f>IF(B$15=0,0,G18/B$15)</f>
        <v>1.6597510373443983E-2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-1.8909090909090898</v>
      </c>
      <c r="P18" s="115">
        <v>11</v>
      </c>
      <c r="Q18" s="103">
        <v>-20.799999999999986</v>
      </c>
    </row>
    <row r="19" spans="1:17" x14ac:dyDescent="0.45">
      <c r="A19" s="51" t="s">
        <v>195</v>
      </c>
      <c r="B19" s="44">
        <v>135</v>
      </c>
      <c r="C19" s="37">
        <f>IF(B$15=0,0,B19/B$15)</f>
        <v>0.56016597510373445</v>
      </c>
      <c r="E19" s="59" t="s">
        <v>75</v>
      </c>
      <c r="F19" s="56" t="s">
        <v>30</v>
      </c>
      <c r="G19" s="44">
        <v>3</v>
      </c>
      <c r="H19" s="129">
        <f>IF(B$15=0,0,G19/B$15)</f>
        <v>1.2448132780082987E-2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 t="shared" si="2"/>
        <v>-15.669230769230769</v>
      </c>
      <c r="P19" s="115">
        <v>26</v>
      </c>
      <c r="Q19" s="103">
        <v>-407.4</v>
      </c>
    </row>
    <row r="20" spans="1:17" x14ac:dyDescent="0.45">
      <c r="A20" s="51" t="s">
        <v>193</v>
      </c>
      <c r="B20" s="44">
        <v>69</v>
      </c>
      <c r="C20" s="37">
        <f>IF(B$15=0,0,B20/B$15)</f>
        <v>0.2863070539419087</v>
      </c>
      <c r="E20" s="59" t="s">
        <v>85</v>
      </c>
      <c r="F20" s="56" t="s">
        <v>40</v>
      </c>
      <c r="G20" s="44">
        <v>1</v>
      </c>
      <c r="H20" s="129">
        <f>IF(B$15=0,0,G20/B$15)</f>
        <v>4.1493775933609959E-3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 t="shared" si="2"/>
        <v>-16.403030303030302</v>
      </c>
      <c r="P20" s="115">
        <v>66</v>
      </c>
      <c r="Q20" s="103">
        <v>-1082.5999999999999</v>
      </c>
    </row>
    <row r="21" spans="1:17" x14ac:dyDescent="0.45">
      <c r="A21" s="51" t="s">
        <v>194</v>
      </c>
      <c r="B21" s="44">
        <v>37</v>
      </c>
      <c r="C21" s="37">
        <f>IF(B$15=0,0,B21/B$15)</f>
        <v>0.15352697095435686</v>
      </c>
      <c r="E21" s="59" t="s">
        <v>91</v>
      </c>
      <c r="F21" s="56" t="s">
        <v>46</v>
      </c>
      <c r="G21" s="44">
        <v>1</v>
      </c>
      <c r="H21" s="129">
        <f>IF(B$15=0,0,G21/B$15)</f>
        <v>4.1493775933609959E-3</v>
      </c>
      <c r="I21" s="90">
        <v>9</v>
      </c>
      <c r="K21" s="36">
        <v>19</v>
      </c>
      <c r="L21" s="95">
        <v>-218</v>
      </c>
      <c r="N21" s="111" t="s">
        <v>127</v>
      </c>
      <c r="O21" s="121">
        <f t="shared" si="2"/>
        <v>-18.434693877551016</v>
      </c>
      <c r="P21" s="115">
        <v>49</v>
      </c>
      <c r="Q21" s="103">
        <v>-903.29999999999973</v>
      </c>
    </row>
    <row r="22" spans="1:17" x14ac:dyDescent="0.45">
      <c r="A22" s="51" t="s">
        <v>5</v>
      </c>
      <c r="B22" s="48">
        <f>IF(B$15=0,0,C22/B$15)</f>
        <v>7848.1327800829877</v>
      </c>
      <c r="C22" s="39">
        <v>1891400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6</v>
      </c>
      <c r="K22" s="36">
        <v>20</v>
      </c>
      <c r="L22" s="95">
        <v>-177.6</v>
      </c>
      <c r="N22" s="111" t="s">
        <v>200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8445.9302325581393</v>
      </c>
      <c r="C23" s="137">
        <v>1452700</v>
      </c>
      <c r="E23" s="59" t="s">
        <v>74</v>
      </c>
      <c r="F23" s="56" t="s">
        <v>29</v>
      </c>
      <c r="G23" s="44">
        <v>0</v>
      </c>
      <c r="H23" s="129">
        <f>IF(B$15=0,0,G23/B$15)</f>
        <v>0</v>
      </c>
      <c r="I23" s="90">
        <v>7</v>
      </c>
      <c r="K23" s="36">
        <v>21</v>
      </c>
      <c r="L23" s="95">
        <v>-133.30000000000001</v>
      </c>
      <c r="N23" s="111" t="s">
        <v>232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6357.971014492754</v>
      </c>
      <c r="C24" s="137">
        <v>438700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3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-7790.9638554216872</v>
      </c>
      <c r="C25" s="137">
        <v>-1293300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3.3149171270718232E-3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18</v>
      </c>
      <c r="C32" s="141">
        <f>IF(B$15=0,0,B32/B$15)</f>
        <v>7.4688796680497924E-2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0.16182572614107885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56</v>
      </c>
      <c r="C34" s="37">
        <f>IF(B$15=0,0,B34/B$15)</f>
        <v>0.23236514522821577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39</v>
      </c>
      <c r="C35" s="37">
        <f t="shared" si="3"/>
        <v>0.16182572614107885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40</v>
      </c>
      <c r="C36" s="37">
        <f t="shared" si="3"/>
        <v>0.16597510373443983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9.5435684647302899E-2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14</v>
      </c>
      <c r="C38" s="37">
        <f t="shared" si="3"/>
        <v>5.8091286307053944E-2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7</v>
      </c>
      <c r="C39" s="37">
        <f t="shared" si="3"/>
        <v>2.9045643153526972E-2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4.1493775933609959E-3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1</v>
      </c>
      <c r="C41" s="37">
        <f t="shared" si="3"/>
        <v>4.1493775933609959E-3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4.1493775933609959E-3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8.2987551867219917E-3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  <row r="100" spans="11:12" x14ac:dyDescent="0.45">
      <c r="K100" s="36">
        <v>98</v>
      </c>
      <c r="L100" s="95">
        <v>-700.69999999999993</v>
      </c>
    </row>
    <row r="101" spans="11:12" x14ac:dyDescent="0.45">
      <c r="K101" s="36">
        <v>99</v>
      </c>
      <c r="L101" s="95">
        <v>-707.4</v>
      </c>
    </row>
    <row r="102" spans="11:12" x14ac:dyDescent="0.45">
      <c r="K102" s="36">
        <v>100</v>
      </c>
      <c r="L102" s="95">
        <v>-752.69999999999993</v>
      </c>
    </row>
    <row r="103" spans="11:12" x14ac:dyDescent="0.45">
      <c r="K103" s="36">
        <v>101</v>
      </c>
      <c r="L103" s="95">
        <v>-765.99999999999989</v>
      </c>
    </row>
    <row r="104" spans="11:12" x14ac:dyDescent="0.45">
      <c r="K104" s="36">
        <v>102</v>
      </c>
      <c r="L104" s="95">
        <v>-759.19999999999993</v>
      </c>
    </row>
    <row r="105" spans="11:12" x14ac:dyDescent="0.45">
      <c r="K105" s="36">
        <v>103</v>
      </c>
      <c r="L105" s="95">
        <v>-740.9</v>
      </c>
    </row>
    <row r="106" spans="11:12" x14ac:dyDescent="0.45">
      <c r="K106" s="36">
        <v>104</v>
      </c>
      <c r="L106" s="95">
        <v>-762.1</v>
      </c>
    </row>
  </sheetData>
  <sortState xmlns:xlrd2="http://schemas.microsoft.com/office/spreadsheetml/2017/richdata2" ref="E2:I107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EE4F-C6B8-4321-9E2C-1DC10BD117DE}">
  <sheetPr codeName="Sheet15"/>
  <dimension ref="A1:Q16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159</v>
      </c>
      <c r="C2" s="155"/>
      <c r="E2" s="58" t="s">
        <v>66</v>
      </c>
      <c r="F2" s="55" t="s">
        <v>22</v>
      </c>
      <c r="G2" s="43">
        <v>329</v>
      </c>
      <c r="H2" s="128">
        <f>IF(B$15=0,0,G2/B$15)</f>
        <v>0.92937853107344637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1745.5696202531647</v>
      </c>
      <c r="P2" s="114">
        <v>158</v>
      </c>
      <c r="Q2" s="98">
        <v>275800</v>
      </c>
    </row>
    <row r="3" spans="1:17" x14ac:dyDescent="0.45">
      <c r="A3" s="51" t="s">
        <v>8</v>
      </c>
      <c r="B3" s="156">
        <v>1286</v>
      </c>
      <c r="C3" s="157"/>
      <c r="E3" s="59" t="s">
        <v>72</v>
      </c>
      <c r="F3" s="56" t="s">
        <v>27</v>
      </c>
      <c r="G3" s="44">
        <v>200</v>
      </c>
      <c r="H3" s="129">
        <f>IF(B$15=0,0,G3/B$15)</f>
        <v>0.56497175141242939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-2301.9480519480521</v>
      </c>
      <c r="P3" s="115">
        <v>154</v>
      </c>
      <c r="Q3" s="99">
        <v>-354500</v>
      </c>
    </row>
    <row r="4" spans="1:17" x14ac:dyDescent="0.45">
      <c r="A4" s="51" t="s">
        <v>6</v>
      </c>
      <c r="B4" s="158">
        <v>699.60000000000048</v>
      </c>
      <c r="C4" s="159"/>
      <c r="E4" s="59" t="s">
        <v>64</v>
      </c>
      <c r="F4" s="56" t="s">
        <v>20</v>
      </c>
      <c r="G4" s="44">
        <v>187</v>
      </c>
      <c r="H4" s="129">
        <f>IF(B$15=0,0,G4/B$15)</f>
        <v>0.52824858757062143</v>
      </c>
      <c r="I4" s="90">
        <v>7</v>
      </c>
      <c r="K4" s="36">
        <v>2</v>
      </c>
      <c r="L4" s="95">
        <v>-67.3</v>
      </c>
      <c r="N4" s="111" t="s">
        <v>132</v>
      </c>
      <c r="O4" s="118">
        <f t="shared" si="0"/>
        <v>168.57142857142858</v>
      </c>
      <c r="P4" s="115">
        <v>140</v>
      </c>
      <c r="Q4" s="99">
        <v>23600</v>
      </c>
    </row>
    <row r="5" spans="1:17" x14ac:dyDescent="0.45">
      <c r="A5" s="51" t="s">
        <v>7</v>
      </c>
      <c r="B5" s="160">
        <f>IF(B$2=0,0,B$4/B$2)</f>
        <v>4.400000000000003</v>
      </c>
      <c r="C5" s="161"/>
      <c r="E5" s="59" t="s">
        <v>68</v>
      </c>
      <c r="F5" s="56" t="s">
        <v>12</v>
      </c>
      <c r="G5" s="44">
        <v>138</v>
      </c>
      <c r="H5" s="129">
        <f>IF(B$15=0,0,G5/B$15)</f>
        <v>0.38983050847457629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2275.968992248062</v>
      </c>
      <c r="P5" s="115">
        <v>129</v>
      </c>
      <c r="Q5" s="99">
        <v>293600</v>
      </c>
    </row>
    <row r="6" spans="1:17" x14ac:dyDescent="0.45">
      <c r="A6" s="51" t="s">
        <v>1</v>
      </c>
      <c r="B6" s="150">
        <f>IF(B$2=0,0,(B$7*1+B$8*2+B$9*3)/B$2)</f>
        <v>1.9245283018867925</v>
      </c>
      <c r="C6" s="151"/>
      <c r="E6" s="59" t="s">
        <v>166</v>
      </c>
      <c r="F6" s="56" t="s">
        <v>167</v>
      </c>
      <c r="G6" s="44">
        <v>138</v>
      </c>
      <c r="H6" s="129">
        <f>IF(B$15=0,0,G6/B$15)</f>
        <v>0.38983050847457629</v>
      </c>
      <c r="I6" s="90">
        <v>8</v>
      </c>
      <c r="K6" s="36">
        <v>4</v>
      </c>
      <c r="L6" s="95">
        <v>-74.599999999999994</v>
      </c>
      <c r="N6" s="111" t="s">
        <v>134</v>
      </c>
      <c r="O6" s="118">
        <f t="shared" si="0"/>
        <v>1589.7435897435898</v>
      </c>
      <c r="P6" s="115">
        <v>117</v>
      </c>
      <c r="Q6" s="99">
        <v>186000</v>
      </c>
    </row>
    <row r="7" spans="1:17" x14ac:dyDescent="0.45">
      <c r="A7" s="51" t="s">
        <v>2</v>
      </c>
      <c r="B7" s="44">
        <v>63</v>
      </c>
      <c r="C7" s="37">
        <f t="shared" ref="C7:C10" si="1">IF(B$2=0,0,B7/B$2)</f>
        <v>0.39622641509433965</v>
      </c>
      <c r="E7" s="59" t="s">
        <v>67</v>
      </c>
      <c r="F7" s="56" t="s">
        <v>23</v>
      </c>
      <c r="G7" s="44">
        <v>133</v>
      </c>
      <c r="H7" s="129">
        <f>IF(B$15=0,0,G7/B$15)</f>
        <v>0.37570621468926552</v>
      </c>
      <c r="I7" s="90">
        <v>5</v>
      </c>
      <c r="K7" s="36">
        <v>5</v>
      </c>
      <c r="L7" s="95">
        <v>-118.3</v>
      </c>
      <c r="N7" s="112" t="s">
        <v>135</v>
      </c>
      <c r="O7" s="119">
        <f t="shared" si="0"/>
        <v>224.71910112359549</v>
      </c>
      <c r="P7" s="116">
        <v>89</v>
      </c>
      <c r="Q7" s="100">
        <v>20000</v>
      </c>
    </row>
    <row r="8" spans="1:17" x14ac:dyDescent="0.45">
      <c r="A8" s="51" t="s">
        <v>3</v>
      </c>
      <c r="B8" s="44">
        <v>45</v>
      </c>
      <c r="C8" s="37">
        <f t="shared" si="1"/>
        <v>0.28301886792452829</v>
      </c>
      <c r="E8" s="59" t="s">
        <v>89</v>
      </c>
      <c r="F8" s="56" t="s">
        <v>44</v>
      </c>
      <c r="G8" s="44">
        <v>88</v>
      </c>
      <c r="H8" s="129">
        <f>IF(B$15=0,0,G8/B$15)</f>
        <v>0.24858757062146894</v>
      </c>
      <c r="I8" s="90">
        <v>3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51</v>
      </c>
      <c r="C9" s="38">
        <f t="shared" si="1"/>
        <v>0.32075471698113206</v>
      </c>
      <c r="E9" s="59" t="s">
        <v>69</v>
      </c>
      <c r="F9" s="56" t="s">
        <v>24</v>
      </c>
      <c r="G9" s="44">
        <v>70</v>
      </c>
      <c r="H9" s="129">
        <f>IF(B$15=0,0,G9/B$15)</f>
        <v>0.19774011299435029</v>
      </c>
      <c r="I9" s="90">
        <v>3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19</v>
      </c>
      <c r="C10" s="40">
        <f t="shared" si="1"/>
        <v>0.11949685534591195</v>
      </c>
      <c r="E10" s="59" t="s">
        <v>65</v>
      </c>
      <c r="F10" s="56" t="s">
        <v>21</v>
      </c>
      <c r="G10" s="44">
        <v>49</v>
      </c>
      <c r="H10" s="129">
        <f>IF(B$15=0,0,G10/B$15)</f>
        <v>0.1384180790960452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-7.3666666666666663</v>
      </c>
      <c r="P10" s="114">
        <v>45</v>
      </c>
      <c r="Q10" s="102">
        <v>-331.5</v>
      </c>
    </row>
    <row r="11" spans="1:17" x14ac:dyDescent="0.45">
      <c r="A11" s="54" t="s">
        <v>121</v>
      </c>
      <c r="B11" s="47">
        <v>379</v>
      </c>
      <c r="C11" s="42">
        <f>IF(B$3=0,0,B11/B$3)</f>
        <v>0.29471228615863143</v>
      </c>
      <c r="E11" s="59" t="s">
        <v>70</v>
      </c>
      <c r="F11" s="56" t="s">
        <v>25</v>
      </c>
      <c r="G11" s="44">
        <v>45</v>
      </c>
      <c r="H11" s="129">
        <f>IF(B$15=0,0,G11/B$15)</f>
        <v>0.1271186440677966</v>
      </c>
      <c r="I11" s="90">
        <v>3</v>
      </c>
      <c r="K11" s="36">
        <v>9</v>
      </c>
      <c r="L11" s="95">
        <v>-120.99999999999999</v>
      </c>
      <c r="N11" s="111" t="s">
        <v>158</v>
      </c>
      <c r="O11" s="121">
        <f>IF(P11=0,0,Q11/P11)</f>
        <v>7.1084745762711847</v>
      </c>
      <c r="P11" s="115">
        <v>59</v>
      </c>
      <c r="Q11" s="103">
        <v>419.39999999999992</v>
      </c>
    </row>
    <row r="12" spans="1:17" x14ac:dyDescent="0.45">
      <c r="A12" s="51" t="s">
        <v>118</v>
      </c>
      <c r="B12" s="44">
        <v>240</v>
      </c>
      <c r="C12" s="37">
        <f>IF(B$3=0,0,B12/B$3)</f>
        <v>0.18662519440124417</v>
      </c>
      <c r="E12" s="59" t="s">
        <v>71</v>
      </c>
      <c r="F12" s="56" t="s">
        <v>26</v>
      </c>
      <c r="G12" s="44">
        <v>23</v>
      </c>
      <c r="H12" s="129">
        <f>IF(B$15=0,0,G12/B$15)</f>
        <v>6.4971751412429377E-2</v>
      </c>
      <c r="I12" s="90">
        <v>11</v>
      </c>
      <c r="K12" s="36">
        <v>10</v>
      </c>
      <c r="L12" s="95">
        <v>-113.29999999999998</v>
      </c>
      <c r="N12" s="112" t="s">
        <v>159</v>
      </c>
      <c r="O12" s="122">
        <f>IF(P12=0,0,Q12/P12)</f>
        <v>11.121818181818183</v>
      </c>
      <c r="P12" s="116">
        <v>55</v>
      </c>
      <c r="Q12" s="104">
        <v>611.70000000000005</v>
      </c>
    </row>
    <row r="13" spans="1:17" x14ac:dyDescent="0.45">
      <c r="A13" s="50" t="s">
        <v>123</v>
      </c>
      <c r="B13" s="43">
        <f>B19</f>
        <v>205</v>
      </c>
      <c r="C13" s="35">
        <f>IF(B$11=0,0,B13/B$11)</f>
        <v>0.54089709762532978</v>
      </c>
      <c r="E13" s="59" t="s">
        <v>162</v>
      </c>
      <c r="F13" s="56" t="s">
        <v>163</v>
      </c>
      <c r="G13" s="44">
        <v>19</v>
      </c>
      <c r="H13" s="129">
        <f>IF(B$15=0,0,G13/B$15)</f>
        <v>5.3672316384180789E-2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93</v>
      </c>
      <c r="C14" s="35">
        <f>IF(B$12=0,0,B14/B$12)</f>
        <v>0.38750000000000001</v>
      </c>
      <c r="E14" s="59" t="s">
        <v>83</v>
      </c>
      <c r="F14" s="56" t="s">
        <v>38</v>
      </c>
      <c r="G14" s="44">
        <v>12</v>
      </c>
      <c r="H14" s="129">
        <f>IF(B$15=0,0,G14/B$15)</f>
        <v>3.3898305084745763E-2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354</v>
      </c>
      <c r="C15" s="35">
        <f>IF(B$3=0,0,B15/B$3)</f>
        <v>0.27527216174183516</v>
      </c>
      <c r="E15" s="59" t="s">
        <v>86</v>
      </c>
      <c r="F15" s="56" t="s">
        <v>41</v>
      </c>
      <c r="G15" s="44">
        <v>12</v>
      </c>
      <c r="H15" s="129">
        <f>IF(B$15=0,0,G15/B$15)</f>
        <v>3.3898305084745763E-2</v>
      </c>
      <c r="I15" s="90">
        <v>9</v>
      </c>
      <c r="K15" s="36">
        <v>13</v>
      </c>
      <c r="L15" s="95">
        <v>-132.39999999999998</v>
      </c>
      <c r="N15" s="110" t="s">
        <v>232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220</v>
      </c>
      <c r="C16" s="37">
        <f>IF(B$3=0,0,B16/B$3)</f>
        <v>0.17107309486780714</v>
      </c>
      <c r="E16" s="59" t="s">
        <v>91</v>
      </c>
      <c r="F16" s="56" t="s">
        <v>46</v>
      </c>
      <c r="G16" s="44">
        <v>8</v>
      </c>
      <c r="H16" s="129">
        <f>IF(B$15=0,0,G16/B$15)</f>
        <v>2.2598870056497175E-2</v>
      </c>
      <c r="I16" s="90">
        <v>3</v>
      </c>
      <c r="K16" s="36">
        <v>14</v>
      </c>
      <c r="L16" s="95">
        <v>-86.499999999999972</v>
      </c>
      <c r="N16" s="111" t="s">
        <v>161</v>
      </c>
      <c r="O16" s="121">
        <f>IF(P16=0,0,Q16/P16)</f>
        <v>28.890909090909094</v>
      </c>
      <c r="P16" s="115">
        <v>33</v>
      </c>
      <c r="Q16" s="103">
        <v>953.40000000000009</v>
      </c>
    </row>
    <row r="17" spans="1:17" x14ac:dyDescent="0.45">
      <c r="A17" s="51" t="s">
        <v>12</v>
      </c>
      <c r="B17" s="44">
        <v>182</v>
      </c>
      <c r="C17" s="37">
        <f>IF(B$15=0,0,B17/B$15)</f>
        <v>0.51412429378531077</v>
      </c>
      <c r="E17" s="59" t="s">
        <v>81</v>
      </c>
      <c r="F17" s="56" t="s">
        <v>36</v>
      </c>
      <c r="G17" s="44">
        <v>6</v>
      </c>
      <c r="H17" s="129">
        <f>IF(B$15=0,0,G17/B$15)</f>
        <v>1.6949152542372881E-2</v>
      </c>
      <c r="I17" s="90">
        <v>7</v>
      </c>
      <c r="K17" s="36">
        <v>15</v>
      </c>
      <c r="L17" s="95">
        <v>-101.79999999999997</v>
      </c>
      <c r="N17" s="111" t="s">
        <v>197</v>
      </c>
      <c r="O17" s="121">
        <f>IF(P17=0,0,Q17/P17)</f>
        <v>19.176470588235297</v>
      </c>
      <c r="P17" s="115">
        <v>34</v>
      </c>
      <c r="Q17" s="103">
        <v>652.00000000000011</v>
      </c>
    </row>
    <row r="18" spans="1:17" x14ac:dyDescent="0.45">
      <c r="A18" s="51" t="s">
        <v>11</v>
      </c>
      <c r="B18" s="44">
        <v>172</v>
      </c>
      <c r="C18" s="37">
        <f>IF(B$15=0,0,B18/B$15)</f>
        <v>0.48587570621468928</v>
      </c>
      <c r="E18" s="59" t="s">
        <v>92</v>
      </c>
      <c r="F18" s="56" t="s">
        <v>47</v>
      </c>
      <c r="G18" s="44">
        <v>6</v>
      </c>
      <c r="H18" s="129">
        <f>IF(B$15=0,0,G18/B$15)</f>
        <v>1.6949152542372881E-2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7.1323943661971825</v>
      </c>
      <c r="P18" s="115">
        <v>71</v>
      </c>
      <c r="Q18" s="103">
        <v>506.4</v>
      </c>
    </row>
    <row r="19" spans="1:17" x14ac:dyDescent="0.45">
      <c r="A19" s="51" t="s">
        <v>195</v>
      </c>
      <c r="B19" s="44">
        <v>205</v>
      </c>
      <c r="C19" s="37">
        <f>IF(B$15=0,0,B19/B$15)</f>
        <v>0.57909604519774016</v>
      </c>
      <c r="E19" s="59" t="s">
        <v>78</v>
      </c>
      <c r="F19" s="56" t="s">
        <v>33</v>
      </c>
      <c r="G19" s="44">
        <v>5</v>
      </c>
      <c r="H19" s="129">
        <f>IF(B$15=0,0,G19/B$15)</f>
        <v>1.4124293785310734E-2</v>
      </c>
      <c r="I19" s="90">
        <v>8</v>
      </c>
      <c r="K19" s="36">
        <v>17</v>
      </c>
      <c r="L19" s="95">
        <v>-55.799999999999969</v>
      </c>
      <c r="N19" s="111" t="s">
        <v>196</v>
      </c>
      <c r="O19" s="121">
        <f>IF(P19=0,0,Q19/P19)</f>
        <v>5.1500000000000012</v>
      </c>
      <c r="P19" s="115">
        <v>10</v>
      </c>
      <c r="Q19" s="103">
        <v>51.500000000000014</v>
      </c>
    </row>
    <row r="20" spans="1:17" x14ac:dyDescent="0.45">
      <c r="A20" s="51" t="s">
        <v>193</v>
      </c>
      <c r="B20" s="44">
        <v>93</v>
      </c>
      <c r="C20" s="37">
        <f>IF(B$15=0,0,B20/B$15)</f>
        <v>0.26271186440677968</v>
      </c>
      <c r="E20" s="59" t="s">
        <v>79</v>
      </c>
      <c r="F20" s="56" t="s">
        <v>34</v>
      </c>
      <c r="G20" s="44">
        <v>4</v>
      </c>
      <c r="H20" s="129">
        <f>IF(B$15=0,0,G20/B$15)</f>
        <v>1.1299435028248588E-2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>IF(P20=0,0,Q20/P20)</f>
        <v>3.8437499999999996</v>
      </c>
      <c r="P20" s="115">
        <v>64</v>
      </c>
      <c r="Q20" s="103">
        <v>245.99999999999997</v>
      </c>
    </row>
    <row r="21" spans="1:17" x14ac:dyDescent="0.45">
      <c r="A21" s="51" t="s">
        <v>194</v>
      </c>
      <c r="B21" s="44">
        <v>56</v>
      </c>
      <c r="C21" s="37">
        <f>IF(B$15=0,0,B21/B$15)</f>
        <v>0.15819209039548024</v>
      </c>
      <c r="E21" s="59" t="s">
        <v>85</v>
      </c>
      <c r="F21" s="56" t="s">
        <v>40</v>
      </c>
      <c r="G21" s="44">
        <v>4</v>
      </c>
      <c r="H21" s="129">
        <f>IF(B$15=0,0,G21/B$15)</f>
        <v>1.1299435028248588E-2</v>
      </c>
      <c r="I21" s="90">
        <v>3</v>
      </c>
      <c r="K21" s="36">
        <v>19</v>
      </c>
      <c r="L21" s="95">
        <v>-27.799999999999969</v>
      </c>
      <c r="N21" s="111" t="s">
        <v>200</v>
      </c>
      <c r="O21" s="121">
        <f>IF(P21=0,0,Q21/P21)</f>
        <v>-2.910000000000001</v>
      </c>
      <c r="P21" s="115">
        <v>10</v>
      </c>
      <c r="Q21" s="103">
        <v>-29.100000000000009</v>
      </c>
    </row>
    <row r="22" spans="1:17" x14ac:dyDescent="0.45">
      <c r="A22" s="51" t="s">
        <v>5</v>
      </c>
      <c r="B22" s="48">
        <f>IF(B$15=0,0,C22/B$15)</f>
        <v>11125.141242937852</v>
      </c>
      <c r="C22" s="39">
        <v>3938300</v>
      </c>
      <c r="E22" s="59" t="s">
        <v>84</v>
      </c>
      <c r="F22" s="56" t="s">
        <v>39</v>
      </c>
      <c r="G22" s="44">
        <v>3</v>
      </c>
      <c r="H22" s="129">
        <f>IF(B$15=0,0,G22/B$15)</f>
        <v>8.4745762711864406E-3</v>
      </c>
      <c r="I22" s="90">
        <v>1</v>
      </c>
      <c r="K22" s="36">
        <v>20</v>
      </c>
      <c r="L22" s="95">
        <v>-50.39999999999997</v>
      </c>
      <c r="N22" s="111" t="s">
        <v>172</v>
      </c>
      <c r="O22" s="121">
        <f>IF(P22=0,0,Q22/P22)</f>
        <v>-4.1120000000000001</v>
      </c>
      <c r="P22" s="115">
        <v>25</v>
      </c>
      <c r="Q22" s="103">
        <v>-102.80000000000001</v>
      </c>
    </row>
    <row r="23" spans="1:17" x14ac:dyDescent="0.45">
      <c r="A23" s="52" t="s">
        <v>177</v>
      </c>
      <c r="B23" s="136">
        <f>IF($B$15-B$14=0,0,C23/($B$15-B$14))</f>
        <v>11759.386973180077</v>
      </c>
      <c r="C23" s="137">
        <v>3069200</v>
      </c>
      <c r="E23" s="59" t="s">
        <v>73</v>
      </c>
      <c r="F23" s="56" t="s">
        <v>28</v>
      </c>
      <c r="G23" s="44">
        <v>2</v>
      </c>
      <c r="H23" s="129">
        <f>IF(B$15=0,0,G23/B$15)</f>
        <v>5.6497175141242938E-3</v>
      </c>
      <c r="I23" s="90">
        <v>3</v>
      </c>
      <c r="K23" s="36">
        <v>21</v>
      </c>
      <c r="L23" s="95">
        <v>-59.89999999999997</v>
      </c>
      <c r="N23" s="111" t="s">
        <v>126</v>
      </c>
      <c r="O23" s="121">
        <f>IF(P23=0,0,Q23/P23)</f>
        <v>-4.3463768115942036</v>
      </c>
      <c r="P23" s="115">
        <v>69</v>
      </c>
      <c r="Q23" s="103">
        <v>-299.90000000000003</v>
      </c>
    </row>
    <row r="24" spans="1:17" x14ac:dyDescent="0.45">
      <c r="A24" s="52" t="s">
        <v>178</v>
      </c>
      <c r="B24" s="136">
        <f>IF(B$14=0,0,C24/B$14)</f>
        <v>9345.1612903225814</v>
      </c>
      <c r="C24" s="137">
        <v>869100</v>
      </c>
      <c r="E24" s="59" t="s">
        <v>75</v>
      </c>
      <c r="F24" s="56" t="s">
        <v>30</v>
      </c>
      <c r="G24" s="44">
        <v>2</v>
      </c>
      <c r="H24" s="129">
        <f>IF(B$15=0,0,G24/B$15)</f>
        <v>5.6497175141242938E-3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-8364.545454545454</v>
      </c>
      <c r="C25" s="137">
        <v>-1840200</v>
      </c>
      <c r="E25" s="59" t="s">
        <v>77</v>
      </c>
      <c r="F25" s="56" t="s">
        <v>32</v>
      </c>
      <c r="G25" s="44">
        <v>2</v>
      </c>
      <c r="H25" s="129">
        <f>IF(B$15=0,0,G25/B$15)</f>
        <v>5.6497175141242938E-3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90</v>
      </c>
      <c r="F26" s="56" t="s">
        <v>45</v>
      </c>
      <c r="G26" s="44">
        <v>2</v>
      </c>
      <c r="H26" s="129">
        <f>IF(B$15=0,0,G26/B$15)</f>
        <v>5.6497175141242938E-3</v>
      </c>
      <c r="I26" s="90">
        <v>1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0</v>
      </c>
      <c r="E27" s="59" t="s">
        <v>88</v>
      </c>
      <c r="F27" s="56" t="s">
        <v>43</v>
      </c>
      <c r="G27" s="44">
        <v>1</v>
      </c>
      <c r="H27" s="129">
        <f>IF(B$15=0,0,G27/B$15)</f>
        <v>2.8248587570621469E-3</v>
      </c>
      <c r="I27" s="90">
        <v>4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1</v>
      </c>
      <c r="H28" s="129">
        <f>IF(B$15=0,0,G28/B$15)</f>
        <v>2.8248587570621469E-3</v>
      </c>
      <c r="I28" s="90">
        <v>2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95</v>
      </c>
      <c r="F29" s="56" t="s">
        <v>50</v>
      </c>
      <c r="G29" s="44">
        <v>1</v>
      </c>
      <c r="H29" s="129">
        <f>IF(B$15=0,0,G29/B$15)</f>
        <v>2.8248587570621469E-3</v>
      </c>
      <c r="I29" s="90">
        <v>3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2</v>
      </c>
      <c r="C30" s="40">
        <f>IF(B$3=0,0,B30/B$3)</f>
        <v>1.5552099533437014E-3</v>
      </c>
      <c r="E30" s="59" t="s">
        <v>97</v>
      </c>
      <c r="F30" s="56" t="s">
        <v>52</v>
      </c>
      <c r="G30" s="44">
        <v>1</v>
      </c>
      <c r="H30" s="129">
        <f>IF(B$15=0,0,G30/B$15)</f>
        <v>2.8248587570621469E-3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74</v>
      </c>
      <c r="F31" s="56" t="s">
        <v>29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10</v>
      </c>
      <c r="C32" s="141">
        <f>IF(B$15=0,0,B32/B$15)</f>
        <v>2.8248587570621469E-2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3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29</v>
      </c>
      <c r="C33" s="37">
        <f t="shared" ref="C33:C44" si="2">IF(B$15=0,0,B33/B$15)</f>
        <v>8.1920903954802254E-2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46</v>
      </c>
      <c r="C34" s="37">
        <f>IF(B$15=0,0,B34/B$15)</f>
        <v>0.12994350282485875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65</v>
      </c>
      <c r="C35" s="37">
        <f t="shared" si="2"/>
        <v>0.18361581920903955</v>
      </c>
      <c r="E35" s="59" t="s">
        <v>87</v>
      </c>
      <c r="F35" s="56" t="s">
        <v>42</v>
      </c>
      <c r="G35" s="44">
        <v>0</v>
      </c>
      <c r="H35" s="129">
        <f>IF(B$15=0,0,G35/B$15)</f>
        <v>0</v>
      </c>
      <c r="I35" s="90">
        <v>7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76</v>
      </c>
      <c r="C36" s="37">
        <f t="shared" si="2"/>
        <v>0.21468926553672316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49</v>
      </c>
      <c r="C37" s="37">
        <f t="shared" si="2"/>
        <v>0.1384180790960452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26</v>
      </c>
      <c r="C38" s="37">
        <f t="shared" si="2"/>
        <v>7.3446327683615822E-2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24</v>
      </c>
      <c r="C39" s="37">
        <f t="shared" si="2"/>
        <v>6.7796610169491525E-2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11</v>
      </c>
      <c r="C40" s="37">
        <f t="shared" si="2"/>
        <v>3.1073446327683617E-2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3</v>
      </c>
      <c r="C41" s="37">
        <f t="shared" si="2"/>
        <v>8.4745762711864406E-3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3</v>
      </c>
      <c r="C42" s="37">
        <f t="shared" si="2"/>
        <v>8.4745762711864406E-3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2.8248587570621469E-3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11</v>
      </c>
      <c r="C44" s="40">
        <f t="shared" si="2"/>
        <v>3.1073446327683617E-2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  <row r="127" spans="11:12" x14ac:dyDescent="0.45">
      <c r="K127" s="36">
        <v>125</v>
      </c>
      <c r="L127" s="95">
        <v>505.50000000000045</v>
      </c>
    </row>
    <row r="128" spans="11:12" x14ac:dyDescent="0.45">
      <c r="K128" s="36">
        <v>126</v>
      </c>
      <c r="L128" s="95">
        <v>475.00000000000045</v>
      </c>
    </row>
    <row r="129" spans="11:12" x14ac:dyDescent="0.45">
      <c r="K129" s="36">
        <v>127</v>
      </c>
      <c r="L129" s="95">
        <v>531.30000000000041</v>
      </c>
    </row>
    <row r="130" spans="11:12" x14ac:dyDescent="0.45">
      <c r="K130" s="36">
        <v>128</v>
      </c>
      <c r="L130" s="95">
        <v>494.10000000000042</v>
      </c>
    </row>
    <row r="131" spans="11:12" x14ac:dyDescent="0.45">
      <c r="K131" s="36">
        <v>129</v>
      </c>
      <c r="L131" s="95">
        <v>529.80000000000041</v>
      </c>
    </row>
    <row r="132" spans="11:12" x14ac:dyDescent="0.45">
      <c r="K132" s="36">
        <v>130</v>
      </c>
      <c r="L132" s="95">
        <v>512.20000000000039</v>
      </c>
    </row>
    <row r="133" spans="11:12" x14ac:dyDescent="0.45">
      <c r="K133" s="36">
        <v>131</v>
      </c>
      <c r="L133" s="95">
        <v>465.20000000000039</v>
      </c>
    </row>
    <row r="134" spans="11:12" x14ac:dyDescent="0.45">
      <c r="K134" s="36">
        <v>132</v>
      </c>
      <c r="L134" s="95">
        <v>452.20000000000039</v>
      </c>
    </row>
    <row r="135" spans="11:12" x14ac:dyDescent="0.45">
      <c r="K135" s="36">
        <v>133</v>
      </c>
      <c r="L135" s="95">
        <v>512.90000000000043</v>
      </c>
    </row>
    <row r="136" spans="11:12" x14ac:dyDescent="0.45">
      <c r="K136" s="36">
        <v>134</v>
      </c>
      <c r="L136" s="95">
        <v>544.10000000000048</v>
      </c>
    </row>
    <row r="137" spans="11:12" x14ac:dyDescent="0.45">
      <c r="K137" s="36">
        <v>135</v>
      </c>
      <c r="L137" s="95">
        <v>548.60000000000048</v>
      </c>
    </row>
    <row r="138" spans="11:12" x14ac:dyDescent="0.45">
      <c r="K138" s="36">
        <v>136</v>
      </c>
      <c r="L138" s="95">
        <v>555.10000000000048</v>
      </c>
    </row>
    <row r="139" spans="11:12" x14ac:dyDescent="0.45">
      <c r="K139" s="36">
        <v>137</v>
      </c>
      <c r="L139" s="95">
        <v>588.50000000000045</v>
      </c>
    </row>
    <row r="140" spans="11:12" x14ac:dyDescent="0.45">
      <c r="K140" s="36">
        <v>138</v>
      </c>
      <c r="L140" s="95">
        <v>556.7000000000005</v>
      </c>
    </row>
    <row r="141" spans="11:12" x14ac:dyDescent="0.45">
      <c r="K141" s="36">
        <v>139</v>
      </c>
      <c r="L141" s="95">
        <v>581.90000000000055</v>
      </c>
    </row>
    <row r="142" spans="11:12" x14ac:dyDescent="0.45">
      <c r="K142" s="36">
        <v>140</v>
      </c>
      <c r="L142" s="95">
        <v>587.90000000000055</v>
      </c>
    </row>
    <row r="143" spans="11:12" x14ac:dyDescent="0.45">
      <c r="K143" s="36">
        <v>141</v>
      </c>
      <c r="L143" s="95">
        <v>534.90000000000055</v>
      </c>
    </row>
    <row r="144" spans="11:12" x14ac:dyDescent="0.45">
      <c r="K144" s="36">
        <v>142</v>
      </c>
      <c r="L144" s="95">
        <v>551.50000000000057</v>
      </c>
    </row>
    <row r="145" spans="11:12" x14ac:dyDescent="0.45">
      <c r="K145" s="36">
        <v>143</v>
      </c>
      <c r="L145" s="95">
        <v>528.30000000000052</v>
      </c>
    </row>
    <row r="146" spans="11:12" x14ac:dyDescent="0.45">
      <c r="K146" s="36">
        <v>144</v>
      </c>
      <c r="L146" s="95">
        <v>480.90000000000055</v>
      </c>
    </row>
    <row r="147" spans="11:12" x14ac:dyDescent="0.45">
      <c r="K147" s="36">
        <v>145</v>
      </c>
      <c r="L147" s="95">
        <v>496.00000000000057</v>
      </c>
    </row>
    <row r="148" spans="11:12" x14ac:dyDescent="0.45">
      <c r="K148" s="36">
        <v>146</v>
      </c>
      <c r="L148" s="95">
        <v>449.90000000000055</v>
      </c>
    </row>
    <row r="149" spans="11:12" x14ac:dyDescent="0.45">
      <c r="K149" s="36">
        <v>147</v>
      </c>
      <c r="L149" s="95">
        <v>524.00000000000057</v>
      </c>
    </row>
    <row r="150" spans="11:12" x14ac:dyDescent="0.45">
      <c r="K150" s="36">
        <v>148</v>
      </c>
      <c r="L150" s="95">
        <v>514.50000000000057</v>
      </c>
    </row>
    <row r="151" spans="11:12" x14ac:dyDescent="0.45">
      <c r="K151" s="36">
        <v>149</v>
      </c>
      <c r="L151" s="95">
        <v>570.00000000000057</v>
      </c>
    </row>
    <row r="152" spans="11:12" x14ac:dyDescent="0.45">
      <c r="K152" s="36">
        <v>150</v>
      </c>
      <c r="L152" s="95">
        <v>598.20000000000061</v>
      </c>
    </row>
    <row r="153" spans="11:12" x14ac:dyDescent="0.45">
      <c r="K153" s="36">
        <v>151</v>
      </c>
      <c r="L153" s="95">
        <v>593.50000000000057</v>
      </c>
    </row>
    <row r="154" spans="11:12" x14ac:dyDescent="0.45">
      <c r="K154" s="36">
        <v>152</v>
      </c>
      <c r="L154" s="95">
        <v>623.50000000000057</v>
      </c>
    </row>
    <row r="155" spans="11:12" x14ac:dyDescent="0.45">
      <c r="K155" s="36">
        <v>153</v>
      </c>
      <c r="L155" s="95">
        <v>682.50000000000057</v>
      </c>
    </row>
    <row r="156" spans="11:12" x14ac:dyDescent="0.45">
      <c r="K156" s="36">
        <v>154</v>
      </c>
      <c r="L156" s="95">
        <v>699.00000000000057</v>
      </c>
    </row>
    <row r="157" spans="11:12" x14ac:dyDescent="0.45">
      <c r="K157" s="36">
        <v>155</v>
      </c>
      <c r="L157" s="95">
        <v>713.80000000000052</v>
      </c>
    </row>
    <row r="158" spans="11:12" x14ac:dyDescent="0.45">
      <c r="K158" s="36">
        <v>156</v>
      </c>
      <c r="L158" s="95">
        <v>695.10000000000048</v>
      </c>
    </row>
    <row r="159" spans="11:12" x14ac:dyDescent="0.45">
      <c r="K159" s="36">
        <v>157</v>
      </c>
      <c r="L159" s="95">
        <v>756.00000000000045</v>
      </c>
    </row>
    <row r="160" spans="11:12" x14ac:dyDescent="0.45">
      <c r="K160" s="36">
        <v>158</v>
      </c>
      <c r="L160" s="95">
        <v>741.60000000000048</v>
      </c>
    </row>
    <row r="161" spans="11:12" x14ac:dyDescent="0.45">
      <c r="K161" s="36">
        <v>159</v>
      </c>
      <c r="L161" s="95">
        <v>699.60000000000048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42255-6723-4E4F-AB74-83ABA2CE1C18}">
  <sheetPr codeName="Sheet17"/>
  <dimension ref="A1:Q16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158</v>
      </c>
      <c r="C2" s="155"/>
      <c r="E2" s="58" t="s">
        <v>66</v>
      </c>
      <c r="F2" s="55" t="s">
        <v>22</v>
      </c>
      <c r="G2" s="43">
        <v>264</v>
      </c>
      <c r="H2" s="128">
        <f>IF(B$15=0,0,G2/B$15)</f>
        <v>0.74576271186440679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-352.53164556962025</v>
      </c>
      <c r="P2" s="114">
        <v>158</v>
      </c>
      <c r="Q2" s="98">
        <v>-55700</v>
      </c>
    </row>
    <row r="3" spans="1:17" x14ac:dyDescent="0.45">
      <c r="A3" s="51" t="s">
        <v>8</v>
      </c>
      <c r="B3" s="156">
        <v>1277</v>
      </c>
      <c r="C3" s="157"/>
      <c r="E3" s="59" t="s">
        <v>72</v>
      </c>
      <c r="F3" s="56" t="s">
        <v>27</v>
      </c>
      <c r="G3" s="44">
        <v>195</v>
      </c>
      <c r="H3" s="129">
        <f>IF(B$15=0,0,G3/B$15)</f>
        <v>0.55084745762711862</v>
      </c>
      <c r="I3" s="90">
        <v>6</v>
      </c>
      <c r="K3" s="36">
        <v>1</v>
      </c>
      <c r="L3" s="95">
        <v>46.9</v>
      </c>
      <c r="N3" s="111" t="s">
        <v>131</v>
      </c>
      <c r="O3" s="118">
        <f t="shared" si="0"/>
        <v>551.61290322580646</v>
      </c>
      <c r="P3" s="115">
        <v>155</v>
      </c>
      <c r="Q3" s="99">
        <v>85500</v>
      </c>
    </row>
    <row r="4" spans="1:17" x14ac:dyDescent="0.45">
      <c r="A4" s="51" t="s">
        <v>6</v>
      </c>
      <c r="B4" s="158">
        <v>-60.099999999999994</v>
      </c>
      <c r="C4" s="159"/>
      <c r="E4" s="59" t="s">
        <v>64</v>
      </c>
      <c r="F4" s="56" t="s">
        <v>20</v>
      </c>
      <c r="G4" s="44">
        <v>172</v>
      </c>
      <c r="H4" s="129">
        <f>IF(B$15=0,0,G4/B$15)</f>
        <v>0.48587570621468928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234.93150684931507</v>
      </c>
      <c r="P4" s="115">
        <v>146</v>
      </c>
      <c r="Q4" s="99">
        <v>34300</v>
      </c>
    </row>
    <row r="5" spans="1:17" x14ac:dyDescent="0.45">
      <c r="A5" s="51" t="s">
        <v>7</v>
      </c>
      <c r="B5" s="160">
        <f>IF(B$2=0,0,B$4/B$2)</f>
        <v>-0.38037974683544301</v>
      </c>
      <c r="C5" s="161"/>
      <c r="E5" s="59" t="s">
        <v>166</v>
      </c>
      <c r="F5" s="56" t="s">
        <v>167</v>
      </c>
      <c r="G5" s="44">
        <v>157</v>
      </c>
      <c r="H5" s="129">
        <f>IF(B$15=0,0,G5/B$15)</f>
        <v>0.44350282485875708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200.75757575757575</v>
      </c>
      <c r="P5" s="115">
        <v>132</v>
      </c>
      <c r="Q5" s="99">
        <v>26500</v>
      </c>
    </row>
    <row r="6" spans="1:17" x14ac:dyDescent="0.45">
      <c r="A6" s="51" t="s">
        <v>1</v>
      </c>
      <c r="B6" s="150">
        <f>IF(B$2=0,0,(B$7*1+B$8*2+B$9*3)/B$2)</f>
        <v>2.0443037974683542</v>
      </c>
      <c r="C6" s="151"/>
      <c r="E6" s="59" t="s">
        <v>67</v>
      </c>
      <c r="F6" s="56" t="s">
        <v>23</v>
      </c>
      <c r="G6" s="44">
        <v>115</v>
      </c>
      <c r="H6" s="129">
        <f>IF(B$15=0,0,G6/B$15)</f>
        <v>0.3248587570621469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42.5</v>
      </c>
      <c r="P6" s="115">
        <v>120</v>
      </c>
      <c r="Q6" s="99">
        <v>5100</v>
      </c>
    </row>
    <row r="7" spans="1:17" x14ac:dyDescent="0.45">
      <c r="A7" s="51" t="s">
        <v>2</v>
      </c>
      <c r="B7" s="44">
        <v>41</v>
      </c>
      <c r="C7" s="37">
        <f t="shared" ref="C7:C10" si="1">IF(B$2=0,0,B7/B$2)</f>
        <v>0.25949367088607594</v>
      </c>
      <c r="E7" s="59" t="s">
        <v>68</v>
      </c>
      <c r="F7" s="56" t="s">
        <v>12</v>
      </c>
      <c r="G7" s="44">
        <v>114</v>
      </c>
      <c r="H7" s="129">
        <f>IF(B$15=0,0,G7/B$15)</f>
        <v>0.32203389830508472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-770.58823529411768</v>
      </c>
      <c r="P7" s="116">
        <v>102</v>
      </c>
      <c r="Q7" s="100">
        <v>-78600</v>
      </c>
    </row>
    <row r="8" spans="1:17" x14ac:dyDescent="0.45">
      <c r="A8" s="51" t="s">
        <v>3</v>
      </c>
      <c r="B8" s="44">
        <v>69</v>
      </c>
      <c r="C8" s="37">
        <f t="shared" si="1"/>
        <v>0.43670886075949367</v>
      </c>
      <c r="E8" s="59" t="s">
        <v>89</v>
      </c>
      <c r="F8" s="56" t="s">
        <v>44</v>
      </c>
      <c r="G8" s="44">
        <v>50</v>
      </c>
      <c r="H8" s="129">
        <f>IF(B$15=0,0,G8/B$15)</f>
        <v>0.14124293785310735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48</v>
      </c>
      <c r="C9" s="38">
        <f t="shared" si="1"/>
        <v>0.30379746835443039</v>
      </c>
      <c r="E9" s="59" t="s">
        <v>69</v>
      </c>
      <c r="F9" s="56" t="s">
        <v>24</v>
      </c>
      <c r="G9" s="44">
        <v>48</v>
      </c>
      <c r="H9" s="129">
        <f>IF(B$15=0,0,G9/B$15)</f>
        <v>0.13559322033898305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13</v>
      </c>
      <c r="C10" s="40">
        <f t="shared" si="1"/>
        <v>8.2278481012658222E-2</v>
      </c>
      <c r="E10" s="59" t="s">
        <v>71</v>
      </c>
      <c r="F10" s="56" t="s">
        <v>26</v>
      </c>
      <c r="G10" s="44">
        <v>37</v>
      </c>
      <c r="H10" s="129">
        <f>IF(B$15=0,0,G10/B$15)</f>
        <v>0.10451977401129943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-2.8193548387096778</v>
      </c>
      <c r="P10" s="114">
        <v>62</v>
      </c>
      <c r="Q10" s="102">
        <v>-174.80000000000004</v>
      </c>
    </row>
    <row r="11" spans="1:17" x14ac:dyDescent="0.45">
      <c r="A11" s="54" t="s">
        <v>121</v>
      </c>
      <c r="B11" s="47">
        <v>328</v>
      </c>
      <c r="C11" s="42">
        <f>IF(B$3=0,0,B11/B$3)</f>
        <v>0.25685199686765858</v>
      </c>
      <c r="E11" s="59" t="s">
        <v>65</v>
      </c>
      <c r="F11" s="56" t="s">
        <v>21</v>
      </c>
      <c r="G11" s="44">
        <v>29</v>
      </c>
      <c r="H11" s="129">
        <f>IF(B$15=0,0,G11/B$15)</f>
        <v>8.1920903954802254E-2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2.2244897959183678</v>
      </c>
      <c r="P11" s="115">
        <v>49</v>
      </c>
      <c r="Q11" s="103">
        <v>109.00000000000003</v>
      </c>
    </row>
    <row r="12" spans="1:17" x14ac:dyDescent="0.45">
      <c r="A12" s="51" t="s">
        <v>118</v>
      </c>
      <c r="B12" s="44">
        <v>293</v>
      </c>
      <c r="C12" s="37">
        <f>IF(B$3=0,0,B12/B$3)</f>
        <v>0.22944400939702428</v>
      </c>
      <c r="E12" s="59" t="s">
        <v>70</v>
      </c>
      <c r="F12" s="56" t="s">
        <v>25</v>
      </c>
      <c r="G12" s="44">
        <v>26</v>
      </c>
      <c r="H12" s="129">
        <f>IF(B$15=0,0,G12/B$15)</f>
        <v>7.3446327683615822E-2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0.12127659574468061</v>
      </c>
      <c r="P12" s="116">
        <v>47</v>
      </c>
      <c r="Q12" s="104">
        <v>5.6999999999999886</v>
      </c>
    </row>
    <row r="13" spans="1:17" x14ac:dyDescent="0.45">
      <c r="A13" s="50" t="s">
        <v>123</v>
      </c>
      <c r="B13" s="43">
        <f>B19</f>
        <v>178</v>
      </c>
      <c r="C13" s="35">
        <f>IF(B$11=0,0,B13/B$11)</f>
        <v>0.54268292682926833</v>
      </c>
      <c r="E13" s="59" t="s">
        <v>86</v>
      </c>
      <c r="F13" s="56" t="s">
        <v>41</v>
      </c>
      <c r="G13" s="44">
        <v>18</v>
      </c>
      <c r="H13" s="129">
        <f>IF(B$15=0,0,G13/B$15)</f>
        <v>5.0847457627118647E-2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123</v>
      </c>
      <c r="C14" s="35">
        <f>IF(B$12=0,0,B14/B$12)</f>
        <v>0.41979522184300339</v>
      </c>
      <c r="E14" s="59" t="s">
        <v>83</v>
      </c>
      <c r="F14" s="56" t="s">
        <v>38</v>
      </c>
      <c r="G14" s="44">
        <v>14</v>
      </c>
      <c r="H14" s="129">
        <f>IF(B$15=0,0,G14/B$15)</f>
        <v>3.954802259887006E-2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354</v>
      </c>
      <c r="C15" s="35">
        <f>IF(B$3=0,0,B15/B$3)</f>
        <v>0.27721221613155833</v>
      </c>
      <c r="E15" s="59" t="s">
        <v>79</v>
      </c>
      <c r="F15" s="56" t="s">
        <v>34</v>
      </c>
      <c r="G15" s="44">
        <v>7</v>
      </c>
      <c r="H15" s="129">
        <f>IF(B$15=0,0,G15/B$15)</f>
        <v>1.977401129943503E-2</v>
      </c>
      <c r="I15" s="90">
        <v>4</v>
      </c>
      <c r="K15" s="36">
        <v>13</v>
      </c>
      <c r="L15" s="95">
        <v>-68.399999999999991</v>
      </c>
      <c r="N15" s="110" t="s">
        <v>232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181</v>
      </c>
      <c r="C16" s="37">
        <f>IF(B$3=0,0,B16/B$3)</f>
        <v>0.14173844949099451</v>
      </c>
      <c r="E16" s="59" t="s">
        <v>78</v>
      </c>
      <c r="F16" s="56" t="s">
        <v>33</v>
      </c>
      <c r="G16" s="44">
        <v>6</v>
      </c>
      <c r="H16" s="129">
        <f>IF(B$15=0,0,G16/B$15)</f>
        <v>1.6949152542372881E-2</v>
      </c>
      <c r="I16" s="90">
        <v>7</v>
      </c>
      <c r="K16" s="36">
        <v>14</v>
      </c>
      <c r="L16" s="95">
        <v>-25.79999999999999</v>
      </c>
      <c r="N16" s="111" t="s">
        <v>256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163</v>
      </c>
      <c r="C17" s="37">
        <f>IF(B$15=0,0,B17/B$15)</f>
        <v>0.46045197740112992</v>
      </c>
      <c r="E17" s="59" t="s">
        <v>162</v>
      </c>
      <c r="F17" s="56" t="s">
        <v>163</v>
      </c>
      <c r="G17" s="44">
        <v>6</v>
      </c>
      <c r="H17" s="129">
        <f>IF(B$15=0,0,G17/B$15)</f>
        <v>1.6949152542372881E-2</v>
      </c>
      <c r="I17" s="90">
        <v>4</v>
      </c>
      <c r="K17" s="36">
        <v>15</v>
      </c>
      <c r="L17" s="95">
        <v>-35.499999999999986</v>
      </c>
      <c r="N17" s="111" t="s">
        <v>197</v>
      </c>
      <c r="O17" s="121">
        <f>IF(P17=0,0,Q17/P17)</f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191</v>
      </c>
      <c r="C18" s="37">
        <f>IF(B$15=0,0,B18/B$15)</f>
        <v>0.53954802259887003</v>
      </c>
      <c r="E18" s="59" t="s">
        <v>73</v>
      </c>
      <c r="F18" s="56" t="s">
        <v>28</v>
      </c>
      <c r="G18" s="44">
        <v>5</v>
      </c>
      <c r="H18" s="129">
        <f>IF(B$15=0,0,G18/B$15)</f>
        <v>1.4124293785310734E-2</v>
      </c>
      <c r="I18" s="90">
        <v>1</v>
      </c>
      <c r="K18" s="36">
        <v>16</v>
      </c>
      <c r="L18" s="95">
        <v>-35.599999999999987</v>
      </c>
      <c r="N18" s="111" t="s">
        <v>172</v>
      </c>
      <c r="O18" s="121">
        <f>IF(P18=0,0,Q18/P18)</f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178</v>
      </c>
      <c r="C19" s="37">
        <f>IF(B$15=0,0,B19/B$15)</f>
        <v>0.50282485875706218</v>
      </c>
      <c r="E19" s="59" t="s">
        <v>81</v>
      </c>
      <c r="F19" s="56" t="s">
        <v>36</v>
      </c>
      <c r="G19" s="44">
        <v>5</v>
      </c>
      <c r="H19" s="129">
        <f>IF(B$15=0,0,G19/B$15)</f>
        <v>1.4124293785310734E-2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123</v>
      </c>
      <c r="C20" s="37">
        <f>IF(B$15=0,0,B20/B$15)</f>
        <v>0.34745762711864409</v>
      </c>
      <c r="E20" s="59" t="s">
        <v>91</v>
      </c>
      <c r="F20" s="56" t="s">
        <v>46</v>
      </c>
      <c r="G20" s="44">
        <v>4</v>
      </c>
      <c r="H20" s="129">
        <f>IF(B$15=0,0,G20/B$15)</f>
        <v>1.1299435028248588E-2</v>
      </c>
      <c r="I20" s="90">
        <v>7</v>
      </c>
      <c r="K20" s="36">
        <v>18</v>
      </c>
      <c r="L20" s="95">
        <v>-62.399999999999991</v>
      </c>
      <c r="N20" s="111" t="s">
        <v>301</v>
      </c>
      <c r="O20" s="121">
        <f>IF(P20=0,0,Q20/P20)</f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53</v>
      </c>
      <c r="C21" s="37">
        <f>IF(B$15=0,0,B21/B$15)</f>
        <v>0.14971751412429379</v>
      </c>
      <c r="E21" s="59" t="s">
        <v>85</v>
      </c>
      <c r="F21" s="56" t="s">
        <v>40</v>
      </c>
      <c r="G21" s="44">
        <v>3</v>
      </c>
      <c r="H21" s="129">
        <f>IF(B$15=0,0,G21/B$15)</f>
        <v>8.4745762711864406E-3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>IF(P21=0,0,Q21/P21)</f>
        <v>3.1396825396825396</v>
      </c>
      <c r="P21" s="115">
        <v>63</v>
      </c>
      <c r="Q21" s="103">
        <v>197.79999999999998</v>
      </c>
    </row>
    <row r="22" spans="1:17" x14ac:dyDescent="0.45">
      <c r="A22" s="51" t="s">
        <v>5</v>
      </c>
      <c r="B22" s="48">
        <f>IF(B$15=0,0,C22/B$15)</f>
        <v>8560.7344632768363</v>
      </c>
      <c r="C22" s="39">
        <v>3030500</v>
      </c>
      <c r="E22" s="59" t="s">
        <v>92</v>
      </c>
      <c r="F22" s="56" t="s">
        <v>47</v>
      </c>
      <c r="G22" s="44">
        <v>3</v>
      </c>
      <c r="H22" s="129">
        <f>IF(B$15=0,0,G22/B$15)</f>
        <v>8.4745762711864406E-3</v>
      </c>
      <c r="I22" s="90">
        <v>3</v>
      </c>
      <c r="K22" s="36">
        <v>20</v>
      </c>
      <c r="L22" s="95">
        <v>-93.199999999999989</v>
      </c>
      <c r="N22" s="111" t="s">
        <v>161</v>
      </c>
      <c r="O22" s="121">
        <f>IF(P22=0,0,Q22/P22)</f>
        <v>2.4666666666666668</v>
      </c>
      <c r="P22" s="115">
        <v>33</v>
      </c>
      <c r="Q22" s="103">
        <v>81.400000000000006</v>
      </c>
    </row>
    <row r="23" spans="1:17" x14ac:dyDescent="0.45">
      <c r="A23" s="52" t="s">
        <v>177</v>
      </c>
      <c r="B23" s="136">
        <f>IF($B$15-B$14=0,0,C23/($B$15-B$14))</f>
        <v>9556.2770562770565</v>
      </c>
      <c r="C23" s="137">
        <v>2207500</v>
      </c>
      <c r="E23" s="59" t="s">
        <v>75</v>
      </c>
      <c r="F23" s="56" t="s">
        <v>30</v>
      </c>
      <c r="G23" s="44">
        <v>2</v>
      </c>
      <c r="H23" s="129">
        <f>IF(B$15=0,0,G23/B$15)</f>
        <v>5.6497175141242938E-3</v>
      </c>
      <c r="I23" s="90">
        <v>7</v>
      </c>
      <c r="K23" s="36">
        <v>21</v>
      </c>
      <c r="L23" s="95">
        <v>-123.69999999999999</v>
      </c>
      <c r="N23" s="111" t="s">
        <v>170</v>
      </c>
      <c r="O23" s="121">
        <f>IF(P23=0,0,Q23/P23)</f>
        <v>-7.1323943661971825</v>
      </c>
      <c r="P23" s="115">
        <v>71</v>
      </c>
      <c r="Q23" s="103">
        <v>-506.4</v>
      </c>
    </row>
    <row r="24" spans="1:17" x14ac:dyDescent="0.45">
      <c r="A24" s="52" t="s">
        <v>178</v>
      </c>
      <c r="B24" s="136">
        <f>IF(B$14=0,0,C24/B$14)</f>
        <v>6691.0569105691056</v>
      </c>
      <c r="C24" s="137">
        <v>823000</v>
      </c>
      <c r="E24" s="59" t="s">
        <v>88</v>
      </c>
      <c r="F24" s="56" t="s">
        <v>43</v>
      </c>
      <c r="G24" s="44">
        <v>2</v>
      </c>
      <c r="H24" s="129">
        <f>IF(B$15=0,0,G24/B$15)</f>
        <v>5.6497175141242938E-3</v>
      </c>
      <c r="I24" s="90">
        <v>2</v>
      </c>
      <c r="K24" s="36">
        <v>22</v>
      </c>
      <c r="L24" s="95">
        <v>-66.999999999999986</v>
      </c>
      <c r="N24" s="111" t="s">
        <v>126</v>
      </c>
      <c r="O24" s="121">
        <f>IF(P24=0,0,Q24/P24)</f>
        <v>-13.262820512820516</v>
      </c>
      <c r="P24" s="115">
        <v>78</v>
      </c>
      <c r="Q24" s="103">
        <v>-1034.5000000000002</v>
      </c>
    </row>
    <row r="25" spans="1:17" x14ac:dyDescent="0.45">
      <c r="A25" s="52" t="s">
        <v>176</v>
      </c>
      <c r="B25" s="136">
        <f>IF(B$16=0,0,C25/B$16)</f>
        <v>-7164.0883977900548</v>
      </c>
      <c r="C25" s="137">
        <v>-1296700</v>
      </c>
      <c r="E25" s="59" t="s">
        <v>74</v>
      </c>
      <c r="F25" s="56" t="s">
        <v>29</v>
      </c>
      <c r="G25" s="44">
        <v>1</v>
      </c>
      <c r="H25" s="129">
        <f>IF(B$15=0,0,G25/B$15)</f>
        <v>2.8248587570621469E-3</v>
      </c>
      <c r="I25" s="90">
        <v>6</v>
      </c>
      <c r="K25" s="36">
        <v>23</v>
      </c>
      <c r="L25" s="95">
        <v>-59.599999999999987</v>
      </c>
      <c r="N25" s="111" t="s">
        <v>200</v>
      </c>
      <c r="O25" s="121">
        <f>IF(P25=0,0,Q25/P25)</f>
        <v>-32.325000000000003</v>
      </c>
      <c r="P25" s="115">
        <v>4</v>
      </c>
      <c r="Q25" s="103">
        <v>-129.30000000000001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87</v>
      </c>
      <c r="F26" s="56" t="s">
        <v>42</v>
      </c>
      <c r="G26" s="44">
        <v>1</v>
      </c>
      <c r="H26" s="129">
        <f>IF(B$15=0,0,G26/B$15)</f>
        <v>2.8248587570621469E-3</v>
      </c>
      <c r="I26" s="90">
        <v>4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0</v>
      </c>
      <c r="E27" s="59" t="s">
        <v>93</v>
      </c>
      <c r="F27" s="56" t="s">
        <v>48</v>
      </c>
      <c r="G27" s="44">
        <v>1</v>
      </c>
      <c r="H27" s="129">
        <f>IF(B$15=0,0,G27/B$15)</f>
        <v>2.8248587570621469E-3</v>
      </c>
      <c r="I27" s="90">
        <v>2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2.8248587570621469E-3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3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1.5661707126076742E-3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20</v>
      </c>
      <c r="C32" s="141">
        <f>IF(B$15=0,0,B32/B$15)</f>
        <v>5.6497175141242938E-2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64</v>
      </c>
      <c r="C33" s="37">
        <f t="shared" ref="C33:C44" si="2">IF(B$15=0,0,B33/B$15)</f>
        <v>0.1807909604519774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68</v>
      </c>
      <c r="C34" s="37">
        <f>IF(B$15=0,0,B34/B$15)</f>
        <v>0.19209039548022599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68</v>
      </c>
      <c r="C35" s="37">
        <f t="shared" si="2"/>
        <v>0.19209039548022599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51</v>
      </c>
      <c r="C36" s="37">
        <f t="shared" si="2"/>
        <v>0.1440677966101695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6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41</v>
      </c>
      <c r="C37" s="37">
        <f t="shared" si="2"/>
        <v>0.11581920903954802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19</v>
      </c>
      <c r="C38" s="37">
        <f t="shared" si="2"/>
        <v>5.3672316384180789E-2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9</v>
      </c>
      <c r="C39" s="37">
        <f t="shared" si="2"/>
        <v>2.5423728813559324E-2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4</v>
      </c>
      <c r="C40" s="37">
        <f t="shared" si="2"/>
        <v>1.1299435028248588E-2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2"/>
        <v>5.6497175141242938E-3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2"/>
        <v>2.8248587570621469E-3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2"/>
        <v>5.6497175141242938E-3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5</v>
      </c>
      <c r="C44" s="40">
        <f t="shared" si="2"/>
        <v>1.4124293785310734E-2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  <row r="142" spans="11:12" x14ac:dyDescent="0.45">
      <c r="K142" s="36">
        <v>140</v>
      </c>
      <c r="L142" s="95">
        <v>-96.799999999999983</v>
      </c>
    </row>
    <row r="143" spans="11:12" x14ac:dyDescent="0.45">
      <c r="K143" s="36">
        <v>141</v>
      </c>
      <c r="L143" s="95">
        <v>-105.99999999999999</v>
      </c>
    </row>
    <row r="144" spans="11:12" x14ac:dyDescent="0.45">
      <c r="K144" s="36">
        <v>142</v>
      </c>
      <c r="L144" s="95">
        <v>-142.29999999999998</v>
      </c>
    </row>
    <row r="145" spans="11:12" x14ac:dyDescent="0.45">
      <c r="K145" s="36">
        <v>143</v>
      </c>
      <c r="L145" s="95">
        <v>-141.49999999999997</v>
      </c>
    </row>
    <row r="146" spans="11:12" x14ac:dyDescent="0.45">
      <c r="K146" s="36">
        <v>144</v>
      </c>
      <c r="L146" s="95">
        <v>-96.699999999999974</v>
      </c>
    </row>
    <row r="147" spans="11:12" x14ac:dyDescent="0.45">
      <c r="K147" s="36">
        <v>145</v>
      </c>
      <c r="L147" s="95">
        <v>-40.299999999999976</v>
      </c>
    </row>
    <row r="148" spans="11:12" x14ac:dyDescent="0.45">
      <c r="K148" s="36">
        <v>146</v>
      </c>
      <c r="L148" s="95">
        <v>-28.099999999999977</v>
      </c>
    </row>
    <row r="149" spans="11:12" x14ac:dyDescent="0.45">
      <c r="K149" s="36">
        <v>147</v>
      </c>
      <c r="L149" s="95">
        <v>-66.09999999999998</v>
      </c>
    </row>
    <row r="150" spans="11:12" x14ac:dyDescent="0.45">
      <c r="K150" s="36">
        <v>148</v>
      </c>
      <c r="L150" s="95">
        <v>-54.59999999999998</v>
      </c>
    </row>
    <row r="151" spans="11:12" x14ac:dyDescent="0.45">
      <c r="K151" s="36">
        <v>149</v>
      </c>
      <c r="L151" s="95">
        <v>-107.79999999999998</v>
      </c>
    </row>
    <row r="152" spans="11:12" x14ac:dyDescent="0.45">
      <c r="K152" s="36">
        <v>150</v>
      </c>
      <c r="L152" s="95">
        <v>-116.49999999999999</v>
      </c>
    </row>
    <row r="153" spans="11:12" x14ac:dyDescent="0.45">
      <c r="K153" s="36">
        <v>151</v>
      </c>
      <c r="L153" s="95">
        <v>-110.59999999999998</v>
      </c>
    </row>
    <row r="154" spans="11:12" x14ac:dyDescent="0.45">
      <c r="K154" s="36">
        <v>152</v>
      </c>
      <c r="L154" s="95">
        <v>-60.999999999999979</v>
      </c>
    </row>
    <row r="155" spans="11:12" x14ac:dyDescent="0.45">
      <c r="K155" s="36">
        <v>153</v>
      </c>
      <c r="L155" s="95">
        <v>-24.699999999999982</v>
      </c>
    </row>
    <row r="156" spans="11:12" x14ac:dyDescent="0.45">
      <c r="K156" s="36">
        <v>154</v>
      </c>
      <c r="L156" s="95">
        <v>-71.199999999999989</v>
      </c>
    </row>
    <row r="157" spans="11:12" x14ac:dyDescent="0.45">
      <c r="K157" s="36">
        <v>155</v>
      </c>
      <c r="L157" s="95">
        <v>-116.69999999999999</v>
      </c>
    </row>
    <row r="158" spans="11:12" x14ac:dyDescent="0.45">
      <c r="K158" s="36">
        <v>156</v>
      </c>
      <c r="L158" s="95">
        <v>-82.1</v>
      </c>
    </row>
    <row r="159" spans="11:12" x14ac:dyDescent="0.45">
      <c r="K159" s="36">
        <v>157</v>
      </c>
      <c r="L159" s="95">
        <v>-33.199999999999996</v>
      </c>
    </row>
    <row r="160" spans="11:12" x14ac:dyDescent="0.45">
      <c r="K160" s="36">
        <v>158</v>
      </c>
      <c r="L160" s="95">
        <v>-60.099999999999994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2F9EB-5FC0-454F-BE77-0753FB6B6ABC}">
  <sheetPr codeName="Sheet19"/>
  <dimension ref="A1:Q7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73</v>
      </c>
      <c r="C2" s="155"/>
      <c r="E2" s="58" t="s">
        <v>66</v>
      </c>
      <c r="F2" s="55" t="s">
        <v>22</v>
      </c>
      <c r="G2" s="43">
        <v>101</v>
      </c>
      <c r="H2" s="128">
        <f>IF(B$15=0,0,G2/B$15)</f>
        <v>0.67333333333333334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-3816.4383561643835</v>
      </c>
      <c r="P2" s="114">
        <v>73</v>
      </c>
      <c r="Q2" s="98">
        <v>-278600</v>
      </c>
    </row>
    <row r="3" spans="1:17" x14ac:dyDescent="0.45">
      <c r="A3" s="51" t="s">
        <v>8</v>
      </c>
      <c r="B3" s="156">
        <v>606</v>
      </c>
      <c r="C3" s="157"/>
      <c r="E3" s="59" t="s">
        <v>72</v>
      </c>
      <c r="F3" s="56" t="s">
        <v>27</v>
      </c>
      <c r="G3" s="44">
        <v>100</v>
      </c>
      <c r="H3" s="129">
        <f>IF(B$15=0,0,G3/B$15)</f>
        <v>0.66666666666666663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1436.1111111111111</v>
      </c>
      <c r="P3" s="115">
        <v>72</v>
      </c>
      <c r="Q3" s="99">
        <v>103400</v>
      </c>
    </row>
    <row r="4" spans="1:17" x14ac:dyDescent="0.45">
      <c r="A4" s="51" t="s">
        <v>6</v>
      </c>
      <c r="B4" s="158">
        <v>-864.60000000000025</v>
      </c>
      <c r="C4" s="159"/>
      <c r="E4" s="59" t="s">
        <v>64</v>
      </c>
      <c r="F4" s="56" t="s">
        <v>20</v>
      </c>
      <c r="G4" s="44">
        <v>62</v>
      </c>
      <c r="H4" s="129">
        <f>IF(B$15=0,0,G4/B$15)</f>
        <v>0.41333333333333333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-1208.8235294117646</v>
      </c>
      <c r="P4" s="115">
        <v>68</v>
      </c>
      <c r="Q4" s="99">
        <v>-82200</v>
      </c>
    </row>
    <row r="5" spans="1:17" x14ac:dyDescent="0.45">
      <c r="A5" s="51" t="s">
        <v>7</v>
      </c>
      <c r="B5" s="160">
        <f>IF(B$2=0,0,B$4/B$2)</f>
        <v>-11.84383561643836</v>
      </c>
      <c r="C5" s="161"/>
      <c r="E5" s="59" t="s">
        <v>166</v>
      </c>
      <c r="F5" s="56" t="s">
        <v>167</v>
      </c>
      <c r="G5" s="44">
        <v>53</v>
      </c>
      <c r="H5" s="129">
        <f>IF(B$15=0,0,G5/B$15)</f>
        <v>0.35333333333333333</v>
      </c>
      <c r="I5" s="90">
        <v>10</v>
      </c>
      <c r="K5" s="36">
        <v>3</v>
      </c>
      <c r="L5" s="95">
        <v>-33.6</v>
      </c>
      <c r="N5" s="111" t="s">
        <v>133</v>
      </c>
      <c r="O5" s="118">
        <f t="shared" si="0"/>
        <v>-1706.5573770491803</v>
      </c>
      <c r="P5" s="115">
        <v>61</v>
      </c>
      <c r="Q5" s="99">
        <v>-104100</v>
      </c>
    </row>
    <row r="6" spans="1:17" x14ac:dyDescent="0.45">
      <c r="A6" s="51" t="s">
        <v>1</v>
      </c>
      <c r="B6" s="150">
        <f>IF(B$2=0,0,(B$7*1+B$8*2+B$9*3)/B$2)</f>
        <v>2.3013698630136985</v>
      </c>
      <c r="C6" s="151"/>
      <c r="E6" s="59" t="s">
        <v>68</v>
      </c>
      <c r="F6" s="56" t="s">
        <v>12</v>
      </c>
      <c r="G6" s="44">
        <v>42</v>
      </c>
      <c r="H6" s="129">
        <f>IF(B$15=0,0,G6/B$15)</f>
        <v>0.28000000000000003</v>
      </c>
      <c r="I6" s="90">
        <v>9</v>
      </c>
      <c r="K6" s="36">
        <v>4</v>
      </c>
      <c r="L6" s="95">
        <v>-80.5</v>
      </c>
      <c r="N6" s="111" t="s">
        <v>134</v>
      </c>
      <c r="O6" s="118">
        <f t="shared" si="0"/>
        <v>-1807.0175438596491</v>
      </c>
      <c r="P6" s="115">
        <v>57</v>
      </c>
      <c r="Q6" s="99">
        <v>-103000</v>
      </c>
    </row>
    <row r="7" spans="1:17" x14ac:dyDescent="0.45">
      <c r="A7" s="51" t="s">
        <v>2</v>
      </c>
      <c r="B7" s="44">
        <v>11</v>
      </c>
      <c r="C7" s="37">
        <f t="shared" ref="C7:C10" si="1">IF(B$2=0,0,B7/B$2)</f>
        <v>0.15068493150684931</v>
      </c>
      <c r="E7" s="59" t="s">
        <v>67</v>
      </c>
      <c r="F7" s="56" t="s">
        <v>23</v>
      </c>
      <c r="G7" s="44">
        <v>40</v>
      </c>
      <c r="H7" s="129">
        <f>IF(B$15=0,0,G7/B$15)</f>
        <v>0.26666666666666666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-2165.9574468085107</v>
      </c>
      <c r="P7" s="116">
        <v>47</v>
      </c>
      <c r="Q7" s="100">
        <v>-101800</v>
      </c>
    </row>
    <row r="8" spans="1:17" x14ac:dyDescent="0.45">
      <c r="A8" s="51" t="s">
        <v>3</v>
      </c>
      <c r="B8" s="44">
        <v>29</v>
      </c>
      <c r="C8" s="37">
        <f t="shared" si="1"/>
        <v>0.39726027397260272</v>
      </c>
      <c r="E8" s="59" t="s">
        <v>89</v>
      </c>
      <c r="F8" s="56" t="s">
        <v>44</v>
      </c>
      <c r="G8" s="44">
        <v>24</v>
      </c>
      <c r="H8" s="129">
        <f>IF(B$15=0,0,G8/B$15)</f>
        <v>0.16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0.45205479452054792</v>
      </c>
      <c r="E9" s="59" t="s">
        <v>65</v>
      </c>
      <c r="F9" s="56" t="s">
        <v>21</v>
      </c>
      <c r="G9" s="44">
        <v>16</v>
      </c>
      <c r="H9" s="129">
        <f>IF(B$15=0,0,G9/B$15)</f>
        <v>0.10666666666666667</v>
      </c>
      <c r="I9" s="90">
        <v>9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13</v>
      </c>
      <c r="C10" s="40">
        <f t="shared" si="1"/>
        <v>0.17808219178082191</v>
      </c>
      <c r="E10" s="59" t="s">
        <v>71</v>
      </c>
      <c r="F10" s="56" t="s">
        <v>26</v>
      </c>
      <c r="G10" s="44">
        <v>13</v>
      </c>
      <c r="H10" s="129">
        <f>IF(B$15=0,0,G10/B$15)</f>
        <v>8.666666666666667E-2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-21.2</v>
      </c>
      <c r="P10" s="114">
        <v>30</v>
      </c>
      <c r="Q10" s="102">
        <v>-636</v>
      </c>
    </row>
    <row r="11" spans="1:17" x14ac:dyDescent="0.45">
      <c r="A11" s="54" t="s">
        <v>121</v>
      </c>
      <c r="B11" s="47">
        <v>128</v>
      </c>
      <c r="C11" s="42">
        <f>IF(B$3=0,0,B11/B$3)</f>
        <v>0.21122112211221122</v>
      </c>
      <c r="E11" s="59" t="s">
        <v>69</v>
      </c>
      <c r="F11" s="56" t="s">
        <v>24</v>
      </c>
      <c r="G11" s="44">
        <v>12</v>
      </c>
      <c r="H11" s="129">
        <f>IF(B$15=0,0,G11/B$15)</f>
        <v>0.08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-0.1181818181818178</v>
      </c>
      <c r="P11" s="115">
        <v>22</v>
      </c>
      <c r="Q11" s="103">
        <v>-2.5999999999999917</v>
      </c>
    </row>
    <row r="12" spans="1:17" x14ac:dyDescent="0.45">
      <c r="A12" s="51" t="s">
        <v>118</v>
      </c>
      <c r="B12" s="44">
        <v>138</v>
      </c>
      <c r="C12" s="37">
        <f>IF(B$3=0,0,B12/B$3)</f>
        <v>0.22772277227722773</v>
      </c>
      <c r="E12" s="59" t="s">
        <v>70</v>
      </c>
      <c r="F12" s="56" t="s">
        <v>25</v>
      </c>
      <c r="G12" s="44">
        <v>12</v>
      </c>
      <c r="H12" s="129">
        <f>IF(B$15=0,0,G12/B$15)</f>
        <v>0.08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-10.761904761904763</v>
      </c>
      <c r="P12" s="116">
        <v>21</v>
      </c>
      <c r="Q12" s="104">
        <v>-226</v>
      </c>
    </row>
    <row r="13" spans="1:17" x14ac:dyDescent="0.45">
      <c r="A13" s="50" t="s">
        <v>123</v>
      </c>
      <c r="B13" s="43">
        <f>B19</f>
        <v>65</v>
      </c>
      <c r="C13" s="35">
        <f>IF(B$11=0,0,B13/B$11)</f>
        <v>0.5078125</v>
      </c>
      <c r="E13" s="59" t="s">
        <v>81</v>
      </c>
      <c r="F13" s="56" t="s">
        <v>36</v>
      </c>
      <c r="G13" s="44">
        <v>9</v>
      </c>
      <c r="H13" s="129">
        <f>IF(B$15=0,0,G13/B$15)</f>
        <v>0.06</v>
      </c>
      <c r="I13" s="90">
        <v>2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57</v>
      </c>
      <c r="C14" s="35">
        <f>IF(B$12=0,0,B14/B$12)</f>
        <v>0.41304347826086957</v>
      </c>
      <c r="E14" s="59" t="s">
        <v>83</v>
      </c>
      <c r="F14" s="56" t="s">
        <v>38</v>
      </c>
      <c r="G14" s="44">
        <v>9</v>
      </c>
      <c r="H14" s="129">
        <f>IF(B$15=0,0,G14/B$15)</f>
        <v>0.06</v>
      </c>
      <c r="I14" s="90">
        <v>5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150</v>
      </c>
      <c r="C15" s="35">
        <f>IF(B$3=0,0,B15/B$3)</f>
        <v>0.24752475247524752</v>
      </c>
      <c r="E15" s="59" t="s">
        <v>86</v>
      </c>
      <c r="F15" s="56" t="s">
        <v>41</v>
      </c>
      <c r="G15" s="44">
        <v>8</v>
      </c>
      <c r="H15" s="129">
        <f>IF(B$15=0,0,G15/B$15)</f>
        <v>5.3333333333333337E-2</v>
      </c>
      <c r="I15" s="90">
        <v>4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7.0285714285714267</v>
      </c>
      <c r="P15" s="114">
        <v>21</v>
      </c>
      <c r="Q15" s="102">
        <v>147.59999999999997</v>
      </c>
    </row>
    <row r="16" spans="1:17" x14ac:dyDescent="0.45">
      <c r="A16" s="51" t="s">
        <v>13</v>
      </c>
      <c r="B16" s="44">
        <v>109</v>
      </c>
      <c r="C16" s="37">
        <f>IF(B$3=0,0,B16/B$3)</f>
        <v>0.17986798679867988</v>
      </c>
      <c r="E16" s="59" t="s">
        <v>91</v>
      </c>
      <c r="F16" s="56" t="s">
        <v>46</v>
      </c>
      <c r="G16" s="44">
        <v>3</v>
      </c>
      <c r="H16" s="129">
        <f>IF(B$15=0,0,G16/B$15)</f>
        <v>0.02</v>
      </c>
      <c r="I16" s="90">
        <v>4</v>
      </c>
      <c r="K16" s="36">
        <v>14</v>
      </c>
      <c r="L16" s="95">
        <v>-266.90000000000003</v>
      </c>
      <c r="N16" s="111" t="s">
        <v>301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69</v>
      </c>
      <c r="C17" s="37">
        <f>IF(B$15=0,0,B17/B$15)</f>
        <v>0.46</v>
      </c>
      <c r="E17" s="59" t="s">
        <v>78</v>
      </c>
      <c r="F17" s="56" t="s">
        <v>33</v>
      </c>
      <c r="G17" s="44">
        <v>2</v>
      </c>
      <c r="H17" s="129">
        <f>IF(B$15=0,0,G17/B$15)</f>
        <v>1.3333333333333334E-2</v>
      </c>
      <c r="I17" s="90">
        <v>9</v>
      </c>
      <c r="K17" s="36">
        <v>15</v>
      </c>
      <c r="L17" s="95">
        <v>-272.50000000000006</v>
      </c>
      <c r="N17" s="111" t="s">
        <v>127</v>
      </c>
      <c r="O17" s="121">
        <f t="shared" si="2"/>
        <v>-12.000000000000002</v>
      </c>
      <c r="P17" s="115">
        <v>17</v>
      </c>
      <c r="Q17" s="103">
        <v>-204.00000000000003</v>
      </c>
    </row>
    <row r="18" spans="1:17" x14ac:dyDescent="0.45">
      <c r="A18" s="51" t="s">
        <v>11</v>
      </c>
      <c r="B18" s="44">
        <v>81</v>
      </c>
      <c r="C18" s="37">
        <f>IF(B$15=0,0,B18/B$15)</f>
        <v>0.54</v>
      </c>
      <c r="E18" s="59" t="s">
        <v>73</v>
      </c>
      <c r="F18" s="56" t="s">
        <v>28</v>
      </c>
      <c r="G18" s="44">
        <v>1</v>
      </c>
      <c r="H18" s="129">
        <f>IF(B$15=0,0,G18/B$15)</f>
        <v>6.6666666666666671E-3</v>
      </c>
      <c r="I18" s="90">
        <v>2</v>
      </c>
      <c r="K18" s="36">
        <v>16</v>
      </c>
      <c r="L18" s="95">
        <v>-320.30000000000007</v>
      </c>
      <c r="N18" s="111" t="s">
        <v>200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65</v>
      </c>
      <c r="C19" s="37">
        <f>IF(B$15=0,0,B19/B$15)</f>
        <v>0.43333333333333335</v>
      </c>
      <c r="E19" s="59" t="s">
        <v>74</v>
      </c>
      <c r="F19" s="56" t="s">
        <v>29</v>
      </c>
      <c r="G19" s="44">
        <v>1</v>
      </c>
      <c r="H19" s="129">
        <f>IF(B$15=0,0,G19/B$15)</f>
        <v>6.6666666666666671E-3</v>
      </c>
      <c r="I19" s="90">
        <v>2</v>
      </c>
      <c r="K19" s="36">
        <v>17</v>
      </c>
      <c r="L19" s="95">
        <v>-352.60000000000008</v>
      </c>
      <c r="N19" s="111" t="s">
        <v>171</v>
      </c>
      <c r="O19" s="121">
        <f t="shared" si="2"/>
        <v>-16.860714285714284</v>
      </c>
      <c r="P19" s="115">
        <v>28</v>
      </c>
      <c r="Q19" s="103">
        <v>-472.09999999999997</v>
      </c>
    </row>
    <row r="20" spans="1:17" x14ac:dyDescent="0.45">
      <c r="A20" s="51" t="s">
        <v>193</v>
      </c>
      <c r="B20" s="44">
        <v>57</v>
      </c>
      <c r="C20" s="37">
        <f>IF(B$15=0,0,B20/B$15)</f>
        <v>0.38</v>
      </c>
      <c r="E20" s="59" t="s">
        <v>79</v>
      </c>
      <c r="F20" s="56" t="s">
        <v>34</v>
      </c>
      <c r="G20" s="44">
        <v>1</v>
      </c>
      <c r="H20" s="129">
        <f>IF(B$15=0,0,G20/B$15)</f>
        <v>6.6666666666666671E-3</v>
      </c>
      <c r="I20" s="90">
        <v>10</v>
      </c>
      <c r="K20" s="36">
        <v>18</v>
      </c>
      <c r="L20" s="95">
        <v>-355.50000000000006</v>
      </c>
      <c r="N20" s="111" t="s">
        <v>256</v>
      </c>
      <c r="O20" s="121">
        <f t="shared" si="2"/>
        <v>-17.649999999999999</v>
      </c>
      <c r="P20" s="115">
        <v>2</v>
      </c>
      <c r="Q20" s="103">
        <v>-35.299999999999997</v>
      </c>
    </row>
    <row r="21" spans="1:17" x14ac:dyDescent="0.45">
      <c r="A21" s="51" t="s">
        <v>194</v>
      </c>
      <c r="B21" s="44">
        <v>28</v>
      </c>
      <c r="C21" s="37">
        <f>IF(B$15=0,0,B21/B$15)</f>
        <v>0.18666666666666668</v>
      </c>
      <c r="E21" s="59" t="s">
        <v>92</v>
      </c>
      <c r="F21" s="56" t="s">
        <v>47</v>
      </c>
      <c r="G21" s="44">
        <v>1</v>
      </c>
      <c r="H21" s="129">
        <f>IF(B$15=0,0,G21/B$15)</f>
        <v>6.6666666666666671E-3</v>
      </c>
      <c r="I21" s="90">
        <v>5</v>
      </c>
      <c r="K21" s="36">
        <v>19</v>
      </c>
      <c r="L21" s="95">
        <v>-400.60000000000008</v>
      </c>
      <c r="N21" s="111" t="s">
        <v>170</v>
      </c>
      <c r="O21" s="121">
        <f t="shared" si="2"/>
        <v>-19.176470588235293</v>
      </c>
      <c r="P21" s="115">
        <v>34</v>
      </c>
      <c r="Q21" s="103">
        <v>-652</v>
      </c>
    </row>
    <row r="22" spans="1:17" x14ac:dyDescent="0.45">
      <c r="A22" s="51" t="s">
        <v>5</v>
      </c>
      <c r="B22" s="48">
        <f>IF(B$15=0,0,C22/B$15)</f>
        <v>8326.6666666666661</v>
      </c>
      <c r="C22" s="39">
        <v>1249000</v>
      </c>
      <c r="E22" s="59" t="s">
        <v>95</v>
      </c>
      <c r="F22" s="56" t="s">
        <v>50</v>
      </c>
      <c r="G22" s="44">
        <v>1</v>
      </c>
      <c r="H22" s="129">
        <f>IF(B$15=0,0,G22/B$15)</f>
        <v>6.6666666666666671E-3</v>
      </c>
      <c r="I22" s="90">
        <v>1</v>
      </c>
      <c r="K22" s="36">
        <v>20</v>
      </c>
      <c r="L22" s="95">
        <v>-428.10000000000008</v>
      </c>
      <c r="N22" s="111" t="s">
        <v>172</v>
      </c>
      <c r="O22" s="121">
        <f t="shared" si="2"/>
        <v>-21.183333333333334</v>
      </c>
      <c r="P22" s="115">
        <v>6</v>
      </c>
      <c r="Q22" s="103">
        <v>-127.1</v>
      </c>
    </row>
    <row r="23" spans="1:17" x14ac:dyDescent="0.45">
      <c r="A23" s="52" t="s">
        <v>177</v>
      </c>
      <c r="B23" s="136">
        <f>IF($B$15-B$14=0,0,C23/($B$15-B$14))</f>
        <v>8810.7526881720423</v>
      </c>
      <c r="C23" s="137">
        <v>819400</v>
      </c>
      <c r="E23" s="59" t="s">
        <v>162</v>
      </c>
      <c r="F23" s="56" t="s">
        <v>163</v>
      </c>
      <c r="G23" s="44">
        <v>1</v>
      </c>
      <c r="H23" s="129">
        <f>IF(B$15=0,0,G23/B$15)</f>
        <v>6.6666666666666671E-3</v>
      </c>
      <c r="I23" s="90">
        <v>8</v>
      </c>
      <c r="K23" s="36">
        <v>21</v>
      </c>
      <c r="L23" s="95">
        <v>-423.7000000000001</v>
      </c>
      <c r="N23" s="111" t="s">
        <v>126</v>
      </c>
      <c r="O23" s="121">
        <f t="shared" si="2"/>
        <v>-28.712000000000018</v>
      </c>
      <c r="P23" s="115">
        <v>25</v>
      </c>
      <c r="Q23" s="103">
        <v>-717.80000000000041</v>
      </c>
    </row>
    <row r="24" spans="1:17" x14ac:dyDescent="0.45">
      <c r="A24" s="52" t="s">
        <v>178</v>
      </c>
      <c r="B24" s="136">
        <f>IF(B$14=0,0,C24/B$14)</f>
        <v>7536.8421052631575</v>
      </c>
      <c r="C24" s="137">
        <v>429600</v>
      </c>
      <c r="E24" s="59" t="s">
        <v>75</v>
      </c>
      <c r="F24" s="56" t="s">
        <v>30</v>
      </c>
      <c r="G24" s="44">
        <v>0</v>
      </c>
      <c r="H24" s="129">
        <f>IF(B$15=0,0,G24/B$15)</f>
        <v>0</v>
      </c>
      <c r="I24" s="90">
        <v>10</v>
      </c>
      <c r="K24" s="36">
        <v>22</v>
      </c>
      <c r="L24" s="95">
        <v>-465.00000000000011</v>
      </c>
      <c r="N24" s="111" t="s">
        <v>196</v>
      </c>
      <c r="O24" s="121">
        <f t="shared" si="2"/>
        <v>-56.614285714285721</v>
      </c>
      <c r="P24" s="115">
        <v>7</v>
      </c>
      <c r="Q24" s="103">
        <v>-396.30000000000007</v>
      </c>
    </row>
    <row r="25" spans="1:17" x14ac:dyDescent="0.45">
      <c r="A25" s="52" t="s">
        <v>176</v>
      </c>
      <c r="B25" s="136">
        <f>IF(B$16=0,0,C25/B$16)</f>
        <v>-8488.9908256880735</v>
      </c>
      <c r="C25" s="137">
        <v>-925300</v>
      </c>
      <c r="E25" s="59" t="s">
        <v>76</v>
      </c>
      <c r="F25" s="56" t="s">
        <v>31</v>
      </c>
      <c r="G25" s="44">
        <v>0</v>
      </c>
      <c r="H25" s="129">
        <f>IF(B$15=0,0,G25/B$15)</f>
        <v>0</v>
      </c>
      <c r="I25" s="90">
        <v>3</v>
      </c>
      <c r="K25" s="36">
        <v>23</v>
      </c>
      <c r="L25" s="95">
        <v>-450.10000000000014</v>
      </c>
      <c r="N25" s="111" t="s">
        <v>232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3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4.9504950495049506E-3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0.08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27</v>
      </c>
      <c r="C33" s="37">
        <f t="shared" ref="C33:C44" si="3">IF(B$15=0,0,B33/B$15)</f>
        <v>0.18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30</v>
      </c>
      <c r="C34" s="37">
        <f>IF(B$15=0,0,B34/B$15)</f>
        <v>0.2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27</v>
      </c>
      <c r="C35" s="37">
        <f t="shared" si="3"/>
        <v>0.18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22</v>
      </c>
      <c r="C36" s="37">
        <f t="shared" si="3"/>
        <v>0.14666666666666667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12</v>
      </c>
      <c r="C37" s="37">
        <f t="shared" si="3"/>
        <v>0.08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3"/>
        <v>6.6666666666666666E-2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6</v>
      </c>
      <c r="C39" s="37">
        <f t="shared" si="3"/>
        <v>0.04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6.6666666666666671E-3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1</v>
      </c>
      <c r="C42" s="37">
        <f t="shared" si="3"/>
        <v>6.6666666666666671E-3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1.3333333333333334E-2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  <row r="65" spans="11:12" x14ac:dyDescent="0.45">
      <c r="K65" s="36">
        <v>63</v>
      </c>
      <c r="L65" s="95">
        <v>-697.10000000000014</v>
      </c>
    </row>
    <row r="66" spans="11:12" x14ac:dyDescent="0.45">
      <c r="K66" s="36">
        <v>64</v>
      </c>
      <c r="L66" s="95">
        <v>-704.90000000000009</v>
      </c>
    </row>
    <row r="67" spans="11:12" x14ac:dyDescent="0.45">
      <c r="K67" s="36">
        <v>65</v>
      </c>
      <c r="L67" s="95">
        <v>-668.90000000000009</v>
      </c>
    </row>
    <row r="68" spans="11:12" x14ac:dyDescent="0.45">
      <c r="K68" s="36">
        <v>66</v>
      </c>
      <c r="L68" s="95">
        <v>-672.40000000000009</v>
      </c>
    </row>
    <row r="69" spans="11:12" x14ac:dyDescent="0.45">
      <c r="K69" s="36">
        <v>67</v>
      </c>
      <c r="L69" s="95">
        <v>-655.40000000000009</v>
      </c>
    </row>
    <row r="70" spans="11:12" x14ac:dyDescent="0.45">
      <c r="K70" s="36">
        <v>68</v>
      </c>
      <c r="L70" s="95">
        <v>-656.10000000000014</v>
      </c>
    </row>
    <row r="71" spans="11:12" x14ac:dyDescent="0.45">
      <c r="K71" s="36">
        <v>69</v>
      </c>
      <c r="L71" s="95">
        <v>-691.90000000000009</v>
      </c>
    </row>
    <row r="72" spans="11:12" x14ac:dyDescent="0.45">
      <c r="K72" s="36">
        <v>70</v>
      </c>
      <c r="L72" s="95">
        <v>-739.50000000000011</v>
      </c>
    </row>
    <row r="73" spans="11:12" x14ac:dyDescent="0.45">
      <c r="K73" s="36">
        <v>71</v>
      </c>
      <c r="L73" s="95">
        <v>-786.20000000000016</v>
      </c>
    </row>
    <row r="74" spans="11:12" x14ac:dyDescent="0.45">
      <c r="K74" s="36">
        <v>72</v>
      </c>
      <c r="L74" s="95">
        <v>-848.4000000000002</v>
      </c>
    </row>
    <row r="75" spans="11:12" x14ac:dyDescent="0.45">
      <c r="K75" s="36">
        <v>73</v>
      </c>
      <c r="L75" s="95">
        <v>-864.60000000000025</v>
      </c>
    </row>
  </sheetData>
  <sortState xmlns:xlrd2="http://schemas.microsoft.com/office/spreadsheetml/2017/richdata2" ref="E2:I76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C7754-E62F-4E40-9923-4986577D9A8D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32</v>
      </c>
      <c r="C2" s="155"/>
      <c r="E2" s="58" t="s">
        <v>66</v>
      </c>
      <c r="F2" s="55" t="s">
        <v>22</v>
      </c>
      <c r="G2" s="43">
        <v>67</v>
      </c>
      <c r="H2" s="128">
        <f>IF(B$15=0,0,G2/B$15)</f>
        <v>0.87012987012987009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-2816.1290322580644</v>
      </c>
      <c r="P2" s="114">
        <v>31</v>
      </c>
      <c r="Q2" s="98">
        <v>-87300</v>
      </c>
    </row>
    <row r="3" spans="1:17" x14ac:dyDescent="0.45">
      <c r="A3" s="51" t="s">
        <v>8</v>
      </c>
      <c r="B3" s="156">
        <v>298</v>
      </c>
      <c r="C3" s="157"/>
      <c r="E3" s="59" t="s">
        <v>64</v>
      </c>
      <c r="F3" s="56" t="s">
        <v>20</v>
      </c>
      <c r="G3" s="44">
        <v>47</v>
      </c>
      <c r="H3" s="129">
        <f>IF(B$15=0,0,G3/B$15)</f>
        <v>0.61038961038961037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-1836.6666666666667</v>
      </c>
      <c r="P3" s="115">
        <v>30</v>
      </c>
      <c r="Q3" s="99">
        <v>-55100</v>
      </c>
    </row>
    <row r="4" spans="1:17" x14ac:dyDescent="0.45">
      <c r="A4" s="51" t="s">
        <v>6</v>
      </c>
      <c r="B4" s="158">
        <v>-96.699999999999974</v>
      </c>
      <c r="C4" s="159"/>
      <c r="E4" s="59" t="s">
        <v>68</v>
      </c>
      <c r="F4" s="56" t="s">
        <v>12</v>
      </c>
      <c r="G4" s="44">
        <v>36</v>
      </c>
      <c r="H4" s="129">
        <f>IF(B$15=0,0,G4/B$15)</f>
        <v>0.46753246753246752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1862.0689655172414</v>
      </c>
      <c r="P4" s="115">
        <v>29</v>
      </c>
      <c r="Q4" s="99">
        <v>54000</v>
      </c>
    </row>
    <row r="5" spans="1:17" x14ac:dyDescent="0.45">
      <c r="A5" s="51" t="s">
        <v>7</v>
      </c>
      <c r="B5" s="160">
        <f>IF(B$2=0,0,B$4/B$2)</f>
        <v>-3.0218749999999992</v>
      </c>
      <c r="C5" s="161"/>
      <c r="E5" s="59" t="s">
        <v>166</v>
      </c>
      <c r="F5" s="56" t="s">
        <v>167</v>
      </c>
      <c r="G5" s="44">
        <v>31</v>
      </c>
      <c r="H5" s="129">
        <f>IF(B$15=0,0,G5/B$15)</f>
        <v>0.40259740259740262</v>
      </c>
      <c r="I5" s="90">
        <v>6</v>
      </c>
      <c r="K5" s="36">
        <v>3</v>
      </c>
      <c r="L5" s="95">
        <v>76</v>
      </c>
      <c r="N5" s="111" t="s">
        <v>133</v>
      </c>
      <c r="O5" s="118">
        <f t="shared" si="0"/>
        <v>-2503.4482758620688</v>
      </c>
      <c r="P5" s="115">
        <v>29</v>
      </c>
      <c r="Q5" s="99">
        <v>-72600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29</v>
      </c>
      <c r="H6" s="129">
        <f>IF(B$15=0,0,G6/B$15)</f>
        <v>0.37662337662337664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3992.3076923076924</v>
      </c>
      <c r="P6" s="115">
        <v>26</v>
      </c>
      <c r="Q6" s="99">
        <v>103800</v>
      </c>
    </row>
    <row r="7" spans="1:17" x14ac:dyDescent="0.45">
      <c r="A7" s="51" t="s">
        <v>2</v>
      </c>
      <c r="B7" s="44">
        <v>12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17</v>
      </c>
      <c r="H7" s="129">
        <f>IF(B$15=0,0,G7/B$15)</f>
        <v>0.22077922077922077</v>
      </c>
      <c r="I7" s="90">
        <v>11</v>
      </c>
      <c r="K7" s="36">
        <v>5</v>
      </c>
      <c r="L7" s="95">
        <v>127.9</v>
      </c>
      <c r="N7" s="112" t="s">
        <v>135</v>
      </c>
      <c r="O7" s="119">
        <f t="shared" si="0"/>
        <v>772.72727272727275</v>
      </c>
      <c r="P7" s="116">
        <v>22</v>
      </c>
      <c r="Q7" s="100">
        <v>17000</v>
      </c>
    </row>
    <row r="8" spans="1:17" x14ac:dyDescent="0.45">
      <c r="A8" s="51" t="s">
        <v>3</v>
      </c>
      <c r="B8" s="44">
        <v>8</v>
      </c>
      <c r="C8" s="37">
        <f t="shared" si="1"/>
        <v>0.25</v>
      </c>
      <c r="E8" s="59" t="s">
        <v>69</v>
      </c>
      <c r="F8" s="56" t="s">
        <v>24</v>
      </c>
      <c r="G8" s="44">
        <v>16</v>
      </c>
      <c r="H8" s="129">
        <f>IF(B$15=0,0,G8/B$15)</f>
        <v>0.20779220779220781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12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0.11688311688311688</v>
      </c>
      <c r="I9" s="90">
        <v>6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0.15625</v>
      </c>
      <c r="E10" s="59" t="s">
        <v>70</v>
      </c>
      <c r="F10" s="56" t="s">
        <v>25</v>
      </c>
      <c r="G10" s="44">
        <v>8</v>
      </c>
      <c r="H10" s="129">
        <f>IF(B$15=0,0,G10/B$15)</f>
        <v>0.1038961038961039</v>
      </c>
      <c r="I10" s="90">
        <v>7</v>
      </c>
      <c r="K10" s="36">
        <v>8</v>
      </c>
      <c r="L10" s="95">
        <v>124.6</v>
      </c>
      <c r="N10" s="110" t="s">
        <v>157</v>
      </c>
      <c r="O10" s="120">
        <f>IF(P10=0,0,Q10/P10)</f>
        <v>-6.4916666666666671</v>
      </c>
      <c r="P10" s="114">
        <v>12</v>
      </c>
      <c r="Q10" s="102">
        <v>-77.900000000000006</v>
      </c>
    </row>
    <row r="11" spans="1:17" x14ac:dyDescent="0.45">
      <c r="A11" s="54" t="s">
        <v>121</v>
      </c>
      <c r="B11" s="47">
        <v>83</v>
      </c>
      <c r="C11" s="42">
        <f>IF(B$3=0,0,B11/B$3)</f>
        <v>0.27852348993288589</v>
      </c>
      <c r="E11" s="59" t="s">
        <v>89</v>
      </c>
      <c r="F11" s="56" t="s">
        <v>44</v>
      </c>
      <c r="G11" s="44">
        <v>7</v>
      </c>
      <c r="H11" s="129">
        <f>IF(B$15=0,0,G11/B$15)</f>
        <v>9.0909090909090912E-2</v>
      </c>
      <c r="I11" s="90">
        <v>11</v>
      </c>
      <c r="K11" s="36">
        <v>9</v>
      </c>
      <c r="L11" s="95">
        <v>141.5</v>
      </c>
      <c r="N11" s="111" t="s">
        <v>158</v>
      </c>
      <c r="O11" s="121">
        <f>IF(P11=0,0,Q11/P11)</f>
        <v>-7.6800000000000015</v>
      </c>
      <c r="P11" s="115">
        <v>10</v>
      </c>
      <c r="Q11" s="103">
        <v>-76.800000000000011</v>
      </c>
    </row>
    <row r="12" spans="1:17" x14ac:dyDescent="0.45">
      <c r="A12" s="51" t="s">
        <v>118</v>
      </c>
      <c r="B12" s="44">
        <v>48</v>
      </c>
      <c r="C12" s="37">
        <f>IF(B$3=0,0,B12/B$3)</f>
        <v>0.16107382550335569</v>
      </c>
      <c r="E12" s="59" t="s">
        <v>71</v>
      </c>
      <c r="F12" s="56" t="s">
        <v>26</v>
      </c>
      <c r="G12" s="44">
        <v>6</v>
      </c>
      <c r="H12" s="129">
        <f>IF(B$15=0,0,G12/B$15)</f>
        <v>7.792207792207792E-2</v>
      </c>
      <c r="I12" s="90">
        <v>8</v>
      </c>
      <c r="K12" s="36">
        <v>10</v>
      </c>
      <c r="L12" s="95">
        <v>162.80000000000001</v>
      </c>
      <c r="N12" s="112" t="s">
        <v>159</v>
      </c>
      <c r="O12" s="122">
        <f>IF(P12=0,0,Q12/P12)</f>
        <v>5.8</v>
      </c>
      <c r="P12" s="116">
        <v>10</v>
      </c>
      <c r="Q12" s="104">
        <v>58</v>
      </c>
    </row>
    <row r="13" spans="1:17" x14ac:dyDescent="0.45">
      <c r="A13" s="50" t="s">
        <v>123</v>
      </c>
      <c r="B13" s="43">
        <f>B19</f>
        <v>47</v>
      </c>
      <c r="C13" s="35">
        <f>IF(B$11=0,0,B13/B$11)</f>
        <v>0.5662650602409639</v>
      </c>
      <c r="E13" s="59" t="s">
        <v>78</v>
      </c>
      <c r="F13" s="56" t="s">
        <v>33</v>
      </c>
      <c r="G13" s="44">
        <v>5</v>
      </c>
      <c r="H13" s="129">
        <f>IF(B$15=0,0,G13/B$15)</f>
        <v>6.4935064935064929E-2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15</v>
      </c>
      <c r="C14" s="35">
        <f>IF(B$12=0,0,B14/B$12)</f>
        <v>0.3125</v>
      </c>
      <c r="E14" s="59" t="s">
        <v>86</v>
      </c>
      <c r="F14" s="56" t="s">
        <v>41</v>
      </c>
      <c r="G14" s="44">
        <v>4</v>
      </c>
      <c r="H14" s="129">
        <f>IF(B$15=0,0,G14/B$15)</f>
        <v>5.1948051948051951E-2</v>
      </c>
      <c r="I14" s="90">
        <v>5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77</v>
      </c>
      <c r="C15" s="35">
        <f>IF(B$3=0,0,B15/B$3)</f>
        <v>0.25838926174496646</v>
      </c>
      <c r="E15" s="59" t="s">
        <v>83</v>
      </c>
      <c r="F15" s="56" t="s">
        <v>38</v>
      </c>
      <c r="G15" s="44">
        <v>2</v>
      </c>
      <c r="H15" s="129">
        <f>IF(B$15=0,0,G15/B$15)</f>
        <v>2.5974025974025976E-2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56.614285714285721</v>
      </c>
      <c r="P15" s="114">
        <v>7</v>
      </c>
      <c r="Q15" s="102">
        <v>396.30000000000007</v>
      </c>
    </row>
    <row r="16" spans="1:17" x14ac:dyDescent="0.45">
      <c r="A16" s="51" t="s">
        <v>13</v>
      </c>
      <c r="B16" s="44">
        <v>50</v>
      </c>
      <c r="C16" s="37">
        <f>IF(B$3=0,0,B16/B$3)</f>
        <v>0.16778523489932887</v>
      </c>
      <c r="E16" s="59" t="s">
        <v>75</v>
      </c>
      <c r="F16" s="56" t="s">
        <v>30</v>
      </c>
      <c r="G16" s="44">
        <v>1</v>
      </c>
      <c r="H16" s="129">
        <f>IF(B$15=0,0,G16/B$15)</f>
        <v>1.2987012987012988E-2</v>
      </c>
      <c r="I16" s="90">
        <v>2</v>
      </c>
      <c r="K16" s="36">
        <v>14</v>
      </c>
      <c r="L16" s="95">
        <v>49.900000000000006</v>
      </c>
      <c r="N16" s="111" t="s">
        <v>172</v>
      </c>
      <c r="O16" s="121">
        <f t="shared" si="2"/>
        <v>1.8909090909090909</v>
      </c>
      <c r="P16" s="115">
        <v>11</v>
      </c>
      <c r="Q16" s="103">
        <v>20.8</v>
      </c>
    </row>
    <row r="17" spans="1:17" x14ac:dyDescent="0.45">
      <c r="A17" s="51" t="s">
        <v>12</v>
      </c>
      <c r="B17" s="44">
        <v>45</v>
      </c>
      <c r="C17" s="37">
        <f>IF(B$15=0,0,B17/B$15)</f>
        <v>0.58441558441558439</v>
      </c>
      <c r="E17" s="59" t="s">
        <v>81</v>
      </c>
      <c r="F17" s="56" t="s">
        <v>36</v>
      </c>
      <c r="G17" s="44">
        <v>1</v>
      </c>
      <c r="H17" s="129">
        <f>IF(B$15=0,0,G17/B$15)</f>
        <v>1.2987012987012988E-2</v>
      </c>
      <c r="I17" s="90">
        <v>10</v>
      </c>
      <c r="K17" s="36">
        <v>15</v>
      </c>
      <c r="L17" s="95">
        <v>73.7</v>
      </c>
      <c r="N17" s="111" t="s">
        <v>200</v>
      </c>
      <c r="O17" s="121">
        <f t="shared" si="2"/>
        <v>0.16666666666666785</v>
      </c>
      <c r="P17" s="115">
        <v>3</v>
      </c>
      <c r="Q17" s="103">
        <v>0.50000000000000355</v>
      </c>
    </row>
    <row r="18" spans="1:17" x14ac:dyDescent="0.45">
      <c r="A18" s="51" t="s">
        <v>11</v>
      </c>
      <c r="B18" s="44">
        <v>32</v>
      </c>
      <c r="C18" s="37">
        <f>IF(B$15=0,0,B18/B$15)</f>
        <v>0.41558441558441561</v>
      </c>
      <c r="E18" s="59" t="s">
        <v>85</v>
      </c>
      <c r="F18" s="56" t="s">
        <v>40</v>
      </c>
      <c r="G18" s="44">
        <v>1</v>
      </c>
      <c r="H18" s="129">
        <f>IF(B$15=0,0,G18/B$15)</f>
        <v>1.2987012987012988E-2</v>
      </c>
      <c r="I18" s="90">
        <v>2</v>
      </c>
      <c r="K18" s="36">
        <v>16</v>
      </c>
      <c r="L18" s="95">
        <v>28.300000000000004</v>
      </c>
      <c r="N18" s="111" t="s">
        <v>170</v>
      </c>
      <c r="O18" s="121">
        <f t="shared" si="2"/>
        <v>-5.15</v>
      </c>
      <c r="P18" s="115">
        <v>10</v>
      </c>
      <c r="Q18" s="103">
        <v>-51.500000000000007</v>
      </c>
    </row>
    <row r="19" spans="1:17" x14ac:dyDescent="0.45">
      <c r="A19" s="51" t="s">
        <v>195</v>
      </c>
      <c r="B19" s="44">
        <v>47</v>
      </c>
      <c r="C19" s="37">
        <f>IF(B$15=0,0,B19/B$15)</f>
        <v>0.61038961038961037</v>
      </c>
      <c r="E19" s="59" t="s">
        <v>87</v>
      </c>
      <c r="F19" s="56" t="s">
        <v>42</v>
      </c>
      <c r="G19" s="44">
        <v>1</v>
      </c>
      <c r="H19" s="129">
        <f>IF(B$15=0,0,G19/B$15)</f>
        <v>1.2987012987012988E-2</v>
      </c>
      <c r="I19" s="90">
        <v>2</v>
      </c>
      <c r="K19" s="36">
        <v>17</v>
      </c>
      <c r="L19" s="95">
        <v>49.800000000000004</v>
      </c>
      <c r="N19" s="111" t="s">
        <v>171</v>
      </c>
      <c r="O19" s="121">
        <f t="shared" si="2"/>
        <v>-5.7000000000000011</v>
      </c>
      <c r="P19" s="115">
        <v>5</v>
      </c>
      <c r="Q19" s="103">
        <v>-28.500000000000004</v>
      </c>
    </row>
    <row r="20" spans="1:17" x14ac:dyDescent="0.45">
      <c r="A20" s="51" t="s">
        <v>193</v>
      </c>
      <c r="B20" s="44">
        <v>15</v>
      </c>
      <c r="C20" s="37">
        <f>IF(B$15=0,0,B20/B$15)</f>
        <v>0.19480519480519481</v>
      </c>
      <c r="E20" s="59" t="s">
        <v>162</v>
      </c>
      <c r="F20" s="56" t="s">
        <v>163</v>
      </c>
      <c r="G20" s="44">
        <v>1</v>
      </c>
      <c r="H20" s="129">
        <f>IF(B$15=0,0,G20/B$15)</f>
        <v>1.2987012987012988E-2</v>
      </c>
      <c r="I20" s="90">
        <v>6</v>
      </c>
      <c r="K20" s="36">
        <v>18</v>
      </c>
      <c r="L20" s="95">
        <v>24.700000000000003</v>
      </c>
      <c r="N20" s="111" t="s">
        <v>161</v>
      </c>
      <c r="O20" s="121">
        <f t="shared" si="2"/>
        <v>-7.4333333333333336</v>
      </c>
      <c r="P20" s="115">
        <v>6</v>
      </c>
      <c r="Q20" s="103">
        <v>-44.6</v>
      </c>
    </row>
    <row r="21" spans="1:17" x14ac:dyDescent="0.45">
      <c r="A21" s="51" t="s">
        <v>194</v>
      </c>
      <c r="B21" s="44">
        <v>15</v>
      </c>
      <c r="C21" s="37">
        <f>IF(B$15=0,0,B21/B$15)</f>
        <v>0.19480519480519481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6</v>
      </c>
      <c r="K21" s="36">
        <v>19</v>
      </c>
      <c r="L21" s="95">
        <v>8.7000000000000028</v>
      </c>
      <c r="N21" s="111" t="s">
        <v>232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8164.9350649350654</v>
      </c>
      <c r="C22" s="39">
        <v>628700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127</v>
      </c>
      <c r="O22" s="121">
        <f t="shared" si="2"/>
        <v>-21.862499999999997</v>
      </c>
      <c r="P22" s="115">
        <v>8</v>
      </c>
      <c r="Q22" s="103">
        <v>-174.89999999999998</v>
      </c>
    </row>
    <row r="23" spans="1:17" x14ac:dyDescent="0.45">
      <c r="A23" s="52" t="s">
        <v>177</v>
      </c>
      <c r="B23" s="136">
        <f>IF($B$15-B$14=0,0,C23/($B$15-B$14))</f>
        <v>8512.9032258064508</v>
      </c>
      <c r="C23" s="137">
        <v>527800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3</v>
      </c>
      <c r="K23" s="36">
        <v>21</v>
      </c>
      <c r="L23" s="95">
        <v>-35.4</v>
      </c>
      <c r="N23" s="111" t="s">
        <v>126</v>
      </c>
      <c r="O23" s="121">
        <f t="shared" si="2"/>
        <v>-31.041666666666675</v>
      </c>
      <c r="P23" s="115">
        <v>12</v>
      </c>
      <c r="Q23" s="103">
        <v>-372.50000000000011</v>
      </c>
    </row>
    <row r="24" spans="1:17" x14ac:dyDescent="0.45">
      <c r="A24" s="52" t="s">
        <v>178</v>
      </c>
      <c r="B24" s="136">
        <f>IF(B$14=0,0,C24/B$14)</f>
        <v>6726.666666666667</v>
      </c>
      <c r="C24" s="137">
        <v>100900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-7102</v>
      </c>
      <c r="C25" s="137">
        <v>-355100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11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8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-29.900000000000002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-76.5</v>
      </c>
    </row>
    <row r="30" spans="1:17" x14ac:dyDescent="0.45">
      <c r="A30" s="53" t="s">
        <v>139</v>
      </c>
      <c r="B30" s="61">
        <v>1</v>
      </c>
      <c r="C30" s="40">
        <f>IF(B$3=0,0,B30/B$3)</f>
        <v>3.3557046979865771E-3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-129.6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  <c r="K31" s="36">
        <v>29</v>
      </c>
      <c r="L31" s="95">
        <v>-128.79999999999998</v>
      </c>
    </row>
    <row r="32" spans="1:17" x14ac:dyDescent="0.45">
      <c r="A32" s="86" t="s">
        <v>183</v>
      </c>
      <c r="B32" s="144">
        <v>9</v>
      </c>
      <c r="C32" s="141">
        <f>IF(B$15=0,0,B32/B$15)</f>
        <v>0.11688311688311688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-106.39999999999998</v>
      </c>
    </row>
    <row r="33" spans="1:12" x14ac:dyDescent="0.45">
      <c r="A33" s="51" t="s">
        <v>179</v>
      </c>
      <c r="B33" s="44">
        <v>11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-77.399999999999977</v>
      </c>
    </row>
    <row r="34" spans="1:12" x14ac:dyDescent="0.45">
      <c r="A34" s="51" t="s">
        <v>180</v>
      </c>
      <c r="B34" s="145">
        <v>13</v>
      </c>
      <c r="C34" s="37">
        <f>IF(B$15=0,0,B34/B$15)</f>
        <v>0.16883116883116883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-96.699999999999974</v>
      </c>
    </row>
    <row r="35" spans="1:12" x14ac:dyDescent="0.45">
      <c r="A35" s="51" t="s">
        <v>181</v>
      </c>
      <c r="B35" s="145">
        <v>10</v>
      </c>
      <c r="C35" s="37">
        <f t="shared" si="3"/>
        <v>0.12987012987012986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</row>
    <row r="36" spans="1:12" x14ac:dyDescent="0.45">
      <c r="A36" s="51" t="s">
        <v>182</v>
      </c>
      <c r="B36" s="145">
        <v>13</v>
      </c>
      <c r="C36" s="37">
        <f t="shared" si="3"/>
        <v>0.16883116883116883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12" x14ac:dyDescent="0.45">
      <c r="A37" s="51" t="s">
        <v>184</v>
      </c>
      <c r="B37" s="145">
        <v>14</v>
      </c>
      <c r="C37" s="37">
        <f t="shared" si="3"/>
        <v>0.18181818181818182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12" x14ac:dyDescent="0.45">
      <c r="A38" s="51" t="s">
        <v>185</v>
      </c>
      <c r="B38" s="145">
        <v>4</v>
      </c>
      <c r="C38" s="37">
        <f t="shared" si="3"/>
        <v>5.1948051948051951E-2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12" x14ac:dyDescent="0.45">
      <c r="A39" s="51" t="s">
        <v>186</v>
      </c>
      <c r="B39" s="145">
        <v>2</v>
      </c>
      <c r="C39" s="37">
        <f t="shared" si="3"/>
        <v>2.5974025974025976E-2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12" x14ac:dyDescent="0.45">
      <c r="A41" s="51" t="s">
        <v>188</v>
      </c>
      <c r="B41" s="145">
        <v>1</v>
      </c>
      <c r="C41" s="37">
        <f t="shared" si="3"/>
        <v>1.2987012987012988E-2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A7BED-B122-494C-92C9-0BCCC475BE7F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232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6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3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6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3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82749-E9DE-4D9E-85EB-32C5B64A6609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256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3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8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4D33A-E401-4116-82A5-03277825EB93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18</v>
      </c>
      <c r="C2" s="155"/>
      <c r="E2" s="58" t="s">
        <v>64</v>
      </c>
      <c r="F2" s="55" t="s">
        <v>20</v>
      </c>
      <c r="G2" s="43">
        <v>32</v>
      </c>
      <c r="H2" s="128">
        <f>IF(B$15=0,0,G2/B$15)</f>
        <v>0.59259259259259256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-2194.4444444444443</v>
      </c>
      <c r="P2" s="114">
        <v>18</v>
      </c>
      <c r="Q2" s="98">
        <v>-39500</v>
      </c>
    </row>
    <row r="3" spans="1:17" x14ac:dyDescent="0.45">
      <c r="A3" s="51" t="s">
        <v>8</v>
      </c>
      <c r="B3" s="156">
        <v>155</v>
      </c>
      <c r="C3" s="157"/>
      <c r="E3" s="59" t="s">
        <v>66</v>
      </c>
      <c r="F3" s="56" t="s">
        <v>22</v>
      </c>
      <c r="G3" s="44">
        <v>32</v>
      </c>
      <c r="H3" s="129">
        <f>IF(B$15=0,0,G3/B$15)</f>
        <v>0.59259259259259256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-188.88888888888889</v>
      </c>
      <c r="P3" s="115">
        <v>18</v>
      </c>
      <c r="Q3" s="99">
        <v>-3400</v>
      </c>
    </row>
    <row r="4" spans="1:17" x14ac:dyDescent="0.45">
      <c r="A4" s="51" t="s">
        <v>6</v>
      </c>
      <c r="B4" s="158">
        <v>-55.6</v>
      </c>
      <c r="C4" s="159"/>
      <c r="E4" s="59" t="s">
        <v>67</v>
      </c>
      <c r="F4" s="56" t="s">
        <v>23</v>
      </c>
      <c r="G4" s="44">
        <v>26</v>
      </c>
      <c r="H4" s="129">
        <f>IF(B$15=0,0,G4/B$15)</f>
        <v>0.48148148148148145</v>
      </c>
      <c r="I4" s="90">
        <v>2</v>
      </c>
      <c r="K4" s="36">
        <v>2</v>
      </c>
      <c r="L4" s="95">
        <v>27.8</v>
      </c>
      <c r="N4" s="111" t="s">
        <v>132</v>
      </c>
      <c r="O4" s="118">
        <f t="shared" si="0"/>
        <v>-2300</v>
      </c>
      <c r="P4" s="115">
        <v>18</v>
      </c>
      <c r="Q4" s="99">
        <v>-41400</v>
      </c>
    </row>
    <row r="5" spans="1:17" x14ac:dyDescent="0.45">
      <c r="A5" s="51" t="s">
        <v>7</v>
      </c>
      <c r="B5" s="160">
        <f>IF(B$2=0,0,B$4/B$2)</f>
        <v>-3.088888888888889</v>
      </c>
      <c r="C5" s="161"/>
      <c r="E5" s="59" t="s">
        <v>72</v>
      </c>
      <c r="F5" s="56" t="s">
        <v>27</v>
      </c>
      <c r="G5" s="44">
        <v>23</v>
      </c>
      <c r="H5" s="129">
        <f>IF(B$15=0,0,G5/B$15)</f>
        <v>0.42592592592592593</v>
      </c>
      <c r="I5" s="90">
        <v>11</v>
      </c>
      <c r="K5" s="36">
        <v>3</v>
      </c>
      <c r="L5" s="95">
        <v>20.399999999999999</v>
      </c>
      <c r="N5" s="111" t="s">
        <v>133</v>
      </c>
      <c r="O5" s="118">
        <f t="shared" si="0"/>
        <v>1650</v>
      </c>
      <c r="P5" s="115">
        <v>16</v>
      </c>
      <c r="Q5" s="99">
        <v>26400</v>
      </c>
    </row>
    <row r="6" spans="1:17" x14ac:dyDescent="0.45">
      <c r="A6" s="51" t="s">
        <v>1</v>
      </c>
      <c r="B6" s="150">
        <f>IF(B$2=0,0,(B$7*1+B$8*2+B$9*3)/B$2)</f>
        <v>2.0555555555555554</v>
      </c>
      <c r="C6" s="151"/>
      <c r="E6" s="59" t="s">
        <v>68</v>
      </c>
      <c r="F6" s="56" t="s">
        <v>12</v>
      </c>
      <c r="G6" s="44">
        <v>22</v>
      </c>
      <c r="H6" s="129">
        <f>IF(B$15=0,0,G6/B$15)</f>
        <v>0.40740740740740738</v>
      </c>
      <c r="I6" s="90">
        <v>2</v>
      </c>
      <c r="K6" s="36">
        <v>4</v>
      </c>
      <c r="L6" s="95">
        <v>53.1</v>
      </c>
      <c r="N6" s="111" t="s">
        <v>134</v>
      </c>
      <c r="O6" s="118">
        <f t="shared" si="0"/>
        <v>-1150</v>
      </c>
      <c r="P6" s="115">
        <v>14</v>
      </c>
      <c r="Q6" s="99">
        <v>-16100</v>
      </c>
    </row>
    <row r="7" spans="1:17" x14ac:dyDescent="0.45">
      <c r="A7" s="51" t="s">
        <v>2</v>
      </c>
      <c r="B7" s="44">
        <v>6</v>
      </c>
      <c r="C7" s="37">
        <f t="shared" ref="C7:C10" si="1">IF(B$2=0,0,B7/B$2)</f>
        <v>0.33333333333333331</v>
      </c>
      <c r="E7" s="59" t="s">
        <v>166</v>
      </c>
      <c r="F7" s="56" t="s">
        <v>167</v>
      </c>
      <c r="G7" s="44">
        <v>14</v>
      </c>
      <c r="H7" s="129">
        <f>IF(B$15=0,0,G7/B$15)</f>
        <v>0.25925925925925924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2558.3333333333335</v>
      </c>
      <c r="P7" s="116">
        <v>12</v>
      </c>
      <c r="Q7" s="100">
        <v>30700</v>
      </c>
    </row>
    <row r="8" spans="1:17" x14ac:dyDescent="0.45">
      <c r="A8" s="51" t="s">
        <v>3</v>
      </c>
      <c r="B8" s="44">
        <v>5</v>
      </c>
      <c r="C8" s="37">
        <f t="shared" si="1"/>
        <v>0.27777777777777779</v>
      </c>
      <c r="E8" s="59" t="s">
        <v>65</v>
      </c>
      <c r="F8" s="56" t="s">
        <v>21</v>
      </c>
      <c r="G8" s="44">
        <v>9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7</v>
      </c>
      <c r="C9" s="38">
        <f t="shared" si="1"/>
        <v>0.3888888888888889</v>
      </c>
      <c r="E9" s="59" t="s">
        <v>70</v>
      </c>
      <c r="F9" s="56" t="s">
        <v>25</v>
      </c>
      <c r="G9" s="44">
        <v>6</v>
      </c>
      <c r="H9" s="129">
        <f>IF(B$15=0,0,G9/B$15)</f>
        <v>0.1111111111111111</v>
      </c>
      <c r="I9" s="90">
        <v>6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0.16666666666666666</v>
      </c>
      <c r="E10" s="59" t="s">
        <v>69</v>
      </c>
      <c r="F10" s="56" t="s">
        <v>24</v>
      </c>
      <c r="G10" s="44">
        <v>5</v>
      </c>
      <c r="H10" s="129">
        <f>IF(B$15=0,0,G10/B$15)</f>
        <v>9.2592592592592587E-2</v>
      </c>
      <c r="I10" s="90">
        <v>11</v>
      </c>
      <c r="K10" s="36">
        <v>8</v>
      </c>
      <c r="L10" s="95">
        <v>41.3</v>
      </c>
      <c r="N10" s="110" t="s">
        <v>157</v>
      </c>
      <c r="O10" s="120">
        <f>IF(P10=0,0,Q10/P10)</f>
        <v>-13.719999999999999</v>
      </c>
      <c r="P10" s="114">
        <v>5</v>
      </c>
      <c r="Q10" s="102">
        <v>-68.599999999999994</v>
      </c>
    </row>
    <row r="11" spans="1:17" x14ac:dyDescent="0.45">
      <c r="A11" s="54" t="s">
        <v>121</v>
      </c>
      <c r="B11" s="47">
        <v>54</v>
      </c>
      <c r="C11" s="42">
        <f>IF(B$3=0,0,B11/B$3)</f>
        <v>0.34838709677419355</v>
      </c>
      <c r="E11" s="59" t="s">
        <v>89</v>
      </c>
      <c r="F11" s="56" t="s">
        <v>44</v>
      </c>
      <c r="G11" s="44">
        <v>3</v>
      </c>
      <c r="H11" s="129">
        <f>IF(B$15=0,0,G11/B$15)</f>
        <v>5.5555555555555552E-2</v>
      </c>
      <c r="I11" s="90">
        <v>13</v>
      </c>
      <c r="K11" s="36">
        <v>9</v>
      </c>
      <c r="L11" s="95">
        <v>79.699999999999989</v>
      </c>
      <c r="N11" s="111" t="s">
        <v>158</v>
      </c>
      <c r="O11" s="121">
        <f>IF(P11=0,0,Q11/P11)</f>
        <v>-1.9124999999999996</v>
      </c>
      <c r="P11" s="115">
        <v>8</v>
      </c>
      <c r="Q11" s="103">
        <v>-15.299999999999997</v>
      </c>
    </row>
    <row r="12" spans="1:17" x14ac:dyDescent="0.45">
      <c r="A12" s="51" t="s">
        <v>118</v>
      </c>
      <c r="B12" s="44">
        <v>19</v>
      </c>
      <c r="C12" s="37">
        <f>IF(B$3=0,0,B12/B$3)</f>
        <v>0.12258064516129032</v>
      </c>
      <c r="E12" s="59" t="s">
        <v>75</v>
      </c>
      <c r="F12" s="56" t="s">
        <v>30</v>
      </c>
      <c r="G12" s="44">
        <v>2</v>
      </c>
      <c r="H12" s="129">
        <f>IF(B$15=0,0,G12/B$15)</f>
        <v>3.7037037037037035E-2</v>
      </c>
      <c r="I12" s="90">
        <v>1</v>
      </c>
      <c r="K12" s="36">
        <v>10</v>
      </c>
      <c r="L12" s="95">
        <v>86.1</v>
      </c>
      <c r="N12" s="112" t="s">
        <v>159</v>
      </c>
      <c r="O12" s="122">
        <f>IF(P12=0,0,Q12/P12)</f>
        <v>5.6599999999999993</v>
      </c>
      <c r="P12" s="116">
        <v>5</v>
      </c>
      <c r="Q12" s="104">
        <v>28.299999999999997</v>
      </c>
    </row>
    <row r="13" spans="1:17" x14ac:dyDescent="0.45">
      <c r="A13" s="50" t="s">
        <v>123</v>
      </c>
      <c r="B13" s="43">
        <f>B19</f>
        <v>31</v>
      </c>
      <c r="C13" s="35">
        <f>IF(B$11=0,0,B13/B$11)</f>
        <v>0.57407407407407407</v>
      </c>
      <c r="E13" s="59" t="s">
        <v>79</v>
      </c>
      <c r="F13" s="56" t="s">
        <v>34</v>
      </c>
      <c r="G13" s="44">
        <v>2</v>
      </c>
      <c r="H13" s="129">
        <f>IF(B$15=0,0,G13/B$15)</f>
        <v>3.7037037037037035E-2</v>
      </c>
      <c r="I13" s="90">
        <v>2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</v>
      </c>
      <c r="C14" s="35">
        <f>IF(B$12=0,0,B14/B$12)</f>
        <v>0.68421052631578949</v>
      </c>
      <c r="E14" s="59" t="s">
        <v>83</v>
      </c>
      <c r="F14" s="56" t="s">
        <v>38</v>
      </c>
      <c r="G14" s="44">
        <v>2</v>
      </c>
      <c r="H14" s="129">
        <f>IF(B$15=0,0,G14/B$15)</f>
        <v>3.7037037037037035E-2</v>
      </c>
      <c r="I14" s="90">
        <v>10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54</v>
      </c>
      <c r="C15" s="35">
        <f>IF(B$3=0,0,B15/B$3)</f>
        <v>0.34838709677419355</v>
      </c>
      <c r="E15" s="59" t="s">
        <v>85</v>
      </c>
      <c r="F15" s="56" t="s">
        <v>40</v>
      </c>
      <c r="G15" s="44">
        <v>2</v>
      </c>
      <c r="H15" s="129">
        <f>IF(B$15=0,0,G15/B$15)</f>
        <v>3.7037037037037035E-2</v>
      </c>
      <c r="I15" s="90">
        <v>1</v>
      </c>
      <c r="K15" s="36">
        <v>13</v>
      </c>
      <c r="L15" s="95">
        <v>-47.6</v>
      </c>
      <c r="N15" s="110" t="s">
        <v>171</v>
      </c>
      <c r="O15" s="120">
        <f t="shared" ref="O15:O22" si="2">IF(P15=0,0,Q15/P15)</f>
        <v>32.325000000000003</v>
      </c>
      <c r="P15" s="114">
        <v>4</v>
      </c>
      <c r="Q15" s="102">
        <v>129.30000000000001</v>
      </c>
    </row>
    <row r="16" spans="1:17" x14ac:dyDescent="0.45">
      <c r="A16" s="51" t="s">
        <v>13</v>
      </c>
      <c r="B16" s="44">
        <v>25</v>
      </c>
      <c r="C16" s="37">
        <f>IF(B$3=0,0,B16/B$3)</f>
        <v>0.16129032258064516</v>
      </c>
      <c r="E16" s="59" t="s">
        <v>71</v>
      </c>
      <c r="F16" s="56" t="s">
        <v>26</v>
      </c>
      <c r="G16" s="44">
        <v>1</v>
      </c>
      <c r="H16" s="129">
        <f>IF(B$15=0,0,G16/B$15)</f>
        <v>1.8518518518518517E-2</v>
      </c>
      <c r="I16" s="90">
        <v>13</v>
      </c>
      <c r="K16" s="36">
        <v>14</v>
      </c>
      <c r="L16" s="95">
        <v>-55.5</v>
      </c>
      <c r="N16" s="111" t="s">
        <v>172</v>
      </c>
      <c r="O16" s="121">
        <f t="shared" si="2"/>
        <v>19.249999999999996</v>
      </c>
      <c r="P16" s="115">
        <v>4</v>
      </c>
      <c r="Q16" s="103">
        <v>76.999999999999986</v>
      </c>
    </row>
    <row r="17" spans="1:17" x14ac:dyDescent="0.45">
      <c r="A17" s="51" t="s">
        <v>12</v>
      </c>
      <c r="B17" s="44">
        <v>29</v>
      </c>
      <c r="C17" s="37">
        <f>IF(B$15=0,0,B17/B$15)</f>
        <v>0.53703703703703709</v>
      </c>
      <c r="E17" s="59" t="s">
        <v>86</v>
      </c>
      <c r="F17" s="56" t="s">
        <v>41</v>
      </c>
      <c r="G17" s="44">
        <v>1</v>
      </c>
      <c r="H17" s="129">
        <f>IF(B$15=0,0,G17/B$15)</f>
        <v>1.8518518518518517E-2</v>
      </c>
      <c r="I17" s="90">
        <v>11</v>
      </c>
      <c r="K17" s="36">
        <v>15</v>
      </c>
      <c r="L17" s="95">
        <v>-25.1</v>
      </c>
      <c r="N17" s="111" t="s">
        <v>197</v>
      </c>
      <c r="O17" s="121">
        <f t="shared" si="2"/>
        <v>12.000000000000002</v>
      </c>
      <c r="P17" s="115">
        <v>1</v>
      </c>
      <c r="Q17" s="103">
        <v>12.000000000000002</v>
      </c>
    </row>
    <row r="18" spans="1:17" x14ac:dyDescent="0.45">
      <c r="A18" s="51" t="s">
        <v>11</v>
      </c>
      <c r="B18" s="44">
        <v>25</v>
      </c>
      <c r="C18" s="37">
        <f>IF(B$15=0,0,B18/B$15)</f>
        <v>0.46296296296296297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6</v>
      </c>
      <c r="K18" s="36">
        <v>16</v>
      </c>
      <c r="L18" s="95">
        <v>-13.600000000000001</v>
      </c>
      <c r="N18" s="111" t="s">
        <v>170</v>
      </c>
      <c r="O18" s="121">
        <f t="shared" si="2"/>
        <v>2.910000000000001</v>
      </c>
      <c r="P18" s="115">
        <v>10</v>
      </c>
      <c r="Q18" s="103">
        <v>29.100000000000009</v>
      </c>
    </row>
    <row r="19" spans="1:17" x14ac:dyDescent="0.45">
      <c r="A19" s="51" t="s">
        <v>195</v>
      </c>
      <c r="B19" s="44">
        <v>31</v>
      </c>
      <c r="C19" s="37">
        <f>IF(B$15=0,0,B19/B$15)</f>
        <v>0.57407407407407407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K19" s="36">
        <v>17</v>
      </c>
      <c r="L19" s="95">
        <v>-30.700000000000003</v>
      </c>
      <c r="N19" s="111" t="s">
        <v>127</v>
      </c>
      <c r="O19" s="121">
        <f t="shared" si="2"/>
        <v>2.8600000000000012</v>
      </c>
      <c r="P19" s="115">
        <v>5</v>
      </c>
      <c r="Q19" s="103">
        <v>14.300000000000006</v>
      </c>
    </row>
    <row r="20" spans="1:17" x14ac:dyDescent="0.45">
      <c r="A20" s="51" t="s">
        <v>193</v>
      </c>
      <c r="B20" s="44">
        <v>13</v>
      </c>
      <c r="C20" s="37">
        <f>IF(B$15=0,0,B20/B$15)</f>
        <v>0.24074074074074073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3</v>
      </c>
      <c r="K20" s="36">
        <v>18</v>
      </c>
      <c r="L20" s="95">
        <v>-55.6</v>
      </c>
      <c r="N20" s="111" t="s">
        <v>196</v>
      </c>
      <c r="O20" s="121">
        <f t="shared" si="2"/>
        <v>-0.16666666666666882</v>
      </c>
      <c r="P20" s="115">
        <v>3</v>
      </c>
      <c r="Q20" s="103">
        <v>-0.50000000000000644</v>
      </c>
    </row>
    <row r="21" spans="1:17" x14ac:dyDescent="0.45">
      <c r="A21" s="51" t="s">
        <v>194</v>
      </c>
      <c r="B21" s="44">
        <v>10</v>
      </c>
      <c r="C21" s="37">
        <f>IF(B$15=0,0,B21/B$15)</f>
        <v>0.18518518518518517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-42.716666666666669</v>
      </c>
      <c r="P21" s="115">
        <v>6</v>
      </c>
      <c r="Q21" s="103">
        <v>-256.3</v>
      </c>
    </row>
    <row r="22" spans="1:17" x14ac:dyDescent="0.45">
      <c r="A22" s="51" t="s">
        <v>5</v>
      </c>
      <c r="B22" s="48">
        <f>IF(B$15=0,0,C22/B$15)</f>
        <v>6648.1481481481478</v>
      </c>
      <c r="C22" s="39">
        <v>359000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7278.0487804878048</v>
      </c>
      <c r="C23" s="137">
        <v>298400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4661.5384615384619</v>
      </c>
      <c r="C24" s="137">
        <v>60600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-8220</v>
      </c>
      <c r="C25" s="137">
        <v>-205500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7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2</v>
      </c>
      <c r="C30" s="40">
        <f>IF(B$3=0,0,B30/B$3)</f>
        <v>1.2903225806451613E-2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6</v>
      </c>
      <c r="C32" s="141">
        <f>IF(B$15=0,0,B32/B$15)</f>
        <v>0.1111111111111111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15</v>
      </c>
      <c r="C33" s="37">
        <f t="shared" ref="C33:C44" si="3">IF(B$15=0,0,B33/B$15)</f>
        <v>0.27777777777777779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8</v>
      </c>
      <c r="C34" s="37">
        <f>IF(B$15=0,0,B34/B$15)</f>
        <v>0.14814814814814814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9</v>
      </c>
      <c r="C35" s="37">
        <f t="shared" si="3"/>
        <v>0.16666666666666666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9</v>
      </c>
      <c r="C36" s="37">
        <f t="shared" si="3"/>
        <v>0.16666666666666666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3"/>
        <v>3.7037037037037035E-2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3</v>
      </c>
      <c r="C38" s="37">
        <f t="shared" si="3"/>
        <v>5.5555555555555552E-2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3"/>
        <v>1.8518518518518517E-2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1</v>
      </c>
      <c r="C41" s="37">
        <f t="shared" si="3"/>
        <v>1.8518518518518517E-2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1E27C-F293-482E-8E3F-470A726F8ADA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410</v>
      </c>
      <c r="P2" s="114">
        <v>10</v>
      </c>
      <c r="Q2" s="98">
        <v>4100</v>
      </c>
    </row>
    <row r="3" spans="1:17" x14ac:dyDescent="0.45">
      <c r="A3" s="51" t="s">
        <v>8</v>
      </c>
      <c r="B3" s="156">
        <v>78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-2890</v>
      </c>
      <c r="P3" s="115">
        <v>10</v>
      </c>
      <c r="Q3" s="99">
        <v>-28900</v>
      </c>
    </row>
    <row r="4" spans="1:17" x14ac:dyDescent="0.45">
      <c r="A4" s="51" t="s">
        <v>6</v>
      </c>
      <c r="B4" s="158">
        <v>9.2999999999999972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0.92999999999999972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2</v>
      </c>
      <c r="C10" s="40">
        <f t="shared" si="1"/>
        <v>0.2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-37.93333333333333</v>
      </c>
      <c r="P10" s="114">
        <v>3</v>
      </c>
      <c r="Q10" s="102">
        <v>-113.8</v>
      </c>
    </row>
    <row r="11" spans="1:17" x14ac:dyDescent="0.45">
      <c r="A11" s="54" t="s">
        <v>121</v>
      </c>
      <c r="B11" s="47">
        <v>30</v>
      </c>
      <c r="C11" s="42">
        <f>IF(B$3=0,0,B11/B$3)</f>
        <v>0.38461538461538464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K11" s="36">
        <v>9</v>
      </c>
      <c r="L11" s="95">
        <v>54.5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13</v>
      </c>
      <c r="C12" s="37">
        <f>IF(B$3=0,0,B12/B$3)</f>
        <v>0.16666666666666666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K12" s="36">
        <v>10</v>
      </c>
      <c r="L12" s="95">
        <v>9.2999999999999972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0.6333333333333333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0.38461538461538464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0.33333333333333331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301</v>
      </c>
      <c r="O15" s="120">
        <f t="shared" ref="O15:O20" si="2"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19</v>
      </c>
      <c r="C16" s="37">
        <f>IF(B$3=0,0,B16/B$3)</f>
        <v>0.24358974358974358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 t="shared" si="2"/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 t="shared" si="2"/>
        <v>1.0625</v>
      </c>
      <c r="P17" s="115">
        <v>8</v>
      </c>
      <c r="Q17" s="103">
        <v>8.5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3</v>
      </c>
      <c r="N18" s="111" t="s">
        <v>171</v>
      </c>
      <c r="O18" s="121">
        <f t="shared" si="2"/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 t="shared" si="2"/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  <c r="N20" s="111" t="s">
        <v>170</v>
      </c>
      <c r="O20" s="121">
        <f t="shared" si="2"/>
        <v>-90.449999999999989</v>
      </c>
      <c r="P20" s="115">
        <v>2</v>
      </c>
      <c r="Q20" s="103">
        <v>-180.89999999999998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-10010.526315789473</v>
      </c>
      <c r="C25" s="137">
        <v>-190200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11</v>
      </c>
      <c r="C27" s="131">
        <v>0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1</v>
      </c>
      <c r="C35" s="37">
        <f t="shared" si="3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3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3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3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3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2AC5E-30FC-499D-B3DA-38C54240F4BC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301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5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201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3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A76D-F6FD-4FD2-834E-D999D16C28B5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301</v>
      </c>
      <c r="B1" s="66" t="s">
        <v>301</v>
      </c>
      <c r="C1" s="66" t="s">
        <v>301</v>
      </c>
      <c r="D1" s="67" t="s">
        <v>301</v>
      </c>
      <c r="E1" s="66" t="s">
        <v>301</v>
      </c>
      <c r="F1" s="66" t="s">
        <v>301</v>
      </c>
      <c r="G1" s="66" t="s">
        <v>301</v>
      </c>
      <c r="H1" s="66" t="s">
        <v>301</v>
      </c>
      <c r="I1" s="66" t="s">
        <v>301</v>
      </c>
      <c r="J1" s="66" t="s">
        <v>301</v>
      </c>
      <c r="K1" s="66" t="s">
        <v>301</v>
      </c>
      <c r="L1" s="66" t="s">
        <v>301</v>
      </c>
      <c r="M1" s="66" t="s">
        <v>301</v>
      </c>
      <c r="N1" s="66" t="s">
        <v>301</v>
      </c>
      <c r="O1" s="66" t="s">
        <v>301</v>
      </c>
      <c r="P1" s="66" t="s">
        <v>301</v>
      </c>
      <c r="Q1" s="66" t="s">
        <v>301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9690-C3BC-4DAA-9067-2F4CC2F1F169}">
  <sheetPr codeName="Sheet30"/>
  <dimension ref="A1:Q1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  <row r="12" spans="1:17" x14ac:dyDescent="0.45">
      <c r="A12" s="65">
        <v>9</v>
      </c>
      <c r="B12" s="62">
        <v>54.5</v>
      </c>
      <c r="C12" s="62">
        <v>6.0555555555555554</v>
      </c>
      <c r="D12" s="67">
        <v>1.8888888888888888</v>
      </c>
      <c r="E12" s="63">
        <v>0.55555555555555558</v>
      </c>
      <c r="F12" s="63">
        <v>0.44444444444444442</v>
      </c>
      <c r="G12" s="63">
        <v>0.3611111111111111</v>
      </c>
      <c r="H12" s="63">
        <v>0.2361111111111111</v>
      </c>
      <c r="I12" s="64">
        <v>9534.6153846153848</v>
      </c>
      <c r="J12" s="64">
        <v>-9823.5294117647063</v>
      </c>
      <c r="K12" s="63">
        <v>0.1111111111111111</v>
      </c>
      <c r="L12" s="63">
        <v>0.3888888888888889</v>
      </c>
      <c r="M12" s="63">
        <v>0.16666666666666666</v>
      </c>
      <c r="N12" s="63">
        <v>0.6785714285714286</v>
      </c>
      <c r="O12" s="63">
        <v>0.41666666666666669</v>
      </c>
      <c r="P12" s="63">
        <v>0.46153846153846156</v>
      </c>
    </row>
    <row r="13" spans="1:17" x14ac:dyDescent="0.45">
      <c r="A13" s="65">
        <v>10</v>
      </c>
      <c r="B13" s="62">
        <v>9.2999999999999972</v>
      </c>
      <c r="C13" s="62">
        <v>0.92999999999999972</v>
      </c>
      <c r="D13" s="67">
        <v>2</v>
      </c>
      <c r="E13" s="63">
        <v>0.5</v>
      </c>
      <c r="F13" s="63">
        <v>0.5</v>
      </c>
      <c r="G13" s="63">
        <v>0.33333333333333331</v>
      </c>
      <c r="H13" s="63">
        <v>0.24358974358974358</v>
      </c>
      <c r="I13" s="64">
        <v>9534.6153846153848</v>
      </c>
      <c r="J13" s="64">
        <v>-10010.526315789473</v>
      </c>
      <c r="K13" s="63">
        <v>0.2</v>
      </c>
      <c r="L13" s="63">
        <v>0.38461538461538464</v>
      </c>
      <c r="M13" s="63">
        <v>0.16666666666666666</v>
      </c>
      <c r="N13" s="63">
        <v>0.6333333333333333</v>
      </c>
      <c r="O13" s="63">
        <v>0.38461538461538464</v>
      </c>
      <c r="P13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AE98C-DAE0-49B3-8E0C-084EDE8288EE}">
  <sheetPr codeName="Sheet28"/>
  <dimension ref="A1:Q2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200</v>
      </c>
      <c r="B1" s="66" t="s">
        <v>200</v>
      </c>
      <c r="C1" s="66" t="s">
        <v>200</v>
      </c>
      <c r="D1" s="67" t="s">
        <v>200</v>
      </c>
      <c r="E1" s="66" t="s">
        <v>200</v>
      </c>
      <c r="F1" s="66" t="s">
        <v>200</v>
      </c>
      <c r="G1" s="66" t="s">
        <v>200</v>
      </c>
      <c r="H1" s="66" t="s">
        <v>200</v>
      </c>
      <c r="I1" s="66" t="s">
        <v>200</v>
      </c>
      <c r="J1" s="66" t="s">
        <v>200</v>
      </c>
      <c r="K1" s="66" t="s">
        <v>200</v>
      </c>
      <c r="L1" s="66" t="s">
        <v>200</v>
      </c>
      <c r="M1" s="66" t="s">
        <v>200</v>
      </c>
      <c r="N1" s="66" t="s">
        <v>200</v>
      </c>
      <c r="O1" s="66" t="s">
        <v>200</v>
      </c>
      <c r="P1" s="66" t="s">
        <v>200</v>
      </c>
      <c r="Q1" s="66" t="s">
        <v>200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  <row r="17" spans="1:16" x14ac:dyDescent="0.45">
      <c r="A17" s="65">
        <v>14</v>
      </c>
      <c r="B17" s="62">
        <v>-55.5</v>
      </c>
      <c r="C17" s="62">
        <v>-3.9642857142857144</v>
      </c>
      <c r="D17" s="67">
        <v>2</v>
      </c>
      <c r="E17" s="63">
        <v>0.35714285714285715</v>
      </c>
      <c r="F17" s="63">
        <v>0.35714285714285715</v>
      </c>
      <c r="G17" s="63">
        <v>0.34920634920634919</v>
      </c>
      <c r="H17" s="63">
        <v>0.16666666666666666</v>
      </c>
      <c r="I17" s="64">
        <v>6534.090909090909</v>
      </c>
      <c r="J17" s="64">
        <v>-8195.2380952380954</v>
      </c>
      <c r="K17" s="63">
        <v>0.21428571428571427</v>
      </c>
      <c r="L17" s="63">
        <v>0.30952380952380953</v>
      </c>
      <c r="M17" s="63">
        <v>0.12698412698412698</v>
      </c>
      <c r="N17" s="63">
        <v>0.58974358974358976</v>
      </c>
      <c r="O17" s="63">
        <v>0.75</v>
      </c>
      <c r="P17" s="63">
        <v>0.52272727272727271</v>
      </c>
    </row>
    <row r="18" spans="1:16" x14ac:dyDescent="0.45">
      <c r="A18" s="65">
        <v>15</v>
      </c>
      <c r="B18" s="62">
        <v>-25.1</v>
      </c>
      <c r="C18" s="62">
        <v>-1.6733333333333333</v>
      </c>
      <c r="D18" s="67">
        <v>1.9333333333333333</v>
      </c>
      <c r="E18" s="63">
        <v>0.4</v>
      </c>
      <c r="F18" s="63">
        <v>0.33333333333333331</v>
      </c>
      <c r="G18" s="63">
        <v>0.35338345864661652</v>
      </c>
      <c r="H18" s="63">
        <v>0.16541353383458646</v>
      </c>
      <c r="I18" s="64">
        <v>6710.6382978723404</v>
      </c>
      <c r="J18" s="64">
        <v>-8368.181818181818</v>
      </c>
      <c r="K18" s="63">
        <v>0.2</v>
      </c>
      <c r="L18" s="63">
        <v>0.33834586466165412</v>
      </c>
      <c r="M18" s="63">
        <v>0.12030075187969924</v>
      </c>
      <c r="N18" s="63">
        <v>0.57777777777777772</v>
      </c>
      <c r="O18" s="63">
        <v>0.75</v>
      </c>
      <c r="P18" s="63">
        <v>0.48936170212765956</v>
      </c>
    </row>
    <row r="19" spans="1:16" x14ac:dyDescent="0.45">
      <c r="A19" s="65">
        <v>16</v>
      </c>
      <c r="B19" s="62">
        <v>-13.600000000000001</v>
      </c>
      <c r="C19" s="62">
        <v>-0.85000000000000009</v>
      </c>
      <c r="D19" s="67">
        <v>1.9375</v>
      </c>
      <c r="E19" s="63">
        <v>0.375</v>
      </c>
      <c r="F19" s="63">
        <v>0.3125</v>
      </c>
      <c r="G19" s="63">
        <v>0.35766423357664234</v>
      </c>
      <c r="H19" s="63">
        <v>0.16058394160583941</v>
      </c>
      <c r="I19" s="64">
        <v>6679.591836734694</v>
      </c>
      <c r="J19" s="64">
        <v>-8368.181818181818</v>
      </c>
      <c r="K19" s="63">
        <v>0.1875</v>
      </c>
      <c r="L19" s="63">
        <v>0.34306569343065696</v>
      </c>
      <c r="M19" s="63">
        <v>0.11678832116788321</v>
      </c>
      <c r="N19" s="63">
        <v>0.5957446808510638</v>
      </c>
      <c r="O19" s="63">
        <v>0.75</v>
      </c>
      <c r="P19" s="63">
        <v>0.48979591836734693</v>
      </c>
    </row>
    <row r="20" spans="1:16" x14ac:dyDescent="0.45">
      <c r="A20" s="65">
        <v>17</v>
      </c>
      <c r="B20" s="62">
        <v>-30.700000000000003</v>
      </c>
      <c r="C20" s="62">
        <v>-1.8058823529411767</v>
      </c>
      <c r="D20" s="67">
        <v>2</v>
      </c>
      <c r="E20" s="63">
        <v>0.35294117647058826</v>
      </c>
      <c r="F20" s="63">
        <v>0.35294117647058826</v>
      </c>
      <c r="G20" s="63">
        <v>0.35616438356164382</v>
      </c>
      <c r="H20" s="63">
        <v>0.16438356164383561</v>
      </c>
      <c r="I20" s="64">
        <v>6555.7692307692305</v>
      </c>
      <c r="J20" s="64">
        <v>-7895.833333333333</v>
      </c>
      <c r="K20" s="63">
        <v>0.17647058823529413</v>
      </c>
      <c r="L20" s="63">
        <v>0.34931506849315069</v>
      </c>
      <c r="M20" s="63">
        <v>0.11643835616438356</v>
      </c>
      <c r="N20" s="63">
        <v>0.58823529411764708</v>
      </c>
      <c r="O20" s="63">
        <v>0.76470588235294112</v>
      </c>
      <c r="P20" s="63">
        <v>0.51923076923076927</v>
      </c>
    </row>
    <row r="21" spans="1:16" x14ac:dyDescent="0.45">
      <c r="A21" s="65">
        <v>18</v>
      </c>
      <c r="B21" s="62">
        <v>-55.6</v>
      </c>
      <c r="C21" s="62">
        <v>-3.088888888888889</v>
      </c>
      <c r="D21" s="67">
        <v>2.0555555555555554</v>
      </c>
      <c r="E21" s="63">
        <v>0.33333333333333331</v>
      </c>
      <c r="F21" s="63">
        <v>0.3888888888888889</v>
      </c>
      <c r="G21" s="63">
        <v>0.34838709677419355</v>
      </c>
      <c r="H21" s="63">
        <v>0.16129032258064516</v>
      </c>
      <c r="I21" s="64">
        <v>6648.1481481481478</v>
      </c>
      <c r="J21" s="64">
        <v>-8220</v>
      </c>
      <c r="K21" s="63">
        <v>0.16666666666666666</v>
      </c>
      <c r="L21" s="63">
        <v>0.34838709677419355</v>
      </c>
      <c r="M21" s="63">
        <v>0.12258064516129032</v>
      </c>
      <c r="N21" s="63">
        <v>0.57407407407407407</v>
      </c>
      <c r="O21" s="63">
        <v>0.68421052631578949</v>
      </c>
      <c r="P21" s="6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F627-9906-4332-9E3E-75DDA5298233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256</v>
      </c>
      <c r="B1" s="66" t="s">
        <v>256</v>
      </c>
      <c r="C1" s="66" t="s">
        <v>256</v>
      </c>
      <c r="D1" s="67" t="s">
        <v>256</v>
      </c>
      <c r="E1" s="66" t="s">
        <v>256</v>
      </c>
      <c r="F1" s="66" t="s">
        <v>256</v>
      </c>
      <c r="G1" s="66" t="s">
        <v>256</v>
      </c>
      <c r="H1" s="66" t="s">
        <v>256</v>
      </c>
      <c r="I1" s="66" t="s">
        <v>256</v>
      </c>
      <c r="J1" s="66" t="s">
        <v>256</v>
      </c>
      <c r="K1" s="66" t="s">
        <v>256</v>
      </c>
      <c r="L1" s="66" t="s">
        <v>256</v>
      </c>
      <c r="M1" s="66" t="s">
        <v>256</v>
      </c>
      <c r="N1" s="66" t="s">
        <v>256</v>
      </c>
      <c r="O1" s="66" t="s">
        <v>256</v>
      </c>
      <c r="P1" s="66" t="s">
        <v>256</v>
      </c>
      <c r="Q1" s="66" t="s">
        <v>256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04750-E23B-4EE9-B4C5-F7328233CF2A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232</v>
      </c>
      <c r="B1" s="66" t="s">
        <v>232</v>
      </c>
      <c r="C1" s="66" t="s">
        <v>232</v>
      </c>
      <c r="D1" s="67" t="s">
        <v>232</v>
      </c>
      <c r="E1" s="66" t="s">
        <v>232</v>
      </c>
      <c r="F1" s="66" t="s">
        <v>232</v>
      </c>
      <c r="G1" s="66" t="s">
        <v>232</v>
      </c>
      <c r="H1" s="66" t="s">
        <v>232</v>
      </c>
      <c r="I1" s="66" t="s">
        <v>232</v>
      </c>
      <c r="J1" s="66" t="s">
        <v>232</v>
      </c>
      <c r="K1" s="66" t="s">
        <v>232</v>
      </c>
      <c r="L1" s="66" t="s">
        <v>232</v>
      </c>
      <c r="M1" s="66" t="s">
        <v>232</v>
      </c>
      <c r="N1" s="66" t="s">
        <v>232</v>
      </c>
      <c r="O1" s="66" t="s">
        <v>232</v>
      </c>
      <c r="P1" s="66" t="s">
        <v>232</v>
      </c>
      <c r="Q1" s="66" t="s">
        <v>232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863C2-38BB-4889-82CC-98FA58FF0F00}">
  <sheetPr codeName="Sheet22"/>
  <dimension ref="A1:Q3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  <row r="29" spans="1:16" x14ac:dyDescent="0.45">
      <c r="A29" s="65">
        <v>26</v>
      </c>
      <c r="B29" s="62">
        <v>-29.900000000000002</v>
      </c>
      <c r="C29" s="62">
        <v>-1.1500000000000001</v>
      </c>
      <c r="D29" s="67">
        <v>2</v>
      </c>
      <c r="E29" s="63">
        <v>0.38461538461538464</v>
      </c>
      <c r="F29" s="63">
        <v>0.38461538461538464</v>
      </c>
      <c r="G29" s="63">
        <v>0.26506024096385544</v>
      </c>
      <c r="H29" s="63">
        <v>0.17269076305220885</v>
      </c>
      <c r="I29" s="64">
        <v>8150</v>
      </c>
      <c r="J29" s="64">
        <v>-6762.7906976744189</v>
      </c>
      <c r="K29" s="63">
        <v>0.11538461538461539</v>
      </c>
      <c r="L29" s="63">
        <v>0.25702811244979917</v>
      </c>
      <c r="M29" s="63">
        <v>0.15662650602409639</v>
      </c>
      <c r="N29" s="63">
        <v>0.59375</v>
      </c>
      <c r="O29" s="63">
        <v>0.35897435897435898</v>
      </c>
      <c r="P29" s="63">
        <v>0.5757575757575758</v>
      </c>
    </row>
    <row r="30" spans="1:16" x14ac:dyDescent="0.45">
      <c r="A30" s="65">
        <v>27</v>
      </c>
      <c r="B30" s="62">
        <v>-76.5</v>
      </c>
      <c r="C30" s="62">
        <v>-2.8333333333333335</v>
      </c>
      <c r="D30" s="67">
        <v>2.0370370370370372</v>
      </c>
      <c r="E30" s="63">
        <v>0.37037037037037035</v>
      </c>
      <c r="F30" s="63">
        <v>0.40740740740740738</v>
      </c>
      <c r="G30" s="63">
        <v>0.25984251968503935</v>
      </c>
      <c r="H30" s="63">
        <v>0.16929133858267717</v>
      </c>
      <c r="I30" s="64">
        <v>8150</v>
      </c>
      <c r="J30" s="64">
        <v>-6762.7906976744189</v>
      </c>
      <c r="K30" s="63">
        <v>0.14814814814814814</v>
      </c>
      <c r="L30" s="63">
        <v>0.25590551181102361</v>
      </c>
      <c r="M30" s="63">
        <v>0.15354330708661418</v>
      </c>
      <c r="N30" s="63">
        <v>0.58461538461538465</v>
      </c>
      <c r="O30" s="63">
        <v>0.35897435897435898</v>
      </c>
      <c r="P30" s="63">
        <v>0.5757575757575758</v>
      </c>
    </row>
    <row r="31" spans="1:16" x14ac:dyDescent="0.45">
      <c r="A31" s="65">
        <v>28</v>
      </c>
      <c r="B31" s="62">
        <v>-129.6</v>
      </c>
      <c r="C31" s="62">
        <v>-4.6285714285714281</v>
      </c>
      <c r="D31" s="67">
        <v>2.0714285714285716</v>
      </c>
      <c r="E31" s="63">
        <v>0.35714285714285715</v>
      </c>
      <c r="F31" s="63">
        <v>0.42857142857142855</v>
      </c>
      <c r="G31" s="63">
        <v>0.25680933852140075</v>
      </c>
      <c r="H31" s="63">
        <v>0.17509727626459143</v>
      </c>
      <c r="I31" s="64">
        <v>8150</v>
      </c>
      <c r="J31" s="64">
        <v>-7120</v>
      </c>
      <c r="K31" s="63">
        <v>0.17857142857142858</v>
      </c>
      <c r="L31" s="63">
        <v>0.26070038910505838</v>
      </c>
      <c r="M31" s="63">
        <v>0.1517509727626459</v>
      </c>
      <c r="N31" s="63">
        <v>0.56716417910447758</v>
      </c>
      <c r="O31" s="63">
        <v>0.35897435897435898</v>
      </c>
      <c r="P31" s="63">
        <v>0.5757575757575758</v>
      </c>
    </row>
    <row r="32" spans="1:16" x14ac:dyDescent="0.45">
      <c r="A32" s="65">
        <v>29</v>
      </c>
      <c r="B32" s="62">
        <v>-128.79999999999998</v>
      </c>
      <c r="C32" s="62">
        <v>-4.4413793103448267</v>
      </c>
      <c r="D32" s="67">
        <v>2.0689655172413794</v>
      </c>
      <c r="E32" s="63">
        <v>0.34482758620689657</v>
      </c>
      <c r="F32" s="63">
        <v>0.41379310344827586</v>
      </c>
      <c r="G32" s="63">
        <v>0.25939849624060152</v>
      </c>
      <c r="H32" s="63">
        <v>0.17293233082706766</v>
      </c>
      <c r="I32" s="64">
        <v>8075.36231884058</v>
      </c>
      <c r="J32" s="64">
        <v>-7078.260869565217</v>
      </c>
      <c r="K32" s="63">
        <v>0.17241379310344829</v>
      </c>
      <c r="L32" s="63">
        <v>0.26691729323308272</v>
      </c>
      <c r="M32" s="63">
        <v>0.15789473684210525</v>
      </c>
      <c r="N32" s="63">
        <v>0.57746478873239437</v>
      </c>
      <c r="O32" s="63">
        <v>0.33333333333333331</v>
      </c>
      <c r="P32" s="63">
        <v>0.57971014492753625</v>
      </c>
    </row>
    <row r="33" spans="1:16" x14ac:dyDescent="0.45">
      <c r="A33" s="65">
        <v>30</v>
      </c>
      <c r="B33" s="62">
        <v>-106.39999999999998</v>
      </c>
      <c r="C33" s="62">
        <v>-3.546666666666666</v>
      </c>
      <c r="D33" s="67">
        <v>2.0333333333333332</v>
      </c>
      <c r="E33" s="63">
        <v>0.36666666666666664</v>
      </c>
      <c r="F33" s="63">
        <v>0.4</v>
      </c>
      <c r="G33" s="63">
        <v>0.25992779783393499</v>
      </c>
      <c r="H33" s="63">
        <v>0.17689530685920576</v>
      </c>
      <c r="I33" s="64">
        <v>8126.3888888888887</v>
      </c>
      <c r="J33" s="64">
        <v>-7002.0408163265311</v>
      </c>
      <c r="K33" s="63">
        <v>0.16666666666666666</v>
      </c>
      <c r="L33" s="63">
        <v>0.27075812274368233</v>
      </c>
      <c r="M33" s="63">
        <v>0.1588447653429603</v>
      </c>
      <c r="N33" s="63">
        <v>0.58666666666666667</v>
      </c>
      <c r="O33" s="63">
        <v>0.31818181818181818</v>
      </c>
      <c r="P33" s="63">
        <v>0.58333333333333337</v>
      </c>
    </row>
    <row r="34" spans="1:16" x14ac:dyDescent="0.45">
      <c r="A34" s="65">
        <v>31</v>
      </c>
      <c r="B34" s="62">
        <v>-77.399999999999977</v>
      </c>
      <c r="C34" s="62">
        <v>-2.4967741935483865</v>
      </c>
      <c r="D34" s="67">
        <v>2</v>
      </c>
      <c r="E34" s="63">
        <v>0.38709677419354838</v>
      </c>
      <c r="F34" s="63">
        <v>0.38709677419354838</v>
      </c>
      <c r="G34" s="63">
        <v>0.2638888888888889</v>
      </c>
      <c r="H34" s="63">
        <v>0.1701388888888889</v>
      </c>
      <c r="I34" s="64">
        <v>8114.4736842105267</v>
      </c>
      <c r="J34" s="64">
        <v>-7002.0408163265311</v>
      </c>
      <c r="K34" s="63">
        <v>0.16129032258064516</v>
      </c>
      <c r="L34" s="63">
        <v>0.27777777777777779</v>
      </c>
      <c r="M34" s="63">
        <v>0.15625</v>
      </c>
      <c r="N34" s="63">
        <v>0.57499999999999996</v>
      </c>
      <c r="O34" s="63">
        <v>0.33333333333333331</v>
      </c>
      <c r="P34" s="63">
        <v>0.57894736842105265</v>
      </c>
    </row>
    <row r="35" spans="1:16" x14ac:dyDescent="0.45">
      <c r="A35" s="65">
        <v>32</v>
      </c>
      <c r="B35" s="62">
        <v>-96.699999999999974</v>
      </c>
      <c r="C35" s="62">
        <v>-3.0218749999999992</v>
      </c>
      <c r="D35" s="67">
        <v>2</v>
      </c>
      <c r="E35" s="63">
        <v>0.375</v>
      </c>
      <c r="F35" s="63">
        <v>0.375</v>
      </c>
      <c r="G35" s="63">
        <v>0.25838926174496646</v>
      </c>
      <c r="H35" s="63">
        <v>0.16778523489932887</v>
      </c>
      <c r="I35" s="64">
        <v>8164.9350649350654</v>
      </c>
      <c r="J35" s="64">
        <v>-7102</v>
      </c>
      <c r="K35" s="63">
        <v>0.15625</v>
      </c>
      <c r="L35" s="63">
        <v>0.27852348993288589</v>
      </c>
      <c r="M35" s="63">
        <v>0.16107382550335569</v>
      </c>
      <c r="N35" s="63">
        <v>0.5662650602409639</v>
      </c>
      <c r="O35" s="63">
        <v>0.3125</v>
      </c>
      <c r="P35" s="63">
        <v>0.58441558441558439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167CC-03E0-4EBE-B61F-B404C36096D3}">
  <sheetPr codeName="Sheet20"/>
  <dimension ref="A1:Q7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  <row r="66" spans="1:16" x14ac:dyDescent="0.45">
      <c r="A66" s="65">
        <v>63</v>
      </c>
      <c r="B66" s="62">
        <v>-697.10000000000014</v>
      </c>
      <c r="C66" s="62">
        <v>-11.065079365079367</v>
      </c>
      <c r="D66" s="67">
        <v>2.2857142857142856</v>
      </c>
      <c r="E66" s="63">
        <v>0.15873015873015872</v>
      </c>
      <c r="F66" s="63">
        <v>0.44444444444444442</v>
      </c>
      <c r="G66" s="63">
        <v>0.26003824091778205</v>
      </c>
      <c r="H66" s="63">
        <v>0.17973231357552583</v>
      </c>
      <c r="I66" s="64">
        <v>8066.911764705882</v>
      </c>
      <c r="J66" s="64">
        <v>-8432.978723404256</v>
      </c>
      <c r="K66" s="63">
        <v>0.15873015873015872</v>
      </c>
      <c r="L66" s="63">
        <v>0.21032504780114722</v>
      </c>
      <c r="M66" s="63">
        <v>0.22753346080305928</v>
      </c>
      <c r="N66" s="63">
        <v>0.52727272727272723</v>
      </c>
      <c r="O66" s="63">
        <v>0.42857142857142855</v>
      </c>
      <c r="P66" s="63">
        <v>0.46323529411764708</v>
      </c>
    </row>
    <row r="67" spans="1:16" x14ac:dyDescent="0.45">
      <c r="A67" s="65">
        <v>64</v>
      </c>
      <c r="B67" s="62">
        <v>-704.90000000000009</v>
      </c>
      <c r="C67" s="62">
        <v>-11.014062500000001</v>
      </c>
      <c r="D67" s="67">
        <v>2.28125</v>
      </c>
      <c r="E67" s="63">
        <v>0.15625</v>
      </c>
      <c r="F67" s="63">
        <v>0.4375</v>
      </c>
      <c r="G67" s="63">
        <v>0.2575187969924812</v>
      </c>
      <c r="H67" s="63">
        <v>0.18045112781954886</v>
      </c>
      <c r="I67" s="64">
        <v>8095.6204379562041</v>
      </c>
      <c r="J67" s="64">
        <v>-8397.9166666666661</v>
      </c>
      <c r="K67" s="63">
        <v>0.15625</v>
      </c>
      <c r="L67" s="63">
        <v>0.21052631578947367</v>
      </c>
      <c r="M67" s="63">
        <v>0.22556390977443608</v>
      </c>
      <c r="N67" s="63">
        <v>0.5178571428571429</v>
      </c>
      <c r="O67" s="63">
        <v>0.43333333333333335</v>
      </c>
      <c r="P67" s="63">
        <v>0.45985401459854014</v>
      </c>
    </row>
    <row r="68" spans="1:16" x14ac:dyDescent="0.45">
      <c r="A68" s="65">
        <v>65</v>
      </c>
      <c r="B68" s="62">
        <v>-668.90000000000009</v>
      </c>
      <c r="C68" s="62">
        <v>-10.290769230769232</v>
      </c>
      <c r="D68" s="67">
        <v>2.2615384615384615</v>
      </c>
      <c r="E68" s="63">
        <v>0.16923076923076924</v>
      </c>
      <c r="F68" s="63">
        <v>0.43076923076923079</v>
      </c>
      <c r="G68" s="63">
        <v>0.25925925925925924</v>
      </c>
      <c r="H68" s="63">
        <v>0.17777777777777778</v>
      </c>
      <c r="I68" s="64">
        <v>8176.4285714285716</v>
      </c>
      <c r="J68" s="64">
        <v>-8397.9166666666661</v>
      </c>
      <c r="K68" s="63">
        <v>0.15384615384615385</v>
      </c>
      <c r="L68" s="63">
        <v>0.21111111111111111</v>
      </c>
      <c r="M68" s="63">
        <v>0.22962962962962963</v>
      </c>
      <c r="N68" s="63">
        <v>0.51754385964912286</v>
      </c>
      <c r="O68" s="63">
        <v>0.43548387096774194</v>
      </c>
      <c r="P68" s="63">
        <v>0.45714285714285713</v>
      </c>
    </row>
    <row r="69" spans="1:16" x14ac:dyDescent="0.45">
      <c r="A69" s="65">
        <v>66</v>
      </c>
      <c r="B69" s="62">
        <v>-672.40000000000009</v>
      </c>
      <c r="C69" s="62">
        <v>-10.187878787878789</v>
      </c>
      <c r="D69" s="67">
        <v>2.2575757575757578</v>
      </c>
      <c r="E69" s="63">
        <v>0.16666666666666666</v>
      </c>
      <c r="F69" s="63">
        <v>0.42424242424242425</v>
      </c>
      <c r="G69" s="63">
        <v>0.25782688766114181</v>
      </c>
      <c r="H69" s="63">
        <v>0.17679558011049723</v>
      </c>
      <c r="I69" s="64">
        <v>8176.4285714285716</v>
      </c>
      <c r="J69" s="64">
        <v>-8397.9166666666661</v>
      </c>
      <c r="K69" s="63">
        <v>0.15151515151515152</v>
      </c>
      <c r="L69" s="63">
        <v>0.21362799263351751</v>
      </c>
      <c r="M69" s="63">
        <v>0.2283609576427256</v>
      </c>
      <c r="N69" s="63">
        <v>0.50862068965517238</v>
      </c>
      <c r="O69" s="63">
        <v>0.43548387096774194</v>
      </c>
      <c r="P69" s="63">
        <v>0.45714285714285713</v>
      </c>
    </row>
    <row r="70" spans="1:16" x14ac:dyDescent="0.45">
      <c r="A70" s="65">
        <v>67</v>
      </c>
      <c r="B70" s="62">
        <v>-655.40000000000009</v>
      </c>
      <c r="C70" s="62">
        <v>-9.7820895522388067</v>
      </c>
      <c r="D70" s="67">
        <v>2.2537313432835822</v>
      </c>
      <c r="E70" s="63">
        <v>0.16417910447761194</v>
      </c>
      <c r="F70" s="63">
        <v>0.41791044776119401</v>
      </c>
      <c r="G70" s="63">
        <v>0.26047358834244078</v>
      </c>
      <c r="H70" s="63">
        <v>0.1766848816029144</v>
      </c>
      <c r="I70" s="64">
        <v>8298.6013986013986</v>
      </c>
      <c r="J70" s="64">
        <v>-8558.7628865979386</v>
      </c>
      <c r="K70" s="63">
        <v>0.14925373134328357</v>
      </c>
      <c r="L70" s="63">
        <v>0.21311475409836064</v>
      </c>
      <c r="M70" s="63">
        <v>0.22950819672131148</v>
      </c>
      <c r="N70" s="63">
        <v>0.51282051282051277</v>
      </c>
      <c r="O70" s="63">
        <v>0.44444444444444442</v>
      </c>
      <c r="P70" s="63">
        <v>0.45454545454545453</v>
      </c>
    </row>
    <row r="71" spans="1:16" x14ac:dyDescent="0.45">
      <c r="A71" s="65">
        <v>68</v>
      </c>
      <c r="B71" s="62">
        <v>-656.10000000000014</v>
      </c>
      <c r="C71" s="62">
        <v>-9.6485294117647076</v>
      </c>
      <c r="D71" s="67">
        <v>2.25</v>
      </c>
      <c r="E71" s="63">
        <v>0.16176470588235295</v>
      </c>
      <c r="F71" s="63">
        <v>0.41176470588235292</v>
      </c>
      <c r="G71" s="63">
        <v>0.26079136690647481</v>
      </c>
      <c r="H71" s="63">
        <v>0.17625899280575538</v>
      </c>
      <c r="I71" s="64">
        <v>8292.4137931034475</v>
      </c>
      <c r="J71" s="64">
        <v>-8511.224489795919</v>
      </c>
      <c r="K71" s="63">
        <v>0.14705882352941177</v>
      </c>
      <c r="L71" s="63">
        <v>0.21582733812949639</v>
      </c>
      <c r="M71" s="63">
        <v>0.23021582733812951</v>
      </c>
      <c r="N71" s="63">
        <v>0.5083333333333333</v>
      </c>
      <c r="O71" s="63">
        <v>0.4453125</v>
      </c>
      <c r="P71" s="63">
        <v>0.45517241379310347</v>
      </c>
    </row>
    <row r="72" spans="1:16" x14ac:dyDescent="0.45">
      <c r="A72" s="65">
        <v>69</v>
      </c>
      <c r="B72" s="62">
        <v>-691.90000000000009</v>
      </c>
      <c r="C72" s="62">
        <v>-10.02753623188406</v>
      </c>
      <c r="D72" s="67">
        <v>2.2608695652173911</v>
      </c>
      <c r="E72" s="63">
        <v>0.15942028985507245</v>
      </c>
      <c r="F72" s="63">
        <v>0.42028985507246375</v>
      </c>
      <c r="G72" s="63">
        <v>0.25749559082892415</v>
      </c>
      <c r="H72" s="63">
        <v>0.17460317460317459</v>
      </c>
      <c r="I72" s="64">
        <v>8263.0136986301368</v>
      </c>
      <c r="J72" s="64">
        <v>-8464.6464646464647</v>
      </c>
      <c r="K72" s="63">
        <v>0.14492753623188406</v>
      </c>
      <c r="L72" s="63">
        <v>0.21340388007054673</v>
      </c>
      <c r="M72" s="63">
        <v>0.23280423280423279</v>
      </c>
      <c r="N72" s="63">
        <v>0.50413223140495866</v>
      </c>
      <c r="O72" s="63">
        <v>0.43181818181818182</v>
      </c>
      <c r="P72" s="63">
        <v>0.4589041095890411</v>
      </c>
    </row>
    <row r="73" spans="1:16" x14ac:dyDescent="0.45">
      <c r="A73" s="65">
        <v>70</v>
      </c>
      <c r="B73" s="62">
        <v>-739.50000000000011</v>
      </c>
      <c r="C73" s="62">
        <v>-10.564285714285717</v>
      </c>
      <c r="D73" s="67">
        <v>2.2714285714285714</v>
      </c>
      <c r="E73" s="63">
        <v>0.15714285714285714</v>
      </c>
      <c r="F73" s="63">
        <v>0.42857142857142855</v>
      </c>
      <c r="G73" s="63">
        <v>0.25476603119584057</v>
      </c>
      <c r="H73" s="63">
        <v>0.17677642980935876</v>
      </c>
      <c r="I73" s="64">
        <v>8261.224489795919</v>
      </c>
      <c r="J73" s="64">
        <v>-8473.5294117647063</v>
      </c>
      <c r="K73" s="63">
        <v>0.15714285714285714</v>
      </c>
      <c r="L73" s="63">
        <v>0.21317157712305027</v>
      </c>
      <c r="M73" s="63">
        <v>0.23223570190641249</v>
      </c>
      <c r="N73" s="63">
        <v>0.50406504065040647</v>
      </c>
      <c r="O73" s="63">
        <v>0.42537313432835822</v>
      </c>
      <c r="P73" s="63">
        <v>0.46258503401360546</v>
      </c>
    </row>
    <row r="74" spans="1:16" x14ac:dyDescent="0.45">
      <c r="A74" s="65">
        <v>71</v>
      </c>
      <c r="B74" s="62">
        <v>-786.20000000000016</v>
      </c>
      <c r="C74" s="62">
        <v>-11.073239436619721</v>
      </c>
      <c r="D74" s="67">
        <v>2.2816901408450705</v>
      </c>
      <c r="E74" s="63">
        <v>0.15492957746478872</v>
      </c>
      <c r="F74" s="63">
        <v>0.43661971830985913</v>
      </c>
      <c r="G74" s="63">
        <v>0.25212947189097101</v>
      </c>
      <c r="H74" s="63">
        <v>0.17717206132879046</v>
      </c>
      <c r="I74" s="64">
        <v>8222.9729729729734</v>
      </c>
      <c r="J74" s="64">
        <v>-8450</v>
      </c>
      <c r="K74" s="63">
        <v>0.16901408450704225</v>
      </c>
      <c r="L74" s="63">
        <v>0.21124361158432708</v>
      </c>
      <c r="M74" s="63">
        <v>0.22998296422487224</v>
      </c>
      <c r="N74" s="63">
        <v>0.50806451612903225</v>
      </c>
      <c r="O74" s="63">
        <v>0.42222222222222222</v>
      </c>
      <c r="P74" s="63">
        <v>0.45945945945945948</v>
      </c>
    </row>
    <row r="75" spans="1:16" x14ac:dyDescent="0.45">
      <c r="A75" s="65">
        <v>72</v>
      </c>
      <c r="B75" s="62">
        <v>-848.4000000000002</v>
      </c>
      <c r="C75" s="62">
        <v>-11.783333333333337</v>
      </c>
      <c r="D75" s="67">
        <v>2.2916666666666665</v>
      </c>
      <c r="E75" s="63">
        <v>0.15277777777777779</v>
      </c>
      <c r="F75" s="63">
        <v>0.44444444444444442</v>
      </c>
      <c r="G75" s="63">
        <v>0.24957841483979765</v>
      </c>
      <c r="H75" s="63">
        <v>0.18043844856661045</v>
      </c>
      <c r="I75" s="64">
        <v>8222.9729729729734</v>
      </c>
      <c r="J75" s="64">
        <v>-8566.3551401869154</v>
      </c>
      <c r="K75" s="63">
        <v>0.18055555555555555</v>
      </c>
      <c r="L75" s="63">
        <v>0.21079258010118043</v>
      </c>
      <c r="M75" s="63">
        <v>0.22765598650927488</v>
      </c>
      <c r="N75" s="63">
        <v>0.504</v>
      </c>
      <c r="O75" s="63">
        <v>0.42222222222222222</v>
      </c>
      <c r="P75" s="63">
        <v>0.45945945945945948</v>
      </c>
    </row>
    <row r="76" spans="1:16" x14ac:dyDescent="0.45">
      <c r="A76" s="65">
        <v>73</v>
      </c>
      <c r="B76" s="62">
        <v>-864.60000000000025</v>
      </c>
      <c r="C76" s="62">
        <v>-11.84383561643836</v>
      </c>
      <c r="D76" s="67">
        <v>2.3013698630136985</v>
      </c>
      <c r="E76" s="63">
        <v>0.15068493150684931</v>
      </c>
      <c r="F76" s="63">
        <v>0.45205479452054792</v>
      </c>
      <c r="G76" s="63">
        <v>0.24752475247524752</v>
      </c>
      <c r="H76" s="63">
        <v>0.17986798679867988</v>
      </c>
      <c r="I76" s="64">
        <v>8326.6666666666661</v>
      </c>
      <c r="J76" s="64">
        <v>-8488.9908256880735</v>
      </c>
      <c r="K76" s="63">
        <v>0.17808219178082191</v>
      </c>
      <c r="L76" s="63">
        <v>0.21122112211221122</v>
      </c>
      <c r="M76" s="63">
        <v>0.22772277227722773</v>
      </c>
      <c r="N76" s="63">
        <v>0.5078125</v>
      </c>
      <c r="O76" s="63">
        <v>0.41304347826086957</v>
      </c>
      <c r="P76" s="63">
        <v>0.46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2124F-A6DB-4C9E-91E5-5E2BDE208986}">
  <sheetPr codeName="Sheet18"/>
  <dimension ref="A1:Q16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5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5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5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5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5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5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5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  <row r="150" spans="1:16" x14ac:dyDescent="0.45">
      <c r="A150" s="65">
        <v>147</v>
      </c>
      <c r="B150" s="62">
        <v>-66.09999999999998</v>
      </c>
      <c r="C150" s="62">
        <v>-0.44965986394557811</v>
      </c>
      <c r="D150" s="67">
        <v>2.0476190476190474</v>
      </c>
      <c r="E150" s="63">
        <v>0.25170068027210885</v>
      </c>
      <c r="F150" s="63">
        <v>0.29931972789115646</v>
      </c>
      <c r="G150" s="63">
        <v>0.28067226890756303</v>
      </c>
      <c r="H150" s="63">
        <v>0.13781512605042018</v>
      </c>
      <c r="I150" s="64">
        <v>8347.3053892215576</v>
      </c>
      <c r="J150" s="64">
        <v>-6992.0731707317073</v>
      </c>
      <c r="K150" s="63">
        <v>6.8027210884353748E-2</v>
      </c>
      <c r="L150" s="63">
        <v>0.25798319327731095</v>
      </c>
      <c r="M150" s="63">
        <v>0.23193277310924371</v>
      </c>
      <c r="N150" s="63">
        <v>0.55374592833876224</v>
      </c>
      <c r="O150" s="63">
        <v>0.42391304347826086</v>
      </c>
      <c r="P150" s="63">
        <v>0.44610778443113774</v>
      </c>
    </row>
    <row r="151" spans="1:16" x14ac:dyDescent="0.45">
      <c r="A151" s="65">
        <v>148</v>
      </c>
      <c r="B151" s="62">
        <v>-54.59999999999998</v>
      </c>
      <c r="C151" s="62">
        <v>-0.36891891891891876</v>
      </c>
      <c r="D151" s="67">
        <v>2.0472972972972974</v>
      </c>
      <c r="E151" s="63">
        <v>0.25</v>
      </c>
      <c r="F151" s="63">
        <v>0.29729729729729731</v>
      </c>
      <c r="G151" s="63">
        <v>0.28056951423785592</v>
      </c>
      <c r="H151" s="63">
        <v>0.13735343383584589</v>
      </c>
      <c r="I151" s="64">
        <v>8358.2089552238813</v>
      </c>
      <c r="J151" s="64">
        <v>-6992.0731707317073</v>
      </c>
      <c r="K151" s="63">
        <v>6.7567567567567571E-2</v>
      </c>
      <c r="L151" s="63">
        <v>0.25795644891122277</v>
      </c>
      <c r="M151" s="63">
        <v>0.23115577889447236</v>
      </c>
      <c r="N151" s="63">
        <v>0.55519480519480524</v>
      </c>
      <c r="O151" s="63">
        <v>0.42391304347826086</v>
      </c>
      <c r="P151" s="63">
        <v>0.44776119402985076</v>
      </c>
    </row>
    <row r="152" spans="1:16" x14ac:dyDescent="0.45">
      <c r="A152" s="65">
        <v>149</v>
      </c>
      <c r="B152" s="62">
        <v>-107.79999999999998</v>
      </c>
      <c r="C152" s="62">
        <v>-0.72348993288590591</v>
      </c>
      <c r="D152" s="67">
        <v>2.0536912751677852</v>
      </c>
      <c r="E152" s="63">
        <v>0.24832214765100671</v>
      </c>
      <c r="F152" s="63">
        <v>0.30201342281879195</v>
      </c>
      <c r="G152" s="63">
        <v>0.2793017456359102</v>
      </c>
      <c r="H152" s="63">
        <v>0.1396508728179551</v>
      </c>
      <c r="I152" s="64">
        <v>8404.7619047619046</v>
      </c>
      <c r="J152" s="64">
        <v>-7115.4761904761908</v>
      </c>
      <c r="K152" s="63">
        <v>7.3825503355704702E-2</v>
      </c>
      <c r="L152" s="63">
        <v>0.256857855361596</v>
      </c>
      <c r="M152" s="63">
        <v>0.23108894430590191</v>
      </c>
      <c r="N152" s="63">
        <v>0.55663430420711979</v>
      </c>
      <c r="O152" s="63">
        <v>0.42086330935251798</v>
      </c>
      <c r="P152" s="63">
        <v>0.44642857142857145</v>
      </c>
    </row>
    <row r="153" spans="1:16" x14ac:dyDescent="0.45">
      <c r="A153" s="65">
        <v>150</v>
      </c>
      <c r="B153" s="62">
        <v>-116.49999999999999</v>
      </c>
      <c r="C153" s="62">
        <v>-0.77666666666666662</v>
      </c>
      <c r="D153" s="67">
        <v>2.0533333333333332</v>
      </c>
      <c r="E153" s="63">
        <v>0.24666666666666667</v>
      </c>
      <c r="F153" s="63">
        <v>0.3</v>
      </c>
      <c r="G153" s="63">
        <v>0.27933884297520661</v>
      </c>
      <c r="H153" s="63">
        <v>0.13884297520661157</v>
      </c>
      <c r="I153" s="64">
        <v>8396.7455621301779</v>
      </c>
      <c r="J153" s="64">
        <v>-7115.4761904761908</v>
      </c>
      <c r="K153" s="63">
        <v>7.3333333333333334E-2</v>
      </c>
      <c r="L153" s="63">
        <v>0.25702479338842976</v>
      </c>
      <c r="M153" s="63">
        <v>0.23057851239669422</v>
      </c>
      <c r="N153" s="63">
        <v>0.5562700964630225</v>
      </c>
      <c r="O153" s="63">
        <v>0.42293906810035842</v>
      </c>
      <c r="P153" s="63">
        <v>0.44970414201183434</v>
      </c>
    </row>
    <row r="154" spans="1:16" x14ac:dyDescent="0.45">
      <c r="A154" s="65">
        <v>151</v>
      </c>
      <c r="B154" s="62">
        <v>-110.59999999999998</v>
      </c>
      <c r="C154" s="62">
        <v>-0.73245033112582769</v>
      </c>
      <c r="D154" s="67">
        <v>2.052980132450331</v>
      </c>
      <c r="E154" s="63">
        <v>0.24503311258278146</v>
      </c>
      <c r="F154" s="63">
        <v>0.29801324503311261</v>
      </c>
      <c r="G154" s="63">
        <v>0.27937551355792933</v>
      </c>
      <c r="H154" s="63">
        <v>0.13968775677896467</v>
      </c>
      <c r="I154" s="64">
        <v>8406.176470588236</v>
      </c>
      <c r="J154" s="64">
        <v>-7117.6470588235297</v>
      </c>
      <c r="K154" s="63">
        <v>7.2847682119205295E-2</v>
      </c>
      <c r="L154" s="63">
        <v>0.2563681183237469</v>
      </c>
      <c r="M154" s="63">
        <v>0.23089564502875926</v>
      </c>
      <c r="N154" s="63">
        <v>0.55769230769230771</v>
      </c>
      <c r="O154" s="63">
        <v>0.42348754448398579</v>
      </c>
      <c r="P154" s="63">
        <v>0.45294117647058824</v>
      </c>
    </row>
    <row r="155" spans="1:16" x14ac:dyDescent="0.45">
      <c r="A155" s="65">
        <v>152</v>
      </c>
      <c r="B155" s="62">
        <v>-60.999999999999979</v>
      </c>
      <c r="C155" s="62">
        <v>-0.40131578947368407</v>
      </c>
      <c r="D155" s="67">
        <v>2.0460526315789473</v>
      </c>
      <c r="E155" s="63">
        <v>0.25</v>
      </c>
      <c r="F155" s="63">
        <v>0.29605263157894735</v>
      </c>
      <c r="G155" s="63">
        <v>0.27908868999186331</v>
      </c>
      <c r="H155" s="63">
        <v>0.13832384052074859</v>
      </c>
      <c r="I155" s="64">
        <v>8460.0583090379005</v>
      </c>
      <c r="J155" s="64">
        <v>-7117.6470588235297</v>
      </c>
      <c r="K155" s="63">
        <v>7.2368421052631582E-2</v>
      </c>
      <c r="L155" s="63">
        <v>0.2563059397884459</v>
      </c>
      <c r="M155" s="63">
        <v>0.23026851098454026</v>
      </c>
      <c r="N155" s="63">
        <v>0.55555555555555558</v>
      </c>
      <c r="O155" s="63">
        <v>0.4204946996466431</v>
      </c>
      <c r="P155" s="63">
        <v>0.45772594752186591</v>
      </c>
    </row>
    <row r="156" spans="1:16" x14ac:dyDescent="0.45">
      <c r="A156" s="65">
        <v>153</v>
      </c>
      <c r="B156" s="62">
        <v>-24.699999999999982</v>
      </c>
      <c r="C156" s="62">
        <v>-0.1614379084967319</v>
      </c>
      <c r="D156" s="67">
        <v>2.0392156862745097</v>
      </c>
      <c r="E156" s="63">
        <v>0.25490196078431371</v>
      </c>
      <c r="F156" s="63">
        <v>0.29411764705882354</v>
      </c>
      <c r="G156" s="63">
        <v>0.27938808373590984</v>
      </c>
      <c r="H156" s="63">
        <v>0.13687600644122383</v>
      </c>
      <c r="I156" s="64">
        <v>8470.8933717579257</v>
      </c>
      <c r="J156" s="64">
        <v>-7117.6470588235297</v>
      </c>
      <c r="K156" s="63">
        <v>7.1895424836601302E-2</v>
      </c>
      <c r="L156" s="63">
        <v>0.25764895330112719</v>
      </c>
      <c r="M156" s="63">
        <v>0.22866344605475039</v>
      </c>
      <c r="N156" s="63">
        <v>0.55312499999999998</v>
      </c>
      <c r="O156" s="63">
        <v>0.41901408450704225</v>
      </c>
      <c r="P156" s="63">
        <v>0.45821325648414984</v>
      </c>
    </row>
    <row r="157" spans="1:16" x14ac:dyDescent="0.45">
      <c r="A157" s="65">
        <v>154</v>
      </c>
      <c r="B157" s="62">
        <v>-71.199999999999989</v>
      </c>
      <c r="C157" s="62">
        <v>-0.46233766233766227</v>
      </c>
      <c r="D157" s="67">
        <v>2.0454545454545454</v>
      </c>
      <c r="E157" s="63">
        <v>0.25324675324675322</v>
      </c>
      <c r="F157" s="63">
        <v>0.29870129870129869</v>
      </c>
      <c r="G157" s="63">
        <v>0.27817745803357313</v>
      </c>
      <c r="H157" s="63">
        <v>0.13828936850519585</v>
      </c>
      <c r="I157" s="64">
        <v>8463.7931034482754</v>
      </c>
      <c r="J157" s="64">
        <v>-7154.3352601156066</v>
      </c>
      <c r="K157" s="63">
        <v>7.792207792207792E-2</v>
      </c>
      <c r="L157" s="63">
        <v>0.25659472422062352</v>
      </c>
      <c r="M157" s="63">
        <v>0.22861710631494805</v>
      </c>
      <c r="N157" s="63">
        <v>0.55140186915887845</v>
      </c>
      <c r="O157" s="63">
        <v>0.41958041958041958</v>
      </c>
      <c r="P157" s="63">
        <v>0.45977011494252873</v>
      </c>
    </row>
    <row r="158" spans="1:16" x14ac:dyDescent="0.45">
      <c r="A158" s="65">
        <v>155</v>
      </c>
      <c r="B158" s="62">
        <v>-116.69999999999999</v>
      </c>
      <c r="C158" s="62">
        <v>-0.75290322580645153</v>
      </c>
      <c r="D158" s="67">
        <v>2.0516129032258066</v>
      </c>
      <c r="E158" s="63">
        <v>0.25161290322580643</v>
      </c>
      <c r="F158" s="63">
        <v>0.3032258064516129</v>
      </c>
      <c r="G158" s="63">
        <v>0.27662957074721778</v>
      </c>
      <c r="H158" s="63">
        <v>0.13990461049284578</v>
      </c>
      <c r="I158" s="64">
        <v>8463.7931034482754</v>
      </c>
      <c r="J158" s="64">
        <v>-7214.204545454545</v>
      </c>
      <c r="K158" s="63">
        <v>8.387096774193549E-2</v>
      </c>
      <c r="L158" s="63">
        <v>0.2559618441971383</v>
      </c>
      <c r="M158" s="63">
        <v>0.22813990461049286</v>
      </c>
      <c r="N158" s="63">
        <v>0.5496894409937888</v>
      </c>
      <c r="O158" s="63">
        <v>0.41811846689895471</v>
      </c>
      <c r="P158" s="63">
        <v>0.45977011494252873</v>
      </c>
    </row>
    <row r="159" spans="1:16" x14ac:dyDescent="0.45">
      <c r="A159" s="65">
        <v>156</v>
      </c>
      <c r="B159" s="62">
        <v>-82.1</v>
      </c>
      <c r="C159" s="62">
        <v>-0.5262820512820513</v>
      </c>
      <c r="D159" s="67">
        <v>2.0448717948717947</v>
      </c>
      <c r="E159" s="63">
        <v>0.25641025641025639</v>
      </c>
      <c r="F159" s="63">
        <v>0.30128205128205127</v>
      </c>
      <c r="G159" s="63">
        <v>0.27733755942947702</v>
      </c>
      <c r="H159" s="63">
        <v>0.14025356576862125</v>
      </c>
      <c r="I159" s="64">
        <v>8511.1428571428569</v>
      </c>
      <c r="J159" s="64">
        <v>-7195.4802259887001</v>
      </c>
      <c r="K159" s="63">
        <v>8.3333333333333329E-2</v>
      </c>
      <c r="L159" s="63">
        <v>0.25594294770206022</v>
      </c>
      <c r="M159" s="63">
        <v>0.22741679873217116</v>
      </c>
      <c r="N159" s="63">
        <v>0.54798761609907121</v>
      </c>
      <c r="O159" s="63">
        <v>0.41811846689895471</v>
      </c>
      <c r="P159" s="63">
        <v>0.46</v>
      </c>
    </row>
    <row r="160" spans="1:16" x14ac:dyDescent="0.45">
      <c r="A160" s="65">
        <v>157</v>
      </c>
      <c r="B160" s="62">
        <v>-33.199999999999996</v>
      </c>
      <c r="C160" s="62">
        <v>-0.21146496815286622</v>
      </c>
      <c r="D160" s="67">
        <v>2.0382165605095541</v>
      </c>
      <c r="E160" s="63">
        <v>0.26114649681528662</v>
      </c>
      <c r="F160" s="63">
        <v>0.29936305732484075</v>
      </c>
      <c r="G160" s="63">
        <v>0.27795275590551183</v>
      </c>
      <c r="H160" s="63">
        <v>0.14015748031496064</v>
      </c>
      <c r="I160" s="64">
        <v>8562.3229461756382</v>
      </c>
      <c r="J160" s="64">
        <v>-7198.3146067415728</v>
      </c>
      <c r="K160" s="63">
        <v>8.2802547770700632E-2</v>
      </c>
      <c r="L160" s="63">
        <v>0.25590551181102361</v>
      </c>
      <c r="M160" s="63">
        <v>0.2283464566929134</v>
      </c>
      <c r="N160" s="63">
        <v>0.54461538461538461</v>
      </c>
      <c r="O160" s="63">
        <v>0.42413793103448277</v>
      </c>
      <c r="P160" s="63">
        <v>0.45892351274787535</v>
      </c>
    </row>
    <row r="161" spans="1:16" x14ac:dyDescent="0.45">
      <c r="A161" s="65">
        <v>158</v>
      </c>
      <c r="B161" s="62">
        <v>-60.099999999999994</v>
      </c>
      <c r="C161" s="62">
        <v>-0.38037974683544301</v>
      </c>
      <c r="D161" s="67">
        <v>2.0443037974683542</v>
      </c>
      <c r="E161" s="63">
        <v>0.25949367088607594</v>
      </c>
      <c r="F161" s="63">
        <v>0.30379746835443039</v>
      </c>
      <c r="G161" s="63">
        <v>0.27721221613155833</v>
      </c>
      <c r="H161" s="63">
        <v>0.14173844949099451</v>
      </c>
      <c r="I161" s="64">
        <v>8560.7344632768363</v>
      </c>
      <c r="J161" s="64">
        <v>-7164.0883977900548</v>
      </c>
      <c r="K161" s="63">
        <v>8.2278481012658222E-2</v>
      </c>
      <c r="L161" s="63">
        <v>0.25685199686765858</v>
      </c>
      <c r="M161" s="63">
        <v>0.22944400939702428</v>
      </c>
      <c r="N161" s="63">
        <v>0.54268292682926833</v>
      </c>
      <c r="O161" s="63">
        <v>0.41979522184300339</v>
      </c>
      <c r="P161" s="63">
        <v>0.46045197740112992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19A24-C76E-47D8-B369-A5D88D76A6A7}">
  <sheetPr codeName="Sheet16"/>
  <dimension ref="A1:Q16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5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5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5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5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5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5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 x14ac:dyDescent="0.45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 x14ac:dyDescent="0.45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 x14ac:dyDescent="0.45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  <row r="137" spans="1:16" x14ac:dyDescent="0.45">
      <c r="A137" s="65">
        <v>134</v>
      </c>
      <c r="B137" s="62">
        <v>544.10000000000048</v>
      </c>
      <c r="C137" s="62">
        <v>4.0604477611940331</v>
      </c>
      <c r="D137" s="67">
        <v>1.9179104477611941</v>
      </c>
      <c r="E137" s="63">
        <v>0.40298507462686567</v>
      </c>
      <c r="F137" s="63">
        <v>0.32089552238805968</v>
      </c>
      <c r="G137" s="63">
        <v>0.27422303473491771</v>
      </c>
      <c r="H137" s="63">
        <v>0.17367458866544791</v>
      </c>
      <c r="I137" s="64">
        <v>10948</v>
      </c>
      <c r="J137" s="64">
        <v>-7993.6842105263158</v>
      </c>
      <c r="K137" s="63">
        <v>0.11940298507462686</v>
      </c>
      <c r="L137" s="63">
        <v>0.29981718464351004</v>
      </c>
      <c r="M137" s="63">
        <v>0.18190127970749542</v>
      </c>
      <c r="N137" s="63">
        <v>0.54878048780487809</v>
      </c>
      <c r="O137" s="63">
        <v>0.37688442211055279</v>
      </c>
      <c r="P137" s="63">
        <v>0.51</v>
      </c>
    </row>
    <row r="138" spans="1:16" x14ac:dyDescent="0.45">
      <c r="A138" s="65">
        <v>135</v>
      </c>
      <c r="B138" s="62">
        <v>548.60000000000048</v>
      </c>
      <c r="C138" s="62">
        <v>4.0637037037037071</v>
      </c>
      <c r="D138" s="67">
        <v>1.9185185185185185</v>
      </c>
      <c r="E138" s="63">
        <v>0.4</v>
      </c>
      <c r="F138" s="63">
        <v>0.31851851851851853</v>
      </c>
      <c r="G138" s="63">
        <v>0.27445652173913043</v>
      </c>
      <c r="H138" s="63">
        <v>0.17481884057971014</v>
      </c>
      <c r="I138" s="64">
        <v>10919.141914191419</v>
      </c>
      <c r="J138" s="64">
        <v>-7965.8031088082898</v>
      </c>
      <c r="K138" s="63">
        <v>0.11851851851851852</v>
      </c>
      <c r="L138" s="63">
        <v>0.29891304347826086</v>
      </c>
      <c r="M138" s="63">
        <v>0.18115942028985507</v>
      </c>
      <c r="N138" s="63">
        <v>0.54848484848484846</v>
      </c>
      <c r="O138" s="63">
        <v>0.375</v>
      </c>
      <c r="P138" s="63">
        <v>0.5082508250825083</v>
      </c>
    </row>
    <row r="139" spans="1:16" x14ac:dyDescent="0.45">
      <c r="A139" s="65">
        <v>136</v>
      </c>
      <c r="B139" s="62">
        <v>555.10000000000048</v>
      </c>
      <c r="C139" s="62">
        <v>4.0816176470588275</v>
      </c>
      <c r="D139" s="67">
        <v>1.9191176470588236</v>
      </c>
      <c r="E139" s="63">
        <v>0.39705882352941174</v>
      </c>
      <c r="F139" s="63">
        <v>0.31617647058823528</v>
      </c>
      <c r="G139" s="63">
        <v>0.27387387387387385</v>
      </c>
      <c r="H139" s="63">
        <v>0.17387387387387387</v>
      </c>
      <c r="I139" s="64">
        <v>10935.855263157895</v>
      </c>
      <c r="J139" s="64">
        <v>-7965.8031088082898</v>
      </c>
      <c r="K139" s="63">
        <v>0.11764705882352941</v>
      </c>
      <c r="L139" s="63">
        <v>0.29819819819819821</v>
      </c>
      <c r="M139" s="63">
        <v>0.18108108108108109</v>
      </c>
      <c r="N139" s="63">
        <v>0.54682779456193353</v>
      </c>
      <c r="O139" s="63">
        <v>0.37313432835820898</v>
      </c>
      <c r="P139" s="63">
        <v>0.50986842105263153</v>
      </c>
    </row>
    <row r="140" spans="1:16" x14ac:dyDescent="0.45">
      <c r="A140" s="65">
        <v>137</v>
      </c>
      <c r="B140" s="62">
        <v>588.50000000000045</v>
      </c>
      <c r="C140" s="62">
        <v>4.2956204379562077</v>
      </c>
      <c r="D140" s="67">
        <v>1.9124087591240877</v>
      </c>
      <c r="E140" s="63">
        <v>0.40145985401459855</v>
      </c>
      <c r="F140" s="63">
        <v>0.31386861313868614</v>
      </c>
      <c r="G140" s="63">
        <v>0.27370304114490163</v>
      </c>
      <c r="H140" s="63">
        <v>0.1744186046511628</v>
      </c>
      <c r="I140" s="64">
        <v>10949.346405228758</v>
      </c>
      <c r="J140" s="64">
        <v>-7916.4102564102568</v>
      </c>
      <c r="K140" s="63">
        <v>0.11678832116788321</v>
      </c>
      <c r="L140" s="63">
        <v>0.29785330948121647</v>
      </c>
      <c r="M140" s="63">
        <v>0.18067978533094811</v>
      </c>
      <c r="N140" s="63">
        <v>0.5495495495495496</v>
      </c>
      <c r="O140" s="63">
        <v>0.37128712871287128</v>
      </c>
      <c r="P140" s="63">
        <v>0.50980392156862742</v>
      </c>
    </row>
    <row r="141" spans="1:16" x14ac:dyDescent="0.45">
      <c r="A141" s="65">
        <v>138</v>
      </c>
      <c r="B141" s="62">
        <v>556.7000000000005</v>
      </c>
      <c r="C141" s="62">
        <v>4.0340579710144961</v>
      </c>
      <c r="D141" s="67">
        <v>1.9202898550724639</v>
      </c>
      <c r="E141" s="63">
        <v>0.39855072463768115</v>
      </c>
      <c r="F141" s="63">
        <v>0.3188405797101449</v>
      </c>
      <c r="G141" s="63">
        <v>0.27200000000000002</v>
      </c>
      <c r="H141" s="63">
        <v>0.17422222222222222</v>
      </c>
      <c r="I141" s="64">
        <v>10949.346405228758</v>
      </c>
      <c r="J141" s="64">
        <v>-7937.2448979591836</v>
      </c>
      <c r="K141" s="63">
        <v>0.11594202898550725</v>
      </c>
      <c r="L141" s="63">
        <v>0.29599999999999999</v>
      </c>
      <c r="M141" s="63">
        <v>0.18133333333333335</v>
      </c>
      <c r="N141" s="63">
        <v>0.5495495495495496</v>
      </c>
      <c r="O141" s="63">
        <v>0.36764705882352944</v>
      </c>
      <c r="P141" s="63">
        <v>0.50980392156862742</v>
      </c>
    </row>
    <row r="142" spans="1:16" x14ac:dyDescent="0.45">
      <c r="A142" s="65">
        <v>139</v>
      </c>
      <c r="B142" s="62">
        <v>581.90000000000055</v>
      </c>
      <c r="C142" s="62">
        <v>4.1863309352518021</v>
      </c>
      <c r="D142" s="67">
        <v>1.9136690647482015</v>
      </c>
      <c r="E142" s="63">
        <v>0.40287769784172661</v>
      </c>
      <c r="F142" s="63">
        <v>0.31654676258992803</v>
      </c>
      <c r="G142" s="63">
        <v>0.27208480565371024</v>
      </c>
      <c r="H142" s="63">
        <v>0.17402826855123674</v>
      </c>
      <c r="I142" s="64">
        <v>10969.155844155845</v>
      </c>
      <c r="J142" s="64">
        <v>-7926.3959390862947</v>
      </c>
      <c r="K142" s="63">
        <v>0.11510791366906475</v>
      </c>
      <c r="L142" s="63">
        <v>0.29593639575971731</v>
      </c>
      <c r="M142" s="63">
        <v>0.18197879858657243</v>
      </c>
      <c r="N142" s="63">
        <v>0.54925373134328359</v>
      </c>
      <c r="O142" s="63">
        <v>0.36893203883495146</v>
      </c>
      <c r="P142" s="63">
        <v>0.51298701298701299</v>
      </c>
    </row>
    <row r="143" spans="1:16" x14ac:dyDescent="0.45">
      <c r="A143" s="65">
        <v>140</v>
      </c>
      <c r="B143" s="62">
        <v>587.90000000000055</v>
      </c>
      <c r="C143" s="62">
        <v>4.1992857142857183</v>
      </c>
      <c r="D143" s="67">
        <v>1.9142857142857144</v>
      </c>
      <c r="E143" s="63">
        <v>0.4</v>
      </c>
      <c r="F143" s="63">
        <v>0.31428571428571428</v>
      </c>
      <c r="G143" s="63">
        <v>0.27192982456140352</v>
      </c>
      <c r="H143" s="63">
        <v>0.1736842105263158</v>
      </c>
      <c r="I143" s="64">
        <v>11027.41935483871</v>
      </c>
      <c r="J143" s="64">
        <v>-7946.969696969697</v>
      </c>
      <c r="K143" s="63">
        <v>0.11428571428571428</v>
      </c>
      <c r="L143" s="63">
        <v>0.29736842105263156</v>
      </c>
      <c r="M143" s="63">
        <v>0.18245614035087721</v>
      </c>
      <c r="N143" s="63">
        <v>0.54867256637168138</v>
      </c>
      <c r="O143" s="63">
        <v>0.36538461538461536</v>
      </c>
      <c r="P143" s="63">
        <v>0.5161290322580645</v>
      </c>
    </row>
    <row r="144" spans="1:16" x14ac:dyDescent="0.45">
      <c r="A144" s="65">
        <v>141</v>
      </c>
      <c r="B144" s="62">
        <v>534.90000000000055</v>
      </c>
      <c r="C144" s="62">
        <v>3.7936170212765998</v>
      </c>
      <c r="D144" s="67">
        <v>1.9219858156028369</v>
      </c>
      <c r="E144" s="63">
        <v>0.3971631205673759</v>
      </c>
      <c r="F144" s="63">
        <v>0.31914893617021278</v>
      </c>
      <c r="G144" s="63">
        <v>0.27097902097902099</v>
      </c>
      <c r="H144" s="63">
        <v>0.17482517482517482</v>
      </c>
      <c r="I144" s="64">
        <v>11027.41935483871</v>
      </c>
      <c r="J144" s="64">
        <v>-8017.5</v>
      </c>
      <c r="K144" s="63">
        <v>0.12056737588652482</v>
      </c>
      <c r="L144" s="63">
        <v>0.29720279720279719</v>
      </c>
      <c r="M144" s="63">
        <v>0.18269230769230768</v>
      </c>
      <c r="N144" s="63">
        <v>0.54705882352941182</v>
      </c>
      <c r="O144" s="63">
        <v>0.36363636363636365</v>
      </c>
      <c r="P144" s="63">
        <v>0.5161290322580645</v>
      </c>
    </row>
    <row r="145" spans="1:16" x14ac:dyDescent="0.45">
      <c r="A145" s="65">
        <v>142</v>
      </c>
      <c r="B145" s="62">
        <v>551.50000000000057</v>
      </c>
      <c r="C145" s="62">
        <v>3.8838028169014125</v>
      </c>
      <c r="D145" s="67">
        <v>1.9225352112676057</v>
      </c>
      <c r="E145" s="63">
        <v>0.39436619718309857</v>
      </c>
      <c r="F145" s="63">
        <v>0.31690140845070425</v>
      </c>
      <c r="G145" s="63">
        <v>0.27146574154379877</v>
      </c>
      <c r="H145" s="63">
        <v>0.17519514310494363</v>
      </c>
      <c r="I145" s="64">
        <v>11062.300319488819</v>
      </c>
      <c r="J145" s="64">
        <v>-8076.2376237623766</v>
      </c>
      <c r="K145" s="63">
        <v>0.11971830985915492</v>
      </c>
      <c r="L145" s="63">
        <v>0.29835212489158719</v>
      </c>
      <c r="M145" s="63">
        <v>0.18300086730268864</v>
      </c>
      <c r="N145" s="63">
        <v>0.54360465116279066</v>
      </c>
      <c r="O145" s="63">
        <v>0.36966824644549762</v>
      </c>
      <c r="P145" s="63">
        <v>0.51757188498402551</v>
      </c>
    </row>
    <row r="146" spans="1:16" x14ac:dyDescent="0.45">
      <c r="A146" s="65">
        <v>143</v>
      </c>
      <c r="B146" s="62">
        <v>528.30000000000052</v>
      </c>
      <c r="C146" s="62">
        <v>3.6944055944055982</v>
      </c>
      <c r="D146" s="67">
        <v>1.93006993006993</v>
      </c>
      <c r="E146" s="63">
        <v>0.39160839160839161</v>
      </c>
      <c r="F146" s="63">
        <v>0.32167832167832167</v>
      </c>
      <c r="G146" s="63">
        <v>0.27155172413793105</v>
      </c>
      <c r="H146" s="63">
        <v>0.17413793103448275</v>
      </c>
      <c r="I146" s="64">
        <v>11036.825396825398</v>
      </c>
      <c r="J146" s="64">
        <v>-8076.2376237623766</v>
      </c>
      <c r="K146" s="63">
        <v>0.11888111888111888</v>
      </c>
      <c r="L146" s="63">
        <v>0.29913793103448277</v>
      </c>
      <c r="M146" s="63">
        <v>0.18362068965517242</v>
      </c>
      <c r="N146" s="63">
        <v>0.5417867435158501</v>
      </c>
      <c r="O146" s="63">
        <v>0.37089201877934275</v>
      </c>
      <c r="P146" s="63">
        <v>0.51746031746031751</v>
      </c>
    </row>
    <row r="147" spans="1:16" x14ac:dyDescent="0.45">
      <c r="A147" s="65">
        <v>144</v>
      </c>
      <c r="B147" s="62">
        <v>480.90000000000055</v>
      </c>
      <c r="C147" s="62">
        <v>3.3395833333333371</v>
      </c>
      <c r="D147" s="67">
        <v>1.9375</v>
      </c>
      <c r="E147" s="63">
        <v>0.3888888888888889</v>
      </c>
      <c r="F147" s="63">
        <v>0.3263888888888889</v>
      </c>
      <c r="G147" s="63">
        <v>0.27163667523564694</v>
      </c>
      <c r="H147" s="63">
        <v>0.17395029991431019</v>
      </c>
      <c r="I147" s="64">
        <v>11041.640378548896</v>
      </c>
      <c r="J147" s="64">
        <v>-8272.9064039408859</v>
      </c>
      <c r="K147" s="63">
        <v>0.125</v>
      </c>
      <c r="L147" s="63">
        <v>0.29820051413881749</v>
      </c>
      <c r="M147" s="63">
        <v>0.18337617823479005</v>
      </c>
      <c r="N147" s="63">
        <v>0.54022988505747127</v>
      </c>
      <c r="O147" s="63">
        <v>0.37383177570093457</v>
      </c>
      <c r="P147" s="63">
        <v>0.51419558359621453</v>
      </c>
    </row>
    <row r="148" spans="1:16" x14ac:dyDescent="0.45">
      <c r="A148" s="65">
        <v>145</v>
      </c>
      <c r="B148" s="62">
        <v>496.00000000000057</v>
      </c>
      <c r="C148" s="62">
        <v>3.4206896551724175</v>
      </c>
      <c r="D148" s="67">
        <v>1.9379310344827587</v>
      </c>
      <c r="E148" s="63">
        <v>0.38620689655172413</v>
      </c>
      <c r="F148" s="63">
        <v>0.32413793103448274</v>
      </c>
      <c r="G148" s="63">
        <v>0.27257240204429301</v>
      </c>
      <c r="H148" s="63">
        <v>0.17461669505962521</v>
      </c>
      <c r="I148" s="64">
        <v>11038.125</v>
      </c>
      <c r="J148" s="64">
        <v>-8269.7560975609758</v>
      </c>
      <c r="K148" s="63">
        <v>0.12413793103448276</v>
      </c>
      <c r="L148" s="63">
        <v>0.29727427597955708</v>
      </c>
      <c r="M148" s="63">
        <v>0.18483816013628621</v>
      </c>
      <c r="N148" s="63">
        <v>0.5386819484240688</v>
      </c>
      <c r="O148" s="63">
        <v>0.38248847926267282</v>
      </c>
      <c r="P148" s="63">
        <v>0.50937500000000002</v>
      </c>
    </row>
    <row r="149" spans="1:16" x14ac:dyDescent="0.45">
      <c r="A149" s="65">
        <v>146</v>
      </c>
      <c r="B149" s="62">
        <v>449.90000000000055</v>
      </c>
      <c r="C149" s="62">
        <v>3.0815068493150721</v>
      </c>
      <c r="D149" s="67">
        <v>1.9452054794520548</v>
      </c>
      <c r="E149" s="63">
        <v>0.38356164383561642</v>
      </c>
      <c r="F149" s="63">
        <v>0.32876712328767121</v>
      </c>
      <c r="G149" s="63">
        <v>0.27164685908319186</v>
      </c>
      <c r="H149" s="63">
        <v>0.17487266553480477</v>
      </c>
      <c r="I149" s="64">
        <v>11038.125</v>
      </c>
      <c r="J149" s="64">
        <v>-8384.9514563106804</v>
      </c>
      <c r="K149" s="63">
        <v>0.13013698630136986</v>
      </c>
      <c r="L149" s="63">
        <v>0.29626485568760613</v>
      </c>
      <c r="M149" s="63">
        <v>0.18421052631578946</v>
      </c>
      <c r="N149" s="63">
        <v>0.5386819484240688</v>
      </c>
      <c r="O149" s="63">
        <v>0.38248847926267282</v>
      </c>
      <c r="P149" s="63">
        <v>0.50937500000000002</v>
      </c>
    </row>
    <row r="150" spans="1:16" x14ac:dyDescent="0.45">
      <c r="A150" s="65">
        <v>147</v>
      </c>
      <c r="B150" s="62">
        <v>524.00000000000057</v>
      </c>
      <c r="C150" s="62">
        <v>3.56462585034014</v>
      </c>
      <c r="D150" s="67">
        <v>1.9387755102040816</v>
      </c>
      <c r="E150" s="63">
        <v>0.38775510204081631</v>
      </c>
      <c r="F150" s="63">
        <v>0.32653061224489793</v>
      </c>
      <c r="G150" s="63">
        <v>0.27387996618765847</v>
      </c>
      <c r="H150" s="63">
        <v>0.17413355874894337</v>
      </c>
      <c r="I150" s="64">
        <v>11087.037037037036</v>
      </c>
      <c r="J150" s="64">
        <v>-8384.9514563106804</v>
      </c>
      <c r="K150" s="63">
        <v>0.12925170068027211</v>
      </c>
      <c r="L150" s="63">
        <v>0.2967032967032967</v>
      </c>
      <c r="M150" s="63">
        <v>0.18427726120033813</v>
      </c>
      <c r="N150" s="63">
        <v>0.54131054131054135</v>
      </c>
      <c r="O150" s="63">
        <v>0.38532110091743121</v>
      </c>
      <c r="P150" s="63">
        <v>0.51543209876543206</v>
      </c>
    </row>
    <row r="151" spans="1:16" x14ac:dyDescent="0.45">
      <c r="A151" s="65">
        <v>148</v>
      </c>
      <c r="B151" s="62">
        <v>514.50000000000057</v>
      </c>
      <c r="C151" s="62">
        <v>3.4763513513513553</v>
      </c>
      <c r="D151" s="67">
        <v>1.9391891891891893</v>
      </c>
      <c r="E151" s="63">
        <v>0.38513513513513514</v>
      </c>
      <c r="F151" s="63">
        <v>0.32432432432432434</v>
      </c>
      <c r="G151" s="63">
        <v>0.27318718381112983</v>
      </c>
      <c r="H151" s="63">
        <v>0.17369308600337269</v>
      </c>
      <c r="I151" s="64">
        <v>11087.037037037036</v>
      </c>
      <c r="J151" s="64">
        <v>-8384.9514563106804</v>
      </c>
      <c r="K151" s="63">
        <v>0.12837837837837837</v>
      </c>
      <c r="L151" s="63">
        <v>0.29595278246205736</v>
      </c>
      <c r="M151" s="63">
        <v>0.18465430016863407</v>
      </c>
      <c r="N151" s="63">
        <v>0.54131054131054135</v>
      </c>
      <c r="O151" s="63">
        <v>0.38356164383561642</v>
      </c>
      <c r="P151" s="63">
        <v>0.51543209876543206</v>
      </c>
    </row>
    <row r="152" spans="1:16" x14ac:dyDescent="0.45">
      <c r="A152" s="65">
        <v>149</v>
      </c>
      <c r="B152" s="62">
        <v>570.00000000000057</v>
      </c>
      <c r="C152" s="62">
        <v>3.825503355704702</v>
      </c>
      <c r="D152" s="67">
        <v>1.9328859060402686</v>
      </c>
      <c r="E152" s="63">
        <v>0.38926174496644295</v>
      </c>
      <c r="F152" s="63">
        <v>0.32214765100671139</v>
      </c>
      <c r="G152" s="63">
        <v>0.27417998317914216</v>
      </c>
      <c r="H152" s="63">
        <v>0.17325483599663583</v>
      </c>
      <c r="I152" s="64">
        <v>11153.98773006135</v>
      </c>
      <c r="J152" s="64">
        <v>-8384.9514563106804</v>
      </c>
      <c r="K152" s="63">
        <v>0.12751677852348994</v>
      </c>
      <c r="L152" s="63">
        <v>0.29604709840201848</v>
      </c>
      <c r="M152" s="63">
        <v>0.18418839360807401</v>
      </c>
      <c r="N152" s="63">
        <v>0.54261363636363635</v>
      </c>
      <c r="O152" s="63">
        <v>0.38356164383561642</v>
      </c>
      <c r="P152" s="63">
        <v>0.51533742331288346</v>
      </c>
    </row>
    <row r="153" spans="1:16" x14ac:dyDescent="0.45">
      <c r="A153" s="65">
        <v>150</v>
      </c>
      <c r="B153" s="62">
        <v>598.20000000000061</v>
      </c>
      <c r="C153" s="62">
        <v>3.988000000000004</v>
      </c>
      <c r="D153" s="67">
        <v>1.9266666666666667</v>
      </c>
      <c r="E153" s="63">
        <v>0.39333333333333331</v>
      </c>
      <c r="F153" s="63">
        <v>0.32</v>
      </c>
      <c r="G153" s="63">
        <v>0.27447698744769872</v>
      </c>
      <c r="H153" s="63">
        <v>0.17322175732217573</v>
      </c>
      <c r="I153" s="64">
        <v>11175</v>
      </c>
      <c r="J153" s="64">
        <v>-8402.4154589371974</v>
      </c>
      <c r="K153" s="63">
        <v>0.12666666666666668</v>
      </c>
      <c r="L153" s="63">
        <v>0.29623430962343095</v>
      </c>
      <c r="M153" s="63">
        <v>0.18326359832635983</v>
      </c>
      <c r="N153" s="63">
        <v>0.5423728813559322</v>
      </c>
      <c r="O153" s="63">
        <v>0.38356164383561642</v>
      </c>
      <c r="P153" s="63">
        <v>0.51219512195121952</v>
      </c>
    </row>
    <row r="154" spans="1:16" x14ac:dyDescent="0.45">
      <c r="A154" s="65">
        <v>151</v>
      </c>
      <c r="B154" s="62">
        <v>593.50000000000057</v>
      </c>
      <c r="C154" s="62">
        <v>3.9304635761589442</v>
      </c>
      <c r="D154" s="67">
        <v>1.9271523178807948</v>
      </c>
      <c r="E154" s="63">
        <v>0.39072847682119205</v>
      </c>
      <c r="F154" s="63">
        <v>0.31788079470198677</v>
      </c>
      <c r="G154" s="63">
        <v>0.27377998345740279</v>
      </c>
      <c r="H154" s="63">
        <v>0.17369727047146402</v>
      </c>
      <c r="I154" s="64">
        <v>11139.2749244713</v>
      </c>
      <c r="J154" s="64">
        <v>-8387.1428571428569</v>
      </c>
      <c r="K154" s="63">
        <v>0.12582781456953643</v>
      </c>
      <c r="L154" s="63">
        <v>0.29528535980148884</v>
      </c>
      <c r="M154" s="63">
        <v>0.18527708850289495</v>
      </c>
      <c r="N154" s="63">
        <v>0.54061624649859941</v>
      </c>
      <c r="O154" s="63">
        <v>0.38392857142857145</v>
      </c>
      <c r="P154" s="63">
        <v>0.51057401812688818</v>
      </c>
    </row>
    <row r="155" spans="1:16" x14ac:dyDescent="0.45">
      <c r="A155" s="65">
        <v>152</v>
      </c>
      <c r="B155" s="62">
        <v>623.50000000000057</v>
      </c>
      <c r="C155" s="62">
        <v>4.1019736842105301</v>
      </c>
      <c r="D155" s="67">
        <v>1.9210526315789473</v>
      </c>
      <c r="E155" s="63">
        <v>0.39473684210526316</v>
      </c>
      <c r="F155" s="63">
        <v>0.31578947368421051</v>
      </c>
      <c r="G155" s="63">
        <v>0.27399507793273176</v>
      </c>
      <c r="H155" s="63">
        <v>0.17309269893355209</v>
      </c>
      <c r="I155" s="64">
        <v>11133.832335329342</v>
      </c>
      <c r="J155" s="64">
        <v>-8359.7156398104271</v>
      </c>
      <c r="K155" s="63">
        <v>0.125</v>
      </c>
      <c r="L155" s="63">
        <v>0.29532403609515995</v>
      </c>
      <c r="M155" s="63">
        <v>0.18457752255947499</v>
      </c>
      <c r="N155" s="63">
        <v>0.54166666666666663</v>
      </c>
      <c r="O155" s="63">
        <v>0.38666666666666666</v>
      </c>
      <c r="P155" s="63">
        <v>0.5119760479041916</v>
      </c>
    </row>
    <row r="156" spans="1:16" x14ac:dyDescent="0.45">
      <c r="A156" s="65">
        <v>153</v>
      </c>
      <c r="B156" s="62">
        <v>682.50000000000057</v>
      </c>
      <c r="C156" s="62">
        <v>4.4607843137254939</v>
      </c>
      <c r="D156" s="67">
        <v>1.9150326797385622</v>
      </c>
      <c r="E156" s="63">
        <v>0.39869281045751637</v>
      </c>
      <c r="F156" s="63">
        <v>0.31372549019607843</v>
      </c>
      <c r="G156" s="63">
        <v>0.27591836734693875</v>
      </c>
      <c r="H156" s="63">
        <v>0.17306122448979591</v>
      </c>
      <c r="I156" s="64">
        <v>11166.863905325445</v>
      </c>
      <c r="J156" s="64">
        <v>-8356.6037735849059</v>
      </c>
      <c r="K156" s="63">
        <v>0.12418300653594772</v>
      </c>
      <c r="L156" s="63">
        <v>0.29551020408163264</v>
      </c>
      <c r="M156" s="63">
        <v>0.18612244897959185</v>
      </c>
      <c r="N156" s="63">
        <v>0.54143646408839774</v>
      </c>
      <c r="O156" s="63">
        <v>0.39035087719298245</v>
      </c>
      <c r="P156" s="63">
        <v>0.51183431952662717</v>
      </c>
    </row>
    <row r="157" spans="1:16" x14ac:dyDescent="0.45">
      <c r="A157" s="65">
        <v>154</v>
      </c>
      <c r="B157" s="62">
        <v>699.00000000000057</v>
      </c>
      <c r="C157" s="62">
        <v>4.5389610389610429</v>
      </c>
      <c r="D157" s="67">
        <v>1.9090909090909092</v>
      </c>
      <c r="E157" s="63">
        <v>0.40259740259740262</v>
      </c>
      <c r="F157" s="63">
        <v>0.31168831168831168</v>
      </c>
      <c r="G157" s="63">
        <v>0.27625201938610661</v>
      </c>
      <c r="H157" s="63">
        <v>0.172859450726979</v>
      </c>
      <c r="I157" s="64">
        <v>11169.883040935672</v>
      </c>
      <c r="J157" s="64">
        <v>-8370.5607476635505</v>
      </c>
      <c r="K157" s="63">
        <v>0.12337662337662338</v>
      </c>
      <c r="L157" s="63">
        <v>0.2940226171243942</v>
      </c>
      <c r="M157" s="63">
        <v>0.18659127625201938</v>
      </c>
      <c r="N157" s="63">
        <v>0.54395604395604391</v>
      </c>
      <c r="O157" s="63">
        <v>0.38961038961038963</v>
      </c>
      <c r="P157" s="63">
        <v>0.51169590643274854</v>
      </c>
    </row>
    <row r="158" spans="1:16" x14ac:dyDescent="0.45">
      <c r="A158" s="65">
        <v>155</v>
      </c>
      <c r="B158" s="62">
        <v>713.80000000000052</v>
      </c>
      <c r="C158" s="62">
        <v>4.6051612903225836</v>
      </c>
      <c r="D158" s="67">
        <v>1.9096774193548387</v>
      </c>
      <c r="E158" s="63">
        <v>0.4</v>
      </c>
      <c r="F158" s="63">
        <v>0.30967741935483872</v>
      </c>
      <c r="G158" s="63">
        <v>0.27644230769230771</v>
      </c>
      <c r="H158" s="63">
        <v>0.17227564102564102</v>
      </c>
      <c r="I158" s="64">
        <v>11155.36231884058</v>
      </c>
      <c r="J158" s="64">
        <v>-8355.8139534883721</v>
      </c>
      <c r="K158" s="63">
        <v>0.12258064516129032</v>
      </c>
      <c r="L158" s="63">
        <v>0.29407051282051283</v>
      </c>
      <c r="M158" s="63">
        <v>0.18669871794871795</v>
      </c>
      <c r="N158" s="63">
        <v>0.54495912806539515</v>
      </c>
      <c r="O158" s="63">
        <v>0.3905579399141631</v>
      </c>
      <c r="P158" s="63">
        <v>0.51014492753623186</v>
      </c>
    </row>
    <row r="159" spans="1:16" x14ac:dyDescent="0.45">
      <c r="A159" s="65">
        <v>156</v>
      </c>
      <c r="B159" s="62">
        <v>695.10000000000048</v>
      </c>
      <c r="C159" s="62">
        <v>4.455769230769234</v>
      </c>
      <c r="D159" s="67">
        <v>1.9166666666666667</v>
      </c>
      <c r="E159" s="63">
        <v>0.39743589743589741</v>
      </c>
      <c r="F159" s="63">
        <v>0.3141025641025641</v>
      </c>
      <c r="G159" s="63">
        <v>0.27627388535031849</v>
      </c>
      <c r="H159" s="63">
        <v>0.17197452229299362</v>
      </c>
      <c r="I159" s="64">
        <v>11137.175792507205</v>
      </c>
      <c r="J159" s="64">
        <v>-8354.1666666666661</v>
      </c>
      <c r="K159" s="63">
        <v>0.12179487179487179</v>
      </c>
      <c r="L159" s="63">
        <v>0.2929936305732484</v>
      </c>
      <c r="M159" s="63">
        <v>0.18630573248407642</v>
      </c>
      <c r="N159" s="63">
        <v>0.54619565217391308</v>
      </c>
      <c r="O159" s="63">
        <v>0.3888888888888889</v>
      </c>
      <c r="P159" s="63">
        <v>0.51008645533141206</v>
      </c>
    </row>
    <row r="160" spans="1:16" x14ac:dyDescent="0.45">
      <c r="A160" s="65">
        <v>157</v>
      </c>
      <c r="B160" s="62">
        <v>756.00000000000045</v>
      </c>
      <c r="C160" s="62">
        <v>4.8152866242038241</v>
      </c>
      <c r="D160" s="67">
        <v>1.910828025477707</v>
      </c>
      <c r="E160" s="63">
        <v>0.40127388535031849</v>
      </c>
      <c r="F160" s="63">
        <v>0.31210191082802546</v>
      </c>
      <c r="G160" s="63">
        <v>0.27711797307996833</v>
      </c>
      <c r="H160" s="63">
        <v>0.17181314330958036</v>
      </c>
      <c r="I160" s="64">
        <v>11190.285714285714</v>
      </c>
      <c r="J160" s="64">
        <v>-8324.8847926267281</v>
      </c>
      <c r="K160" s="63">
        <v>0.12101910828025478</v>
      </c>
      <c r="L160" s="63">
        <v>0.29453681710213775</v>
      </c>
      <c r="M160" s="63">
        <v>0.18685669041963579</v>
      </c>
      <c r="N160" s="63">
        <v>0.54569892473118276</v>
      </c>
      <c r="O160" s="63">
        <v>0.38983050847457629</v>
      </c>
      <c r="P160" s="63">
        <v>0.51142857142857145</v>
      </c>
    </row>
    <row r="161" spans="1:16" x14ac:dyDescent="0.45">
      <c r="A161" s="65">
        <v>158</v>
      </c>
      <c r="B161" s="62">
        <v>741.60000000000048</v>
      </c>
      <c r="C161" s="62">
        <v>4.6936708860759522</v>
      </c>
      <c r="D161" s="67">
        <v>1.9177215189873418</v>
      </c>
      <c r="E161" s="63">
        <v>0.39873417721518989</v>
      </c>
      <c r="F161" s="63">
        <v>0.31645569620253167</v>
      </c>
      <c r="G161" s="63">
        <v>0.27699530516431925</v>
      </c>
      <c r="H161" s="63">
        <v>0.17136150234741784</v>
      </c>
      <c r="I161" s="64">
        <v>11125.141242937852</v>
      </c>
      <c r="J161" s="64">
        <v>-8293.1506849315065</v>
      </c>
      <c r="K161" s="63">
        <v>0.12025316455696203</v>
      </c>
      <c r="L161" s="63">
        <v>0.2949921752738654</v>
      </c>
      <c r="M161" s="63">
        <v>0.18622848200312989</v>
      </c>
      <c r="N161" s="63">
        <v>0.54376657824933683</v>
      </c>
      <c r="O161" s="63">
        <v>0.3907563025210084</v>
      </c>
      <c r="P161" s="63">
        <v>0.51412429378531077</v>
      </c>
    </row>
    <row r="162" spans="1:16" x14ac:dyDescent="0.45">
      <c r="A162" s="65">
        <v>159</v>
      </c>
      <c r="B162" s="62">
        <v>699.60000000000048</v>
      </c>
      <c r="C162" s="62">
        <v>4.400000000000003</v>
      </c>
      <c r="D162" s="67">
        <v>1.9245283018867925</v>
      </c>
      <c r="E162" s="63">
        <v>0.39622641509433965</v>
      </c>
      <c r="F162" s="63">
        <v>0.32075471698113206</v>
      </c>
      <c r="G162" s="63">
        <v>0.27527216174183516</v>
      </c>
      <c r="H162" s="63">
        <v>0.17107309486780714</v>
      </c>
      <c r="I162" s="64">
        <v>11125.141242937852</v>
      </c>
      <c r="J162" s="64">
        <v>-8364.545454545454</v>
      </c>
      <c r="K162" s="63">
        <v>0.11949685534591195</v>
      </c>
      <c r="L162" s="63">
        <v>0.29471228615863143</v>
      </c>
      <c r="M162" s="63">
        <v>0.18662519440124417</v>
      </c>
      <c r="N162" s="63">
        <v>0.54089709762532978</v>
      </c>
      <c r="O162" s="63">
        <v>0.38750000000000001</v>
      </c>
      <c r="P162" s="63">
        <v>0.51412429378531077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5BC82-74F6-4143-8AB4-45FB05BACC74}">
  <sheetPr codeName="Sheet14"/>
  <dimension ref="A1:Q10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5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  <row r="102" spans="1:16" x14ac:dyDescent="0.45">
      <c r="A102" s="65">
        <v>99</v>
      </c>
      <c r="B102" s="62">
        <v>-707.4</v>
      </c>
      <c r="C102" s="62">
        <v>-7.1454545454545455</v>
      </c>
      <c r="D102" s="67">
        <v>2.1818181818181817</v>
      </c>
      <c r="E102" s="63">
        <v>0.21212121212121213</v>
      </c>
      <c r="F102" s="63">
        <v>0.39393939393939392</v>
      </c>
      <c r="G102" s="63">
        <v>0.26846424384525203</v>
      </c>
      <c r="H102" s="63">
        <v>0.1817116060961313</v>
      </c>
      <c r="I102" s="64">
        <v>7835.8078602620089</v>
      </c>
      <c r="J102" s="64">
        <v>-7840.6451612903229</v>
      </c>
      <c r="K102" s="63">
        <v>7.0707070707070704E-2</v>
      </c>
      <c r="L102" s="63">
        <v>0.27549824150058616</v>
      </c>
      <c r="M102" s="63">
        <v>0.1910902696365768</v>
      </c>
      <c r="N102" s="63">
        <v>0.54042553191489362</v>
      </c>
      <c r="O102" s="63">
        <v>0.41104294478527609</v>
      </c>
      <c r="P102" s="63">
        <v>0.46724890829694321</v>
      </c>
    </row>
    <row r="103" spans="1:16" x14ac:dyDescent="0.45">
      <c r="A103" s="65">
        <v>100</v>
      </c>
      <c r="B103" s="62">
        <v>-752.69999999999993</v>
      </c>
      <c r="C103" s="62">
        <v>-7.5269999999999992</v>
      </c>
      <c r="D103" s="67">
        <v>2.19</v>
      </c>
      <c r="E103" s="63">
        <v>0.21</v>
      </c>
      <c r="F103" s="63">
        <v>0.4</v>
      </c>
      <c r="G103" s="63">
        <v>0.26535341830822712</v>
      </c>
      <c r="H103" s="63">
        <v>0.18308227114716108</v>
      </c>
      <c r="I103" s="64">
        <v>7835.8078602620089</v>
      </c>
      <c r="J103" s="64">
        <v>-7813.9240506329115</v>
      </c>
      <c r="K103" s="63">
        <v>0.08</v>
      </c>
      <c r="L103" s="63">
        <v>0.27346465816917731</v>
      </c>
      <c r="M103" s="63">
        <v>0.19119351100811124</v>
      </c>
      <c r="N103" s="63">
        <v>0.53813559322033899</v>
      </c>
      <c r="O103" s="63">
        <v>0.40606060606060607</v>
      </c>
      <c r="P103" s="63">
        <v>0.46724890829694321</v>
      </c>
    </row>
    <row r="104" spans="1:16" x14ac:dyDescent="0.45">
      <c r="A104" s="65">
        <v>101</v>
      </c>
      <c r="B104" s="62">
        <v>-765.99999999999989</v>
      </c>
      <c r="C104" s="62">
        <v>-7.5841584158415829</v>
      </c>
      <c r="D104" s="67">
        <v>2.1980198019801982</v>
      </c>
      <c r="E104" s="63">
        <v>0.20792079207920791</v>
      </c>
      <c r="F104" s="63">
        <v>0.40594059405940597</v>
      </c>
      <c r="G104" s="63">
        <v>0.26551724137931032</v>
      </c>
      <c r="H104" s="63">
        <v>0.18275862068965518</v>
      </c>
      <c r="I104" s="64">
        <v>7819.4805194805194</v>
      </c>
      <c r="J104" s="64">
        <v>-7813.2075471698117</v>
      </c>
      <c r="K104" s="63">
        <v>7.9207920792079209E-2</v>
      </c>
      <c r="L104" s="63">
        <v>0.27471264367816089</v>
      </c>
      <c r="M104" s="63">
        <v>0.19195402298850575</v>
      </c>
      <c r="N104" s="63">
        <v>0.53974895397489542</v>
      </c>
      <c r="O104" s="63">
        <v>0.40119760479041916</v>
      </c>
      <c r="P104" s="63">
        <v>0.46753246753246752</v>
      </c>
    </row>
    <row r="105" spans="1:16" x14ac:dyDescent="0.45">
      <c r="A105" s="65">
        <v>102</v>
      </c>
      <c r="B105" s="62">
        <v>-759.19999999999993</v>
      </c>
      <c r="C105" s="62">
        <v>-7.4431372549019601</v>
      </c>
      <c r="D105" s="67">
        <v>2.1960784313725492</v>
      </c>
      <c r="E105" s="63">
        <v>0.20588235294117646</v>
      </c>
      <c r="F105" s="63">
        <v>0.40196078431372551</v>
      </c>
      <c r="G105" s="63">
        <v>0.26560726447219069</v>
      </c>
      <c r="H105" s="63">
        <v>0.18161180476730987</v>
      </c>
      <c r="I105" s="64">
        <v>7844.0170940170938</v>
      </c>
      <c r="J105" s="64">
        <v>-7839.375</v>
      </c>
      <c r="K105" s="63">
        <v>7.8431372549019607E-2</v>
      </c>
      <c r="L105" s="63">
        <v>0.27582292849035189</v>
      </c>
      <c r="M105" s="63">
        <v>0.19069239500567536</v>
      </c>
      <c r="N105" s="63">
        <v>0.53909465020576131</v>
      </c>
      <c r="O105" s="63">
        <v>0.39880952380952384</v>
      </c>
      <c r="P105" s="63">
        <v>0.47435897435897434</v>
      </c>
    </row>
    <row r="106" spans="1:16" x14ac:dyDescent="0.45">
      <c r="A106" s="65">
        <v>103</v>
      </c>
      <c r="B106" s="62">
        <v>-740.9</v>
      </c>
      <c r="C106" s="62">
        <v>-7.1932038834951451</v>
      </c>
      <c r="D106" s="67">
        <v>2.1844660194174756</v>
      </c>
      <c r="E106" s="63">
        <v>0.21359223300970873</v>
      </c>
      <c r="F106" s="63">
        <v>0.39805825242718446</v>
      </c>
      <c r="G106" s="63">
        <v>0.26674107142857145</v>
      </c>
      <c r="H106" s="63">
        <v>0.1796875</v>
      </c>
      <c r="I106" s="64">
        <v>7822.5941422594142</v>
      </c>
      <c r="J106" s="64">
        <v>-7849.6894409937886</v>
      </c>
      <c r="K106" s="63">
        <v>7.7669902912621352E-2</v>
      </c>
      <c r="L106" s="63">
        <v>0.2767857142857143</v>
      </c>
      <c r="M106" s="63">
        <v>0.19419642857142858</v>
      </c>
      <c r="N106" s="63">
        <v>0.54032258064516125</v>
      </c>
      <c r="O106" s="63">
        <v>0.39655172413793105</v>
      </c>
      <c r="P106" s="63">
        <v>0.47698744769874479</v>
      </c>
    </row>
    <row r="107" spans="1:16" x14ac:dyDescent="0.45">
      <c r="A107" s="65">
        <v>104</v>
      </c>
      <c r="B107" s="62">
        <v>-762.1</v>
      </c>
      <c r="C107" s="62">
        <v>-7.3278846153846153</v>
      </c>
      <c r="D107" s="67">
        <v>2.1923076923076925</v>
      </c>
      <c r="E107" s="63">
        <v>0.21153846153846154</v>
      </c>
      <c r="F107" s="63">
        <v>0.40384615384615385</v>
      </c>
      <c r="G107" s="63">
        <v>0.26629834254143647</v>
      </c>
      <c r="H107" s="63">
        <v>0.18342541436464088</v>
      </c>
      <c r="I107" s="64">
        <v>7848.1327800829877</v>
      </c>
      <c r="J107" s="64">
        <v>-7790.9638554216872</v>
      </c>
      <c r="K107" s="63">
        <v>7.6923076923076927E-2</v>
      </c>
      <c r="L107" s="63">
        <v>0.27624309392265195</v>
      </c>
      <c r="M107" s="63">
        <v>0.19337016574585636</v>
      </c>
      <c r="N107" s="63">
        <v>0.54</v>
      </c>
      <c r="O107" s="63">
        <v>0.39428571428571429</v>
      </c>
      <c r="P107" s="63">
        <v>0.47302904564315351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9AFFF-2F2F-41C2-9BA4-A1DA8B97F3E8}">
  <sheetPr codeName="Sheet12"/>
  <dimension ref="A1:Q18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5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5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5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5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5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5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5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5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5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 x14ac:dyDescent="0.45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 x14ac:dyDescent="0.45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 x14ac:dyDescent="0.45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  <row r="169" spans="1:16" x14ac:dyDescent="0.45">
      <c r="A169" s="65">
        <v>166</v>
      </c>
      <c r="B169" s="62">
        <v>-22.900000000000194</v>
      </c>
      <c r="C169" s="62">
        <v>-0.13795180722891684</v>
      </c>
      <c r="D169" s="67">
        <v>1.9759036144578312</v>
      </c>
      <c r="E169" s="63">
        <v>0.34337349397590361</v>
      </c>
      <c r="F169" s="63">
        <v>0.31927710843373491</v>
      </c>
      <c r="G169" s="63">
        <v>0.31059506531204645</v>
      </c>
      <c r="H169" s="63">
        <v>0.17851959361393324</v>
      </c>
      <c r="I169" s="64">
        <v>8027.336448598131</v>
      </c>
      <c r="J169" s="64">
        <v>-8018.6991869918702</v>
      </c>
      <c r="K169" s="63">
        <v>0.10843373493975904</v>
      </c>
      <c r="L169" s="63">
        <v>0.23149492017416545</v>
      </c>
      <c r="M169" s="63">
        <v>0.3026124818577649</v>
      </c>
      <c r="N169" s="63">
        <v>0.51410658307210033</v>
      </c>
      <c r="O169" s="63">
        <v>0.38129496402877699</v>
      </c>
      <c r="P169" s="63">
        <v>0.4135514018691589</v>
      </c>
    </row>
    <row r="170" spans="1:16" x14ac:dyDescent="0.45">
      <c r="A170" s="65">
        <v>167</v>
      </c>
      <c r="B170" s="62">
        <v>-2.8000000000001926</v>
      </c>
      <c r="C170" s="62">
        <v>-1.6766467065869418E-2</v>
      </c>
      <c r="D170" s="67">
        <v>1.9760479041916168</v>
      </c>
      <c r="E170" s="63">
        <v>0.3413173652694611</v>
      </c>
      <c r="F170" s="63">
        <v>0.31736526946107785</v>
      </c>
      <c r="G170" s="63">
        <v>0.31123919308357351</v>
      </c>
      <c r="H170" s="63">
        <v>0.17939481268011528</v>
      </c>
      <c r="I170" s="64">
        <v>8040.0462962962965</v>
      </c>
      <c r="J170" s="64">
        <v>-7984.3373493975905</v>
      </c>
      <c r="K170" s="63">
        <v>0.10778443113772455</v>
      </c>
      <c r="L170" s="63">
        <v>0.2334293948126801</v>
      </c>
      <c r="M170" s="63">
        <v>0.30115273775216139</v>
      </c>
      <c r="N170" s="63">
        <v>0.51543209876543206</v>
      </c>
      <c r="O170" s="63">
        <v>0.38277511961722488</v>
      </c>
      <c r="P170" s="63">
        <v>0.41435185185185186</v>
      </c>
    </row>
    <row r="171" spans="1:16" x14ac:dyDescent="0.45">
      <c r="A171" s="65">
        <v>168</v>
      </c>
      <c r="B171" s="62">
        <v>21.399999999999807</v>
      </c>
      <c r="C171" s="62">
        <v>0.12738095238095123</v>
      </c>
      <c r="D171" s="67">
        <v>1.9702380952380953</v>
      </c>
      <c r="E171" s="63">
        <v>0.34523809523809523</v>
      </c>
      <c r="F171" s="63">
        <v>0.31547619047619047</v>
      </c>
      <c r="G171" s="63">
        <v>0.31254480286738351</v>
      </c>
      <c r="H171" s="63">
        <v>0.17921146953405018</v>
      </c>
      <c r="I171" s="64">
        <v>8005.7339449541287</v>
      </c>
      <c r="J171" s="64">
        <v>-7960.4</v>
      </c>
      <c r="K171" s="63">
        <v>0.10714285714285714</v>
      </c>
      <c r="L171" s="63">
        <v>0.23297491039426524</v>
      </c>
      <c r="M171" s="63">
        <v>0.30035842293906811</v>
      </c>
      <c r="N171" s="63">
        <v>0.51692307692307693</v>
      </c>
      <c r="O171" s="63">
        <v>0.38424821002386633</v>
      </c>
      <c r="P171" s="63">
        <v>0.41513761467889909</v>
      </c>
    </row>
    <row r="172" spans="1:16" x14ac:dyDescent="0.45">
      <c r="A172" s="65">
        <v>169</v>
      </c>
      <c r="B172" s="62">
        <v>20.799999999999805</v>
      </c>
      <c r="C172" s="62">
        <v>0.12307692307692192</v>
      </c>
      <c r="D172" s="67">
        <v>1.970414201183432</v>
      </c>
      <c r="E172" s="63">
        <v>0.34319526627218933</v>
      </c>
      <c r="F172" s="63">
        <v>0.31360946745562129</v>
      </c>
      <c r="G172" s="63">
        <v>0.31383737517831667</v>
      </c>
      <c r="H172" s="63">
        <v>0.1783166904422254</v>
      </c>
      <c r="I172" s="64">
        <v>7976.590909090909</v>
      </c>
      <c r="J172" s="64">
        <v>-7960.4</v>
      </c>
      <c r="K172" s="63">
        <v>0.10650887573964497</v>
      </c>
      <c r="L172" s="63">
        <v>0.23323823109843081</v>
      </c>
      <c r="M172" s="63">
        <v>0.30028530670470754</v>
      </c>
      <c r="N172" s="63">
        <v>0.51681957186544347</v>
      </c>
      <c r="O172" s="63">
        <v>0.38479809976247031</v>
      </c>
      <c r="P172" s="63">
        <v>0.41590909090909089</v>
      </c>
    </row>
    <row r="173" spans="1:16" x14ac:dyDescent="0.45">
      <c r="A173" s="65">
        <v>170</v>
      </c>
      <c r="B173" s="62">
        <v>-3.0000000000001954</v>
      </c>
      <c r="C173" s="62">
        <v>-1.764705882353056E-2</v>
      </c>
      <c r="D173" s="67">
        <v>1.9764705882352942</v>
      </c>
      <c r="E173" s="63">
        <v>0.3411764705882353</v>
      </c>
      <c r="F173" s="63">
        <v>0.31764705882352939</v>
      </c>
      <c r="G173" s="63">
        <v>0.31347517730496455</v>
      </c>
      <c r="H173" s="63">
        <v>0.17801418439716313</v>
      </c>
      <c r="I173" s="64">
        <v>7967.6470588235297</v>
      </c>
      <c r="J173" s="64">
        <v>-7933.8645418326696</v>
      </c>
      <c r="K173" s="63">
        <v>0.10588235294117647</v>
      </c>
      <c r="L173" s="63">
        <v>0.23262411347517731</v>
      </c>
      <c r="M173" s="63">
        <v>0.29929078014184396</v>
      </c>
      <c r="N173" s="63">
        <v>0.51829268292682928</v>
      </c>
      <c r="O173" s="63">
        <v>0.38625592417061611</v>
      </c>
      <c r="P173" s="63">
        <v>0.41628959276018102</v>
      </c>
    </row>
    <row r="174" spans="1:16" x14ac:dyDescent="0.45">
      <c r="A174" s="65">
        <v>171</v>
      </c>
      <c r="B174" s="62">
        <v>-27.400000000000194</v>
      </c>
      <c r="C174" s="62">
        <v>-0.16023391812865612</v>
      </c>
      <c r="D174" s="67">
        <v>1.9824561403508771</v>
      </c>
      <c r="E174" s="63">
        <v>0.33918128654970758</v>
      </c>
      <c r="F174" s="63">
        <v>0.32163742690058478</v>
      </c>
      <c r="G174" s="63">
        <v>0.31289640591966172</v>
      </c>
      <c r="H174" s="63">
        <v>0.17899929527836506</v>
      </c>
      <c r="I174" s="64">
        <v>7958.1081081081084</v>
      </c>
      <c r="J174" s="64">
        <v>-7918.1102362204729</v>
      </c>
      <c r="K174" s="63">
        <v>0.10526315789473684</v>
      </c>
      <c r="L174" s="63">
        <v>0.23326286116983791</v>
      </c>
      <c r="M174" s="63">
        <v>0.29809725158562367</v>
      </c>
      <c r="N174" s="63">
        <v>0.5166163141993958</v>
      </c>
      <c r="O174" s="63">
        <v>0.38534278959810875</v>
      </c>
      <c r="P174" s="63">
        <v>0.41666666666666669</v>
      </c>
    </row>
    <row r="175" spans="1:16" x14ac:dyDescent="0.45">
      <c r="A175" s="65">
        <v>172</v>
      </c>
      <c r="B175" s="62">
        <v>-60.500000000000199</v>
      </c>
      <c r="C175" s="62">
        <v>-0.35174418604651281</v>
      </c>
      <c r="D175" s="67">
        <v>1.9883720930232558</v>
      </c>
      <c r="E175" s="63">
        <v>0.33720930232558138</v>
      </c>
      <c r="F175" s="63">
        <v>0.32558139534883723</v>
      </c>
      <c r="G175" s="63">
        <v>0.31254379817799577</v>
      </c>
      <c r="H175" s="63">
        <v>0.17939733707077785</v>
      </c>
      <c r="I175" s="64">
        <v>7948.6547085201792</v>
      </c>
      <c r="J175" s="64">
        <v>-7970.3125</v>
      </c>
      <c r="K175" s="63">
        <v>0.10465116279069768</v>
      </c>
      <c r="L175" s="63">
        <v>0.23405746320953047</v>
      </c>
      <c r="M175" s="63">
        <v>0.29852838121934128</v>
      </c>
      <c r="N175" s="63">
        <v>0.51497005988023947</v>
      </c>
      <c r="O175" s="63">
        <v>0.38497652582159625</v>
      </c>
      <c r="P175" s="63">
        <v>0.4170403587443946</v>
      </c>
    </row>
    <row r="176" spans="1:16" x14ac:dyDescent="0.45">
      <c r="A176" s="65">
        <v>173</v>
      </c>
      <c r="B176" s="62">
        <v>-71.400000000000205</v>
      </c>
      <c r="C176" s="62">
        <v>-0.41271676300578153</v>
      </c>
      <c r="D176" s="67">
        <v>1.9884393063583814</v>
      </c>
      <c r="E176" s="63">
        <v>0.33526011560693642</v>
      </c>
      <c r="F176" s="63">
        <v>0.32369942196531792</v>
      </c>
      <c r="G176" s="63">
        <v>0.31202223766504517</v>
      </c>
      <c r="H176" s="63">
        <v>0.17790132036136205</v>
      </c>
      <c r="I176" s="64">
        <v>7922.0489977728284</v>
      </c>
      <c r="J176" s="64">
        <v>-7970.3125</v>
      </c>
      <c r="K176" s="63">
        <v>0.10404624277456648</v>
      </c>
      <c r="L176" s="63">
        <v>0.23349548297428771</v>
      </c>
      <c r="M176" s="63">
        <v>0.29881862404447534</v>
      </c>
      <c r="N176" s="63">
        <v>0.51190476190476186</v>
      </c>
      <c r="O176" s="63">
        <v>0.38604651162790699</v>
      </c>
      <c r="P176" s="63">
        <v>0.41870824053452116</v>
      </c>
    </row>
    <row r="177" spans="1:16" x14ac:dyDescent="0.45">
      <c r="A177" s="65">
        <v>174</v>
      </c>
      <c r="B177" s="62">
        <v>-41.100000000000207</v>
      </c>
      <c r="C177" s="62">
        <v>-0.23620689655172533</v>
      </c>
      <c r="D177" s="67">
        <v>1.9827586206896552</v>
      </c>
      <c r="E177" s="63">
        <v>0.33908045977011492</v>
      </c>
      <c r="F177" s="63">
        <v>0.32183908045977011</v>
      </c>
      <c r="G177" s="63">
        <v>0.31353591160220995</v>
      </c>
      <c r="H177" s="63">
        <v>0.17679558011049723</v>
      </c>
      <c r="I177" s="64">
        <v>7900.4405286343608</v>
      </c>
      <c r="J177" s="64">
        <v>-7970.3125</v>
      </c>
      <c r="K177" s="63">
        <v>0.10344827586206896</v>
      </c>
      <c r="L177" s="63">
        <v>0.23273480662983426</v>
      </c>
      <c r="M177" s="63">
        <v>0.29903314917127072</v>
      </c>
      <c r="N177" s="63">
        <v>0.51335311572700293</v>
      </c>
      <c r="O177" s="63">
        <v>0.39030023094688221</v>
      </c>
      <c r="P177" s="63">
        <v>0.41629955947136565</v>
      </c>
    </row>
    <row r="178" spans="1:16" x14ac:dyDescent="0.45">
      <c r="A178" s="65">
        <v>175</v>
      </c>
      <c r="B178" s="62">
        <v>-68.600000000000207</v>
      </c>
      <c r="C178" s="62">
        <v>-0.39200000000000118</v>
      </c>
      <c r="D178" s="67">
        <v>1.9828571428571429</v>
      </c>
      <c r="E178" s="63">
        <v>0.33714285714285713</v>
      </c>
      <c r="F178" s="63">
        <v>0.32</v>
      </c>
      <c r="G178" s="63">
        <v>0.31314521679284241</v>
      </c>
      <c r="H178" s="63">
        <v>0.17618719889883</v>
      </c>
      <c r="I178" s="64">
        <v>7886.3736263736264</v>
      </c>
      <c r="J178" s="64">
        <v>-7970.3125</v>
      </c>
      <c r="K178" s="63">
        <v>0.10285714285714286</v>
      </c>
      <c r="L178" s="63">
        <v>0.2326221610461115</v>
      </c>
      <c r="M178" s="63">
        <v>0.29800412938747417</v>
      </c>
      <c r="N178" s="63">
        <v>0.51183431952662717</v>
      </c>
      <c r="O178" s="63">
        <v>0.39030023094688221</v>
      </c>
      <c r="P178" s="63">
        <v>0.4175824175824176</v>
      </c>
    </row>
    <row r="179" spans="1:16" x14ac:dyDescent="0.45">
      <c r="A179" s="65">
        <v>176</v>
      </c>
      <c r="B179" s="62">
        <v>-6.0000000000002061</v>
      </c>
      <c r="C179" s="62">
        <v>-3.4090909090910261E-2</v>
      </c>
      <c r="D179" s="67">
        <v>1.9772727272727273</v>
      </c>
      <c r="E179" s="63">
        <v>0.34090909090909088</v>
      </c>
      <c r="F179" s="63">
        <v>0.31818181818181818</v>
      </c>
      <c r="G179" s="63">
        <v>0.31456043956043955</v>
      </c>
      <c r="H179" s="63">
        <v>0.17582417582417584</v>
      </c>
      <c r="I179" s="64">
        <v>7938.6462882096066</v>
      </c>
      <c r="J179" s="64">
        <v>-7970.3125</v>
      </c>
      <c r="K179" s="63">
        <v>0.10227272727272728</v>
      </c>
      <c r="L179" s="63">
        <v>0.23282967032967034</v>
      </c>
      <c r="M179" s="63">
        <v>0.29876373626373626</v>
      </c>
      <c r="N179" s="63">
        <v>0.51327433628318586</v>
      </c>
      <c r="O179" s="63">
        <v>0.39310344827586208</v>
      </c>
      <c r="P179" s="63">
        <v>0.41703056768558949</v>
      </c>
    </row>
    <row r="180" spans="1:16" x14ac:dyDescent="0.45">
      <c r="A180" s="65">
        <v>177</v>
      </c>
      <c r="B180" s="62">
        <v>-11.000000000000206</v>
      </c>
      <c r="C180" s="62">
        <v>-6.2146892655368394E-2</v>
      </c>
      <c r="D180" s="67">
        <v>1.9774011299435028</v>
      </c>
      <c r="E180" s="63">
        <v>0.33898305084745761</v>
      </c>
      <c r="F180" s="63">
        <v>0.31638418079096048</v>
      </c>
      <c r="G180" s="63">
        <v>0.31629175187457398</v>
      </c>
      <c r="H180" s="63">
        <v>0.17586912065439672</v>
      </c>
      <c r="I180" s="64">
        <v>7903.6637931034484</v>
      </c>
      <c r="J180" s="64">
        <v>-7970.1550387596899</v>
      </c>
      <c r="K180" s="63">
        <v>0.10169491525423729</v>
      </c>
      <c r="L180" s="63">
        <v>0.23176550783912747</v>
      </c>
      <c r="M180" s="63">
        <v>0.29993183367416498</v>
      </c>
      <c r="N180" s="63">
        <v>0.5117647058823529</v>
      </c>
      <c r="O180" s="63">
        <v>0.39772727272727271</v>
      </c>
      <c r="P180" s="63">
        <v>0.41379310344827586</v>
      </c>
    </row>
    <row r="181" spans="1:16" x14ac:dyDescent="0.45">
      <c r="A181" s="65">
        <v>178</v>
      </c>
      <c r="B181" s="62">
        <v>-47.000000000000206</v>
      </c>
      <c r="C181" s="62">
        <v>-0.26404494382022586</v>
      </c>
      <c r="D181" s="67">
        <v>1.9831460674157304</v>
      </c>
      <c r="E181" s="63">
        <v>0.33707865168539325</v>
      </c>
      <c r="F181" s="63">
        <v>0.3202247191011236</v>
      </c>
      <c r="G181" s="63">
        <v>0.31532748143146522</v>
      </c>
      <c r="H181" s="63">
        <v>0.17690749493585414</v>
      </c>
      <c r="I181" s="64">
        <v>7886.0813704496786</v>
      </c>
      <c r="J181" s="64">
        <v>-7936.259541984733</v>
      </c>
      <c r="K181" s="63">
        <v>0.10112359550561797</v>
      </c>
      <c r="L181" s="63">
        <v>0.22957461174881835</v>
      </c>
      <c r="M181" s="63">
        <v>0.29912221471978395</v>
      </c>
      <c r="N181" s="63">
        <v>0.5117647058823529</v>
      </c>
      <c r="O181" s="63">
        <v>0.39729119638826182</v>
      </c>
      <c r="P181" s="63">
        <v>0.41327623126338331</v>
      </c>
    </row>
    <row r="182" spans="1:16" x14ac:dyDescent="0.45">
      <c r="A182" s="65">
        <v>179</v>
      </c>
      <c r="B182" s="62">
        <v>-101.70000000000022</v>
      </c>
      <c r="C182" s="62">
        <v>-0.56815642458100679</v>
      </c>
      <c r="D182" s="67">
        <v>1.988826815642458</v>
      </c>
      <c r="E182" s="63">
        <v>0.33519553072625696</v>
      </c>
      <c r="F182" s="63">
        <v>0.32402234636871508</v>
      </c>
      <c r="G182" s="63">
        <v>0.31321260898725689</v>
      </c>
      <c r="H182" s="63">
        <v>0.17706237424547283</v>
      </c>
      <c r="I182" s="64">
        <v>7886.0813704496786</v>
      </c>
      <c r="J182" s="64">
        <v>-7989.772727272727</v>
      </c>
      <c r="K182" s="63">
        <v>0.10614525139664804</v>
      </c>
      <c r="L182" s="63">
        <v>0.22937625754527163</v>
      </c>
      <c r="M182" s="63">
        <v>0.29912810194500333</v>
      </c>
      <c r="N182" s="63">
        <v>0.50877192982456143</v>
      </c>
      <c r="O182" s="63">
        <v>0.39461883408071746</v>
      </c>
      <c r="P182" s="63">
        <v>0.41327623126338331</v>
      </c>
    </row>
    <row r="183" spans="1:16" x14ac:dyDescent="0.45">
      <c r="A183" s="65">
        <v>180</v>
      </c>
      <c r="B183" s="62">
        <v>-80.80000000000021</v>
      </c>
      <c r="C183" s="62">
        <v>-0.44888888888889006</v>
      </c>
      <c r="D183" s="67">
        <v>1.9833333333333334</v>
      </c>
      <c r="E183" s="63">
        <v>0.33888888888888891</v>
      </c>
      <c r="F183" s="63">
        <v>0.32222222222222224</v>
      </c>
      <c r="G183" s="63">
        <v>0.31354236157438292</v>
      </c>
      <c r="H183" s="63">
        <v>0.1761174116077385</v>
      </c>
      <c r="I183" s="64">
        <v>7886.8085106382978</v>
      </c>
      <c r="J183" s="64">
        <v>-7989.772727272727</v>
      </c>
      <c r="K183" s="63">
        <v>0.10555555555555556</v>
      </c>
      <c r="L183" s="63">
        <v>0.22881921280853904</v>
      </c>
      <c r="M183" s="63">
        <v>0.29886591060707141</v>
      </c>
      <c r="N183" s="63">
        <v>0.51020408163265307</v>
      </c>
      <c r="O183" s="63">
        <v>0.39285714285714285</v>
      </c>
      <c r="P183" s="63">
        <v>0.4127659574468085</v>
      </c>
    </row>
    <row r="184" spans="1:16" x14ac:dyDescent="0.45">
      <c r="A184" s="65">
        <v>181</v>
      </c>
      <c r="B184" s="62">
        <v>-90.600000000000207</v>
      </c>
      <c r="C184" s="62">
        <v>-0.50055248618784642</v>
      </c>
      <c r="D184" s="67">
        <v>1.9834254143646408</v>
      </c>
      <c r="E184" s="63">
        <v>0.33701657458563539</v>
      </c>
      <c r="F184" s="63">
        <v>0.32044198895027626</v>
      </c>
      <c r="G184" s="63">
        <v>0.31407702523240372</v>
      </c>
      <c r="H184" s="63">
        <v>0.17596281540504649</v>
      </c>
      <c r="I184" s="64">
        <v>7860.4651162790697</v>
      </c>
      <c r="J184" s="64">
        <v>-7967.1698113207549</v>
      </c>
      <c r="K184" s="63">
        <v>0.10497237569060773</v>
      </c>
      <c r="L184" s="63">
        <v>0.22775564409030544</v>
      </c>
      <c r="M184" s="63">
        <v>0.29946879150066402</v>
      </c>
      <c r="N184" s="63">
        <v>0.51020408163265307</v>
      </c>
      <c r="O184" s="63">
        <v>0.39689578713968959</v>
      </c>
      <c r="P184" s="63">
        <v>0.41226215644820297</v>
      </c>
    </row>
    <row r="185" spans="1:16" x14ac:dyDescent="0.45">
      <c r="A185" s="65">
        <v>182</v>
      </c>
      <c r="B185" s="62">
        <v>-97.500000000000213</v>
      </c>
      <c r="C185" s="62">
        <v>-0.53571428571428692</v>
      </c>
      <c r="D185" s="67">
        <v>1.9835164835164836</v>
      </c>
      <c r="E185" s="63">
        <v>0.33516483516483514</v>
      </c>
      <c r="F185" s="63">
        <v>0.31868131868131866</v>
      </c>
      <c r="G185" s="63">
        <v>0.31307793923381771</v>
      </c>
      <c r="H185" s="63">
        <v>0.17569352708058125</v>
      </c>
      <c r="I185" s="64">
        <v>7860.1265822784808</v>
      </c>
      <c r="J185" s="64">
        <v>-7980.8270676691727</v>
      </c>
      <c r="K185" s="63">
        <v>0.1043956043956044</v>
      </c>
      <c r="L185" s="63">
        <v>0.22655217965653898</v>
      </c>
      <c r="M185" s="63">
        <v>0.29788639365918096</v>
      </c>
      <c r="N185" s="63">
        <v>0.51020408163265307</v>
      </c>
      <c r="O185" s="63">
        <v>0.39689578713968959</v>
      </c>
      <c r="P185" s="63">
        <v>0.41139240506329117</v>
      </c>
    </row>
    <row r="186" spans="1:16" x14ac:dyDescent="0.45">
      <c r="A186" s="65">
        <v>183</v>
      </c>
      <c r="B186" s="62">
        <v>-92.30000000000021</v>
      </c>
      <c r="C186" s="62">
        <v>-0.50437158469945476</v>
      </c>
      <c r="D186" s="67">
        <v>1.9836065573770492</v>
      </c>
      <c r="E186" s="63">
        <v>0.33333333333333331</v>
      </c>
      <c r="F186" s="63">
        <v>0.31693989071038253</v>
      </c>
      <c r="G186" s="63">
        <v>0.31295200525969757</v>
      </c>
      <c r="H186" s="63">
        <v>0.17554240631163709</v>
      </c>
      <c r="I186" s="64">
        <v>7865.7563025210084</v>
      </c>
      <c r="J186" s="64">
        <v>-7979.7752808988762</v>
      </c>
      <c r="K186" s="63">
        <v>0.10382513661202186</v>
      </c>
      <c r="L186" s="63">
        <v>0.22616699539776464</v>
      </c>
      <c r="M186" s="63">
        <v>0.29717291255752792</v>
      </c>
      <c r="N186" s="63">
        <v>0.51162790697674421</v>
      </c>
      <c r="O186" s="63">
        <v>0.39823008849557523</v>
      </c>
      <c r="P186" s="63">
        <v>0.41176470588235292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1E207-B770-4F6B-976D-CF316C00DAD0}">
  <sheetPr codeName="Sheet10"/>
  <dimension ref="A1:Q21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5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5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5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5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5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 x14ac:dyDescent="0.45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 x14ac:dyDescent="0.45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 x14ac:dyDescent="0.45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  <row r="187" spans="1:16" x14ac:dyDescent="0.45">
      <c r="A187" s="65">
        <v>184</v>
      </c>
      <c r="B187" s="62">
        <v>1553.9999999999998</v>
      </c>
      <c r="C187" s="62">
        <v>8.445652173913043</v>
      </c>
      <c r="D187" s="67">
        <v>1.7934782608695652</v>
      </c>
      <c r="E187" s="63">
        <v>0.45652173913043476</v>
      </c>
      <c r="F187" s="63">
        <v>0.25</v>
      </c>
      <c r="G187" s="63">
        <v>0.34060846560846558</v>
      </c>
      <c r="H187" s="63">
        <v>0.12896825396825398</v>
      </c>
      <c r="I187" s="64">
        <v>8199.0291262135925</v>
      </c>
      <c r="J187" s="64">
        <v>-7829.2307692307695</v>
      </c>
      <c r="K187" s="63">
        <v>4.3478260869565216E-2</v>
      </c>
      <c r="L187" s="63">
        <v>0.26455026455026454</v>
      </c>
      <c r="M187" s="63">
        <v>0.23677248677248677</v>
      </c>
      <c r="N187" s="63">
        <v>0.58750000000000002</v>
      </c>
      <c r="O187" s="63">
        <v>0.48603351955307261</v>
      </c>
      <c r="P187" s="63">
        <v>0.42524271844660194</v>
      </c>
    </row>
    <row r="188" spans="1:16" x14ac:dyDescent="0.45">
      <c r="A188" s="65">
        <v>185</v>
      </c>
      <c r="B188" s="62">
        <v>1594.7999999999997</v>
      </c>
      <c r="C188" s="62">
        <v>8.6205405405405386</v>
      </c>
      <c r="D188" s="67">
        <v>1.7891891891891891</v>
      </c>
      <c r="E188" s="63">
        <v>0.45945945945945948</v>
      </c>
      <c r="F188" s="63">
        <v>0.24864864864864866</v>
      </c>
      <c r="G188" s="63">
        <v>0.34231274638633374</v>
      </c>
      <c r="H188" s="63">
        <v>0.1287779237844941</v>
      </c>
      <c r="I188" s="64">
        <v>8179.4625719769674</v>
      </c>
      <c r="J188" s="64">
        <v>-7815.8163265306121</v>
      </c>
      <c r="K188" s="63">
        <v>4.3243243243243246E-2</v>
      </c>
      <c r="L188" s="63">
        <v>0.26544021024967146</v>
      </c>
      <c r="M188" s="63">
        <v>0.23784494086727989</v>
      </c>
      <c r="N188" s="63">
        <v>0.5866336633663366</v>
      </c>
      <c r="O188" s="63">
        <v>0.48618784530386738</v>
      </c>
      <c r="P188" s="63">
        <v>0.42226487523992323</v>
      </c>
    </row>
    <row r="189" spans="1:16" x14ac:dyDescent="0.45">
      <c r="A189" s="65">
        <v>186</v>
      </c>
      <c r="B189" s="62">
        <v>1635.9999999999998</v>
      </c>
      <c r="C189" s="62">
        <v>8.7956989247311821</v>
      </c>
      <c r="D189" s="67">
        <v>1.7849462365591398</v>
      </c>
      <c r="E189" s="63">
        <v>0.46236559139784944</v>
      </c>
      <c r="F189" s="63">
        <v>0.24731182795698925</v>
      </c>
      <c r="G189" s="63">
        <v>0.34268929503916451</v>
      </c>
      <c r="H189" s="63">
        <v>0.12793733681462141</v>
      </c>
      <c r="I189" s="64">
        <v>8192.3809523809523</v>
      </c>
      <c r="J189" s="64">
        <v>-7815.8163265306121</v>
      </c>
      <c r="K189" s="63">
        <v>4.3010752688172046E-2</v>
      </c>
      <c r="L189" s="63">
        <v>0.26436031331592691</v>
      </c>
      <c r="M189" s="63">
        <v>0.23694516971279372</v>
      </c>
      <c r="N189" s="63">
        <v>0.58765432098765435</v>
      </c>
      <c r="O189" s="63">
        <v>0.48760330578512395</v>
      </c>
      <c r="P189" s="63">
        <v>0.42285714285714288</v>
      </c>
    </row>
    <row r="190" spans="1:16" x14ac:dyDescent="0.45">
      <c r="A190" s="65">
        <v>187</v>
      </c>
      <c r="B190" s="62">
        <v>1628.2999999999997</v>
      </c>
      <c r="C190" s="62">
        <v>8.7074866310160406</v>
      </c>
      <c r="D190" s="67">
        <v>1.786096256684492</v>
      </c>
      <c r="E190" s="63">
        <v>0.45989304812834225</v>
      </c>
      <c r="F190" s="63">
        <v>0.24598930481283424</v>
      </c>
      <c r="G190" s="63">
        <v>0.34350649350649348</v>
      </c>
      <c r="H190" s="63">
        <v>0.12727272727272726</v>
      </c>
      <c r="I190" s="64">
        <v>8148.5822306238188</v>
      </c>
      <c r="J190" s="64">
        <v>-7815.8163265306121</v>
      </c>
      <c r="K190" s="63">
        <v>4.2780748663101602E-2</v>
      </c>
      <c r="L190" s="63">
        <v>0.26428571428571429</v>
      </c>
      <c r="M190" s="63">
        <v>0.23831168831168831</v>
      </c>
      <c r="N190" s="63">
        <v>0.58968058968058967</v>
      </c>
      <c r="O190" s="63">
        <v>0.4877384196185286</v>
      </c>
      <c r="P190" s="63">
        <v>0.41965973534971646</v>
      </c>
    </row>
    <row r="191" spans="1:16" x14ac:dyDescent="0.45">
      <c r="A191" s="65">
        <v>188</v>
      </c>
      <c r="B191" s="62">
        <v>1659.9999999999998</v>
      </c>
      <c r="C191" s="62">
        <v>8.8297872340425521</v>
      </c>
      <c r="D191" s="67">
        <v>1.7819148936170213</v>
      </c>
      <c r="E191" s="63">
        <v>0.46276595744680848</v>
      </c>
      <c r="F191" s="63">
        <v>0.24468085106382978</v>
      </c>
      <c r="G191" s="63">
        <v>0.34431524547803616</v>
      </c>
      <c r="H191" s="63">
        <v>0.12661498708010335</v>
      </c>
      <c r="I191" s="64">
        <v>8144.0900562851784</v>
      </c>
      <c r="J191" s="64">
        <v>-7815.8163265306121</v>
      </c>
      <c r="K191" s="63">
        <v>4.2553191489361701E-2</v>
      </c>
      <c r="L191" s="63">
        <v>0.26550387596899228</v>
      </c>
      <c r="M191" s="63">
        <v>0.23772609819121446</v>
      </c>
      <c r="N191" s="63">
        <v>0.59367396593673971</v>
      </c>
      <c r="O191" s="63">
        <v>0.48641304347826086</v>
      </c>
      <c r="P191" s="63">
        <v>0.42213883677298314</v>
      </c>
    </row>
    <row r="192" spans="1:16" x14ac:dyDescent="0.45">
      <c r="A192" s="65">
        <v>189</v>
      </c>
      <c r="B192" s="62">
        <v>1692.1999999999998</v>
      </c>
      <c r="C192" s="62">
        <v>8.9534391534391524</v>
      </c>
      <c r="D192" s="67">
        <v>1.7777777777777777</v>
      </c>
      <c r="E192" s="63">
        <v>0.46560846560846558</v>
      </c>
      <c r="F192" s="63">
        <v>0.24338624338624337</v>
      </c>
      <c r="G192" s="63">
        <v>0.34553628773281952</v>
      </c>
      <c r="H192" s="63">
        <v>0.12588310854206808</v>
      </c>
      <c r="I192" s="64">
        <v>8104.0892193308546</v>
      </c>
      <c r="J192" s="64">
        <v>-7815.8163265306121</v>
      </c>
      <c r="K192" s="63">
        <v>4.2328042328042326E-2</v>
      </c>
      <c r="L192" s="63">
        <v>0.26461143224149003</v>
      </c>
      <c r="M192" s="63">
        <v>0.23827874116891459</v>
      </c>
      <c r="N192" s="63">
        <v>0.59466019417475724</v>
      </c>
      <c r="O192" s="63">
        <v>0.49056603773584906</v>
      </c>
      <c r="P192" s="63">
        <v>0.42193308550185876</v>
      </c>
    </row>
    <row r="193" spans="1:16" x14ac:dyDescent="0.45">
      <c r="A193" s="65">
        <v>190</v>
      </c>
      <c r="B193" s="62">
        <v>1689.2999999999997</v>
      </c>
      <c r="C193" s="62">
        <v>8.8910526315789458</v>
      </c>
      <c r="D193" s="67">
        <v>1.7789473684210526</v>
      </c>
      <c r="E193" s="63">
        <v>0.4631578947368421</v>
      </c>
      <c r="F193" s="63">
        <v>0.24210526315789474</v>
      </c>
      <c r="G193" s="63">
        <v>0.34504792332268369</v>
      </c>
      <c r="H193" s="63">
        <v>0.12587859424920128</v>
      </c>
      <c r="I193" s="64">
        <v>8101.4814814814818</v>
      </c>
      <c r="J193" s="64">
        <v>-7815.2284263959391</v>
      </c>
      <c r="K193" s="63">
        <v>4.2105263157894736E-2</v>
      </c>
      <c r="L193" s="63">
        <v>0.26517571884984026</v>
      </c>
      <c r="M193" s="63">
        <v>0.23706070287539935</v>
      </c>
      <c r="N193" s="63">
        <v>0.59277108433734937</v>
      </c>
      <c r="O193" s="63">
        <v>0.49056603773584906</v>
      </c>
      <c r="P193" s="63">
        <v>0.42407407407407405</v>
      </c>
    </row>
    <row r="194" spans="1:16" x14ac:dyDescent="0.45">
      <c r="A194" s="65">
        <v>191</v>
      </c>
      <c r="B194" s="62">
        <v>1721.2999999999997</v>
      </c>
      <c r="C194" s="62">
        <v>9.0120418848167532</v>
      </c>
      <c r="D194" s="67">
        <v>1.7748691099476439</v>
      </c>
      <c r="E194" s="63">
        <v>0.46596858638743455</v>
      </c>
      <c r="F194" s="63">
        <v>0.24083769633507854</v>
      </c>
      <c r="G194" s="63">
        <v>0.34456452638270818</v>
      </c>
      <c r="H194" s="63">
        <v>0.12523839796567068</v>
      </c>
      <c r="I194" s="64">
        <v>8130.6273062730625</v>
      </c>
      <c r="J194" s="64">
        <v>-7815.2284263959391</v>
      </c>
      <c r="K194" s="63">
        <v>4.1884816753926704E-2</v>
      </c>
      <c r="L194" s="63">
        <v>0.26509853782581055</v>
      </c>
      <c r="M194" s="63">
        <v>0.23712650985378259</v>
      </c>
      <c r="N194" s="63">
        <v>0.592326139088729</v>
      </c>
      <c r="O194" s="63">
        <v>0.4906166219839142</v>
      </c>
      <c r="P194" s="63">
        <v>0.42619926199261993</v>
      </c>
    </row>
    <row r="195" spans="1:16" x14ac:dyDescent="0.45">
      <c r="A195" s="65">
        <v>192</v>
      </c>
      <c r="B195" s="62">
        <v>1762.7999999999997</v>
      </c>
      <c r="C195" s="62">
        <v>9.1812499999999986</v>
      </c>
      <c r="D195" s="67">
        <v>1.7708333333333333</v>
      </c>
      <c r="E195" s="63">
        <v>0.46875</v>
      </c>
      <c r="F195" s="63">
        <v>0.23958333333333334</v>
      </c>
      <c r="G195" s="63">
        <v>0.34559289790741915</v>
      </c>
      <c r="H195" s="63">
        <v>0.12492073557387444</v>
      </c>
      <c r="I195" s="64">
        <v>8146.4220183486241</v>
      </c>
      <c r="J195" s="64">
        <v>-7815.2284263959391</v>
      </c>
      <c r="K195" s="63">
        <v>4.1666666666666664E-2</v>
      </c>
      <c r="L195" s="63">
        <v>0.26506024096385544</v>
      </c>
      <c r="M195" s="63">
        <v>0.23715916296766013</v>
      </c>
      <c r="N195" s="63">
        <v>0.59330143540669855</v>
      </c>
      <c r="O195" s="63">
        <v>0.49197860962566847</v>
      </c>
      <c r="P195" s="63">
        <v>0.42568807339449544</v>
      </c>
    </row>
    <row r="196" spans="1:16" x14ac:dyDescent="0.45">
      <c r="A196" s="65">
        <v>193</v>
      </c>
      <c r="B196" s="62">
        <v>1799.3999999999996</v>
      </c>
      <c r="C196" s="62">
        <v>9.323316062176163</v>
      </c>
      <c r="D196" s="67">
        <v>1.766839378238342</v>
      </c>
      <c r="E196" s="63">
        <v>0.47150259067357514</v>
      </c>
      <c r="F196" s="63">
        <v>0.23834196891191708</v>
      </c>
      <c r="G196" s="63">
        <v>0.34615384615384615</v>
      </c>
      <c r="H196" s="63">
        <v>0.12421185372005045</v>
      </c>
      <c r="I196" s="64">
        <v>8168.3060109289618</v>
      </c>
      <c r="J196" s="64">
        <v>-7815.2284263959391</v>
      </c>
      <c r="K196" s="63">
        <v>4.145077720207254E-2</v>
      </c>
      <c r="L196" s="63">
        <v>0.2635561160151324</v>
      </c>
      <c r="M196" s="63">
        <v>0.2364438839848676</v>
      </c>
      <c r="N196" s="63">
        <v>0.59330143540669855</v>
      </c>
      <c r="O196" s="63">
        <v>0.49333333333333335</v>
      </c>
      <c r="P196" s="63">
        <v>0.42258652094717669</v>
      </c>
    </row>
    <row r="197" spans="1:16" x14ac:dyDescent="0.45">
      <c r="A197" s="65">
        <v>194</v>
      </c>
      <c r="B197" s="62">
        <v>1831.2999999999997</v>
      </c>
      <c r="C197" s="62">
        <v>9.4396907216494839</v>
      </c>
      <c r="D197" s="67">
        <v>1.7628865979381443</v>
      </c>
      <c r="E197" s="63">
        <v>0.47422680412371132</v>
      </c>
      <c r="F197" s="63">
        <v>0.23711340206185566</v>
      </c>
      <c r="G197" s="63">
        <v>0.34651600753295669</v>
      </c>
      <c r="H197" s="63">
        <v>0.12429378531073447</v>
      </c>
      <c r="I197" s="64">
        <v>8200</v>
      </c>
      <c r="J197" s="64">
        <v>-7836.363636363636</v>
      </c>
      <c r="K197" s="63">
        <v>4.1237113402061855E-2</v>
      </c>
      <c r="L197" s="63">
        <v>0.26490897677338354</v>
      </c>
      <c r="M197" s="63">
        <v>0.23603264281230382</v>
      </c>
      <c r="N197" s="63">
        <v>0.59241706161137442</v>
      </c>
      <c r="O197" s="63">
        <v>0.49202127659574468</v>
      </c>
      <c r="P197" s="63">
        <v>0.42572463768115942</v>
      </c>
    </row>
    <row r="198" spans="1:16" x14ac:dyDescent="0.45">
      <c r="A198" s="65">
        <v>195</v>
      </c>
      <c r="B198" s="62">
        <v>1872.7999999999997</v>
      </c>
      <c r="C198" s="62">
        <v>9.604102564102563</v>
      </c>
      <c r="D198" s="67">
        <v>1.7589743589743589</v>
      </c>
      <c r="E198" s="63">
        <v>0.47692307692307695</v>
      </c>
      <c r="F198" s="63">
        <v>0.23589743589743589</v>
      </c>
      <c r="G198" s="63">
        <v>0.34625</v>
      </c>
      <c r="H198" s="63">
        <v>0.124375</v>
      </c>
      <c r="I198" s="64">
        <v>8261.73285198556</v>
      </c>
      <c r="J198" s="64">
        <v>-7855.276381909548</v>
      </c>
      <c r="K198" s="63">
        <v>4.1025641025641026E-2</v>
      </c>
      <c r="L198" s="63">
        <v>0.26437500000000003</v>
      </c>
      <c r="M198" s="63">
        <v>0.23624999999999999</v>
      </c>
      <c r="N198" s="63">
        <v>0.59101654846335694</v>
      </c>
      <c r="O198" s="63">
        <v>0.48941798941798942</v>
      </c>
      <c r="P198" s="63">
        <v>0.42418772563176893</v>
      </c>
    </row>
    <row r="199" spans="1:16" x14ac:dyDescent="0.45">
      <c r="A199" s="65">
        <v>196</v>
      </c>
      <c r="B199" s="62">
        <v>1834.0999999999997</v>
      </c>
      <c r="C199" s="62">
        <v>9.3576530612244877</v>
      </c>
      <c r="D199" s="67">
        <v>1.7653061224489797</v>
      </c>
      <c r="E199" s="63">
        <v>0.47448979591836737</v>
      </c>
      <c r="F199" s="63">
        <v>0.23979591836734693</v>
      </c>
      <c r="G199" s="63">
        <v>0.34429280397022333</v>
      </c>
      <c r="H199" s="63">
        <v>0.12406947890818859</v>
      </c>
      <c r="I199" s="64">
        <v>8254.0540540540533</v>
      </c>
      <c r="J199" s="64">
        <v>-7822.5</v>
      </c>
      <c r="K199" s="63">
        <v>4.0816326530612242E-2</v>
      </c>
      <c r="L199" s="63">
        <v>0.26426799007444168</v>
      </c>
      <c r="M199" s="63">
        <v>0.23635235732009927</v>
      </c>
      <c r="N199" s="63">
        <v>0.58920187793427226</v>
      </c>
      <c r="O199" s="63">
        <v>0.48556430446194226</v>
      </c>
      <c r="P199" s="63">
        <v>0.42522522522522521</v>
      </c>
    </row>
    <row r="200" spans="1:16" x14ac:dyDescent="0.45">
      <c r="A200" s="65">
        <v>197</v>
      </c>
      <c r="B200" s="62">
        <v>1788.5999999999997</v>
      </c>
      <c r="C200" s="62">
        <v>9.079187817258882</v>
      </c>
      <c r="D200" s="67">
        <v>1.7715736040609138</v>
      </c>
      <c r="E200" s="63">
        <v>0.4720812182741117</v>
      </c>
      <c r="F200" s="63">
        <v>0.24365482233502539</v>
      </c>
      <c r="G200" s="63">
        <v>0.34215384615384614</v>
      </c>
      <c r="H200" s="63">
        <v>0.12430769230769231</v>
      </c>
      <c r="I200" s="64">
        <v>8253.5971223021588</v>
      </c>
      <c r="J200" s="64">
        <v>-7832.1782178217818</v>
      </c>
      <c r="K200" s="63">
        <v>4.5685279187817257E-2</v>
      </c>
      <c r="L200" s="63">
        <v>0.26338461538461538</v>
      </c>
      <c r="M200" s="63">
        <v>0.2363076923076923</v>
      </c>
      <c r="N200" s="63">
        <v>0.58644859813084116</v>
      </c>
      <c r="O200" s="63">
        <v>0.484375</v>
      </c>
      <c r="P200" s="63">
        <v>0.42446043165467628</v>
      </c>
    </row>
    <row r="201" spans="1:16" x14ac:dyDescent="0.45">
      <c r="A201" s="65">
        <v>198</v>
      </c>
      <c r="B201" s="62">
        <v>1804.7999999999997</v>
      </c>
      <c r="C201" s="62">
        <v>9.1151515151515135</v>
      </c>
      <c r="D201" s="67">
        <v>1.7727272727272727</v>
      </c>
      <c r="E201" s="63">
        <v>0.46969696969696972</v>
      </c>
      <c r="F201" s="63">
        <v>0.24242424242424243</v>
      </c>
      <c r="G201" s="63">
        <v>0.34149326805385555</v>
      </c>
      <c r="H201" s="63">
        <v>0.12484700122399021</v>
      </c>
      <c r="I201" s="64">
        <v>8277.7777777777774</v>
      </c>
      <c r="J201" s="64">
        <v>-7767.6470588235297</v>
      </c>
      <c r="K201" s="63">
        <v>4.5454545454545456E-2</v>
      </c>
      <c r="L201" s="63">
        <v>0.26254589963280295</v>
      </c>
      <c r="M201" s="63">
        <v>0.2350061199510404</v>
      </c>
      <c r="N201" s="63">
        <v>0.58508158508158503</v>
      </c>
      <c r="O201" s="63">
        <v>0.484375</v>
      </c>
      <c r="P201" s="63">
        <v>0.42473118279569894</v>
      </c>
    </row>
    <row r="202" spans="1:16" x14ac:dyDescent="0.45">
      <c r="A202" s="65">
        <v>199</v>
      </c>
      <c r="B202" s="62">
        <v>1806.0999999999997</v>
      </c>
      <c r="C202" s="62">
        <v>9.0758793969849236</v>
      </c>
      <c r="D202" s="67">
        <v>1.7738693467336684</v>
      </c>
      <c r="E202" s="63">
        <v>0.46733668341708545</v>
      </c>
      <c r="F202" s="63">
        <v>0.24120603015075376</v>
      </c>
      <c r="G202" s="63">
        <v>0.3408399269628728</v>
      </c>
      <c r="H202" s="63">
        <v>0.1241631162507608</v>
      </c>
      <c r="I202" s="64">
        <v>8258.75</v>
      </c>
      <c r="J202" s="64">
        <v>-7767.6470588235297</v>
      </c>
      <c r="K202" s="63">
        <v>4.5226130653266333E-2</v>
      </c>
      <c r="L202" s="63">
        <v>0.26293365794278756</v>
      </c>
      <c r="M202" s="63">
        <v>0.23554473524041389</v>
      </c>
      <c r="N202" s="63">
        <v>0.58101851851851849</v>
      </c>
      <c r="O202" s="63">
        <v>0.48320413436692505</v>
      </c>
      <c r="P202" s="63">
        <v>0.42321428571428571</v>
      </c>
    </row>
    <row r="203" spans="1:16" x14ac:dyDescent="0.45">
      <c r="A203" s="65">
        <v>200</v>
      </c>
      <c r="B203" s="62">
        <v>1830.1999999999996</v>
      </c>
      <c r="C203" s="62">
        <v>9.150999999999998</v>
      </c>
      <c r="D203" s="67">
        <v>1.77</v>
      </c>
      <c r="E203" s="63">
        <v>0.47</v>
      </c>
      <c r="F203" s="63">
        <v>0.24</v>
      </c>
      <c r="G203" s="63">
        <v>0.34079903147699758</v>
      </c>
      <c r="H203" s="63">
        <v>0.12409200968523003</v>
      </c>
      <c r="I203" s="64">
        <v>8273.712255772647</v>
      </c>
      <c r="J203" s="64">
        <v>-7736.0975609756097</v>
      </c>
      <c r="K203" s="63">
        <v>4.4999999999999998E-2</v>
      </c>
      <c r="L203" s="63">
        <v>0.26392251815980627</v>
      </c>
      <c r="M203" s="63">
        <v>0.23547215496368037</v>
      </c>
      <c r="N203" s="63">
        <v>0.58027522935779818</v>
      </c>
      <c r="O203" s="63">
        <v>0.48329048843187661</v>
      </c>
      <c r="P203" s="63">
        <v>0.42273534635879217</v>
      </c>
    </row>
    <row r="204" spans="1:16" x14ac:dyDescent="0.45">
      <c r="A204" s="65">
        <v>201</v>
      </c>
      <c r="B204" s="62">
        <v>1812.7999999999995</v>
      </c>
      <c r="C204" s="62">
        <v>9.0189054726368134</v>
      </c>
      <c r="D204" s="67">
        <v>1.7761194029850746</v>
      </c>
      <c r="E204" s="63">
        <v>0.46766169154228854</v>
      </c>
      <c r="F204" s="63">
        <v>0.24378109452736318</v>
      </c>
      <c r="G204" s="63">
        <v>0.33974744437763077</v>
      </c>
      <c r="H204" s="63">
        <v>0.12507516536380037</v>
      </c>
      <c r="I204" s="64">
        <v>8286.9026548672573</v>
      </c>
      <c r="J204" s="64">
        <v>-7691.3461538461543</v>
      </c>
      <c r="K204" s="63">
        <v>4.4776119402985072E-2</v>
      </c>
      <c r="L204" s="63">
        <v>0.26398075766686713</v>
      </c>
      <c r="M204" s="63">
        <v>0.23571858087793146</v>
      </c>
      <c r="N204" s="63">
        <v>0.5808656036446469</v>
      </c>
      <c r="O204" s="63">
        <v>0.47959183673469385</v>
      </c>
      <c r="P204" s="63">
        <v>0.42123893805309737</v>
      </c>
    </row>
    <row r="205" spans="1:16" x14ac:dyDescent="0.45">
      <c r="A205" s="65">
        <v>202</v>
      </c>
      <c r="B205" s="62">
        <v>1853.4999999999995</v>
      </c>
      <c r="C205" s="62">
        <v>9.1757425742574235</v>
      </c>
      <c r="D205" s="67">
        <v>1.7722772277227723</v>
      </c>
      <c r="E205" s="63">
        <v>0.47029702970297027</v>
      </c>
      <c r="F205" s="63">
        <v>0.24257425742574257</v>
      </c>
      <c r="G205" s="63">
        <v>0.34048896839594511</v>
      </c>
      <c r="H205" s="63">
        <v>0.12522361359570661</v>
      </c>
      <c r="I205" s="64">
        <v>8282.6619964973725</v>
      </c>
      <c r="J205" s="64">
        <v>-7655.2380952380954</v>
      </c>
      <c r="K205" s="63">
        <v>4.4554455445544552E-2</v>
      </c>
      <c r="L205" s="63">
        <v>0.26416219439475253</v>
      </c>
      <c r="M205" s="63">
        <v>0.23673225998807393</v>
      </c>
      <c r="N205" s="63">
        <v>0.58013544018058694</v>
      </c>
      <c r="O205" s="63">
        <v>0.47858942065491183</v>
      </c>
      <c r="P205" s="63">
        <v>0.41856392294220668</v>
      </c>
    </row>
    <row r="206" spans="1:16" x14ac:dyDescent="0.45">
      <c r="A206" s="65">
        <v>203</v>
      </c>
      <c r="B206" s="62">
        <v>1867.4999999999995</v>
      </c>
      <c r="C206" s="62">
        <v>9.1995073891625587</v>
      </c>
      <c r="D206" s="67">
        <v>1.7684729064039408</v>
      </c>
      <c r="E206" s="63">
        <v>0.47290640394088668</v>
      </c>
      <c r="F206" s="63">
        <v>0.2413793103448276</v>
      </c>
      <c r="G206" s="63">
        <v>0.33966745843230406</v>
      </c>
      <c r="H206" s="63">
        <v>0.12470308788598575</v>
      </c>
      <c r="I206" s="64">
        <v>8289.1608391608388</v>
      </c>
      <c r="J206" s="64">
        <v>-7655.2380952380954</v>
      </c>
      <c r="K206" s="63">
        <v>4.4334975369458129E-2</v>
      </c>
      <c r="L206" s="63">
        <v>0.26543942992874109</v>
      </c>
      <c r="M206" s="63">
        <v>0.23634204275534443</v>
      </c>
      <c r="N206" s="63">
        <v>0.57718120805369133</v>
      </c>
      <c r="O206" s="63">
        <v>0.47738693467336685</v>
      </c>
      <c r="P206" s="63">
        <v>0.41958041958041958</v>
      </c>
    </row>
    <row r="207" spans="1:16" x14ac:dyDescent="0.45">
      <c r="A207" s="65">
        <v>204</v>
      </c>
      <c r="B207" s="62">
        <v>1934.3999999999996</v>
      </c>
      <c r="C207" s="62">
        <v>9.4823529411764689</v>
      </c>
      <c r="D207" s="67">
        <v>1.7647058823529411</v>
      </c>
      <c r="E207" s="63">
        <v>0.47549019607843135</v>
      </c>
      <c r="F207" s="63">
        <v>0.24019607843137256</v>
      </c>
      <c r="G207" s="63">
        <v>0.34238488783943327</v>
      </c>
      <c r="H207" s="63">
        <v>0.12396694214876033</v>
      </c>
      <c r="I207" s="64">
        <v>8280.689655172413</v>
      </c>
      <c r="J207" s="64">
        <v>-7655.2380952380954</v>
      </c>
      <c r="K207" s="63">
        <v>4.4117647058823532E-2</v>
      </c>
      <c r="L207" s="63">
        <v>0.26564344746162927</v>
      </c>
      <c r="M207" s="63">
        <v>0.2384887839433294</v>
      </c>
      <c r="N207" s="63">
        <v>0.57999999999999996</v>
      </c>
      <c r="O207" s="63">
        <v>0.48267326732673266</v>
      </c>
      <c r="P207" s="63">
        <v>0.4206896551724138</v>
      </c>
    </row>
    <row r="208" spans="1:16" x14ac:dyDescent="0.45">
      <c r="A208" s="65">
        <v>205</v>
      </c>
      <c r="B208" s="62">
        <v>1937.5999999999997</v>
      </c>
      <c r="C208" s="62">
        <v>9.4517073170731685</v>
      </c>
      <c r="D208" s="67">
        <v>1.7658536585365854</v>
      </c>
      <c r="E208" s="63">
        <v>0.47317073170731705</v>
      </c>
      <c r="F208" s="63">
        <v>0.23902439024390243</v>
      </c>
      <c r="G208" s="63">
        <v>0.34235294117647058</v>
      </c>
      <c r="H208" s="63">
        <v>0.12352941176470589</v>
      </c>
      <c r="I208" s="64">
        <v>8275.4295532646047</v>
      </c>
      <c r="J208" s="64">
        <v>-7655.2380952380954</v>
      </c>
      <c r="K208" s="63">
        <v>4.3902439024390241E-2</v>
      </c>
      <c r="L208" s="63">
        <v>0.26529411764705885</v>
      </c>
      <c r="M208" s="63">
        <v>0.23764705882352941</v>
      </c>
      <c r="N208" s="63">
        <v>0.58093126385809313</v>
      </c>
      <c r="O208" s="63">
        <v>0.48267326732673266</v>
      </c>
      <c r="P208" s="63">
        <v>0.41924398625429554</v>
      </c>
    </row>
    <row r="209" spans="1:16" x14ac:dyDescent="0.45">
      <c r="A209" s="65">
        <v>206</v>
      </c>
      <c r="B209" s="62">
        <v>1937.2999999999997</v>
      </c>
      <c r="C209" s="62">
        <v>9.4043689320388335</v>
      </c>
      <c r="D209" s="67">
        <v>1.766990291262136</v>
      </c>
      <c r="E209" s="63">
        <v>0.470873786407767</v>
      </c>
      <c r="F209" s="63">
        <v>0.23786407766990292</v>
      </c>
      <c r="G209" s="63">
        <v>0.3426736719206071</v>
      </c>
      <c r="H209" s="63">
        <v>0.1237594862813777</v>
      </c>
      <c r="I209" s="64">
        <v>8274.2759795570691</v>
      </c>
      <c r="J209" s="64">
        <v>-7630.1886792452833</v>
      </c>
      <c r="K209" s="63">
        <v>4.3689320388349516E-2</v>
      </c>
      <c r="L209" s="63">
        <v>0.26503210741389377</v>
      </c>
      <c r="M209" s="63">
        <v>0.23934617629889082</v>
      </c>
      <c r="N209" s="63">
        <v>0.58149779735682816</v>
      </c>
      <c r="O209" s="63">
        <v>0.48292682926829267</v>
      </c>
      <c r="P209" s="63">
        <v>0.4190800681431005</v>
      </c>
    </row>
    <row r="210" spans="1:16" x14ac:dyDescent="0.45">
      <c r="A210" s="65">
        <v>207</v>
      </c>
      <c r="B210" s="62">
        <v>1977.1999999999998</v>
      </c>
      <c r="C210" s="62">
        <v>9.5516908212560381</v>
      </c>
      <c r="D210" s="67">
        <v>1.7632850241545894</v>
      </c>
      <c r="E210" s="63">
        <v>0.47342995169082125</v>
      </c>
      <c r="F210" s="63">
        <v>0.23671497584541062</v>
      </c>
      <c r="G210" s="63">
        <v>0.34300638421358098</v>
      </c>
      <c r="H210" s="63">
        <v>0.12362159024956472</v>
      </c>
      <c r="I210" s="64">
        <v>8277.8341793570216</v>
      </c>
      <c r="J210" s="64">
        <v>-7630.5164319248825</v>
      </c>
      <c r="K210" s="63">
        <v>4.3478260869565216E-2</v>
      </c>
      <c r="L210" s="63">
        <v>0.26465467208357518</v>
      </c>
      <c r="M210" s="63">
        <v>0.23969820081253626</v>
      </c>
      <c r="N210" s="63">
        <v>0.58333333333333337</v>
      </c>
      <c r="O210" s="63">
        <v>0.48426150121065376</v>
      </c>
      <c r="P210" s="63">
        <v>0.41962774957698817</v>
      </c>
    </row>
    <row r="211" spans="1:16" x14ac:dyDescent="0.45">
      <c r="A211" s="65">
        <v>208</v>
      </c>
      <c r="B211" s="62">
        <v>1974.9999999999998</v>
      </c>
      <c r="C211" s="62">
        <v>9.4951923076923066</v>
      </c>
      <c r="D211" s="67">
        <v>1.7644230769230769</v>
      </c>
      <c r="E211" s="63">
        <v>0.47115384615384615</v>
      </c>
      <c r="F211" s="63">
        <v>0.23557692307692307</v>
      </c>
      <c r="G211" s="63">
        <v>0.34315424610051992</v>
      </c>
      <c r="H211" s="63">
        <v>0.12420566146735991</v>
      </c>
      <c r="I211" s="64">
        <v>8271.0437710437709</v>
      </c>
      <c r="J211" s="64">
        <v>-7633.9534883720926</v>
      </c>
      <c r="K211" s="63">
        <v>4.3269230769230768E-2</v>
      </c>
      <c r="L211" s="63">
        <v>0.26458694396302718</v>
      </c>
      <c r="M211" s="63">
        <v>0.2391681109185442</v>
      </c>
      <c r="N211" s="63">
        <v>0.58515283842794763</v>
      </c>
      <c r="O211" s="63">
        <v>0.48309178743961351</v>
      </c>
      <c r="P211" s="63">
        <v>0.42255892255892258</v>
      </c>
    </row>
    <row r="212" spans="1:16" x14ac:dyDescent="0.45">
      <c r="A212" s="65">
        <v>209</v>
      </c>
      <c r="B212" s="62">
        <v>1923.8999999999999</v>
      </c>
      <c r="C212" s="62">
        <v>9.2052631578947359</v>
      </c>
      <c r="D212" s="67">
        <v>1.770334928229665</v>
      </c>
      <c r="E212" s="63">
        <v>0.46889952153110048</v>
      </c>
      <c r="F212" s="63">
        <v>0.23923444976076555</v>
      </c>
      <c r="G212" s="63">
        <v>0.34234752589182971</v>
      </c>
      <c r="H212" s="63">
        <v>0.12428078250863062</v>
      </c>
      <c r="I212" s="64">
        <v>8260.5042016806728</v>
      </c>
      <c r="J212" s="64">
        <v>-7708.333333333333</v>
      </c>
      <c r="K212" s="63">
        <v>4.784688995215311E-2</v>
      </c>
      <c r="L212" s="63">
        <v>0.26409666283084005</v>
      </c>
      <c r="M212" s="63">
        <v>0.23935558112773303</v>
      </c>
      <c r="N212" s="63">
        <v>0.58387799564270149</v>
      </c>
      <c r="O212" s="63">
        <v>0.48317307692307693</v>
      </c>
      <c r="P212" s="63">
        <v>0.42184873949579832</v>
      </c>
    </row>
    <row r="213" spans="1:16" x14ac:dyDescent="0.45">
      <c r="A213" s="65">
        <v>210</v>
      </c>
      <c r="B213" s="62">
        <v>1949.1999999999998</v>
      </c>
      <c r="C213" s="62">
        <v>9.2819047619047605</v>
      </c>
      <c r="D213" s="67">
        <v>1.7666666666666666</v>
      </c>
      <c r="E213" s="63">
        <v>0.47142857142857142</v>
      </c>
      <c r="F213" s="63">
        <v>0.23809523809523808</v>
      </c>
      <c r="G213" s="63">
        <v>0.34230108757870636</v>
      </c>
      <c r="H213" s="63">
        <v>0.12421293646250715</v>
      </c>
      <c r="I213" s="64">
        <v>8252.8428093645489</v>
      </c>
      <c r="J213" s="64">
        <v>-7690.7834101382487</v>
      </c>
      <c r="K213" s="63">
        <v>4.7619047619047616E-2</v>
      </c>
      <c r="L213" s="63">
        <v>0.2633085289066972</v>
      </c>
      <c r="M213" s="63">
        <v>0.23983972524327418</v>
      </c>
      <c r="N213" s="63">
        <v>0.58478260869565213</v>
      </c>
      <c r="O213" s="63">
        <v>0.47971360381861577</v>
      </c>
      <c r="P213" s="63">
        <v>0.4197324414715719</v>
      </c>
    </row>
    <row r="214" spans="1:16" x14ac:dyDescent="0.45">
      <c r="A214" s="65">
        <v>211</v>
      </c>
      <c r="B214" s="62">
        <v>1970.8999999999999</v>
      </c>
      <c r="C214" s="62">
        <v>9.3407582938388618</v>
      </c>
      <c r="D214" s="67">
        <v>1.7630331753554502</v>
      </c>
      <c r="E214" s="63">
        <v>0.47393364928909953</v>
      </c>
      <c r="F214" s="63">
        <v>0.23696682464454977</v>
      </c>
      <c r="G214" s="63">
        <v>0.34264538198403649</v>
      </c>
      <c r="H214" s="63">
        <v>0.12371721778791334</v>
      </c>
      <c r="I214" s="64">
        <v>8239.4342762063225</v>
      </c>
      <c r="J214" s="64">
        <v>-7690.7834101382487</v>
      </c>
      <c r="K214" s="63">
        <v>4.7393364928909949E-2</v>
      </c>
      <c r="L214" s="63">
        <v>0.26453819840364878</v>
      </c>
      <c r="M214" s="63">
        <v>0.24002280501710377</v>
      </c>
      <c r="N214" s="63">
        <v>0.58405172413793105</v>
      </c>
      <c r="O214" s="63">
        <v>0.47980997624703087</v>
      </c>
      <c r="P214" s="63">
        <v>0.41763727121464228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6E5DE-1D8C-4F18-AEDC-0FFE72856C41}">
  <sheetPr codeName="Sheet8"/>
  <dimension ref="A1:Q9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5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5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5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5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5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  <row r="87" spans="1:16" x14ac:dyDescent="0.45">
      <c r="A87" s="65">
        <v>84</v>
      </c>
      <c r="B87" s="62">
        <v>-564.20000000000027</v>
      </c>
      <c r="C87" s="62">
        <v>-6.7166666666666703</v>
      </c>
      <c r="D87" s="67">
        <v>2.1428571428571428</v>
      </c>
      <c r="E87" s="63">
        <v>0.29761904761904762</v>
      </c>
      <c r="F87" s="63">
        <v>0.44047619047619047</v>
      </c>
      <c r="G87" s="63">
        <v>0.27516778523489932</v>
      </c>
      <c r="H87" s="63">
        <v>0.16107382550335569</v>
      </c>
      <c r="I87" s="64">
        <v>7127.8048780487807</v>
      </c>
      <c r="J87" s="64">
        <v>-7755</v>
      </c>
      <c r="K87" s="63">
        <v>8.3333333333333329E-2</v>
      </c>
      <c r="L87" s="63">
        <v>0.1436241610738255</v>
      </c>
      <c r="M87" s="63">
        <v>0.25771812080536916</v>
      </c>
      <c r="N87" s="63">
        <v>0.53271028037383172</v>
      </c>
      <c r="O87" s="63">
        <v>0.41145833333333331</v>
      </c>
      <c r="P87" s="63">
        <v>0.42439024390243901</v>
      </c>
    </row>
    <row r="88" spans="1:16" x14ac:dyDescent="0.45">
      <c r="A88" s="65">
        <v>85</v>
      </c>
      <c r="B88" s="62">
        <v>-589.90000000000032</v>
      </c>
      <c r="C88" s="62">
        <v>-6.9400000000000039</v>
      </c>
      <c r="D88" s="67">
        <v>2.1529411764705881</v>
      </c>
      <c r="E88" s="63">
        <v>0.29411764705882354</v>
      </c>
      <c r="F88" s="63">
        <v>0.44705882352941179</v>
      </c>
      <c r="G88" s="63">
        <v>0.27357237715803451</v>
      </c>
      <c r="H88" s="63">
        <v>0.16334661354581673</v>
      </c>
      <c r="I88" s="64">
        <v>7103.3980582524273</v>
      </c>
      <c r="J88" s="64">
        <v>-7657.7235772357726</v>
      </c>
      <c r="K88" s="63">
        <v>8.2352941176470587E-2</v>
      </c>
      <c r="L88" s="63">
        <v>0.14342629482071714</v>
      </c>
      <c r="M88" s="63">
        <v>0.25896414342629481</v>
      </c>
      <c r="N88" s="63">
        <v>0.52777777777777779</v>
      </c>
      <c r="O88" s="63">
        <v>0.40512820512820513</v>
      </c>
      <c r="P88" s="63">
        <v>0.42718446601941745</v>
      </c>
    </row>
    <row r="89" spans="1:16" x14ac:dyDescent="0.45">
      <c r="A89" s="65">
        <v>86</v>
      </c>
      <c r="B89" s="62">
        <v>-582.3000000000003</v>
      </c>
      <c r="C89" s="62">
        <v>-6.7709302325581433</v>
      </c>
      <c r="D89" s="67">
        <v>2.1511627906976742</v>
      </c>
      <c r="E89" s="63">
        <v>0.29069767441860467</v>
      </c>
      <c r="F89" s="63">
        <v>0.44186046511627908</v>
      </c>
      <c r="G89" s="63">
        <v>0.27500000000000002</v>
      </c>
      <c r="H89" s="63">
        <v>0.16447368421052633</v>
      </c>
      <c r="I89" s="64">
        <v>7093.7799043062205</v>
      </c>
      <c r="J89" s="64">
        <v>-7576.8</v>
      </c>
      <c r="K89" s="63">
        <v>8.1395348837209308E-2</v>
      </c>
      <c r="L89" s="63">
        <v>0.14342105263157895</v>
      </c>
      <c r="M89" s="63">
        <v>0.26184210526315788</v>
      </c>
      <c r="N89" s="63">
        <v>0.5321100917431193</v>
      </c>
      <c r="O89" s="63">
        <v>0.40703517587939697</v>
      </c>
      <c r="P89" s="63">
        <v>0.42583732057416268</v>
      </c>
    </row>
    <row r="90" spans="1:16" x14ac:dyDescent="0.45">
      <c r="A90" s="65">
        <v>87</v>
      </c>
      <c r="B90" s="62">
        <v>-606.90000000000032</v>
      </c>
      <c r="C90" s="62">
        <v>-6.9758620689655206</v>
      </c>
      <c r="D90" s="67">
        <v>2.1609195402298851</v>
      </c>
      <c r="E90" s="63">
        <v>0.28735632183908044</v>
      </c>
      <c r="F90" s="63">
        <v>0.44827586206896552</v>
      </c>
      <c r="G90" s="63">
        <v>0.27379400260756193</v>
      </c>
      <c r="H90" s="63">
        <v>0.16427640156453716</v>
      </c>
      <c r="I90" s="64">
        <v>7096.666666666667</v>
      </c>
      <c r="J90" s="64">
        <v>-7537.3015873015875</v>
      </c>
      <c r="K90" s="63">
        <v>8.0459770114942528E-2</v>
      </c>
      <c r="L90" s="63">
        <v>0.14211212516297261</v>
      </c>
      <c r="M90" s="63">
        <v>0.26336375488917863</v>
      </c>
      <c r="N90" s="63">
        <v>0.5321100917431193</v>
      </c>
      <c r="O90" s="63">
        <v>0.40099009900990101</v>
      </c>
      <c r="P90" s="63">
        <v>0.42857142857142855</v>
      </c>
    </row>
    <row r="91" spans="1:16" x14ac:dyDescent="0.45">
      <c r="A91" s="65">
        <v>88</v>
      </c>
      <c r="B91" s="62">
        <v>-597.70000000000027</v>
      </c>
      <c r="C91" s="62">
        <v>-6.792045454545458</v>
      </c>
      <c r="D91" s="67">
        <v>2.1590909090909092</v>
      </c>
      <c r="E91" s="63">
        <v>0.28409090909090912</v>
      </c>
      <c r="F91" s="63">
        <v>0.44318181818181818</v>
      </c>
      <c r="G91" s="63">
        <v>0.27307692307692305</v>
      </c>
      <c r="H91" s="63">
        <v>0.16282051282051282</v>
      </c>
      <c r="I91" s="64">
        <v>7107.9812206572769</v>
      </c>
      <c r="J91" s="64">
        <v>-7540.9448818897636</v>
      </c>
      <c r="K91" s="63">
        <v>7.9545454545454544E-2</v>
      </c>
      <c r="L91" s="63">
        <v>0.14102564102564102</v>
      </c>
      <c r="M91" s="63">
        <v>0.26282051282051283</v>
      </c>
      <c r="N91" s="63">
        <v>0.53636363636363638</v>
      </c>
      <c r="O91" s="63">
        <v>0.39512195121951221</v>
      </c>
      <c r="P91" s="63">
        <v>0.43661971830985913</v>
      </c>
    </row>
    <row r="92" spans="1:16" x14ac:dyDescent="0.45">
      <c r="A92" s="65">
        <v>89</v>
      </c>
      <c r="B92" s="62">
        <v>-581.00000000000023</v>
      </c>
      <c r="C92" s="62">
        <v>-6.5280898876404523</v>
      </c>
      <c r="D92" s="67">
        <v>2.1573033707865168</v>
      </c>
      <c r="E92" s="63">
        <v>0.2808988764044944</v>
      </c>
      <c r="F92" s="63">
        <v>0.43820224719101125</v>
      </c>
      <c r="G92" s="63">
        <v>0.27341772151898736</v>
      </c>
      <c r="H92" s="63">
        <v>0.16202531645569621</v>
      </c>
      <c r="I92" s="64">
        <v>7159.7222222222226</v>
      </c>
      <c r="J92" s="64">
        <v>-7497.65625</v>
      </c>
      <c r="K92" s="63">
        <v>7.8651685393258425E-2</v>
      </c>
      <c r="L92" s="63">
        <v>0.14177215189873418</v>
      </c>
      <c r="M92" s="63">
        <v>0.26202531645569621</v>
      </c>
      <c r="N92" s="63">
        <v>0.5357142857142857</v>
      </c>
      <c r="O92" s="63">
        <v>0.39613526570048307</v>
      </c>
      <c r="P92" s="63">
        <v>0.43518518518518517</v>
      </c>
    </row>
    <row r="93" spans="1:16" x14ac:dyDescent="0.45">
      <c r="A93" s="65">
        <v>90</v>
      </c>
      <c r="B93" s="62">
        <v>-584.9000000000002</v>
      </c>
      <c r="C93" s="62">
        <v>-6.4988888888888914</v>
      </c>
      <c r="D93" s="67">
        <v>2.1555555555555554</v>
      </c>
      <c r="E93" s="63">
        <v>0.27777777777777779</v>
      </c>
      <c r="F93" s="63">
        <v>0.43333333333333335</v>
      </c>
      <c r="G93" s="63">
        <v>0.27453416149068322</v>
      </c>
      <c r="H93" s="63">
        <v>0.16149068322981366</v>
      </c>
      <c r="I93" s="64">
        <v>7129.8642533936654</v>
      </c>
      <c r="J93" s="64">
        <v>-7514.6153846153848</v>
      </c>
      <c r="K93" s="63">
        <v>7.7777777777777779E-2</v>
      </c>
      <c r="L93" s="63">
        <v>0.1391304347826087</v>
      </c>
      <c r="M93" s="63">
        <v>0.26583850931677017</v>
      </c>
      <c r="N93" s="63">
        <v>0.5357142857142857</v>
      </c>
      <c r="O93" s="63">
        <v>0.40186915887850466</v>
      </c>
      <c r="P93" s="63">
        <v>0.43438914027149322</v>
      </c>
    </row>
    <row r="94" spans="1:16" x14ac:dyDescent="0.45">
      <c r="A94" s="65">
        <v>91</v>
      </c>
      <c r="B94" s="62">
        <v>-589.00000000000023</v>
      </c>
      <c r="C94" s="62">
        <v>-6.4725274725274753</v>
      </c>
      <c r="D94" s="67">
        <v>2.1538461538461537</v>
      </c>
      <c r="E94" s="63">
        <v>0.27472527472527475</v>
      </c>
      <c r="F94" s="63">
        <v>0.42857142857142855</v>
      </c>
      <c r="G94" s="63">
        <v>0.27518427518427518</v>
      </c>
      <c r="H94" s="63">
        <v>0.16216216216216217</v>
      </c>
      <c r="I94" s="64">
        <v>7093.3035714285716</v>
      </c>
      <c r="J94" s="64">
        <v>-7565.909090909091</v>
      </c>
      <c r="K94" s="63">
        <v>7.6923076923076927E-2</v>
      </c>
      <c r="L94" s="63">
        <v>0.14004914004914004</v>
      </c>
      <c r="M94" s="63">
        <v>0.26535626535626533</v>
      </c>
      <c r="N94" s="63">
        <v>0.53508771929824561</v>
      </c>
      <c r="O94" s="63">
        <v>0.39814814814814814</v>
      </c>
      <c r="P94" s="63">
        <v>0.42857142857142855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88AB7-B319-4BCD-A6E9-2D3AE0B5F11D}">
  <sheetPr codeName="Sheet6"/>
  <dimension ref="A1:Q35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5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5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5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5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5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5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5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5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5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5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5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 x14ac:dyDescent="0.45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 x14ac:dyDescent="0.45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 x14ac:dyDescent="0.45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  <row r="314" spans="1:16" x14ac:dyDescent="0.45">
      <c r="A314" s="65">
        <v>311</v>
      </c>
      <c r="B314" s="62">
        <v>-6.4837024638109142E-14</v>
      </c>
      <c r="C314" s="62">
        <v>-6.9493059633557494E-17</v>
      </c>
      <c r="D314" s="67">
        <v>2</v>
      </c>
      <c r="E314" s="63">
        <v>0.33333333333333331</v>
      </c>
      <c r="F314" s="63">
        <v>0.33333333333333331</v>
      </c>
      <c r="G314" s="63">
        <v>0.29466000768344219</v>
      </c>
      <c r="H314" s="63">
        <v>0.16122422845434756</v>
      </c>
      <c r="I314" s="64">
        <v>8388.8309430682311</v>
      </c>
      <c r="J314" s="64">
        <v>-7800.7942811755365</v>
      </c>
      <c r="K314" s="63">
        <v>9.2175777063236874E-2</v>
      </c>
      <c r="L314" s="63">
        <v>0.25150467409399413</v>
      </c>
      <c r="M314" s="63">
        <v>0.2320399538993469</v>
      </c>
      <c r="N314" s="63">
        <v>0.55193482688391038</v>
      </c>
      <c r="O314" s="63">
        <v>0.41997792494481234</v>
      </c>
      <c r="P314" s="63">
        <v>0.44763146458061714</v>
      </c>
    </row>
    <row r="315" spans="1:16" x14ac:dyDescent="0.45">
      <c r="A315" s="65">
        <v>312</v>
      </c>
      <c r="B315" s="62">
        <v>-6.3948846218409017E-14</v>
      </c>
      <c r="C315" s="62">
        <v>-6.8321416900009637E-17</v>
      </c>
      <c r="D315" s="67">
        <v>2</v>
      </c>
      <c r="E315" s="63">
        <v>0.33333333333333331</v>
      </c>
      <c r="F315" s="63">
        <v>0.33333333333333331</v>
      </c>
      <c r="G315" s="63">
        <v>0.29468044393417525</v>
      </c>
      <c r="H315" s="63">
        <v>0.16150019135093763</v>
      </c>
      <c r="I315" s="64">
        <v>8383.4632034632032</v>
      </c>
      <c r="J315" s="64">
        <v>-7791.7061611374411</v>
      </c>
      <c r="K315" s="63">
        <v>9.2948717948717952E-2</v>
      </c>
      <c r="L315" s="63">
        <v>0.25143513203214696</v>
      </c>
      <c r="M315" s="63">
        <v>0.23204490368669473</v>
      </c>
      <c r="N315" s="63">
        <v>0.55149670218163371</v>
      </c>
      <c r="O315" s="63">
        <v>0.4194612424409016</v>
      </c>
      <c r="P315" s="63">
        <v>0.44675324675324674</v>
      </c>
    </row>
    <row r="316" spans="1:16" x14ac:dyDescent="0.45">
      <c r="A316" s="65">
        <v>313</v>
      </c>
      <c r="B316" s="62">
        <v>-6.3948846218409017E-14</v>
      </c>
      <c r="C316" s="62">
        <v>-6.8103137612789152E-17</v>
      </c>
      <c r="D316" s="67">
        <v>2</v>
      </c>
      <c r="E316" s="63">
        <v>0.33333333333333331</v>
      </c>
      <c r="F316" s="63">
        <v>0.33333333333333331</v>
      </c>
      <c r="G316" s="63">
        <v>0.29476899579992366</v>
      </c>
      <c r="H316" s="63">
        <v>0.16138475245004455</v>
      </c>
      <c r="I316" s="64">
        <v>8387.5647668393776</v>
      </c>
      <c r="J316" s="64">
        <v>-7800.6309148264982</v>
      </c>
      <c r="K316" s="63">
        <v>9.2651757188498399E-2</v>
      </c>
      <c r="L316" s="63">
        <v>0.25111365661193841</v>
      </c>
      <c r="M316" s="63">
        <v>0.23189512536591575</v>
      </c>
      <c r="N316" s="63">
        <v>0.55144450076026352</v>
      </c>
      <c r="O316" s="63">
        <v>0.41931942919868276</v>
      </c>
      <c r="P316" s="63">
        <v>0.44732297063903281</v>
      </c>
    </row>
    <row r="317" spans="1:16" x14ac:dyDescent="0.45">
      <c r="A317" s="65">
        <v>314</v>
      </c>
      <c r="B317" s="62">
        <v>-5.6843418860808015E-14</v>
      </c>
      <c r="C317" s="62">
        <v>-6.0343332124000015E-17</v>
      </c>
      <c r="D317" s="67">
        <v>2</v>
      </c>
      <c r="E317" s="63">
        <v>0.33333333333333331</v>
      </c>
      <c r="F317" s="63">
        <v>0.33333333333333331</v>
      </c>
      <c r="G317" s="63">
        <v>0.29478889311525297</v>
      </c>
      <c r="H317" s="63">
        <v>0.16140484341321162</v>
      </c>
      <c r="I317" s="64">
        <v>8389.1182795698933</v>
      </c>
      <c r="J317" s="64">
        <v>-7801.0212097407702</v>
      </c>
      <c r="K317" s="63">
        <v>9.3418259023354558E-2</v>
      </c>
      <c r="L317" s="63">
        <v>0.25091923418283252</v>
      </c>
      <c r="M317" s="63">
        <v>0.23177380499556233</v>
      </c>
      <c r="N317" s="63">
        <v>0.55179383527033854</v>
      </c>
      <c r="O317" s="63">
        <v>0.41958424507658643</v>
      </c>
      <c r="P317" s="63">
        <v>0.44731182795698926</v>
      </c>
    </row>
    <row r="318" spans="1:16" x14ac:dyDescent="0.45">
      <c r="A318" s="65">
        <v>315</v>
      </c>
      <c r="B318" s="62">
        <v>-5.773159728050814E-14</v>
      </c>
      <c r="C318" s="62">
        <v>-6.1091637333871044E-17</v>
      </c>
      <c r="D318" s="67">
        <v>2</v>
      </c>
      <c r="E318" s="63">
        <v>0.33333333333333331</v>
      </c>
      <c r="F318" s="63">
        <v>0.33333333333333331</v>
      </c>
      <c r="G318" s="63">
        <v>0.29477942105928456</v>
      </c>
      <c r="H318" s="63">
        <v>0.16154721274175199</v>
      </c>
      <c r="I318" s="64">
        <v>8380.102915951973</v>
      </c>
      <c r="J318" s="64">
        <v>-7784.2723004694835</v>
      </c>
      <c r="K318" s="63">
        <v>9.3121693121693119E-2</v>
      </c>
      <c r="L318" s="63">
        <v>0.25079003918594361</v>
      </c>
      <c r="M318" s="63">
        <v>0.23208191126279865</v>
      </c>
      <c r="N318" s="63">
        <v>0.55241935483870963</v>
      </c>
      <c r="O318" s="63">
        <v>0.41884531590413943</v>
      </c>
      <c r="P318" s="63">
        <v>0.44682675814751288</v>
      </c>
    </row>
    <row r="319" spans="1:16" x14ac:dyDescent="0.45">
      <c r="A319" s="65">
        <v>316</v>
      </c>
      <c r="B319" s="62">
        <v>-6.0396132539608516E-14</v>
      </c>
      <c r="C319" s="62">
        <v>-6.3709000569207294E-17</v>
      </c>
      <c r="D319" s="67">
        <v>2</v>
      </c>
      <c r="E319" s="63">
        <v>0.33333333333333331</v>
      </c>
      <c r="F319" s="63">
        <v>0.33333333333333331</v>
      </c>
      <c r="G319" s="63">
        <v>0.29488149268784669</v>
      </c>
      <c r="H319" s="63">
        <v>0.1616238023197176</v>
      </c>
      <c r="I319" s="64">
        <v>8370.6284737067126</v>
      </c>
      <c r="J319" s="64">
        <v>-7774.9609984399376</v>
      </c>
      <c r="K319" s="63">
        <v>9.2827004219409287E-2</v>
      </c>
      <c r="L319" s="63">
        <v>0.25037821482602118</v>
      </c>
      <c r="M319" s="63">
        <v>0.23234997478567826</v>
      </c>
      <c r="N319" s="63">
        <v>0.55287009063444104</v>
      </c>
      <c r="O319" s="63">
        <v>0.41888225718936517</v>
      </c>
      <c r="P319" s="63">
        <v>0.4467721248396751</v>
      </c>
    </row>
    <row r="320" spans="1:16" x14ac:dyDescent="0.45">
      <c r="A320" s="65">
        <v>317</v>
      </c>
      <c r="B320" s="62">
        <v>-6.3948846218409017E-14</v>
      </c>
      <c r="C320" s="62">
        <v>-6.7243792027769735E-17</v>
      </c>
      <c r="D320" s="67">
        <v>2</v>
      </c>
      <c r="E320" s="63">
        <v>0.33333333333333331</v>
      </c>
      <c r="F320" s="63">
        <v>0.33333333333333331</v>
      </c>
      <c r="G320" s="63">
        <v>0.29498302527348169</v>
      </c>
      <c r="H320" s="63">
        <v>0.16144850999622784</v>
      </c>
      <c r="I320" s="64">
        <v>8369.0537084398984</v>
      </c>
      <c r="J320" s="64">
        <v>-7769.3925233644859</v>
      </c>
      <c r="K320" s="63">
        <v>9.2534174553101992E-2</v>
      </c>
      <c r="L320" s="63">
        <v>0.25022004275116311</v>
      </c>
      <c r="M320" s="63">
        <v>0.23261662265811645</v>
      </c>
      <c r="N320" s="63">
        <v>0.55276381909547734</v>
      </c>
      <c r="O320" s="63">
        <v>0.41837837837837838</v>
      </c>
      <c r="P320" s="63">
        <v>0.4475703324808184</v>
      </c>
    </row>
    <row r="321" spans="1:16" x14ac:dyDescent="0.45">
      <c r="A321" s="65">
        <v>318</v>
      </c>
      <c r="B321" s="62">
        <v>-6.7501559897209518E-14</v>
      </c>
      <c r="C321" s="62">
        <v>-7.0756352093511026E-17</v>
      </c>
      <c r="D321" s="67">
        <v>2</v>
      </c>
      <c r="E321" s="63">
        <v>0.33333333333333331</v>
      </c>
      <c r="F321" s="63">
        <v>0.33333333333333331</v>
      </c>
      <c r="G321" s="63">
        <v>0.29509840792277797</v>
      </c>
      <c r="H321" s="63">
        <v>0.16121348878024319</v>
      </c>
      <c r="I321" s="64">
        <v>8366.3551401869154</v>
      </c>
      <c r="J321" s="64">
        <v>-7764.5412130637633</v>
      </c>
      <c r="K321" s="63">
        <v>9.2243186582809222E-2</v>
      </c>
      <c r="L321" s="63">
        <v>0.25047010154193305</v>
      </c>
      <c r="M321" s="63">
        <v>0.23229284192052149</v>
      </c>
      <c r="N321" s="63">
        <v>0.55355355355355351</v>
      </c>
      <c r="O321" s="63">
        <v>0.41878035617916892</v>
      </c>
      <c r="P321" s="63">
        <v>0.44859813084112149</v>
      </c>
    </row>
    <row r="322" spans="1:16" x14ac:dyDescent="0.45">
      <c r="A322" s="65">
        <v>319</v>
      </c>
      <c r="B322" s="62">
        <v>-6.3948846218409017E-14</v>
      </c>
      <c r="C322" s="62">
        <v>-6.6822200855181839E-17</v>
      </c>
      <c r="D322" s="67">
        <v>2</v>
      </c>
      <c r="E322" s="63">
        <v>0.33333333333333331</v>
      </c>
      <c r="F322" s="63">
        <v>0.33333333333333331</v>
      </c>
      <c r="G322" s="63">
        <v>0.2951024487756122</v>
      </c>
      <c r="H322" s="63">
        <v>0.1612943528235882</v>
      </c>
      <c r="I322" s="64">
        <v>8356.1812023708717</v>
      </c>
      <c r="J322" s="64">
        <v>-7760.2633617350893</v>
      </c>
      <c r="K322" s="63">
        <v>9.1954022988505746E-2</v>
      </c>
      <c r="L322" s="63">
        <v>0.25037481259370314</v>
      </c>
      <c r="M322" s="63">
        <v>0.23213393303348326</v>
      </c>
      <c r="N322" s="63">
        <v>0.55289421157684626</v>
      </c>
      <c r="O322" s="63">
        <v>0.41980624327233584</v>
      </c>
      <c r="P322" s="63">
        <v>0.4483488569009314</v>
      </c>
    </row>
    <row r="323" spans="1:16" x14ac:dyDescent="0.45">
      <c r="A323" s="65">
        <v>320</v>
      </c>
      <c r="B323" s="62">
        <v>-6.3948846218409017E-14</v>
      </c>
      <c r="C323" s="62">
        <v>-6.661338147750939E-17</v>
      </c>
      <c r="D323" s="67">
        <v>2</v>
      </c>
      <c r="E323" s="63">
        <v>0.33333333333333331</v>
      </c>
      <c r="F323" s="63">
        <v>0.33333333333333331</v>
      </c>
      <c r="G323" s="63">
        <v>0.29509217737917287</v>
      </c>
      <c r="H323" s="63">
        <v>0.16118584952665671</v>
      </c>
      <c r="I323" s="64">
        <v>8357.7036724356276</v>
      </c>
      <c r="J323" s="64">
        <v>-7770.788253477589</v>
      </c>
      <c r="K323" s="63">
        <v>9.166666666666666E-2</v>
      </c>
      <c r="L323" s="63">
        <v>0.25062282012954656</v>
      </c>
      <c r="M323" s="63">
        <v>0.23231190832087692</v>
      </c>
      <c r="N323" s="63">
        <v>0.55218687872763417</v>
      </c>
      <c r="O323" s="63">
        <v>0.41983914209115281</v>
      </c>
      <c r="P323" s="63">
        <v>0.4487125369354158</v>
      </c>
    </row>
    <row r="324" spans="1:16" x14ac:dyDescent="0.45">
      <c r="A324" s="65">
        <v>321</v>
      </c>
      <c r="B324" s="62">
        <v>-6.3948846218409017E-14</v>
      </c>
      <c r="C324" s="62">
        <v>-6.6405863155149545E-17</v>
      </c>
      <c r="D324" s="67">
        <v>2</v>
      </c>
      <c r="E324" s="63">
        <v>0.33333333333333331</v>
      </c>
      <c r="F324" s="63">
        <v>0.33333333333333331</v>
      </c>
      <c r="G324" s="63">
        <v>0.29483358171882762</v>
      </c>
      <c r="H324" s="63">
        <v>0.16082960755091902</v>
      </c>
      <c r="I324" s="64">
        <v>8375.4844144903109</v>
      </c>
      <c r="J324" s="64">
        <v>-7774.0540540540542</v>
      </c>
      <c r="K324" s="63">
        <v>9.138110072689512E-2</v>
      </c>
      <c r="L324" s="63">
        <v>0.25074515648286139</v>
      </c>
      <c r="M324" s="63">
        <v>0.23224043715846995</v>
      </c>
      <c r="N324" s="63">
        <v>0.55175829618623085</v>
      </c>
      <c r="O324" s="63">
        <v>0.41925133689839572</v>
      </c>
      <c r="P324" s="63">
        <v>0.44945240101095196</v>
      </c>
    </row>
    <row r="325" spans="1:16" x14ac:dyDescent="0.45">
      <c r="A325" s="65">
        <v>322</v>
      </c>
      <c r="B325" s="62">
        <v>-6.3948846218409017E-14</v>
      </c>
      <c r="C325" s="62">
        <v>-6.6199633766468963E-17</v>
      </c>
      <c r="D325" s="67">
        <v>2</v>
      </c>
      <c r="E325" s="63">
        <v>0.33333333333333331</v>
      </c>
      <c r="F325" s="63">
        <v>0.33333333333333331</v>
      </c>
      <c r="G325" s="63">
        <v>0.29489087301587302</v>
      </c>
      <c r="H325" s="63">
        <v>0.16083829365079366</v>
      </c>
      <c r="I325" s="64">
        <v>8380.3195962994105</v>
      </c>
      <c r="J325" s="64">
        <v>-7785.1966075558985</v>
      </c>
      <c r="K325" s="63">
        <v>9.213250517598344E-2</v>
      </c>
      <c r="L325" s="63">
        <v>0.25074404761904762</v>
      </c>
      <c r="M325" s="63">
        <v>0.23214285714285715</v>
      </c>
      <c r="N325" s="63">
        <v>0.55192878338278928</v>
      </c>
      <c r="O325" s="63">
        <v>0.41933760683760685</v>
      </c>
      <c r="P325" s="63">
        <v>0.44953742640874683</v>
      </c>
    </row>
    <row r="326" spans="1:16" x14ac:dyDescent="0.45">
      <c r="A326" s="65">
        <v>323</v>
      </c>
      <c r="B326" s="62">
        <v>-6.3948846218409017E-14</v>
      </c>
      <c r="C326" s="62">
        <v>-6.5994681339947383E-17</v>
      </c>
      <c r="D326" s="67">
        <v>2</v>
      </c>
      <c r="E326" s="63">
        <v>0.33333333333333331</v>
      </c>
      <c r="F326" s="63">
        <v>0.33333333333333331</v>
      </c>
      <c r="G326" s="63">
        <v>0.29489556297120256</v>
      </c>
      <c r="H326" s="63">
        <v>0.16104313434680509</v>
      </c>
      <c r="I326" s="64">
        <v>8399.4132439228833</v>
      </c>
      <c r="J326" s="64">
        <v>-7808.1350729086726</v>
      </c>
      <c r="K326" s="63">
        <v>9.2879256965944276E-2</v>
      </c>
      <c r="L326" s="63">
        <v>0.25052527499691013</v>
      </c>
      <c r="M326" s="63">
        <v>0.23198615745890497</v>
      </c>
      <c r="N326" s="63">
        <v>0.55155402072027626</v>
      </c>
      <c r="O326" s="63">
        <v>0.41981885988279166</v>
      </c>
      <c r="P326" s="63">
        <v>0.44886839899413244</v>
      </c>
    </row>
    <row r="327" spans="1:16" x14ac:dyDescent="0.45">
      <c r="A327" s="65">
        <v>324</v>
      </c>
      <c r="B327" s="62">
        <v>-6.3948846218409017E-14</v>
      </c>
      <c r="C327" s="62">
        <v>-6.5790994051861125E-17</v>
      </c>
      <c r="D327" s="67">
        <v>2</v>
      </c>
      <c r="E327" s="63">
        <v>0.33333333333333331</v>
      </c>
      <c r="F327" s="63">
        <v>0.33333333333333331</v>
      </c>
      <c r="G327" s="63">
        <v>0.29499506903353057</v>
      </c>
      <c r="H327" s="63">
        <v>0.16074950690335305</v>
      </c>
      <c r="I327" s="64">
        <v>8404.1788549937319</v>
      </c>
      <c r="J327" s="64">
        <v>-7811.3496932515336</v>
      </c>
      <c r="K327" s="63">
        <v>9.2592592592592587E-2</v>
      </c>
      <c r="L327" s="63">
        <v>0.25098619329388561</v>
      </c>
      <c r="M327" s="63">
        <v>0.23187869822485208</v>
      </c>
      <c r="N327" s="63">
        <v>0.55108055009823187</v>
      </c>
      <c r="O327" s="63">
        <v>0.41998936735778841</v>
      </c>
      <c r="P327" s="63">
        <v>0.45006268282490597</v>
      </c>
    </row>
    <row r="328" spans="1:16" x14ac:dyDescent="0.45">
      <c r="A328" s="65">
        <v>325</v>
      </c>
      <c r="B328" s="62">
        <v>-6.3948846218409017E-14</v>
      </c>
      <c r="C328" s="62">
        <v>-6.5588560224009254E-17</v>
      </c>
      <c r="D328" s="67">
        <v>2</v>
      </c>
      <c r="E328" s="63">
        <v>0.33333333333333331</v>
      </c>
      <c r="F328" s="63">
        <v>0.33333333333333331</v>
      </c>
      <c r="G328" s="63">
        <v>0.29497110537317101</v>
      </c>
      <c r="H328" s="63">
        <v>0.16082626337144965</v>
      </c>
      <c r="I328" s="64">
        <v>8422.4260108378494</v>
      </c>
      <c r="J328" s="64">
        <v>-7844.1896024464831</v>
      </c>
      <c r="K328" s="63">
        <v>9.3333333333333338E-2</v>
      </c>
      <c r="L328" s="63">
        <v>0.25070699618836839</v>
      </c>
      <c r="M328" s="63">
        <v>0.23189474978482724</v>
      </c>
      <c r="N328" s="63">
        <v>0.55076017655713583</v>
      </c>
      <c r="O328" s="63">
        <v>0.41993637327677624</v>
      </c>
      <c r="P328" s="63">
        <v>0.44977073780741977</v>
      </c>
    </row>
    <row r="329" spans="1:16" x14ac:dyDescent="0.45">
      <c r="A329" s="65">
        <v>326</v>
      </c>
      <c r="B329" s="62">
        <v>-6.3948846218409017E-14</v>
      </c>
      <c r="C329" s="62">
        <v>-6.5387368321481617E-17</v>
      </c>
      <c r="D329" s="67">
        <v>2</v>
      </c>
      <c r="E329" s="63">
        <v>0.33333333333333331</v>
      </c>
      <c r="F329" s="63">
        <v>0.33333333333333331</v>
      </c>
      <c r="G329" s="63">
        <v>0.29452809401395519</v>
      </c>
      <c r="H329" s="63">
        <v>0.16023993144815768</v>
      </c>
      <c r="I329" s="64">
        <v>8422.6932668329173</v>
      </c>
      <c r="J329" s="64">
        <v>-7839.1902215431628</v>
      </c>
      <c r="K329" s="63">
        <v>9.3047034764826175E-2</v>
      </c>
      <c r="L329" s="63">
        <v>0.25058146651976987</v>
      </c>
      <c r="M329" s="63">
        <v>0.23197453788713429</v>
      </c>
      <c r="N329" s="63">
        <v>0.54958475818270636</v>
      </c>
      <c r="O329" s="63">
        <v>0.41899736147757255</v>
      </c>
      <c r="P329" s="63">
        <v>0.45095594347464674</v>
      </c>
    </row>
    <row r="330" spans="1:16" x14ac:dyDescent="0.45">
      <c r="A330" s="65">
        <v>327</v>
      </c>
      <c r="B330" s="62">
        <v>-7.1054273576010019E-14</v>
      </c>
      <c r="C330" s="62">
        <v>-7.2430452167186566E-17</v>
      </c>
      <c r="D330" s="67">
        <v>2</v>
      </c>
      <c r="E330" s="63">
        <v>0.33333333333333331</v>
      </c>
      <c r="F330" s="63">
        <v>0.33333333333333331</v>
      </c>
      <c r="G330" s="63">
        <v>0.29410331384015592</v>
      </c>
      <c r="H330" s="63">
        <v>0.15984405458089668</v>
      </c>
      <c r="I330" s="64">
        <v>8423.487986743994</v>
      </c>
      <c r="J330" s="64">
        <v>-7840.7774390243903</v>
      </c>
      <c r="K330" s="63">
        <v>9.3781855249745152E-2</v>
      </c>
      <c r="L330" s="63">
        <v>0.2503654970760234</v>
      </c>
      <c r="M330" s="63">
        <v>0.23172514619883042</v>
      </c>
      <c r="N330" s="63">
        <v>0.54890510948905114</v>
      </c>
      <c r="O330" s="63">
        <v>0.41798107255520506</v>
      </c>
      <c r="P330" s="63">
        <v>0.45153272576636289</v>
      </c>
    </row>
    <row r="331" spans="1:16" x14ac:dyDescent="0.45">
      <c r="A331" s="65">
        <v>328</v>
      </c>
      <c r="B331" s="62">
        <v>-7.1054273576010019E-14</v>
      </c>
      <c r="C331" s="62">
        <v>-7.2209627617896359E-17</v>
      </c>
      <c r="D331" s="67">
        <v>2</v>
      </c>
      <c r="E331" s="63">
        <v>0.33333333333333331</v>
      </c>
      <c r="F331" s="63">
        <v>0.33333333333333331</v>
      </c>
      <c r="G331" s="63">
        <v>0.29411050394656951</v>
      </c>
      <c r="H331" s="63">
        <v>0.15992714025500912</v>
      </c>
      <c r="I331" s="64">
        <v>8422.8323699421962</v>
      </c>
      <c r="J331" s="64">
        <v>-7833.9407744874716</v>
      </c>
      <c r="K331" s="63">
        <v>9.451219512195122E-2</v>
      </c>
      <c r="L331" s="63">
        <v>0.24990892531876138</v>
      </c>
      <c r="M331" s="63">
        <v>0.2315725561627201</v>
      </c>
      <c r="N331" s="63">
        <v>0.5485908649173955</v>
      </c>
      <c r="O331" s="63">
        <v>0.41898269533298377</v>
      </c>
      <c r="P331" s="63">
        <v>0.45127993393889348</v>
      </c>
    </row>
    <row r="332" spans="1:16" x14ac:dyDescent="0.45">
      <c r="A332" s="65">
        <v>329</v>
      </c>
      <c r="B332" s="62">
        <v>-7.1054273576010019E-14</v>
      </c>
      <c r="C332" s="62">
        <v>-7.1990145467082087E-17</v>
      </c>
      <c r="D332" s="67">
        <v>2</v>
      </c>
      <c r="E332" s="63">
        <v>0.33333333333333331</v>
      </c>
      <c r="F332" s="63">
        <v>0.33333333333333331</v>
      </c>
      <c r="G332" s="63">
        <v>0.29408914728682173</v>
      </c>
      <c r="H332" s="63">
        <v>0.16024709302325582</v>
      </c>
      <c r="I332" s="64">
        <v>8426.6886326194399</v>
      </c>
      <c r="J332" s="64">
        <v>-7843.6885865457298</v>
      </c>
      <c r="K332" s="63">
        <v>9.5238095238095233E-2</v>
      </c>
      <c r="L332" s="63">
        <v>0.2502422480620155</v>
      </c>
      <c r="M332" s="63">
        <v>0.23146802325581395</v>
      </c>
      <c r="N332" s="63">
        <v>0.54791868344627304</v>
      </c>
      <c r="O332" s="63">
        <v>0.41967556253270538</v>
      </c>
      <c r="P332" s="63">
        <v>0.45016474464579903</v>
      </c>
    </row>
    <row r="333" spans="1:16" x14ac:dyDescent="0.45">
      <c r="A333" s="65">
        <v>330</v>
      </c>
      <c r="B333" s="62">
        <v>-7.1054273576010019E-14</v>
      </c>
      <c r="C333" s="62">
        <v>-7.1771993511121237E-17</v>
      </c>
      <c r="D333" s="67">
        <v>2</v>
      </c>
      <c r="E333" s="63">
        <v>0.33333333333333331</v>
      </c>
      <c r="F333" s="63">
        <v>0.33333333333333331</v>
      </c>
      <c r="G333" s="63">
        <v>0.29414610546686021</v>
      </c>
      <c r="H333" s="63">
        <v>0.16025641025641027</v>
      </c>
      <c r="I333" s="64">
        <v>8431.4967105263149</v>
      </c>
      <c r="J333" s="64">
        <v>-7858.9433962264147</v>
      </c>
      <c r="K333" s="63">
        <v>9.5959595959595953E-2</v>
      </c>
      <c r="L333" s="63">
        <v>0.25024189646831158</v>
      </c>
      <c r="M333" s="63">
        <v>0.23113207547169812</v>
      </c>
      <c r="N333" s="63">
        <v>0.54809086515224748</v>
      </c>
      <c r="O333" s="63">
        <v>0.41967556253270538</v>
      </c>
      <c r="P333" s="63">
        <v>0.45024671052631576</v>
      </c>
    </row>
    <row r="334" spans="1:16" x14ac:dyDescent="0.45">
      <c r="A334" s="65">
        <v>331</v>
      </c>
      <c r="B334" s="62">
        <v>-7.1054273576010019E-14</v>
      </c>
      <c r="C334" s="62">
        <v>-7.1555159693867088E-17</v>
      </c>
      <c r="D334" s="67">
        <v>2</v>
      </c>
      <c r="E334" s="63">
        <v>0.33333333333333331</v>
      </c>
      <c r="F334" s="63">
        <v>0.33333333333333331</v>
      </c>
      <c r="G334" s="63">
        <v>0.29415310427968655</v>
      </c>
      <c r="H334" s="63">
        <v>0.16009644364074743</v>
      </c>
      <c r="I334" s="64">
        <v>8415.7786885245896</v>
      </c>
      <c r="J334" s="64">
        <v>-7846.7620481927706</v>
      </c>
      <c r="K334" s="63">
        <v>9.5669687814702919E-2</v>
      </c>
      <c r="L334" s="63">
        <v>0.25051235684147077</v>
      </c>
      <c r="M334" s="63">
        <v>0.23122362869198312</v>
      </c>
      <c r="N334" s="63">
        <v>0.54716073147256983</v>
      </c>
      <c r="O334" s="63">
        <v>0.42022940563086547</v>
      </c>
      <c r="P334" s="63">
        <v>0.45081967213114754</v>
      </c>
    </row>
    <row r="335" spans="1:16" x14ac:dyDescent="0.45">
      <c r="A335" s="65">
        <v>332</v>
      </c>
      <c r="B335" s="62">
        <v>-7.815970093361102E-14</v>
      </c>
      <c r="C335" s="62">
        <v>-7.8473595314870504E-17</v>
      </c>
      <c r="D335" s="67">
        <v>2</v>
      </c>
      <c r="E335" s="63">
        <v>0.33333333333333331</v>
      </c>
      <c r="F335" s="63">
        <v>0.33333333333333331</v>
      </c>
      <c r="G335" s="63">
        <v>0.29422382671480146</v>
      </c>
      <c r="H335" s="63">
        <v>0.15980746089049339</v>
      </c>
      <c r="I335" s="64">
        <v>8423.7218813905929</v>
      </c>
      <c r="J335" s="64">
        <v>-7846.7620481927706</v>
      </c>
      <c r="K335" s="63">
        <v>9.6385542168674704E-2</v>
      </c>
      <c r="L335" s="63">
        <v>0.25054151624548737</v>
      </c>
      <c r="M335" s="63">
        <v>0.23092659446450059</v>
      </c>
      <c r="N335" s="63">
        <v>0.54707012487992313</v>
      </c>
      <c r="O335" s="63">
        <v>0.42053152683689421</v>
      </c>
      <c r="P335" s="63">
        <v>0.45194274028629855</v>
      </c>
    </row>
    <row r="336" spans="1:16" x14ac:dyDescent="0.45">
      <c r="A336" s="65">
        <v>333</v>
      </c>
      <c r="B336" s="62">
        <v>-7.815970093361102E-14</v>
      </c>
      <c r="C336" s="62">
        <v>-7.8237938872483503E-17</v>
      </c>
      <c r="D336" s="67">
        <v>2</v>
      </c>
      <c r="E336" s="63">
        <v>0.33333333333333331</v>
      </c>
      <c r="F336" s="63">
        <v>0.33333333333333331</v>
      </c>
      <c r="G336" s="63">
        <v>0.29426613775694194</v>
      </c>
      <c r="H336" s="63">
        <v>0.15987498497415556</v>
      </c>
      <c r="I336" s="64">
        <v>8432.8431372549021</v>
      </c>
      <c r="J336" s="64">
        <v>-7857.2180451127815</v>
      </c>
      <c r="K336" s="63">
        <v>9.7097097097097101E-2</v>
      </c>
      <c r="L336" s="63">
        <v>0.25063108546700325</v>
      </c>
      <c r="M336" s="63">
        <v>0.23103738430099771</v>
      </c>
      <c r="N336" s="63">
        <v>0.5467625899280576</v>
      </c>
      <c r="O336" s="63">
        <v>0.42091571279916751</v>
      </c>
      <c r="P336" s="63">
        <v>0.45179738562091504</v>
      </c>
    </row>
    <row r="337" spans="1:16" x14ac:dyDescent="0.45">
      <c r="A337" s="65">
        <v>334</v>
      </c>
      <c r="B337" s="62">
        <v>-7.815970093361102E-14</v>
      </c>
      <c r="C337" s="62">
        <v>-7.8003693546517987E-17</v>
      </c>
      <c r="D337" s="67">
        <v>2</v>
      </c>
      <c r="E337" s="63">
        <v>0.33333333333333331</v>
      </c>
      <c r="F337" s="63">
        <v>0.33333333333333331</v>
      </c>
      <c r="G337" s="63">
        <v>0.29418828049951967</v>
      </c>
      <c r="H337" s="63">
        <v>0.15982228626320846</v>
      </c>
      <c r="I337" s="64">
        <v>8443.9183673469379</v>
      </c>
      <c r="J337" s="64">
        <v>-7875.3568745304283</v>
      </c>
      <c r="K337" s="63">
        <v>9.7804391217564873E-2</v>
      </c>
      <c r="L337" s="63">
        <v>0.25072046109510088</v>
      </c>
      <c r="M337" s="63">
        <v>0.23090778097982709</v>
      </c>
      <c r="N337" s="63">
        <v>0.54645593869731801</v>
      </c>
      <c r="O337" s="63">
        <v>0.42069682787311491</v>
      </c>
      <c r="P337" s="63">
        <v>0.45183673469387753</v>
      </c>
    </row>
    <row r="338" spans="1:16" x14ac:dyDescent="0.45">
      <c r="A338" s="65">
        <v>335</v>
      </c>
      <c r="B338" s="62">
        <v>-8.1712414612411521E-14</v>
      </c>
      <c r="C338" s="62">
        <v>-8.1305885186479123E-17</v>
      </c>
      <c r="D338" s="67">
        <v>2</v>
      </c>
      <c r="E338" s="63">
        <v>0.33333333333333331</v>
      </c>
      <c r="F338" s="63">
        <v>0.33333333333333331</v>
      </c>
      <c r="G338" s="63">
        <v>0.29415288761083153</v>
      </c>
      <c r="H338" s="63">
        <v>0.15995686556434219</v>
      </c>
      <c r="I338" s="64">
        <v>8455.7230142566186</v>
      </c>
      <c r="J338" s="64">
        <v>-7896.1048689138579</v>
      </c>
      <c r="K338" s="63">
        <v>9.8507462686567168E-2</v>
      </c>
      <c r="L338" s="63">
        <v>0.25077881619937692</v>
      </c>
      <c r="M338" s="63">
        <v>0.23076923076923078</v>
      </c>
      <c r="N338" s="63">
        <v>0.54610606784519833</v>
      </c>
      <c r="O338" s="63">
        <v>0.42107995846313601</v>
      </c>
      <c r="P338" s="63">
        <v>0.45132382892057027</v>
      </c>
    </row>
    <row r="339" spans="1:16" x14ac:dyDescent="0.45">
      <c r="A339" s="65">
        <v>336</v>
      </c>
      <c r="B339" s="62">
        <v>-7.815970093361102E-14</v>
      </c>
      <c r="C339" s="62">
        <v>-7.7539385846836326E-17</v>
      </c>
      <c r="D339" s="67">
        <v>2</v>
      </c>
      <c r="E339" s="63">
        <v>0.33333333333333331</v>
      </c>
      <c r="F339" s="63">
        <v>0.33333333333333331</v>
      </c>
      <c r="G339" s="63">
        <v>0.29415979935506986</v>
      </c>
      <c r="H339" s="63">
        <v>0.15979935506986742</v>
      </c>
      <c r="I339" s="64">
        <v>8456.9224522939512</v>
      </c>
      <c r="J339" s="64">
        <v>-7895.2167414050818</v>
      </c>
      <c r="K339" s="63">
        <v>9.8214285714285712E-2</v>
      </c>
      <c r="L339" s="63">
        <v>0.25128388868983637</v>
      </c>
      <c r="M339" s="63">
        <v>0.2308611011584856</v>
      </c>
      <c r="N339" s="63">
        <v>0.54610266159695819</v>
      </c>
      <c r="O339" s="63">
        <v>0.42007242628039315</v>
      </c>
      <c r="P339" s="63">
        <v>0.45188794153471379</v>
      </c>
    </row>
    <row r="340" spans="1:16" x14ac:dyDescent="0.45">
      <c r="A340" s="65">
        <v>337</v>
      </c>
      <c r="B340" s="62">
        <v>-7.815970093361102E-14</v>
      </c>
      <c r="C340" s="62">
        <v>-7.7309298648477764E-17</v>
      </c>
      <c r="D340" s="67">
        <v>2</v>
      </c>
      <c r="E340" s="63">
        <v>0.33333333333333331</v>
      </c>
      <c r="F340" s="63">
        <v>0.33333333333333331</v>
      </c>
      <c r="G340" s="63">
        <v>0.29431358553414227</v>
      </c>
      <c r="H340" s="63">
        <v>0.1601237211515584</v>
      </c>
      <c r="I340" s="64">
        <v>8452.9911075181899</v>
      </c>
      <c r="J340" s="64">
        <v>-7883.4323922734029</v>
      </c>
      <c r="K340" s="63">
        <v>9.7922848664688422E-2</v>
      </c>
      <c r="L340" s="63">
        <v>0.25124910778015702</v>
      </c>
      <c r="M340" s="63">
        <v>0.23114442065191529</v>
      </c>
      <c r="N340" s="63">
        <v>0.54640151515151514</v>
      </c>
      <c r="O340" s="63">
        <v>0.41996911991765312</v>
      </c>
      <c r="P340" s="63">
        <v>0.45109135004042039</v>
      </c>
    </row>
    <row r="341" spans="1:16" x14ac:dyDescent="0.45">
      <c r="A341" s="65">
        <v>338</v>
      </c>
      <c r="B341" s="62">
        <v>-7.5495165674510645E-14</v>
      </c>
      <c r="C341" s="62">
        <v>-7.4452826108984855E-17</v>
      </c>
      <c r="D341" s="67">
        <v>2</v>
      </c>
      <c r="E341" s="63">
        <v>0.33333333333333331</v>
      </c>
      <c r="F341" s="63">
        <v>0.33333333333333331</v>
      </c>
      <c r="G341" s="63">
        <v>0.29427083333333331</v>
      </c>
      <c r="H341" s="63">
        <v>0.16039299242424243</v>
      </c>
      <c r="I341" s="64">
        <v>8446.1786001609016</v>
      </c>
      <c r="J341" s="64">
        <v>-7870.0369003690039</v>
      </c>
      <c r="K341" s="63">
        <v>9.7633136094674555E-2</v>
      </c>
      <c r="L341" s="63">
        <v>0.25082859848484851</v>
      </c>
      <c r="M341" s="63">
        <v>0.23153409090909091</v>
      </c>
      <c r="N341" s="63">
        <v>0.54601226993865026</v>
      </c>
      <c r="O341" s="63">
        <v>0.41973415132924335</v>
      </c>
      <c r="P341" s="63">
        <v>0.45012067578439258</v>
      </c>
    </row>
    <row r="342" spans="1:16" x14ac:dyDescent="0.45">
      <c r="A342" s="65">
        <v>339</v>
      </c>
      <c r="B342" s="62">
        <v>-7.460698725481052E-14</v>
      </c>
      <c r="C342" s="62">
        <v>-7.3359869473756655E-17</v>
      </c>
      <c r="D342" s="67">
        <v>2</v>
      </c>
      <c r="E342" s="63">
        <v>0.33333333333333331</v>
      </c>
      <c r="F342" s="63">
        <v>0.33333333333333331</v>
      </c>
      <c r="G342" s="63">
        <v>0.29413153855236746</v>
      </c>
      <c r="H342" s="63">
        <v>0.16023143228244185</v>
      </c>
      <c r="I342" s="64">
        <v>8445.1224407868322</v>
      </c>
      <c r="J342" s="64">
        <v>-7866.985998526161</v>
      </c>
      <c r="K342" s="63">
        <v>9.7345132743362831E-2</v>
      </c>
      <c r="L342" s="63">
        <v>0.25138741291769984</v>
      </c>
      <c r="M342" s="63">
        <v>0.23155036013697011</v>
      </c>
      <c r="N342" s="63">
        <v>0.54532644434006572</v>
      </c>
      <c r="O342" s="63">
        <v>0.41917389087200407</v>
      </c>
      <c r="P342" s="63">
        <v>0.45042151746286629</v>
      </c>
    </row>
    <row r="343" spans="1:16" x14ac:dyDescent="0.45">
      <c r="A343" s="65">
        <v>340</v>
      </c>
      <c r="B343" s="62">
        <v>-7.1054273576010019E-14</v>
      </c>
      <c r="C343" s="62">
        <v>-6.9661052525500017E-17</v>
      </c>
      <c r="D343" s="67">
        <v>2</v>
      </c>
      <c r="E343" s="63">
        <v>0.33333333333333331</v>
      </c>
      <c r="F343" s="63">
        <v>0.33333333333333331</v>
      </c>
      <c r="G343" s="63">
        <v>0.29393083980239942</v>
      </c>
      <c r="H343" s="63">
        <v>0.15984474241354976</v>
      </c>
      <c r="I343" s="64">
        <v>8444.017607042817</v>
      </c>
      <c r="J343" s="64">
        <v>-7867.1081677704196</v>
      </c>
      <c r="K343" s="63">
        <v>9.7058823529411767E-2</v>
      </c>
      <c r="L343" s="63">
        <v>0.25158786167960479</v>
      </c>
      <c r="M343" s="63">
        <v>0.23135732768760292</v>
      </c>
      <c r="N343" s="63">
        <v>0.54464703132304815</v>
      </c>
      <c r="O343" s="63">
        <v>0.41840366039654298</v>
      </c>
      <c r="P343" s="63">
        <v>0.45138055222088835</v>
      </c>
    </row>
    <row r="344" spans="1:16" x14ac:dyDescent="0.45">
      <c r="A344" s="65">
        <v>341</v>
      </c>
      <c r="B344" s="62">
        <v>-6.7501559897209518E-14</v>
      </c>
      <c r="C344" s="62">
        <v>-6.5983929518288877E-17</v>
      </c>
      <c r="D344" s="67">
        <v>2</v>
      </c>
      <c r="E344" s="63">
        <v>0.33333333333333331</v>
      </c>
      <c r="F344" s="63">
        <v>0.33333333333333331</v>
      </c>
      <c r="G344" s="63">
        <v>0.29406938584153774</v>
      </c>
      <c r="H344" s="63">
        <v>0.1597515236755743</v>
      </c>
      <c r="I344" s="64">
        <v>8442.8058987644472</v>
      </c>
      <c r="J344" s="64">
        <v>-7872.1203228173144</v>
      </c>
      <c r="K344" s="63">
        <v>9.7751710654936458E-2</v>
      </c>
      <c r="L344" s="63">
        <v>0.25164088138771684</v>
      </c>
      <c r="M344" s="63">
        <v>0.2318330989217065</v>
      </c>
      <c r="N344" s="63">
        <v>0.54494643688868183</v>
      </c>
      <c r="O344" s="63">
        <v>0.41860465116279072</v>
      </c>
      <c r="P344" s="63">
        <v>0.45197289756875247</v>
      </c>
    </row>
    <row r="345" spans="1:16" x14ac:dyDescent="0.45">
      <c r="A345" s="65">
        <v>342</v>
      </c>
      <c r="B345" s="62">
        <v>-7.1054273576010019E-14</v>
      </c>
      <c r="C345" s="62">
        <v>-6.92536779493275E-17</v>
      </c>
      <c r="D345" s="67">
        <v>2</v>
      </c>
      <c r="E345" s="63">
        <v>0.33333333333333331</v>
      </c>
      <c r="F345" s="63">
        <v>0.33333333333333331</v>
      </c>
      <c r="G345" s="63">
        <v>0.29385657556645645</v>
      </c>
      <c r="H345" s="63">
        <v>0.15965895818733941</v>
      </c>
      <c r="I345" s="64">
        <v>8445.8267090620029</v>
      </c>
      <c r="J345" s="64">
        <v>-7863.0577907827355</v>
      </c>
      <c r="K345" s="63">
        <v>9.8440545808966856E-2</v>
      </c>
      <c r="L345" s="63">
        <v>0.25145993926652649</v>
      </c>
      <c r="M345" s="63">
        <v>0.23148797010044384</v>
      </c>
      <c r="N345" s="63">
        <v>0.54528564793311662</v>
      </c>
      <c r="O345" s="63">
        <v>0.41876892028254287</v>
      </c>
      <c r="P345" s="63">
        <v>0.45190779014308424</v>
      </c>
    </row>
    <row r="346" spans="1:16" x14ac:dyDescent="0.45">
      <c r="A346" s="65">
        <v>343</v>
      </c>
      <c r="B346" s="62">
        <v>-7.3718808835110394E-14</v>
      </c>
      <c r="C346" s="62">
        <v>-7.1641213639563067E-17</v>
      </c>
      <c r="D346" s="67">
        <v>2</v>
      </c>
      <c r="E346" s="63">
        <v>0.33333333333333331</v>
      </c>
      <c r="F346" s="63">
        <v>0.33333333333333331</v>
      </c>
      <c r="G346" s="63">
        <v>0.29393939393939394</v>
      </c>
      <c r="H346" s="63">
        <v>0.1597902097902098</v>
      </c>
      <c r="I346" s="64">
        <v>8453.1720856463126</v>
      </c>
      <c r="J346" s="64">
        <v>-7873.3041575492343</v>
      </c>
      <c r="K346" s="63">
        <v>9.9125364431486881E-2</v>
      </c>
      <c r="L346" s="63">
        <v>0.25139860139860137</v>
      </c>
      <c r="M346" s="63">
        <v>0.23135198135198135</v>
      </c>
      <c r="N346" s="63">
        <v>0.54520166898470102</v>
      </c>
      <c r="O346" s="63">
        <v>0.41914357682619646</v>
      </c>
      <c r="P346" s="63">
        <v>0.45162569389373514</v>
      </c>
    </row>
    <row r="347" spans="1:16" x14ac:dyDescent="0.45">
      <c r="A347" s="65">
        <v>344</v>
      </c>
      <c r="B347" s="62">
        <v>-7.460698725481052E-14</v>
      </c>
      <c r="C347" s="62">
        <v>-7.2293592301172989E-17</v>
      </c>
      <c r="D347" s="67">
        <v>2</v>
      </c>
      <c r="E347" s="63">
        <v>0.33333333333333331</v>
      </c>
      <c r="F347" s="63">
        <v>0.33333333333333331</v>
      </c>
      <c r="G347" s="63">
        <v>0.29388560157790927</v>
      </c>
      <c r="H347" s="63">
        <v>0.15976331360946747</v>
      </c>
      <c r="I347" s="64">
        <v>8463.2056849585479</v>
      </c>
      <c r="J347" s="64">
        <v>-7866.8845315904136</v>
      </c>
      <c r="K347" s="63">
        <v>9.8837209302325577E-2</v>
      </c>
      <c r="L347" s="63">
        <v>0.2511892330896856</v>
      </c>
      <c r="M347" s="63">
        <v>0.23169741269288779</v>
      </c>
      <c r="N347" s="63">
        <v>0.54595842956120089</v>
      </c>
      <c r="O347" s="63">
        <v>0.41862794191286928</v>
      </c>
      <c r="P347" s="63">
        <v>0.45163837347019342</v>
      </c>
    </row>
    <row r="348" spans="1:16" x14ac:dyDescent="0.45">
      <c r="A348" s="65">
        <v>345</v>
      </c>
      <c r="B348" s="62">
        <v>-7.460698725481052E-14</v>
      </c>
      <c r="C348" s="62">
        <v>-7.2084045656821753E-17</v>
      </c>
      <c r="D348" s="67">
        <v>2</v>
      </c>
      <c r="E348" s="63">
        <v>0.33333333333333331</v>
      </c>
      <c r="F348" s="63">
        <v>0.33333333333333331</v>
      </c>
      <c r="G348" s="63">
        <v>0.2936755694299919</v>
      </c>
      <c r="H348" s="63">
        <v>0.15967163833969245</v>
      </c>
      <c r="I348" s="64">
        <v>8464.9606299212592</v>
      </c>
      <c r="J348" s="64">
        <v>-7875.1629254163654</v>
      </c>
      <c r="K348" s="63">
        <v>9.9516908212560387E-2</v>
      </c>
      <c r="L348" s="63">
        <v>0.25112729795352062</v>
      </c>
      <c r="M348" s="63">
        <v>0.23181870736501331</v>
      </c>
      <c r="N348" s="63">
        <v>0.54604051565377532</v>
      </c>
      <c r="O348" s="63">
        <v>0.41845386533665835</v>
      </c>
      <c r="P348" s="63">
        <v>0.4515748031496063</v>
      </c>
    </row>
    <row r="349" spans="1:16" x14ac:dyDescent="0.45">
      <c r="A349" s="65">
        <v>346</v>
      </c>
      <c r="B349" s="62">
        <v>-7.5495165674510645E-14</v>
      </c>
      <c r="C349" s="62">
        <v>-7.2731373482187516E-17</v>
      </c>
      <c r="D349" s="67">
        <v>2</v>
      </c>
      <c r="E349" s="63">
        <v>0.33333333333333331</v>
      </c>
      <c r="F349" s="63">
        <v>0.33333333333333331</v>
      </c>
      <c r="G349" s="63">
        <v>0.29378531073446329</v>
      </c>
      <c r="H349" s="63">
        <v>0.15957569468465352</v>
      </c>
      <c r="I349" s="64">
        <v>8462.2448979591845</v>
      </c>
      <c r="J349" s="64">
        <v>-7875.4335260115604</v>
      </c>
      <c r="K349" s="63">
        <v>9.9229287090558768E-2</v>
      </c>
      <c r="L349" s="63">
        <v>0.25089357777009108</v>
      </c>
      <c r="M349" s="63">
        <v>0.23163841807909605</v>
      </c>
      <c r="N349" s="63">
        <v>0.546875</v>
      </c>
      <c r="O349" s="63">
        <v>0.41762070681931307</v>
      </c>
      <c r="P349" s="63">
        <v>0.45211930926216642</v>
      </c>
    </row>
    <row r="350" spans="1:16" x14ac:dyDescent="0.45">
      <c r="A350" s="65">
        <v>347</v>
      </c>
      <c r="B350" s="62">
        <v>-7.815970093361102E-14</v>
      </c>
      <c r="C350" s="62">
        <v>-7.5081364969847276E-17</v>
      </c>
      <c r="D350" s="67">
        <v>2</v>
      </c>
      <c r="E350" s="63">
        <v>0.33333333333333331</v>
      </c>
      <c r="F350" s="63">
        <v>0.33333333333333331</v>
      </c>
      <c r="G350" s="63">
        <v>0.2938808373590982</v>
      </c>
      <c r="H350" s="63">
        <v>0.15953531170922475</v>
      </c>
      <c r="I350" s="64">
        <v>8464.5792563600789</v>
      </c>
      <c r="J350" s="64">
        <v>-7878.3705839942322</v>
      </c>
      <c r="K350" s="63">
        <v>9.9903938520653213E-2</v>
      </c>
      <c r="L350" s="63">
        <v>0.25086266390614215</v>
      </c>
      <c r="M350" s="63">
        <v>0.2318840579710145</v>
      </c>
      <c r="N350" s="63">
        <v>0.54653828519027969</v>
      </c>
      <c r="O350" s="63">
        <v>0.41865079365079366</v>
      </c>
      <c r="P350" s="63">
        <v>0.45205479452054792</v>
      </c>
    </row>
    <row r="351" spans="1:16" x14ac:dyDescent="0.45">
      <c r="A351" s="65">
        <v>348</v>
      </c>
      <c r="B351" s="62">
        <v>-7.815970093361102E-14</v>
      </c>
      <c r="C351" s="62">
        <v>-7.4865613921083356E-17</v>
      </c>
      <c r="D351" s="67">
        <v>2</v>
      </c>
      <c r="E351" s="63">
        <v>0.33333333333333331</v>
      </c>
      <c r="F351" s="63">
        <v>0.33333333333333331</v>
      </c>
      <c r="G351" s="63">
        <v>0.29396956173475225</v>
      </c>
      <c r="H351" s="63">
        <v>0.15928595949193272</v>
      </c>
      <c r="I351" s="64">
        <v>8451.5375632541836</v>
      </c>
      <c r="J351" s="64">
        <v>-7876.2212643678158</v>
      </c>
      <c r="K351" s="63">
        <v>9.9616858237547887E-2</v>
      </c>
      <c r="L351" s="63">
        <v>0.25071518480375327</v>
      </c>
      <c r="M351" s="63">
        <v>0.23240645382766906</v>
      </c>
      <c r="N351" s="63">
        <v>0.54632587859424919</v>
      </c>
      <c r="O351" s="63">
        <v>0.41900541605120628</v>
      </c>
      <c r="P351" s="63">
        <v>0.45270533281432462</v>
      </c>
    </row>
    <row r="352" spans="1:16" x14ac:dyDescent="0.45">
      <c r="A352" s="65">
        <v>349</v>
      </c>
      <c r="B352" s="62">
        <v>-7.638334409421077E-14</v>
      </c>
      <c r="C352" s="62">
        <v>-7.2954483375559469E-17</v>
      </c>
      <c r="D352" s="67">
        <v>2</v>
      </c>
      <c r="E352" s="63">
        <v>0.33333333333333331</v>
      </c>
      <c r="F352" s="63">
        <v>0.33333333333333331</v>
      </c>
      <c r="G352" s="63">
        <v>0.2939767282683094</v>
      </c>
      <c r="H352" s="63">
        <v>0.15970796258270592</v>
      </c>
      <c r="I352" s="64">
        <v>8446.7209934031816</v>
      </c>
      <c r="J352" s="64">
        <v>-7870.6428571428569</v>
      </c>
      <c r="K352" s="63">
        <v>9.9331423113658071E-2</v>
      </c>
      <c r="L352" s="63">
        <v>0.25051334702258726</v>
      </c>
      <c r="M352" s="63">
        <v>0.23237508555783709</v>
      </c>
      <c r="N352" s="63">
        <v>0.54644808743169404</v>
      </c>
      <c r="O352" s="63">
        <v>0.41777123220422191</v>
      </c>
      <c r="P352" s="63">
        <v>0.45129996119518823</v>
      </c>
    </row>
    <row r="353" spans="1:16" x14ac:dyDescent="0.45">
      <c r="A353" s="65">
        <v>350</v>
      </c>
      <c r="B353" s="62">
        <v>-7.815970093361102E-14</v>
      </c>
      <c r="C353" s="62">
        <v>-7.4437810412962873E-17</v>
      </c>
      <c r="D353" s="67">
        <v>2</v>
      </c>
      <c r="E353" s="63">
        <v>0.33333333333333331</v>
      </c>
      <c r="F353" s="63">
        <v>0.33333333333333331</v>
      </c>
      <c r="G353" s="63">
        <v>0.2936291240045506</v>
      </c>
      <c r="H353" s="63">
        <v>0.15961319681456201</v>
      </c>
      <c r="I353" s="64">
        <v>8453.5063928709806</v>
      </c>
      <c r="J353" s="64">
        <v>-7884.6756949394157</v>
      </c>
      <c r="K353" s="63">
        <v>9.9047619047619051E-2</v>
      </c>
      <c r="L353" s="63">
        <v>0.25028441410693969</v>
      </c>
      <c r="M353" s="63">
        <v>0.2323094425483504</v>
      </c>
      <c r="N353" s="63">
        <v>0.54545454545454541</v>
      </c>
      <c r="O353" s="63">
        <v>0.41821743388834476</v>
      </c>
      <c r="P353" s="63">
        <v>0.45098798915149169</v>
      </c>
    </row>
    <row r="354" spans="1:16" x14ac:dyDescent="0.45">
      <c r="A354" s="65">
        <v>351</v>
      </c>
      <c r="B354" s="62">
        <v>-7.815970093361102E-14</v>
      </c>
      <c r="C354" s="62">
        <v>-7.4225736879022812E-17</v>
      </c>
      <c r="D354" s="67">
        <v>2</v>
      </c>
      <c r="E354" s="63">
        <v>0.33333333333333331</v>
      </c>
      <c r="F354" s="63">
        <v>0.33333333333333331</v>
      </c>
      <c r="G354" s="63">
        <v>0.29361025990239475</v>
      </c>
      <c r="H354" s="63">
        <v>0.15968675519237316</v>
      </c>
      <c r="I354" s="64">
        <v>8450.5604947816009</v>
      </c>
      <c r="J354" s="64">
        <v>-7878.6780383795312</v>
      </c>
      <c r="K354" s="63">
        <v>9.8765432098765427E-2</v>
      </c>
      <c r="L354" s="63">
        <v>0.25059584610146407</v>
      </c>
      <c r="M354" s="63">
        <v>0.2324367268187493</v>
      </c>
      <c r="N354" s="63">
        <v>0.54528985507246375</v>
      </c>
      <c r="O354" s="63">
        <v>0.41796875</v>
      </c>
      <c r="P354" s="63">
        <v>0.45071511403169695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2020-02-14T09:27:01Z</dcterms:modified>
</cp:coreProperties>
</file>