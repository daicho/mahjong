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6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7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8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19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0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1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2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3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5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6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7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8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9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F9288DF1-096E-4197-98F2-D4189A7F3766}" xr6:coauthVersionLast="41" xr6:coauthVersionMax="41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119" r:id="rId6"/>
    <sheet name="たかの" sheetId="6121" r:id="rId7"/>
    <sheet name="だいち" sheetId="6123" r:id="rId8"/>
    <sheet name="ただ" sheetId="6125" r:id="rId9"/>
    <sheet name="りくと" sheetId="6127" r:id="rId10"/>
    <sheet name="れんたろう" sheetId="6129" r:id="rId11"/>
    <sheet name="まっつん" sheetId="6131" r:id="rId12"/>
    <sheet name="のり" sheetId="6133" r:id="rId13"/>
    <sheet name="ぱぱ" sheetId="6135" r:id="rId14"/>
    <sheet name="ほたに" sheetId="6137" r:id="rId15"/>
    <sheet name="いっしー" sheetId="6139" r:id="rId16"/>
    <sheet name="ともき" sheetId="6141" r:id="rId17"/>
    <sheet name="ともき2" sheetId="6142" state="hidden" r:id="rId18"/>
    <sheet name="いっしー2" sheetId="6140" state="hidden" r:id="rId19"/>
    <sheet name="ほたに2" sheetId="6138" state="hidden" r:id="rId20"/>
    <sheet name="ぱぱ2" sheetId="6136" state="hidden" r:id="rId21"/>
    <sheet name="のり2" sheetId="6134" state="hidden" r:id="rId22"/>
    <sheet name="まっつん2" sheetId="6132" state="hidden" r:id="rId23"/>
    <sheet name="れんたろう2" sheetId="6130" state="hidden" r:id="rId24"/>
    <sheet name="りくと2" sheetId="6128" state="hidden" r:id="rId25"/>
    <sheet name="ただ2" sheetId="6126" state="hidden" r:id="rId26"/>
    <sheet name="だいち2" sheetId="6124" state="hidden" r:id="rId27"/>
    <sheet name="たかの2" sheetId="6122" state="hidden" r:id="rId28"/>
    <sheet name="全体2" sheetId="6120" state="hidden" r:id="rId29"/>
    <sheet name="通算スコア" sheetId="3331" state="hidden" r:id="rId30"/>
    <sheet name="平均スコア" sheetId="3493" state="hidden" r:id="rId31"/>
    <sheet name="平均順位" sheetId="3183" state="hidden" r:id="rId32"/>
    <sheet name="トップ率" sheetId="3185" state="hidden" r:id="rId33"/>
    <sheet name="ラス率" sheetId="4886" state="hidden" r:id="rId34"/>
    <sheet name="アガリ率" sheetId="3189" state="hidden" r:id="rId35"/>
    <sheet name="放銃率" sheetId="3190" state="hidden" r:id="rId36"/>
    <sheet name="平均アガリ点" sheetId="3520" state="hidden" r:id="rId37"/>
    <sheet name="平均放銃点" sheetId="3521" state="hidden" r:id="rId38"/>
    <sheet name="ふっとび率" sheetId="3522" state="hidden" r:id="rId39"/>
    <sheet name="リーチ率" sheetId="3524" state="hidden" r:id="rId40"/>
    <sheet name="副露率" sheetId="3525" state="hidden" r:id="rId41"/>
    <sheet name="リーチ成功率" sheetId="4841" state="hidden" r:id="rId42"/>
    <sheet name="副露成功率" sheetId="3527" state="hidden" r:id="rId43"/>
    <sheet name="ツモ率" sheetId="3528" state="hidden" r:id="rId44"/>
  </sheets>
  <definedNames>
    <definedName name="アガリ数" localSheetId="15">いっしー!$B$15</definedName>
    <definedName name="アガリ数" localSheetId="7">だいち!$B$15</definedName>
    <definedName name="アガリ数" localSheetId="6">たかの!$B$15</definedName>
    <definedName name="アガリ数" localSheetId="8">ただ!$B$15</definedName>
    <definedName name="アガリ数" localSheetId="16">ともき!$B$15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6">たかの!$C$15</definedName>
    <definedName name="アガリ率" localSheetId="8">ただ!$C$15</definedName>
    <definedName name="アガリ率" localSheetId="16">ともき!$C$15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6">たかの!$B$21</definedName>
    <definedName name="ダマアガリ数" localSheetId="8">ただ!$B$21</definedName>
    <definedName name="ダマアガリ数" localSheetId="16">ともき!$B$21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18">Template1!#REF!</definedName>
    <definedName name="ダマアガリ点" localSheetId="7">だいち!#REF!</definedName>
    <definedName name="ダマアガリ点" localSheetId="26">Template1!#REF!</definedName>
    <definedName name="ダマアガリ点" localSheetId="6">たかの!#REF!</definedName>
    <definedName name="ダマアガリ点" localSheetId="27">Template1!#REF!</definedName>
    <definedName name="ダマアガリ点" localSheetId="8">ただ!#REF!</definedName>
    <definedName name="ダマアガリ点" localSheetId="25">Template1!#REF!</definedName>
    <definedName name="ダマアガリ点" localSheetId="16">ともき!#REF!</definedName>
    <definedName name="ダマアガリ点" localSheetId="17">Template1!#REF!</definedName>
    <definedName name="ダマアガリ点" localSheetId="12">のり!#REF!</definedName>
    <definedName name="ダマアガリ点" localSheetId="21">Template1!#REF!</definedName>
    <definedName name="ダマアガリ点" localSheetId="13">ぱぱ!#REF!</definedName>
    <definedName name="ダマアガリ点" localSheetId="20">Template1!#REF!</definedName>
    <definedName name="ダマアガリ点" localSheetId="14">ほたに!#REF!</definedName>
    <definedName name="ダマアガリ点" localSheetId="19">Template1!#REF!</definedName>
    <definedName name="ダマアガリ点" localSheetId="11">まっつん!#REF!</definedName>
    <definedName name="ダマアガリ点" localSheetId="22">Template1!#REF!</definedName>
    <definedName name="ダマアガリ点" localSheetId="9">りくと!#REF!</definedName>
    <definedName name="ダマアガリ点" localSheetId="24">Template1!#REF!</definedName>
    <definedName name="ダマアガリ点" localSheetId="10">れんたろう!#REF!</definedName>
    <definedName name="ダマアガリ点" localSheetId="23">Template1!#REF!</definedName>
    <definedName name="ダマアガリ点" localSheetId="5">全体!#REF!</definedName>
    <definedName name="ダマアガリ点" localSheetId="28">Template1!#REF!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6">たかの!$C$21</definedName>
    <definedName name="ダマアガリ率" localSheetId="8">ただ!$C$21</definedName>
    <definedName name="ダマアガリ率" localSheetId="16">ともき!$C$21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6">たかの!$B$30</definedName>
    <definedName name="チョンボ数" localSheetId="8">ただ!$B$30</definedName>
    <definedName name="チョンボ数" localSheetId="16">ともき!$B$30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6">たかの!$C$30</definedName>
    <definedName name="チョンボ率" localSheetId="8">ただ!$C$30</definedName>
    <definedName name="チョンボ率" localSheetId="16">ともき!$C$30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6">たかの!$B$17</definedName>
    <definedName name="ツモ数" localSheetId="8">ただ!$B$17</definedName>
    <definedName name="ツモ数" localSheetId="16">ともき!$B$17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6">たかの!$C$17</definedName>
    <definedName name="ツモ率" localSheetId="8">ただ!$C$17</definedName>
    <definedName name="ツモ率" localSheetId="16">ともき!$C$17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18">Template1!#REF!</definedName>
    <definedName name="ふっとばし数" localSheetId="7">だいち!#REF!</definedName>
    <definedName name="ふっとばし数" localSheetId="26">Template1!#REF!</definedName>
    <definedName name="ふっとばし数" localSheetId="6">たかの!#REF!</definedName>
    <definedName name="ふっとばし数" localSheetId="27">Template1!#REF!</definedName>
    <definedName name="ふっとばし数" localSheetId="8">ただ!#REF!</definedName>
    <definedName name="ふっとばし数" localSheetId="25">Template1!#REF!</definedName>
    <definedName name="ふっとばし数" localSheetId="16">ともき!#REF!</definedName>
    <definedName name="ふっとばし数" localSheetId="17">Template1!#REF!</definedName>
    <definedName name="ふっとばし数" localSheetId="12">のり!#REF!</definedName>
    <definedName name="ふっとばし数" localSheetId="21">Template1!#REF!</definedName>
    <definedName name="ふっとばし数" localSheetId="13">ぱぱ!#REF!</definedName>
    <definedName name="ふっとばし数" localSheetId="20">Template1!#REF!</definedName>
    <definedName name="ふっとばし数" localSheetId="14">ほたに!#REF!</definedName>
    <definedName name="ふっとばし数" localSheetId="19">Template1!#REF!</definedName>
    <definedName name="ふっとばし数" localSheetId="11">まっつん!#REF!</definedName>
    <definedName name="ふっとばし数" localSheetId="22">Template1!#REF!</definedName>
    <definedName name="ふっとばし数" localSheetId="9">りくと!#REF!</definedName>
    <definedName name="ふっとばし数" localSheetId="24">Template1!#REF!</definedName>
    <definedName name="ふっとばし数" localSheetId="10">れんたろう!#REF!</definedName>
    <definedName name="ふっとばし数" localSheetId="23">Template1!#REF!</definedName>
    <definedName name="ふっとばし数" localSheetId="5">全体!#REF!</definedName>
    <definedName name="ふっとばし数" localSheetId="28">Template1!#REF!</definedName>
    <definedName name="ふっとばし数">Template1!#REF!</definedName>
    <definedName name="ふっとばし率" localSheetId="15">いっしー!#REF!</definedName>
    <definedName name="ふっとばし率" localSheetId="18">Template1!#REF!</definedName>
    <definedName name="ふっとばし率" localSheetId="7">だいち!#REF!</definedName>
    <definedName name="ふっとばし率" localSheetId="26">Template1!#REF!</definedName>
    <definedName name="ふっとばし率" localSheetId="6">たかの!#REF!</definedName>
    <definedName name="ふっとばし率" localSheetId="27">Template1!#REF!</definedName>
    <definedName name="ふっとばし率" localSheetId="8">ただ!#REF!</definedName>
    <definedName name="ふっとばし率" localSheetId="25">Template1!#REF!</definedName>
    <definedName name="ふっとばし率" localSheetId="16">ともき!#REF!</definedName>
    <definedName name="ふっとばし率" localSheetId="17">Template1!#REF!</definedName>
    <definedName name="ふっとばし率" localSheetId="12">のり!#REF!</definedName>
    <definedName name="ふっとばし率" localSheetId="21">Template1!#REF!</definedName>
    <definedName name="ふっとばし率" localSheetId="13">ぱぱ!#REF!</definedName>
    <definedName name="ふっとばし率" localSheetId="20">Template1!#REF!</definedName>
    <definedName name="ふっとばし率" localSheetId="14">ほたに!#REF!</definedName>
    <definedName name="ふっとばし率" localSheetId="19">Template1!#REF!</definedName>
    <definedName name="ふっとばし率" localSheetId="11">まっつん!#REF!</definedName>
    <definedName name="ふっとばし率" localSheetId="22">Template1!#REF!</definedName>
    <definedName name="ふっとばし率" localSheetId="9">りくと!#REF!</definedName>
    <definedName name="ふっとばし率" localSheetId="24">Template1!#REF!</definedName>
    <definedName name="ふっとばし率" localSheetId="10">れんたろう!#REF!</definedName>
    <definedName name="ふっとばし率" localSheetId="23">Template1!#REF!</definedName>
    <definedName name="ふっとばし率" localSheetId="5">全体!#REF!</definedName>
    <definedName name="ふっとばし率" localSheetId="28">Template1!#REF!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6">ともき!$B$10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6">ともき!$C$10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6">たかの!$B$19</definedName>
    <definedName name="リーチアガリ数" localSheetId="8">ただ!$B$19</definedName>
    <definedName name="リーチアガリ数" localSheetId="16">ともき!$B$19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6">たかの!$C$19</definedName>
    <definedName name="リーチアガリ率" localSheetId="8">ただ!$C$19</definedName>
    <definedName name="リーチアガリ率" localSheetId="16">ともき!$C$19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6">たかの!$B$11</definedName>
    <definedName name="リーチ数" localSheetId="8">ただ!$B$11</definedName>
    <definedName name="リーチ数" localSheetId="16">ともき!$B$11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6">たかの!$B$13</definedName>
    <definedName name="リーチ成功数" localSheetId="8">ただ!$B$13</definedName>
    <definedName name="リーチ成功数" localSheetId="16">ともき!$B$13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6">たかの!$C$13</definedName>
    <definedName name="リーチ成功率" localSheetId="8">ただ!$C$13</definedName>
    <definedName name="リーチ成功率" localSheetId="16">ともき!$C$13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6">たかの!$C$11</definedName>
    <definedName name="リーチ率" localSheetId="8">ただ!$C$11</definedName>
    <definedName name="リーチ率" localSheetId="16">ともき!$C$11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6">たかの!$B$18</definedName>
    <definedName name="ロン数" localSheetId="8">ただ!$B$18</definedName>
    <definedName name="ロン数" localSheetId="16">ともき!$B$18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6">たかの!$C$18</definedName>
    <definedName name="ロン率" localSheetId="8">ただ!$C$18</definedName>
    <definedName name="ロン率" localSheetId="16">ともき!$C$18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18">Template1!#REF!</definedName>
    <definedName name="逆転数" localSheetId="7">だいち!#REF!</definedName>
    <definedName name="逆転数" localSheetId="26">Template1!#REF!</definedName>
    <definedName name="逆転数" localSheetId="6">たかの!#REF!</definedName>
    <definedName name="逆転数" localSheetId="27">Template1!#REF!</definedName>
    <definedName name="逆転数" localSheetId="8">ただ!#REF!</definedName>
    <definedName name="逆転数" localSheetId="25">Template1!#REF!</definedName>
    <definedName name="逆転数" localSheetId="16">ともき!#REF!</definedName>
    <definedName name="逆転数" localSheetId="17">Template1!#REF!</definedName>
    <definedName name="逆転数" localSheetId="12">のり!#REF!</definedName>
    <definedName name="逆転数" localSheetId="21">Template1!#REF!</definedName>
    <definedName name="逆転数" localSheetId="13">ぱぱ!#REF!</definedName>
    <definedName name="逆転数" localSheetId="20">Template1!#REF!</definedName>
    <definedName name="逆転数" localSheetId="14">ほたに!#REF!</definedName>
    <definedName name="逆転数" localSheetId="19">Template1!#REF!</definedName>
    <definedName name="逆転数" localSheetId="11">まっつん!#REF!</definedName>
    <definedName name="逆転数" localSheetId="22">Template1!#REF!</definedName>
    <definedName name="逆転数" localSheetId="9">りくと!#REF!</definedName>
    <definedName name="逆転数" localSheetId="24">Template1!#REF!</definedName>
    <definedName name="逆転数" localSheetId="10">れんたろう!#REF!</definedName>
    <definedName name="逆転数" localSheetId="23">Template1!#REF!</definedName>
    <definedName name="逆転数" localSheetId="5">全体!#REF!</definedName>
    <definedName name="逆転数" localSheetId="28">Template1!#REF!</definedName>
    <definedName name="逆転数">Template1!#REF!</definedName>
    <definedName name="逆転率" localSheetId="15">いっしー!#REF!</definedName>
    <definedName name="逆転率" localSheetId="18">Template1!#REF!</definedName>
    <definedName name="逆転率" localSheetId="7">だいち!#REF!</definedName>
    <definedName name="逆転率" localSheetId="26">Template1!#REF!</definedName>
    <definedName name="逆転率" localSheetId="6">たかの!#REF!</definedName>
    <definedName name="逆転率" localSheetId="27">Template1!#REF!</definedName>
    <definedName name="逆転率" localSheetId="8">ただ!#REF!</definedName>
    <definedName name="逆転率" localSheetId="25">Template1!#REF!</definedName>
    <definedName name="逆転率" localSheetId="16">ともき!#REF!</definedName>
    <definedName name="逆転率" localSheetId="17">Template1!#REF!</definedName>
    <definedName name="逆転率" localSheetId="12">のり!#REF!</definedName>
    <definedName name="逆転率" localSheetId="21">Template1!#REF!</definedName>
    <definedName name="逆転率" localSheetId="13">ぱぱ!#REF!</definedName>
    <definedName name="逆転率" localSheetId="20">Template1!#REF!</definedName>
    <definedName name="逆転率" localSheetId="14">ほたに!#REF!</definedName>
    <definedName name="逆転率" localSheetId="19">Template1!#REF!</definedName>
    <definedName name="逆転率" localSheetId="11">まっつん!#REF!</definedName>
    <definedName name="逆転率" localSheetId="22">Template1!#REF!</definedName>
    <definedName name="逆転率" localSheetId="9">りくと!#REF!</definedName>
    <definedName name="逆転率" localSheetId="24">Template1!#REF!</definedName>
    <definedName name="逆転率" localSheetId="10">れんたろう!#REF!</definedName>
    <definedName name="逆転率" localSheetId="23">Template1!#REF!</definedName>
    <definedName name="逆転率" localSheetId="5">全体!#REF!</definedName>
    <definedName name="逆転率" localSheetId="28">Template1!#REF!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6">たかの!$C$26</definedName>
    <definedName name="現行連続アガリ" localSheetId="8">ただ!$C$26</definedName>
    <definedName name="現行連続アガリ" localSheetId="16">ともき!$C$26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6">たかの!$C$27</definedName>
    <definedName name="現行連続無放銃" localSheetId="8">ただ!$C$27</definedName>
    <definedName name="現行連続無放銃" localSheetId="16">ともき!$C$27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6">たかの!$B$29</definedName>
    <definedName name="最高点" localSheetId="8">ただ!$B$29</definedName>
    <definedName name="最高点" localSheetId="16">ともき!$B$29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6">たかの!$B$28</definedName>
    <definedName name="最大ドラ数" localSheetId="8">ただ!$B$28</definedName>
    <definedName name="最大ドラ数" localSheetId="16">ともき!$B$28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6">たかの!$B$29</definedName>
    <definedName name="最大点数" localSheetId="8">ただ!$B$29</definedName>
    <definedName name="最大点数" localSheetId="16">ともき!$B$29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6">たかの!$C$22</definedName>
    <definedName name="通算アガリ点" localSheetId="8">ただ!$C$22</definedName>
    <definedName name="通算アガリ点" localSheetId="16">ともき!$C$22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6">たかの!$C$24</definedName>
    <definedName name="通算副露アガリ点" localSheetId="8">ただ!$C$24</definedName>
    <definedName name="通算副露アガリ点" localSheetId="16">ともき!$C$24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6">たかの!$C$25</definedName>
    <definedName name="通算放銃点" localSheetId="8">ただ!$C$25</definedName>
    <definedName name="通算放銃点" localSheetId="16">ともき!$C$25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6">たかの!$C$23</definedName>
    <definedName name="通算門前アガリ点" localSheetId="8">ただ!$C$23</definedName>
    <definedName name="通算門前アガリ点" localSheetId="16">ともき!$C$23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6">たかの!$B$20</definedName>
    <definedName name="副露アガリ数" localSheetId="8">ただ!$B$20</definedName>
    <definedName name="副露アガリ数" localSheetId="16">ともき!$B$20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6">たかの!$B$24</definedName>
    <definedName name="副露アガリ点" localSheetId="8">ただ!$B$24</definedName>
    <definedName name="副露アガリ点" localSheetId="16">ともき!$B$24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6">たかの!$C$20</definedName>
    <definedName name="副露アガリ率" localSheetId="8">ただ!$C$20</definedName>
    <definedName name="副露アガリ率" localSheetId="16">ともき!$C$20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6">たかの!$B$12</definedName>
    <definedName name="副露数" localSheetId="8">ただ!$B$12</definedName>
    <definedName name="副露数" localSheetId="16">ともき!$B$12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6">たかの!$B$14</definedName>
    <definedName name="副露成功数" localSheetId="8">ただ!$B$14</definedName>
    <definedName name="副露成功数" localSheetId="16">ともき!$B$14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6">たかの!$C$14</definedName>
    <definedName name="副露成功率" localSheetId="8">ただ!$C$14</definedName>
    <definedName name="副露成功率" localSheetId="16">ともき!$C$14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6">たかの!$C$12</definedName>
    <definedName name="副露率" localSheetId="8">ただ!$C$12</definedName>
    <definedName name="副露率" localSheetId="16">ともき!$C$12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6">たかの!$B$22</definedName>
    <definedName name="平均アガリ点" localSheetId="8">ただ!$B$22</definedName>
    <definedName name="平均アガリ点" localSheetId="16">ともき!$B$22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6">たかの!$B$25</definedName>
    <definedName name="平均放銃点" localSheetId="8">ただ!$B$25</definedName>
    <definedName name="平均放銃点" localSheetId="16">ともき!$B$25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6">たかの!$B$16</definedName>
    <definedName name="放銃数" localSheetId="8">ただ!$B$16</definedName>
    <definedName name="放銃数" localSheetId="16">ともき!$B$16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6">たかの!$C$16</definedName>
    <definedName name="放銃率" localSheetId="8">ただ!$C$16</definedName>
    <definedName name="放銃率" localSheetId="16">ともき!$C$16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6">たかの!$B$23</definedName>
    <definedName name="門前アガリ点" localSheetId="8">ただ!$B$23</definedName>
    <definedName name="門前アガリ点" localSheetId="16">ともき!$B$23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6">たかの!$B$26</definedName>
    <definedName name="連続アガリ" localSheetId="8">ただ!$B$26</definedName>
    <definedName name="連続アガリ" localSheetId="16">ともき!$B$26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6">たかの!$B$27</definedName>
    <definedName name="連続無放銃" localSheetId="8">ただ!$B$27</definedName>
    <definedName name="連続無放銃" localSheetId="16">ともき!$B$27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3" i="6135" l="1"/>
  <c r="O15" i="6141"/>
  <c r="O22" i="6129" l="1"/>
  <c r="O16" i="6141"/>
  <c r="O17" i="6141"/>
  <c r="C30" i="6141"/>
  <c r="B25" i="6141"/>
  <c r="B24" i="6141"/>
  <c r="C16" i="6141"/>
  <c r="B15" i="6141"/>
  <c r="H51" i="6141" s="1"/>
  <c r="B14" i="6141"/>
  <c r="C14" i="6141" s="1"/>
  <c r="B13" i="6141"/>
  <c r="C13" i="6141" s="1"/>
  <c r="O12" i="6141"/>
  <c r="C12" i="6141"/>
  <c r="O11" i="6141"/>
  <c r="C11" i="6141"/>
  <c r="O10" i="6141"/>
  <c r="C10" i="6141"/>
  <c r="C9" i="6141"/>
  <c r="C8" i="6141"/>
  <c r="O7" i="6141"/>
  <c r="C7" i="6141"/>
  <c r="O6" i="6141"/>
  <c r="B6" i="6141"/>
  <c r="O5" i="6141"/>
  <c r="B5" i="6141"/>
  <c r="O4" i="6141"/>
  <c r="O3" i="6141"/>
  <c r="O2" i="6141"/>
  <c r="O18" i="6133"/>
  <c r="O25" i="6119"/>
  <c r="H26" i="6141" l="1"/>
  <c r="C18" i="6141"/>
  <c r="H20" i="6141"/>
  <c r="H4" i="6141"/>
  <c r="H27" i="6141"/>
  <c r="H18" i="6141"/>
  <c r="H37" i="6141"/>
  <c r="H41" i="6141"/>
  <c r="C38" i="6141"/>
  <c r="C40" i="6141"/>
  <c r="H15" i="6141"/>
  <c r="B22" i="6141"/>
  <c r="C15" i="6141"/>
  <c r="H45" i="6141"/>
  <c r="C32" i="6141"/>
  <c r="C44" i="6141"/>
  <c r="H3" i="6141"/>
  <c r="H24" i="6141"/>
  <c r="H11" i="6141"/>
  <c r="H2" i="6141"/>
  <c r="H30" i="6141"/>
  <c r="H22" i="6141"/>
  <c r="H33" i="6141"/>
  <c r="H9" i="6141"/>
  <c r="H16" i="6141"/>
  <c r="C34" i="6141"/>
  <c r="C36" i="6141"/>
  <c r="H52" i="6141"/>
  <c r="H19" i="6141"/>
  <c r="H23" i="6141"/>
  <c r="H28" i="6141"/>
  <c r="C33" i="6141"/>
  <c r="C37" i="6141"/>
  <c r="C41" i="6141"/>
  <c r="H46" i="6141"/>
  <c r="H6" i="6141"/>
  <c r="H7" i="6141"/>
  <c r="H10" i="6141"/>
  <c r="H13" i="6141"/>
  <c r="C19" i="6141"/>
  <c r="B23" i="6141"/>
  <c r="H29" i="6141"/>
  <c r="H34" i="6141"/>
  <c r="H38" i="6141"/>
  <c r="H42" i="6141"/>
  <c r="H47" i="6141"/>
  <c r="C42" i="6141"/>
  <c r="H48" i="6141"/>
  <c r="H8" i="6141"/>
  <c r="C20" i="6141"/>
  <c r="H35" i="6141"/>
  <c r="H39" i="6141"/>
  <c r="H43" i="6141"/>
  <c r="H49" i="6141"/>
  <c r="H14" i="6141"/>
  <c r="H17" i="6141"/>
  <c r="H21" i="6141"/>
  <c r="H25" i="6141"/>
  <c r="H31" i="6141"/>
  <c r="C35" i="6141"/>
  <c r="C39" i="6141"/>
  <c r="C43" i="6141"/>
  <c r="H50" i="6141"/>
  <c r="H5" i="6141"/>
  <c r="H12" i="6141"/>
  <c r="C17" i="6141"/>
  <c r="C21" i="6141"/>
  <c r="H32" i="6141"/>
  <c r="H36" i="6141"/>
  <c r="H40" i="6141"/>
  <c r="H44" i="6141"/>
  <c r="O16" i="6131"/>
  <c r="O17" i="6139"/>
  <c r="O22" i="6123"/>
  <c r="O16" i="6139"/>
  <c r="O15" i="6139"/>
  <c r="C30" i="6139"/>
  <c r="B25" i="6139"/>
  <c r="C16" i="6139"/>
  <c r="B15" i="6139"/>
  <c r="H51" i="6139" s="1"/>
  <c r="H17" i="6139"/>
  <c r="B14" i="6139"/>
  <c r="C14" i="6139" s="1"/>
  <c r="B13" i="6139"/>
  <c r="C13" i="6139" s="1"/>
  <c r="O12" i="6139"/>
  <c r="C12" i="6139"/>
  <c r="O11" i="6139"/>
  <c r="C11" i="6139"/>
  <c r="O10" i="6139"/>
  <c r="C10" i="6139"/>
  <c r="C9" i="6139"/>
  <c r="C8" i="6139"/>
  <c r="O7" i="6139"/>
  <c r="C7" i="6139"/>
  <c r="O6" i="6139"/>
  <c r="B6" i="6139"/>
  <c r="O5" i="6139"/>
  <c r="B5" i="6139"/>
  <c r="O4" i="6139"/>
  <c r="O3" i="6139"/>
  <c r="O2" i="6139"/>
  <c r="O20" i="6133"/>
  <c r="O24" i="6119"/>
  <c r="H8" i="6139" l="1"/>
  <c r="H22" i="6139"/>
  <c r="H30" i="6139"/>
  <c r="B24" i="6139"/>
  <c r="C40" i="6139"/>
  <c r="H41" i="6139"/>
  <c r="H9" i="6139"/>
  <c r="H25" i="6139"/>
  <c r="H6" i="6139"/>
  <c r="C32" i="6139"/>
  <c r="C15" i="6139"/>
  <c r="C44" i="6139"/>
  <c r="H7" i="6139"/>
  <c r="H10" i="6139"/>
  <c r="H18" i="6139"/>
  <c r="H45" i="6139"/>
  <c r="H48" i="6139"/>
  <c r="B22" i="6139"/>
  <c r="C34" i="6139"/>
  <c r="H12" i="6139"/>
  <c r="H27" i="6139"/>
  <c r="H11" i="6139"/>
  <c r="C42" i="6139"/>
  <c r="H15" i="6139"/>
  <c r="H33" i="6139"/>
  <c r="C36" i="6139"/>
  <c r="H2" i="6139"/>
  <c r="H20" i="6139"/>
  <c r="H37" i="6139"/>
  <c r="H3" i="6139"/>
  <c r="H13" i="6139"/>
  <c r="C18" i="6139"/>
  <c r="H28" i="6139"/>
  <c r="C38" i="6139"/>
  <c r="H52" i="6139"/>
  <c r="H21" i="6139"/>
  <c r="H24" i="6139"/>
  <c r="H5" i="6139"/>
  <c r="C33" i="6139"/>
  <c r="C37" i="6139"/>
  <c r="C41" i="6139"/>
  <c r="H46" i="6139"/>
  <c r="C19" i="6139"/>
  <c r="B23" i="6139"/>
  <c r="H29" i="6139"/>
  <c r="H34" i="6139"/>
  <c r="H38" i="6139"/>
  <c r="H42" i="6139"/>
  <c r="H47" i="6139"/>
  <c r="H39" i="6139"/>
  <c r="H16" i="6139"/>
  <c r="H19" i="6139"/>
  <c r="H23" i="6139"/>
  <c r="H26" i="6139"/>
  <c r="H31" i="6139"/>
  <c r="C35" i="6139"/>
  <c r="C39" i="6139"/>
  <c r="C43" i="6139"/>
  <c r="H50" i="6139"/>
  <c r="C20" i="6139"/>
  <c r="H35" i="6139"/>
  <c r="H43" i="6139"/>
  <c r="H49" i="6139"/>
  <c r="H4" i="6139"/>
  <c r="H14" i="6139"/>
  <c r="C17" i="6139"/>
  <c r="C21" i="6139"/>
  <c r="H32" i="6139"/>
  <c r="H36" i="6139"/>
  <c r="H40" i="6139"/>
  <c r="H44" i="6139"/>
  <c r="O21" i="6121" l="1"/>
  <c r="O16" i="6129"/>
  <c r="O15" i="6129" l="1"/>
  <c r="O19" i="6137"/>
  <c r="O16" i="6127" l="1"/>
  <c r="O16" i="6133"/>
  <c r="O16" i="6137" l="1"/>
  <c r="O22" i="6127"/>
  <c r="O20" i="6121" l="1"/>
  <c r="O16" i="6123"/>
  <c r="O15" i="6133"/>
  <c r="O22" i="6133"/>
  <c r="O19" i="6131" l="1"/>
  <c r="O18" i="6135"/>
  <c r="O16" i="6125" l="1"/>
  <c r="O17" i="6131"/>
  <c r="O19" i="6133"/>
  <c r="O21" i="6133"/>
  <c r="O15" i="6121" l="1"/>
  <c r="O17" i="6135"/>
  <c r="O19" i="6135"/>
  <c r="O18" i="6127"/>
  <c r="O20" i="6125" l="1"/>
  <c r="O21" i="6129"/>
  <c r="O19" i="6129" l="1"/>
  <c r="O21" i="6123"/>
  <c r="O24" i="6133"/>
  <c r="O17" i="6137"/>
  <c r="O15" i="6137"/>
  <c r="O21" i="6135"/>
  <c r="O15" i="6125" l="1"/>
  <c r="O21" i="6125"/>
  <c r="O18" i="6137"/>
  <c r="O20" i="6137"/>
  <c r="C44" i="6137"/>
  <c r="C30" i="6137"/>
  <c r="B25" i="6137"/>
  <c r="C16" i="6137"/>
  <c r="B15" i="6137"/>
  <c r="H50" i="6137" s="1"/>
  <c r="H19" i="6137"/>
  <c r="B14" i="6137"/>
  <c r="B24" i="6137" s="1"/>
  <c r="B13" i="6137"/>
  <c r="C13" i="6137" s="1"/>
  <c r="O12" i="6137"/>
  <c r="C12" i="6137"/>
  <c r="O11" i="6137"/>
  <c r="H16" i="6137"/>
  <c r="C11" i="6137"/>
  <c r="O10" i="6137"/>
  <c r="C10" i="6137"/>
  <c r="C9" i="6137"/>
  <c r="C8" i="6137"/>
  <c r="O7" i="6137"/>
  <c r="C7" i="6137"/>
  <c r="O6" i="6137"/>
  <c r="B6" i="6137"/>
  <c r="O5" i="6137"/>
  <c r="B5" i="6137"/>
  <c r="O4" i="6137"/>
  <c r="O3" i="6137"/>
  <c r="O2" i="6137"/>
  <c r="H3" i="6137"/>
  <c r="O21" i="6131"/>
  <c r="O15" i="6131"/>
  <c r="O15" i="6119"/>
  <c r="C14" i="6137" l="1"/>
  <c r="H27" i="6137"/>
  <c r="H28" i="6137"/>
  <c r="H34" i="6137"/>
  <c r="C36" i="6137"/>
  <c r="H11" i="6137"/>
  <c r="H13" i="6137"/>
  <c r="C18" i="6137"/>
  <c r="H42" i="6137"/>
  <c r="H36" i="6137"/>
  <c r="H4" i="6137"/>
  <c r="C19" i="6137"/>
  <c r="H44" i="6137"/>
  <c r="H45" i="6137"/>
  <c r="H17" i="6137"/>
  <c r="H23" i="6137"/>
  <c r="H37" i="6137"/>
  <c r="H12" i="6137"/>
  <c r="C15" i="6137"/>
  <c r="C21" i="6137"/>
  <c r="H38" i="6137"/>
  <c r="H47" i="6137"/>
  <c r="H7" i="6137"/>
  <c r="H8" i="6137"/>
  <c r="H20" i="6137"/>
  <c r="H14" i="6137"/>
  <c r="H32" i="6137"/>
  <c r="H40" i="6137"/>
  <c r="H51" i="6137"/>
  <c r="H29" i="6137"/>
  <c r="H5" i="6137"/>
  <c r="B22" i="6137"/>
  <c r="C32" i="6137"/>
  <c r="C40" i="6137"/>
  <c r="H6" i="6137"/>
  <c r="H2" i="6137"/>
  <c r="C17" i="6137"/>
  <c r="H26" i="6137"/>
  <c r="H33" i="6137"/>
  <c r="H41" i="6137"/>
  <c r="H52" i="6137"/>
  <c r="H22" i="6137"/>
  <c r="H25" i="6137"/>
  <c r="H9" i="6137"/>
  <c r="C33" i="6137"/>
  <c r="C37" i="6137"/>
  <c r="C41" i="6137"/>
  <c r="H46" i="6137"/>
  <c r="B23" i="6137"/>
  <c r="H30" i="6137"/>
  <c r="C34" i="6137"/>
  <c r="C38" i="6137"/>
  <c r="C42" i="6137"/>
  <c r="H48" i="6137"/>
  <c r="H10" i="6137"/>
  <c r="C20" i="6137"/>
  <c r="H35" i="6137"/>
  <c r="H39" i="6137"/>
  <c r="H43" i="6137"/>
  <c r="H49" i="6137"/>
  <c r="H18" i="6137"/>
  <c r="H21" i="6137"/>
  <c r="H24" i="6137"/>
  <c r="H15" i="6137"/>
  <c r="H31" i="6137"/>
  <c r="C35" i="6137"/>
  <c r="C39" i="6137"/>
  <c r="C43" i="6137"/>
  <c r="O19" i="6123" l="1"/>
  <c r="O19" i="6127"/>
  <c r="O18" i="6123" l="1"/>
  <c r="O20" i="6131"/>
  <c r="O23" i="6131"/>
  <c r="O16" i="6121"/>
  <c r="O17" i="6125"/>
  <c r="O15" i="6127"/>
  <c r="O21" i="6127"/>
  <c r="O18" i="6121"/>
  <c r="O18" i="6125"/>
  <c r="O15" i="6123"/>
  <c r="O20" i="6135"/>
  <c r="O22" i="6135"/>
  <c r="O23" i="6129" l="1"/>
  <c r="O17" i="6129"/>
  <c r="O15" i="6135"/>
  <c r="O16" i="6135"/>
  <c r="C30" i="6135"/>
  <c r="B25" i="6135"/>
  <c r="C16" i="6135"/>
  <c r="B15" i="6135"/>
  <c r="H51" i="6135" s="1"/>
  <c r="B14" i="6135"/>
  <c r="B24" i="6135" s="1"/>
  <c r="B13" i="6135"/>
  <c r="C13" i="6135" s="1"/>
  <c r="O12" i="6135"/>
  <c r="C12" i="6135"/>
  <c r="O11" i="6135"/>
  <c r="C11" i="6135"/>
  <c r="O10" i="6135"/>
  <c r="C10" i="6135"/>
  <c r="C9" i="6135"/>
  <c r="C8" i="6135"/>
  <c r="O7" i="6135"/>
  <c r="C7" i="6135"/>
  <c r="O6" i="6135"/>
  <c r="B6" i="6135"/>
  <c r="O5" i="6135"/>
  <c r="B5" i="6135"/>
  <c r="O4" i="6135"/>
  <c r="O3" i="6135"/>
  <c r="O2" i="6135"/>
  <c r="O16" i="6119"/>
  <c r="O17" i="6133"/>
  <c r="O23" i="6133"/>
  <c r="C30" i="6133"/>
  <c r="B25" i="6133"/>
  <c r="C16" i="6133"/>
  <c r="B15" i="6133"/>
  <c r="H50" i="6133" s="1"/>
  <c r="B14" i="6133"/>
  <c r="B24" i="6133" s="1"/>
  <c r="B13" i="6133"/>
  <c r="C13" i="6133" s="1"/>
  <c r="O12" i="6133"/>
  <c r="C12" i="6133"/>
  <c r="O11" i="6133"/>
  <c r="C11" i="6133"/>
  <c r="O10" i="6133"/>
  <c r="C10" i="6133"/>
  <c r="C9" i="6133"/>
  <c r="C8" i="6133"/>
  <c r="O7" i="6133"/>
  <c r="C7" i="6133"/>
  <c r="O6" i="6133"/>
  <c r="B6" i="6133"/>
  <c r="O5" i="6133"/>
  <c r="B5" i="6133"/>
  <c r="O4" i="6133"/>
  <c r="O3" i="6133"/>
  <c r="O2" i="6133"/>
  <c r="O19" i="6119"/>
  <c r="C14" i="6133" l="1"/>
  <c r="C14" i="6135"/>
  <c r="H23" i="6135"/>
  <c r="H21" i="6135"/>
  <c r="H8" i="6135"/>
  <c r="H19" i="6135"/>
  <c r="H38" i="6135"/>
  <c r="H29" i="6135"/>
  <c r="C15" i="6135"/>
  <c r="H42" i="6135"/>
  <c r="H45" i="6135"/>
  <c r="H3" i="6135"/>
  <c r="H33" i="6135"/>
  <c r="H4" i="6135"/>
  <c r="C18" i="6135"/>
  <c r="H20" i="6135"/>
  <c r="C17" i="6135"/>
  <c r="C44" i="6135"/>
  <c r="C21" i="6135"/>
  <c r="H5" i="6135"/>
  <c r="H41" i="6135"/>
  <c r="H7" i="6135"/>
  <c r="H10" i="6135"/>
  <c r="C32" i="6135"/>
  <c r="H9" i="6135"/>
  <c r="H34" i="6135"/>
  <c r="H15" i="6135"/>
  <c r="C36" i="6135"/>
  <c r="H52" i="6135"/>
  <c r="H25" i="6135"/>
  <c r="C40" i="6135"/>
  <c r="B22" i="6135"/>
  <c r="H37" i="6135"/>
  <c r="H46" i="6135"/>
  <c r="H11" i="6135"/>
  <c r="H22" i="6135"/>
  <c r="H26" i="6135"/>
  <c r="H12" i="6135"/>
  <c r="C41" i="6135"/>
  <c r="C19" i="6135"/>
  <c r="B23" i="6135"/>
  <c r="H30" i="6135"/>
  <c r="H35" i="6135"/>
  <c r="H39" i="6135"/>
  <c r="H43" i="6135"/>
  <c r="H48" i="6135"/>
  <c r="H28" i="6135"/>
  <c r="C33" i="6135"/>
  <c r="C37" i="6135"/>
  <c r="H47" i="6135"/>
  <c r="H2" i="6135"/>
  <c r="H6" i="6135"/>
  <c r="H24" i="6135"/>
  <c r="H17" i="6135"/>
  <c r="H18" i="6135"/>
  <c r="H31" i="6135"/>
  <c r="C34" i="6135"/>
  <c r="C38" i="6135"/>
  <c r="C42" i="6135"/>
  <c r="H49" i="6135"/>
  <c r="C20" i="6135"/>
  <c r="H36" i="6135"/>
  <c r="H40" i="6135"/>
  <c r="H44" i="6135"/>
  <c r="H50" i="6135"/>
  <c r="H16" i="6135"/>
  <c r="H13" i="6135"/>
  <c r="H27" i="6135"/>
  <c r="H14" i="6135"/>
  <c r="H32" i="6135"/>
  <c r="C35" i="6135"/>
  <c r="C39" i="6135"/>
  <c r="C43" i="6135"/>
  <c r="H12" i="6133"/>
  <c r="B22" i="6133"/>
  <c r="H33" i="6133"/>
  <c r="C17" i="6133"/>
  <c r="H37" i="6133"/>
  <c r="C42" i="6133"/>
  <c r="H51" i="6133"/>
  <c r="H25" i="6133"/>
  <c r="H29" i="6133"/>
  <c r="C32" i="6133"/>
  <c r="H38" i="6133"/>
  <c r="H43" i="6133"/>
  <c r="H5" i="6133"/>
  <c r="H6" i="6133"/>
  <c r="H21" i="6133"/>
  <c r="C18" i="6133"/>
  <c r="H34" i="6133"/>
  <c r="C38" i="6133"/>
  <c r="H44" i="6133"/>
  <c r="H52" i="6133"/>
  <c r="H4" i="6133"/>
  <c r="H9" i="6133"/>
  <c r="H23" i="6133"/>
  <c r="C19" i="6133"/>
  <c r="H30" i="6133"/>
  <c r="H20" i="6133"/>
  <c r="H39" i="6133"/>
  <c r="C44" i="6133"/>
  <c r="H15" i="6133"/>
  <c r="H31" i="6133"/>
  <c r="C34" i="6133"/>
  <c r="H40" i="6133"/>
  <c r="H45" i="6133"/>
  <c r="H10" i="6133"/>
  <c r="H7" i="6133"/>
  <c r="H11" i="6133"/>
  <c r="H17" i="6133"/>
  <c r="C15" i="6133"/>
  <c r="C20" i="6133"/>
  <c r="H32" i="6133"/>
  <c r="H35" i="6133"/>
  <c r="C40" i="6133"/>
  <c r="H47" i="6133"/>
  <c r="H24" i="6133"/>
  <c r="C21" i="6133"/>
  <c r="H16" i="6133"/>
  <c r="H36" i="6133"/>
  <c r="H41" i="6133"/>
  <c r="H48" i="6133"/>
  <c r="H2" i="6133"/>
  <c r="H3" i="6133"/>
  <c r="H13" i="6133"/>
  <c r="C36" i="6133"/>
  <c r="H42" i="6133"/>
  <c r="H49" i="6133"/>
  <c r="H26" i="6133"/>
  <c r="H28" i="6133"/>
  <c r="H8" i="6133"/>
  <c r="C33" i="6133"/>
  <c r="C37" i="6133"/>
  <c r="C41" i="6133"/>
  <c r="H46" i="6133"/>
  <c r="B23" i="6133"/>
  <c r="H22" i="6133"/>
  <c r="H18" i="6133"/>
  <c r="H27" i="6133"/>
  <c r="H14" i="6133"/>
  <c r="H19" i="6133"/>
  <c r="C35" i="6133"/>
  <c r="C39" i="6133"/>
  <c r="C43" i="6133"/>
  <c r="O22" i="6131" l="1"/>
  <c r="O18" i="6131"/>
  <c r="C30" i="6131"/>
  <c r="B25" i="6131"/>
  <c r="C16" i="6131"/>
  <c r="B15" i="6131"/>
  <c r="H51" i="6131" s="1"/>
  <c r="B14" i="6131"/>
  <c r="B24" i="6131" s="1"/>
  <c r="B13" i="6131"/>
  <c r="C13" i="6131" s="1"/>
  <c r="O12" i="6131"/>
  <c r="C12" i="6131"/>
  <c r="O11" i="6131"/>
  <c r="C11" i="6131"/>
  <c r="O10" i="6131"/>
  <c r="C10" i="6131"/>
  <c r="C9" i="6131"/>
  <c r="C8" i="6131"/>
  <c r="O7" i="6131"/>
  <c r="C7" i="6131"/>
  <c r="O6" i="6131"/>
  <c r="B6" i="6131"/>
  <c r="O5" i="6131"/>
  <c r="B5" i="6131"/>
  <c r="O4" i="6131"/>
  <c r="O3" i="6131"/>
  <c r="O2" i="6131"/>
  <c r="O20" i="6129"/>
  <c r="O18" i="6129"/>
  <c r="C30" i="6129"/>
  <c r="B25" i="6129"/>
  <c r="C16" i="6129"/>
  <c r="B15" i="6129"/>
  <c r="H52" i="6129" s="1"/>
  <c r="B14" i="6129"/>
  <c r="B24" i="6129" s="1"/>
  <c r="B13" i="6129"/>
  <c r="C13" i="6129" s="1"/>
  <c r="O12" i="6129"/>
  <c r="C12" i="6129"/>
  <c r="O11" i="6129"/>
  <c r="C11" i="6129"/>
  <c r="O10" i="6129"/>
  <c r="C10" i="6129"/>
  <c r="C9" i="6129"/>
  <c r="C8" i="6129"/>
  <c r="O7" i="6129"/>
  <c r="C7" i="6129"/>
  <c r="O6" i="6129"/>
  <c r="B6" i="6129"/>
  <c r="O5" i="6129"/>
  <c r="B5" i="6129"/>
  <c r="O4" i="6129"/>
  <c r="O3" i="6129"/>
  <c r="O2" i="6129"/>
  <c r="O18" i="6119"/>
  <c r="O20" i="6127"/>
  <c r="O17" i="6127"/>
  <c r="C30" i="6127"/>
  <c r="B25" i="6127"/>
  <c r="C16" i="6127"/>
  <c r="B15" i="6127"/>
  <c r="H52" i="6127" s="1"/>
  <c r="B14" i="6127"/>
  <c r="B24" i="6127" s="1"/>
  <c r="B13" i="6127"/>
  <c r="C13" i="6127" s="1"/>
  <c r="O12" i="6127"/>
  <c r="C12" i="6127"/>
  <c r="O11" i="6127"/>
  <c r="C11" i="6127"/>
  <c r="O10" i="6127"/>
  <c r="C10" i="6127"/>
  <c r="C9" i="6127"/>
  <c r="C8" i="6127"/>
  <c r="O7" i="6127"/>
  <c r="C7" i="6127"/>
  <c r="O6" i="6127"/>
  <c r="B6" i="6127"/>
  <c r="O5" i="6127"/>
  <c r="B5" i="6127"/>
  <c r="O4" i="6127"/>
  <c r="O3" i="6127"/>
  <c r="O2" i="6127"/>
  <c r="O21" i="6119"/>
  <c r="O22" i="6119"/>
  <c r="C14" i="6129" l="1"/>
  <c r="C14" i="6127"/>
  <c r="C19" i="6127"/>
  <c r="C14" i="6131"/>
  <c r="H4" i="6131"/>
  <c r="H12" i="6131"/>
  <c r="C19" i="6131"/>
  <c r="H36" i="6131"/>
  <c r="H24" i="6131"/>
  <c r="H28" i="6131"/>
  <c r="H41" i="6131"/>
  <c r="C44" i="6131"/>
  <c r="C34" i="6131"/>
  <c r="H10" i="6131"/>
  <c r="H48" i="6131"/>
  <c r="H27" i="6131"/>
  <c r="H7" i="6131"/>
  <c r="H22" i="6131"/>
  <c r="C20" i="6131"/>
  <c r="C21" i="6131"/>
  <c r="H21" i="6131"/>
  <c r="H38" i="6131"/>
  <c r="H42" i="6131"/>
  <c r="H49" i="6131"/>
  <c r="H18" i="6131"/>
  <c r="H50" i="6131"/>
  <c r="H33" i="6131"/>
  <c r="H29" i="6131"/>
  <c r="H2" i="6131"/>
  <c r="H14" i="6131"/>
  <c r="C36" i="6131"/>
  <c r="C17" i="6131"/>
  <c r="B22" i="6131"/>
  <c r="H26" i="6131"/>
  <c r="H39" i="6131"/>
  <c r="C42" i="6131"/>
  <c r="H16" i="6131"/>
  <c r="H25" i="6131"/>
  <c r="H11" i="6131"/>
  <c r="C40" i="6131"/>
  <c r="H8" i="6131"/>
  <c r="H15" i="6131"/>
  <c r="C32" i="6131"/>
  <c r="H40" i="6131"/>
  <c r="H44" i="6131"/>
  <c r="H5" i="6131"/>
  <c r="H46" i="6131"/>
  <c r="C15" i="6131"/>
  <c r="H37" i="6131"/>
  <c r="H3" i="6131"/>
  <c r="H43" i="6131"/>
  <c r="H20" i="6131"/>
  <c r="H6" i="6131"/>
  <c r="H17" i="6131"/>
  <c r="C18" i="6131"/>
  <c r="H35" i="6131"/>
  <c r="C38" i="6131"/>
  <c r="H45" i="6131"/>
  <c r="H52" i="6131"/>
  <c r="H30" i="6131"/>
  <c r="H32" i="6131"/>
  <c r="H9" i="6131"/>
  <c r="C33" i="6131"/>
  <c r="C37" i="6131"/>
  <c r="C41" i="6131"/>
  <c r="H47" i="6131"/>
  <c r="B23" i="6131"/>
  <c r="H23" i="6131"/>
  <c r="H19" i="6131"/>
  <c r="H31" i="6131"/>
  <c r="H13" i="6131"/>
  <c r="H34" i="6131"/>
  <c r="C35" i="6131"/>
  <c r="C39" i="6131"/>
  <c r="C43" i="6131"/>
  <c r="C19" i="6129"/>
  <c r="H19" i="6129"/>
  <c r="H24" i="6129"/>
  <c r="H23" i="6129"/>
  <c r="C40" i="6129"/>
  <c r="H18" i="6129"/>
  <c r="C39" i="6129"/>
  <c r="H2" i="6129"/>
  <c r="C17" i="6129"/>
  <c r="H21" i="6129"/>
  <c r="H43" i="6129"/>
  <c r="C43" i="6129"/>
  <c r="C32" i="6129"/>
  <c r="H11" i="6129"/>
  <c r="H14" i="6129"/>
  <c r="H36" i="6129"/>
  <c r="H3" i="6129"/>
  <c r="H28" i="6129"/>
  <c r="H15" i="6129"/>
  <c r="C44" i="6129"/>
  <c r="H45" i="6129"/>
  <c r="C15" i="6129"/>
  <c r="H51" i="6129"/>
  <c r="H32" i="6129"/>
  <c r="H5" i="6129"/>
  <c r="C35" i="6129"/>
  <c r="H13" i="6129"/>
  <c r="H27" i="6129"/>
  <c r="H10" i="6129"/>
  <c r="H6" i="6129"/>
  <c r="H20" i="6129"/>
  <c r="H33" i="6129"/>
  <c r="C36" i="6129"/>
  <c r="H7" i="6129"/>
  <c r="H39" i="6129"/>
  <c r="H48" i="6129"/>
  <c r="C21" i="6129"/>
  <c r="H26" i="6129"/>
  <c r="H41" i="6129"/>
  <c r="H12" i="6129"/>
  <c r="H31" i="6129"/>
  <c r="H22" i="6129"/>
  <c r="H8" i="6129"/>
  <c r="C33" i="6129"/>
  <c r="C37" i="6129"/>
  <c r="C41" i="6129"/>
  <c r="H47" i="6129"/>
  <c r="H4" i="6129"/>
  <c r="H30" i="6129"/>
  <c r="H16" i="6129"/>
  <c r="H25" i="6129"/>
  <c r="H17" i="6129"/>
  <c r="C34" i="6129"/>
  <c r="C38" i="6129"/>
  <c r="C42" i="6129"/>
  <c r="H49" i="6129"/>
  <c r="B23" i="6129"/>
  <c r="H9" i="6129"/>
  <c r="C20" i="6129"/>
  <c r="H37" i="6129"/>
  <c r="H40" i="6129"/>
  <c r="H44" i="6129"/>
  <c r="H50" i="6129"/>
  <c r="H29" i="6129"/>
  <c r="C18" i="6129"/>
  <c r="B22" i="6129"/>
  <c r="H34" i="6129"/>
  <c r="H35" i="6129"/>
  <c r="H38" i="6129"/>
  <c r="H42" i="6129"/>
  <c r="H46" i="6129"/>
  <c r="H6" i="6127"/>
  <c r="H10" i="6127"/>
  <c r="H37" i="6127"/>
  <c r="C21" i="6127"/>
  <c r="H21" i="6127"/>
  <c r="H33" i="6127"/>
  <c r="H41" i="6127"/>
  <c r="C15" i="6127"/>
  <c r="H7" i="6127"/>
  <c r="H22" i="6127"/>
  <c r="H14" i="6127"/>
  <c r="C17" i="6127"/>
  <c r="H45" i="6127"/>
  <c r="H25" i="6127"/>
  <c r="H27" i="6127"/>
  <c r="H11" i="6127"/>
  <c r="C33" i="6127"/>
  <c r="C37" i="6127"/>
  <c r="C41" i="6127"/>
  <c r="H47" i="6127"/>
  <c r="H43" i="6127"/>
  <c r="H24" i="6127"/>
  <c r="H18" i="6127"/>
  <c r="H20" i="6127"/>
  <c r="C34" i="6127"/>
  <c r="C38" i="6127"/>
  <c r="H49" i="6127"/>
  <c r="H8" i="6127"/>
  <c r="C20" i="6127"/>
  <c r="H36" i="6127"/>
  <c r="H40" i="6127"/>
  <c r="H44" i="6127"/>
  <c r="H50" i="6127"/>
  <c r="B23" i="6127"/>
  <c r="H31" i="6127"/>
  <c r="H35" i="6127"/>
  <c r="H39" i="6127"/>
  <c r="H48" i="6127"/>
  <c r="H2" i="6127"/>
  <c r="H4" i="6127"/>
  <c r="H28" i="6127"/>
  <c r="C42" i="6127"/>
  <c r="H17" i="6127"/>
  <c r="H15" i="6127"/>
  <c r="H26" i="6127"/>
  <c r="H13" i="6127"/>
  <c r="H32" i="6127"/>
  <c r="C35" i="6127"/>
  <c r="C39" i="6127"/>
  <c r="C43" i="6127"/>
  <c r="H51" i="6127"/>
  <c r="H16" i="6127"/>
  <c r="H3" i="6127"/>
  <c r="H9" i="6127"/>
  <c r="H19" i="6127"/>
  <c r="H12" i="6127"/>
  <c r="H29" i="6127"/>
  <c r="C32" i="6127"/>
  <c r="C36" i="6127"/>
  <c r="C40" i="6127"/>
  <c r="C44" i="6127"/>
  <c r="H5" i="6127"/>
  <c r="H23" i="6127"/>
  <c r="C18" i="6127"/>
  <c r="B22" i="6127"/>
  <c r="H30" i="6127"/>
  <c r="H34" i="6127"/>
  <c r="H38" i="6127"/>
  <c r="H42" i="6127"/>
  <c r="H46" i="6127"/>
  <c r="O22" i="6125" l="1"/>
  <c r="O19" i="6125"/>
  <c r="C30" i="6125"/>
  <c r="B25" i="6125"/>
  <c r="C16" i="6125"/>
  <c r="B15" i="6125"/>
  <c r="H4" i="6125" s="1"/>
  <c r="B14" i="6125"/>
  <c r="B24" i="6125" s="1"/>
  <c r="B13" i="6125"/>
  <c r="C13" i="6125" s="1"/>
  <c r="O12" i="6125"/>
  <c r="C12" i="6125"/>
  <c r="O11" i="6125"/>
  <c r="C11" i="6125"/>
  <c r="O10" i="6125"/>
  <c r="C10" i="6125"/>
  <c r="C9" i="6125"/>
  <c r="C8" i="6125"/>
  <c r="O7" i="6125"/>
  <c r="C7" i="6125"/>
  <c r="O6" i="6125"/>
  <c r="B6" i="6125"/>
  <c r="O5" i="6125"/>
  <c r="B5" i="6125"/>
  <c r="O4" i="6125"/>
  <c r="O3" i="6125"/>
  <c r="O2" i="6125"/>
  <c r="O20" i="6123"/>
  <c r="O17" i="6123"/>
  <c r="C30" i="6123"/>
  <c r="B25" i="6123"/>
  <c r="C16" i="6123"/>
  <c r="B15" i="6123"/>
  <c r="H5" i="6123" s="1"/>
  <c r="B14" i="6123"/>
  <c r="B24" i="6123" s="1"/>
  <c r="B13" i="6123"/>
  <c r="C13" i="6123" s="1"/>
  <c r="O12" i="6123"/>
  <c r="C12" i="6123"/>
  <c r="O11" i="6123"/>
  <c r="C11" i="6123"/>
  <c r="O10" i="6123"/>
  <c r="C10" i="6123"/>
  <c r="C9" i="6123"/>
  <c r="C8" i="6123"/>
  <c r="O7" i="6123"/>
  <c r="C7" i="6123"/>
  <c r="O6" i="6123"/>
  <c r="B6" i="6123"/>
  <c r="O5" i="6123"/>
  <c r="B5" i="6123"/>
  <c r="O4" i="6123"/>
  <c r="O3" i="6123"/>
  <c r="O2" i="6123"/>
  <c r="O17" i="6119"/>
  <c r="O17" i="6121"/>
  <c r="O19" i="6121"/>
  <c r="C30" i="6121"/>
  <c r="B25" i="6121"/>
  <c r="C16" i="6121"/>
  <c r="B15" i="6121"/>
  <c r="H4" i="6121" s="1"/>
  <c r="B14" i="6121"/>
  <c r="B24" i="6121" s="1"/>
  <c r="B13" i="6121"/>
  <c r="C13" i="6121" s="1"/>
  <c r="O12" i="6121"/>
  <c r="C12" i="6121"/>
  <c r="O11" i="6121"/>
  <c r="C11" i="6121"/>
  <c r="O10" i="6121"/>
  <c r="C10" i="6121"/>
  <c r="C9" i="6121"/>
  <c r="C8" i="6121"/>
  <c r="O7" i="6121"/>
  <c r="C7" i="6121"/>
  <c r="O6" i="6121"/>
  <c r="B6" i="6121"/>
  <c r="O5" i="6121"/>
  <c r="B5" i="6121"/>
  <c r="O4" i="6121"/>
  <c r="O3" i="6121"/>
  <c r="O2" i="6121"/>
  <c r="O20" i="6119"/>
  <c r="O23" i="6119"/>
  <c r="C30" i="6119"/>
  <c r="B25" i="6119"/>
  <c r="C16" i="6119"/>
  <c r="B15" i="6119"/>
  <c r="H51" i="6119" s="1"/>
  <c r="B14" i="6119"/>
  <c r="B24" i="6119" s="1"/>
  <c r="B13" i="6119"/>
  <c r="C13" i="6119" s="1"/>
  <c r="O12" i="6119"/>
  <c r="C12" i="6119"/>
  <c r="O11" i="6119"/>
  <c r="C11" i="6119"/>
  <c r="O10" i="6119"/>
  <c r="C10" i="6119"/>
  <c r="C9" i="6119"/>
  <c r="C8" i="6119"/>
  <c r="O7" i="6119"/>
  <c r="C7" i="6119"/>
  <c r="O6" i="6119"/>
  <c r="B6" i="6119"/>
  <c r="O5" i="6119"/>
  <c r="B5" i="6119"/>
  <c r="O4" i="6119"/>
  <c r="O3" i="6119"/>
  <c r="O2" i="6119"/>
  <c r="C14" i="6125" l="1"/>
  <c r="C14" i="6123"/>
  <c r="H28" i="6125"/>
  <c r="H31" i="6123"/>
  <c r="C14" i="6121"/>
  <c r="H12" i="6125"/>
  <c r="H33" i="6125"/>
  <c r="C15" i="6125"/>
  <c r="H35" i="6125"/>
  <c r="C18" i="6125"/>
  <c r="H42" i="6125"/>
  <c r="H8" i="6125"/>
  <c r="H10" i="6125"/>
  <c r="B22" i="6125"/>
  <c r="H46" i="6125"/>
  <c r="H38" i="6125"/>
  <c r="H6" i="6125"/>
  <c r="H52" i="6125"/>
  <c r="H25" i="6125"/>
  <c r="C33" i="6125"/>
  <c r="C41" i="6125"/>
  <c r="C19" i="6125"/>
  <c r="B23" i="6125"/>
  <c r="H26" i="6125"/>
  <c r="H27" i="6125"/>
  <c r="H39" i="6125"/>
  <c r="H43" i="6125"/>
  <c r="H48" i="6125"/>
  <c r="H21" i="6125"/>
  <c r="H29" i="6125"/>
  <c r="H9" i="6125"/>
  <c r="C37" i="6125"/>
  <c r="H47" i="6125"/>
  <c r="H2" i="6125"/>
  <c r="H3" i="6125"/>
  <c r="H24" i="6125"/>
  <c r="H17" i="6125"/>
  <c r="H31" i="6125"/>
  <c r="H16" i="6125"/>
  <c r="C34" i="6125"/>
  <c r="C38" i="6125"/>
  <c r="C42" i="6125"/>
  <c r="H49" i="6125"/>
  <c r="C20" i="6125"/>
  <c r="H50" i="6125"/>
  <c r="H22" i="6125"/>
  <c r="H15" i="6125"/>
  <c r="H30" i="6125"/>
  <c r="H13" i="6125"/>
  <c r="H20" i="6125"/>
  <c r="C35" i="6125"/>
  <c r="C39" i="6125"/>
  <c r="C43" i="6125"/>
  <c r="H51" i="6125"/>
  <c r="H40" i="6125"/>
  <c r="H7" i="6125"/>
  <c r="H23" i="6125"/>
  <c r="C17" i="6125"/>
  <c r="C21" i="6125"/>
  <c r="H34" i="6125"/>
  <c r="H37" i="6125"/>
  <c r="H41" i="6125"/>
  <c r="H45" i="6125"/>
  <c r="H19" i="6125"/>
  <c r="H36" i="6125"/>
  <c r="H44" i="6125"/>
  <c r="H5" i="6125"/>
  <c r="H11" i="6125"/>
  <c r="H18" i="6125"/>
  <c r="H14" i="6125"/>
  <c r="H32" i="6125"/>
  <c r="C32" i="6125"/>
  <c r="C36" i="6125"/>
  <c r="C40" i="6125"/>
  <c r="C44" i="6125"/>
  <c r="C14" i="6119"/>
  <c r="H4" i="6123"/>
  <c r="C21" i="6123"/>
  <c r="H26" i="6123"/>
  <c r="H44" i="6123"/>
  <c r="H46" i="6123"/>
  <c r="H7" i="6123"/>
  <c r="H45" i="6123"/>
  <c r="H27" i="6123"/>
  <c r="H11" i="6123"/>
  <c r="H25" i="6123"/>
  <c r="H39" i="6123"/>
  <c r="H29" i="6123"/>
  <c r="H37" i="6123"/>
  <c r="H48" i="6123"/>
  <c r="H6" i="6123"/>
  <c r="C17" i="6123"/>
  <c r="H28" i="6123"/>
  <c r="C18" i="6123"/>
  <c r="H41" i="6123"/>
  <c r="H50" i="6123"/>
  <c r="B22" i="6123"/>
  <c r="H38" i="6123"/>
  <c r="H2" i="6123"/>
  <c r="C19" i="6123"/>
  <c r="H35" i="6123"/>
  <c r="H42" i="6123"/>
  <c r="H16" i="6123"/>
  <c r="C15" i="6123"/>
  <c r="H10" i="6123"/>
  <c r="H40" i="6123"/>
  <c r="H9" i="6123"/>
  <c r="H30" i="6123"/>
  <c r="C20" i="6123"/>
  <c r="H36" i="6123"/>
  <c r="H43" i="6123"/>
  <c r="H52" i="6123"/>
  <c r="H32" i="6123"/>
  <c r="H20" i="6123"/>
  <c r="H8" i="6123"/>
  <c r="C33" i="6123"/>
  <c r="C37" i="6123"/>
  <c r="C41" i="6123"/>
  <c r="H47" i="6123"/>
  <c r="B23" i="6123"/>
  <c r="H3" i="6123"/>
  <c r="H19" i="6123"/>
  <c r="H17" i="6123"/>
  <c r="H24" i="6123"/>
  <c r="H21" i="6123"/>
  <c r="C34" i="6123"/>
  <c r="C38" i="6123"/>
  <c r="C42" i="6123"/>
  <c r="H49" i="6123"/>
  <c r="H18" i="6123"/>
  <c r="H15" i="6123"/>
  <c r="H33" i="6123"/>
  <c r="H12" i="6123"/>
  <c r="H22" i="6123"/>
  <c r="C35" i="6123"/>
  <c r="C39" i="6123"/>
  <c r="C43" i="6123"/>
  <c r="H51" i="6123"/>
  <c r="H13" i="6123"/>
  <c r="H23" i="6123"/>
  <c r="H14" i="6123"/>
  <c r="H34" i="6123"/>
  <c r="C32" i="6123"/>
  <c r="C36" i="6123"/>
  <c r="C40" i="6123"/>
  <c r="C44" i="6123"/>
  <c r="H4" i="6119"/>
  <c r="H7" i="6121"/>
  <c r="H52" i="6121"/>
  <c r="C20" i="6121"/>
  <c r="H8" i="6121"/>
  <c r="C21" i="6121"/>
  <c r="H33" i="6121"/>
  <c r="H25" i="6121"/>
  <c r="H26" i="6121"/>
  <c r="H34" i="6121"/>
  <c r="H41" i="6121"/>
  <c r="H42" i="6121"/>
  <c r="H35" i="6121"/>
  <c r="H43" i="6121"/>
  <c r="H47" i="6121"/>
  <c r="H19" i="6121"/>
  <c r="H36" i="6121"/>
  <c r="H44" i="6121"/>
  <c r="H5" i="6121"/>
  <c r="H10" i="6121"/>
  <c r="H18" i="6121"/>
  <c r="H37" i="6121"/>
  <c r="H45" i="6121"/>
  <c r="H6" i="6121"/>
  <c r="C17" i="6121"/>
  <c r="H31" i="6121"/>
  <c r="H12" i="6121"/>
  <c r="C18" i="6121"/>
  <c r="H39" i="6121"/>
  <c r="H49" i="6121"/>
  <c r="B22" i="6121"/>
  <c r="C15" i="6121"/>
  <c r="H38" i="6121"/>
  <c r="C19" i="6121"/>
  <c r="H24" i="6121"/>
  <c r="H40" i="6121"/>
  <c r="H51" i="6121"/>
  <c r="H27" i="6121"/>
  <c r="H23" i="6121"/>
  <c r="H13" i="6121"/>
  <c r="C33" i="6121"/>
  <c r="C37" i="6121"/>
  <c r="C41" i="6121"/>
  <c r="H46" i="6121"/>
  <c r="B23" i="6121"/>
  <c r="H2" i="6121"/>
  <c r="H3" i="6121"/>
  <c r="H21" i="6121"/>
  <c r="H14" i="6121"/>
  <c r="H29" i="6121"/>
  <c r="H17" i="6121"/>
  <c r="C34" i="6121"/>
  <c r="C38" i="6121"/>
  <c r="C42" i="6121"/>
  <c r="H48" i="6121"/>
  <c r="H20" i="6121"/>
  <c r="H22" i="6121"/>
  <c r="H28" i="6121"/>
  <c r="H15" i="6121"/>
  <c r="H32" i="6121"/>
  <c r="C35" i="6121"/>
  <c r="C39" i="6121"/>
  <c r="C43" i="6121"/>
  <c r="H50" i="6121"/>
  <c r="H9" i="6121"/>
  <c r="H16" i="6121"/>
  <c r="H11" i="6121"/>
  <c r="H30" i="6121"/>
  <c r="C32" i="6121"/>
  <c r="C36" i="6121"/>
  <c r="C40" i="6121"/>
  <c r="C44" i="6121"/>
  <c r="H11" i="6119"/>
  <c r="C19" i="6119"/>
  <c r="C20" i="6119"/>
  <c r="H31" i="6119"/>
  <c r="H35" i="6119"/>
  <c r="H29" i="6119"/>
  <c r="H42" i="6119"/>
  <c r="C44" i="6119"/>
  <c r="H17" i="6119"/>
  <c r="H34" i="6119"/>
  <c r="H24" i="6119"/>
  <c r="C40" i="6119"/>
  <c r="H49" i="6119"/>
  <c r="H27" i="6119"/>
  <c r="H6" i="6119"/>
  <c r="H14" i="6119"/>
  <c r="H12" i="6119"/>
  <c r="H48" i="6119"/>
  <c r="C21" i="6119"/>
  <c r="H18" i="6119"/>
  <c r="H43" i="6119"/>
  <c r="H2" i="6119"/>
  <c r="H3" i="6119"/>
  <c r="C36" i="6119"/>
  <c r="H8" i="6119"/>
  <c r="H40" i="6119"/>
  <c r="H15" i="6119"/>
  <c r="C34" i="6119"/>
  <c r="H10" i="6119"/>
  <c r="H28" i="6119"/>
  <c r="H50" i="6119"/>
  <c r="C17" i="6119"/>
  <c r="B22" i="6119"/>
  <c r="H30" i="6119"/>
  <c r="C42" i="6119"/>
  <c r="C32" i="6119"/>
  <c r="H45" i="6119"/>
  <c r="H5" i="6119"/>
  <c r="H33" i="6119"/>
  <c r="C15" i="6119"/>
  <c r="H39" i="6119"/>
  <c r="H26" i="6119"/>
  <c r="H32" i="6119"/>
  <c r="H44" i="6119"/>
  <c r="H19" i="6119"/>
  <c r="H25" i="6119"/>
  <c r="H41" i="6119"/>
  <c r="H7" i="6119"/>
  <c r="H22" i="6119"/>
  <c r="C18" i="6119"/>
  <c r="H38" i="6119"/>
  <c r="C38" i="6119"/>
  <c r="H46" i="6119"/>
  <c r="H52" i="6119"/>
  <c r="H36" i="6119"/>
  <c r="H23" i="6119"/>
  <c r="H9" i="6119"/>
  <c r="C33" i="6119"/>
  <c r="C37" i="6119"/>
  <c r="C41" i="6119"/>
  <c r="H47" i="6119"/>
  <c r="B23" i="6119"/>
  <c r="H20" i="6119"/>
  <c r="H16" i="6119"/>
  <c r="H37" i="6119"/>
  <c r="H13" i="6119"/>
  <c r="H21" i="6119"/>
  <c r="C35" i="6119"/>
  <c r="C39" i="6119"/>
  <c r="C43" i="6119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<sst xmlns="http://schemas.openxmlformats.org/spreadsheetml/2006/main" count="3297" uniqueCount="277">
  <si>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</si>
  <si>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</si>
  <si>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</si>
  <si>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</si>
  <si>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</si>
  <si>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</si>
  <si>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</si>
  <si>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</si>
  <si>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</si>
  <si>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</si>
  <si>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</si>
  <si>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</si>
  <si>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</si>
  <si>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</si>
  <si>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</si>
  <si>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</si>
  <si>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</si>
  <si>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</si>
  <si>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</si>
  <si>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</si>
  <si>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</si>
  <si>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</si>
  <si>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</si>
  <si>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</si>
  <si>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</si>
  <si>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</si>
  <si>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</si>
  <si>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</si>
  <si>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</si>
  <si>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</si>
  <si>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</si>
  <si>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</si>
  <si>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</si>
  <si>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</si>
  <si>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</si>
  <si>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</si>
  <si>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</si>
  <si>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</si>
  <si>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</si>
  <si>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</si>
  <si>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</si>
  <si>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</si>
  <si>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</si>
  <si>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</si>
  <si>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</si>
  <si>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</si>
  <si>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</si>
  <si>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</si>
  <si>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</si>
  <si>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</si>
  <si>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</si>
  <si>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</si>
  <si>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</si>
  <si>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</si>
  <si>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</si>
  <si>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</si>
  <si>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</si>
  <si>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</si>
  <si>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</si>
  <si>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</si>
  <si>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</si>
  <si>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</si>
  <si>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</si>
  <si>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</si>
  <si>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</si>
  <si>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</si>
  <si>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</si>
  <si>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</si>
  <si>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</si>
  <si>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</si>
  <si>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</si>
  <si>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</si>
  <si>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</si>
  <si>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</si>
  <si>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</si>
  <si>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</si>
  <si>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</si>
  <si>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</si>
  <si>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</si>
  <si>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</si>
  <si>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</si>
  <si>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</si>
  <si>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</si>
  <si>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</si>
  <si>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</si>
  <si>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</si>
  <si>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</si>
  <si>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</si>
  <si>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</si>
  <si>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</si>
  <si>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</si>
  <si>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</si>
  <si>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</si>
  <si>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</si>
  <si>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</si>
  <si>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</si>
  <si>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</si>
  <si>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</si>
  <si>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</si>
  <si>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</si>
  <si>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</si>
  <si>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</si>
  <si>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</si>
  <si>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</si>
  <si>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</si>
  <si>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</si>
  <si>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</si>
  <si>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</si>
  <si>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</si>
  <si>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</si>
  <si>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</si>
  <si>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</si>
  <si>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</si>
  <si>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</si>
  <si>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</si>
  <si>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</si>
  <si>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</si>
  <si>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</si>
  <si>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</si>
  <si>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</si>
  <si>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</si>
  <si>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</si>
  <si>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</si>
  <si>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</si>
  <si>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</si>
  <si>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</si>
  <si>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</si>
  <si>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</si>
  <si>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</si>
  <si>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</si>
  <si>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</si>
  <si>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</si>
  <si>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</si>
  <si>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</si>
  <si>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</si>
  <si>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</si>
  <si>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</si>
  <si>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</si>
  <si>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</si>
  <si>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</si>
  <si>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</si>
  <si>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</si>
  <si>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</si>
  <si>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</si>
  <si>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</si>
  <si>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</si>
  <si>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</si>
  <si>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</si>
  <si>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</si>
  <si>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</si>
  <si>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</si>
  <si>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</si>
  <si>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</si>
  <si>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</si>
  <si>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</si>
  <si>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</si>
  <si>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</si>
  <si>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</si>
  <si>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</si>
  <si>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</si>
  <si>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</si>
  <si>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</si>
  <si>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</si>
  <si>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</si>
  <si>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</si>
  <si>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</si>
  <si>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</si>
  <si>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</si>
  <si>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</si>
  <si>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</si>
  <si>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</si>
  <si>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</si>
  <si>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</si>
  <si>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</si>
  <si>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</si>
  <si>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</si>
  <si>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</si>
  <si>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</si>
  <si>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</si>
  <si>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</si>
  <si>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</si>
  <si>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</si>
  <si>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</si>
  <si>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</si>
  <si>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</si>
  <si>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</si>
  <si>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</si>
  <si>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</si>
  <si>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</si>
  <si>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</si>
  <si>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</si>
  <si>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</si>
  <si>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</si>
  <si>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</si>
  <si>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</si>
  <si>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</si>
  <si>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</si>
  <si>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のり</t>
  </si>
  <si>
    <t>Sheet6</t>
  </si>
  <si>
    <t>Sheet7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</si>
  <si>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</si>
  <si>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</si>
  <si>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</si>
  <si>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</si>
  <si>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</si>
  <si>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</si>
  <si>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</si>
  <si>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</si>
  <si>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</si>
  <si>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</si>
  <si>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</si>
  <si>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</si>
  <si>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</si>
  <si>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</si>
  <si>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</si>
  <si>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</si>
  <si>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</si>
  <si>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</si>
  <si>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2019-09-23@2.xlsm</t>
  </si>
  <si>
    <t>2019-09-25@2.xlsm</t>
  </si>
  <si>
    <t>2019-09-26@3.xlsm</t>
  </si>
  <si>
    <t>2019-09-27@2.xlsm</t>
  </si>
  <si>
    <t>2019-09-28@2.xlsm</t>
  </si>
  <si>
    <t>2019-09-29@AllStar.xlsm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</si>
  <si>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</si>
  <si>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</si>
  <si>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</si>
  <si>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</si>
  <si>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</si>
  <si>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</si>
  <si>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</si>
  <si>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</si>
  <si>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</si>
  <si>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</si>
  <si>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</si>
  <si>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</si>
  <si>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</si>
  <si>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</si>
  <si>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</si>
  <si>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</si>
  <si>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</si>
  <si>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</si>
  <si>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</si>
  <si>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</si>
  <si>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</si>
  <si>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</si>
  <si>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</si>
  <si>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</si>
  <si>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</si>
  <si>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</si>
  <si>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</si>
  <si>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</si>
  <si>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</si>
  <si>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</si>
  <si>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</si>
  <si>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</si>
  <si>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</si>
  <si>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</si>
  <si>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</si>
  <si>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</si>
  <si>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</si>
  <si>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</si>
  <si>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</si>
  <si>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</si>
  <si>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</si>
  <si>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</si>
  <si>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</si>
  <si>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</si>
  <si>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</si>
  <si>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</si>
  <si>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</si>
  <si>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</si>
  <si>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</si>
  <si>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</si>
  <si>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ともき</t>
  </si>
  <si>
    <t>2019-12-04@2.xlsm</t>
  </si>
  <si>
    <t>2019-12-05@2.xlsm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</si>
</sst>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7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0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5.xml"/><Relationship Id="rId42" Type="http://schemas.openxmlformats.org/officeDocument/2006/relationships/chartsheet" Target="chartsheets/sheet13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4.xml"/><Relationship Id="rId38" Type="http://schemas.openxmlformats.org/officeDocument/2006/relationships/chartsheet" Target="chartsheets/sheet9.xml"/><Relationship Id="rId46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3.xml"/><Relationship Id="rId37" Type="http://schemas.openxmlformats.org/officeDocument/2006/relationships/chartsheet" Target="chartsheets/sheet8.xml"/><Relationship Id="rId40" Type="http://schemas.openxmlformats.org/officeDocument/2006/relationships/chartsheet" Target="chartsheets/sheet11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7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2.xml"/><Relationship Id="rId44" Type="http://schemas.openxmlformats.org/officeDocument/2006/relationships/chartsheet" Target="chartsheets/sheet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1.xml"/><Relationship Id="rId35" Type="http://schemas.openxmlformats.org/officeDocument/2006/relationships/chartsheet" Target="chartsheets/sheet6.xml"/><Relationship Id="rId43" Type="http://schemas.openxmlformats.org/officeDocument/2006/relationships/chartsheet" Target="chartsheets/sheet14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全体!$K$2:$K$725</c:f>
              <c:numCache>
                <c:formatCode>General</c:formatCode>
                <c:ptCount val="7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</c:numCache>
            </c:numRef>
          </c:xVal>
          <c:yVal>
            <c:numRef>
              <c:f>全体!$L$2:$L$725</c:f>
              <c:numCache>
                <c:formatCode>\+0.0;\-0.0;\±0</c:formatCode>
                <c:ptCount val="724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3D-44ED-A25F-9E8D6F21C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-27.777777777777779</c:v>
                </c:pt>
                <c:pt idx="1">
                  <c:v>12.711864406779661</c:v>
                </c:pt>
                <c:pt idx="2">
                  <c:v>-10.51051051051051</c:v>
                </c:pt>
                <c:pt idx="3">
                  <c:v>9.5693779904306222</c:v>
                </c:pt>
                <c:pt idx="4">
                  <c:v>8.6805555555555554</c:v>
                </c:pt>
                <c:pt idx="5">
                  <c:v>12.422360248447205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DD-4B35-B07D-AD2EF257D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134</c:v>
                </c:pt>
                <c:pt idx="1">
                  <c:v>296</c:v>
                </c:pt>
                <c:pt idx="2">
                  <c:v>351</c:v>
                </c:pt>
                <c:pt idx="3">
                  <c:v>314</c:v>
                </c:pt>
                <c:pt idx="4">
                  <c:v>284</c:v>
                </c:pt>
                <c:pt idx="5">
                  <c:v>187</c:v>
                </c:pt>
                <c:pt idx="6">
                  <c:v>94</c:v>
                </c:pt>
                <c:pt idx="7">
                  <c:v>52</c:v>
                </c:pt>
                <c:pt idx="8">
                  <c:v>20</c:v>
                </c:pt>
                <c:pt idx="9">
                  <c:v>7</c:v>
                </c:pt>
                <c:pt idx="10">
                  <c:v>6</c:v>
                </c:pt>
                <c:pt idx="11">
                  <c:v>6</c:v>
                </c:pt>
                <c:pt idx="1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32-4D5B-BFF0-19D0CD6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たかの!$L$2:$L$67</c:f>
              <c:numCache>
                <c:formatCode>\+0.0;\-0.0;\±0</c:formatCode>
                <c:ptCount val="66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7A-42E7-AEDA-418DAF8A1D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1363.0769230769231</c:v>
                </c:pt>
                <c:pt idx="1">
                  <c:v>-2112.5</c:v>
                </c:pt>
                <c:pt idx="2">
                  <c:v>-1511.2903225806451</c:v>
                </c:pt>
                <c:pt idx="3">
                  <c:v>-1355.1724137931035</c:v>
                </c:pt>
                <c:pt idx="4">
                  <c:v>-221.05263157894737</c:v>
                </c:pt>
                <c:pt idx="5">
                  <c:v>-2379.591836734694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8C-4646-A386-0129434D4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21</c:v>
                </c:pt>
                <c:pt idx="1">
                  <c:v>33</c:v>
                </c:pt>
                <c:pt idx="2">
                  <c:v>31</c:v>
                </c:pt>
                <c:pt idx="3">
                  <c:v>23</c:v>
                </c:pt>
                <c:pt idx="4">
                  <c:v>17</c:v>
                </c:pt>
                <c:pt idx="5">
                  <c:v>14</c:v>
                </c:pt>
                <c:pt idx="6">
                  <c:v>9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5B-4FA1-BEAC-44029251A6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だいち!$K$2:$K$149</c:f>
              <c:numCache>
                <c:formatCode>General</c:formatCode>
                <c:ptCount val="1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</c:numCache>
            </c:numRef>
          </c:xVal>
          <c:yVal>
            <c:numRef>
              <c:f>だいち!$L$2:$L$149</c:f>
              <c:numCache>
                <c:formatCode>\+0.0;\-0.0;\±0</c:formatCode>
                <c:ptCount val="148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54-4A8D-8521-F28E6BEFAD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1144.5205479452054</c:v>
                </c:pt>
                <c:pt idx="1">
                  <c:v>893.00699300699296</c:v>
                </c:pt>
                <c:pt idx="2">
                  <c:v>886.1313868613139</c:v>
                </c:pt>
                <c:pt idx="3">
                  <c:v>112.5984251968504</c:v>
                </c:pt>
                <c:pt idx="4">
                  <c:v>1840.1709401709402</c:v>
                </c:pt>
                <c:pt idx="5">
                  <c:v>1901.0309278350514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A5-4A3D-81F1-B3E00C2342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37</c:v>
                </c:pt>
                <c:pt idx="1">
                  <c:v>72</c:v>
                </c:pt>
                <c:pt idx="2">
                  <c:v>89</c:v>
                </c:pt>
                <c:pt idx="3">
                  <c:v>75</c:v>
                </c:pt>
                <c:pt idx="4">
                  <c:v>60</c:v>
                </c:pt>
                <c:pt idx="5">
                  <c:v>37</c:v>
                </c:pt>
                <c:pt idx="6">
                  <c:v>19</c:v>
                </c:pt>
                <c:pt idx="7">
                  <c:v>6</c:v>
                </c:pt>
                <c:pt idx="8">
                  <c:v>8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99-4663-A8AF-51CE2FA780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ただ!$K$2:$K$133</c:f>
              <c:numCache>
                <c:formatCode>General</c:formatCode>
                <c:ptCount val="1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</c:numCache>
            </c:numRef>
          </c:xVal>
          <c:yVal>
            <c:numRef>
              <c:f>ただ!$L$2:$L$133</c:f>
              <c:numCache>
                <c:formatCode>\+0.0;\-0.0;\±0</c:formatCode>
                <c:ptCount val="132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7C-4647-82F2-6306787480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-1524.6153846153845</c:v>
                </c:pt>
                <c:pt idx="1">
                  <c:v>1446.875</c:v>
                </c:pt>
                <c:pt idx="2">
                  <c:v>-262.39316239316241</c:v>
                </c:pt>
                <c:pt idx="3">
                  <c:v>327.92792792792795</c:v>
                </c:pt>
                <c:pt idx="4">
                  <c:v>-960.78431372549016</c:v>
                </c:pt>
                <c:pt idx="5">
                  <c:v>1518.3908045977012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AA-4162-A6D4-2429DC642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23</c:v>
                </c:pt>
                <c:pt idx="1">
                  <c:v>51</c:v>
                </c:pt>
                <c:pt idx="2">
                  <c:v>69</c:v>
                </c:pt>
                <c:pt idx="3">
                  <c:v>70</c:v>
                </c:pt>
                <c:pt idx="4">
                  <c:v>49</c:v>
                </c:pt>
                <c:pt idx="5">
                  <c:v>37</c:v>
                </c:pt>
                <c:pt idx="6">
                  <c:v>10</c:v>
                </c:pt>
                <c:pt idx="7">
                  <c:v>8</c:v>
                </c:pt>
                <c:pt idx="8">
                  <c:v>5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BA-473C-9946-C1DE8A8BD5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りくと!$K$2:$K$88</c:f>
              <c:numCache>
                <c:formatCode>General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りくと!$L$2:$L$88</c:f>
              <c:numCache>
                <c:formatCode>\+0.0;\-0.0;\±0</c:formatCode>
                <c:ptCount val="87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16-47AF-B37F-09F21151F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-564.70588235294122</c:v>
                </c:pt>
                <c:pt idx="1">
                  <c:v>-796.47058823529414</c:v>
                </c:pt>
                <c:pt idx="2">
                  <c:v>568.35443037974687</c:v>
                </c:pt>
                <c:pt idx="3">
                  <c:v>-274.35897435897436</c:v>
                </c:pt>
                <c:pt idx="4">
                  <c:v>-2947.2972972972975</c:v>
                </c:pt>
                <c:pt idx="5">
                  <c:v>-1339.0625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67-4942-923C-78BE7DC287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14</c:v>
                </c:pt>
                <c:pt idx="1">
                  <c:v>39</c:v>
                </c:pt>
                <c:pt idx="2">
                  <c:v>47</c:v>
                </c:pt>
                <c:pt idx="3">
                  <c:v>31</c:v>
                </c:pt>
                <c:pt idx="4">
                  <c:v>35</c:v>
                </c:pt>
                <c:pt idx="5">
                  <c:v>21</c:v>
                </c:pt>
                <c:pt idx="6">
                  <c:v>12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66-4259-AB5E-61990DE2CF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れんたろう!$K$2:$K$101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</c:numCache>
            </c:numRef>
          </c:xVal>
          <c:yVal>
            <c:numRef>
              <c:f>れんたろう!$L$2:$L$101</c:f>
              <c:numCache>
                <c:formatCode>\+0.0;\-0.0;\±0</c:formatCode>
                <c:ptCount val="100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21-4F4C-AA6F-5074DC715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1458.5858585858587</c:v>
                </c:pt>
                <c:pt idx="1">
                  <c:v>-1319.5876288659795</c:v>
                </c:pt>
                <c:pt idx="2">
                  <c:v>-392.04545454545456</c:v>
                </c:pt>
                <c:pt idx="3">
                  <c:v>2876.1904761904761</c:v>
                </c:pt>
                <c:pt idx="4">
                  <c:v>520</c:v>
                </c:pt>
                <c:pt idx="5">
                  <c:v>18.64406779661017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94-4896-8F81-AD328DBB6A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5</c:v>
                </c:pt>
                <c:pt idx="1">
                  <c:v>19</c:v>
                </c:pt>
                <c:pt idx="2">
                  <c:v>28</c:v>
                </c:pt>
                <c:pt idx="3">
                  <c:v>40</c:v>
                </c:pt>
                <c:pt idx="4">
                  <c:v>56</c:v>
                </c:pt>
                <c:pt idx="5">
                  <c:v>25</c:v>
                </c:pt>
                <c:pt idx="6">
                  <c:v>20</c:v>
                </c:pt>
                <c:pt idx="7">
                  <c:v>15</c:v>
                </c:pt>
                <c:pt idx="8">
                  <c:v>4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DE-418D-9AC6-2CB947580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まっつん!$K$2:$K$113</c:f>
              <c:numCache>
                <c:formatCode>General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まっつん!$L$2:$L$113</c:f>
              <c:numCache>
                <c:formatCode>\+0.0;\-0.0;\±0</c:formatCode>
                <c:ptCount val="112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7-4B8C-9A79-B9AAC1A7C3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442.34234234234236</c:v>
                </c:pt>
                <c:pt idx="1">
                  <c:v>332.40740740740739</c:v>
                </c:pt>
                <c:pt idx="2">
                  <c:v>658.82352941176475</c:v>
                </c:pt>
                <c:pt idx="3">
                  <c:v>98.924731182795696</c:v>
                </c:pt>
                <c:pt idx="4">
                  <c:v>-69.512195121951223</c:v>
                </c:pt>
                <c:pt idx="5">
                  <c:v>-801.42857142857144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C4-4B5A-8CDF-892CD5D1F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15</c:v>
                </c:pt>
                <c:pt idx="1">
                  <c:v>46</c:v>
                </c:pt>
                <c:pt idx="2">
                  <c:v>51</c:v>
                </c:pt>
                <c:pt idx="3">
                  <c:v>46</c:v>
                </c:pt>
                <c:pt idx="4">
                  <c:v>40</c:v>
                </c:pt>
                <c:pt idx="5">
                  <c:v>31</c:v>
                </c:pt>
                <c:pt idx="6">
                  <c:v>12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2F-43D3-BDA1-6C913AD6F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のり!$L$2:$L$50</c:f>
              <c:numCache>
                <c:formatCode>\+0.0;\-0.0;\±0</c:formatCode>
                <c:ptCount val="49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89-4685-9BA5-954D003CA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-2208.3333333333335</c:v>
                </c:pt>
                <c:pt idx="1">
                  <c:v>497.91666666666669</c:v>
                </c:pt>
                <c:pt idx="2">
                  <c:v>-1412.7659574468084</c:v>
                </c:pt>
                <c:pt idx="3">
                  <c:v>-3121.4285714285716</c:v>
                </c:pt>
                <c:pt idx="4">
                  <c:v>-1230</c:v>
                </c:pt>
                <c:pt idx="5">
                  <c:v>-2094.1176470588234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A6-48F7-840D-C9219320E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8</c:v>
                </c:pt>
                <c:pt idx="1">
                  <c:v>22</c:v>
                </c:pt>
                <c:pt idx="2">
                  <c:v>21</c:v>
                </c:pt>
                <c:pt idx="3">
                  <c:v>13</c:v>
                </c:pt>
                <c:pt idx="4">
                  <c:v>13</c:v>
                </c:pt>
                <c:pt idx="5">
                  <c:v>7</c:v>
                </c:pt>
                <c:pt idx="6">
                  <c:v>7</c:v>
                </c:pt>
                <c:pt idx="7">
                  <c:v>5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40-4C98-8AD9-9789242E8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ぱぱ!$L$2:$L$27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C-444A-B49C-04FC49A24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-3136</c:v>
                </c:pt>
                <c:pt idx="1">
                  <c:v>-1216</c:v>
                </c:pt>
                <c:pt idx="2">
                  <c:v>1454.1666666666667</c:v>
                </c:pt>
                <c:pt idx="3">
                  <c:v>-2866.6666666666665</c:v>
                </c:pt>
                <c:pt idx="4">
                  <c:v>4822.727272727273</c:v>
                </c:pt>
                <c:pt idx="5">
                  <c:v>711.11111111111109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F4-4336-8A9A-BA353C5959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10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32-423C-B20E-3850F504EF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7D-4BA9-B19C-C9DB91427F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CE-48F8-BA5E-8A12854F95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A5-4486-BDC5-6507FA805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71-486C-A6BC-7DA513A198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88-40E2-BFC1-CA7F3061BB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85-461E-8F32-72F4F743B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ともき!$L$2:$L$4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C1-416F-AA73-CF0DA93A2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-1600</c:v>
                </c:pt>
                <c:pt idx="1">
                  <c:v>500</c:v>
                </c:pt>
                <c:pt idx="2">
                  <c:v>-3350</c:v>
                </c:pt>
                <c:pt idx="3">
                  <c:v>4250</c:v>
                </c:pt>
                <c:pt idx="4">
                  <c:v>1250</c:v>
                </c:pt>
                <c:pt idx="5">
                  <c:v>7850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A3-42BE-BB81-9FC0B4AEB6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ともき!$B$32:$B$44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D5-4AEC-99E9-FEBC1C790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りくと2!$B$1:$B$2</c:f>
              <c:strCache>
                <c:ptCount val="2"/>
                <c:pt idx="0">
                  <c:v>りくと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りくと2!$A$3:$A$89</c:f>
              <c:numCache>
                <c:formatCode>0\ "回"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りくと2!$B$3:$B$89</c:f>
              <c:numCache>
                <c:formatCode>\+0.0;\-0.0;\±0</c:formatCode>
                <c:ptCount val="87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2632564145606011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りくと2!$C$1:$C$2</c:f>
              <c:strCache>
                <c:ptCount val="2"/>
                <c:pt idx="0">
                  <c:v>りくと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りくと2!$A$3:$A$89</c:f>
              <c:numCache>
                <c:formatCode>0\ "回"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りくと2!$C$3:$C$89</c:f>
              <c:numCache>
                <c:formatCode>\+0.0;\-0.0;\±0</c:formatCode>
                <c:ptCount val="87"/>
                <c:pt idx="1">
                  <c:v>-37.799999999999997</c:v>
                </c:pt>
                <c:pt idx="2">
                  <c:v>-15.049999999999999</c:v>
                </c:pt>
                <c:pt idx="3">
                  <c:v>-5.8666666666666663</c:v>
                </c:pt>
                <c:pt idx="4">
                  <c:v>-13.724999999999998</c:v>
                </c:pt>
                <c:pt idx="5">
                  <c:v>-6.7399999999999975</c:v>
                </c:pt>
                <c:pt idx="6">
                  <c:v>-9.5666666666666647</c:v>
                </c:pt>
                <c:pt idx="7">
                  <c:v>-5.6428571428571415</c:v>
                </c:pt>
                <c:pt idx="8">
                  <c:v>-7.8749999999999991</c:v>
                </c:pt>
                <c:pt idx="9">
                  <c:v>-8.2444444444444436</c:v>
                </c:pt>
                <c:pt idx="10">
                  <c:v>-11.719999999999999</c:v>
                </c:pt>
                <c:pt idx="11">
                  <c:v>-16.118181818181817</c:v>
                </c:pt>
                <c:pt idx="12">
                  <c:v>-13.216666666666667</c:v>
                </c:pt>
                <c:pt idx="13">
                  <c:v>-15.946153846153846</c:v>
                </c:pt>
                <c:pt idx="14">
                  <c:v>-14.62857142857143</c:v>
                </c:pt>
                <c:pt idx="15">
                  <c:v>-14.766666666666667</c:v>
                </c:pt>
                <c:pt idx="16">
                  <c:v>-14.018750000000001</c:v>
                </c:pt>
                <c:pt idx="17">
                  <c:v>-14.788235294117648</c:v>
                </c:pt>
                <c:pt idx="18">
                  <c:v>-13.333333333333334</c:v>
                </c:pt>
                <c:pt idx="19">
                  <c:v>-11.473684210526315</c:v>
                </c:pt>
                <c:pt idx="20">
                  <c:v>-8.879999999999999</c:v>
                </c:pt>
                <c:pt idx="21">
                  <c:v>-6.3476190476190482</c:v>
                </c:pt>
                <c:pt idx="22">
                  <c:v>-7.4818181818181833</c:v>
                </c:pt>
                <c:pt idx="23">
                  <c:v>-7.073913043478262</c:v>
                </c:pt>
                <c:pt idx="24">
                  <c:v>-6.7916666666666679</c:v>
                </c:pt>
                <c:pt idx="25">
                  <c:v>-7.4000000000000012</c:v>
                </c:pt>
                <c:pt idx="26">
                  <c:v>-7.1538461538461551</c:v>
                </c:pt>
                <c:pt idx="27">
                  <c:v>-6.0370370370370381</c:v>
                </c:pt>
                <c:pt idx="28">
                  <c:v>-6.4892857142857148</c:v>
                </c:pt>
                <c:pt idx="29">
                  <c:v>-5.5137931034482763</c:v>
                </c:pt>
                <c:pt idx="30">
                  <c:v>-5.8533333333333335</c:v>
                </c:pt>
                <c:pt idx="31">
                  <c:v>-6.8580645161290317</c:v>
                </c:pt>
                <c:pt idx="32">
                  <c:v>-7.65</c:v>
                </c:pt>
                <c:pt idx="33">
                  <c:v>-7.9181818181818189</c:v>
                </c:pt>
                <c:pt idx="34">
                  <c:v>-6.9647058823529413</c:v>
                </c:pt>
                <c:pt idx="35">
                  <c:v>-7.5600000000000005</c:v>
                </c:pt>
                <c:pt idx="36">
                  <c:v>-7.0055555555555564</c:v>
                </c:pt>
                <c:pt idx="37">
                  <c:v>-7.0540540540540544</c:v>
                </c:pt>
                <c:pt idx="38">
                  <c:v>-6.4578947368421051</c:v>
                </c:pt>
                <c:pt idx="39">
                  <c:v>-5.8205128205128203</c:v>
                </c:pt>
                <c:pt idx="40">
                  <c:v>-6.7099999999999991</c:v>
                </c:pt>
                <c:pt idx="41">
                  <c:v>-6.4487804878048776</c:v>
                </c:pt>
                <c:pt idx="42">
                  <c:v>-6.4023809523809518</c:v>
                </c:pt>
                <c:pt idx="43">
                  <c:v>-6.9627906976744178</c:v>
                </c:pt>
                <c:pt idx="44">
                  <c:v>-7.5159090909090907</c:v>
                </c:pt>
                <c:pt idx="45">
                  <c:v>-7.8466666666666658</c:v>
                </c:pt>
                <c:pt idx="46">
                  <c:v>-7.6478260869565204</c:v>
                </c:pt>
                <c:pt idx="47">
                  <c:v>-7.3659574468085092</c:v>
                </c:pt>
                <c:pt idx="48">
                  <c:v>-7.445833333333332</c:v>
                </c:pt>
                <c:pt idx="49">
                  <c:v>-8.2469387755102019</c:v>
                </c:pt>
                <c:pt idx="50">
                  <c:v>-8.0199999999999978</c:v>
                </c:pt>
                <c:pt idx="51">
                  <c:v>-8.1333333333333311</c:v>
                </c:pt>
                <c:pt idx="52">
                  <c:v>-7.7673076923076909</c:v>
                </c:pt>
                <c:pt idx="53">
                  <c:v>-7.2981132075471677</c:v>
                </c:pt>
                <c:pt idx="54">
                  <c:v>-8.1722222222222207</c:v>
                </c:pt>
                <c:pt idx="55">
                  <c:v>-7.2381818181818165</c:v>
                </c:pt>
                <c:pt idx="56">
                  <c:v>-7.0249999999999986</c:v>
                </c:pt>
                <c:pt idx="57">
                  <c:v>-6.6052631578947363</c:v>
                </c:pt>
                <c:pt idx="58">
                  <c:v>-6.4396551724137918</c:v>
                </c:pt>
                <c:pt idx="59">
                  <c:v>-6.7677966101694906</c:v>
                </c:pt>
                <c:pt idx="60">
                  <c:v>-7.4799999999999995</c:v>
                </c:pt>
                <c:pt idx="61">
                  <c:v>-7.4360655737704908</c:v>
                </c:pt>
                <c:pt idx="62">
                  <c:v>-8.0935483870967726</c:v>
                </c:pt>
                <c:pt idx="63">
                  <c:v>-7.2587301587301578</c:v>
                </c:pt>
                <c:pt idx="64">
                  <c:v>-6.5796874999999995</c:v>
                </c:pt>
                <c:pt idx="65">
                  <c:v>-7.1676923076923069</c:v>
                </c:pt>
                <c:pt idx="66">
                  <c:v>-6.6954545454545453</c:v>
                </c:pt>
                <c:pt idx="67">
                  <c:v>-7.1283582089552233</c:v>
                </c:pt>
                <c:pt idx="68">
                  <c:v>-7.019117647058823</c:v>
                </c:pt>
                <c:pt idx="69">
                  <c:v>-7.0565217391304342</c:v>
                </c:pt>
                <c:pt idx="70">
                  <c:v>-6.5428571428571427</c:v>
                </c:pt>
                <c:pt idx="71">
                  <c:v>-6.8281690140845068</c:v>
                </c:pt>
                <c:pt idx="72">
                  <c:v>-7.0333333333333341</c:v>
                </c:pt>
                <c:pt idx="73">
                  <c:v>-6.9219178082191783</c:v>
                </c:pt>
                <c:pt idx="74">
                  <c:v>-6.6270270270270277</c:v>
                </c:pt>
                <c:pt idx="75">
                  <c:v>-6.5306666666666668</c:v>
                </c:pt>
                <c:pt idx="76">
                  <c:v>-6.4907894736842104</c:v>
                </c:pt>
                <c:pt idx="77">
                  <c:v>-6.1545454545454552</c:v>
                </c:pt>
                <c:pt idx="78">
                  <c:v>-5.8884615384615389</c:v>
                </c:pt>
                <c:pt idx="79">
                  <c:v>-6.0962025316455701</c:v>
                </c:pt>
                <c:pt idx="80">
                  <c:v>-6.0825000000000005</c:v>
                </c:pt>
                <c:pt idx="81">
                  <c:v>-6.2246913580246916</c:v>
                </c:pt>
                <c:pt idx="82">
                  <c:v>-6.5524390243902451</c:v>
                </c:pt>
                <c:pt idx="83">
                  <c:v>-6.3192771084337362</c:v>
                </c:pt>
                <c:pt idx="84">
                  <c:v>-6.2500000000000018</c:v>
                </c:pt>
                <c:pt idx="85">
                  <c:v>-5.9917647058823542</c:v>
                </c:pt>
                <c:pt idx="86">
                  <c:v>-5.8151162790697688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5.89662021377676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りくと2!$D$1:$D$2</c:f>
              <c:strCache>
                <c:ptCount val="2"/>
                <c:pt idx="0">
                  <c:v>りくと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りくと2!$A$3:$A$89</c:f>
              <c:numCache>
                <c:formatCode>0\ "回"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りくと2!$D$3:$D$89</c:f>
              <c:numCache>
                <c:formatCode>0.00\ "位"</c:formatCode>
                <c:ptCount val="87"/>
                <c:pt idx="1">
                  <c:v>3</c:v>
                </c:pt>
                <c:pt idx="2">
                  <c:v>2.5</c:v>
                </c:pt>
                <c:pt idx="3">
                  <c:v>2.3333333333333335</c:v>
                </c:pt>
                <c:pt idx="4">
                  <c:v>2.5</c:v>
                </c:pt>
                <c:pt idx="5">
                  <c:v>2.2000000000000002</c:v>
                </c:pt>
                <c:pt idx="6">
                  <c:v>2.3333333333333335</c:v>
                </c:pt>
                <c:pt idx="7">
                  <c:v>2.2857142857142856</c:v>
                </c:pt>
                <c:pt idx="8">
                  <c:v>2.375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2.4545454545454546</c:v>
                </c:pt>
                <c:pt idx="12">
                  <c:v>2.4166666666666665</c:v>
                </c:pt>
                <c:pt idx="13">
                  <c:v>2.4615384615384617</c:v>
                </c:pt>
                <c:pt idx="14">
                  <c:v>2.4285714285714284</c:v>
                </c:pt>
                <c:pt idx="15">
                  <c:v>2.4666666666666668</c:v>
                </c:pt>
                <c:pt idx="16">
                  <c:v>2.4375</c:v>
                </c:pt>
                <c:pt idx="17">
                  <c:v>2.4705882352941178</c:v>
                </c:pt>
                <c:pt idx="18">
                  <c:v>2.4444444444444446</c:v>
                </c:pt>
                <c:pt idx="19">
                  <c:v>2.3684210526315788</c:v>
                </c:pt>
                <c:pt idx="20">
                  <c:v>2.2999999999999998</c:v>
                </c:pt>
                <c:pt idx="21">
                  <c:v>2.2380952380952381</c:v>
                </c:pt>
                <c:pt idx="22">
                  <c:v>2.2727272727272729</c:v>
                </c:pt>
                <c:pt idx="23">
                  <c:v>2.2608695652173911</c:v>
                </c:pt>
                <c:pt idx="24">
                  <c:v>2.25</c:v>
                </c:pt>
                <c:pt idx="25">
                  <c:v>2.2799999999999998</c:v>
                </c:pt>
                <c:pt idx="26">
                  <c:v>2.2692307692307692</c:v>
                </c:pt>
                <c:pt idx="27">
                  <c:v>2.2222222222222223</c:v>
                </c:pt>
                <c:pt idx="28">
                  <c:v>2.2142857142857144</c:v>
                </c:pt>
                <c:pt idx="29">
                  <c:v>2.1724137931034484</c:v>
                </c:pt>
                <c:pt idx="30">
                  <c:v>2.2000000000000002</c:v>
                </c:pt>
                <c:pt idx="31">
                  <c:v>2.225806451612903</c:v>
                </c:pt>
                <c:pt idx="32">
                  <c:v>2.25</c:v>
                </c:pt>
                <c:pt idx="33">
                  <c:v>2.2727272727272729</c:v>
                </c:pt>
                <c:pt idx="34">
                  <c:v>2.2352941176470589</c:v>
                </c:pt>
                <c:pt idx="35">
                  <c:v>2.2571428571428571</c:v>
                </c:pt>
                <c:pt idx="36">
                  <c:v>2.2222222222222223</c:v>
                </c:pt>
                <c:pt idx="37">
                  <c:v>2.2162162162162162</c:v>
                </c:pt>
                <c:pt idx="38">
                  <c:v>2.2105263157894739</c:v>
                </c:pt>
                <c:pt idx="39">
                  <c:v>2.1794871794871793</c:v>
                </c:pt>
                <c:pt idx="40">
                  <c:v>2.2000000000000002</c:v>
                </c:pt>
                <c:pt idx="41">
                  <c:v>2.1951219512195124</c:v>
                </c:pt>
                <c:pt idx="42">
                  <c:v>2.1904761904761907</c:v>
                </c:pt>
                <c:pt idx="43">
                  <c:v>2.2093023255813953</c:v>
                </c:pt>
                <c:pt idx="44">
                  <c:v>2.2272727272727271</c:v>
                </c:pt>
                <c:pt idx="45">
                  <c:v>2.2444444444444445</c:v>
                </c:pt>
                <c:pt idx="46">
                  <c:v>2.2391304347826089</c:v>
                </c:pt>
                <c:pt idx="47">
                  <c:v>2.2340425531914891</c:v>
                </c:pt>
                <c:pt idx="48">
                  <c:v>2.2291666666666665</c:v>
                </c:pt>
                <c:pt idx="49">
                  <c:v>2.2448979591836733</c:v>
                </c:pt>
                <c:pt idx="50">
                  <c:v>2.2400000000000002</c:v>
                </c:pt>
                <c:pt idx="51">
                  <c:v>2.2352941176470589</c:v>
                </c:pt>
                <c:pt idx="52">
                  <c:v>2.2307692307692308</c:v>
                </c:pt>
                <c:pt idx="53">
                  <c:v>2.2075471698113209</c:v>
                </c:pt>
                <c:pt idx="54">
                  <c:v>2.2222222222222223</c:v>
                </c:pt>
                <c:pt idx="55">
                  <c:v>2.2000000000000002</c:v>
                </c:pt>
                <c:pt idx="56">
                  <c:v>2.1964285714285716</c:v>
                </c:pt>
                <c:pt idx="57">
                  <c:v>2.1754385964912282</c:v>
                </c:pt>
                <c:pt idx="58">
                  <c:v>2.1724137931034484</c:v>
                </c:pt>
                <c:pt idx="59">
                  <c:v>2.1864406779661016</c:v>
                </c:pt>
                <c:pt idx="60">
                  <c:v>2.2000000000000002</c:v>
                </c:pt>
                <c:pt idx="61">
                  <c:v>2.1967213114754101</c:v>
                </c:pt>
                <c:pt idx="62">
                  <c:v>2.2096774193548385</c:v>
                </c:pt>
                <c:pt idx="63">
                  <c:v>2.1904761904761907</c:v>
                </c:pt>
                <c:pt idx="64">
                  <c:v>2.171875</c:v>
                </c:pt>
                <c:pt idx="65">
                  <c:v>2.1846153846153844</c:v>
                </c:pt>
                <c:pt idx="66">
                  <c:v>2.1666666666666665</c:v>
                </c:pt>
                <c:pt idx="67">
                  <c:v>2.1791044776119404</c:v>
                </c:pt>
                <c:pt idx="68">
                  <c:v>2.1764705882352939</c:v>
                </c:pt>
                <c:pt idx="69">
                  <c:v>2.1739130434782608</c:v>
                </c:pt>
                <c:pt idx="70">
                  <c:v>2.157142857142857</c:v>
                </c:pt>
                <c:pt idx="71">
                  <c:v>2.1690140845070425</c:v>
                </c:pt>
                <c:pt idx="72">
                  <c:v>2.1805555555555554</c:v>
                </c:pt>
                <c:pt idx="73">
                  <c:v>2.1780821917808217</c:v>
                </c:pt>
                <c:pt idx="74">
                  <c:v>2.1756756756756759</c:v>
                </c:pt>
                <c:pt idx="75">
                  <c:v>2.1733333333333333</c:v>
                </c:pt>
                <c:pt idx="76">
                  <c:v>2.1710526315789473</c:v>
                </c:pt>
                <c:pt idx="77">
                  <c:v>2.1558441558441559</c:v>
                </c:pt>
                <c:pt idx="78">
                  <c:v>2.1538461538461537</c:v>
                </c:pt>
                <c:pt idx="79">
                  <c:v>2.1645569620253164</c:v>
                </c:pt>
                <c:pt idx="80">
                  <c:v>2.1625000000000001</c:v>
                </c:pt>
                <c:pt idx="81">
                  <c:v>2.1728395061728394</c:v>
                </c:pt>
                <c:pt idx="82">
                  <c:v>2.1829268292682928</c:v>
                </c:pt>
                <c:pt idx="83">
                  <c:v>2.1686746987951806</c:v>
                </c:pt>
                <c:pt idx="84">
                  <c:v>2.1666666666666665</c:v>
                </c:pt>
                <c:pt idx="85">
                  <c:v>2.1529411764705881</c:v>
                </c:pt>
                <c:pt idx="86">
                  <c:v>2.1511627906976742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りくと2!$E$1:$E$2</c:f>
              <c:strCache>
                <c:ptCount val="2"/>
                <c:pt idx="0">
                  <c:v>りくと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りくと2!$A$3:$A$89</c:f>
              <c:numCache>
                <c:formatCode>0\ "回"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りくと2!$E$3:$E$89</c:f>
              <c:numCache>
                <c:formatCode>0.0%</c:formatCode>
                <c:ptCount val="8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0.10526315789473684</c:v>
                </c:pt>
                <c:pt idx="20">
                  <c:v>0.15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0.16666666666666666</c:v>
                </c:pt>
                <c:pt idx="25">
                  <c:v>0.16</c:v>
                </c:pt>
                <c:pt idx="26">
                  <c:v>0.15384615384615385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0.20689655172413793</c:v>
                </c:pt>
                <c:pt idx="30">
                  <c:v>0.2</c:v>
                </c:pt>
                <c:pt idx="31">
                  <c:v>0.19354838709677419</c:v>
                </c:pt>
                <c:pt idx="32">
                  <c:v>0.1875</c:v>
                </c:pt>
                <c:pt idx="33">
                  <c:v>0.18181818181818182</c:v>
                </c:pt>
                <c:pt idx="34">
                  <c:v>0.20588235294117646</c:v>
                </c:pt>
                <c:pt idx="35">
                  <c:v>0.2</c:v>
                </c:pt>
                <c:pt idx="36">
                  <c:v>0.22222222222222221</c:v>
                </c:pt>
                <c:pt idx="37">
                  <c:v>0.21621621621621623</c:v>
                </c:pt>
                <c:pt idx="38">
                  <c:v>0.21052631578947367</c:v>
                </c:pt>
                <c:pt idx="39">
                  <c:v>0.23076923076923078</c:v>
                </c:pt>
                <c:pt idx="40">
                  <c:v>0.22500000000000001</c:v>
                </c:pt>
                <c:pt idx="41">
                  <c:v>0.21951219512195122</c:v>
                </c:pt>
                <c:pt idx="42">
                  <c:v>0.21428571428571427</c:v>
                </c:pt>
                <c:pt idx="43">
                  <c:v>0.20930232558139536</c:v>
                </c:pt>
                <c:pt idx="44">
                  <c:v>0.20454545454545456</c:v>
                </c:pt>
                <c:pt idx="45">
                  <c:v>0.2</c:v>
                </c:pt>
                <c:pt idx="46">
                  <c:v>0.19565217391304349</c:v>
                </c:pt>
                <c:pt idx="47">
                  <c:v>0.19148936170212766</c:v>
                </c:pt>
                <c:pt idx="48">
                  <c:v>0.1875</c:v>
                </c:pt>
                <c:pt idx="49">
                  <c:v>0.18367346938775511</c:v>
                </c:pt>
                <c:pt idx="50">
                  <c:v>0.18</c:v>
                </c:pt>
                <c:pt idx="51">
                  <c:v>0.17647058823529413</c:v>
                </c:pt>
                <c:pt idx="52">
                  <c:v>0.17307692307692307</c:v>
                </c:pt>
                <c:pt idx="53">
                  <c:v>0.18867924528301888</c:v>
                </c:pt>
                <c:pt idx="54">
                  <c:v>0.18518518518518517</c:v>
                </c:pt>
                <c:pt idx="55">
                  <c:v>0.2</c:v>
                </c:pt>
                <c:pt idx="56">
                  <c:v>0.19642857142857142</c:v>
                </c:pt>
                <c:pt idx="57">
                  <c:v>0.21052631578947367</c:v>
                </c:pt>
                <c:pt idx="58">
                  <c:v>0.20689655172413793</c:v>
                </c:pt>
                <c:pt idx="59">
                  <c:v>0.20338983050847459</c:v>
                </c:pt>
                <c:pt idx="60">
                  <c:v>0.2</c:v>
                </c:pt>
                <c:pt idx="61">
                  <c:v>0.19672131147540983</c:v>
                </c:pt>
                <c:pt idx="62">
                  <c:v>0.19354838709677419</c:v>
                </c:pt>
                <c:pt idx="63">
                  <c:v>0.20634920634920634</c:v>
                </c:pt>
                <c:pt idx="64">
                  <c:v>0.21875</c:v>
                </c:pt>
                <c:pt idx="65">
                  <c:v>0.2153846153846154</c:v>
                </c:pt>
                <c:pt idx="66">
                  <c:v>0.22727272727272727</c:v>
                </c:pt>
                <c:pt idx="67">
                  <c:v>0.22388059701492538</c:v>
                </c:pt>
                <c:pt idx="68">
                  <c:v>0.22058823529411764</c:v>
                </c:pt>
                <c:pt idx="69">
                  <c:v>0.21739130434782608</c:v>
                </c:pt>
                <c:pt idx="70">
                  <c:v>0.22857142857142856</c:v>
                </c:pt>
                <c:pt idx="71">
                  <c:v>0.22535211267605634</c:v>
                </c:pt>
                <c:pt idx="72">
                  <c:v>0.22222222222222221</c:v>
                </c:pt>
                <c:pt idx="73">
                  <c:v>0.21917808219178081</c:v>
                </c:pt>
                <c:pt idx="74">
                  <c:v>0.21621621621621623</c:v>
                </c:pt>
                <c:pt idx="75">
                  <c:v>0.21333333333333335</c:v>
                </c:pt>
                <c:pt idx="76">
                  <c:v>0.21052631578947367</c:v>
                </c:pt>
                <c:pt idx="77">
                  <c:v>0.22077922077922077</c:v>
                </c:pt>
                <c:pt idx="78">
                  <c:v>0.21794871794871795</c:v>
                </c:pt>
                <c:pt idx="79">
                  <c:v>0.21518987341772153</c:v>
                </c:pt>
                <c:pt idx="80">
                  <c:v>0.21249999999999999</c:v>
                </c:pt>
                <c:pt idx="81">
                  <c:v>0.20987654320987653</c:v>
                </c:pt>
                <c:pt idx="82">
                  <c:v>0.2073170731707317</c:v>
                </c:pt>
                <c:pt idx="83">
                  <c:v>0.21686746987951808</c:v>
                </c:pt>
                <c:pt idx="84">
                  <c:v>0.21428571428571427</c:v>
                </c:pt>
                <c:pt idx="85">
                  <c:v>0.22352941176470589</c:v>
                </c:pt>
                <c:pt idx="86">
                  <c:v>0.22093023255813954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りくと2!$F$1:$F$2</c:f>
              <c:strCache>
                <c:ptCount val="2"/>
                <c:pt idx="0">
                  <c:v>りくと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りくと2!$A$3:$A$89</c:f>
              <c:numCache>
                <c:formatCode>0\ "回"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りくと2!$F$3:$F$89</c:f>
              <c:numCache>
                <c:formatCode>0.0%</c:formatCode>
                <c:ptCount val="87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0.42857142857142855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0.53846153846153844</c:v>
                </c:pt>
                <c:pt idx="14">
                  <c:v>0.5</c:v>
                </c:pt>
                <c:pt idx="15">
                  <c:v>0.53333333333333333</c:v>
                </c:pt>
                <c:pt idx="16">
                  <c:v>0.5</c:v>
                </c:pt>
                <c:pt idx="17">
                  <c:v>0.52941176470588236</c:v>
                </c:pt>
                <c:pt idx="18">
                  <c:v>0.5</c:v>
                </c:pt>
                <c:pt idx="19">
                  <c:v>0.47368421052631576</c:v>
                </c:pt>
                <c:pt idx="20">
                  <c:v>0.45</c:v>
                </c:pt>
                <c:pt idx="21">
                  <c:v>0.42857142857142855</c:v>
                </c:pt>
                <c:pt idx="22">
                  <c:v>0.45454545454545453</c:v>
                </c:pt>
                <c:pt idx="23">
                  <c:v>0.43478260869565216</c:v>
                </c:pt>
                <c:pt idx="24">
                  <c:v>0.41666666666666669</c:v>
                </c:pt>
                <c:pt idx="25">
                  <c:v>0.44</c:v>
                </c:pt>
                <c:pt idx="26">
                  <c:v>0.42307692307692307</c:v>
                </c:pt>
                <c:pt idx="27">
                  <c:v>0.40740740740740738</c:v>
                </c:pt>
                <c:pt idx="28">
                  <c:v>0.39285714285714285</c:v>
                </c:pt>
                <c:pt idx="29">
                  <c:v>0.37931034482758619</c:v>
                </c:pt>
                <c:pt idx="30">
                  <c:v>0.4</c:v>
                </c:pt>
                <c:pt idx="31">
                  <c:v>0.41935483870967744</c:v>
                </c:pt>
                <c:pt idx="32">
                  <c:v>0.4375</c:v>
                </c:pt>
                <c:pt idx="33">
                  <c:v>0.45454545454545453</c:v>
                </c:pt>
                <c:pt idx="34">
                  <c:v>0.44117647058823528</c:v>
                </c:pt>
                <c:pt idx="35">
                  <c:v>0.45714285714285713</c:v>
                </c:pt>
                <c:pt idx="36">
                  <c:v>0.44444444444444442</c:v>
                </c:pt>
                <c:pt idx="37">
                  <c:v>0.43243243243243246</c:v>
                </c:pt>
                <c:pt idx="38">
                  <c:v>0.42105263157894735</c:v>
                </c:pt>
                <c:pt idx="39">
                  <c:v>0.41025641025641024</c:v>
                </c:pt>
                <c:pt idx="40">
                  <c:v>0.42499999999999999</c:v>
                </c:pt>
                <c:pt idx="41">
                  <c:v>0.41463414634146339</c:v>
                </c:pt>
                <c:pt idx="42">
                  <c:v>0.40476190476190477</c:v>
                </c:pt>
                <c:pt idx="43">
                  <c:v>0.41860465116279072</c:v>
                </c:pt>
                <c:pt idx="44">
                  <c:v>0.43181818181818182</c:v>
                </c:pt>
                <c:pt idx="45">
                  <c:v>0.44444444444444442</c:v>
                </c:pt>
                <c:pt idx="46">
                  <c:v>0.43478260869565216</c:v>
                </c:pt>
                <c:pt idx="47">
                  <c:v>0.42553191489361702</c:v>
                </c:pt>
                <c:pt idx="48">
                  <c:v>0.41666666666666669</c:v>
                </c:pt>
                <c:pt idx="49">
                  <c:v>0.42857142857142855</c:v>
                </c:pt>
                <c:pt idx="50">
                  <c:v>0.42</c:v>
                </c:pt>
                <c:pt idx="51">
                  <c:v>0.41176470588235292</c:v>
                </c:pt>
                <c:pt idx="52">
                  <c:v>0.40384615384615385</c:v>
                </c:pt>
                <c:pt idx="53">
                  <c:v>0.39622641509433965</c:v>
                </c:pt>
                <c:pt idx="54">
                  <c:v>0.40740740740740738</c:v>
                </c:pt>
                <c:pt idx="55">
                  <c:v>0.4</c:v>
                </c:pt>
                <c:pt idx="56">
                  <c:v>0.39285714285714285</c:v>
                </c:pt>
                <c:pt idx="57">
                  <c:v>0.38596491228070173</c:v>
                </c:pt>
                <c:pt idx="58">
                  <c:v>0.37931034482758619</c:v>
                </c:pt>
                <c:pt idx="59">
                  <c:v>0.38983050847457629</c:v>
                </c:pt>
                <c:pt idx="60">
                  <c:v>0.4</c:v>
                </c:pt>
                <c:pt idx="61">
                  <c:v>0.39344262295081966</c:v>
                </c:pt>
                <c:pt idx="62">
                  <c:v>0.40322580645161288</c:v>
                </c:pt>
                <c:pt idx="63">
                  <c:v>0.3968253968253968</c:v>
                </c:pt>
                <c:pt idx="64">
                  <c:v>0.390625</c:v>
                </c:pt>
                <c:pt idx="65">
                  <c:v>0.4</c:v>
                </c:pt>
                <c:pt idx="66">
                  <c:v>0.39393939393939392</c:v>
                </c:pt>
                <c:pt idx="67">
                  <c:v>0.40298507462686567</c:v>
                </c:pt>
                <c:pt idx="68">
                  <c:v>0.39705882352941174</c:v>
                </c:pt>
                <c:pt idx="69">
                  <c:v>0.39130434782608697</c:v>
                </c:pt>
                <c:pt idx="70">
                  <c:v>0.38571428571428573</c:v>
                </c:pt>
                <c:pt idx="71">
                  <c:v>0.39436619718309857</c:v>
                </c:pt>
                <c:pt idx="72">
                  <c:v>0.40277777777777779</c:v>
                </c:pt>
                <c:pt idx="73">
                  <c:v>0.39726027397260272</c:v>
                </c:pt>
                <c:pt idx="74">
                  <c:v>0.39189189189189189</c:v>
                </c:pt>
                <c:pt idx="75">
                  <c:v>0.38666666666666666</c:v>
                </c:pt>
                <c:pt idx="76">
                  <c:v>0.38157894736842107</c:v>
                </c:pt>
                <c:pt idx="77">
                  <c:v>0.37662337662337664</c:v>
                </c:pt>
                <c:pt idx="78">
                  <c:v>0.37179487179487181</c:v>
                </c:pt>
                <c:pt idx="79">
                  <c:v>0.379746835443038</c:v>
                </c:pt>
                <c:pt idx="80">
                  <c:v>0.375</c:v>
                </c:pt>
                <c:pt idx="81">
                  <c:v>0.38271604938271603</c:v>
                </c:pt>
                <c:pt idx="82">
                  <c:v>0.3902439024390244</c:v>
                </c:pt>
                <c:pt idx="83">
                  <c:v>0.38554216867469882</c:v>
                </c:pt>
                <c:pt idx="84">
                  <c:v>0.38095238095238093</c:v>
                </c:pt>
                <c:pt idx="85">
                  <c:v>0.37647058823529411</c:v>
                </c:pt>
                <c:pt idx="86">
                  <c:v>0.37209302325581395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りくと2!$G$1:$G$2</c:f>
              <c:strCache>
                <c:ptCount val="2"/>
                <c:pt idx="0">
                  <c:v>りくと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りくと2!$A$3:$A$89</c:f>
              <c:numCache>
                <c:formatCode>0\ "回"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りくと2!$G$3:$G$89</c:f>
              <c:numCache>
                <c:formatCode>0.0%</c:formatCode>
                <c:ptCount val="87"/>
                <c:pt idx="1">
                  <c:v>9.0909090909090912E-2</c:v>
                </c:pt>
                <c:pt idx="2">
                  <c:v>0.21052631578947367</c:v>
                </c:pt>
                <c:pt idx="3">
                  <c:v>0.26666666666666666</c:v>
                </c:pt>
                <c:pt idx="4">
                  <c:v>0.28205128205128205</c:v>
                </c:pt>
                <c:pt idx="5">
                  <c:v>0.30612244897959184</c:v>
                </c:pt>
                <c:pt idx="6">
                  <c:v>0.2982456140350877</c:v>
                </c:pt>
                <c:pt idx="7">
                  <c:v>0.29850746268656714</c:v>
                </c:pt>
                <c:pt idx="8">
                  <c:v>0.26315789473684209</c:v>
                </c:pt>
                <c:pt idx="9">
                  <c:v>0.27058823529411763</c:v>
                </c:pt>
                <c:pt idx="10">
                  <c:v>0.23958333333333334</c:v>
                </c:pt>
                <c:pt idx="11">
                  <c:v>0.23</c:v>
                </c:pt>
                <c:pt idx="12">
                  <c:v>0.23636363636363636</c:v>
                </c:pt>
                <c:pt idx="13">
                  <c:v>0.23529411764705882</c:v>
                </c:pt>
                <c:pt idx="14">
                  <c:v>0.2421875</c:v>
                </c:pt>
                <c:pt idx="15">
                  <c:v>0.25362318840579712</c:v>
                </c:pt>
                <c:pt idx="16">
                  <c:v>0.26666666666666666</c:v>
                </c:pt>
                <c:pt idx="17">
                  <c:v>0.25477707006369427</c:v>
                </c:pt>
                <c:pt idx="18">
                  <c:v>0.26347305389221559</c:v>
                </c:pt>
                <c:pt idx="19">
                  <c:v>0.2768361581920904</c:v>
                </c:pt>
                <c:pt idx="20">
                  <c:v>0.28176795580110497</c:v>
                </c:pt>
                <c:pt idx="21">
                  <c:v>0.29411764705882354</c:v>
                </c:pt>
                <c:pt idx="22">
                  <c:v>0.28717948717948716</c:v>
                </c:pt>
                <c:pt idx="23">
                  <c:v>0.29207920792079206</c:v>
                </c:pt>
                <c:pt idx="24">
                  <c:v>0.29523809523809524</c:v>
                </c:pt>
                <c:pt idx="25">
                  <c:v>0.29357798165137616</c:v>
                </c:pt>
                <c:pt idx="26">
                  <c:v>0.28444444444444444</c:v>
                </c:pt>
                <c:pt idx="27">
                  <c:v>0.28755364806866951</c:v>
                </c:pt>
                <c:pt idx="28">
                  <c:v>0.2863070539419087</c:v>
                </c:pt>
                <c:pt idx="29">
                  <c:v>0.28629032258064518</c:v>
                </c:pt>
                <c:pt idx="30">
                  <c:v>0.28515625</c:v>
                </c:pt>
                <c:pt idx="31">
                  <c:v>0.28464419475655428</c:v>
                </c:pt>
                <c:pt idx="32">
                  <c:v>0.28260869565217389</c:v>
                </c:pt>
                <c:pt idx="33">
                  <c:v>0.28521126760563381</c:v>
                </c:pt>
                <c:pt idx="34">
                  <c:v>0.28474576271186441</c:v>
                </c:pt>
                <c:pt idx="35">
                  <c:v>0.2814569536423841</c:v>
                </c:pt>
                <c:pt idx="36">
                  <c:v>0.28064516129032258</c:v>
                </c:pt>
                <c:pt idx="37">
                  <c:v>0.27936507936507937</c:v>
                </c:pt>
                <c:pt idx="38">
                  <c:v>0.28048780487804881</c:v>
                </c:pt>
                <c:pt idx="39">
                  <c:v>0.28106508875739644</c:v>
                </c:pt>
                <c:pt idx="40">
                  <c:v>0.2857142857142857</c:v>
                </c:pt>
                <c:pt idx="41">
                  <c:v>0.28491620111731841</c:v>
                </c:pt>
                <c:pt idx="42">
                  <c:v>0.28415300546448086</c:v>
                </c:pt>
                <c:pt idx="43">
                  <c:v>0.28000000000000003</c:v>
                </c:pt>
                <c:pt idx="44">
                  <c:v>0.27676240208877284</c:v>
                </c:pt>
                <c:pt idx="45">
                  <c:v>0.27763496143958871</c:v>
                </c:pt>
                <c:pt idx="46">
                  <c:v>0.27848101265822783</c:v>
                </c:pt>
                <c:pt idx="47">
                  <c:v>0.28179551122194513</c:v>
                </c:pt>
                <c:pt idx="48">
                  <c:v>0.28398058252427183</c:v>
                </c:pt>
                <c:pt idx="49">
                  <c:v>0.28199052132701424</c:v>
                </c:pt>
                <c:pt idx="50">
                  <c:v>0.28037383177570091</c:v>
                </c:pt>
                <c:pt idx="51">
                  <c:v>0.27816091954022987</c:v>
                </c:pt>
                <c:pt idx="52">
                  <c:v>0.27740492170022374</c:v>
                </c:pt>
                <c:pt idx="53">
                  <c:v>0.27912087912087913</c:v>
                </c:pt>
                <c:pt idx="54">
                  <c:v>0.27668845315904139</c:v>
                </c:pt>
                <c:pt idx="55">
                  <c:v>0.2817204301075269</c:v>
                </c:pt>
                <c:pt idx="56">
                  <c:v>0.28059071729957807</c:v>
                </c:pt>
                <c:pt idx="57">
                  <c:v>0.28333333333333333</c:v>
                </c:pt>
                <c:pt idx="58">
                  <c:v>0.2822085889570552</c:v>
                </c:pt>
                <c:pt idx="59">
                  <c:v>0.28225806451612906</c:v>
                </c:pt>
                <c:pt idx="60">
                  <c:v>0.2788844621513944</c:v>
                </c:pt>
                <c:pt idx="61">
                  <c:v>0.27906976744186046</c:v>
                </c:pt>
                <c:pt idx="62">
                  <c:v>0.2774566473988439</c:v>
                </c:pt>
                <c:pt idx="63">
                  <c:v>0.28030303030303028</c:v>
                </c:pt>
                <c:pt idx="64">
                  <c:v>0.28044280442804426</c:v>
                </c:pt>
                <c:pt idx="65">
                  <c:v>0.27767695099818512</c:v>
                </c:pt>
                <c:pt idx="66">
                  <c:v>0.28163992869875221</c:v>
                </c:pt>
                <c:pt idx="67">
                  <c:v>0.28097731239092494</c:v>
                </c:pt>
                <c:pt idx="68">
                  <c:v>0.2817391304347826</c:v>
                </c:pt>
                <c:pt idx="69">
                  <c:v>0.28006872852233677</c:v>
                </c:pt>
                <c:pt idx="70">
                  <c:v>0.2799325463743676</c:v>
                </c:pt>
                <c:pt idx="71">
                  <c:v>0.27860696517412936</c:v>
                </c:pt>
                <c:pt idx="72">
                  <c:v>0.27659574468085107</c:v>
                </c:pt>
                <c:pt idx="73">
                  <c:v>0.27741935483870966</c:v>
                </c:pt>
                <c:pt idx="74">
                  <c:v>0.27892234548335976</c:v>
                </c:pt>
                <c:pt idx="75">
                  <c:v>0.27899686520376177</c:v>
                </c:pt>
                <c:pt idx="76">
                  <c:v>0.2806201550387597</c:v>
                </c:pt>
                <c:pt idx="77">
                  <c:v>0.28134556574923547</c:v>
                </c:pt>
                <c:pt idx="78">
                  <c:v>0.28120300751879701</c:v>
                </c:pt>
                <c:pt idx="79">
                  <c:v>0.28125</c:v>
                </c:pt>
                <c:pt idx="80">
                  <c:v>0.28046989720998533</c:v>
                </c:pt>
                <c:pt idx="81">
                  <c:v>0.28075253256150506</c:v>
                </c:pt>
                <c:pt idx="82">
                  <c:v>0.27936962750716332</c:v>
                </c:pt>
                <c:pt idx="83">
                  <c:v>0.28125</c:v>
                </c:pt>
                <c:pt idx="84">
                  <c:v>0.2808988764044944</c:v>
                </c:pt>
                <c:pt idx="85">
                  <c:v>0.28294036061026351</c:v>
                </c:pt>
                <c:pt idx="86">
                  <c:v>0.28335625859697389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8909968380762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りくと2!$H$1:$H$2</c:f>
              <c:strCache>
                <c:ptCount val="2"/>
                <c:pt idx="0">
                  <c:v>りくと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りくと2!$A$3:$A$89</c:f>
              <c:numCache>
                <c:formatCode>0\ "回"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りくと2!$H$3:$H$89</c:f>
              <c:numCache>
                <c:formatCode>0.0%</c:formatCode>
                <c:ptCount val="87"/>
                <c:pt idx="1">
                  <c:v>0.18181818181818182</c:v>
                </c:pt>
                <c:pt idx="2">
                  <c:v>0.15789473684210525</c:v>
                </c:pt>
                <c:pt idx="3">
                  <c:v>0.2</c:v>
                </c:pt>
                <c:pt idx="4">
                  <c:v>0.20512820512820512</c:v>
                </c:pt>
                <c:pt idx="5">
                  <c:v>0.22448979591836735</c:v>
                </c:pt>
                <c:pt idx="6">
                  <c:v>0.22807017543859648</c:v>
                </c:pt>
                <c:pt idx="7">
                  <c:v>0.20895522388059701</c:v>
                </c:pt>
                <c:pt idx="8">
                  <c:v>0.21052631578947367</c:v>
                </c:pt>
                <c:pt idx="9">
                  <c:v>0.21176470588235294</c:v>
                </c:pt>
                <c:pt idx="10">
                  <c:v>0.22916666666666666</c:v>
                </c:pt>
                <c:pt idx="11">
                  <c:v>0.25</c:v>
                </c:pt>
                <c:pt idx="12">
                  <c:v>0.23636363636363636</c:v>
                </c:pt>
                <c:pt idx="13">
                  <c:v>0.24369747899159663</c:v>
                </c:pt>
                <c:pt idx="14">
                  <c:v>0.25</c:v>
                </c:pt>
                <c:pt idx="15">
                  <c:v>0.24637681159420291</c:v>
                </c:pt>
                <c:pt idx="16">
                  <c:v>0.23333333333333334</c:v>
                </c:pt>
                <c:pt idx="17">
                  <c:v>0.24203821656050956</c:v>
                </c:pt>
                <c:pt idx="18">
                  <c:v>0.22754491017964071</c:v>
                </c:pt>
                <c:pt idx="19">
                  <c:v>0.22033898305084745</c:v>
                </c:pt>
                <c:pt idx="20">
                  <c:v>0.21546961325966851</c:v>
                </c:pt>
                <c:pt idx="21">
                  <c:v>0.21390374331550802</c:v>
                </c:pt>
                <c:pt idx="22">
                  <c:v>0.21025641025641026</c:v>
                </c:pt>
                <c:pt idx="23">
                  <c:v>0.20297029702970298</c:v>
                </c:pt>
                <c:pt idx="24">
                  <c:v>0.19523809523809524</c:v>
                </c:pt>
                <c:pt idx="25">
                  <c:v>0.20183486238532111</c:v>
                </c:pt>
                <c:pt idx="26">
                  <c:v>0.19555555555555557</c:v>
                </c:pt>
                <c:pt idx="27">
                  <c:v>0.19313304721030042</c:v>
                </c:pt>
                <c:pt idx="28">
                  <c:v>0.1908713692946058</c:v>
                </c:pt>
                <c:pt idx="29">
                  <c:v>0.18951612903225806</c:v>
                </c:pt>
                <c:pt idx="30">
                  <c:v>0.19140625</c:v>
                </c:pt>
                <c:pt idx="31">
                  <c:v>0.19850187265917604</c:v>
                </c:pt>
                <c:pt idx="32">
                  <c:v>0.19565217391304349</c:v>
                </c:pt>
                <c:pt idx="33">
                  <c:v>0.19366197183098591</c:v>
                </c:pt>
                <c:pt idx="34">
                  <c:v>0.19661016949152543</c:v>
                </c:pt>
                <c:pt idx="35">
                  <c:v>0.19536423841059603</c:v>
                </c:pt>
                <c:pt idx="36">
                  <c:v>0.20322580645161289</c:v>
                </c:pt>
                <c:pt idx="37">
                  <c:v>0.2</c:v>
                </c:pt>
                <c:pt idx="38">
                  <c:v>0.19817073170731708</c:v>
                </c:pt>
                <c:pt idx="39">
                  <c:v>0.19526627218934911</c:v>
                </c:pt>
                <c:pt idx="40">
                  <c:v>0.19714285714285715</c:v>
                </c:pt>
                <c:pt idx="41">
                  <c:v>0.19553072625698323</c:v>
                </c:pt>
                <c:pt idx="42">
                  <c:v>0.19672131147540983</c:v>
                </c:pt>
                <c:pt idx="43">
                  <c:v>0.19733333333333333</c:v>
                </c:pt>
                <c:pt idx="44">
                  <c:v>0.20104438642297651</c:v>
                </c:pt>
                <c:pt idx="45">
                  <c:v>0.20308483290488433</c:v>
                </c:pt>
                <c:pt idx="46">
                  <c:v>0.20506329113924052</c:v>
                </c:pt>
                <c:pt idx="47">
                  <c:v>0.20448877805486285</c:v>
                </c:pt>
                <c:pt idx="48">
                  <c:v>0.20631067961165048</c:v>
                </c:pt>
                <c:pt idx="49">
                  <c:v>0.20853080568720378</c:v>
                </c:pt>
                <c:pt idx="50">
                  <c:v>0.20794392523364486</c:v>
                </c:pt>
                <c:pt idx="51">
                  <c:v>0.2045977011494253</c:v>
                </c:pt>
                <c:pt idx="52">
                  <c:v>0.20805369127516779</c:v>
                </c:pt>
                <c:pt idx="53">
                  <c:v>0.20659340659340658</c:v>
                </c:pt>
                <c:pt idx="54">
                  <c:v>0.20915032679738563</c:v>
                </c:pt>
                <c:pt idx="55">
                  <c:v>0.20645161290322581</c:v>
                </c:pt>
                <c:pt idx="56">
                  <c:v>0.20886075949367089</c:v>
                </c:pt>
                <c:pt idx="57">
                  <c:v>0.20833333333333334</c:v>
                </c:pt>
                <c:pt idx="58">
                  <c:v>0.20654396728016361</c:v>
                </c:pt>
                <c:pt idx="59">
                  <c:v>0.20766129032258066</c:v>
                </c:pt>
                <c:pt idx="60">
                  <c:v>0.21115537848605578</c:v>
                </c:pt>
                <c:pt idx="61">
                  <c:v>0.21124031007751937</c:v>
                </c:pt>
                <c:pt idx="62">
                  <c:v>0.2119460500963391</c:v>
                </c:pt>
                <c:pt idx="63">
                  <c:v>0.20833333333333334</c:v>
                </c:pt>
                <c:pt idx="64">
                  <c:v>0.20664206642066421</c:v>
                </c:pt>
                <c:pt idx="65">
                  <c:v>0.20689655172413793</c:v>
                </c:pt>
                <c:pt idx="66">
                  <c:v>0.20320855614973263</c:v>
                </c:pt>
                <c:pt idx="67">
                  <c:v>0.20418848167539266</c:v>
                </c:pt>
                <c:pt idx="68">
                  <c:v>0.20347826086956522</c:v>
                </c:pt>
                <c:pt idx="69">
                  <c:v>0.20103092783505155</c:v>
                </c:pt>
                <c:pt idx="70">
                  <c:v>0.20067453625632378</c:v>
                </c:pt>
                <c:pt idx="71">
                  <c:v>0.20232172470978441</c:v>
                </c:pt>
                <c:pt idx="72">
                  <c:v>0.20294599018003273</c:v>
                </c:pt>
                <c:pt idx="73">
                  <c:v>0.20161290322580644</c:v>
                </c:pt>
                <c:pt idx="74">
                  <c:v>0.19968304278922344</c:v>
                </c:pt>
                <c:pt idx="75">
                  <c:v>0.19749216300940439</c:v>
                </c:pt>
                <c:pt idx="76">
                  <c:v>0.19689922480620156</c:v>
                </c:pt>
                <c:pt idx="77">
                  <c:v>0.19571865443425077</c:v>
                </c:pt>
                <c:pt idx="78">
                  <c:v>0.19398496240601504</c:v>
                </c:pt>
                <c:pt idx="79">
                  <c:v>0.19196428571428573</c:v>
                </c:pt>
                <c:pt idx="80">
                  <c:v>0.1894273127753304</c:v>
                </c:pt>
                <c:pt idx="81">
                  <c:v>0.19102749638205499</c:v>
                </c:pt>
                <c:pt idx="82">
                  <c:v>0.19054441260744986</c:v>
                </c:pt>
                <c:pt idx="83">
                  <c:v>0.19034090909090909</c:v>
                </c:pt>
                <c:pt idx="84">
                  <c:v>0.19101123595505617</c:v>
                </c:pt>
                <c:pt idx="85">
                  <c:v>0.19001386962552011</c:v>
                </c:pt>
                <c:pt idx="86">
                  <c:v>0.18844566712517194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5879514062240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りくと2!$I$1:$I$2</c:f>
              <c:strCache>
                <c:ptCount val="2"/>
                <c:pt idx="0">
                  <c:v>りくと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りくと2!$A$3:$A$89</c:f>
              <c:numCache>
                <c:formatCode>0\ "回"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りくと2!$I$3:$I$89</c:f>
              <c:numCache>
                <c:formatCode>0</c:formatCode>
                <c:ptCount val="87"/>
                <c:pt idx="1">
                  <c:v>2100</c:v>
                </c:pt>
                <c:pt idx="2">
                  <c:v>4750</c:v>
                </c:pt>
                <c:pt idx="3">
                  <c:v>5262.5</c:v>
                </c:pt>
                <c:pt idx="4">
                  <c:v>5290.909090909091</c:v>
                </c:pt>
                <c:pt idx="5">
                  <c:v>6226.666666666667</c:v>
                </c:pt>
                <c:pt idx="6">
                  <c:v>6670.588235294118</c:v>
                </c:pt>
                <c:pt idx="7">
                  <c:v>7750</c:v>
                </c:pt>
                <c:pt idx="8">
                  <c:v>7750</c:v>
                </c:pt>
                <c:pt idx="9">
                  <c:v>7686.95652173913</c:v>
                </c:pt>
                <c:pt idx="10">
                  <c:v>7686.95652173913</c:v>
                </c:pt>
                <c:pt idx="11">
                  <c:v>7686.95652173913</c:v>
                </c:pt>
                <c:pt idx="12">
                  <c:v>7769.2307692307695</c:v>
                </c:pt>
                <c:pt idx="13">
                  <c:v>7928.5714285714284</c:v>
                </c:pt>
                <c:pt idx="14">
                  <c:v>8000</c:v>
                </c:pt>
                <c:pt idx="15">
                  <c:v>7902.8571428571431</c:v>
                </c:pt>
                <c:pt idx="16">
                  <c:v>7385</c:v>
                </c:pt>
                <c:pt idx="17">
                  <c:v>7385</c:v>
                </c:pt>
                <c:pt idx="18">
                  <c:v>7393.181818181818</c:v>
                </c:pt>
                <c:pt idx="19">
                  <c:v>7220.408163265306</c:v>
                </c:pt>
                <c:pt idx="20">
                  <c:v>7464.7058823529414</c:v>
                </c:pt>
                <c:pt idx="21">
                  <c:v>7780</c:v>
                </c:pt>
                <c:pt idx="22">
                  <c:v>7778.5714285714284</c:v>
                </c:pt>
                <c:pt idx="23">
                  <c:v>7488.1355932203387</c:v>
                </c:pt>
                <c:pt idx="24">
                  <c:v>7233.8709677419356</c:v>
                </c:pt>
                <c:pt idx="25">
                  <c:v>7193.75</c:v>
                </c:pt>
                <c:pt idx="26">
                  <c:v>7193.75</c:v>
                </c:pt>
                <c:pt idx="27">
                  <c:v>7349.253731343284</c:v>
                </c:pt>
                <c:pt idx="28">
                  <c:v>7308.695652173913</c:v>
                </c:pt>
                <c:pt idx="29">
                  <c:v>7497.1830985915494</c:v>
                </c:pt>
                <c:pt idx="30">
                  <c:v>7424.6575342465758</c:v>
                </c:pt>
                <c:pt idx="31">
                  <c:v>7410.5263157894733</c:v>
                </c:pt>
                <c:pt idx="32">
                  <c:v>7312.8205128205127</c:v>
                </c:pt>
                <c:pt idx="33">
                  <c:v>7334.5679012345681</c:v>
                </c:pt>
                <c:pt idx="34">
                  <c:v>7525</c:v>
                </c:pt>
                <c:pt idx="35">
                  <c:v>7483.5294117647063</c:v>
                </c:pt>
                <c:pt idx="36">
                  <c:v>7537.9310344827591</c:v>
                </c:pt>
                <c:pt idx="37">
                  <c:v>7539.772727272727</c:v>
                </c:pt>
                <c:pt idx="38">
                  <c:v>7594.565217391304</c:v>
                </c:pt>
                <c:pt idx="39">
                  <c:v>7648.4210526315792</c:v>
                </c:pt>
                <c:pt idx="40">
                  <c:v>7463</c:v>
                </c:pt>
                <c:pt idx="41">
                  <c:v>7524.5098039215691</c:v>
                </c:pt>
                <c:pt idx="42">
                  <c:v>7549.0384615384619</c:v>
                </c:pt>
                <c:pt idx="43">
                  <c:v>7648.5714285714284</c:v>
                </c:pt>
                <c:pt idx="44">
                  <c:v>7689.6226415094343</c:v>
                </c:pt>
                <c:pt idx="45">
                  <c:v>7639.8148148148148</c:v>
                </c:pt>
                <c:pt idx="46">
                  <c:v>7719.090909090909</c:v>
                </c:pt>
                <c:pt idx="47">
                  <c:v>7690.2654867256633</c:v>
                </c:pt>
                <c:pt idx="48">
                  <c:v>7707.6923076923076</c:v>
                </c:pt>
                <c:pt idx="49">
                  <c:v>7687.3949579831933</c:v>
                </c:pt>
                <c:pt idx="50">
                  <c:v>7723.333333333333</c:v>
                </c:pt>
                <c:pt idx="51">
                  <c:v>7680.9917355371899</c:v>
                </c:pt>
                <c:pt idx="52">
                  <c:v>7850</c:v>
                </c:pt>
                <c:pt idx="53">
                  <c:v>7898.4251968503941</c:v>
                </c:pt>
                <c:pt idx="54">
                  <c:v>7898.4251968503941</c:v>
                </c:pt>
                <c:pt idx="55">
                  <c:v>7971.7557251908393</c:v>
                </c:pt>
                <c:pt idx="56">
                  <c:v>8032.3308270676689</c:v>
                </c:pt>
                <c:pt idx="57">
                  <c:v>8029.411764705882</c:v>
                </c:pt>
                <c:pt idx="58">
                  <c:v>8039.130434782609</c:v>
                </c:pt>
                <c:pt idx="59">
                  <c:v>7988.5714285714284</c:v>
                </c:pt>
                <c:pt idx="60">
                  <c:v>7988.5714285714284</c:v>
                </c:pt>
                <c:pt idx="61">
                  <c:v>8055.5555555555557</c:v>
                </c:pt>
                <c:pt idx="62">
                  <c:v>8055.5555555555557</c:v>
                </c:pt>
                <c:pt idx="63">
                  <c:v>8081.0810810810808</c:v>
                </c:pt>
                <c:pt idx="64">
                  <c:v>8158.5526315789475</c:v>
                </c:pt>
                <c:pt idx="65">
                  <c:v>8139.2156862745096</c:v>
                </c:pt>
                <c:pt idx="66">
                  <c:v>8005.0632911392404</c:v>
                </c:pt>
                <c:pt idx="67">
                  <c:v>8029.1925465838513</c:v>
                </c:pt>
                <c:pt idx="68">
                  <c:v>7987.6543209876545</c:v>
                </c:pt>
                <c:pt idx="69">
                  <c:v>7962.5766871165642</c:v>
                </c:pt>
                <c:pt idx="70">
                  <c:v>8094.5783132530123</c:v>
                </c:pt>
                <c:pt idx="71">
                  <c:v>8067.8571428571431</c:v>
                </c:pt>
                <c:pt idx="72">
                  <c:v>8067.455621301775</c:v>
                </c:pt>
                <c:pt idx="73">
                  <c:v>8034.3023255813951</c:v>
                </c:pt>
                <c:pt idx="74">
                  <c:v>8047.727272727273</c:v>
                </c:pt>
                <c:pt idx="75">
                  <c:v>8001.6853932584272</c:v>
                </c:pt>
                <c:pt idx="76">
                  <c:v>7906.0773480662983</c:v>
                </c:pt>
                <c:pt idx="77">
                  <c:v>7863.04347826087</c:v>
                </c:pt>
                <c:pt idx="78">
                  <c:v>7845.454545454545</c:v>
                </c:pt>
                <c:pt idx="79">
                  <c:v>7810.0529100529102</c:v>
                </c:pt>
                <c:pt idx="80">
                  <c:v>7791.0994764397901</c:v>
                </c:pt>
                <c:pt idx="81">
                  <c:v>7787.1134020618556</c:v>
                </c:pt>
                <c:pt idx="82">
                  <c:v>7767.1794871794873</c:v>
                </c:pt>
                <c:pt idx="83">
                  <c:v>7712.6262626262624</c:v>
                </c:pt>
                <c:pt idx="84">
                  <c:v>7715.5</c:v>
                </c:pt>
                <c:pt idx="85">
                  <c:v>7675</c:v>
                </c:pt>
                <c:pt idx="86">
                  <c:v>7678.155339805825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28.273137697517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りくと2!$J$1:$J$2</c:f>
              <c:strCache>
                <c:ptCount val="2"/>
                <c:pt idx="0">
                  <c:v>りくと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りくと2!$A$3:$A$89</c:f>
              <c:numCache>
                <c:formatCode>0\ "回"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りくと2!$J$3:$J$89</c:f>
              <c:numCache>
                <c:formatCode>0</c:formatCode>
                <c:ptCount val="87"/>
                <c:pt idx="1">
                  <c:v>-14900</c:v>
                </c:pt>
                <c:pt idx="2">
                  <c:v>-11233.333333333334</c:v>
                </c:pt>
                <c:pt idx="3">
                  <c:v>-7716.666666666667</c:v>
                </c:pt>
                <c:pt idx="4">
                  <c:v>-10275</c:v>
                </c:pt>
                <c:pt idx="5">
                  <c:v>-8127.272727272727</c:v>
                </c:pt>
                <c:pt idx="6">
                  <c:v>-8392.3076923076915</c:v>
                </c:pt>
                <c:pt idx="7">
                  <c:v>-8071.4285714285716</c:v>
                </c:pt>
                <c:pt idx="8">
                  <c:v>-7625</c:v>
                </c:pt>
                <c:pt idx="9">
                  <c:v>-7872.2222222222226</c:v>
                </c:pt>
                <c:pt idx="10">
                  <c:v>-7695.454545454545</c:v>
                </c:pt>
                <c:pt idx="11">
                  <c:v>-8256</c:v>
                </c:pt>
                <c:pt idx="12">
                  <c:v>-8015.3846153846152</c:v>
                </c:pt>
                <c:pt idx="13">
                  <c:v>-8551.7241379310344</c:v>
                </c:pt>
                <c:pt idx="14">
                  <c:v>-8203.125</c:v>
                </c:pt>
                <c:pt idx="15">
                  <c:v>-8285.2941176470595</c:v>
                </c:pt>
                <c:pt idx="16">
                  <c:v>-8214.2857142857138</c:v>
                </c:pt>
                <c:pt idx="17">
                  <c:v>-7931.5789473684208</c:v>
                </c:pt>
                <c:pt idx="18">
                  <c:v>-7931.5789473684208</c:v>
                </c:pt>
                <c:pt idx="19">
                  <c:v>-7933.333333333333</c:v>
                </c:pt>
                <c:pt idx="20">
                  <c:v>-7933.333333333333</c:v>
                </c:pt>
                <c:pt idx="21">
                  <c:v>-7832.5</c:v>
                </c:pt>
                <c:pt idx="22">
                  <c:v>-7934.1463414634145</c:v>
                </c:pt>
                <c:pt idx="23">
                  <c:v>-7934.1463414634145</c:v>
                </c:pt>
                <c:pt idx="24">
                  <c:v>-7934.1463414634145</c:v>
                </c:pt>
                <c:pt idx="25">
                  <c:v>-7665.909090909091</c:v>
                </c:pt>
                <c:pt idx="26">
                  <c:v>-7665.909090909091</c:v>
                </c:pt>
                <c:pt idx="27">
                  <c:v>-7762.2222222222226</c:v>
                </c:pt>
                <c:pt idx="28">
                  <c:v>-7678.260869565217</c:v>
                </c:pt>
                <c:pt idx="29">
                  <c:v>-7557.4468085106382</c:v>
                </c:pt>
                <c:pt idx="30">
                  <c:v>-7348.9795918367345</c:v>
                </c:pt>
                <c:pt idx="31">
                  <c:v>-7345.2830188679245</c:v>
                </c:pt>
                <c:pt idx="32">
                  <c:v>-7351.8518518518522</c:v>
                </c:pt>
                <c:pt idx="33">
                  <c:v>-7358.181818181818</c:v>
                </c:pt>
                <c:pt idx="34">
                  <c:v>-7244.8275862068967</c:v>
                </c:pt>
                <c:pt idx="35">
                  <c:v>-7257.6271186440681</c:v>
                </c:pt>
                <c:pt idx="36">
                  <c:v>-7063.4920634920636</c:v>
                </c:pt>
                <c:pt idx="37">
                  <c:v>-7063.4920634920636</c:v>
                </c:pt>
                <c:pt idx="38">
                  <c:v>-7004.6153846153848</c:v>
                </c:pt>
                <c:pt idx="39">
                  <c:v>-7019.69696969697</c:v>
                </c:pt>
                <c:pt idx="40">
                  <c:v>-7313.04347826087</c:v>
                </c:pt>
                <c:pt idx="41">
                  <c:v>-7322.8571428571431</c:v>
                </c:pt>
                <c:pt idx="42">
                  <c:v>-7341.666666666667</c:v>
                </c:pt>
                <c:pt idx="43">
                  <c:v>-7340.5405405405409</c:v>
                </c:pt>
                <c:pt idx="44">
                  <c:v>-7389.6103896103896</c:v>
                </c:pt>
                <c:pt idx="45">
                  <c:v>-7435.4430379746836</c:v>
                </c:pt>
                <c:pt idx="46">
                  <c:v>-7379.0123456790125</c:v>
                </c:pt>
                <c:pt idx="47">
                  <c:v>-7435.3658536585363</c:v>
                </c:pt>
                <c:pt idx="48">
                  <c:v>-7502.3529411764703</c:v>
                </c:pt>
                <c:pt idx="49">
                  <c:v>-7563.636363636364</c:v>
                </c:pt>
                <c:pt idx="50">
                  <c:v>-7507.8651685393261</c:v>
                </c:pt>
                <c:pt idx="51">
                  <c:v>-7507.8651685393261</c:v>
                </c:pt>
                <c:pt idx="52">
                  <c:v>-7535.4838709677415</c:v>
                </c:pt>
                <c:pt idx="53">
                  <c:v>-7540.4255319148933</c:v>
                </c:pt>
                <c:pt idx="54">
                  <c:v>-7651.041666666667</c:v>
                </c:pt>
                <c:pt idx="55">
                  <c:v>-7651.041666666667</c:v>
                </c:pt>
                <c:pt idx="56">
                  <c:v>-7584.848484848485</c:v>
                </c:pt>
                <c:pt idx="57">
                  <c:v>-7629</c:v>
                </c:pt>
                <c:pt idx="58">
                  <c:v>-7592.0792079207922</c:v>
                </c:pt>
                <c:pt idx="59">
                  <c:v>-7638.8349514563106</c:v>
                </c:pt>
                <c:pt idx="60">
                  <c:v>-7686.7924528301883</c:v>
                </c:pt>
                <c:pt idx="61">
                  <c:v>-7655.0458715596333</c:v>
                </c:pt>
                <c:pt idx="62">
                  <c:v>-7611.818181818182</c:v>
                </c:pt>
                <c:pt idx="63">
                  <c:v>-7611.818181818182</c:v>
                </c:pt>
                <c:pt idx="64">
                  <c:v>-7617.8571428571431</c:v>
                </c:pt>
                <c:pt idx="65">
                  <c:v>-7657.0175438596489</c:v>
                </c:pt>
                <c:pt idx="66">
                  <c:v>-7657.0175438596489</c:v>
                </c:pt>
                <c:pt idx="67">
                  <c:v>-7662.3931623931621</c:v>
                </c:pt>
                <c:pt idx="68">
                  <c:v>-7662.3931623931621</c:v>
                </c:pt>
                <c:pt idx="69">
                  <c:v>-7662.3931623931621</c:v>
                </c:pt>
                <c:pt idx="70">
                  <c:v>-7667.226890756303</c:v>
                </c:pt>
                <c:pt idx="71">
                  <c:v>-7622.1311475409839</c:v>
                </c:pt>
                <c:pt idx="72">
                  <c:v>-7592.7419354838712</c:v>
                </c:pt>
                <c:pt idx="73">
                  <c:v>-7544</c:v>
                </c:pt>
                <c:pt idx="74">
                  <c:v>-7576.1904761904761</c:v>
                </c:pt>
                <c:pt idx="75">
                  <c:v>-7576.1904761904761</c:v>
                </c:pt>
                <c:pt idx="76">
                  <c:v>-7577.1653543307084</c:v>
                </c:pt>
                <c:pt idx="77">
                  <c:v>-7548.4375</c:v>
                </c:pt>
                <c:pt idx="78">
                  <c:v>-7549.6124031007748</c:v>
                </c:pt>
                <c:pt idx="79">
                  <c:v>-7549.6124031007748</c:v>
                </c:pt>
                <c:pt idx="80">
                  <c:v>-7549.6124031007748</c:v>
                </c:pt>
                <c:pt idx="81">
                  <c:v>-7499.242424242424</c:v>
                </c:pt>
                <c:pt idx="82">
                  <c:v>-7503.0075187969924</c:v>
                </c:pt>
                <c:pt idx="83">
                  <c:v>-7485.8208955223881</c:v>
                </c:pt>
                <c:pt idx="84">
                  <c:v>-7478.6764705882351</c:v>
                </c:pt>
                <c:pt idx="85">
                  <c:v>-7452.554744525547</c:v>
                </c:pt>
                <c:pt idx="86">
                  <c:v>-7452.554744525547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81.180061037639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りくと2!$K$1:$K$2</c:f>
              <c:strCache>
                <c:ptCount val="2"/>
                <c:pt idx="0">
                  <c:v>りくと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りくと2!$A$3:$A$89</c:f>
              <c:numCache>
                <c:formatCode>0\ "回"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りくと2!$K$3:$K$89</c:f>
              <c:numCache>
                <c:formatCode>0.0%</c:formatCode>
                <c:ptCount val="8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5.7142857142857141E-2</c:v>
                </c:pt>
                <c:pt idx="36">
                  <c:v>5.5555555555555552E-2</c:v>
                </c:pt>
                <c:pt idx="37">
                  <c:v>5.4054054054054057E-2</c:v>
                </c:pt>
                <c:pt idx="38">
                  <c:v>5.2631578947368418E-2</c:v>
                </c:pt>
                <c:pt idx="39">
                  <c:v>5.128205128205128E-2</c:v>
                </c:pt>
                <c:pt idx="40">
                  <c:v>0.05</c:v>
                </c:pt>
                <c:pt idx="41">
                  <c:v>4.878048780487805E-2</c:v>
                </c:pt>
                <c:pt idx="42">
                  <c:v>4.7619047619047616E-2</c:v>
                </c:pt>
                <c:pt idx="43">
                  <c:v>4.6511627906976744E-2</c:v>
                </c:pt>
                <c:pt idx="44">
                  <c:v>4.5454545454545456E-2</c:v>
                </c:pt>
                <c:pt idx="45">
                  <c:v>4.4444444444444446E-2</c:v>
                </c:pt>
                <c:pt idx="46">
                  <c:v>4.3478260869565216E-2</c:v>
                </c:pt>
                <c:pt idx="47">
                  <c:v>4.2553191489361701E-2</c:v>
                </c:pt>
                <c:pt idx="48">
                  <c:v>4.1666666666666664E-2</c:v>
                </c:pt>
                <c:pt idx="49">
                  <c:v>6.1224489795918366E-2</c:v>
                </c:pt>
                <c:pt idx="50">
                  <c:v>0.06</c:v>
                </c:pt>
                <c:pt idx="51">
                  <c:v>5.8823529411764705E-2</c:v>
                </c:pt>
                <c:pt idx="52">
                  <c:v>5.7692307692307696E-2</c:v>
                </c:pt>
                <c:pt idx="53">
                  <c:v>5.6603773584905662E-2</c:v>
                </c:pt>
                <c:pt idx="54">
                  <c:v>7.407407407407407E-2</c:v>
                </c:pt>
                <c:pt idx="55">
                  <c:v>7.2727272727272724E-2</c:v>
                </c:pt>
                <c:pt idx="56">
                  <c:v>7.1428571428571425E-2</c:v>
                </c:pt>
                <c:pt idx="57">
                  <c:v>7.0175438596491224E-2</c:v>
                </c:pt>
                <c:pt idx="58">
                  <c:v>6.8965517241379309E-2</c:v>
                </c:pt>
                <c:pt idx="59">
                  <c:v>6.7796610169491525E-2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9.6774193548387094E-2</c:v>
                </c:pt>
                <c:pt idx="63">
                  <c:v>9.5238095238095233E-2</c:v>
                </c:pt>
                <c:pt idx="64">
                  <c:v>9.375E-2</c:v>
                </c:pt>
                <c:pt idx="65">
                  <c:v>9.2307692307692313E-2</c:v>
                </c:pt>
                <c:pt idx="66">
                  <c:v>9.0909090909090912E-2</c:v>
                </c:pt>
                <c:pt idx="67">
                  <c:v>8.9552238805970144E-2</c:v>
                </c:pt>
                <c:pt idx="68">
                  <c:v>8.8235294117647065E-2</c:v>
                </c:pt>
                <c:pt idx="69">
                  <c:v>8.6956521739130432E-2</c:v>
                </c:pt>
                <c:pt idx="70">
                  <c:v>8.5714285714285715E-2</c:v>
                </c:pt>
                <c:pt idx="71">
                  <c:v>8.4507042253521125E-2</c:v>
                </c:pt>
                <c:pt idx="72">
                  <c:v>8.3333333333333329E-2</c:v>
                </c:pt>
                <c:pt idx="73">
                  <c:v>8.2191780821917804E-2</c:v>
                </c:pt>
                <c:pt idx="74">
                  <c:v>8.1081081081081086E-2</c:v>
                </c:pt>
                <c:pt idx="75">
                  <c:v>0.08</c:v>
                </c:pt>
                <c:pt idx="76">
                  <c:v>7.8947368421052627E-2</c:v>
                </c:pt>
                <c:pt idx="77">
                  <c:v>7.792207792207792E-2</c:v>
                </c:pt>
                <c:pt idx="78">
                  <c:v>7.6923076923076927E-2</c:v>
                </c:pt>
                <c:pt idx="79">
                  <c:v>7.5949367088607597E-2</c:v>
                </c:pt>
                <c:pt idx="80">
                  <c:v>7.4999999999999997E-2</c:v>
                </c:pt>
                <c:pt idx="81">
                  <c:v>7.407407407407407E-2</c:v>
                </c:pt>
                <c:pt idx="82">
                  <c:v>7.3170731707317069E-2</c:v>
                </c:pt>
                <c:pt idx="83">
                  <c:v>7.2289156626506021E-2</c:v>
                </c:pt>
                <c:pt idx="84">
                  <c:v>7.1428571428571425E-2</c:v>
                </c:pt>
                <c:pt idx="85">
                  <c:v>7.0588235294117646E-2</c:v>
                </c:pt>
                <c:pt idx="86">
                  <c:v>6.9767441860465115E-2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8201936376210233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りくと2!$L$1:$L$2</c:f>
              <c:strCache>
                <c:ptCount val="2"/>
                <c:pt idx="0">
                  <c:v>りくと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りくと2!$A$3:$A$89</c:f>
              <c:numCache>
                <c:formatCode>0\ "回"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りくと2!$L$3:$L$89</c:f>
              <c:numCache>
                <c:formatCode>0.0%</c:formatCode>
                <c:ptCount val="87"/>
                <c:pt idx="1">
                  <c:v>0.27272727272727271</c:v>
                </c:pt>
                <c:pt idx="2">
                  <c:v>0.26315789473684209</c:v>
                </c:pt>
                <c:pt idx="3">
                  <c:v>0.26666666666666666</c:v>
                </c:pt>
                <c:pt idx="4">
                  <c:v>0.25641025641025639</c:v>
                </c:pt>
                <c:pt idx="5">
                  <c:v>0.26530612244897961</c:v>
                </c:pt>
                <c:pt idx="6">
                  <c:v>0.2807017543859649</c:v>
                </c:pt>
                <c:pt idx="7">
                  <c:v>0.26865671641791045</c:v>
                </c:pt>
                <c:pt idx="8">
                  <c:v>0.25</c:v>
                </c:pt>
                <c:pt idx="9">
                  <c:v>0.24705882352941178</c:v>
                </c:pt>
                <c:pt idx="10">
                  <c:v>0.23958333333333334</c:v>
                </c:pt>
                <c:pt idx="11">
                  <c:v>0.24</c:v>
                </c:pt>
                <c:pt idx="12">
                  <c:v>0.24545454545454545</c:v>
                </c:pt>
                <c:pt idx="13">
                  <c:v>0.26050420168067229</c:v>
                </c:pt>
                <c:pt idx="14">
                  <c:v>0.25</c:v>
                </c:pt>
                <c:pt idx="15">
                  <c:v>0.25362318840579712</c:v>
                </c:pt>
                <c:pt idx="16">
                  <c:v>0.25333333333333335</c:v>
                </c:pt>
                <c:pt idx="17">
                  <c:v>0.24203821656050956</c:v>
                </c:pt>
                <c:pt idx="18">
                  <c:v>0.25149700598802394</c:v>
                </c:pt>
                <c:pt idx="19">
                  <c:v>0.24858757062146894</c:v>
                </c:pt>
                <c:pt idx="20">
                  <c:v>0.24861878453038674</c:v>
                </c:pt>
                <c:pt idx="21">
                  <c:v>0.25133689839572193</c:v>
                </c:pt>
                <c:pt idx="22">
                  <c:v>0.24615384615384617</c:v>
                </c:pt>
                <c:pt idx="23">
                  <c:v>0.25247524752475248</c:v>
                </c:pt>
                <c:pt idx="24">
                  <c:v>0.26666666666666666</c:v>
                </c:pt>
                <c:pt idx="25">
                  <c:v>0.28440366972477066</c:v>
                </c:pt>
                <c:pt idx="26">
                  <c:v>0.28000000000000003</c:v>
                </c:pt>
                <c:pt idx="27">
                  <c:v>0.27896995708154504</c:v>
                </c:pt>
                <c:pt idx="28">
                  <c:v>0.27800829875518673</c:v>
                </c:pt>
                <c:pt idx="29">
                  <c:v>0.27822580645161288</c:v>
                </c:pt>
                <c:pt idx="30">
                  <c:v>0.28125</c:v>
                </c:pt>
                <c:pt idx="31">
                  <c:v>0.2808988764044944</c:v>
                </c:pt>
                <c:pt idx="32">
                  <c:v>0.27536231884057971</c:v>
                </c:pt>
                <c:pt idx="33">
                  <c:v>0.28521126760563381</c:v>
                </c:pt>
                <c:pt idx="34">
                  <c:v>0.28135593220338984</c:v>
                </c:pt>
                <c:pt idx="35">
                  <c:v>0.27814569536423839</c:v>
                </c:pt>
                <c:pt idx="36">
                  <c:v>0.28387096774193549</c:v>
                </c:pt>
                <c:pt idx="37">
                  <c:v>0.28253968253968254</c:v>
                </c:pt>
                <c:pt idx="38">
                  <c:v>0.28963414634146339</c:v>
                </c:pt>
                <c:pt idx="39">
                  <c:v>0.29289940828402367</c:v>
                </c:pt>
                <c:pt idx="40">
                  <c:v>0.29142857142857143</c:v>
                </c:pt>
                <c:pt idx="41">
                  <c:v>0.29329608938547486</c:v>
                </c:pt>
                <c:pt idx="42">
                  <c:v>0.29234972677595628</c:v>
                </c:pt>
                <c:pt idx="43">
                  <c:v>0.28799999999999998</c:v>
                </c:pt>
                <c:pt idx="44">
                  <c:v>0.28720626631853785</c:v>
                </c:pt>
                <c:pt idx="45">
                  <c:v>0.2879177377892031</c:v>
                </c:pt>
                <c:pt idx="46">
                  <c:v>0.28607594936708863</c:v>
                </c:pt>
                <c:pt idx="47">
                  <c:v>0.28678304239401498</c:v>
                </c:pt>
                <c:pt idx="48">
                  <c:v>0.29126213592233008</c:v>
                </c:pt>
                <c:pt idx="49">
                  <c:v>0.28672985781990523</c:v>
                </c:pt>
                <c:pt idx="50">
                  <c:v>0.28504672897196259</c:v>
                </c:pt>
                <c:pt idx="51">
                  <c:v>0.28275862068965518</c:v>
                </c:pt>
                <c:pt idx="52">
                  <c:v>0.28411633109619688</c:v>
                </c:pt>
                <c:pt idx="53">
                  <c:v>0.28351648351648351</c:v>
                </c:pt>
                <c:pt idx="54">
                  <c:v>0.28104575163398693</c:v>
                </c:pt>
                <c:pt idx="55">
                  <c:v>0.28387096774193549</c:v>
                </c:pt>
                <c:pt idx="56">
                  <c:v>0.2848101265822785</c:v>
                </c:pt>
                <c:pt idx="57">
                  <c:v>0.28541666666666665</c:v>
                </c:pt>
                <c:pt idx="58">
                  <c:v>0.28834355828220859</c:v>
                </c:pt>
                <c:pt idx="59">
                  <c:v>0.28629032258064518</c:v>
                </c:pt>
                <c:pt idx="60">
                  <c:v>0.28286852589641437</c:v>
                </c:pt>
                <c:pt idx="61">
                  <c:v>0.28488372093023256</c:v>
                </c:pt>
                <c:pt idx="62">
                  <c:v>0.28516377649325625</c:v>
                </c:pt>
                <c:pt idx="63">
                  <c:v>0.29166666666666669</c:v>
                </c:pt>
                <c:pt idx="64">
                  <c:v>0.28782287822878228</c:v>
                </c:pt>
                <c:pt idx="65">
                  <c:v>0.2867513611615245</c:v>
                </c:pt>
                <c:pt idx="66">
                  <c:v>0.28520499108734404</c:v>
                </c:pt>
                <c:pt idx="67">
                  <c:v>0.2879581151832461</c:v>
                </c:pt>
                <c:pt idx="68">
                  <c:v>0.28869565217391302</c:v>
                </c:pt>
                <c:pt idx="69">
                  <c:v>0.28694158075601373</c:v>
                </c:pt>
                <c:pt idx="70">
                  <c:v>0.28499156829679595</c:v>
                </c:pt>
                <c:pt idx="71">
                  <c:v>0.28524046434494194</c:v>
                </c:pt>
                <c:pt idx="72">
                  <c:v>0.28477905073649756</c:v>
                </c:pt>
                <c:pt idx="73">
                  <c:v>0.2870967741935484</c:v>
                </c:pt>
                <c:pt idx="74">
                  <c:v>0.28526148969889065</c:v>
                </c:pt>
                <c:pt idx="75">
                  <c:v>0.28369905956112851</c:v>
                </c:pt>
                <c:pt idx="76">
                  <c:v>0.28372093023255812</c:v>
                </c:pt>
                <c:pt idx="77">
                  <c:v>0.28287461773700306</c:v>
                </c:pt>
                <c:pt idx="78">
                  <c:v>0.28120300751879701</c:v>
                </c:pt>
                <c:pt idx="79">
                  <c:v>0.28125</c:v>
                </c:pt>
                <c:pt idx="80">
                  <c:v>0.28193832599118945</c:v>
                </c:pt>
                <c:pt idx="81">
                  <c:v>0.28075253256150506</c:v>
                </c:pt>
                <c:pt idx="82">
                  <c:v>0.2822349570200573</c:v>
                </c:pt>
                <c:pt idx="83">
                  <c:v>0.27982954545454547</c:v>
                </c:pt>
                <c:pt idx="84">
                  <c:v>0.2794943820224719</c:v>
                </c:pt>
                <c:pt idx="85">
                  <c:v>0.28016643550624132</c:v>
                </c:pt>
                <c:pt idx="86">
                  <c:v>0.28060522696011003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3286736561823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りくと2!$M$1:$M$2</c:f>
              <c:strCache>
                <c:ptCount val="2"/>
                <c:pt idx="0">
                  <c:v>りくと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りくと2!$A$3:$A$89</c:f>
              <c:numCache>
                <c:formatCode>0\ "回"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りくと2!$M$3:$M$89</c:f>
              <c:numCache>
                <c:formatCode>0.0%</c:formatCode>
                <c:ptCount val="87"/>
                <c:pt idx="1">
                  <c:v>0</c:v>
                </c:pt>
                <c:pt idx="2">
                  <c:v>0.26315789473684209</c:v>
                </c:pt>
                <c:pt idx="3">
                  <c:v>0.23333333333333334</c:v>
                </c:pt>
                <c:pt idx="4">
                  <c:v>0.23076923076923078</c:v>
                </c:pt>
                <c:pt idx="5">
                  <c:v>0.20408163265306123</c:v>
                </c:pt>
                <c:pt idx="6">
                  <c:v>0.21052631578947367</c:v>
                </c:pt>
                <c:pt idx="7">
                  <c:v>0.19402985074626866</c:v>
                </c:pt>
                <c:pt idx="8">
                  <c:v>0.19736842105263158</c:v>
                </c:pt>
                <c:pt idx="9">
                  <c:v>0.17647058823529413</c:v>
                </c:pt>
                <c:pt idx="10">
                  <c:v>0.15625</c:v>
                </c:pt>
                <c:pt idx="11">
                  <c:v>0.15</c:v>
                </c:pt>
                <c:pt idx="12">
                  <c:v>0.15454545454545454</c:v>
                </c:pt>
                <c:pt idx="13">
                  <c:v>0.15966386554621848</c:v>
                </c:pt>
                <c:pt idx="14">
                  <c:v>0.171875</c:v>
                </c:pt>
                <c:pt idx="15">
                  <c:v>0.18840579710144928</c:v>
                </c:pt>
                <c:pt idx="16">
                  <c:v>0.19333333333333333</c:v>
                </c:pt>
                <c:pt idx="17">
                  <c:v>0.18471337579617833</c:v>
                </c:pt>
                <c:pt idx="18">
                  <c:v>0.19161676646706588</c:v>
                </c:pt>
                <c:pt idx="19">
                  <c:v>0.19774011299435029</c:v>
                </c:pt>
                <c:pt idx="20">
                  <c:v>0.20441988950276244</c:v>
                </c:pt>
                <c:pt idx="21">
                  <c:v>0.20855614973262032</c:v>
                </c:pt>
                <c:pt idx="22">
                  <c:v>0.2</c:v>
                </c:pt>
                <c:pt idx="23">
                  <c:v>0.19801980198019803</c:v>
                </c:pt>
                <c:pt idx="24">
                  <c:v>0.19047619047619047</c:v>
                </c:pt>
                <c:pt idx="25">
                  <c:v>0.18807339449541285</c:v>
                </c:pt>
                <c:pt idx="26">
                  <c:v>0.18666666666666668</c:v>
                </c:pt>
                <c:pt idx="27">
                  <c:v>0.19313304721030042</c:v>
                </c:pt>
                <c:pt idx="28">
                  <c:v>0.18672199170124482</c:v>
                </c:pt>
                <c:pt idx="29">
                  <c:v>0.18145161290322581</c:v>
                </c:pt>
                <c:pt idx="30">
                  <c:v>0.1796875</c:v>
                </c:pt>
                <c:pt idx="31">
                  <c:v>0.1797752808988764</c:v>
                </c:pt>
                <c:pt idx="32">
                  <c:v>0.18115942028985507</c:v>
                </c:pt>
                <c:pt idx="33">
                  <c:v>0.176056338028169</c:v>
                </c:pt>
                <c:pt idx="34">
                  <c:v>0.17627118644067796</c:v>
                </c:pt>
                <c:pt idx="35">
                  <c:v>0.17218543046357615</c:v>
                </c:pt>
                <c:pt idx="36">
                  <c:v>0.17419354838709677</c:v>
                </c:pt>
                <c:pt idx="37">
                  <c:v>0.17142857142857143</c:v>
                </c:pt>
                <c:pt idx="38">
                  <c:v>0.1676829268292683</c:v>
                </c:pt>
                <c:pt idx="39">
                  <c:v>0.16568047337278108</c:v>
                </c:pt>
                <c:pt idx="40">
                  <c:v>0.16857142857142857</c:v>
                </c:pt>
                <c:pt idx="41">
                  <c:v>0.16480446927374301</c:v>
                </c:pt>
                <c:pt idx="42">
                  <c:v>0.16939890710382513</c:v>
                </c:pt>
                <c:pt idx="43">
                  <c:v>0.17599999999999999</c:v>
                </c:pt>
                <c:pt idx="44">
                  <c:v>0.18015665796344649</c:v>
                </c:pt>
                <c:pt idx="45">
                  <c:v>0.18508997429305912</c:v>
                </c:pt>
                <c:pt idx="46">
                  <c:v>0.18734177215189873</c:v>
                </c:pt>
                <c:pt idx="47">
                  <c:v>0.18703241895261846</c:v>
                </c:pt>
                <c:pt idx="48">
                  <c:v>0.18446601941747573</c:v>
                </c:pt>
                <c:pt idx="49">
                  <c:v>0.1872037914691943</c:v>
                </c:pt>
                <c:pt idx="50">
                  <c:v>0.18457943925233644</c:v>
                </c:pt>
                <c:pt idx="51">
                  <c:v>0.18390804597701149</c:v>
                </c:pt>
                <c:pt idx="52">
                  <c:v>0.18568232662192394</c:v>
                </c:pt>
                <c:pt idx="53">
                  <c:v>0.18461538461538463</c:v>
                </c:pt>
                <c:pt idx="54">
                  <c:v>0.18300653594771241</c:v>
                </c:pt>
                <c:pt idx="55">
                  <c:v>0.18494623655913978</c:v>
                </c:pt>
                <c:pt idx="56">
                  <c:v>0.18354430379746836</c:v>
                </c:pt>
                <c:pt idx="57">
                  <c:v>0.18333333333333332</c:v>
                </c:pt>
                <c:pt idx="58">
                  <c:v>0.18404907975460122</c:v>
                </c:pt>
                <c:pt idx="59">
                  <c:v>0.1875</c:v>
                </c:pt>
                <c:pt idx="60">
                  <c:v>0.18725099601593626</c:v>
                </c:pt>
                <c:pt idx="61">
                  <c:v>0.18992248062015504</c:v>
                </c:pt>
                <c:pt idx="62">
                  <c:v>0.18882466281310212</c:v>
                </c:pt>
                <c:pt idx="63">
                  <c:v>0.1875</c:v>
                </c:pt>
                <c:pt idx="64">
                  <c:v>0.18819188191881919</c:v>
                </c:pt>
                <c:pt idx="65">
                  <c:v>0.19237749546279492</c:v>
                </c:pt>
                <c:pt idx="66">
                  <c:v>0.19073083778966132</c:v>
                </c:pt>
                <c:pt idx="67">
                  <c:v>0.19022687609075042</c:v>
                </c:pt>
                <c:pt idx="68">
                  <c:v>0.19130434782608696</c:v>
                </c:pt>
                <c:pt idx="69">
                  <c:v>0.19243986254295534</c:v>
                </c:pt>
                <c:pt idx="70">
                  <c:v>0.19224283305227655</c:v>
                </c:pt>
                <c:pt idx="71">
                  <c:v>0.19237147595356552</c:v>
                </c:pt>
                <c:pt idx="72">
                  <c:v>0.19148936170212766</c:v>
                </c:pt>
                <c:pt idx="73">
                  <c:v>0.19354838709677419</c:v>
                </c:pt>
                <c:pt idx="74">
                  <c:v>0.19492868462757529</c:v>
                </c:pt>
                <c:pt idx="75">
                  <c:v>0.19749216300940439</c:v>
                </c:pt>
                <c:pt idx="76">
                  <c:v>0.19689922480620156</c:v>
                </c:pt>
                <c:pt idx="77">
                  <c:v>0.19724770642201836</c:v>
                </c:pt>
                <c:pt idx="78">
                  <c:v>0.2</c:v>
                </c:pt>
                <c:pt idx="79">
                  <c:v>0.20238095238095238</c:v>
                </c:pt>
                <c:pt idx="80">
                  <c:v>0.20264317180616739</c:v>
                </c:pt>
                <c:pt idx="81">
                  <c:v>0.2040520984081042</c:v>
                </c:pt>
                <c:pt idx="82">
                  <c:v>0.2020057306590258</c:v>
                </c:pt>
                <c:pt idx="83">
                  <c:v>0.20170454545454544</c:v>
                </c:pt>
                <c:pt idx="84">
                  <c:v>0.199438202247191</c:v>
                </c:pt>
                <c:pt idx="85">
                  <c:v>0.20110957004160887</c:v>
                </c:pt>
                <c:pt idx="86">
                  <c:v>0.20082530949105915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8657014478282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りくと2!$N$1:$N$2</c:f>
              <c:strCache>
                <c:ptCount val="2"/>
                <c:pt idx="0">
                  <c:v>りくと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りくと2!$A$3:$A$89</c:f>
              <c:numCache>
                <c:formatCode>0\ "回"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りくと2!$N$3:$N$89</c:f>
              <c:numCache>
                <c:formatCode>0.0%</c:formatCode>
                <c:ptCount val="87"/>
                <c:pt idx="1">
                  <c:v>0</c:v>
                </c:pt>
                <c:pt idx="2">
                  <c:v>0.4</c:v>
                </c:pt>
                <c:pt idx="3">
                  <c:v>0.625</c:v>
                </c:pt>
                <c:pt idx="4">
                  <c:v>0.7</c:v>
                </c:pt>
                <c:pt idx="5">
                  <c:v>0.69230769230769229</c:v>
                </c:pt>
                <c:pt idx="6">
                  <c:v>0.625</c:v>
                </c:pt>
                <c:pt idx="7">
                  <c:v>0.66666666666666663</c:v>
                </c:pt>
                <c:pt idx="8">
                  <c:v>0.63157894736842102</c:v>
                </c:pt>
                <c:pt idx="9">
                  <c:v>0.61904761904761907</c:v>
                </c:pt>
                <c:pt idx="10">
                  <c:v>0.56521739130434778</c:v>
                </c:pt>
                <c:pt idx="11">
                  <c:v>0.54166666666666663</c:v>
                </c:pt>
                <c:pt idx="12">
                  <c:v>0.59259259259259256</c:v>
                </c:pt>
                <c:pt idx="13">
                  <c:v>0.58064516129032262</c:v>
                </c:pt>
                <c:pt idx="14">
                  <c:v>0.59375</c:v>
                </c:pt>
                <c:pt idx="15">
                  <c:v>0.6</c:v>
                </c:pt>
                <c:pt idx="16">
                  <c:v>0.60526315789473684</c:v>
                </c:pt>
                <c:pt idx="17">
                  <c:v>0.60526315789473684</c:v>
                </c:pt>
                <c:pt idx="18">
                  <c:v>0.59523809523809523</c:v>
                </c:pt>
                <c:pt idx="19">
                  <c:v>0.59090909090909094</c:v>
                </c:pt>
                <c:pt idx="20">
                  <c:v>0.6</c:v>
                </c:pt>
                <c:pt idx="21">
                  <c:v>0.61702127659574468</c:v>
                </c:pt>
                <c:pt idx="22">
                  <c:v>0.625</c:v>
                </c:pt>
                <c:pt idx="23">
                  <c:v>0.6470588235294118</c:v>
                </c:pt>
                <c:pt idx="24">
                  <c:v>0.6071428571428571</c:v>
                </c:pt>
                <c:pt idx="25">
                  <c:v>0.58064516129032262</c:v>
                </c:pt>
                <c:pt idx="26">
                  <c:v>0.5714285714285714</c:v>
                </c:pt>
                <c:pt idx="27">
                  <c:v>0.56923076923076921</c:v>
                </c:pt>
                <c:pt idx="28">
                  <c:v>0.58208955223880599</c:v>
                </c:pt>
                <c:pt idx="29">
                  <c:v>0.59420289855072461</c:v>
                </c:pt>
                <c:pt idx="30">
                  <c:v>0.58333333333333337</c:v>
                </c:pt>
                <c:pt idx="31">
                  <c:v>0.58666666666666667</c:v>
                </c:pt>
                <c:pt idx="32">
                  <c:v>0.57894736842105265</c:v>
                </c:pt>
                <c:pt idx="33">
                  <c:v>0.58024691358024694</c:v>
                </c:pt>
                <c:pt idx="34">
                  <c:v>0.59036144578313254</c:v>
                </c:pt>
                <c:pt idx="35">
                  <c:v>0.59523809523809523</c:v>
                </c:pt>
                <c:pt idx="36">
                  <c:v>0.59090909090909094</c:v>
                </c:pt>
                <c:pt idx="37">
                  <c:v>0.5955056179775281</c:v>
                </c:pt>
                <c:pt idx="38">
                  <c:v>0.58947368421052626</c:v>
                </c:pt>
                <c:pt idx="39">
                  <c:v>0.58585858585858586</c:v>
                </c:pt>
                <c:pt idx="40">
                  <c:v>0.59803921568627449</c:v>
                </c:pt>
                <c:pt idx="41">
                  <c:v>0.6</c:v>
                </c:pt>
                <c:pt idx="42">
                  <c:v>0.60747663551401865</c:v>
                </c:pt>
                <c:pt idx="43">
                  <c:v>0.60185185185185186</c:v>
                </c:pt>
                <c:pt idx="44">
                  <c:v>0.59090909090909094</c:v>
                </c:pt>
                <c:pt idx="45">
                  <c:v>0.5892857142857143</c:v>
                </c:pt>
                <c:pt idx="46">
                  <c:v>0.59292035398230092</c:v>
                </c:pt>
                <c:pt idx="47">
                  <c:v>0.6</c:v>
                </c:pt>
                <c:pt idx="48">
                  <c:v>0.6</c:v>
                </c:pt>
                <c:pt idx="49">
                  <c:v>0.60330578512396693</c:v>
                </c:pt>
                <c:pt idx="50">
                  <c:v>0.60655737704918034</c:v>
                </c:pt>
                <c:pt idx="51">
                  <c:v>0.60162601626016265</c:v>
                </c:pt>
                <c:pt idx="52">
                  <c:v>0.59055118110236215</c:v>
                </c:pt>
                <c:pt idx="53">
                  <c:v>0.5968992248062015</c:v>
                </c:pt>
                <c:pt idx="54">
                  <c:v>0.5968992248062015</c:v>
                </c:pt>
                <c:pt idx="55">
                  <c:v>0.60606060606060608</c:v>
                </c:pt>
                <c:pt idx="56">
                  <c:v>0.6074074074074074</c:v>
                </c:pt>
                <c:pt idx="57">
                  <c:v>0.61313868613138689</c:v>
                </c:pt>
                <c:pt idx="58">
                  <c:v>0.6028368794326241</c:v>
                </c:pt>
                <c:pt idx="59">
                  <c:v>0.59859154929577463</c:v>
                </c:pt>
                <c:pt idx="60">
                  <c:v>0.59859154929577463</c:v>
                </c:pt>
                <c:pt idx="61">
                  <c:v>0.59183673469387754</c:v>
                </c:pt>
                <c:pt idx="62">
                  <c:v>0.58783783783783783</c:v>
                </c:pt>
                <c:pt idx="63">
                  <c:v>0.58441558441558439</c:v>
                </c:pt>
                <c:pt idx="64">
                  <c:v>0.58333333333333337</c:v>
                </c:pt>
                <c:pt idx="65">
                  <c:v>0.58227848101265822</c:v>
                </c:pt>
                <c:pt idx="66">
                  <c:v>0.58750000000000002</c:v>
                </c:pt>
                <c:pt idx="67">
                  <c:v>0.5757575757575758</c:v>
                </c:pt>
                <c:pt idx="68">
                  <c:v>0.57228915662650603</c:v>
                </c:pt>
                <c:pt idx="69">
                  <c:v>0.56886227544910184</c:v>
                </c:pt>
                <c:pt idx="70">
                  <c:v>0.57396449704142016</c:v>
                </c:pt>
                <c:pt idx="71">
                  <c:v>0.57558139534883723</c:v>
                </c:pt>
                <c:pt idx="72">
                  <c:v>0.57471264367816088</c:v>
                </c:pt>
                <c:pt idx="73">
                  <c:v>0.5730337078651685</c:v>
                </c:pt>
                <c:pt idx="74">
                  <c:v>0.57222222222222219</c:v>
                </c:pt>
                <c:pt idx="75">
                  <c:v>0.56906077348066297</c:v>
                </c:pt>
                <c:pt idx="76">
                  <c:v>0.56830601092896171</c:v>
                </c:pt>
                <c:pt idx="77">
                  <c:v>0.572972972972973</c:v>
                </c:pt>
                <c:pt idx="78">
                  <c:v>0.57219251336898391</c:v>
                </c:pt>
                <c:pt idx="79">
                  <c:v>0.5714285714285714</c:v>
                </c:pt>
                <c:pt idx="80">
                  <c:v>0.56770833333333337</c:v>
                </c:pt>
                <c:pt idx="81">
                  <c:v>0.57216494845360821</c:v>
                </c:pt>
                <c:pt idx="82">
                  <c:v>0.56852791878172593</c:v>
                </c:pt>
                <c:pt idx="83">
                  <c:v>0.56852791878172593</c:v>
                </c:pt>
                <c:pt idx="84">
                  <c:v>0.56783919597989951</c:v>
                </c:pt>
                <c:pt idx="85">
                  <c:v>0.56930693069306926</c:v>
                </c:pt>
                <c:pt idx="86">
                  <c:v>0.56372549019607843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8475689881734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りくと2!$O$1:$O$2</c:f>
              <c:strCache>
                <c:ptCount val="2"/>
                <c:pt idx="0">
                  <c:v>りくと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りくと2!$A$3:$A$89</c:f>
              <c:numCache>
                <c:formatCode>0\ "回"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りくと2!$O$3:$O$89</c:f>
              <c:numCache>
                <c:formatCode>0.0%</c:formatCode>
                <c:ptCount val="87"/>
                <c:pt idx="1">
                  <c:v>0</c:v>
                </c:pt>
                <c:pt idx="2">
                  <c:v>0.2</c:v>
                </c:pt>
                <c:pt idx="3">
                  <c:v>0.14285714285714285</c:v>
                </c:pt>
                <c:pt idx="4">
                  <c:v>0.1111111111111111</c:v>
                </c:pt>
                <c:pt idx="5">
                  <c:v>0.2</c:v>
                </c:pt>
                <c:pt idx="6">
                  <c:v>0.25</c:v>
                </c:pt>
                <c:pt idx="7">
                  <c:v>0.23076923076923078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0.17647058823529413</c:v>
                </c:pt>
                <c:pt idx="13">
                  <c:v>0.15789473684210525</c:v>
                </c:pt>
                <c:pt idx="14">
                  <c:v>0.22727272727272727</c:v>
                </c:pt>
                <c:pt idx="15">
                  <c:v>0.26923076923076922</c:v>
                </c:pt>
                <c:pt idx="16">
                  <c:v>0.31034482758620691</c:v>
                </c:pt>
                <c:pt idx="17">
                  <c:v>0.31034482758620691</c:v>
                </c:pt>
                <c:pt idx="18">
                  <c:v>0.34375</c:v>
                </c:pt>
                <c:pt idx="19">
                  <c:v>0.4</c:v>
                </c:pt>
                <c:pt idx="20">
                  <c:v>0.40540540540540543</c:v>
                </c:pt>
                <c:pt idx="21">
                  <c:v>0.4358974358974359</c:v>
                </c:pt>
                <c:pt idx="22">
                  <c:v>0.4358974358974359</c:v>
                </c:pt>
                <c:pt idx="23">
                  <c:v>0.42499999999999999</c:v>
                </c:pt>
                <c:pt idx="24">
                  <c:v>0.42499999999999999</c:v>
                </c:pt>
                <c:pt idx="25">
                  <c:v>0.41463414634146339</c:v>
                </c:pt>
                <c:pt idx="26">
                  <c:v>0.40476190476190477</c:v>
                </c:pt>
                <c:pt idx="27">
                  <c:v>0.42222222222222222</c:v>
                </c:pt>
                <c:pt idx="28">
                  <c:v>0.42222222222222222</c:v>
                </c:pt>
                <c:pt idx="29">
                  <c:v>0.42222222222222222</c:v>
                </c:pt>
                <c:pt idx="30">
                  <c:v>0.43478260869565216</c:v>
                </c:pt>
                <c:pt idx="31">
                  <c:v>0.4375</c:v>
                </c:pt>
                <c:pt idx="32">
                  <c:v>0.44</c:v>
                </c:pt>
                <c:pt idx="33">
                  <c:v>0.44</c:v>
                </c:pt>
                <c:pt idx="34">
                  <c:v>0.42307692307692307</c:v>
                </c:pt>
                <c:pt idx="35">
                  <c:v>0.42307692307692307</c:v>
                </c:pt>
                <c:pt idx="36">
                  <c:v>0.40740740740740738</c:v>
                </c:pt>
                <c:pt idx="37">
                  <c:v>0.40740740740740738</c:v>
                </c:pt>
                <c:pt idx="38">
                  <c:v>0.4</c:v>
                </c:pt>
                <c:pt idx="39">
                  <c:v>0.4107142857142857</c:v>
                </c:pt>
                <c:pt idx="40">
                  <c:v>0.42372881355932202</c:v>
                </c:pt>
                <c:pt idx="41">
                  <c:v>0.42372881355932202</c:v>
                </c:pt>
                <c:pt idx="42">
                  <c:v>0.40322580645161288</c:v>
                </c:pt>
                <c:pt idx="43">
                  <c:v>0.39393939393939392</c:v>
                </c:pt>
                <c:pt idx="44">
                  <c:v>0.39130434782608697</c:v>
                </c:pt>
                <c:pt idx="45">
                  <c:v>0.3888888888888889</c:v>
                </c:pt>
                <c:pt idx="46">
                  <c:v>0.39189189189189189</c:v>
                </c:pt>
                <c:pt idx="47">
                  <c:v>0.4</c:v>
                </c:pt>
                <c:pt idx="48">
                  <c:v>0.39473684210526316</c:v>
                </c:pt>
                <c:pt idx="49">
                  <c:v>0.39240506329113922</c:v>
                </c:pt>
                <c:pt idx="50">
                  <c:v>0.39240506329113922</c:v>
                </c:pt>
                <c:pt idx="51">
                  <c:v>0.38750000000000001</c:v>
                </c:pt>
                <c:pt idx="52">
                  <c:v>0.38554216867469882</c:v>
                </c:pt>
                <c:pt idx="53">
                  <c:v>0.39285714285714285</c:v>
                </c:pt>
                <c:pt idx="54">
                  <c:v>0.39285714285714285</c:v>
                </c:pt>
                <c:pt idx="55">
                  <c:v>0.39534883720930231</c:v>
                </c:pt>
                <c:pt idx="56">
                  <c:v>0.39080459770114945</c:v>
                </c:pt>
                <c:pt idx="57">
                  <c:v>0.38636363636363635</c:v>
                </c:pt>
                <c:pt idx="58">
                  <c:v>0.3888888888888889</c:v>
                </c:pt>
                <c:pt idx="59">
                  <c:v>0.38709677419354838</c:v>
                </c:pt>
                <c:pt idx="60">
                  <c:v>0.38297872340425532</c:v>
                </c:pt>
                <c:pt idx="61">
                  <c:v>0.38775510204081631</c:v>
                </c:pt>
                <c:pt idx="62">
                  <c:v>0.38775510204081631</c:v>
                </c:pt>
                <c:pt idx="63">
                  <c:v>0.38383838383838381</c:v>
                </c:pt>
                <c:pt idx="64">
                  <c:v>0.40196078431372551</c:v>
                </c:pt>
                <c:pt idx="65">
                  <c:v>0.3867924528301887</c:v>
                </c:pt>
                <c:pt idx="66">
                  <c:v>0.3925233644859813</c:v>
                </c:pt>
                <c:pt idx="67">
                  <c:v>0.40366972477064222</c:v>
                </c:pt>
                <c:pt idx="68">
                  <c:v>0.40909090909090912</c:v>
                </c:pt>
                <c:pt idx="69">
                  <c:v>0.4107142857142857</c:v>
                </c:pt>
                <c:pt idx="70">
                  <c:v>0.41228070175438597</c:v>
                </c:pt>
                <c:pt idx="71">
                  <c:v>0.40517241379310343</c:v>
                </c:pt>
                <c:pt idx="72">
                  <c:v>0.40170940170940173</c:v>
                </c:pt>
                <c:pt idx="73">
                  <c:v>0.4</c:v>
                </c:pt>
                <c:pt idx="74">
                  <c:v>0.4065040650406504</c:v>
                </c:pt>
                <c:pt idx="75">
                  <c:v>0.41269841269841268</c:v>
                </c:pt>
                <c:pt idx="76">
                  <c:v>0.41732283464566927</c:v>
                </c:pt>
                <c:pt idx="77">
                  <c:v>0.41860465116279072</c:v>
                </c:pt>
                <c:pt idx="78">
                  <c:v>0.41353383458646614</c:v>
                </c:pt>
                <c:pt idx="79">
                  <c:v>0.41176470588235292</c:v>
                </c:pt>
                <c:pt idx="80">
                  <c:v>0.40579710144927539</c:v>
                </c:pt>
                <c:pt idx="81">
                  <c:v>0.40425531914893614</c:v>
                </c:pt>
                <c:pt idx="82">
                  <c:v>0.40425531914893614</c:v>
                </c:pt>
                <c:pt idx="83">
                  <c:v>0.40845070422535212</c:v>
                </c:pt>
                <c:pt idx="84">
                  <c:v>0.40845070422535212</c:v>
                </c:pt>
                <c:pt idx="85">
                  <c:v>0.41379310344827586</c:v>
                </c:pt>
                <c:pt idx="86">
                  <c:v>0.4178082191780822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84861717612809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りくと2!$P$1:$P$2</c:f>
              <c:strCache>
                <c:ptCount val="2"/>
                <c:pt idx="0">
                  <c:v>りくと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りくと2!$A$3:$A$89</c:f>
              <c:numCache>
                <c:formatCode>0\ "回"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りくと2!$P$3:$P$89</c:f>
              <c:numCache>
                <c:formatCode>0.0%</c:formatCode>
                <c:ptCount val="87"/>
                <c:pt idx="1">
                  <c:v>1</c:v>
                </c:pt>
                <c:pt idx="2">
                  <c:v>0.25</c:v>
                </c:pt>
                <c:pt idx="3">
                  <c:v>0.25</c:v>
                </c:pt>
                <c:pt idx="4">
                  <c:v>0.18181818181818182</c:v>
                </c:pt>
                <c:pt idx="5">
                  <c:v>0.26666666666666666</c:v>
                </c:pt>
                <c:pt idx="6">
                  <c:v>0.23529411764705882</c:v>
                </c:pt>
                <c:pt idx="7">
                  <c:v>0.3</c:v>
                </c:pt>
                <c:pt idx="8">
                  <c:v>0.3</c:v>
                </c:pt>
                <c:pt idx="9">
                  <c:v>0.34782608695652173</c:v>
                </c:pt>
                <c:pt idx="10">
                  <c:v>0.34782608695652173</c:v>
                </c:pt>
                <c:pt idx="11">
                  <c:v>0.34782608695652173</c:v>
                </c:pt>
                <c:pt idx="12">
                  <c:v>0.34615384615384615</c:v>
                </c:pt>
                <c:pt idx="13">
                  <c:v>0.32142857142857145</c:v>
                </c:pt>
                <c:pt idx="14">
                  <c:v>0.35483870967741937</c:v>
                </c:pt>
                <c:pt idx="15">
                  <c:v>0.37142857142857144</c:v>
                </c:pt>
                <c:pt idx="16">
                  <c:v>0.375</c:v>
                </c:pt>
                <c:pt idx="17">
                  <c:v>0.375</c:v>
                </c:pt>
                <c:pt idx="18">
                  <c:v>0.38636363636363635</c:v>
                </c:pt>
                <c:pt idx="19">
                  <c:v>0.36734693877551022</c:v>
                </c:pt>
                <c:pt idx="20">
                  <c:v>0.35294117647058826</c:v>
                </c:pt>
                <c:pt idx="21">
                  <c:v>0.34545454545454546</c:v>
                </c:pt>
                <c:pt idx="22">
                  <c:v>0.35714285714285715</c:v>
                </c:pt>
                <c:pt idx="23">
                  <c:v>0.3728813559322034</c:v>
                </c:pt>
                <c:pt idx="24">
                  <c:v>0.37096774193548387</c:v>
                </c:pt>
                <c:pt idx="25">
                  <c:v>0.375</c:v>
                </c:pt>
                <c:pt idx="26">
                  <c:v>0.375</c:v>
                </c:pt>
                <c:pt idx="27">
                  <c:v>0.38805970149253732</c:v>
                </c:pt>
                <c:pt idx="28">
                  <c:v>0.37681159420289856</c:v>
                </c:pt>
                <c:pt idx="29">
                  <c:v>0.39436619718309857</c:v>
                </c:pt>
                <c:pt idx="30">
                  <c:v>0.38356164383561642</c:v>
                </c:pt>
                <c:pt idx="31">
                  <c:v>0.38157894736842107</c:v>
                </c:pt>
                <c:pt idx="32">
                  <c:v>0.38461538461538464</c:v>
                </c:pt>
                <c:pt idx="33">
                  <c:v>0.39506172839506171</c:v>
                </c:pt>
                <c:pt idx="34">
                  <c:v>0.39285714285714285</c:v>
                </c:pt>
                <c:pt idx="35">
                  <c:v>0.4</c:v>
                </c:pt>
                <c:pt idx="36">
                  <c:v>0.41379310344827586</c:v>
                </c:pt>
                <c:pt idx="37">
                  <c:v>0.40909090909090912</c:v>
                </c:pt>
                <c:pt idx="38">
                  <c:v>0.41304347826086957</c:v>
                </c:pt>
                <c:pt idx="39">
                  <c:v>0.42105263157894735</c:v>
                </c:pt>
                <c:pt idx="40">
                  <c:v>0.42</c:v>
                </c:pt>
                <c:pt idx="41">
                  <c:v>0.42156862745098039</c:v>
                </c:pt>
                <c:pt idx="42">
                  <c:v>0.43269230769230771</c:v>
                </c:pt>
                <c:pt idx="43">
                  <c:v>0.43809523809523809</c:v>
                </c:pt>
                <c:pt idx="44">
                  <c:v>0.43396226415094341</c:v>
                </c:pt>
                <c:pt idx="45">
                  <c:v>0.42592592592592593</c:v>
                </c:pt>
                <c:pt idx="46">
                  <c:v>0.42727272727272725</c:v>
                </c:pt>
                <c:pt idx="47">
                  <c:v>0.4247787610619469</c:v>
                </c:pt>
                <c:pt idx="48">
                  <c:v>0.4358974358974359</c:v>
                </c:pt>
                <c:pt idx="49">
                  <c:v>0.43697478991596639</c:v>
                </c:pt>
                <c:pt idx="50">
                  <c:v>0.44166666666666665</c:v>
                </c:pt>
                <c:pt idx="51">
                  <c:v>0.43801652892561982</c:v>
                </c:pt>
                <c:pt idx="52">
                  <c:v>0.44354838709677419</c:v>
                </c:pt>
                <c:pt idx="53">
                  <c:v>0.44881889763779526</c:v>
                </c:pt>
                <c:pt idx="54">
                  <c:v>0.44881889763779526</c:v>
                </c:pt>
                <c:pt idx="55">
                  <c:v>0.45038167938931295</c:v>
                </c:pt>
                <c:pt idx="56">
                  <c:v>0.45864661654135336</c:v>
                </c:pt>
                <c:pt idx="57">
                  <c:v>0.47058823529411764</c:v>
                </c:pt>
                <c:pt idx="58">
                  <c:v>0.46376811594202899</c:v>
                </c:pt>
                <c:pt idx="59">
                  <c:v>0.45714285714285713</c:v>
                </c:pt>
                <c:pt idx="60">
                  <c:v>0.45714285714285713</c:v>
                </c:pt>
                <c:pt idx="61">
                  <c:v>0.4513888888888889</c:v>
                </c:pt>
                <c:pt idx="62">
                  <c:v>0.4513888888888889</c:v>
                </c:pt>
                <c:pt idx="63">
                  <c:v>0.45270270270270269</c:v>
                </c:pt>
                <c:pt idx="64">
                  <c:v>0.46052631578947367</c:v>
                </c:pt>
                <c:pt idx="65">
                  <c:v>0.45751633986928103</c:v>
                </c:pt>
                <c:pt idx="66">
                  <c:v>0.46202531645569622</c:v>
                </c:pt>
                <c:pt idx="67">
                  <c:v>0.45962732919254656</c:v>
                </c:pt>
                <c:pt idx="68">
                  <c:v>0.4567901234567901</c:v>
                </c:pt>
                <c:pt idx="69">
                  <c:v>0.45398773006134968</c:v>
                </c:pt>
                <c:pt idx="70">
                  <c:v>0.45783132530120479</c:v>
                </c:pt>
                <c:pt idx="71">
                  <c:v>0.4642857142857143</c:v>
                </c:pt>
                <c:pt idx="72">
                  <c:v>0.46153846153846156</c:v>
                </c:pt>
                <c:pt idx="73">
                  <c:v>0.46511627906976744</c:v>
                </c:pt>
                <c:pt idx="74">
                  <c:v>0.46590909090909088</c:v>
                </c:pt>
                <c:pt idx="75">
                  <c:v>0.46629213483146065</c:v>
                </c:pt>
                <c:pt idx="76">
                  <c:v>0.46408839779005523</c:v>
                </c:pt>
                <c:pt idx="77">
                  <c:v>0.45652173913043476</c:v>
                </c:pt>
                <c:pt idx="78">
                  <c:v>0.45989304812834225</c:v>
                </c:pt>
                <c:pt idx="79">
                  <c:v>0.455026455026455</c:v>
                </c:pt>
                <c:pt idx="80">
                  <c:v>0.45549738219895286</c:v>
                </c:pt>
                <c:pt idx="81">
                  <c:v>0.45360824742268041</c:v>
                </c:pt>
                <c:pt idx="82">
                  <c:v>0.45128205128205129</c:v>
                </c:pt>
                <c:pt idx="83">
                  <c:v>0.4494949494949495</c:v>
                </c:pt>
                <c:pt idx="84">
                  <c:v>0.45</c:v>
                </c:pt>
                <c:pt idx="85">
                  <c:v>0.45588235294117646</c:v>
                </c:pt>
                <c:pt idx="86">
                  <c:v>0.4563106796116505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07449209932279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9765625" style="1" customWidth="1"/>
    <col min="5" max="5" width="3.59765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59765625" style="1" customWidth="1"/>
    <col min="11" max="11" width="3.5" style="5" customWidth="1"/>
    <col min="12" max="12" width="9" style="95" customWidth="1"/>
    <col min="13" max="13" width="3.59765625" style="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1"/>
  </cols>
  <sheetData>
    <row r="1" spans="1:17" x14ac:dyDescent="0.45">
      <c r="A1" s="18" t="s">
        <v>0</v>
      </c>
      <c r="B1" s="156"/>
      <c r="C1" s="157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5">
      <c r="A2" s="19" t="s">
        <v>9</v>
      </c>
      <c r="B2" s="158">
        <v>0</v>
      </c>
      <c r="C2" s="159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5">
      <c r="A3" s="20" t="s">
        <v>8</v>
      </c>
      <c r="B3" s="160">
        <v>0</v>
      </c>
      <c r="C3" s="161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5">
      <c r="A4" s="20" t="s">
        <v>6</v>
      </c>
      <c r="B4" s="162">
        <v>0</v>
      </c>
      <c r="C4" s="163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5">
      <c r="A5" s="20" t="s">
        <v>7</v>
      </c>
      <c r="B5" s="164">
        <f>IF(B$2=0,0,B$4/B$2)</f>
        <v>0</v>
      </c>
      <c r="C5" s="165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5">
      <c r="A6" s="20" t="s">
        <v>1</v>
      </c>
      <c r="B6" s="154">
        <f>IF(B$2=0,0,(B$7*1+B$8*2+B$9*3)/B$2)</f>
        <v>0</v>
      </c>
      <c r="C6" s="155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5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5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5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5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5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5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5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5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5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5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5">
      <c r="A19" s="51" t="s">
        <v>195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5">
      <c r="A20" s="51" t="s">
        <v>193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5">
      <c r="A21" s="20" t="s">
        <v>194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5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5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5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5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5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5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5">
      <c r="A28" s="86" t="s">
        <v>138</v>
      </c>
      <c r="B28" s="152">
        <v>0</v>
      </c>
      <c r="C28" s="153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5">
      <c r="A29" s="54" t="s">
        <v>192</v>
      </c>
      <c r="B29" s="150">
        <v>-1000000</v>
      </c>
      <c r="C29" s="151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5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5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5">
      <c r="A32" s="86" t="s">
        <v>183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5">
      <c r="A33" s="51" t="s">
        <v>179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5">
      <c r="A34" s="51" t="s">
        <v>180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 x14ac:dyDescent="0.45">
      <c r="A35" s="51" t="s">
        <v>181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5">
      <c r="A36" s="51" t="s">
        <v>182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5">
      <c r="A37" s="51" t="s">
        <v>184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5">
      <c r="A38" s="51" t="s">
        <v>185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5">
      <c r="A39" s="51" t="s">
        <v>186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5">
      <c r="A40" s="51" t="s">
        <v>187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5">
      <c r="A41" s="51" t="s">
        <v>188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5">
      <c r="A42" s="51" t="s">
        <v>189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5">
      <c r="A43" s="51" t="s">
        <v>190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5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5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5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5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5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5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5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5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72"/>
  <sheetViews>
    <sheetView workbookViewId="0"/>
  </sheetViews>
  <sheetFormatPr defaultColWidth="9" defaultRowHeight="18" x14ac:dyDescent="0.45"/>
  <cols>
    <col min="1" max="1" width="19.19921875" style="28" customWidth="1"/>
    <col min="2" max="2" width="19.19921875" style="29" customWidth="1"/>
    <col min="3" max="16384" width="9" style="28"/>
  </cols>
  <sheetData>
    <row r="1" spans="1:12" x14ac:dyDescent="0.45">
      <c r="A1" s="27">
        <v>32874</v>
      </c>
      <c r="B1" s="27">
        <v>2958465</v>
      </c>
    </row>
    <row r="2" spans="1:12" x14ac:dyDescent="0.45">
      <c r="A2" s="28" t="s">
        <v>218</v>
      </c>
      <c r="B2" s="29">
        <v>43795.510601851849</v>
      </c>
      <c r="C2" s="28" t="s">
        <v>128</v>
      </c>
      <c r="D2" s="28" t="s">
        <v>129</v>
      </c>
    </row>
    <row r="3" spans="1:12" x14ac:dyDescent="0.45">
      <c r="A3" s="28" t="s">
        <v>219</v>
      </c>
      <c r="B3" s="29">
        <v>43737.532500000001</v>
      </c>
      <c r="C3" s="28" t="s">
        <v>128</v>
      </c>
    </row>
    <row r="4" spans="1:12" x14ac:dyDescent="0.45">
      <c r="A4" s="28" t="s">
        <v>220</v>
      </c>
      <c r="B4" s="29">
        <v>43737.532500000001</v>
      </c>
      <c r="C4" s="28" t="s">
        <v>128</v>
      </c>
    </row>
    <row r="5" spans="1:12" x14ac:dyDescent="0.45">
      <c r="A5" s="28" t="s">
        <v>221</v>
      </c>
      <c r="B5" s="29">
        <v>43737.532500000001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198</v>
      </c>
    </row>
    <row r="6" spans="1:12" x14ac:dyDescent="0.45">
      <c r="A6" s="28" t="s">
        <v>222</v>
      </c>
      <c r="B6" s="29">
        <v>43737.532500000001</v>
      </c>
      <c r="C6" s="28" t="s">
        <v>128</v>
      </c>
      <c r="D6" s="28" t="s">
        <v>129</v>
      </c>
      <c r="E6" s="28" t="s">
        <v>173</v>
      </c>
    </row>
    <row r="7" spans="1:12" x14ac:dyDescent="0.45">
      <c r="A7" s="28" t="s">
        <v>223</v>
      </c>
      <c r="B7" s="29">
        <v>43795.510601851849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198</v>
      </c>
      <c r="I7" s="28" t="s">
        <v>199</v>
      </c>
      <c r="J7" s="28" t="s">
        <v>224</v>
      </c>
      <c r="K7" s="28" t="s">
        <v>225</v>
      </c>
      <c r="L7" s="28" t="s">
        <v>226</v>
      </c>
    </row>
    <row r="8" spans="1:12" x14ac:dyDescent="0.45">
      <c r="A8" s="28" t="s">
        <v>227</v>
      </c>
      <c r="B8" s="29">
        <v>43740.96733796296</v>
      </c>
      <c r="C8" s="28" t="s">
        <v>128</v>
      </c>
    </row>
    <row r="9" spans="1:12" x14ac:dyDescent="0.45">
      <c r="A9" s="28" t="s">
        <v>229</v>
      </c>
      <c r="B9" s="29">
        <v>43739.43246527778</v>
      </c>
      <c r="C9" s="28" t="s">
        <v>129</v>
      </c>
      <c r="D9" s="28" t="s">
        <v>173</v>
      </c>
      <c r="E9" s="28" t="s">
        <v>128</v>
      </c>
    </row>
    <row r="10" spans="1:12" x14ac:dyDescent="0.45">
      <c r="A10" s="28" t="s">
        <v>230</v>
      </c>
      <c r="B10" s="29">
        <v>43742.036736111113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198</v>
      </c>
    </row>
    <row r="11" spans="1:12" x14ac:dyDescent="0.45">
      <c r="A11" s="28" t="s">
        <v>231</v>
      </c>
      <c r="B11" s="29">
        <v>43741.028969907406</v>
      </c>
      <c r="C11" s="28" t="s">
        <v>128</v>
      </c>
    </row>
    <row r="12" spans="1:12" x14ac:dyDescent="0.45">
      <c r="A12" s="28" t="s">
        <v>232</v>
      </c>
      <c r="B12" s="29">
        <v>43742.037129629629</v>
      </c>
      <c r="C12" s="28" t="s">
        <v>128</v>
      </c>
      <c r="D12" s="28" t="s">
        <v>129</v>
      </c>
      <c r="E12" s="28" t="s">
        <v>173</v>
      </c>
    </row>
    <row r="13" spans="1:12" x14ac:dyDescent="0.45">
      <c r="A13" s="28" t="s">
        <v>233</v>
      </c>
      <c r="B13" s="29">
        <v>43742.036944444444</v>
      </c>
      <c r="C13" s="28" t="s">
        <v>128</v>
      </c>
      <c r="D13" s="28" t="s">
        <v>129</v>
      </c>
    </row>
    <row r="14" spans="1:12" x14ac:dyDescent="0.45">
      <c r="A14" s="28" t="s">
        <v>234</v>
      </c>
      <c r="B14" s="29">
        <v>43745.536574074074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 x14ac:dyDescent="0.45">
      <c r="A15" s="28" t="s">
        <v>235</v>
      </c>
      <c r="B15" s="29">
        <v>43745.374525462961</v>
      </c>
      <c r="C15" s="28" t="s">
        <v>128</v>
      </c>
      <c r="D15" s="28" t="s">
        <v>129</v>
      </c>
    </row>
    <row r="16" spans="1:12" x14ac:dyDescent="0.45">
      <c r="A16" s="28" t="s">
        <v>236</v>
      </c>
      <c r="B16" s="29">
        <v>43745.536574074074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 x14ac:dyDescent="0.45">
      <c r="A17" s="28" t="s">
        <v>237</v>
      </c>
      <c r="B17" s="29">
        <v>43745.536574074074</v>
      </c>
      <c r="C17" s="28" t="s">
        <v>128</v>
      </c>
      <c r="D17" s="28" t="s">
        <v>129</v>
      </c>
    </row>
    <row r="18" spans="1:12" x14ac:dyDescent="0.45">
      <c r="A18" s="28" t="s">
        <v>238</v>
      </c>
      <c r="B18" s="29">
        <v>43745.374525462961</v>
      </c>
      <c r="C18" s="28" t="s">
        <v>128</v>
      </c>
    </row>
    <row r="19" spans="1:12" x14ac:dyDescent="0.45">
      <c r="A19" s="28" t="s">
        <v>239</v>
      </c>
      <c r="B19" s="29">
        <v>43750.963090277779</v>
      </c>
      <c r="C19" s="28" t="s">
        <v>128</v>
      </c>
    </row>
    <row r="20" spans="1:12" x14ac:dyDescent="0.45">
      <c r="A20" s="28" t="s">
        <v>240</v>
      </c>
      <c r="B20" s="29">
        <v>43750.963090277779</v>
      </c>
      <c r="C20" s="28" t="s">
        <v>128</v>
      </c>
      <c r="D20" s="28" t="s">
        <v>129</v>
      </c>
    </row>
    <row r="21" spans="1:12" x14ac:dyDescent="0.45">
      <c r="A21" s="28" t="s">
        <v>241</v>
      </c>
      <c r="B21" s="29">
        <v>43750.963090277779</v>
      </c>
      <c r="C21" s="28" t="s">
        <v>128</v>
      </c>
    </row>
    <row r="22" spans="1:12" x14ac:dyDescent="0.45">
      <c r="A22" s="28" t="s">
        <v>242</v>
      </c>
      <c r="B22" s="29">
        <v>43750.963090277779</v>
      </c>
      <c r="C22" s="28" t="s">
        <v>128</v>
      </c>
      <c r="D22" s="28" t="s">
        <v>129</v>
      </c>
      <c r="E22" s="28" t="s">
        <v>173</v>
      </c>
    </row>
    <row r="23" spans="1:12" x14ac:dyDescent="0.45">
      <c r="A23" s="28" t="s">
        <v>243</v>
      </c>
      <c r="B23" s="29">
        <v>43800.062326388892</v>
      </c>
      <c r="C23" s="28" t="s">
        <v>128</v>
      </c>
    </row>
    <row r="24" spans="1:12" x14ac:dyDescent="0.45">
      <c r="A24" s="28" t="s">
        <v>244</v>
      </c>
      <c r="B24" s="29">
        <v>43750.963993055557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 x14ac:dyDescent="0.45">
      <c r="A25" s="28" t="s">
        <v>245</v>
      </c>
      <c r="B25" s="29">
        <v>43751.106828703705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198</v>
      </c>
      <c r="I25" s="28" t="s">
        <v>199</v>
      </c>
      <c r="J25" s="28" t="s">
        <v>224</v>
      </c>
      <c r="K25" s="28" t="s">
        <v>225</v>
      </c>
      <c r="L25" s="28" t="s">
        <v>226</v>
      </c>
    </row>
    <row r="26" spans="1:12" x14ac:dyDescent="0.45">
      <c r="A26" s="28" t="s">
        <v>246</v>
      </c>
      <c r="B26" s="29">
        <v>43752.102708333332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198</v>
      </c>
    </row>
    <row r="27" spans="1:12" x14ac:dyDescent="0.45">
      <c r="A27" s="28" t="s">
        <v>247</v>
      </c>
      <c r="B27" s="29">
        <v>43753.073148148149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198</v>
      </c>
      <c r="I27" s="28" t="s">
        <v>199</v>
      </c>
      <c r="J27" s="28" t="s">
        <v>224</v>
      </c>
      <c r="K27" s="28" t="s">
        <v>225</v>
      </c>
    </row>
    <row r="28" spans="1:12" x14ac:dyDescent="0.45">
      <c r="A28" s="28" t="s">
        <v>248</v>
      </c>
      <c r="B28" s="29">
        <v>43800.062893518516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198</v>
      </c>
      <c r="I28" s="28" t="s">
        <v>199</v>
      </c>
      <c r="J28" s="28" t="s">
        <v>224</v>
      </c>
      <c r="K28" s="28" t="s">
        <v>225</v>
      </c>
    </row>
    <row r="29" spans="1:12" x14ac:dyDescent="0.45">
      <c r="A29" s="28" t="s">
        <v>200</v>
      </c>
      <c r="B29" s="29">
        <v>43755.034178240741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198</v>
      </c>
    </row>
    <row r="30" spans="1:12" x14ac:dyDescent="0.45">
      <c r="A30" s="28" t="s">
        <v>201</v>
      </c>
      <c r="B30" s="29">
        <v>43756.099849537037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198</v>
      </c>
      <c r="I30" s="28" t="s">
        <v>199</v>
      </c>
    </row>
    <row r="31" spans="1:12" x14ac:dyDescent="0.45">
      <c r="A31" s="28" t="s">
        <v>202</v>
      </c>
      <c r="B31" s="29">
        <v>43757.072893518518</v>
      </c>
      <c r="C31" s="28" t="s">
        <v>128</v>
      </c>
      <c r="D31" s="28" t="s">
        <v>129</v>
      </c>
      <c r="E31" s="28" t="s">
        <v>173</v>
      </c>
    </row>
    <row r="32" spans="1:12" x14ac:dyDescent="0.45">
      <c r="A32" s="28" t="s">
        <v>204</v>
      </c>
      <c r="B32" s="29">
        <v>43758.041724537034</v>
      </c>
      <c r="C32" s="28" t="s">
        <v>128</v>
      </c>
      <c r="D32" s="28" t="s">
        <v>129</v>
      </c>
      <c r="E32" s="28" t="s">
        <v>173</v>
      </c>
    </row>
    <row r="33" spans="1:9" x14ac:dyDescent="0.45">
      <c r="A33" s="28" t="s">
        <v>205</v>
      </c>
      <c r="B33" s="29">
        <v>43758.856203703705</v>
      </c>
      <c r="C33" s="28" t="s">
        <v>128</v>
      </c>
      <c r="D33" s="28" t="s">
        <v>129</v>
      </c>
      <c r="E33" s="28" t="s">
        <v>173</v>
      </c>
    </row>
    <row r="34" spans="1:9" x14ac:dyDescent="0.45">
      <c r="A34" s="28" t="s">
        <v>206</v>
      </c>
      <c r="B34" s="29">
        <v>43760.041956018518</v>
      </c>
      <c r="C34" s="28" t="s">
        <v>128</v>
      </c>
      <c r="D34" s="28" t="s">
        <v>129</v>
      </c>
      <c r="E34" s="28" t="s">
        <v>173</v>
      </c>
    </row>
    <row r="35" spans="1:9" x14ac:dyDescent="0.45">
      <c r="A35" s="28" t="s">
        <v>207</v>
      </c>
      <c r="B35" s="29">
        <v>43761.976099537038</v>
      </c>
      <c r="C35" s="28" t="s">
        <v>128</v>
      </c>
      <c r="D35" s="28" t="s">
        <v>129</v>
      </c>
      <c r="E35" s="28" t="s">
        <v>173</v>
      </c>
    </row>
    <row r="36" spans="1:9" x14ac:dyDescent="0.45">
      <c r="A36" s="28" t="s">
        <v>208</v>
      </c>
      <c r="B36" s="29">
        <v>43763.022106481483</v>
      </c>
      <c r="C36" s="28" t="s">
        <v>128</v>
      </c>
      <c r="D36" s="28" t="s">
        <v>129</v>
      </c>
    </row>
    <row r="37" spans="1:9" x14ac:dyDescent="0.45">
      <c r="A37" s="28" t="s">
        <v>209</v>
      </c>
      <c r="B37" s="29">
        <v>43763.041087962964</v>
      </c>
      <c r="C37" s="28" t="s">
        <v>128</v>
      </c>
      <c r="D37" s="28" t="s">
        <v>129</v>
      </c>
      <c r="E37" s="28" t="s">
        <v>173</v>
      </c>
    </row>
    <row r="38" spans="1:9" x14ac:dyDescent="0.45">
      <c r="A38" s="28" t="s">
        <v>210</v>
      </c>
      <c r="B38" s="29">
        <v>43764.041712962964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 x14ac:dyDescent="0.45">
      <c r="A39" s="28" t="s">
        <v>211</v>
      </c>
      <c r="B39" s="29">
        <v>43765.540532407409</v>
      </c>
      <c r="C39" s="28" t="s">
        <v>128</v>
      </c>
      <c r="D39" s="28" t="s">
        <v>129</v>
      </c>
      <c r="E39" s="28" t="s">
        <v>173</v>
      </c>
    </row>
    <row r="40" spans="1:9" x14ac:dyDescent="0.45">
      <c r="A40" s="28" t="s">
        <v>212</v>
      </c>
      <c r="B40" s="29">
        <v>43765.654629629629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 x14ac:dyDescent="0.45">
      <c r="A41" s="28" t="s">
        <v>213</v>
      </c>
      <c r="B41" s="29">
        <v>43766.037835648145</v>
      </c>
      <c r="C41" s="28" t="s">
        <v>128</v>
      </c>
    </row>
    <row r="42" spans="1:9" x14ac:dyDescent="0.45">
      <c r="A42" s="28" t="s">
        <v>214</v>
      </c>
      <c r="B42" s="29">
        <v>43766.89675925926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 x14ac:dyDescent="0.45">
      <c r="A43" s="28" t="s">
        <v>215</v>
      </c>
      <c r="B43" s="29">
        <v>43768.005439814813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198</v>
      </c>
    </row>
    <row r="44" spans="1:9" x14ac:dyDescent="0.45">
      <c r="A44" s="28" t="s">
        <v>216</v>
      </c>
      <c r="B44" s="29">
        <v>43768.983483796299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 x14ac:dyDescent="0.45">
      <c r="A45" s="28" t="s">
        <v>217</v>
      </c>
      <c r="B45" s="29">
        <v>43770.558391203704</v>
      </c>
      <c r="C45" s="28" t="s">
        <v>128</v>
      </c>
      <c r="D45" s="28" t="s">
        <v>129</v>
      </c>
    </row>
    <row r="46" spans="1:9" x14ac:dyDescent="0.45">
      <c r="A46" s="28" t="s">
        <v>249</v>
      </c>
      <c r="B46" s="29">
        <v>43771.018865740742</v>
      </c>
      <c r="C46" s="28" t="s">
        <v>128</v>
      </c>
      <c r="D46" s="28" t="s">
        <v>129</v>
      </c>
    </row>
    <row r="47" spans="1:9" x14ac:dyDescent="0.45">
      <c r="A47" s="28" t="s">
        <v>250</v>
      </c>
      <c r="B47" s="29">
        <v>43770.815983796296</v>
      </c>
      <c r="C47" s="28" t="s">
        <v>128</v>
      </c>
    </row>
    <row r="48" spans="1:9" x14ac:dyDescent="0.45">
      <c r="A48" s="28" t="s">
        <v>251</v>
      </c>
      <c r="B48" s="29">
        <v>43771.741539351853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198</v>
      </c>
      <c r="I48" s="28" t="s">
        <v>199</v>
      </c>
    </row>
    <row r="49" spans="1:9" x14ac:dyDescent="0.45">
      <c r="A49" s="28" t="s">
        <v>252</v>
      </c>
      <c r="B49" s="29">
        <v>43772.854699074072</v>
      </c>
      <c r="C49" s="28" t="s">
        <v>128</v>
      </c>
      <c r="D49" s="28" t="s">
        <v>129</v>
      </c>
    </row>
    <row r="50" spans="1:9" x14ac:dyDescent="0.45">
      <c r="A50" s="28" t="s">
        <v>253</v>
      </c>
      <c r="B50" s="29">
        <v>43773.722453703704</v>
      </c>
      <c r="C50" s="28" t="s">
        <v>128</v>
      </c>
    </row>
    <row r="51" spans="1:9" x14ac:dyDescent="0.45">
      <c r="A51" s="28" t="s">
        <v>254</v>
      </c>
      <c r="B51" s="29">
        <v>43780.866018518522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 x14ac:dyDescent="0.45">
      <c r="A52" s="28" t="s">
        <v>255</v>
      </c>
      <c r="B52" s="29">
        <v>43781.02715277778</v>
      </c>
      <c r="C52" s="28" t="s">
        <v>128</v>
      </c>
      <c r="D52" s="28" t="s">
        <v>129</v>
      </c>
    </row>
    <row r="53" spans="1:9" x14ac:dyDescent="0.45">
      <c r="A53" s="28" t="s">
        <v>256</v>
      </c>
      <c r="B53" s="29">
        <v>43781.637499999997</v>
      </c>
      <c r="C53" s="28" t="s">
        <v>128</v>
      </c>
    </row>
    <row r="54" spans="1:9" x14ac:dyDescent="0.45">
      <c r="A54" s="28" t="s">
        <v>257</v>
      </c>
      <c r="B54" s="29">
        <v>43782.018078703702</v>
      </c>
      <c r="C54" s="28" t="s">
        <v>128</v>
      </c>
      <c r="D54" s="28" t="s">
        <v>129</v>
      </c>
    </row>
    <row r="55" spans="1:9" x14ac:dyDescent="0.45">
      <c r="A55" s="28" t="s">
        <v>258</v>
      </c>
      <c r="B55" s="29">
        <v>43782.830752314818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 x14ac:dyDescent="0.45">
      <c r="A56" s="28" t="s">
        <v>259</v>
      </c>
      <c r="B56" s="29">
        <v>43783.744745370372</v>
      </c>
      <c r="C56" s="28" t="s">
        <v>128</v>
      </c>
    </row>
    <row r="57" spans="1:9" x14ac:dyDescent="0.45">
      <c r="A57" s="28" t="s">
        <v>260</v>
      </c>
      <c r="B57" s="29">
        <v>43784.974247685182</v>
      </c>
      <c r="C57" s="28" t="s">
        <v>128</v>
      </c>
    </row>
    <row r="58" spans="1:9" x14ac:dyDescent="0.45">
      <c r="A58" s="28" t="s">
        <v>261</v>
      </c>
      <c r="B58" s="29">
        <v>43786.052789351852</v>
      </c>
      <c r="C58" s="28" t="s">
        <v>128</v>
      </c>
      <c r="D58" s="28" t="s">
        <v>129</v>
      </c>
    </row>
    <row r="59" spans="1:9" x14ac:dyDescent="0.45">
      <c r="A59" s="28" t="s">
        <v>262</v>
      </c>
      <c r="B59" s="29">
        <v>43786.909467592595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198</v>
      </c>
      <c r="I59" s="28" t="s">
        <v>199</v>
      </c>
    </row>
    <row r="60" spans="1:9" x14ac:dyDescent="0.45">
      <c r="A60" s="28" t="s">
        <v>263</v>
      </c>
      <c r="B60" s="29">
        <v>43787.745706018519</v>
      </c>
      <c r="C60" s="28" t="s">
        <v>128</v>
      </c>
    </row>
    <row r="61" spans="1:9" x14ac:dyDescent="0.45">
      <c r="A61" s="28" t="s">
        <v>264</v>
      </c>
      <c r="B61" s="29">
        <v>43789.053402777776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 x14ac:dyDescent="0.45">
      <c r="A62" s="28" t="s">
        <v>265</v>
      </c>
      <c r="B62" s="29">
        <v>43789.730671296296</v>
      </c>
      <c r="C62" s="28" t="s">
        <v>128</v>
      </c>
    </row>
    <row r="63" spans="1:9" x14ac:dyDescent="0.45">
      <c r="A63" s="28" t="s">
        <v>266</v>
      </c>
      <c r="B63" s="29">
        <v>43790.974027777775</v>
      </c>
      <c r="C63" s="28" t="s">
        <v>128</v>
      </c>
    </row>
    <row r="64" spans="1:9" x14ac:dyDescent="0.45">
      <c r="A64" s="28" t="s">
        <v>267</v>
      </c>
      <c r="B64" s="29">
        <v>43792.884085648147</v>
      </c>
      <c r="C64" s="28" t="s">
        <v>128</v>
      </c>
      <c r="D64" s="28" t="s">
        <v>129</v>
      </c>
    </row>
    <row r="65" spans="1:12" x14ac:dyDescent="0.45">
      <c r="A65" s="28" t="s">
        <v>268</v>
      </c>
      <c r="B65" s="29">
        <v>43793.868402777778</v>
      </c>
      <c r="C65" s="28" t="s">
        <v>128</v>
      </c>
      <c r="D65" s="28" t="s">
        <v>129</v>
      </c>
      <c r="E65" s="28" t="s">
        <v>173</v>
      </c>
    </row>
    <row r="66" spans="1:12" x14ac:dyDescent="0.45">
      <c r="A66" s="28" t="s">
        <v>269</v>
      </c>
      <c r="B66" s="29">
        <v>43795.03466435185</v>
      </c>
      <c r="C66" s="28" t="s">
        <v>128</v>
      </c>
    </row>
    <row r="67" spans="1:12" x14ac:dyDescent="0.45">
      <c r="A67" s="28" t="s">
        <v>270</v>
      </c>
      <c r="B67" s="29">
        <v>43800.056134259263</v>
      </c>
      <c r="C67" s="28" t="s">
        <v>128</v>
      </c>
      <c r="D67" s="28" t="s">
        <v>129</v>
      </c>
      <c r="E67" s="28" t="s">
        <v>173</v>
      </c>
      <c r="F67" s="28" t="s">
        <v>174</v>
      </c>
      <c r="G67" s="28" t="s">
        <v>175</v>
      </c>
      <c r="H67" s="28" t="s">
        <v>198</v>
      </c>
      <c r="I67" s="28" t="s">
        <v>199</v>
      </c>
      <c r="J67" s="28" t="s">
        <v>224</v>
      </c>
      <c r="K67" s="28" t="s">
        <v>225</v>
      </c>
      <c r="L67" s="28" t="s">
        <v>226</v>
      </c>
    </row>
    <row r="68" spans="1:12" x14ac:dyDescent="0.45">
      <c r="A68" s="28" t="s">
        <v>271</v>
      </c>
      <c r="B68" s="29">
        <v>43800.047013888892</v>
      </c>
      <c r="C68" s="28" t="s">
        <v>128</v>
      </c>
      <c r="D68" s="28" t="s">
        <v>129</v>
      </c>
      <c r="E68" s="28" t="s">
        <v>173</v>
      </c>
    </row>
    <row r="69" spans="1:12" x14ac:dyDescent="0.45">
      <c r="A69" s="28" t="s">
        <v>272</v>
      </c>
      <c r="B69" s="29">
        <v>43801.877546296295</v>
      </c>
      <c r="C69" s="28" t="s">
        <v>128</v>
      </c>
      <c r="D69" s="28" t="s">
        <v>129</v>
      </c>
      <c r="E69" s="28" t="s">
        <v>173</v>
      </c>
    </row>
    <row r="70" spans="1:12" x14ac:dyDescent="0.45">
      <c r="A70" s="28" t="s">
        <v>273</v>
      </c>
      <c r="B70" s="29">
        <v>43802.991469907407</v>
      </c>
      <c r="C70" s="28" t="s">
        <v>128</v>
      </c>
      <c r="D70" s="28" t="s">
        <v>129</v>
      </c>
      <c r="E70" s="28" t="s">
        <v>173</v>
      </c>
      <c r="F70" s="28" t="s">
        <v>174</v>
      </c>
    </row>
    <row r="71" spans="1:12" x14ac:dyDescent="0.45">
      <c r="A71" s="28" t="s">
        <v>275</v>
      </c>
      <c r="B71" s="29">
        <v>43804.096018518518</v>
      </c>
      <c r="C71" s="28" t="s">
        <v>128</v>
      </c>
      <c r="D71" s="28" t="s">
        <v>129</v>
      </c>
      <c r="E71" s="28" t="s">
        <v>173</v>
      </c>
      <c r="F71" s="28" t="s">
        <v>174</v>
      </c>
      <c r="G71" s="28" t="s">
        <v>175</v>
      </c>
    </row>
    <row r="72" spans="1:12" x14ac:dyDescent="0.45">
      <c r="A72" s="28" t="s">
        <v>276</v>
      </c>
      <c r="B72" s="29">
        <v>43805.055914351855</v>
      </c>
      <c r="C72" s="28" t="s">
        <v>128</v>
      </c>
      <c r="D72" s="28" t="s">
        <v>129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6" x14ac:dyDescent="0.45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5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2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141</v>
      </c>
      <c r="B1">
        <v>723</v>
      </c>
    </row>
    <row r="2" spans="1:2" x14ac:dyDescent="0.45">
      <c r="A2" t="s">
        <v>161</v>
      </c>
      <c r="B2">
        <v>65</v>
      </c>
    </row>
    <row r="3" spans="1:2" x14ac:dyDescent="0.45">
      <c r="A3" t="s">
        <v>126</v>
      </c>
      <c r="B3">
        <v>147</v>
      </c>
    </row>
    <row r="4" spans="1:2" x14ac:dyDescent="0.45">
      <c r="A4" t="s">
        <v>127</v>
      </c>
      <c r="B4">
        <v>131</v>
      </c>
    </row>
    <row r="5" spans="1:2" x14ac:dyDescent="0.45">
      <c r="A5" t="s">
        <v>172</v>
      </c>
      <c r="B5">
        <v>86</v>
      </c>
    </row>
    <row r="6" spans="1:2" x14ac:dyDescent="0.45">
      <c r="A6" t="s">
        <v>170</v>
      </c>
      <c r="B6">
        <v>99</v>
      </c>
    </row>
    <row r="7" spans="1:2" x14ac:dyDescent="0.45">
      <c r="A7" t="s">
        <v>171</v>
      </c>
      <c r="B7">
        <v>111</v>
      </c>
    </row>
    <row r="8" spans="1:2" x14ac:dyDescent="0.45">
      <c r="A8" t="s">
        <v>197</v>
      </c>
      <c r="B8">
        <v>48</v>
      </c>
    </row>
    <row r="9" spans="1:2" x14ac:dyDescent="0.45">
      <c r="A9" t="s">
        <v>196</v>
      </c>
      <c r="B9">
        <v>25</v>
      </c>
    </row>
    <row r="10" spans="1:2" x14ac:dyDescent="0.45">
      <c r="A10" t="s">
        <v>228</v>
      </c>
      <c r="B10">
        <v>7</v>
      </c>
    </row>
    <row r="11" spans="1:2" x14ac:dyDescent="0.45">
      <c r="A11" t="s">
        <v>203</v>
      </c>
      <c r="B11">
        <v>2</v>
      </c>
    </row>
    <row r="12" spans="1:2" x14ac:dyDescent="0.45">
      <c r="A12" t="s">
        <v>274</v>
      </c>
      <c r="B12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4"/>
  <sheetViews>
    <sheetView showGridLines="0" tabSelected="1" topLeftCell="V1" zoomScale="130" zoomScaleNormal="130" workbookViewId="0">
      <selection activeCell="AG6" sqref="AG6"/>
    </sheetView>
  </sheetViews>
  <sheetFormatPr defaultColWidth="9" defaultRowHeight="18" x14ac:dyDescent="0.45"/>
  <cols>
    <col min="1" max="1" width="6" style="78" customWidth="1"/>
    <col min="2" max="2" width="10.69921875" style="79" customWidth="1"/>
    <col min="3" max="3" width="10.69921875" style="80" customWidth="1"/>
    <col min="4" max="4" width="10.69921875" style="81" customWidth="1"/>
    <col min="5" max="5" width="10.69921875" style="93" customWidth="1"/>
    <col min="6" max="6" width="10.69921875" style="81" customWidth="1"/>
    <col min="7" max="7" width="10.69921875" style="82" customWidth="1"/>
    <col min="8" max="8" width="10.69921875" style="81" customWidth="1"/>
    <col min="9" max="9" width="10.69921875" style="83" customWidth="1"/>
    <col min="10" max="10" width="10.69921875" style="81" customWidth="1"/>
    <col min="11" max="11" width="10.69921875" style="83" customWidth="1"/>
    <col min="12" max="12" width="10.69921875" style="81" customWidth="1"/>
    <col min="13" max="13" width="10.69921875" style="84" customWidth="1"/>
    <col min="14" max="14" width="10.69921875" style="81" customWidth="1"/>
    <col min="15" max="15" width="10.69921875" style="84" customWidth="1"/>
    <col min="16" max="16" width="10.69921875" style="81" customWidth="1"/>
    <col min="17" max="17" width="10.69921875" style="85" customWidth="1"/>
    <col min="18" max="18" width="10.69921875" style="81" customWidth="1"/>
    <col min="19" max="19" width="10.69921875" style="85" customWidth="1"/>
    <col min="20" max="20" width="10.69921875" style="81" customWidth="1"/>
    <col min="21" max="21" width="10.69921875" style="83" customWidth="1"/>
    <col min="22" max="22" width="10.69921875" style="81" customWidth="1"/>
    <col min="23" max="23" width="10.69921875" style="84" customWidth="1"/>
    <col min="24" max="24" width="10.69921875" style="81" customWidth="1"/>
    <col min="25" max="25" width="10.69921875" style="84" customWidth="1"/>
    <col min="26" max="26" width="10.69921875" style="81" customWidth="1"/>
    <col min="27" max="27" width="10.69921875" style="84" customWidth="1"/>
    <col min="28" max="28" width="10.69921875" style="81" customWidth="1"/>
    <col min="29" max="29" width="10.69921875" style="84" customWidth="1"/>
    <col min="30" max="30" width="10.69921875" style="81" customWidth="1"/>
    <col min="31" max="31" width="10.69921875" style="84" customWidth="1"/>
    <col min="32" max="32" width="10.69921875" style="81" customWidth="1"/>
    <col min="33" max="33" width="10.69921875" style="88" customWidth="1"/>
    <col min="34" max="16384" width="9" style="69"/>
  </cols>
  <sheetData>
    <row r="1" spans="1:33" x14ac:dyDescent="0.45">
      <c r="A1" s="68"/>
      <c r="B1" s="166" t="s">
        <v>6</v>
      </c>
      <c r="C1" s="167"/>
      <c r="D1" s="166" t="s">
        <v>7</v>
      </c>
      <c r="E1" s="167"/>
      <c r="F1" s="166" t="s">
        <v>15</v>
      </c>
      <c r="G1" s="167"/>
      <c r="H1" s="166" t="s">
        <v>14</v>
      </c>
      <c r="I1" s="167"/>
      <c r="J1" s="166" t="s">
        <v>155</v>
      </c>
      <c r="K1" s="167"/>
      <c r="L1" s="166" t="s">
        <v>145</v>
      </c>
      <c r="M1" s="167"/>
      <c r="N1" s="166" t="s">
        <v>146</v>
      </c>
      <c r="O1" s="167"/>
      <c r="P1" s="166" t="s">
        <v>5</v>
      </c>
      <c r="Q1" s="167"/>
      <c r="R1" s="166" t="s">
        <v>16</v>
      </c>
      <c r="S1" s="167"/>
      <c r="T1" s="166" t="s">
        <v>17</v>
      </c>
      <c r="U1" s="167"/>
      <c r="V1" s="166" t="s">
        <v>122</v>
      </c>
      <c r="W1" s="167"/>
      <c r="X1" s="166" t="s">
        <v>119</v>
      </c>
      <c r="Y1" s="167"/>
      <c r="Z1" s="166" t="s">
        <v>125</v>
      </c>
      <c r="AA1" s="167"/>
      <c r="AB1" s="166" t="s">
        <v>147</v>
      </c>
      <c r="AC1" s="167"/>
      <c r="AD1" s="166" t="s">
        <v>140</v>
      </c>
      <c r="AE1" s="167"/>
      <c r="AF1" s="166" t="s">
        <v>192</v>
      </c>
      <c r="AG1" s="167"/>
    </row>
    <row r="2" spans="1:33" x14ac:dyDescent="0.45">
      <c r="A2" s="68" t="s">
        <v>154</v>
      </c>
      <c r="B2" s="168"/>
      <c r="C2" s="169"/>
      <c r="D2" s="168"/>
      <c r="E2" s="169"/>
      <c r="F2" s="170">
        <v>0.98840848757065403</v>
      </c>
      <c r="G2" s="171"/>
      <c r="H2" s="170">
        <v>0.8317455834210713</v>
      </c>
      <c r="I2" s="171"/>
      <c r="J2" s="170">
        <v>0.8990787990094522</v>
      </c>
      <c r="K2" s="171"/>
      <c r="L2" s="170">
        <v>0.80147431835037541</v>
      </c>
      <c r="M2" s="171"/>
      <c r="N2" s="170">
        <v>0.52566133588952912</v>
      </c>
      <c r="O2" s="171"/>
      <c r="P2" s="170">
        <v>0.55475053420974152</v>
      </c>
      <c r="Q2" s="171"/>
      <c r="R2" s="170">
        <v>-9.5798415925836086E-2</v>
      </c>
      <c r="S2" s="171"/>
      <c r="T2" s="170">
        <v>0.4979871140383913</v>
      </c>
      <c r="U2" s="171"/>
      <c r="V2" s="170">
        <v>0.66894914400837924</v>
      </c>
      <c r="W2" s="171"/>
      <c r="X2" s="170">
        <v>-5.8039931983248701E-2</v>
      </c>
      <c r="Y2" s="171"/>
      <c r="Z2" s="170">
        <v>0.40922358088917288</v>
      </c>
      <c r="AA2" s="171"/>
      <c r="AB2" s="170">
        <v>0.17264504292680108</v>
      </c>
      <c r="AC2" s="171"/>
      <c r="AD2" s="170">
        <v>0.17872185489926809</v>
      </c>
      <c r="AE2" s="171"/>
      <c r="AF2" s="170">
        <v>0.84181787006181996</v>
      </c>
      <c r="AG2" s="171"/>
    </row>
    <row r="3" spans="1:33" x14ac:dyDescent="0.45">
      <c r="A3" s="70">
        <v>1</v>
      </c>
      <c r="B3" s="71" t="s">
        <v>126</v>
      </c>
      <c r="C3" s="72">
        <v>1141.3000000000002</v>
      </c>
      <c r="D3" s="73" t="s">
        <v>274</v>
      </c>
      <c r="E3" s="92">
        <v>13.9</v>
      </c>
      <c r="F3" s="73" t="s">
        <v>203</v>
      </c>
      <c r="G3" s="74">
        <v>1.5</v>
      </c>
      <c r="H3" s="73" t="s">
        <v>203</v>
      </c>
      <c r="I3" s="75">
        <v>0.5</v>
      </c>
      <c r="J3" s="73" t="s">
        <v>203</v>
      </c>
      <c r="K3" s="75">
        <v>0</v>
      </c>
      <c r="L3" s="73" t="s">
        <v>274</v>
      </c>
      <c r="M3" s="76">
        <v>0.47058823529411764</v>
      </c>
      <c r="N3" s="73" t="s">
        <v>274</v>
      </c>
      <c r="O3" s="76">
        <v>5.8823529411764705E-2</v>
      </c>
      <c r="P3" s="73" t="s">
        <v>170</v>
      </c>
      <c r="Q3" s="77">
        <v>10865.470852017937</v>
      </c>
      <c r="R3" s="73" t="s">
        <v>196</v>
      </c>
      <c r="S3" s="77">
        <v>-6876.1904761904761</v>
      </c>
      <c r="T3" s="73" t="s">
        <v>203</v>
      </c>
      <c r="U3" s="75">
        <v>0</v>
      </c>
      <c r="V3" s="73" t="s">
        <v>274</v>
      </c>
      <c r="W3" s="76">
        <v>0.52941176470588236</v>
      </c>
      <c r="X3" s="73" t="s">
        <v>228</v>
      </c>
      <c r="Y3" s="76">
        <v>0.35483870967741937</v>
      </c>
      <c r="Z3" s="73" t="s">
        <v>274</v>
      </c>
      <c r="AA3" s="76">
        <v>0.66666666666666663</v>
      </c>
      <c r="AB3" s="73" t="s">
        <v>203</v>
      </c>
      <c r="AC3" s="76">
        <v>1</v>
      </c>
      <c r="AD3" s="73" t="s">
        <v>196</v>
      </c>
      <c r="AE3" s="76">
        <v>0.5714285714285714</v>
      </c>
      <c r="AF3" s="73" t="s">
        <v>126</v>
      </c>
      <c r="AG3" s="87">
        <v>149100</v>
      </c>
    </row>
    <row r="4" spans="1:33" x14ac:dyDescent="0.45">
      <c r="A4" s="78">
        <v>2</v>
      </c>
      <c r="B4" s="79" t="s">
        <v>170</v>
      </c>
      <c r="C4" s="80">
        <v>386.70000000000016</v>
      </c>
      <c r="D4" s="81" t="s">
        <v>203</v>
      </c>
      <c r="E4" s="93">
        <v>13.1</v>
      </c>
      <c r="F4" s="81" t="s">
        <v>274</v>
      </c>
      <c r="G4" s="82">
        <v>1.5</v>
      </c>
      <c r="H4" s="81" t="s">
        <v>274</v>
      </c>
      <c r="I4" s="83">
        <v>0.5</v>
      </c>
      <c r="J4" s="81" t="s">
        <v>274</v>
      </c>
      <c r="K4" s="83">
        <v>0</v>
      </c>
      <c r="L4" s="81" t="s">
        <v>203</v>
      </c>
      <c r="M4" s="84">
        <v>0.46666666666666667</v>
      </c>
      <c r="N4" s="81" t="s">
        <v>203</v>
      </c>
      <c r="O4" s="84">
        <v>6.6666666666666666E-2</v>
      </c>
      <c r="P4" s="81" t="s">
        <v>171</v>
      </c>
      <c r="Q4" s="85">
        <v>8524.8062015503874</v>
      </c>
      <c r="R4" s="81" t="s">
        <v>171</v>
      </c>
      <c r="S4" s="85">
        <v>-7440.4958677685954</v>
      </c>
      <c r="T4" s="81" t="s">
        <v>274</v>
      </c>
      <c r="U4" s="83">
        <v>0</v>
      </c>
      <c r="V4" s="81" t="s">
        <v>170</v>
      </c>
      <c r="W4" s="84">
        <v>0.31823899371069181</v>
      </c>
      <c r="X4" s="81" t="s">
        <v>203</v>
      </c>
      <c r="Y4" s="84">
        <v>0.33333333333333331</v>
      </c>
      <c r="Z4" s="81" t="s">
        <v>126</v>
      </c>
      <c r="AA4" s="84">
        <v>0.60185185185185186</v>
      </c>
      <c r="AB4" s="81" t="s">
        <v>274</v>
      </c>
      <c r="AC4" s="84">
        <v>0.66666666666666663</v>
      </c>
      <c r="AD4" s="81" t="s">
        <v>170</v>
      </c>
      <c r="AE4" s="84">
        <v>0.5246636771300448</v>
      </c>
      <c r="AF4" s="81" t="s">
        <v>141</v>
      </c>
      <c r="AG4" s="88">
        <v>149100</v>
      </c>
    </row>
    <row r="5" spans="1:33" x14ac:dyDescent="0.45">
      <c r="A5" s="78">
        <v>3</v>
      </c>
      <c r="B5" s="79" t="s">
        <v>171</v>
      </c>
      <c r="C5" s="80">
        <v>106.3</v>
      </c>
      <c r="D5" s="81" t="s">
        <v>126</v>
      </c>
      <c r="E5" s="93">
        <v>7.7639455782312936</v>
      </c>
      <c r="F5" s="81" t="s">
        <v>126</v>
      </c>
      <c r="G5" s="82">
        <v>1.8163265306122449</v>
      </c>
      <c r="H5" s="81" t="s">
        <v>126</v>
      </c>
      <c r="I5" s="83">
        <v>0.44897959183673469</v>
      </c>
      <c r="J5" s="81" t="s">
        <v>126</v>
      </c>
      <c r="K5" s="83">
        <v>0.26530612244897961</v>
      </c>
      <c r="L5" s="81" t="s">
        <v>126</v>
      </c>
      <c r="M5" s="84">
        <v>0.34138218151540384</v>
      </c>
      <c r="N5" s="81" t="s">
        <v>126</v>
      </c>
      <c r="O5" s="84">
        <v>0.13322231473771856</v>
      </c>
      <c r="P5" s="81" t="s">
        <v>141</v>
      </c>
      <c r="Q5" s="85">
        <v>8428.2731376975171</v>
      </c>
      <c r="R5" s="81" t="s">
        <v>172</v>
      </c>
      <c r="S5" s="85">
        <v>-7452.554744525547</v>
      </c>
      <c r="T5" s="81" t="s">
        <v>126</v>
      </c>
      <c r="U5" s="83">
        <v>4.7619047619047616E-2</v>
      </c>
      <c r="V5" s="81" t="s">
        <v>172</v>
      </c>
      <c r="W5" s="84">
        <v>0.28060522696011003</v>
      </c>
      <c r="X5" s="81" t="s">
        <v>127</v>
      </c>
      <c r="Y5" s="84">
        <v>0.30839416058394159</v>
      </c>
      <c r="Z5" s="81" t="s">
        <v>196</v>
      </c>
      <c r="AA5" s="84">
        <v>0.59677419354838712</v>
      </c>
      <c r="AB5" s="81" t="s">
        <v>126</v>
      </c>
      <c r="AC5" s="84">
        <v>0.47985347985347987</v>
      </c>
      <c r="AD5" s="81" t="s">
        <v>172</v>
      </c>
      <c r="AE5" s="84">
        <v>0.4563106796116505</v>
      </c>
      <c r="AF5" s="81" t="s">
        <v>170</v>
      </c>
      <c r="AG5" s="88">
        <v>122100</v>
      </c>
    </row>
    <row r="6" spans="1:33" x14ac:dyDescent="0.45">
      <c r="A6" s="78">
        <v>4</v>
      </c>
      <c r="B6" s="79" t="s">
        <v>127</v>
      </c>
      <c r="C6" s="80">
        <v>33.499999999999801</v>
      </c>
      <c r="D6" s="81" t="s">
        <v>170</v>
      </c>
      <c r="E6" s="93">
        <v>3.9060606060606076</v>
      </c>
      <c r="F6" s="81" t="s">
        <v>170</v>
      </c>
      <c r="G6" s="82">
        <v>1.9191919191919191</v>
      </c>
      <c r="H6" s="81" t="s">
        <v>228</v>
      </c>
      <c r="I6" s="83">
        <v>0.42857142857142855</v>
      </c>
      <c r="J6" s="81" t="s">
        <v>171</v>
      </c>
      <c r="K6" s="83">
        <v>0.27927927927927926</v>
      </c>
      <c r="L6" s="81" t="s">
        <v>127</v>
      </c>
      <c r="M6" s="84">
        <v>0.30018248175182483</v>
      </c>
      <c r="N6" s="81" t="s">
        <v>171</v>
      </c>
      <c r="O6" s="84">
        <v>0.13610798650168729</v>
      </c>
      <c r="P6" s="81" t="s">
        <v>127</v>
      </c>
      <c r="Q6" s="85">
        <v>8412.7659574468089</v>
      </c>
      <c r="R6" s="81" t="s">
        <v>161</v>
      </c>
      <c r="S6" s="85">
        <v>-7673.1182795698924</v>
      </c>
      <c r="T6" s="81" t="s">
        <v>172</v>
      </c>
      <c r="U6" s="83">
        <v>6.9767441860465115E-2</v>
      </c>
      <c r="V6" s="81" t="s">
        <v>126</v>
      </c>
      <c r="W6" s="84">
        <v>0.26977518734388012</v>
      </c>
      <c r="X6" s="81" t="s">
        <v>161</v>
      </c>
      <c r="Y6" s="84">
        <v>0.24436741767764297</v>
      </c>
      <c r="Z6" s="81" t="s">
        <v>171</v>
      </c>
      <c r="AA6" s="84">
        <v>0.57740585774058573</v>
      </c>
      <c r="AB6" s="81" t="s">
        <v>197</v>
      </c>
      <c r="AC6" s="84">
        <v>0.43529411764705883</v>
      </c>
      <c r="AD6" s="81" t="s">
        <v>171</v>
      </c>
      <c r="AE6" s="84">
        <v>0.44573643410852715</v>
      </c>
      <c r="AF6" s="81" t="s">
        <v>171</v>
      </c>
      <c r="AG6" s="88">
        <v>101400</v>
      </c>
    </row>
    <row r="7" spans="1:33" x14ac:dyDescent="0.45">
      <c r="A7" s="78">
        <v>5</v>
      </c>
      <c r="B7" s="79" t="s">
        <v>274</v>
      </c>
      <c r="C7" s="80">
        <v>27.8</v>
      </c>
      <c r="D7" s="81" t="s">
        <v>171</v>
      </c>
      <c r="E7" s="93">
        <v>0.95765765765765765</v>
      </c>
      <c r="F7" s="81" t="s">
        <v>127</v>
      </c>
      <c r="G7" s="82">
        <v>1.9541984732824427</v>
      </c>
      <c r="H7" s="81" t="s">
        <v>170</v>
      </c>
      <c r="I7" s="83">
        <v>0.39393939393939392</v>
      </c>
      <c r="J7" s="81" t="s">
        <v>127</v>
      </c>
      <c r="K7" s="83">
        <v>0.29770992366412213</v>
      </c>
      <c r="L7" s="81" t="s">
        <v>141</v>
      </c>
      <c r="M7" s="84">
        <v>0.29489099683807624</v>
      </c>
      <c r="N7" s="81" t="s">
        <v>161</v>
      </c>
      <c r="O7" s="84">
        <v>0.16117850953206239</v>
      </c>
      <c r="P7" s="81" t="s">
        <v>196</v>
      </c>
      <c r="Q7" s="85">
        <v>8385.7142857142862</v>
      </c>
      <c r="R7" s="81" t="s">
        <v>126</v>
      </c>
      <c r="S7" s="85">
        <v>-7688.75</v>
      </c>
      <c r="T7" s="81" t="s">
        <v>171</v>
      </c>
      <c r="U7" s="83">
        <v>7.2072072072072071E-2</v>
      </c>
      <c r="V7" s="81" t="s">
        <v>171</v>
      </c>
      <c r="W7" s="84">
        <v>0.26884139482564678</v>
      </c>
      <c r="X7" s="81" t="s">
        <v>141</v>
      </c>
      <c r="Y7" s="84">
        <v>0.22865701447828257</v>
      </c>
      <c r="Z7" s="81" t="s">
        <v>172</v>
      </c>
      <c r="AA7" s="84">
        <v>0.56372549019607843</v>
      </c>
      <c r="AB7" s="81" t="s">
        <v>171</v>
      </c>
      <c r="AC7" s="84">
        <v>0.43076923076923079</v>
      </c>
      <c r="AD7" s="81" t="s">
        <v>197</v>
      </c>
      <c r="AE7" s="84">
        <v>0.44444444444444442</v>
      </c>
      <c r="AF7" s="81" t="s">
        <v>196</v>
      </c>
      <c r="AG7" s="88">
        <v>95200</v>
      </c>
    </row>
    <row r="8" spans="1:33" x14ac:dyDescent="0.45">
      <c r="A8" s="78">
        <v>6</v>
      </c>
      <c r="B8" s="79" t="s">
        <v>203</v>
      </c>
      <c r="C8" s="80">
        <v>26.2</v>
      </c>
      <c r="D8" s="81" t="s">
        <v>127</v>
      </c>
      <c r="E8" s="93">
        <v>0.25572519083969314</v>
      </c>
      <c r="F8" s="81" t="s">
        <v>141</v>
      </c>
      <c r="G8" s="82">
        <v>2</v>
      </c>
      <c r="H8" s="81" t="s">
        <v>196</v>
      </c>
      <c r="I8" s="83">
        <v>0.36</v>
      </c>
      <c r="J8" s="81" t="s">
        <v>170</v>
      </c>
      <c r="K8" s="83">
        <v>0.31313131313131315</v>
      </c>
      <c r="L8" s="81" t="s">
        <v>171</v>
      </c>
      <c r="M8" s="84">
        <v>0.29021372328458944</v>
      </c>
      <c r="N8" s="81" t="s">
        <v>141</v>
      </c>
      <c r="O8" s="84">
        <v>0.16358795140622401</v>
      </c>
      <c r="P8" s="81" t="s">
        <v>126</v>
      </c>
      <c r="Q8" s="85">
        <v>8167.8048780487807</v>
      </c>
      <c r="R8" s="81" t="s">
        <v>141</v>
      </c>
      <c r="S8" s="85">
        <v>-7781.1800610376395</v>
      </c>
      <c r="T8" s="81" t="s">
        <v>161</v>
      </c>
      <c r="U8" s="83">
        <v>7.6923076923076927E-2</v>
      </c>
      <c r="V8" s="81" t="s">
        <v>203</v>
      </c>
      <c r="W8" s="84">
        <v>0.26666666666666666</v>
      </c>
      <c r="X8" s="81" t="s">
        <v>126</v>
      </c>
      <c r="Y8" s="84">
        <v>0.22731057452123229</v>
      </c>
      <c r="Z8" s="81" t="s">
        <v>141</v>
      </c>
      <c r="AA8" s="84">
        <v>0.55847568988173457</v>
      </c>
      <c r="AB8" s="81" t="s">
        <v>141</v>
      </c>
      <c r="AC8" s="84">
        <v>0.41848617176128095</v>
      </c>
      <c r="AD8" s="81" t="s">
        <v>141</v>
      </c>
      <c r="AE8" s="84">
        <v>0.44074492099322798</v>
      </c>
      <c r="AF8" s="81" t="s">
        <v>127</v>
      </c>
      <c r="AG8" s="88">
        <v>91800</v>
      </c>
    </row>
    <row r="9" spans="1:33" x14ac:dyDescent="0.45">
      <c r="A9" s="78">
        <v>7</v>
      </c>
      <c r="B9" s="79" t="s">
        <v>141</v>
      </c>
      <c r="C9" s="80">
        <v>-4.2632564145606011E-14</v>
      </c>
      <c r="D9" s="81" t="s">
        <v>141</v>
      </c>
      <c r="E9" s="93">
        <v>-5.896620213776765E-17</v>
      </c>
      <c r="F9" s="81" t="s">
        <v>171</v>
      </c>
      <c r="G9" s="82">
        <v>2.0180180180180178</v>
      </c>
      <c r="H9" s="81" t="s">
        <v>127</v>
      </c>
      <c r="I9" s="83">
        <v>0.34351145038167941</v>
      </c>
      <c r="J9" s="81" t="s">
        <v>141</v>
      </c>
      <c r="K9" s="83">
        <v>0.33333333333333331</v>
      </c>
      <c r="L9" s="81" t="s">
        <v>172</v>
      </c>
      <c r="M9" s="84">
        <v>0.28335625859697389</v>
      </c>
      <c r="N9" s="81" t="s">
        <v>170</v>
      </c>
      <c r="O9" s="84">
        <v>0.17484276729559747</v>
      </c>
      <c r="P9" s="81" t="s">
        <v>197</v>
      </c>
      <c r="Q9" s="85">
        <v>8000</v>
      </c>
      <c r="R9" s="81" t="s">
        <v>127</v>
      </c>
      <c r="S9" s="85">
        <v>-7905.825242718447</v>
      </c>
      <c r="T9" s="81" t="s">
        <v>141</v>
      </c>
      <c r="U9" s="83">
        <v>9.8201936376210233E-2</v>
      </c>
      <c r="V9" s="81" t="s">
        <v>196</v>
      </c>
      <c r="W9" s="84">
        <v>0.25833333333333336</v>
      </c>
      <c r="X9" s="81" t="s">
        <v>171</v>
      </c>
      <c r="Y9" s="84">
        <v>0.21934758155230596</v>
      </c>
      <c r="Z9" s="81" t="s">
        <v>170</v>
      </c>
      <c r="AA9" s="84">
        <v>0.55731225296442688</v>
      </c>
      <c r="AB9" s="81" t="s">
        <v>172</v>
      </c>
      <c r="AC9" s="84">
        <v>0.4178082191780822</v>
      </c>
      <c r="AD9" s="81" t="s">
        <v>126</v>
      </c>
      <c r="AE9" s="84">
        <v>0.4195121951219512</v>
      </c>
      <c r="AF9" s="81" t="s">
        <v>161</v>
      </c>
      <c r="AG9" s="88">
        <v>86900</v>
      </c>
    </row>
    <row r="10" spans="1:33" x14ac:dyDescent="0.45">
      <c r="A10" s="78">
        <v>8</v>
      </c>
      <c r="B10" s="79" t="s">
        <v>196</v>
      </c>
      <c r="C10" s="80">
        <v>-45.7</v>
      </c>
      <c r="D10" s="81" t="s">
        <v>196</v>
      </c>
      <c r="E10" s="93">
        <v>-1.8280000000000001</v>
      </c>
      <c r="F10" s="81" t="s">
        <v>196</v>
      </c>
      <c r="G10" s="82">
        <v>2.04</v>
      </c>
      <c r="H10" s="81" t="s">
        <v>141</v>
      </c>
      <c r="I10" s="83">
        <v>0.33333333333333331</v>
      </c>
      <c r="J10" s="81" t="s">
        <v>172</v>
      </c>
      <c r="K10" s="83">
        <v>0.37209302325581395</v>
      </c>
      <c r="L10" s="81" t="s">
        <v>170</v>
      </c>
      <c r="M10" s="84">
        <v>0.28050314465408804</v>
      </c>
      <c r="N10" s="81" t="s">
        <v>196</v>
      </c>
      <c r="O10" s="84">
        <v>0.17499999999999999</v>
      </c>
      <c r="P10" s="81" t="s">
        <v>172</v>
      </c>
      <c r="Q10" s="85">
        <v>7678.155339805825</v>
      </c>
      <c r="R10" s="81" t="s">
        <v>203</v>
      </c>
      <c r="S10" s="85">
        <v>-8000</v>
      </c>
      <c r="T10" s="81" t="s">
        <v>170</v>
      </c>
      <c r="U10" s="83">
        <v>0.1111111111111111</v>
      </c>
      <c r="V10" s="81" t="s">
        <v>141</v>
      </c>
      <c r="W10" s="84">
        <v>0.25328673656182393</v>
      </c>
      <c r="X10" s="81" t="s">
        <v>197</v>
      </c>
      <c r="Y10" s="84">
        <v>0.21794871794871795</v>
      </c>
      <c r="Z10" s="81" t="s">
        <v>197</v>
      </c>
      <c r="AA10" s="84">
        <v>0.55128205128205132</v>
      </c>
      <c r="AB10" s="81" t="s">
        <v>161</v>
      </c>
      <c r="AC10" s="84">
        <v>0.40425531914893614</v>
      </c>
      <c r="AD10" s="81" t="s">
        <v>127</v>
      </c>
      <c r="AE10" s="84">
        <v>0.41337386018237082</v>
      </c>
      <c r="AF10" s="81" t="s">
        <v>197</v>
      </c>
      <c r="AG10" s="88">
        <v>85100</v>
      </c>
    </row>
    <row r="11" spans="1:33" x14ac:dyDescent="0.45">
      <c r="A11" s="78">
        <v>9</v>
      </c>
      <c r="B11" s="79" t="s">
        <v>228</v>
      </c>
      <c r="C11" s="80">
        <v>-104.80000000000001</v>
      </c>
      <c r="D11" s="81" t="s">
        <v>172</v>
      </c>
      <c r="E11" s="93">
        <v>-5.8151162790697688</v>
      </c>
      <c r="F11" s="81" t="s">
        <v>228</v>
      </c>
      <c r="G11" s="82">
        <v>2.1428571428571428</v>
      </c>
      <c r="H11" s="81" t="s">
        <v>161</v>
      </c>
      <c r="I11" s="83">
        <v>0.30769230769230771</v>
      </c>
      <c r="J11" s="81" t="s">
        <v>196</v>
      </c>
      <c r="K11" s="83">
        <v>0.4</v>
      </c>
      <c r="L11" s="81" t="s">
        <v>161</v>
      </c>
      <c r="M11" s="84">
        <v>0.26689774696707108</v>
      </c>
      <c r="N11" s="81" t="s">
        <v>197</v>
      </c>
      <c r="O11" s="84">
        <v>0.18205128205128204</v>
      </c>
      <c r="P11" s="81" t="s">
        <v>228</v>
      </c>
      <c r="Q11" s="85">
        <v>7473.333333333333</v>
      </c>
      <c r="R11" s="81" t="s">
        <v>274</v>
      </c>
      <c r="S11" s="85">
        <v>-8000</v>
      </c>
      <c r="T11" s="81" t="s">
        <v>196</v>
      </c>
      <c r="U11" s="83">
        <v>0.12</v>
      </c>
      <c r="V11" s="81" t="s">
        <v>228</v>
      </c>
      <c r="W11" s="84">
        <v>0.24193548387096775</v>
      </c>
      <c r="X11" s="81" t="s">
        <v>172</v>
      </c>
      <c r="Y11" s="84">
        <v>0.20082530949105915</v>
      </c>
      <c r="Z11" s="81" t="s">
        <v>228</v>
      </c>
      <c r="AA11" s="84">
        <v>0.53333333333333333</v>
      </c>
      <c r="AB11" s="81" t="s">
        <v>170</v>
      </c>
      <c r="AC11" s="84">
        <v>0.3923076923076923</v>
      </c>
      <c r="AD11" s="81" t="s">
        <v>161</v>
      </c>
      <c r="AE11" s="84">
        <v>0.38311688311688313</v>
      </c>
      <c r="AF11" s="81" t="s">
        <v>172</v>
      </c>
      <c r="AG11" s="88">
        <v>69500</v>
      </c>
    </row>
    <row r="12" spans="1:33" x14ac:dyDescent="0.45">
      <c r="A12" s="78">
        <v>10</v>
      </c>
      <c r="B12" s="79" t="s">
        <v>172</v>
      </c>
      <c r="C12" s="80">
        <v>-500.10000000000014</v>
      </c>
      <c r="D12" s="81" t="s">
        <v>161</v>
      </c>
      <c r="E12" s="93">
        <v>-8.0953846153846172</v>
      </c>
      <c r="F12" s="81" t="s">
        <v>172</v>
      </c>
      <c r="G12" s="82">
        <v>2.1511627906976742</v>
      </c>
      <c r="H12" s="81" t="s">
        <v>171</v>
      </c>
      <c r="I12" s="83">
        <v>0.26126126126126126</v>
      </c>
      <c r="J12" s="81" t="s">
        <v>197</v>
      </c>
      <c r="K12" s="83">
        <v>0.47916666666666669</v>
      </c>
      <c r="L12" s="81" t="s">
        <v>196</v>
      </c>
      <c r="M12" s="84">
        <v>0.26250000000000001</v>
      </c>
      <c r="N12" s="81" t="s">
        <v>127</v>
      </c>
      <c r="O12" s="84">
        <v>0.18795620437956204</v>
      </c>
      <c r="P12" s="81" t="s">
        <v>203</v>
      </c>
      <c r="Q12" s="85">
        <v>7385.7142857142853</v>
      </c>
      <c r="R12" s="81" t="s">
        <v>197</v>
      </c>
      <c r="S12" s="85">
        <v>-8015.4929577464791</v>
      </c>
      <c r="T12" s="81" t="s">
        <v>127</v>
      </c>
      <c r="U12" s="83">
        <v>0.13740458015267176</v>
      </c>
      <c r="V12" s="81" t="s">
        <v>127</v>
      </c>
      <c r="W12" s="84">
        <v>0.2281021897810219</v>
      </c>
      <c r="X12" s="81" t="s">
        <v>274</v>
      </c>
      <c r="Y12" s="84">
        <v>0.17647058823529413</v>
      </c>
      <c r="Z12" s="81" t="s">
        <v>161</v>
      </c>
      <c r="AA12" s="84">
        <v>0.5</v>
      </c>
      <c r="AB12" s="81" t="s">
        <v>127</v>
      </c>
      <c r="AC12" s="84">
        <v>0.38165680473372782</v>
      </c>
      <c r="AD12" s="81" t="s">
        <v>228</v>
      </c>
      <c r="AE12" s="84">
        <v>0.33333333333333331</v>
      </c>
      <c r="AF12" s="81" t="s">
        <v>228</v>
      </c>
      <c r="AG12" s="88">
        <v>59500</v>
      </c>
    </row>
    <row r="13" spans="1:33" x14ac:dyDescent="0.45">
      <c r="A13" s="78">
        <v>11</v>
      </c>
      <c r="B13" s="79" t="s">
        <v>161</v>
      </c>
      <c r="C13" s="80">
        <v>-526.20000000000016</v>
      </c>
      <c r="D13" s="81" t="s">
        <v>197</v>
      </c>
      <c r="E13" s="93">
        <v>-11.35416666666667</v>
      </c>
      <c r="F13" s="81" t="s">
        <v>161</v>
      </c>
      <c r="G13" s="82">
        <v>2.1846153846153844</v>
      </c>
      <c r="H13" s="81" t="s">
        <v>172</v>
      </c>
      <c r="I13" s="83">
        <v>0.22093023255813954</v>
      </c>
      <c r="J13" s="81" t="s">
        <v>161</v>
      </c>
      <c r="K13" s="83">
        <v>0.49230769230769234</v>
      </c>
      <c r="L13" s="81" t="s">
        <v>197</v>
      </c>
      <c r="M13" s="84">
        <v>0.25384615384615383</v>
      </c>
      <c r="N13" s="81" t="s">
        <v>172</v>
      </c>
      <c r="O13" s="84">
        <v>0.18844566712517194</v>
      </c>
      <c r="P13" s="81" t="s">
        <v>161</v>
      </c>
      <c r="Q13" s="85">
        <v>7048.7012987012986</v>
      </c>
      <c r="R13" s="81" t="s">
        <v>170</v>
      </c>
      <c r="S13" s="85">
        <v>-8434.5323741007196</v>
      </c>
      <c r="T13" s="81" t="s">
        <v>197</v>
      </c>
      <c r="U13" s="83">
        <v>0.1875</v>
      </c>
      <c r="V13" s="81" t="s">
        <v>197</v>
      </c>
      <c r="W13" s="84">
        <v>0.2</v>
      </c>
      <c r="X13" s="81" t="s">
        <v>170</v>
      </c>
      <c r="Y13" s="84">
        <v>0.16352201257861634</v>
      </c>
      <c r="Z13" s="81" t="s">
        <v>203</v>
      </c>
      <c r="AA13" s="84">
        <v>0.5</v>
      </c>
      <c r="AB13" s="81" t="s">
        <v>196</v>
      </c>
      <c r="AC13" s="84">
        <v>0.33333333333333331</v>
      </c>
      <c r="AD13" s="81" t="s">
        <v>203</v>
      </c>
      <c r="AE13" s="84">
        <v>0.2857142857142857</v>
      </c>
      <c r="AF13" s="81" t="s">
        <v>203</v>
      </c>
      <c r="AG13" s="88">
        <v>52800</v>
      </c>
    </row>
    <row r="14" spans="1:33" x14ac:dyDescent="0.45">
      <c r="A14" s="78">
        <v>12</v>
      </c>
      <c r="B14" s="79" t="s">
        <v>197</v>
      </c>
      <c r="C14" s="80">
        <v>-545.00000000000011</v>
      </c>
      <c r="D14" s="81" t="s">
        <v>228</v>
      </c>
      <c r="E14" s="93">
        <v>-14.971428571428573</v>
      </c>
      <c r="F14" s="81" t="s">
        <v>197</v>
      </c>
      <c r="G14" s="82">
        <v>2.2916666666666665</v>
      </c>
      <c r="H14" s="81" t="s">
        <v>197</v>
      </c>
      <c r="I14" s="83">
        <v>0.1875</v>
      </c>
      <c r="J14" s="81" t="s">
        <v>228</v>
      </c>
      <c r="K14" s="83">
        <v>0.5714285714285714</v>
      </c>
      <c r="L14" s="81" t="s">
        <v>228</v>
      </c>
      <c r="M14" s="84">
        <v>0.24193548387096775</v>
      </c>
      <c r="N14" s="81" t="s">
        <v>228</v>
      </c>
      <c r="O14" s="84">
        <v>0.19354838709677419</v>
      </c>
      <c r="P14" s="81" t="s">
        <v>274</v>
      </c>
      <c r="Q14" s="85">
        <v>5575</v>
      </c>
      <c r="R14" s="81" t="s">
        <v>228</v>
      </c>
      <c r="S14" s="85">
        <v>-9075</v>
      </c>
      <c r="T14" s="81" t="s">
        <v>228</v>
      </c>
      <c r="U14" s="83">
        <v>0.5714285714285714</v>
      </c>
      <c r="V14" s="81" t="s">
        <v>161</v>
      </c>
      <c r="W14" s="84">
        <v>0.14558058925476602</v>
      </c>
      <c r="X14" s="81" t="s">
        <v>196</v>
      </c>
      <c r="Y14" s="84">
        <v>0.15</v>
      </c>
      <c r="Z14" s="81" t="s">
        <v>127</v>
      </c>
      <c r="AA14" s="84">
        <v>0.49199999999999999</v>
      </c>
      <c r="AB14" s="81" t="s">
        <v>228</v>
      </c>
      <c r="AC14" s="84">
        <v>0.27272727272727271</v>
      </c>
      <c r="AD14" s="81" t="s">
        <v>274</v>
      </c>
      <c r="AE14" s="84">
        <v>0.125</v>
      </c>
      <c r="AF14" s="81" t="s">
        <v>274</v>
      </c>
      <c r="AG14" s="88">
        <v>45200</v>
      </c>
    </row>
  </sheetData>
  <sortState xmlns:xlrd2="http://schemas.microsoft.com/office/spreadsheetml/2017/richdata2" ref="AF3:AG42">
    <sortCondition descending="1" ref="AG1"/>
  </sortState>
  <mergeCells count="32"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  <mergeCell ref="B2:C2"/>
    <mergeCell ref="D2:E2"/>
    <mergeCell ref="F2:G2"/>
    <mergeCell ref="H2:I2"/>
    <mergeCell ref="L2:M2"/>
    <mergeCell ref="J2:K2"/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4557-8680-4C68-9C14-24ABF1194E04}">
  <sheetPr codeName="Sheet4"/>
  <dimension ref="A1:Q725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141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723</v>
      </c>
      <c r="C2" s="159"/>
      <c r="E2" s="58" t="s">
        <v>66</v>
      </c>
      <c r="F2" s="55" t="s">
        <v>22</v>
      </c>
      <c r="G2" s="43">
        <v>1356</v>
      </c>
      <c r="H2" s="128">
        <f>IF(B$15=0,0,G2/B$15)</f>
        <v>0.76523702031602714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-27.777777777777779</v>
      </c>
      <c r="P2" s="114">
        <v>720</v>
      </c>
      <c r="Q2" s="98">
        <v>-20000</v>
      </c>
    </row>
    <row r="3" spans="1:17" x14ac:dyDescent="0.45">
      <c r="A3" s="51" t="s">
        <v>8</v>
      </c>
      <c r="B3" s="160">
        <v>6009</v>
      </c>
      <c r="C3" s="161"/>
      <c r="E3" s="59" t="s">
        <v>72</v>
      </c>
      <c r="F3" s="56" t="s">
        <v>27</v>
      </c>
      <c r="G3" s="44">
        <v>952</v>
      </c>
      <c r="H3" s="129">
        <f>IF(B$15=0,0,G3/B$15)</f>
        <v>0.53724604966139955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12.711864406779661</v>
      </c>
      <c r="P3" s="115">
        <v>708</v>
      </c>
      <c r="Q3" s="99">
        <v>9000</v>
      </c>
    </row>
    <row r="4" spans="1:17" x14ac:dyDescent="0.45">
      <c r="A4" s="51" t="s">
        <v>6</v>
      </c>
      <c r="B4" s="162">
        <v>-4.2632564145606011E-14</v>
      </c>
      <c r="C4" s="163"/>
      <c r="E4" s="59" t="s">
        <v>64</v>
      </c>
      <c r="F4" s="56" t="s">
        <v>20</v>
      </c>
      <c r="G4" s="44">
        <v>819</v>
      </c>
      <c r="H4" s="129">
        <f>IF(B$15=0,0,G4/B$15)</f>
        <v>0.46218961625282168</v>
      </c>
      <c r="I4" s="90">
        <v>7</v>
      </c>
      <c r="K4" s="36">
        <v>2</v>
      </c>
      <c r="L4" s="95">
        <v>45.6</v>
      </c>
      <c r="N4" s="111" t="s">
        <v>132</v>
      </c>
      <c r="O4" s="118">
        <f t="shared" si="0"/>
        <v>-10.51051051051051</v>
      </c>
      <c r="P4" s="115">
        <v>666</v>
      </c>
      <c r="Q4" s="99">
        <v>-7000</v>
      </c>
    </row>
    <row r="5" spans="1:17" x14ac:dyDescent="0.45">
      <c r="A5" s="51" t="s">
        <v>7</v>
      </c>
      <c r="B5" s="164">
        <f>IF(B$2=0,0,B$4/B$2)</f>
        <v>-5.896620213776765E-17</v>
      </c>
      <c r="C5" s="165"/>
      <c r="E5" s="59" t="s">
        <v>166</v>
      </c>
      <c r="F5" s="56" t="s">
        <v>167</v>
      </c>
      <c r="G5" s="44">
        <v>708</v>
      </c>
      <c r="H5" s="129">
        <f>IF(B$15=0,0,G5/B$15)</f>
        <v>0.39954853273137697</v>
      </c>
      <c r="I5" s="90">
        <v>4</v>
      </c>
      <c r="K5" s="36">
        <v>3</v>
      </c>
      <c r="L5" s="95">
        <v>0</v>
      </c>
      <c r="N5" s="111" t="s">
        <v>133</v>
      </c>
      <c r="O5" s="118">
        <f t="shared" si="0"/>
        <v>9.5693779904306222</v>
      </c>
      <c r="P5" s="115">
        <v>627</v>
      </c>
      <c r="Q5" s="99">
        <v>6000</v>
      </c>
    </row>
    <row r="6" spans="1:17" x14ac:dyDescent="0.45">
      <c r="A6" s="51" t="s">
        <v>1</v>
      </c>
      <c r="B6" s="154">
        <f>IF(B$2=0,0,(B$7*1+B$8*2+B$9*3)/B$2)</f>
        <v>2</v>
      </c>
      <c r="C6" s="155"/>
      <c r="E6" s="59" t="s">
        <v>68</v>
      </c>
      <c r="F6" s="56" t="s">
        <v>12</v>
      </c>
      <c r="G6" s="44">
        <v>550</v>
      </c>
      <c r="H6" s="129">
        <f>IF(B$15=0,0,G6/B$15)</f>
        <v>0.31038374717832956</v>
      </c>
      <c r="I6" s="90">
        <v>5</v>
      </c>
      <c r="K6" s="36">
        <v>4</v>
      </c>
      <c r="L6" s="95">
        <v>24.5</v>
      </c>
      <c r="N6" s="111" t="s">
        <v>134</v>
      </c>
      <c r="O6" s="118">
        <f t="shared" si="0"/>
        <v>8.6805555555555554</v>
      </c>
      <c r="P6" s="115">
        <v>576</v>
      </c>
      <c r="Q6" s="99">
        <v>5000</v>
      </c>
    </row>
    <row r="7" spans="1:17" x14ac:dyDescent="0.45">
      <c r="A7" s="51" t="s">
        <v>2</v>
      </c>
      <c r="B7" s="44">
        <v>241</v>
      </c>
      <c r="C7" s="37">
        <f t="shared" ref="C7:C10" si="1">IF(B$2=0,0,B7/B$2)</f>
        <v>0.33333333333333331</v>
      </c>
      <c r="E7" s="59" t="s">
        <v>67</v>
      </c>
      <c r="F7" s="56" t="s">
        <v>23</v>
      </c>
      <c r="G7" s="44">
        <v>503</v>
      </c>
      <c r="H7" s="129">
        <f>IF(B$15=0,0,G7/B$15)</f>
        <v>0.28386004514672686</v>
      </c>
      <c r="I7" s="90">
        <v>5</v>
      </c>
      <c r="K7" s="36">
        <v>5</v>
      </c>
      <c r="L7" s="95">
        <v>-11.299999999999997</v>
      </c>
      <c r="N7" s="112" t="s">
        <v>135</v>
      </c>
      <c r="O7" s="119">
        <f t="shared" si="0"/>
        <v>12.422360248447205</v>
      </c>
      <c r="P7" s="116">
        <v>483</v>
      </c>
      <c r="Q7" s="100">
        <v>6000</v>
      </c>
    </row>
    <row r="8" spans="1:17" x14ac:dyDescent="0.45">
      <c r="A8" s="51" t="s">
        <v>3</v>
      </c>
      <c r="B8" s="44">
        <v>241</v>
      </c>
      <c r="C8" s="37">
        <f t="shared" si="1"/>
        <v>0.33333333333333331</v>
      </c>
      <c r="E8" s="59" t="s">
        <v>69</v>
      </c>
      <c r="F8" s="56" t="s">
        <v>24</v>
      </c>
      <c r="G8" s="44">
        <v>261</v>
      </c>
      <c r="H8" s="129">
        <f>IF(B$15=0,0,G8/B$15)</f>
        <v>0.14729119638826185</v>
      </c>
      <c r="I8" s="90">
        <v>4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5">
      <c r="A9" s="52" t="s">
        <v>4</v>
      </c>
      <c r="B9" s="45">
        <v>241</v>
      </c>
      <c r="C9" s="38">
        <f t="shared" si="1"/>
        <v>0.33333333333333331</v>
      </c>
      <c r="E9" s="59" t="s">
        <v>89</v>
      </c>
      <c r="F9" s="56" t="s">
        <v>44</v>
      </c>
      <c r="G9" s="44">
        <v>235</v>
      </c>
      <c r="H9" s="129">
        <f>IF(B$15=0,0,G9/B$15)</f>
        <v>0.13261851015801354</v>
      </c>
      <c r="I9" s="90">
        <v>5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71</v>
      </c>
      <c r="C10" s="40">
        <f t="shared" si="1"/>
        <v>9.8201936376210233E-2</v>
      </c>
      <c r="E10" s="59" t="s">
        <v>65</v>
      </c>
      <c r="F10" s="56" t="s">
        <v>21</v>
      </c>
      <c r="G10" s="44">
        <v>186</v>
      </c>
      <c r="H10" s="129">
        <f>IF(B$15=0,0,G10/B$15)</f>
        <v>0.10496613995485328</v>
      </c>
      <c r="I10" s="90">
        <v>7</v>
      </c>
      <c r="K10" s="36">
        <v>8</v>
      </c>
      <c r="L10" s="95">
        <v>-46.9</v>
      </c>
      <c r="N10" s="110" t="s">
        <v>157</v>
      </c>
      <c r="O10" s="120">
        <f>IF(P10=0,0,Q10/P10)</f>
        <v>-1.5120331950207477</v>
      </c>
      <c r="P10" s="114">
        <v>241</v>
      </c>
      <c r="Q10" s="102">
        <v>-364.4000000000002</v>
      </c>
    </row>
    <row r="11" spans="1:17" x14ac:dyDescent="0.45">
      <c r="A11" s="54" t="s">
        <v>121</v>
      </c>
      <c r="B11" s="47">
        <v>1522</v>
      </c>
      <c r="C11" s="42">
        <f>IF(B$3=0,0,B11/B$3)</f>
        <v>0.25328673656182393</v>
      </c>
      <c r="E11" s="59" t="s">
        <v>70</v>
      </c>
      <c r="F11" s="56" t="s">
        <v>25</v>
      </c>
      <c r="G11" s="44">
        <v>162</v>
      </c>
      <c r="H11" s="129">
        <f>IF(B$15=0,0,G11/B$15)</f>
        <v>9.1422121896162528E-2</v>
      </c>
      <c r="I11" s="90">
        <v>8</v>
      </c>
      <c r="K11" s="36">
        <v>9</v>
      </c>
      <c r="L11" s="95">
        <v>0</v>
      </c>
      <c r="N11" s="111" t="s">
        <v>158</v>
      </c>
      <c r="O11" s="121">
        <f>IF(P11=0,0,Q11/P11)</f>
        <v>0.84481327800829875</v>
      </c>
      <c r="P11" s="115">
        <v>241</v>
      </c>
      <c r="Q11" s="103">
        <v>203.6</v>
      </c>
    </row>
    <row r="12" spans="1:17" x14ac:dyDescent="0.45">
      <c r="A12" s="51" t="s">
        <v>118</v>
      </c>
      <c r="B12" s="44">
        <v>1374</v>
      </c>
      <c r="C12" s="37">
        <f>IF(B$3=0,0,B12/B$3)</f>
        <v>0.22865701447828257</v>
      </c>
      <c r="E12" s="59" t="s">
        <v>71</v>
      </c>
      <c r="F12" s="56" t="s">
        <v>26</v>
      </c>
      <c r="G12" s="44">
        <v>139</v>
      </c>
      <c r="H12" s="129">
        <f>IF(B$15=0,0,G12/B$15)</f>
        <v>7.8442437923250563E-2</v>
      </c>
      <c r="I12" s="90">
        <v>8</v>
      </c>
      <c r="K12" s="36">
        <v>10</v>
      </c>
      <c r="L12" s="95">
        <v>-12</v>
      </c>
      <c r="N12" s="112" t="s">
        <v>159</v>
      </c>
      <c r="O12" s="122">
        <f>IF(P12=0,0,Q12/P12)</f>
        <v>0.66721991701244754</v>
      </c>
      <c r="P12" s="116">
        <v>241</v>
      </c>
      <c r="Q12" s="104">
        <v>160.79999999999987</v>
      </c>
    </row>
    <row r="13" spans="1:17" x14ac:dyDescent="0.45">
      <c r="A13" s="50" t="s">
        <v>123</v>
      </c>
      <c r="B13" s="43">
        <f>B19</f>
        <v>850</v>
      </c>
      <c r="C13" s="35">
        <f>IF(B$11=0,0,B13/B$11)</f>
        <v>0.55847568988173457</v>
      </c>
      <c r="E13" s="59" t="s">
        <v>86</v>
      </c>
      <c r="F13" s="56" t="s">
        <v>41</v>
      </c>
      <c r="G13" s="44">
        <v>94</v>
      </c>
      <c r="H13" s="129">
        <f>IF(B$15=0,0,G13/B$15)</f>
        <v>5.3047404063205419E-2</v>
      </c>
      <c r="I13" s="90">
        <v>6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575</v>
      </c>
      <c r="C14" s="35">
        <f>IF(B$12=0,0,B14/B$12)</f>
        <v>0.41848617176128095</v>
      </c>
      <c r="E14" s="59" t="s">
        <v>83</v>
      </c>
      <c r="F14" s="56" t="s">
        <v>38</v>
      </c>
      <c r="G14" s="44">
        <v>91</v>
      </c>
      <c r="H14" s="129">
        <f>IF(B$15=0,0,G14/B$15)</f>
        <v>5.1354401805869074E-2</v>
      </c>
      <c r="I14" s="90">
        <v>6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1772</v>
      </c>
      <c r="C15" s="35">
        <f>IF(B$3=0,0,B15/B$3)</f>
        <v>0.29489099683807624</v>
      </c>
      <c r="E15" s="59" t="s">
        <v>162</v>
      </c>
      <c r="F15" s="56" t="s">
        <v>163</v>
      </c>
      <c r="G15" s="44">
        <v>44</v>
      </c>
      <c r="H15" s="129">
        <f>IF(B$15=0,0,G15/B$15)</f>
        <v>2.4830699774266364E-2</v>
      </c>
      <c r="I15" s="90">
        <v>3</v>
      </c>
      <c r="K15" s="36">
        <v>13</v>
      </c>
      <c r="L15" s="95">
        <v>-1.7</v>
      </c>
      <c r="N15" s="110" t="s">
        <v>228</v>
      </c>
      <c r="O15" s="120">
        <f>IF(P15=0,0,Q15/P15)</f>
        <v>22.457142857142856</v>
      </c>
      <c r="P15" s="114">
        <v>14</v>
      </c>
      <c r="Q15" s="102">
        <v>314.39999999999998</v>
      </c>
    </row>
    <row r="16" spans="1:17" x14ac:dyDescent="0.45">
      <c r="A16" s="51" t="s">
        <v>13</v>
      </c>
      <c r="B16" s="44">
        <v>983</v>
      </c>
      <c r="C16" s="37">
        <f>IF(B$3=0,0,B16/B$3)</f>
        <v>0.16358795140622401</v>
      </c>
      <c r="E16" s="59" t="s">
        <v>78</v>
      </c>
      <c r="F16" s="56" t="s">
        <v>33</v>
      </c>
      <c r="G16" s="44">
        <v>41</v>
      </c>
      <c r="H16" s="129">
        <f>IF(B$15=0,0,G16/B$15)</f>
        <v>2.3137697516930022E-2</v>
      </c>
      <c r="I16" s="90">
        <v>5</v>
      </c>
      <c r="K16" s="36">
        <v>14</v>
      </c>
      <c r="L16" s="95">
        <v>24.3</v>
      </c>
      <c r="N16" s="111" t="s">
        <v>197</v>
      </c>
      <c r="O16" s="121">
        <f>IF(P16=0,0,Q16/P16)</f>
        <v>17.031249999999982</v>
      </c>
      <c r="P16" s="115">
        <v>96</v>
      </c>
      <c r="Q16" s="103">
        <v>1634.9999999999984</v>
      </c>
    </row>
    <row r="17" spans="1:17" x14ac:dyDescent="0.45">
      <c r="A17" s="51" t="s">
        <v>12</v>
      </c>
      <c r="B17" s="44">
        <v>781</v>
      </c>
      <c r="C17" s="37">
        <f>IF(B$15=0,0,B17/B$15)</f>
        <v>0.44074492099322798</v>
      </c>
      <c r="E17" s="59" t="s">
        <v>81</v>
      </c>
      <c r="F17" s="56" t="s">
        <v>36</v>
      </c>
      <c r="G17" s="44">
        <v>32</v>
      </c>
      <c r="H17" s="129">
        <f>IF(B$15=0,0,G17/B$15)</f>
        <v>1.8058690744920992E-2</v>
      </c>
      <c r="I17" s="90">
        <v>4</v>
      </c>
      <c r="K17" s="36">
        <v>15</v>
      </c>
      <c r="L17" s="95">
        <v>0</v>
      </c>
      <c r="N17" s="111" t="s">
        <v>161</v>
      </c>
      <c r="O17" s="121">
        <f>IF(P17=0,0,Q17/P17)</f>
        <v>12.143076923076922</v>
      </c>
      <c r="P17" s="115">
        <v>130</v>
      </c>
      <c r="Q17" s="103">
        <v>1578.6</v>
      </c>
    </row>
    <row r="18" spans="1:17" x14ac:dyDescent="0.45">
      <c r="A18" s="51" t="s">
        <v>11</v>
      </c>
      <c r="B18" s="44">
        <v>991</v>
      </c>
      <c r="C18" s="37">
        <f>IF(B$15=0,0,B18/B$15)</f>
        <v>0.55925507900677196</v>
      </c>
      <c r="E18" s="59" t="s">
        <v>91</v>
      </c>
      <c r="F18" s="56" t="s">
        <v>46</v>
      </c>
      <c r="G18" s="44">
        <v>24</v>
      </c>
      <c r="H18" s="129">
        <f>IF(B$15=0,0,G18/B$15)</f>
        <v>1.3544018058690745E-2</v>
      </c>
      <c r="I18" s="90">
        <v>5</v>
      </c>
      <c r="K18" s="36">
        <v>16</v>
      </c>
      <c r="L18" s="95">
        <v>-28.2</v>
      </c>
      <c r="N18" s="111" t="s">
        <v>172</v>
      </c>
      <c r="O18" s="121">
        <f>IF(P18=0,0,Q18/P18)</f>
        <v>8.7226744186046474</v>
      </c>
      <c r="P18" s="115">
        <v>172</v>
      </c>
      <c r="Q18" s="103">
        <v>1500.2999999999993</v>
      </c>
    </row>
    <row r="19" spans="1:17" x14ac:dyDescent="0.45">
      <c r="A19" s="51" t="s">
        <v>195</v>
      </c>
      <c r="B19" s="44">
        <v>850</v>
      </c>
      <c r="C19" s="37">
        <f>IF(B$15=0,0,B19/B$15)</f>
        <v>0.47968397291196391</v>
      </c>
      <c r="E19" s="59" t="s">
        <v>79</v>
      </c>
      <c r="F19" s="56" t="s">
        <v>34</v>
      </c>
      <c r="G19" s="44">
        <v>22</v>
      </c>
      <c r="H19" s="129">
        <f>IF(B$15=0,0,G19/B$15)</f>
        <v>1.2415349887133182E-2</v>
      </c>
      <c r="I19" s="90">
        <v>5</v>
      </c>
      <c r="K19" s="36">
        <v>17</v>
      </c>
      <c r="L19" s="95">
        <v>-20.5</v>
      </c>
      <c r="N19" s="111" t="s">
        <v>196</v>
      </c>
      <c r="O19" s="121">
        <f>IF(P19=0,0,Q19/P19)</f>
        <v>2.742</v>
      </c>
      <c r="P19" s="115">
        <v>50</v>
      </c>
      <c r="Q19" s="103">
        <v>137.1</v>
      </c>
    </row>
    <row r="20" spans="1:17" x14ac:dyDescent="0.45">
      <c r="A20" s="51" t="s">
        <v>193</v>
      </c>
      <c r="B20" s="44">
        <v>575</v>
      </c>
      <c r="C20" s="37">
        <f>IF(B$15=0,0,B20/B$15)</f>
        <v>0.3244920993227991</v>
      </c>
      <c r="E20" s="59" t="s">
        <v>75</v>
      </c>
      <c r="F20" s="56" t="s">
        <v>30</v>
      </c>
      <c r="G20" s="44">
        <v>13</v>
      </c>
      <c r="H20" s="129">
        <f>IF(B$15=0,0,G20/B$15)</f>
        <v>7.3363431151241536E-3</v>
      </c>
      <c r="I20" s="90">
        <v>4</v>
      </c>
      <c r="K20" s="36">
        <v>18</v>
      </c>
      <c r="L20" s="95">
        <v>0</v>
      </c>
      <c r="N20" s="111" t="s">
        <v>127</v>
      </c>
      <c r="O20" s="121">
        <f>IF(P20=0,0,Q20/P20)</f>
        <v>-0.38358778625954659</v>
      </c>
      <c r="P20" s="115">
        <v>262</v>
      </c>
      <c r="Q20" s="103">
        <v>-100.50000000000121</v>
      </c>
    </row>
    <row r="21" spans="1:17" x14ac:dyDescent="0.45">
      <c r="A21" s="51" t="s">
        <v>194</v>
      </c>
      <c r="B21" s="44">
        <v>347</v>
      </c>
      <c r="C21" s="37">
        <f>IF(B$15=0,0,B21/B$15)</f>
        <v>0.19582392776523702</v>
      </c>
      <c r="E21" s="59" t="s">
        <v>92</v>
      </c>
      <c r="F21" s="56" t="s">
        <v>47</v>
      </c>
      <c r="G21" s="44">
        <v>11</v>
      </c>
      <c r="H21" s="129">
        <f>IF(B$15=0,0,G21/B$15)</f>
        <v>6.207674943566591E-3</v>
      </c>
      <c r="I21" s="90">
        <v>5</v>
      </c>
      <c r="K21" s="36">
        <v>19</v>
      </c>
      <c r="L21" s="95">
        <v>-22.4</v>
      </c>
      <c r="N21" s="111" t="s">
        <v>171</v>
      </c>
      <c r="O21" s="121">
        <f>IF(P21=0,0,Q21/P21)</f>
        <v>-1.4364864864864872</v>
      </c>
      <c r="P21" s="115">
        <v>222</v>
      </c>
      <c r="Q21" s="103">
        <v>-318.90000000000015</v>
      </c>
    </row>
    <row r="22" spans="1:17" x14ac:dyDescent="0.45">
      <c r="A22" s="51" t="s">
        <v>5</v>
      </c>
      <c r="B22" s="48">
        <f>IF(B$15=0,0,C22/B$15)</f>
        <v>8428.2731376975171</v>
      </c>
      <c r="C22" s="39">
        <v>14934900</v>
      </c>
      <c r="E22" s="59" t="s">
        <v>73</v>
      </c>
      <c r="F22" s="56" t="s">
        <v>28</v>
      </c>
      <c r="G22" s="44">
        <v>8</v>
      </c>
      <c r="H22" s="129">
        <f>IF(B$15=0,0,G22/B$15)</f>
        <v>4.5146726862302479E-3</v>
      </c>
      <c r="I22" s="90">
        <v>3</v>
      </c>
      <c r="K22" s="36">
        <v>20</v>
      </c>
      <c r="L22" s="95">
        <v>-61.199999999999996</v>
      </c>
      <c r="N22" s="111" t="s">
        <v>170</v>
      </c>
      <c r="O22" s="121">
        <f>IF(P22=0,0,Q22/P22)</f>
        <v>-5.8590909090909076</v>
      </c>
      <c r="P22" s="115">
        <v>198</v>
      </c>
      <c r="Q22" s="103">
        <v>-1160.0999999999997</v>
      </c>
    </row>
    <row r="23" spans="1:17" x14ac:dyDescent="0.45">
      <c r="A23" s="52" t="s">
        <v>177</v>
      </c>
      <c r="B23" s="136">
        <f>IF($B$15-B$14=0,0,C23/($B$15-B$14))</f>
        <v>9050.9607351712621</v>
      </c>
      <c r="C23" s="137">
        <v>10834000</v>
      </c>
      <c r="E23" s="59" t="s">
        <v>84</v>
      </c>
      <c r="F23" s="56" t="s">
        <v>39</v>
      </c>
      <c r="G23" s="44">
        <v>7</v>
      </c>
      <c r="H23" s="129">
        <f>IF(B$15=0,0,G23/B$15)</f>
        <v>3.9503386004514675E-3</v>
      </c>
      <c r="I23" s="90">
        <v>4</v>
      </c>
      <c r="K23" s="36">
        <v>21</v>
      </c>
      <c r="L23" s="95">
        <v>7.1054273576010019E-15</v>
      </c>
      <c r="N23" s="111" t="s">
        <v>126</v>
      </c>
      <c r="O23" s="121">
        <f>IF(P23=0,0,Q23/P23)</f>
        <v>-11.645918367346933</v>
      </c>
      <c r="P23" s="115">
        <v>294</v>
      </c>
      <c r="Q23" s="103">
        <v>-3423.8999999999983</v>
      </c>
    </row>
    <row r="24" spans="1:17" x14ac:dyDescent="0.45">
      <c r="A24" s="52" t="s">
        <v>178</v>
      </c>
      <c r="B24" s="136">
        <f>IF(B$14=0,0,C24/B$14)</f>
        <v>7132</v>
      </c>
      <c r="C24" s="137">
        <v>4100900</v>
      </c>
      <c r="E24" s="59" t="s">
        <v>74</v>
      </c>
      <c r="F24" s="56" t="s">
        <v>29</v>
      </c>
      <c r="G24" s="44">
        <v>6</v>
      </c>
      <c r="H24" s="129">
        <f>IF(B$15=0,0,G24/B$15)</f>
        <v>3.3860045146726862E-3</v>
      </c>
      <c r="I24" s="90">
        <v>5</v>
      </c>
      <c r="K24" s="36">
        <v>22</v>
      </c>
      <c r="L24" s="95">
        <v>-25.099999999999994</v>
      </c>
      <c r="N24" s="111" t="s">
        <v>203</v>
      </c>
      <c r="O24" s="121">
        <f>IF(P24=0,0,Q24/P24)</f>
        <v>-19.650000000000006</v>
      </c>
      <c r="P24" s="115">
        <v>4</v>
      </c>
      <c r="Q24" s="103">
        <v>-78.600000000000023</v>
      </c>
    </row>
    <row r="25" spans="1:17" x14ac:dyDescent="0.45">
      <c r="A25" s="52" t="s">
        <v>176</v>
      </c>
      <c r="B25" s="136">
        <f>IF(B$16=0,0,C25/B$16)</f>
        <v>-7781.1800610376395</v>
      </c>
      <c r="C25" s="137">
        <v>-7648900</v>
      </c>
      <c r="E25" s="59" t="s">
        <v>85</v>
      </c>
      <c r="F25" s="56" t="s">
        <v>40</v>
      </c>
      <c r="G25" s="44">
        <v>6</v>
      </c>
      <c r="H25" s="129">
        <f>IF(B$15=0,0,G25/B$15)</f>
        <v>3.3860045146726862E-3</v>
      </c>
      <c r="I25" s="90">
        <v>5</v>
      </c>
      <c r="K25" s="36">
        <v>23</v>
      </c>
      <c r="L25" s="95">
        <v>-26.799999999999994</v>
      </c>
      <c r="N25" s="111" t="s">
        <v>274</v>
      </c>
      <c r="O25" s="121">
        <f>IF(P25=0,0,Q25/P25)</f>
        <v>-20.85</v>
      </c>
      <c r="P25" s="115">
        <v>4</v>
      </c>
      <c r="Q25" s="103">
        <v>-83.4</v>
      </c>
    </row>
    <row r="26" spans="1:17" x14ac:dyDescent="0.45">
      <c r="A26" s="51" t="s">
        <v>164</v>
      </c>
      <c r="B26" s="44">
        <v>7</v>
      </c>
      <c r="C26" s="131">
        <v>0</v>
      </c>
      <c r="E26" s="59" t="s">
        <v>77</v>
      </c>
      <c r="F26" s="56" t="s">
        <v>32</v>
      </c>
      <c r="G26" s="44">
        <v>5</v>
      </c>
      <c r="H26" s="129">
        <f>IF(B$15=0,0,G26/B$15)</f>
        <v>2.8216704288939053E-3</v>
      </c>
      <c r="I26" s="90">
        <v>4</v>
      </c>
      <c r="K26" s="36">
        <v>24</v>
      </c>
      <c r="L26" s="95">
        <v>7.1054273576010019E-15</v>
      </c>
    </row>
    <row r="27" spans="1:17" x14ac:dyDescent="0.45">
      <c r="A27" s="51" t="s">
        <v>165</v>
      </c>
      <c r="B27" s="44">
        <v>31</v>
      </c>
      <c r="C27" s="131">
        <v>11</v>
      </c>
      <c r="E27" s="59" t="s">
        <v>88</v>
      </c>
      <c r="F27" s="56" t="s">
        <v>43</v>
      </c>
      <c r="G27" s="44">
        <v>5</v>
      </c>
      <c r="H27" s="129">
        <f>IF(B$15=0,0,G27/B$15)</f>
        <v>2.8216704288939053E-3</v>
      </c>
      <c r="I27" s="90">
        <v>4</v>
      </c>
      <c r="K27" s="36">
        <v>25</v>
      </c>
      <c r="L27" s="95">
        <v>15.000000000000007</v>
      </c>
    </row>
    <row r="28" spans="1:17" x14ac:dyDescent="0.45">
      <c r="A28" s="86" t="s">
        <v>138</v>
      </c>
      <c r="B28" s="152">
        <v>8</v>
      </c>
      <c r="C28" s="153"/>
      <c r="E28" s="59" t="s">
        <v>90</v>
      </c>
      <c r="F28" s="56" t="s">
        <v>45</v>
      </c>
      <c r="G28" s="44">
        <v>4</v>
      </c>
      <c r="H28" s="129">
        <f>IF(B$15=0,0,G28/B$15)</f>
        <v>2.257336343115124E-3</v>
      </c>
      <c r="I28" s="90">
        <v>4</v>
      </c>
      <c r="K28" s="36">
        <v>26</v>
      </c>
      <c r="L28" s="95">
        <v>0.60000000000000675</v>
      </c>
    </row>
    <row r="29" spans="1:17" x14ac:dyDescent="0.45">
      <c r="A29" s="54" t="s">
        <v>192</v>
      </c>
      <c r="B29" s="150">
        <v>149100</v>
      </c>
      <c r="C29" s="151"/>
      <c r="E29" s="59" t="s">
        <v>95</v>
      </c>
      <c r="F29" s="56" t="s">
        <v>50</v>
      </c>
      <c r="G29" s="44">
        <v>4</v>
      </c>
      <c r="H29" s="129">
        <f>IF(B$15=0,0,G29/B$15)</f>
        <v>2.257336343115124E-3</v>
      </c>
      <c r="I29" s="90">
        <v>4</v>
      </c>
      <c r="K29" s="36">
        <v>27</v>
      </c>
      <c r="L29" s="95">
        <v>6.7723604502134549E-15</v>
      </c>
    </row>
    <row r="30" spans="1:17" x14ac:dyDescent="0.45">
      <c r="A30" s="53" t="s">
        <v>139</v>
      </c>
      <c r="B30" s="61">
        <v>16</v>
      </c>
      <c r="C30" s="40">
        <f>IF(B$3=0,0,B30/B$3)</f>
        <v>2.6626726576801465E-3</v>
      </c>
      <c r="E30" s="59" t="s">
        <v>93</v>
      </c>
      <c r="F30" s="56" t="s">
        <v>48</v>
      </c>
      <c r="G30" s="44">
        <v>3</v>
      </c>
      <c r="H30" s="129">
        <f>IF(B$15=0,0,G30/B$15)</f>
        <v>1.6930022573363431E-3</v>
      </c>
      <c r="I30" s="90">
        <v>4</v>
      </c>
      <c r="K30" s="36">
        <v>28</v>
      </c>
      <c r="L30" s="95">
        <v>-30.199999999999992</v>
      </c>
    </row>
    <row r="31" spans="1:17" x14ac:dyDescent="0.45">
      <c r="E31" s="59" t="s">
        <v>87</v>
      </c>
      <c r="F31" s="56" t="s">
        <v>42</v>
      </c>
      <c r="G31" s="44">
        <v>2</v>
      </c>
      <c r="H31" s="129">
        <f>IF(B$15=0,0,G31/B$15)</f>
        <v>1.128668171557562E-3</v>
      </c>
      <c r="I31" s="90">
        <v>3</v>
      </c>
      <c r="K31" s="36">
        <v>29</v>
      </c>
      <c r="L31" s="95">
        <v>-2.3999999999999915</v>
      </c>
    </row>
    <row r="32" spans="1:17" x14ac:dyDescent="0.45">
      <c r="A32" s="86" t="s">
        <v>183</v>
      </c>
      <c r="B32" s="144">
        <v>134</v>
      </c>
      <c r="C32" s="141">
        <f>IF(B$15=0,0,B32/B$15)</f>
        <v>7.5620767494356658E-2</v>
      </c>
      <c r="E32" s="59" t="s">
        <v>97</v>
      </c>
      <c r="F32" s="56" t="s">
        <v>52</v>
      </c>
      <c r="G32" s="44">
        <v>1</v>
      </c>
      <c r="H32" s="129">
        <f>IF(B$15=0,0,G32/B$15)</f>
        <v>5.6433408577878099E-4</v>
      </c>
      <c r="I32" s="90">
        <v>2</v>
      </c>
      <c r="K32" s="36">
        <v>30</v>
      </c>
      <c r="L32" s="95">
        <v>8.4376949871511897E-15</v>
      </c>
    </row>
    <row r="33" spans="1:12" x14ac:dyDescent="0.45">
      <c r="A33" s="51" t="s">
        <v>179</v>
      </c>
      <c r="B33" s="44">
        <v>296</v>
      </c>
      <c r="C33" s="37">
        <f t="shared" ref="C33:C44" si="2">IF(B$15=0,0,B33/B$15)</f>
        <v>0.1670428893905192</v>
      </c>
      <c r="E33" s="59" t="s">
        <v>101</v>
      </c>
      <c r="F33" s="56" t="s">
        <v>56</v>
      </c>
      <c r="G33" s="44">
        <v>1</v>
      </c>
      <c r="H33" s="129">
        <f>IF(B$15=0,0,G33/B$15)</f>
        <v>5.6433408577878099E-4</v>
      </c>
      <c r="I33" s="90">
        <v>2</v>
      </c>
      <c r="K33" s="36">
        <v>31</v>
      </c>
      <c r="L33" s="95">
        <v>12.500000000000009</v>
      </c>
    </row>
    <row r="34" spans="1:12" x14ac:dyDescent="0.45">
      <c r="A34" s="51" t="s">
        <v>180</v>
      </c>
      <c r="B34" s="145">
        <v>351</v>
      </c>
      <c r="C34" s="37">
        <f>IF(B$15=0,0,B34/B$15)</f>
        <v>0.19808126410835214</v>
      </c>
      <c r="E34" s="59" t="s">
        <v>106</v>
      </c>
      <c r="F34" s="56" t="s">
        <v>113</v>
      </c>
      <c r="G34" s="44">
        <v>1</v>
      </c>
      <c r="H34" s="129">
        <f>IF(B$15=0,0,G34/B$15)</f>
        <v>5.6433408577878099E-4</v>
      </c>
      <c r="I34" s="90">
        <v>2</v>
      </c>
      <c r="K34" s="36">
        <v>32</v>
      </c>
      <c r="L34" s="95">
        <v>47.300000000000004</v>
      </c>
    </row>
    <row r="35" spans="1:12" x14ac:dyDescent="0.45">
      <c r="A35" s="51" t="s">
        <v>181</v>
      </c>
      <c r="B35" s="145">
        <v>314</v>
      </c>
      <c r="C35" s="37">
        <f t="shared" si="2"/>
        <v>0.17720090293453725</v>
      </c>
      <c r="E35" s="59" t="s">
        <v>76</v>
      </c>
      <c r="F35" s="56" t="s">
        <v>31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7.1054273576010019E-15</v>
      </c>
    </row>
    <row r="36" spans="1:12" x14ac:dyDescent="0.45">
      <c r="A36" s="51" t="s">
        <v>182</v>
      </c>
      <c r="B36" s="145">
        <v>284</v>
      </c>
      <c r="C36" s="37">
        <f t="shared" si="2"/>
        <v>0.16027088036117382</v>
      </c>
      <c r="E36" s="59" t="s">
        <v>80</v>
      </c>
      <c r="F36" s="56" t="s">
        <v>35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-5.8999999999999932</v>
      </c>
    </row>
    <row r="37" spans="1:12" x14ac:dyDescent="0.45">
      <c r="A37" s="51" t="s">
        <v>184</v>
      </c>
      <c r="B37" s="145">
        <v>187</v>
      </c>
      <c r="C37" s="37">
        <f t="shared" si="2"/>
        <v>0.10553047404063205</v>
      </c>
      <c r="E37" s="59" t="s">
        <v>82</v>
      </c>
      <c r="F37" s="56" t="s">
        <v>37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26.900000000000006</v>
      </c>
    </row>
    <row r="38" spans="1:12" x14ac:dyDescent="0.45">
      <c r="A38" s="51" t="s">
        <v>185</v>
      </c>
      <c r="B38" s="145">
        <v>94</v>
      </c>
      <c r="C38" s="37">
        <f t="shared" si="2"/>
        <v>5.3047404063205419E-2</v>
      </c>
      <c r="E38" s="59" t="s">
        <v>94</v>
      </c>
      <c r="F38" s="56" t="s">
        <v>49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7.1054273576010019E-15</v>
      </c>
    </row>
    <row r="39" spans="1:12" x14ac:dyDescent="0.45">
      <c r="A39" s="51" t="s">
        <v>186</v>
      </c>
      <c r="B39" s="145">
        <v>52</v>
      </c>
      <c r="C39" s="37">
        <f t="shared" si="2"/>
        <v>2.9345372460496615E-2</v>
      </c>
      <c r="E39" s="59" t="s">
        <v>96</v>
      </c>
      <c r="F39" s="56" t="s">
        <v>51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17.400000000000006</v>
      </c>
    </row>
    <row r="40" spans="1:12" x14ac:dyDescent="0.45">
      <c r="A40" s="51" t="s">
        <v>187</v>
      </c>
      <c r="B40" s="145">
        <v>20</v>
      </c>
      <c r="C40" s="37">
        <f t="shared" si="2"/>
        <v>1.1286681715575621E-2</v>
      </c>
      <c r="E40" s="59" t="s">
        <v>98</v>
      </c>
      <c r="F40" s="56" t="s">
        <v>53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-5.2999999999999936</v>
      </c>
    </row>
    <row r="41" spans="1:12" x14ac:dyDescent="0.45">
      <c r="A41" s="51" t="s">
        <v>188</v>
      </c>
      <c r="B41" s="145">
        <v>7</v>
      </c>
      <c r="C41" s="37">
        <f t="shared" si="2"/>
        <v>3.9503386004514675E-3</v>
      </c>
      <c r="E41" s="59" t="s">
        <v>99</v>
      </c>
      <c r="F41" s="56" t="s">
        <v>54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6.2172489379008766E-15</v>
      </c>
    </row>
    <row r="42" spans="1:12" x14ac:dyDescent="0.45">
      <c r="A42" s="51" t="s">
        <v>189</v>
      </c>
      <c r="B42" s="145">
        <v>6</v>
      </c>
      <c r="C42" s="37">
        <f t="shared" si="2"/>
        <v>3.3860045146726862E-3</v>
      </c>
      <c r="E42" s="59" t="s">
        <v>100</v>
      </c>
      <c r="F42" s="56" t="s">
        <v>55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10.300000000000008</v>
      </c>
    </row>
    <row r="43" spans="1:12" x14ac:dyDescent="0.45">
      <c r="A43" s="51" t="s">
        <v>190</v>
      </c>
      <c r="B43" s="145">
        <v>6</v>
      </c>
      <c r="C43" s="37">
        <f t="shared" si="2"/>
        <v>3.3860045146726862E-3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-26.999999999999989</v>
      </c>
    </row>
    <row r="44" spans="1:12" x14ac:dyDescent="0.45">
      <c r="A44" s="53" t="s">
        <v>191</v>
      </c>
      <c r="B44" s="140">
        <v>21</v>
      </c>
      <c r="C44" s="40">
        <f t="shared" si="2"/>
        <v>1.1851015801354402E-2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1.0658141036401503E-14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-20.899999999999988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0.30000000000001137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1.1379786002407855E-14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2.2000000000000117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-21.499999999999986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1.4210854715202004E-14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-51.599999999999987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-33.699999999999989</v>
      </c>
    </row>
    <row r="53" spans="5:12" x14ac:dyDescent="0.45">
      <c r="K53" s="36">
        <v>51</v>
      </c>
      <c r="L53" s="95">
        <v>1.4210854715202004E-14</v>
      </c>
    </row>
    <row r="54" spans="5:12" x14ac:dyDescent="0.45">
      <c r="K54" s="36">
        <v>52</v>
      </c>
      <c r="L54" s="95">
        <v>-5.8999999999999861</v>
      </c>
    </row>
    <row r="55" spans="5:12" x14ac:dyDescent="0.45">
      <c r="K55" s="36">
        <v>53</v>
      </c>
      <c r="L55" s="95">
        <v>-29.399999999999984</v>
      </c>
    </row>
    <row r="56" spans="5:12" x14ac:dyDescent="0.45">
      <c r="K56" s="36">
        <v>54</v>
      </c>
      <c r="L56" s="95">
        <v>1.4210854715202004E-14</v>
      </c>
    </row>
    <row r="57" spans="5:12" x14ac:dyDescent="0.45">
      <c r="K57" s="36">
        <v>55</v>
      </c>
      <c r="L57" s="95">
        <v>-42.999999999999986</v>
      </c>
    </row>
    <row r="58" spans="5:12" x14ac:dyDescent="0.45">
      <c r="K58" s="36">
        <v>56</v>
      </c>
      <c r="L58" s="95">
        <v>-54.199999999999989</v>
      </c>
    </row>
    <row r="59" spans="5:12" x14ac:dyDescent="0.45">
      <c r="K59" s="36">
        <v>57</v>
      </c>
      <c r="L59" s="95">
        <v>1.4210854715202004E-14</v>
      </c>
    </row>
    <row r="60" spans="5:12" x14ac:dyDescent="0.45">
      <c r="K60" s="36">
        <v>58</v>
      </c>
      <c r="L60" s="95">
        <v>7.6000000000000139</v>
      </c>
    </row>
    <row r="61" spans="5:12" x14ac:dyDescent="0.45">
      <c r="K61" s="36">
        <v>59</v>
      </c>
      <c r="L61" s="95">
        <v>-35.399999999999984</v>
      </c>
    </row>
    <row r="62" spans="5:12" x14ac:dyDescent="0.45">
      <c r="K62" s="36">
        <v>60</v>
      </c>
      <c r="L62" s="95">
        <v>1.4210854715202004E-14</v>
      </c>
    </row>
    <row r="63" spans="5:12" x14ac:dyDescent="0.45">
      <c r="K63" s="36">
        <v>61</v>
      </c>
      <c r="L63" s="95">
        <v>66.800000000000011</v>
      </c>
    </row>
    <row r="64" spans="5:12" x14ac:dyDescent="0.45">
      <c r="K64" s="36">
        <v>62</v>
      </c>
      <c r="L64" s="95">
        <v>6.7000000000000099</v>
      </c>
    </row>
    <row r="65" spans="11:12" x14ac:dyDescent="0.45">
      <c r="K65" s="36">
        <v>63</v>
      </c>
      <c r="L65" s="95">
        <v>9.7699626167013776E-15</v>
      </c>
    </row>
    <row r="66" spans="11:12" x14ac:dyDescent="0.45">
      <c r="K66" s="36">
        <v>64</v>
      </c>
      <c r="L66" s="95">
        <v>-49.499999999999993</v>
      </c>
    </row>
    <row r="67" spans="11:12" x14ac:dyDescent="0.45">
      <c r="K67" s="36">
        <v>65</v>
      </c>
      <c r="L67" s="95">
        <v>-30.799999999999994</v>
      </c>
    </row>
    <row r="68" spans="11:12" x14ac:dyDescent="0.45">
      <c r="K68" s="36">
        <v>66</v>
      </c>
      <c r="L68" s="95">
        <v>7.1054273576010019E-15</v>
      </c>
    </row>
    <row r="69" spans="11:12" x14ac:dyDescent="0.45">
      <c r="K69" s="36">
        <v>67</v>
      </c>
      <c r="L69" s="95">
        <v>66.400000000000006</v>
      </c>
    </row>
    <row r="70" spans="11:12" x14ac:dyDescent="0.45">
      <c r="K70" s="36">
        <v>68</v>
      </c>
      <c r="L70" s="95">
        <v>17.700000000000003</v>
      </c>
    </row>
    <row r="71" spans="11:12" x14ac:dyDescent="0.45">
      <c r="K71" s="36">
        <v>69</v>
      </c>
      <c r="L71" s="95">
        <v>3.5527136788005009E-15</v>
      </c>
    </row>
    <row r="72" spans="11:12" x14ac:dyDescent="0.45">
      <c r="K72" s="36">
        <v>70</v>
      </c>
      <c r="L72" s="95">
        <v>17.700000000000003</v>
      </c>
    </row>
    <row r="73" spans="11:12" x14ac:dyDescent="0.45">
      <c r="K73" s="36">
        <v>71</v>
      </c>
      <c r="L73" s="95">
        <v>-28.799999999999997</v>
      </c>
    </row>
    <row r="74" spans="11:12" x14ac:dyDescent="0.45">
      <c r="K74" s="36">
        <v>72</v>
      </c>
      <c r="L74" s="95">
        <v>3.5527136788005009E-15</v>
      </c>
    </row>
    <row r="75" spans="11:12" x14ac:dyDescent="0.45">
      <c r="K75" s="36">
        <v>73</v>
      </c>
      <c r="L75" s="95">
        <v>7.5000000000000036</v>
      </c>
    </row>
    <row r="76" spans="11:12" x14ac:dyDescent="0.45">
      <c r="K76" s="36">
        <v>74</v>
      </c>
      <c r="L76" s="95">
        <v>28.600000000000005</v>
      </c>
    </row>
    <row r="77" spans="11:12" x14ac:dyDescent="0.45">
      <c r="K77" s="36">
        <v>75</v>
      </c>
      <c r="L77" s="95">
        <v>3.5527136788005009E-15</v>
      </c>
    </row>
    <row r="78" spans="11:12" x14ac:dyDescent="0.45">
      <c r="K78" s="36">
        <v>76</v>
      </c>
      <c r="L78" s="95">
        <v>39.5</v>
      </c>
    </row>
    <row r="79" spans="11:12" x14ac:dyDescent="0.45">
      <c r="K79" s="36">
        <v>77</v>
      </c>
      <c r="L79" s="95">
        <v>-7</v>
      </c>
    </row>
    <row r="80" spans="11:12" x14ac:dyDescent="0.45">
      <c r="K80" s="36">
        <v>78</v>
      </c>
      <c r="L80" s="95">
        <v>0</v>
      </c>
    </row>
    <row r="81" spans="11:12" x14ac:dyDescent="0.45">
      <c r="K81" s="36">
        <v>79</v>
      </c>
      <c r="L81" s="95">
        <v>-45.1</v>
      </c>
    </row>
    <row r="82" spans="11:12" x14ac:dyDescent="0.45">
      <c r="K82" s="36">
        <v>80</v>
      </c>
      <c r="L82" s="95">
        <v>-39.200000000000003</v>
      </c>
    </row>
    <row r="83" spans="11:12" x14ac:dyDescent="0.45">
      <c r="K83" s="36">
        <v>81</v>
      </c>
      <c r="L83" s="95">
        <v>0</v>
      </c>
    </row>
    <row r="84" spans="11:12" x14ac:dyDescent="0.45">
      <c r="K84" s="36">
        <v>82</v>
      </c>
      <c r="L84" s="95">
        <v>17.7</v>
      </c>
    </row>
    <row r="85" spans="11:12" x14ac:dyDescent="0.45">
      <c r="K85" s="36">
        <v>83</v>
      </c>
      <c r="L85" s="95">
        <v>-28.8</v>
      </c>
    </row>
    <row r="86" spans="11:12" x14ac:dyDescent="0.45">
      <c r="K86" s="36">
        <v>84</v>
      </c>
      <c r="L86" s="95">
        <v>0</v>
      </c>
    </row>
    <row r="87" spans="11:12" x14ac:dyDescent="0.45">
      <c r="K87" s="36">
        <v>85</v>
      </c>
      <c r="L87" s="95">
        <v>42.9</v>
      </c>
    </row>
    <row r="88" spans="11:12" x14ac:dyDescent="0.45">
      <c r="K88" s="36">
        <v>86</v>
      </c>
      <c r="L88" s="95">
        <v>-0.80000000000000426</v>
      </c>
    </row>
    <row r="89" spans="11:12" x14ac:dyDescent="0.45">
      <c r="K89" s="36">
        <v>87</v>
      </c>
      <c r="L89" s="95">
        <v>-4.2188474935755949E-15</v>
      </c>
    </row>
    <row r="90" spans="11:12" x14ac:dyDescent="0.45">
      <c r="K90" s="36">
        <v>88</v>
      </c>
      <c r="L90" s="95">
        <v>-58.000000000000007</v>
      </c>
    </row>
    <row r="91" spans="11:12" x14ac:dyDescent="0.45">
      <c r="K91" s="36">
        <v>89</v>
      </c>
      <c r="L91" s="95">
        <v>-7.1054273576010019E-15</v>
      </c>
    </row>
    <row r="92" spans="11:12" x14ac:dyDescent="0.45">
      <c r="K92" s="36">
        <v>90</v>
      </c>
      <c r="L92" s="95">
        <v>-7.1054273576010019E-15</v>
      </c>
    </row>
    <row r="93" spans="11:12" x14ac:dyDescent="0.45">
      <c r="K93" s="36">
        <v>91</v>
      </c>
      <c r="L93" s="95">
        <v>-26.400000000000006</v>
      </c>
    </row>
    <row r="94" spans="11:12" x14ac:dyDescent="0.45">
      <c r="K94" s="36">
        <v>92</v>
      </c>
      <c r="L94" s="95">
        <v>-26.900000000000006</v>
      </c>
    </row>
    <row r="95" spans="11:12" x14ac:dyDescent="0.45">
      <c r="K95" s="36">
        <v>93</v>
      </c>
      <c r="L95" s="95">
        <v>-7.1054273576010019E-15</v>
      </c>
    </row>
    <row r="96" spans="11:12" x14ac:dyDescent="0.45">
      <c r="K96" s="36">
        <v>94</v>
      </c>
      <c r="L96" s="95">
        <v>-34.900000000000006</v>
      </c>
    </row>
    <row r="97" spans="11:12" x14ac:dyDescent="0.45">
      <c r="K97" s="36">
        <v>95</v>
      </c>
      <c r="L97" s="95">
        <v>-8.100000000000005</v>
      </c>
    </row>
    <row r="98" spans="11:12" x14ac:dyDescent="0.45">
      <c r="K98" s="36">
        <v>96</v>
      </c>
      <c r="L98" s="95">
        <v>-5.3290705182007514E-15</v>
      </c>
    </row>
    <row r="99" spans="11:12" x14ac:dyDescent="0.45">
      <c r="K99" s="36">
        <v>97</v>
      </c>
      <c r="L99" s="95">
        <v>34.29999999999999</v>
      </c>
    </row>
    <row r="100" spans="11:12" x14ac:dyDescent="0.45">
      <c r="K100" s="36">
        <v>98</v>
      </c>
      <c r="L100" s="95">
        <v>31.499999999999989</v>
      </c>
    </row>
    <row r="101" spans="11:12" x14ac:dyDescent="0.45">
      <c r="K101" s="36">
        <v>99</v>
      </c>
      <c r="L101" s="95">
        <v>-1.0658141036401503E-14</v>
      </c>
    </row>
    <row r="102" spans="11:12" x14ac:dyDescent="0.45">
      <c r="K102" s="36">
        <v>100</v>
      </c>
      <c r="L102" s="95">
        <v>34.499999999999986</v>
      </c>
    </row>
    <row r="103" spans="11:12" x14ac:dyDescent="0.45">
      <c r="K103" s="36">
        <v>101</v>
      </c>
      <c r="L103" s="95">
        <v>46.899999999999984</v>
      </c>
    </row>
    <row r="104" spans="11:12" x14ac:dyDescent="0.45">
      <c r="K104" s="36">
        <v>102</v>
      </c>
      <c r="L104" s="95">
        <v>-1.4210854715202004E-14</v>
      </c>
    </row>
    <row r="105" spans="11:12" x14ac:dyDescent="0.45">
      <c r="K105" s="36">
        <v>103</v>
      </c>
      <c r="L105" s="95">
        <v>-49.400000000000013</v>
      </c>
    </row>
    <row r="106" spans="11:12" x14ac:dyDescent="0.45">
      <c r="K106" s="36">
        <v>104</v>
      </c>
      <c r="L106" s="95">
        <v>-18.000000000000014</v>
      </c>
    </row>
    <row r="107" spans="11:12" x14ac:dyDescent="0.45">
      <c r="K107" s="36">
        <v>105</v>
      </c>
      <c r="L107" s="95">
        <v>-1.4210854715202004E-14</v>
      </c>
    </row>
    <row r="108" spans="11:12" x14ac:dyDescent="0.45">
      <c r="K108" s="36">
        <v>106</v>
      </c>
      <c r="L108" s="95">
        <v>-10.800000000000015</v>
      </c>
    </row>
    <row r="109" spans="11:12" x14ac:dyDescent="0.45">
      <c r="K109" s="36">
        <v>107</v>
      </c>
      <c r="L109" s="95">
        <v>-56.90000000000002</v>
      </c>
    </row>
    <row r="110" spans="11:12" x14ac:dyDescent="0.45">
      <c r="K110" s="36">
        <v>108</v>
      </c>
      <c r="L110" s="95">
        <v>-2.1316282072803006E-14</v>
      </c>
    </row>
    <row r="111" spans="11:12" x14ac:dyDescent="0.45">
      <c r="K111" s="36">
        <v>109</v>
      </c>
      <c r="L111" s="95">
        <v>7.6999999999999789</v>
      </c>
    </row>
    <row r="112" spans="11:12" x14ac:dyDescent="0.45">
      <c r="K112" s="36">
        <v>110</v>
      </c>
      <c r="L112" s="95">
        <v>-22.700000000000021</v>
      </c>
    </row>
    <row r="113" spans="11:12" x14ac:dyDescent="0.45">
      <c r="K113" s="36">
        <v>111</v>
      </c>
      <c r="L113" s="95">
        <v>-2.1316282072803006E-14</v>
      </c>
    </row>
    <row r="114" spans="11:12" x14ac:dyDescent="0.45">
      <c r="K114" s="36">
        <v>112</v>
      </c>
      <c r="L114" s="95">
        <v>2.4999999999999787</v>
      </c>
    </row>
    <row r="115" spans="11:12" x14ac:dyDescent="0.45">
      <c r="K115" s="36">
        <v>113</v>
      </c>
      <c r="L115" s="95">
        <v>23.999999999999979</v>
      </c>
    </row>
    <row r="116" spans="11:12" x14ac:dyDescent="0.45">
      <c r="K116" s="36">
        <v>114</v>
      </c>
      <c r="L116" s="95">
        <v>-2.1316282072803006E-14</v>
      </c>
    </row>
    <row r="117" spans="11:12" x14ac:dyDescent="0.45">
      <c r="K117" s="36">
        <v>115</v>
      </c>
      <c r="L117" s="95">
        <v>33.09999999999998</v>
      </c>
    </row>
    <row r="118" spans="11:12" x14ac:dyDescent="0.45">
      <c r="K118" s="36">
        <v>116</v>
      </c>
      <c r="L118" s="95">
        <v>6.6999999999999815</v>
      </c>
    </row>
    <row r="119" spans="11:12" x14ac:dyDescent="0.45">
      <c r="K119" s="36">
        <v>117</v>
      </c>
      <c r="L119" s="95">
        <v>-1.865174681370263E-14</v>
      </c>
    </row>
    <row r="120" spans="11:12" x14ac:dyDescent="0.45">
      <c r="K120" s="36">
        <v>118</v>
      </c>
      <c r="L120" s="95">
        <v>-44.200000000000024</v>
      </c>
    </row>
    <row r="121" spans="11:12" x14ac:dyDescent="0.45">
      <c r="K121" s="36">
        <v>119</v>
      </c>
      <c r="L121" s="95">
        <v>-30.800000000000026</v>
      </c>
    </row>
    <row r="122" spans="11:12" x14ac:dyDescent="0.45">
      <c r="K122" s="36">
        <v>120</v>
      </c>
      <c r="L122" s="95">
        <v>-2.4868995751603507E-14</v>
      </c>
    </row>
    <row r="123" spans="11:12" x14ac:dyDescent="0.45">
      <c r="K123" s="36">
        <v>121</v>
      </c>
      <c r="L123" s="95">
        <v>-55.800000000000026</v>
      </c>
    </row>
    <row r="124" spans="11:12" x14ac:dyDescent="0.45">
      <c r="K124" s="36">
        <v>122</v>
      </c>
      <c r="L124" s="95">
        <v>-50.500000000000028</v>
      </c>
    </row>
    <row r="125" spans="11:12" x14ac:dyDescent="0.45">
      <c r="K125" s="36">
        <v>123</v>
      </c>
      <c r="L125" s="95">
        <v>-2.8421709430404007E-14</v>
      </c>
    </row>
    <row r="126" spans="11:12" x14ac:dyDescent="0.45">
      <c r="K126" s="36">
        <v>124</v>
      </c>
      <c r="L126" s="95">
        <v>31.699999999999971</v>
      </c>
    </row>
    <row r="127" spans="11:12" x14ac:dyDescent="0.45">
      <c r="K127" s="36">
        <v>125</v>
      </c>
      <c r="L127" s="95">
        <v>-8.6000000000000263</v>
      </c>
    </row>
    <row r="128" spans="11:12" x14ac:dyDescent="0.45">
      <c r="K128" s="36">
        <v>126</v>
      </c>
      <c r="L128" s="95">
        <v>-2.6645352591003757E-14</v>
      </c>
    </row>
    <row r="129" spans="11:12" x14ac:dyDescent="0.45">
      <c r="K129" s="36">
        <v>127</v>
      </c>
      <c r="L129" s="95">
        <v>-3.4000000000000266</v>
      </c>
    </row>
    <row r="130" spans="11:12" x14ac:dyDescent="0.45">
      <c r="K130" s="36">
        <v>128</v>
      </c>
      <c r="L130" s="95">
        <v>-24.700000000000028</v>
      </c>
    </row>
    <row r="131" spans="11:12" x14ac:dyDescent="0.45">
      <c r="K131" s="36">
        <v>129</v>
      </c>
      <c r="L131" s="95">
        <v>-2.8421709430404007E-14</v>
      </c>
    </row>
    <row r="132" spans="11:12" x14ac:dyDescent="0.45">
      <c r="K132" s="36">
        <v>130</v>
      </c>
      <c r="L132" s="95">
        <v>-16.700000000000028</v>
      </c>
    </row>
    <row r="133" spans="11:12" x14ac:dyDescent="0.45">
      <c r="K133" s="36">
        <v>131</v>
      </c>
      <c r="L133" s="95">
        <v>-15.100000000000028</v>
      </c>
    </row>
    <row r="134" spans="11:12" x14ac:dyDescent="0.45">
      <c r="K134" s="36">
        <v>132</v>
      </c>
      <c r="L134" s="95">
        <v>-2.8421709430404007E-14</v>
      </c>
    </row>
    <row r="135" spans="11:12" x14ac:dyDescent="0.45">
      <c r="K135" s="36">
        <v>133</v>
      </c>
      <c r="L135" s="95">
        <v>-2.8000000000000282</v>
      </c>
    </row>
    <row r="136" spans="11:12" x14ac:dyDescent="0.45">
      <c r="K136" s="36">
        <v>134</v>
      </c>
      <c r="L136" s="95">
        <v>14.099999999999969</v>
      </c>
    </row>
    <row r="137" spans="11:12" x14ac:dyDescent="0.45">
      <c r="K137" s="36">
        <v>135</v>
      </c>
      <c r="L137" s="95">
        <v>-3.0198066269804258E-14</v>
      </c>
    </row>
    <row r="138" spans="11:12" x14ac:dyDescent="0.45">
      <c r="K138" s="36">
        <v>136</v>
      </c>
      <c r="L138" s="95">
        <v>-43.800000000000026</v>
      </c>
    </row>
    <row r="139" spans="11:12" x14ac:dyDescent="0.45">
      <c r="K139" s="36">
        <v>137</v>
      </c>
      <c r="L139" s="95">
        <v>6.1999999999999744</v>
      </c>
    </row>
    <row r="140" spans="11:12" x14ac:dyDescent="0.45">
      <c r="K140" s="36">
        <v>138</v>
      </c>
      <c r="L140" s="95">
        <v>-2.5757174171303632E-14</v>
      </c>
    </row>
    <row r="141" spans="11:12" x14ac:dyDescent="0.45">
      <c r="K141" s="36">
        <v>139</v>
      </c>
      <c r="L141" s="95">
        <v>-35.300000000000026</v>
      </c>
    </row>
    <row r="142" spans="11:12" x14ac:dyDescent="0.45">
      <c r="K142" s="36">
        <v>140</v>
      </c>
      <c r="L142" s="95">
        <v>7.2999999999999758</v>
      </c>
    </row>
    <row r="143" spans="11:12" x14ac:dyDescent="0.45">
      <c r="K143" s="36">
        <v>141</v>
      </c>
      <c r="L143" s="95">
        <v>-2.3980817331903381E-14</v>
      </c>
    </row>
    <row r="144" spans="11:12" x14ac:dyDescent="0.45">
      <c r="K144" s="36">
        <v>142</v>
      </c>
      <c r="L144" s="95">
        <v>60.09999999999998</v>
      </c>
    </row>
    <row r="145" spans="11:12" x14ac:dyDescent="0.45">
      <c r="K145" s="36">
        <v>143</v>
      </c>
      <c r="L145" s="95">
        <v>50.399999999999977</v>
      </c>
    </row>
    <row r="146" spans="11:12" x14ac:dyDescent="0.45">
      <c r="K146" s="36">
        <v>144</v>
      </c>
      <c r="L146" s="95">
        <v>-2.1316282072803006E-14</v>
      </c>
    </row>
    <row r="147" spans="11:12" x14ac:dyDescent="0.45">
      <c r="K147" s="36">
        <v>145</v>
      </c>
      <c r="L147" s="95">
        <v>-53.100000000000023</v>
      </c>
    </row>
    <row r="148" spans="11:12" x14ac:dyDescent="0.45">
      <c r="K148" s="36">
        <v>146</v>
      </c>
      <c r="L148" s="95">
        <v>-53.200000000000024</v>
      </c>
    </row>
    <row r="149" spans="11:12" x14ac:dyDescent="0.45">
      <c r="K149" s="36">
        <v>147</v>
      </c>
      <c r="L149" s="95">
        <v>-2.1316282072803006E-14</v>
      </c>
    </row>
    <row r="150" spans="11:12" x14ac:dyDescent="0.45">
      <c r="K150" s="36">
        <v>148</v>
      </c>
      <c r="L150" s="95">
        <v>-21.90000000000002</v>
      </c>
    </row>
    <row r="151" spans="11:12" x14ac:dyDescent="0.45">
      <c r="K151" s="36">
        <v>149</v>
      </c>
      <c r="L151" s="95">
        <v>7.9999999999999787</v>
      </c>
    </row>
    <row r="152" spans="11:12" x14ac:dyDescent="0.45">
      <c r="K152" s="36">
        <v>150</v>
      </c>
      <c r="L152" s="95">
        <v>-2.1316282072803006E-14</v>
      </c>
    </row>
    <row r="153" spans="11:12" x14ac:dyDescent="0.45">
      <c r="K153" s="36">
        <v>151</v>
      </c>
      <c r="L153" s="95">
        <v>45.899999999999977</v>
      </c>
    </row>
    <row r="154" spans="11:12" x14ac:dyDescent="0.45">
      <c r="K154" s="36">
        <v>152</v>
      </c>
      <c r="L154" s="95">
        <v>45.699999999999974</v>
      </c>
    </row>
    <row r="155" spans="11:12" x14ac:dyDescent="0.45">
      <c r="K155" s="36">
        <v>153</v>
      </c>
      <c r="L155" s="95">
        <v>-2.8421709430404007E-14</v>
      </c>
    </row>
    <row r="156" spans="11:12" x14ac:dyDescent="0.45">
      <c r="K156" s="36">
        <v>154</v>
      </c>
      <c r="L156" s="95">
        <v>-27.10000000000003</v>
      </c>
    </row>
    <row r="157" spans="11:12" x14ac:dyDescent="0.45">
      <c r="K157" s="36">
        <v>155</v>
      </c>
      <c r="L157" s="95">
        <v>-5.8000000000000291</v>
      </c>
    </row>
    <row r="158" spans="11:12" x14ac:dyDescent="0.45">
      <c r="K158" s="36">
        <v>156</v>
      </c>
      <c r="L158" s="95">
        <v>-2.9309887850104133E-14</v>
      </c>
    </row>
    <row r="159" spans="11:12" x14ac:dyDescent="0.45">
      <c r="K159" s="36">
        <v>157</v>
      </c>
      <c r="L159" s="95">
        <v>11.39999999999997</v>
      </c>
    </row>
    <row r="160" spans="11:12" x14ac:dyDescent="0.45">
      <c r="K160" s="36">
        <v>158</v>
      </c>
      <c r="L160" s="95">
        <v>-25.300000000000033</v>
      </c>
    </row>
    <row r="161" spans="11:12" x14ac:dyDescent="0.45">
      <c r="K161" s="36">
        <v>159</v>
      </c>
      <c r="L161" s="95">
        <v>-3.1974423109204508E-14</v>
      </c>
    </row>
    <row r="162" spans="11:12" x14ac:dyDescent="0.45">
      <c r="K162" s="36">
        <v>160</v>
      </c>
      <c r="L162" s="95">
        <v>21.999999999999968</v>
      </c>
    </row>
    <row r="163" spans="11:12" x14ac:dyDescent="0.45">
      <c r="K163" s="36">
        <v>161</v>
      </c>
      <c r="L163" s="95">
        <v>16.599999999999966</v>
      </c>
    </row>
    <row r="164" spans="11:12" x14ac:dyDescent="0.45">
      <c r="K164" s="36">
        <v>162</v>
      </c>
      <c r="L164" s="95">
        <v>-3.5527136788005009E-14</v>
      </c>
    </row>
    <row r="165" spans="11:12" x14ac:dyDescent="0.45">
      <c r="K165" s="36">
        <v>163</v>
      </c>
      <c r="L165" s="95">
        <v>40.399999999999963</v>
      </c>
    </row>
    <row r="166" spans="11:12" x14ac:dyDescent="0.45">
      <c r="K166" s="36">
        <v>164</v>
      </c>
      <c r="L166" s="95">
        <v>45.799999999999962</v>
      </c>
    </row>
    <row r="167" spans="11:12" x14ac:dyDescent="0.45">
      <c r="K167" s="36">
        <v>165</v>
      </c>
      <c r="L167" s="95">
        <v>-3.5527136788005009E-14</v>
      </c>
    </row>
    <row r="168" spans="11:12" x14ac:dyDescent="0.45">
      <c r="K168" s="36">
        <v>166</v>
      </c>
      <c r="L168" s="95">
        <v>-32.600000000000037</v>
      </c>
    </row>
    <row r="169" spans="11:12" x14ac:dyDescent="0.45">
      <c r="K169" s="36">
        <v>167</v>
      </c>
      <c r="L169" s="95">
        <v>-47.900000000000034</v>
      </c>
    </row>
    <row r="170" spans="11:12" x14ac:dyDescent="0.45">
      <c r="K170" s="36">
        <v>168</v>
      </c>
      <c r="L170" s="95">
        <v>-3.5527136788005009E-14</v>
      </c>
    </row>
    <row r="171" spans="11:12" x14ac:dyDescent="0.45">
      <c r="K171" s="36">
        <v>169</v>
      </c>
      <c r="L171" s="95">
        <v>1.9999999999999645</v>
      </c>
    </row>
    <row r="172" spans="11:12" x14ac:dyDescent="0.45">
      <c r="K172" s="36">
        <v>170</v>
      </c>
      <c r="L172" s="95">
        <v>14.999999999999964</v>
      </c>
    </row>
    <row r="173" spans="11:12" x14ac:dyDescent="0.45">
      <c r="K173" s="36">
        <v>171</v>
      </c>
      <c r="L173" s="95">
        <v>-3.5527136788005009E-14</v>
      </c>
    </row>
    <row r="174" spans="11:12" x14ac:dyDescent="0.45">
      <c r="K174" s="36">
        <v>172</v>
      </c>
      <c r="L174" s="95">
        <v>-0.50000000000003553</v>
      </c>
    </row>
    <row r="175" spans="11:12" x14ac:dyDescent="0.45">
      <c r="K175" s="36">
        <v>173</v>
      </c>
      <c r="L175" s="95">
        <v>34.899999999999963</v>
      </c>
    </row>
    <row r="176" spans="11:12" x14ac:dyDescent="0.45">
      <c r="K176" s="36">
        <v>174</v>
      </c>
      <c r="L176" s="95">
        <v>-3.5527136788005009E-14</v>
      </c>
    </row>
    <row r="177" spans="11:12" x14ac:dyDescent="0.45">
      <c r="K177" s="36">
        <v>175</v>
      </c>
      <c r="L177" s="95">
        <v>4.8999999999999648</v>
      </c>
    </row>
    <row r="178" spans="11:12" x14ac:dyDescent="0.45">
      <c r="K178" s="36">
        <v>176</v>
      </c>
      <c r="L178" s="95">
        <v>49.19999999999996</v>
      </c>
    </row>
    <row r="179" spans="11:12" x14ac:dyDescent="0.45">
      <c r="K179" s="36">
        <v>177</v>
      </c>
      <c r="L179" s="95">
        <v>-4.2632564145606011E-14</v>
      </c>
    </row>
    <row r="180" spans="11:12" x14ac:dyDescent="0.45">
      <c r="K180" s="36">
        <v>178</v>
      </c>
      <c r="L180" s="95">
        <v>-31.300000000000043</v>
      </c>
    </row>
    <row r="181" spans="11:12" x14ac:dyDescent="0.45">
      <c r="K181" s="36">
        <v>179</v>
      </c>
      <c r="L181" s="95">
        <v>-25.300000000000043</v>
      </c>
    </row>
    <row r="182" spans="11:12" x14ac:dyDescent="0.45">
      <c r="K182" s="36">
        <v>180</v>
      </c>
      <c r="L182" s="95">
        <v>-4.2632564145606011E-14</v>
      </c>
    </row>
    <row r="183" spans="11:12" x14ac:dyDescent="0.45">
      <c r="K183" s="36">
        <v>181</v>
      </c>
      <c r="L183" s="95">
        <v>-23.900000000000041</v>
      </c>
    </row>
    <row r="184" spans="11:12" x14ac:dyDescent="0.45">
      <c r="K184" s="36">
        <v>182</v>
      </c>
      <c r="L184" s="95">
        <v>-22.000000000000043</v>
      </c>
    </row>
    <row r="185" spans="11:12" x14ac:dyDescent="0.45">
      <c r="K185" s="36">
        <v>183</v>
      </c>
      <c r="L185" s="95">
        <v>-4.2632564145606011E-14</v>
      </c>
    </row>
    <row r="186" spans="11:12" x14ac:dyDescent="0.45">
      <c r="K186" s="36">
        <v>184</v>
      </c>
      <c r="L186" s="95">
        <v>-1.9000000000000425</v>
      </c>
    </row>
    <row r="187" spans="11:12" x14ac:dyDescent="0.45">
      <c r="K187" s="36">
        <v>185</v>
      </c>
      <c r="L187" s="95">
        <v>36.799999999999962</v>
      </c>
    </row>
    <row r="188" spans="11:12" x14ac:dyDescent="0.45">
      <c r="K188" s="36">
        <v>186</v>
      </c>
      <c r="L188" s="95">
        <v>-3.5527136788005009E-14</v>
      </c>
    </row>
    <row r="189" spans="11:12" x14ac:dyDescent="0.45">
      <c r="K189" s="36">
        <v>187</v>
      </c>
      <c r="L189" s="95">
        <v>-40.700000000000038</v>
      </c>
    </row>
    <row r="190" spans="11:12" x14ac:dyDescent="0.45">
      <c r="K190" s="36">
        <v>188</v>
      </c>
      <c r="L190" s="95">
        <v>-33.400000000000041</v>
      </c>
    </row>
    <row r="191" spans="11:12" x14ac:dyDescent="0.45">
      <c r="K191" s="36">
        <v>189</v>
      </c>
      <c r="L191" s="95">
        <v>-4.2632564145606011E-14</v>
      </c>
    </row>
    <row r="192" spans="11:12" x14ac:dyDescent="0.45">
      <c r="K192" s="36">
        <v>190</v>
      </c>
      <c r="L192" s="95">
        <v>-30.500000000000043</v>
      </c>
    </row>
    <row r="193" spans="11:12" x14ac:dyDescent="0.45">
      <c r="K193" s="36">
        <v>191</v>
      </c>
      <c r="L193" s="95">
        <v>0.29999999999995808</v>
      </c>
    </row>
    <row r="194" spans="11:12" x14ac:dyDescent="0.45">
      <c r="K194" s="36">
        <v>192</v>
      </c>
      <c r="L194" s="95">
        <v>-4.1910919179599659E-14</v>
      </c>
    </row>
    <row r="195" spans="11:12" x14ac:dyDescent="0.45">
      <c r="K195" s="36">
        <v>193</v>
      </c>
      <c r="L195" s="95">
        <v>52.099999999999959</v>
      </c>
    </row>
    <row r="196" spans="11:12" x14ac:dyDescent="0.45">
      <c r="K196" s="36">
        <v>194</v>
      </c>
      <c r="L196" s="95">
        <v>49.299999999999962</v>
      </c>
    </row>
    <row r="197" spans="11:12" x14ac:dyDescent="0.45">
      <c r="K197" s="36">
        <v>195</v>
      </c>
      <c r="L197" s="95">
        <v>-3.5527136788005009E-14</v>
      </c>
    </row>
    <row r="198" spans="11:12" x14ac:dyDescent="0.45">
      <c r="K198" s="36">
        <v>196</v>
      </c>
      <c r="L198" s="95">
        <v>-5.6000000000000352</v>
      </c>
    </row>
    <row r="199" spans="11:12" x14ac:dyDescent="0.45">
      <c r="K199" s="36">
        <v>197</v>
      </c>
      <c r="L199" s="95">
        <v>-28.200000000000038</v>
      </c>
    </row>
    <row r="200" spans="11:12" x14ac:dyDescent="0.45">
      <c r="K200" s="36">
        <v>198</v>
      </c>
      <c r="L200" s="95">
        <v>-3.907985046680551E-14</v>
      </c>
    </row>
    <row r="201" spans="11:12" x14ac:dyDescent="0.45">
      <c r="K201" s="36">
        <v>199</v>
      </c>
      <c r="L201" s="95">
        <v>-22.000000000000039</v>
      </c>
    </row>
    <row r="202" spans="11:12" x14ac:dyDescent="0.45">
      <c r="K202" s="36">
        <v>200</v>
      </c>
      <c r="L202" s="95">
        <v>-20.900000000000038</v>
      </c>
    </row>
    <row r="203" spans="11:12" x14ac:dyDescent="0.45">
      <c r="K203" s="36">
        <v>201</v>
      </c>
      <c r="L203" s="95">
        <v>-3.907985046680551E-14</v>
      </c>
    </row>
    <row r="204" spans="11:12" x14ac:dyDescent="0.45">
      <c r="K204" s="36">
        <v>202</v>
      </c>
      <c r="L204" s="95">
        <v>-1.0000000000000391</v>
      </c>
    </row>
    <row r="205" spans="11:12" x14ac:dyDescent="0.45">
      <c r="K205" s="36">
        <v>203</v>
      </c>
      <c r="L205" s="95">
        <v>18.399999999999959</v>
      </c>
    </row>
    <row r="206" spans="11:12" x14ac:dyDescent="0.45">
      <c r="K206" s="36">
        <v>204</v>
      </c>
      <c r="L206" s="95">
        <v>-3.907985046680551E-14</v>
      </c>
    </row>
    <row r="207" spans="11:12" x14ac:dyDescent="0.45">
      <c r="K207" s="36">
        <v>205</v>
      </c>
      <c r="L207" s="95">
        <v>-47.200000000000045</v>
      </c>
    </row>
    <row r="208" spans="11:12" x14ac:dyDescent="0.45">
      <c r="K208" s="36">
        <v>206</v>
      </c>
      <c r="L208" s="95">
        <v>-56.700000000000045</v>
      </c>
    </row>
    <row r="209" spans="11:12" x14ac:dyDescent="0.45">
      <c r="K209" s="36">
        <v>207</v>
      </c>
      <c r="L209" s="95">
        <v>-4.2632564145606011E-14</v>
      </c>
    </row>
    <row r="210" spans="11:12" x14ac:dyDescent="0.45">
      <c r="K210" s="36">
        <v>208</v>
      </c>
      <c r="L210" s="95">
        <v>-45.500000000000043</v>
      </c>
    </row>
    <row r="211" spans="11:12" x14ac:dyDescent="0.45">
      <c r="K211" s="36">
        <v>209</v>
      </c>
      <c r="L211" s="95">
        <v>-7.4000000000000412</v>
      </c>
    </row>
    <row r="212" spans="11:12" x14ac:dyDescent="0.45">
      <c r="K212" s="36">
        <v>210</v>
      </c>
      <c r="L212" s="95">
        <v>-4.0856207306205761E-14</v>
      </c>
    </row>
    <row r="213" spans="11:12" x14ac:dyDescent="0.45">
      <c r="K213" s="36">
        <v>211</v>
      </c>
      <c r="L213" s="95">
        <v>-31.80000000000004</v>
      </c>
    </row>
    <row r="214" spans="11:12" x14ac:dyDescent="0.45">
      <c r="K214" s="36">
        <v>212</v>
      </c>
      <c r="L214" s="95">
        <v>-26.30000000000004</v>
      </c>
    </row>
    <row r="215" spans="11:12" x14ac:dyDescent="0.45">
      <c r="K215" s="36">
        <v>213</v>
      </c>
      <c r="L215" s="95">
        <v>-3.907985046680551E-14</v>
      </c>
    </row>
    <row r="216" spans="11:12" x14ac:dyDescent="0.45">
      <c r="K216" s="36">
        <v>214</v>
      </c>
      <c r="L216" s="95">
        <v>22.999999999999961</v>
      </c>
    </row>
    <row r="217" spans="11:12" x14ac:dyDescent="0.45">
      <c r="K217" s="36">
        <v>215</v>
      </c>
      <c r="L217" s="95">
        <v>22.599999999999962</v>
      </c>
    </row>
    <row r="218" spans="11:12" x14ac:dyDescent="0.45">
      <c r="K218" s="36">
        <v>216</v>
      </c>
      <c r="L218" s="95">
        <v>-3.907985046680551E-14</v>
      </c>
    </row>
    <row r="219" spans="11:12" x14ac:dyDescent="0.45">
      <c r="K219" s="36">
        <v>217</v>
      </c>
      <c r="L219" s="95">
        <v>-18.700000000000038</v>
      </c>
    </row>
    <row r="220" spans="11:12" x14ac:dyDescent="0.45">
      <c r="K220" s="36">
        <v>218</v>
      </c>
      <c r="L220" s="95">
        <v>31.399999999999963</v>
      </c>
    </row>
    <row r="221" spans="11:12" x14ac:dyDescent="0.45">
      <c r="K221" s="36">
        <v>219</v>
      </c>
      <c r="L221" s="95">
        <v>-3.5527136788005009E-14</v>
      </c>
    </row>
    <row r="222" spans="11:12" x14ac:dyDescent="0.45">
      <c r="K222" s="36">
        <v>220</v>
      </c>
      <c r="L222" s="95">
        <v>11.499999999999964</v>
      </c>
    </row>
    <row r="223" spans="11:12" x14ac:dyDescent="0.45">
      <c r="K223" s="36">
        <v>221</v>
      </c>
      <c r="L223" s="95">
        <v>-1.3000000000000362</v>
      </c>
    </row>
    <row r="224" spans="11:12" x14ac:dyDescent="0.45">
      <c r="K224" s="36">
        <v>222</v>
      </c>
      <c r="L224" s="95">
        <v>-3.6193270602780103E-14</v>
      </c>
    </row>
    <row r="225" spans="11:12" x14ac:dyDescent="0.45">
      <c r="K225" s="36">
        <v>223</v>
      </c>
      <c r="L225" s="95">
        <v>-41.100000000000037</v>
      </c>
    </row>
    <row r="226" spans="11:12" x14ac:dyDescent="0.45">
      <c r="K226" s="36">
        <v>224</v>
      </c>
      <c r="L226" s="95">
        <v>-1.0000000000000355</v>
      </c>
    </row>
    <row r="227" spans="11:12" x14ac:dyDescent="0.45">
      <c r="K227" s="36">
        <v>225</v>
      </c>
      <c r="L227" s="95">
        <v>-3.5527136788005009E-14</v>
      </c>
    </row>
    <row r="228" spans="11:12" x14ac:dyDescent="0.45">
      <c r="K228" s="36">
        <v>226</v>
      </c>
      <c r="L228" s="95">
        <v>61.899999999999963</v>
      </c>
    </row>
    <row r="229" spans="11:12" x14ac:dyDescent="0.45">
      <c r="K229" s="36">
        <v>227</v>
      </c>
      <c r="L229" s="95">
        <v>16.099999999999966</v>
      </c>
    </row>
    <row r="230" spans="11:12" x14ac:dyDescent="0.45">
      <c r="K230" s="36">
        <v>228</v>
      </c>
      <c r="L230" s="95">
        <v>-3.5527136788005009E-14</v>
      </c>
    </row>
    <row r="231" spans="11:12" x14ac:dyDescent="0.45">
      <c r="K231" s="36">
        <v>229</v>
      </c>
      <c r="L231" s="95">
        <v>-30.700000000000035</v>
      </c>
    </row>
    <row r="232" spans="11:12" x14ac:dyDescent="0.45">
      <c r="K232" s="36">
        <v>230</v>
      </c>
      <c r="L232" s="95">
        <v>-8.9000000000000341</v>
      </c>
    </row>
    <row r="233" spans="11:12" x14ac:dyDescent="0.45">
      <c r="K233" s="36">
        <v>231</v>
      </c>
      <c r="L233" s="95">
        <v>-3.3750779948604759E-14</v>
      </c>
    </row>
    <row r="234" spans="11:12" x14ac:dyDescent="0.45">
      <c r="K234" s="36">
        <v>232</v>
      </c>
      <c r="L234" s="95">
        <v>4.5999999999999659</v>
      </c>
    </row>
    <row r="235" spans="11:12" x14ac:dyDescent="0.45">
      <c r="K235" s="36">
        <v>233</v>
      </c>
      <c r="L235" s="95">
        <v>-43.800000000000033</v>
      </c>
    </row>
    <row r="236" spans="11:12" x14ac:dyDescent="0.45">
      <c r="K236" s="36">
        <v>234</v>
      </c>
      <c r="L236" s="95">
        <v>-3.5527136788005009E-14</v>
      </c>
    </row>
    <row r="237" spans="11:12" x14ac:dyDescent="0.45">
      <c r="K237" s="36">
        <v>235</v>
      </c>
      <c r="L237" s="95">
        <v>2.7999999999999643</v>
      </c>
    </row>
    <row r="238" spans="11:12" x14ac:dyDescent="0.45">
      <c r="K238" s="36">
        <v>236</v>
      </c>
      <c r="L238" s="95">
        <v>-12.900000000000034</v>
      </c>
    </row>
    <row r="239" spans="11:12" x14ac:dyDescent="0.45">
      <c r="K239" s="36">
        <v>237</v>
      </c>
      <c r="L239" s="95">
        <v>-3.3750779948604759E-14</v>
      </c>
    </row>
    <row r="240" spans="11:12" x14ac:dyDescent="0.45">
      <c r="K240" s="36">
        <v>238</v>
      </c>
      <c r="L240" s="95">
        <v>46.899999999999963</v>
      </c>
    </row>
    <row r="241" spans="11:12" x14ac:dyDescent="0.45">
      <c r="K241" s="36">
        <v>239</v>
      </c>
      <c r="L241" s="95">
        <v>49.299999999999962</v>
      </c>
    </row>
    <row r="242" spans="11:12" x14ac:dyDescent="0.45">
      <c r="K242" s="36">
        <v>240</v>
      </c>
      <c r="L242" s="95">
        <v>-3.5527136788005009E-14</v>
      </c>
    </row>
    <row r="243" spans="11:12" x14ac:dyDescent="0.45">
      <c r="K243" s="36">
        <v>241</v>
      </c>
      <c r="L243" s="95">
        <v>10.499999999999964</v>
      </c>
    </row>
    <row r="244" spans="11:12" x14ac:dyDescent="0.45">
      <c r="K244" s="36">
        <v>242</v>
      </c>
      <c r="L244" s="95">
        <v>36.999999999999964</v>
      </c>
    </row>
    <row r="245" spans="11:12" x14ac:dyDescent="0.45">
      <c r="K245" s="36">
        <v>243</v>
      </c>
      <c r="L245" s="95">
        <v>-3.5527136788005009E-14</v>
      </c>
    </row>
    <row r="246" spans="11:12" x14ac:dyDescent="0.45">
      <c r="K246" s="36">
        <v>244</v>
      </c>
      <c r="L246" s="95">
        <v>34.099999999999966</v>
      </c>
    </row>
    <row r="247" spans="11:12" x14ac:dyDescent="0.45">
      <c r="K247" s="36">
        <v>245</v>
      </c>
      <c r="L247" s="95">
        <v>47.799999999999969</v>
      </c>
    </row>
    <row r="248" spans="11:12" x14ac:dyDescent="0.45">
      <c r="K248" s="36">
        <v>246</v>
      </c>
      <c r="L248" s="95">
        <v>-2.8421709430404007E-14</v>
      </c>
    </row>
    <row r="249" spans="11:12" x14ac:dyDescent="0.45">
      <c r="K249" s="36">
        <v>247</v>
      </c>
      <c r="L249" s="95">
        <v>-47.300000000000026</v>
      </c>
    </row>
    <row r="250" spans="11:12" x14ac:dyDescent="0.45">
      <c r="K250" s="36">
        <v>248</v>
      </c>
      <c r="L250" s="95">
        <v>-42.700000000000024</v>
      </c>
    </row>
    <row r="251" spans="11:12" x14ac:dyDescent="0.45">
      <c r="K251" s="36">
        <v>249</v>
      </c>
      <c r="L251" s="95">
        <v>-2.1316282072803006E-14</v>
      </c>
    </row>
    <row r="252" spans="11:12" x14ac:dyDescent="0.45">
      <c r="K252" s="36">
        <v>250</v>
      </c>
      <c r="L252" s="95">
        <v>-32.300000000000018</v>
      </c>
    </row>
    <row r="253" spans="11:12" x14ac:dyDescent="0.45">
      <c r="K253" s="36">
        <v>251</v>
      </c>
      <c r="L253" s="95">
        <v>-5.2000000000000171</v>
      </c>
    </row>
    <row r="254" spans="11:12" x14ac:dyDescent="0.45">
      <c r="K254" s="36">
        <v>252</v>
      </c>
      <c r="L254" s="95">
        <v>-1.6875389974302379E-14</v>
      </c>
    </row>
    <row r="255" spans="11:12" x14ac:dyDescent="0.45">
      <c r="K255" s="36">
        <v>253</v>
      </c>
      <c r="L255" s="95">
        <v>-2.9000000000000168</v>
      </c>
    </row>
    <row r="256" spans="11:12" x14ac:dyDescent="0.45">
      <c r="K256" s="36">
        <v>254</v>
      </c>
      <c r="L256" s="95">
        <v>15.099999999999984</v>
      </c>
    </row>
    <row r="257" spans="11:12" x14ac:dyDescent="0.45">
      <c r="K257" s="36">
        <v>255</v>
      </c>
      <c r="L257" s="95">
        <v>-1.5987211554602254E-14</v>
      </c>
    </row>
    <row r="258" spans="11:12" x14ac:dyDescent="0.45">
      <c r="K258" s="36">
        <v>256</v>
      </c>
      <c r="L258" s="95">
        <v>-45.100000000000016</v>
      </c>
    </row>
    <row r="259" spans="11:12" x14ac:dyDescent="0.45">
      <c r="K259" s="36">
        <v>257</v>
      </c>
      <c r="L259" s="95">
        <v>8.3999999999999844</v>
      </c>
    </row>
    <row r="260" spans="11:12" x14ac:dyDescent="0.45">
      <c r="K260" s="36">
        <v>258</v>
      </c>
      <c r="L260" s="95">
        <v>-1.5987211554602254E-14</v>
      </c>
    </row>
    <row r="261" spans="11:12" x14ac:dyDescent="0.45">
      <c r="K261" s="36">
        <v>259</v>
      </c>
      <c r="L261" s="95">
        <v>-27.500000000000014</v>
      </c>
    </row>
    <row r="262" spans="11:12" x14ac:dyDescent="0.45">
      <c r="K262" s="36">
        <v>260</v>
      </c>
      <c r="L262" s="95">
        <v>-7.0000000000000142</v>
      </c>
    </row>
    <row r="263" spans="11:12" x14ac:dyDescent="0.45">
      <c r="K263" s="36">
        <v>261</v>
      </c>
      <c r="L263" s="95">
        <v>-1.4210854715202004E-14</v>
      </c>
    </row>
    <row r="264" spans="11:12" x14ac:dyDescent="0.45">
      <c r="K264" s="36">
        <v>262</v>
      </c>
      <c r="L264" s="95">
        <v>6.0999999999999854</v>
      </c>
    </row>
    <row r="265" spans="11:12" x14ac:dyDescent="0.45">
      <c r="K265" s="36">
        <v>263</v>
      </c>
      <c r="L265" s="95">
        <v>-26.100000000000016</v>
      </c>
    </row>
    <row r="266" spans="11:12" x14ac:dyDescent="0.45">
      <c r="K266" s="36">
        <v>264</v>
      </c>
      <c r="L266" s="95">
        <v>-1.4210854715202004E-14</v>
      </c>
    </row>
    <row r="267" spans="11:12" x14ac:dyDescent="0.45">
      <c r="K267" s="36">
        <v>265</v>
      </c>
      <c r="L267" s="95">
        <v>14.099999999999985</v>
      </c>
    </row>
    <row r="268" spans="11:12" x14ac:dyDescent="0.45">
      <c r="K268" s="36">
        <v>266</v>
      </c>
      <c r="L268" s="95">
        <v>16.499999999999986</v>
      </c>
    </row>
    <row r="269" spans="11:12" x14ac:dyDescent="0.45">
      <c r="K269" s="36">
        <v>267</v>
      </c>
      <c r="L269" s="95">
        <v>-1.4210854715202004E-14</v>
      </c>
    </row>
    <row r="270" spans="11:12" x14ac:dyDescent="0.45">
      <c r="K270" s="36">
        <v>268</v>
      </c>
      <c r="L270" s="95">
        <v>4.4999999999999858</v>
      </c>
    </row>
    <row r="271" spans="11:12" x14ac:dyDescent="0.45">
      <c r="K271" s="36">
        <v>269</v>
      </c>
      <c r="L271" s="95">
        <v>-21.100000000000016</v>
      </c>
    </row>
    <row r="272" spans="11:12" x14ac:dyDescent="0.45">
      <c r="K272" s="36">
        <v>270</v>
      </c>
      <c r="L272" s="95">
        <v>-1.4210854715202004E-14</v>
      </c>
    </row>
    <row r="273" spans="11:12" x14ac:dyDescent="0.45">
      <c r="K273" s="36">
        <v>271</v>
      </c>
      <c r="L273" s="95">
        <v>-2.1000000000000143</v>
      </c>
    </row>
    <row r="274" spans="11:12" x14ac:dyDescent="0.45">
      <c r="K274" s="36">
        <v>272</v>
      </c>
      <c r="L274" s="95">
        <v>-28.100000000000016</v>
      </c>
    </row>
    <row r="275" spans="11:12" x14ac:dyDescent="0.45">
      <c r="K275" s="36">
        <v>273</v>
      </c>
      <c r="L275" s="95">
        <v>-1.4210854715202004E-14</v>
      </c>
    </row>
    <row r="276" spans="11:12" x14ac:dyDescent="0.45">
      <c r="K276" s="36">
        <v>274</v>
      </c>
      <c r="L276" s="95">
        <v>0.79999999999998583</v>
      </c>
    </row>
    <row r="277" spans="11:12" x14ac:dyDescent="0.45">
      <c r="K277" s="36">
        <v>275</v>
      </c>
      <c r="L277" s="95">
        <v>-26.200000000000014</v>
      </c>
    </row>
    <row r="278" spans="11:12" x14ac:dyDescent="0.45">
      <c r="K278" s="36">
        <v>276</v>
      </c>
      <c r="L278" s="95">
        <v>-1.4210854715202004E-14</v>
      </c>
    </row>
    <row r="279" spans="11:12" x14ac:dyDescent="0.45">
      <c r="K279" s="36">
        <v>277</v>
      </c>
      <c r="L279" s="95">
        <v>-5.5000000000000142</v>
      </c>
    </row>
    <row r="280" spans="11:12" x14ac:dyDescent="0.45">
      <c r="K280" s="36">
        <v>278</v>
      </c>
      <c r="L280" s="95">
        <v>-22.300000000000015</v>
      </c>
    </row>
    <row r="281" spans="11:12" x14ac:dyDescent="0.45">
      <c r="K281" s="36">
        <v>279</v>
      </c>
      <c r="L281" s="95">
        <v>-1.4210854715202004E-14</v>
      </c>
    </row>
    <row r="282" spans="11:12" x14ac:dyDescent="0.45">
      <c r="K282" s="36">
        <v>280</v>
      </c>
      <c r="L282" s="95">
        <v>47.399999999999984</v>
      </c>
    </row>
    <row r="283" spans="11:12" x14ac:dyDescent="0.45">
      <c r="K283" s="36">
        <v>281</v>
      </c>
      <c r="L283" s="95">
        <v>51.499999999999986</v>
      </c>
    </row>
    <row r="284" spans="11:12" x14ac:dyDescent="0.45">
      <c r="K284" s="36">
        <v>282</v>
      </c>
      <c r="L284" s="95">
        <v>-1.4210854715202004E-14</v>
      </c>
    </row>
    <row r="285" spans="11:12" x14ac:dyDescent="0.45">
      <c r="K285" s="36">
        <v>283</v>
      </c>
      <c r="L285" s="95">
        <v>6.7999999999999856</v>
      </c>
    </row>
    <row r="286" spans="11:12" x14ac:dyDescent="0.45">
      <c r="K286" s="36">
        <v>284</v>
      </c>
      <c r="L286" s="95">
        <v>-24.500000000000014</v>
      </c>
    </row>
    <row r="287" spans="11:12" x14ac:dyDescent="0.45">
      <c r="K287" s="36">
        <v>285</v>
      </c>
      <c r="L287" s="95">
        <v>-1.4210854715202004E-14</v>
      </c>
    </row>
    <row r="288" spans="11:12" x14ac:dyDescent="0.45">
      <c r="K288" s="36">
        <v>286</v>
      </c>
      <c r="L288" s="95">
        <v>6.7999999999999856</v>
      </c>
    </row>
    <row r="289" spans="11:12" x14ac:dyDescent="0.45">
      <c r="K289" s="36">
        <v>287</v>
      </c>
      <c r="L289" s="95">
        <v>31.599999999999987</v>
      </c>
    </row>
    <row r="290" spans="11:12" x14ac:dyDescent="0.45">
      <c r="K290" s="36">
        <v>288</v>
      </c>
      <c r="L290" s="95">
        <v>-1.4210854715202004E-14</v>
      </c>
    </row>
    <row r="291" spans="11:12" x14ac:dyDescent="0.45">
      <c r="K291" s="36">
        <v>289</v>
      </c>
      <c r="L291" s="95">
        <v>-16.100000000000016</v>
      </c>
    </row>
    <row r="292" spans="11:12" x14ac:dyDescent="0.45">
      <c r="K292" s="36">
        <v>290</v>
      </c>
      <c r="L292" s="95">
        <v>26.899999999999984</v>
      </c>
    </row>
    <row r="293" spans="11:12" x14ac:dyDescent="0.45">
      <c r="K293" s="36">
        <v>291</v>
      </c>
      <c r="L293" s="95">
        <v>-1.4210854715202004E-14</v>
      </c>
    </row>
    <row r="294" spans="11:12" x14ac:dyDescent="0.45">
      <c r="K294" s="36">
        <v>292</v>
      </c>
      <c r="L294" s="95">
        <v>6.5999999999999854</v>
      </c>
    </row>
    <row r="295" spans="11:12" x14ac:dyDescent="0.45">
      <c r="K295" s="36">
        <v>293</v>
      </c>
      <c r="L295" s="95">
        <v>28.799999999999983</v>
      </c>
    </row>
    <row r="296" spans="11:12" x14ac:dyDescent="0.45">
      <c r="K296" s="36">
        <v>294</v>
      </c>
      <c r="L296" s="95">
        <v>-1.7763568394002505E-14</v>
      </c>
    </row>
    <row r="297" spans="11:12" x14ac:dyDescent="0.45">
      <c r="K297" s="36">
        <v>295</v>
      </c>
      <c r="L297" s="95">
        <v>4.3999999999999826</v>
      </c>
    </row>
    <row r="298" spans="11:12" x14ac:dyDescent="0.45">
      <c r="K298" s="36">
        <v>296</v>
      </c>
      <c r="L298" s="95">
        <v>20.299999999999983</v>
      </c>
    </row>
    <row r="299" spans="11:12" x14ac:dyDescent="0.45">
      <c r="K299" s="36">
        <v>297</v>
      </c>
      <c r="L299" s="95">
        <v>-1.7763568394002505E-14</v>
      </c>
    </row>
    <row r="300" spans="11:12" x14ac:dyDescent="0.45">
      <c r="K300" s="36">
        <v>298</v>
      </c>
      <c r="L300" s="95">
        <v>18.299999999999983</v>
      </c>
    </row>
    <row r="301" spans="11:12" x14ac:dyDescent="0.45">
      <c r="K301" s="36">
        <v>299</v>
      </c>
      <c r="L301" s="95">
        <v>16.699999999999982</v>
      </c>
    </row>
    <row r="302" spans="11:12" x14ac:dyDescent="0.45">
      <c r="K302" s="36">
        <v>300</v>
      </c>
      <c r="L302" s="95">
        <v>-1.7763568394002505E-14</v>
      </c>
    </row>
    <row r="303" spans="11:12" x14ac:dyDescent="0.45">
      <c r="K303" s="36">
        <v>301</v>
      </c>
      <c r="L303" s="95">
        <v>19.199999999999982</v>
      </c>
    </row>
    <row r="304" spans="11:12" x14ac:dyDescent="0.45">
      <c r="K304" s="36">
        <v>302</v>
      </c>
      <c r="L304" s="95">
        <v>27.799999999999983</v>
      </c>
    </row>
    <row r="305" spans="11:12" x14ac:dyDescent="0.45">
      <c r="K305" s="36">
        <v>303</v>
      </c>
      <c r="L305" s="95">
        <v>-1.7763568394002505E-14</v>
      </c>
    </row>
    <row r="306" spans="11:12" x14ac:dyDescent="0.45">
      <c r="K306" s="36">
        <v>304</v>
      </c>
      <c r="L306" s="95">
        <v>12.399999999999983</v>
      </c>
    </row>
    <row r="307" spans="11:12" x14ac:dyDescent="0.45">
      <c r="K307" s="36">
        <v>305</v>
      </c>
      <c r="L307" s="95">
        <v>12.999999999999982</v>
      </c>
    </row>
    <row r="308" spans="11:12" x14ac:dyDescent="0.45">
      <c r="K308" s="36">
        <v>306</v>
      </c>
      <c r="L308" s="95">
        <v>-1.7763568394002505E-14</v>
      </c>
    </row>
    <row r="309" spans="11:12" x14ac:dyDescent="0.45">
      <c r="K309" s="36">
        <v>307</v>
      </c>
      <c r="L309" s="95">
        <v>61.499999999999986</v>
      </c>
    </row>
    <row r="310" spans="11:12" x14ac:dyDescent="0.45">
      <c r="K310" s="36">
        <v>308</v>
      </c>
      <c r="L310" s="95">
        <v>8.7999999999999829</v>
      </c>
    </row>
    <row r="311" spans="11:12" x14ac:dyDescent="0.45">
      <c r="K311" s="36">
        <v>309</v>
      </c>
      <c r="L311" s="95">
        <v>-1.7763568394002505E-14</v>
      </c>
    </row>
    <row r="312" spans="11:12" x14ac:dyDescent="0.45">
      <c r="K312" s="36">
        <v>310</v>
      </c>
      <c r="L312" s="95">
        <v>-2.0000000000000178</v>
      </c>
    </row>
    <row r="313" spans="11:12" x14ac:dyDescent="0.45">
      <c r="K313" s="36">
        <v>311</v>
      </c>
      <c r="L313" s="95">
        <v>35.199999999999989</v>
      </c>
    </row>
    <row r="314" spans="11:12" x14ac:dyDescent="0.45">
      <c r="K314" s="36">
        <v>312</v>
      </c>
      <c r="L314" s="95">
        <v>-1.4210854715202004E-14</v>
      </c>
    </row>
    <row r="315" spans="11:12" x14ac:dyDescent="0.45">
      <c r="K315" s="36">
        <v>313</v>
      </c>
      <c r="L315" s="95">
        <v>30.499999999999986</v>
      </c>
    </row>
    <row r="316" spans="11:12" x14ac:dyDescent="0.45">
      <c r="K316" s="36">
        <v>314</v>
      </c>
      <c r="L316" s="95">
        <v>34.899999999999984</v>
      </c>
    </row>
    <row r="317" spans="11:12" x14ac:dyDescent="0.45">
      <c r="K317" s="36">
        <v>315</v>
      </c>
      <c r="L317" s="95">
        <v>-1.4210854715202004E-14</v>
      </c>
    </row>
    <row r="318" spans="11:12" x14ac:dyDescent="0.45">
      <c r="K318" s="36">
        <v>316</v>
      </c>
      <c r="L318" s="95">
        <v>12.199999999999985</v>
      </c>
    </row>
    <row r="319" spans="11:12" x14ac:dyDescent="0.45">
      <c r="K319" s="36">
        <v>317</v>
      </c>
      <c r="L319" s="95">
        <v>-40.600000000000009</v>
      </c>
    </row>
    <row r="320" spans="11:12" x14ac:dyDescent="0.45">
      <c r="K320" s="36">
        <v>318</v>
      </c>
      <c r="L320" s="95">
        <v>-7.1054273576010019E-15</v>
      </c>
    </row>
    <row r="321" spans="11:12" x14ac:dyDescent="0.45">
      <c r="K321" s="36">
        <v>319</v>
      </c>
      <c r="L321" s="95">
        <v>32.399999999999991</v>
      </c>
    </row>
    <row r="322" spans="11:12" x14ac:dyDescent="0.45">
      <c r="K322" s="36">
        <v>320</v>
      </c>
      <c r="L322" s="95">
        <v>47.999999999999993</v>
      </c>
    </row>
    <row r="323" spans="11:12" x14ac:dyDescent="0.45">
      <c r="K323" s="36">
        <v>321</v>
      </c>
      <c r="L323" s="95">
        <v>-7.1054273576010019E-15</v>
      </c>
    </row>
    <row r="324" spans="11:12" x14ac:dyDescent="0.45">
      <c r="K324" s="36">
        <v>322</v>
      </c>
      <c r="L324" s="95">
        <v>55.099999999999994</v>
      </c>
    </row>
    <row r="325" spans="11:12" x14ac:dyDescent="0.45">
      <c r="K325" s="36">
        <v>323</v>
      </c>
      <c r="L325" s="95">
        <v>35.099999999999994</v>
      </c>
    </row>
    <row r="326" spans="11:12" x14ac:dyDescent="0.45">
      <c r="K326" s="36">
        <v>324</v>
      </c>
      <c r="L326" s="95">
        <v>-7.1054273576010019E-15</v>
      </c>
    </row>
    <row r="327" spans="11:12" x14ac:dyDescent="0.45">
      <c r="K327" s="36">
        <v>325</v>
      </c>
      <c r="L327" s="95">
        <v>40.899999999999991</v>
      </c>
    </row>
    <row r="328" spans="11:12" x14ac:dyDescent="0.45">
      <c r="K328" s="36">
        <v>326</v>
      </c>
      <c r="L328" s="95">
        <v>31.699999999999992</v>
      </c>
    </row>
    <row r="329" spans="11:12" x14ac:dyDescent="0.45">
      <c r="K329" s="36">
        <v>327</v>
      </c>
      <c r="L329" s="95">
        <v>-7.1054273576010019E-15</v>
      </c>
    </row>
    <row r="330" spans="11:12" x14ac:dyDescent="0.45">
      <c r="K330" s="36">
        <v>328</v>
      </c>
      <c r="L330" s="95">
        <v>-1.400000000000007</v>
      </c>
    </row>
    <row r="331" spans="11:12" x14ac:dyDescent="0.45">
      <c r="K331" s="36">
        <v>329</v>
      </c>
      <c r="L331" s="95">
        <v>-18.400000000000006</v>
      </c>
    </row>
    <row r="332" spans="11:12" x14ac:dyDescent="0.45">
      <c r="K332" s="36">
        <v>330</v>
      </c>
      <c r="L332" s="95">
        <v>-7.1054273576010019E-15</v>
      </c>
    </row>
    <row r="333" spans="11:12" x14ac:dyDescent="0.45">
      <c r="K333" s="36">
        <v>331</v>
      </c>
      <c r="L333" s="95">
        <v>-8.7000000000000064</v>
      </c>
    </row>
    <row r="334" spans="11:12" x14ac:dyDescent="0.45">
      <c r="K334" s="36">
        <v>332</v>
      </c>
      <c r="L334" s="95">
        <v>-35.500000000000007</v>
      </c>
    </row>
    <row r="335" spans="11:12" x14ac:dyDescent="0.45">
      <c r="K335" s="36">
        <v>333</v>
      </c>
      <c r="L335" s="95">
        <v>-7.1054273576010019E-15</v>
      </c>
    </row>
    <row r="336" spans="11:12" x14ac:dyDescent="0.45">
      <c r="K336" s="36">
        <v>334</v>
      </c>
      <c r="L336" s="95">
        <v>28.799999999999994</v>
      </c>
    </row>
    <row r="337" spans="11:12" x14ac:dyDescent="0.45">
      <c r="K337" s="36">
        <v>335</v>
      </c>
      <c r="L337" s="95">
        <v>41.399999999999991</v>
      </c>
    </row>
    <row r="338" spans="11:12" x14ac:dyDescent="0.45">
      <c r="K338" s="36">
        <v>336</v>
      </c>
      <c r="L338" s="95">
        <v>-7.1054273576010019E-15</v>
      </c>
    </row>
    <row r="339" spans="11:12" x14ac:dyDescent="0.45">
      <c r="K339" s="36">
        <v>337</v>
      </c>
      <c r="L339" s="95">
        <v>12.599999999999993</v>
      </c>
    </row>
    <row r="340" spans="11:12" x14ac:dyDescent="0.45">
      <c r="K340" s="36">
        <v>338</v>
      </c>
      <c r="L340" s="95">
        <v>-28.700000000000003</v>
      </c>
    </row>
    <row r="341" spans="11:12" x14ac:dyDescent="0.45">
      <c r="K341" s="36">
        <v>339</v>
      </c>
      <c r="L341" s="95">
        <v>-3.5527136788005009E-15</v>
      </c>
    </row>
    <row r="342" spans="11:12" x14ac:dyDescent="0.45">
      <c r="K342" s="36">
        <v>340</v>
      </c>
      <c r="L342" s="95">
        <v>14.899999999999997</v>
      </c>
    </row>
    <row r="343" spans="11:12" x14ac:dyDescent="0.45">
      <c r="K343" s="36">
        <v>341</v>
      </c>
      <c r="L343" s="95">
        <v>42.699999999999996</v>
      </c>
    </row>
    <row r="344" spans="11:12" x14ac:dyDescent="0.45">
      <c r="K344" s="36">
        <v>342</v>
      </c>
      <c r="L344" s="95">
        <v>-7.1054273576010019E-15</v>
      </c>
    </row>
    <row r="345" spans="11:12" x14ac:dyDescent="0.45">
      <c r="K345" s="36">
        <v>343</v>
      </c>
      <c r="L345" s="95">
        <v>-24.000000000000007</v>
      </c>
    </row>
    <row r="346" spans="11:12" x14ac:dyDescent="0.45">
      <c r="K346" s="36">
        <v>344</v>
      </c>
      <c r="L346" s="95">
        <v>-25.600000000000009</v>
      </c>
    </row>
    <row r="347" spans="11:12" x14ac:dyDescent="0.45">
      <c r="K347" s="36">
        <v>345</v>
      </c>
      <c r="L347" s="95">
        <v>-7.1054273576010019E-15</v>
      </c>
    </row>
    <row r="348" spans="11:12" x14ac:dyDescent="0.45">
      <c r="K348" s="36">
        <v>346</v>
      </c>
      <c r="L348" s="95">
        <v>3.9999999999999929</v>
      </c>
    </row>
    <row r="349" spans="11:12" x14ac:dyDescent="0.45">
      <c r="K349" s="36">
        <v>347</v>
      </c>
      <c r="L349" s="95">
        <v>-24.100000000000009</v>
      </c>
    </row>
    <row r="350" spans="11:12" x14ac:dyDescent="0.45">
      <c r="K350" s="36">
        <v>348</v>
      </c>
      <c r="L350" s="95">
        <v>-7.1054273576010019E-15</v>
      </c>
    </row>
    <row r="351" spans="11:12" x14ac:dyDescent="0.45">
      <c r="K351" s="36">
        <v>349</v>
      </c>
      <c r="L351" s="95">
        <v>-4.5000000000000071</v>
      </c>
    </row>
    <row r="352" spans="11:12" x14ac:dyDescent="0.45">
      <c r="K352" s="36">
        <v>350</v>
      </c>
      <c r="L352" s="95">
        <v>-34.500000000000007</v>
      </c>
    </row>
    <row r="353" spans="11:12" x14ac:dyDescent="0.45">
      <c r="K353" s="36">
        <v>351</v>
      </c>
      <c r="L353" s="95">
        <v>-7.1054273576010019E-15</v>
      </c>
    </row>
    <row r="354" spans="11:12" x14ac:dyDescent="0.45">
      <c r="K354" s="36">
        <v>352</v>
      </c>
      <c r="L354" s="95">
        <v>-30.500000000000007</v>
      </c>
    </row>
    <row r="355" spans="11:12" x14ac:dyDescent="0.45">
      <c r="K355" s="36">
        <v>353</v>
      </c>
      <c r="L355" s="95">
        <v>-33.800000000000004</v>
      </c>
    </row>
    <row r="356" spans="11:12" x14ac:dyDescent="0.45">
      <c r="K356" s="36">
        <v>354</v>
      </c>
      <c r="L356" s="95">
        <v>-7.1054273576010019E-15</v>
      </c>
    </row>
    <row r="357" spans="11:12" x14ac:dyDescent="0.45">
      <c r="K357" s="36">
        <v>355</v>
      </c>
      <c r="L357" s="95">
        <v>-31.300000000000008</v>
      </c>
    </row>
    <row r="358" spans="11:12" x14ac:dyDescent="0.45">
      <c r="K358" s="36">
        <v>356</v>
      </c>
      <c r="L358" s="95">
        <v>-6.5000000000000071</v>
      </c>
    </row>
    <row r="359" spans="11:12" x14ac:dyDescent="0.45">
      <c r="K359" s="36">
        <v>357</v>
      </c>
      <c r="L359" s="95">
        <v>-7.1054273576010019E-15</v>
      </c>
    </row>
    <row r="360" spans="11:12" x14ac:dyDescent="0.45">
      <c r="K360" s="36">
        <v>358</v>
      </c>
      <c r="L360" s="95">
        <v>-22.400000000000006</v>
      </c>
    </row>
    <row r="361" spans="11:12" x14ac:dyDescent="0.45">
      <c r="K361" s="36">
        <v>359</v>
      </c>
      <c r="L361" s="95">
        <v>3.0999999999999943</v>
      </c>
    </row>
    <row r="362" spans="11:12" x14ac:dyDescent="0.45">
      <c r="K362" s="36">
        <v>360</v>
      </c>
      <c r="L362" s="95">
        <v>-5.773159728050814E-15</v>
      </c>
    </row>
    <row r="363" spans="11:12" x14ac:dyDescent="0.45">
      <c r="K363" s="36">
        <v>361</v>
      </c>
      <c r="L363" s="95">
        <v>1.2999999999999943</v>
      </c>
    </row>
    <row r="364" spans="11:12" x14ac:dyDescent="0.45">
      <c r="K364" s="36">
        <v>362</v>
      </c>
      <c r="L364" s="95">
        <v>26.099999999999994</v>
      </c>
    </row>
    <row r="365" spans="11:12" x14ac:dyDescent="0.45">
      <c r="K365" s="36">
        <v>363</v>
      </c>
      <c r="L365" s="95">
        <v>-7.1054273576010019E-15</v>
      </c>
    </row>
    <row r="366" spans="11:12" x14ac:dyDescent="0.45">
      <c r="K366" s="36">
        <v>364</v>
      </c>
      <c r="L366" s="95">
        <v>5.5999999999999925</v>
      </c>
    </row>
    <row r="367" spans="11:12" x14ac:dyDescent="0.45">
      <c r="K367" s="36">
        <v>365</v>
      </c>
      <c r="L367" s="95">
        <v>-19.400000000000006</v>
      </c>
    </row>
    <row r="368" spans="11:12" x14ac:dyDescent="0.45">
      <c r="K368" s="36">
        <v>366</v>
      </c>
      <c r="L368" s="95">
        <v>-7.1054273576010019E-15</v>
      </c>
    </row>
    <row r="369" spans="11:12" x14ac:dyDescent="0.45">
      <c r="K369" s="36">
        <v>367</v>
      </c>
      <c r="L369" s="95">
        <v>14.799999999999994</v>
      </c>
    </row>
    <row r="370" spans="11:12" x14ac:dyDescent="0.45">
      <c r="K370" s="36">
        <v>368</v>
      </c>
      <c r="L370" s="95">
        <v>14.199999999999994</v>
      </c>
    </row>
    <row r="371" spans="11:12" x14ac:dyDescent="0.45">
      <c r="K371" s="36">
        <v>369</v>
      </c>
      <c r="L371" s="95">
        <v>-5.3290705182007514E-15</v>
      </c>
    </row>
    <row r="372" spans="11:12" x14ac:dyDescent="0.45">
      <c r="K372" s="36">
        <v>370</v>
      </c>
      <c r="L372" s="95">
        <v>-42.300000000000004</v>
      </c>
    </row>
    <row r="373" spans="11:12" x14ac:dyDescent="0.45">
      <c r="K373" s="36">
        <v>371</v>
      </c>
      <c r="L373" s="95">
        <v>-49.1</v>
      </c>
    </row>
    <row r="374" spans="11:12" x14ac:dyDescent="0.45">
      <c r="K374" s="36">
        <v>372</v>
      </c>
      <c r="L374" s="95">
        <v>0</v>
      </c>
    </row>
    <row r="375" spans="11:12" x14ac:dyDescent="0.45">
      <c r="K375" s="36">
        <v>373</v>
      </c>
      <c r="L375" s="95">
        <v>11.4</v>
      </c>
    </row>
    <row r="376" spans="11:12" x14ac:dyDescent="0.45">
      <c r="K376" s="36">
        <v>374</v>
      </c>
      <c r="L376" s="95">
        <v>53.4</v>
      </c>
    </row>
    <row r="377" spans="11:12" x14ac:dyDescent="0.45">
      <c r="K377" s="36">
        <v>375</v>
      </c>
      <c r="L377" s="95">
        <v>0</v>
      </c>
    </row>
    <row r="378" spans="11:12" x14ac:dyDescent="0.45">
      <c r="K378" s="36">
        <v>376</v>
      </c>
      <c r="L378" s="95">
        <v>22.2</v>
      </c>
    </row>
    <row r="379" spans="11:12" x14ac:dyDescent="0.45">
      <c r="K379" s="36">
        <v>377</v>
      </c>
      <c r="L379" s="95">
        <v>-9.4000000000000021</v>
      </c>
    </row>
    <row r="380" spans="11:12" x14ac:dyDescent="0.45">
      <c r="K380" s="36">
        <v>378</v>
      </c>
      <c r="L380" s="95">
        <v>-1.7763568394002505E-15</v>
      </c>
    </row>
    <row r="381" spans="11:12" x14ac:dyDescent="0.45">
      <c r="K381" s="36">
        <v>379</v>
      </c>
      <c r="L381" s="95">
        <v>9.0999999999999979</v>
      </c>
    </row>
    <row r="382" spans="11:12" x14ac:dyDescent="0.45">
      <c r="K382" s="36">
        <v>380</v>
      </c>
      <c r="L382" s="95">
        <v>-20.400000000000002</v>
      </c>
    </row>
    <row r="383" spans="11:12" x14ac:dyDescent="0.45">
      <c r="K383" s="36">
        <v>381</v>
      </c>
      <c r="L383" s="95">
        <v>-3.5527136788005009E-15</v>
      </c>
    </row>
    <row r="384" spans="11:12" x14ac:dyDescent="0.45">
      <c r="K384" s="36">
        <v>382</v>
      </c>
      <c r="L384" s="95">
        <v>-36.100000000000009</v>
      </c>
    </row>
    <row r="385" spans="11:12" x14ac:dyDescent="0.45">
      <c r="K385" s="36">
        <v>383</v>
      </c>
      <c r="L385" s="95">
        <v>-7.3000000000000078</v>
      </c>
    </row>
    <row r="386" spans="11:12" x14ac:dyDescent="0.45">
      <c r="K386" s="36">
        <v>384</v>
      </c>
      <c r="L386" s="95">
        <v>-7.9936057773011271E-15</v>
      </c>
    </row>
    <row r="387" spans="11:12" x14ac:dyDescent="0.45">
      <c r="K387" s="36">
        <v>385</v>
      </c>
      <c r="L387" s="95">
        <v>-3.000000000000008</v>
      </c>
    </row>
    <row r="388" spans="11:12" x14ac:dyDescent="0.45">
      <c r="K388" s="36">
        <v>386</v>
      </c>
      <c r="L388" s="95">
        <v>-31.500000000000007</v>
      </c>
    </row>
    <row r="389" spans="11:12" x14ac:dyDescent="0.45">
      <c r="K389" s="36">
        <v>387</v>
      </c>
      <c r="L389" s="95">
        <v>-7.1054273576010019E-15</v>
      </c>
    </row>
    <row r="390" spans="11:12" x14ac:dyDescent="0.45">
      <c r="K390" s="36">
        <v>388</v>
      </c>
      <c r="L390" s="95">
        <v>32.499999999999993</v>
      </c>
    </row>
    <row r="391" spans="11:12" x14ac:dyDescent="0.45">
      <c r="K391" s="36">
        <v>389</v>
      </c>
      <c r="L391" s="95">
        <v>21.299999999999994</v>
      </c>
    </row>
    <row r="392" spans="11:12" x14ac:dyDescent="0.45">
      <c r="K392" s="36">
        <v>390</v>
      </c>
      <c r="L392" s="95">
        <v>-7.1054273576010019E-15</v>
      </c>
    </row>
    <row r="393" spans="11:12" x14ac:dyDescent="0.45">
      <c r="K393" s="36">
        <v>391</v>
      </c>
      <c r="L393" s="95">
        <v>-22.400000000000006</v>
      </c>
    </row>
    <row r="394" spans="11:12" x14ac:dyDescent="0.45">
      <c r="K394" s="36">
        <v>392</v>
      </c>
      <c r="L394" s="95">
        <v>-69.100000000000009</v>
      </c>
    </row>
    <row r="395" spans="11:12" x14ac:dyDescent="0.45">
      <c r="K395" s="36">
        <v>393</v>
      </c>
      <c r="L395" s="95">
        <v>-1.4210854715202004E-14</v>
      </c>
    </row>
    <row r="396" spans="11:12" x14ac:dyDescent="0.45">
      <c r="K396" s="36">
        <v>394</v>
      </c>
      <c r="L396" s="95">
        <v>15.199999999999985</v>
      </c>
    </row>
    <row r="397" spans="11:12" x14ac:dyDescent="0.45">
      <c r="K397" s="36">
        <v>395</v>
      </c>
      <c r="L397" s="95">
        <v>18.299999999999986</v>
      </c>
    </row>
    <row r="398" spans="11:12" x14ac:dyDescent="0.45">
      <c r="K398" s="36">
        <v>396</v>
      </c>
      <c r="L398" s="95">
        <v>-1.4210854715202004E-14</v>
      </c>
    </row>
    <row r="399" spans="11:12" x14ac:dyDescent="0.45">
      <c r="K399" s="36">
        <v>397</v>
      </c>
      <c r="L399" s="95">
        <v>1.5999999999999859</v>
      </c>
    </row>
    <row r="400" spans="11:12" x14ac:dyDescent="0.45">
      <c r="K400" s="36">
        <v>398</v>
      </c>
      <c r="L400" s="95">
        <v>-48.900000000000013</v>
      </c>
    </row>
    <row r="401" spans="11:12" x14ac:dyDescent="0.45">
      <c r="K401" s="36">
        <v>399</v>
      </c>
      <c r="L401" s="95">
        <v>-1.4210854715202004E-14</v>
      </c>
    </row>
    <row r="402" spans="11:12" x14ac:dyDescent="0.45">
      <c r="K402" s="36">
        <v>400</v>
      </c>
      <c r="L402" s="95">
        <v>26.799999999999986</v>
      </c>
    </row>
    <row r="403" spans="11:12" x14ac:dyDescent="0.45">
      <c r="K403" s="36">
        <v>401</v>
      </c>
      <c r="L403" s="95">
        <v>40.099999999999987</v>
      </c>
    </row>
    <row r="404" spans="11:12" x14ac:dyDescent="0.45">
      <c r="K404" s="36">
        <v>402</v>
      </c>
      <c r="L404" s="95">
        <v>-1.4210854715202004E-14</v>
      </c>
    </row>
    <row r="405" spans="11:12" x14ac:dyDescent="0.45">
      <c r="K405" s="36">
        <v>403</v>
      </c>
      <c r="L405" s="95">
        <v>-21.300000000000015</v>
      </c>
    </row>
    <row r="406" spans="11:12" x14ac:dyDescent="0.45">
      <c r="K406" s="36">
        <v>404</v>
      </c>
      <c r="L406" s="95">
        <v>-4.7000000000000135</v>
      </c>
    </row>
    <row r="407" spans="11:12" x14ac:dyDescent="0.45">
      <c r="K407" s="36">
        <v>405</v>
      </c>
      <c r="L407" s="95">
        <v>-1.3322676295501878E-14</v>
      </c>
    </row>
    <row r="408" spans="11:12" x14ac:dyDescent="0.45">
      <c r="K408" s="36">
        <v>406</v>
      </c>
      <c r="L408" s="95">
        <v>-29.900000000000013</v>
      </c>
    </row>
    <row r="409" spans="11:12" x14ac:dyDescent="0.45">
      <c r="K409" s="36">
        <v>407</v>
      </c>
      <c r="L409" s="95">
        <v>-5.1000000000000121</v>
      </c>
    </row>
    <row r="410" spans="11:12" x14ac:dyDescent="0.45">
      <c r="K410" s="36">
        <v>408</v>
      </c>
      <c r="L410" s="95">
        <v>-1.2434497875801753E-14</v>
      </c>
    </row>
    <row r="411" spans="11:12" x14ac:dyDescent="0.45">
      <c r="K411" s="36">
        <v>409</v>
      </c>
      <c r="L411" s="95">
        <v>-13.800000000000013</v>
      </c>
    </row>
    <row r="412" spans="11:12" x14ac:dyDescent="0.45">
      <c r="K412" s="36">
        <v>410</v>
      </c>
      <c r="L412" s="95">
        <v>-39.300000000000011</v>
      </c>
    </row>
    <row r="413" spans="11:12" x14ac:dyDescent="0.45">
      <c r="K413" s="36">
        <v>411</v>
      </c>
      <c r="L413" s="95">
        <v>-1.4210854715202004E-14</v>
      </c>
    </row>
    <row r="414" spans="11:12" x14ac:dyDescent="0.45">
      <c r="K414" s="36">
        <v>412</v>
      </c>
      <c r="L414" s="95">
        <v>10.899999999999986</v>
      </c>
    </row>
    <row r="415" spans="11:12" x14ac:dyDescent="0.45">
      <c r="K415" s="36">
        <v>413</v>
      </c>
      <c r="L415" s="95">
        <v>55.899999999999984</v>
      </c>
    </row>
    <row r="416" spans="11:12" x14ac:dyDescent="0.45">
      <c r="K416" s="36">
        <v>414</v>
      </c>
      <c r="L416" s="95">
        <v>-1.4210854715202004E-14</v>
      </c>
    </row>
    <row r="417" spans="11:12" x14ac:dyDescent="0.45">
      <c r="K417" s="36">
        <v>415</v>
      </c>
      <c r="L417" s="95">
        <v>5.9999999999999858</v>
      </c>
    </row>
    <row r="418" spans="11:12" x14ac:dyDescent="0.45">
      <c r="K418" s="36">
        <v>416</v>
      </c>
      <c r="L418" s="95">
        <v>-23.600000000000016</v>
      </c>
    </row>
    <row r="419" spans="11:12" x14ac:dyDescent="0.45">
      <c r="K419" s="36">
        <v>417</v>
      </c>
      <c r="L419" s="95">
        <v>-1.4210854715202004E-14</v>
      </c>
    </row>
    <row r="420" spans="11:12" x14ac:dyDescent="0.45">
      <c r="K420" s="36">
        <v>418</v>
      </c>
      <c r="L420" s="95">
        <v>-15.300000000000015</v>
      </c>
    </row>
    <row r="421" spans="11:12" x14ac:dyDescent="0.45">
      <c r="K421" s="36">
        <v>419</v>
      </c>
      <c r="L421" s="95">
        <v>1.7999999999999865</v>
      </c>
    </row>
    <row r="422" spans="11:12" x14ac:dyDescent="0.45">
      <c r="K422" s="36">
        <v>420</v>
      </c>
      <c r="L422" s="95">
        <v>-1.354472090042691E-14</v>
      </c>
    </row>
    <row r="423" spans="11:12" x14ac:dyDescent="0.45">
      <c r="K423" s="36">
        <v>421</v>
      </c>
      <c r="L423" s="95">
        <v>34.599999999999987</v>
      </c>
    </row>
    <row r="424" spans="11:12" x14ac:dyDescent="0.45">
      <c r="K424" s="36">
        <v>422</v>
      </c>
      <c r="L424" s="95">
        <v>-19.900000000000013</v>
      </c>
    </row>
    <row r="425" spans="11:12" x14ac:dyDescent="0.45">
      <c r="K425" s="36">
        <v>423</v>
      </c>
      <c r="L425" s="95">
        <v>-1.4210854715202004E-14</v>
      </c>
    </row>
    <row r="426" spans="11:12" x14ac:dyDescent="0.45">
      <c r="K426" s="36">
        <v>424</v>
      </c>
      <c r="L426" s="95">
        <v>-6.5000000000000142</v>
      </c>
    </row>
    <row r="427" spans="11:12" x14ac:dyDescent="0.45">
      <c r="K427" s="36">
        <v>425</v>
      </c>
      <c r="L427" s="95">
        <v>36.699999999999989</v>
      </c>
    </row>
    <row r="428" spans="11:12" x14ac:dyDescent="0.45">
      <c r="K428" s="36">
        <v>426</v>
      </c>
      <c r="L428" s="95">
        <v>-1.4210854715202004E-14</v>
      </c>
    </row>
    <row r="429" spans="11:12" x14ac:dyDescent="0.45">
      <c r="K429" s="36">
        <v>427</v>
      </c>
      <c r="L429" s="95">
        <v>-25.300000000000015</v>
      </c>
    </row>
    <row r="430" spans="11:12" x14ac:dyDescent="0.45">
      <c r="K430" s="36">
        <v>428</v>
      </c>
      <c r="L430" s="95">
        <v>-20.600000000000016</v>
      </c>
    </row>
    <row r="431" spans="11:12" x14ac:dyDescent="0.45">
      <c r="K431" s="36">
        <v>429</v>
      </c>
      <c r="L431" s="95">
        <v>-1.4210854715202004E-14</v>
      </c>
    </row>
    <row r="432" spans="11:12" x14ac:dyDescent="0.45">
      <c r="K432" s="36">
        <v>430</v>
      </c>
      <c r="L432" s="95">
        <v>-20.900000000000013</v>
      </c>
    </row>
    <row r="433" spans="11:12" x14ac:dyDescent="0.45">
      <c r="K433" s="36">
        <v>431</v>
      </c>
      <c r="L433" s="95">
        <v>-4.0000000000000142</v>
      </c>
    </row>
    <row r="434" spans="11:12" x14ac:dyDescent="0.45">
      <c r="K434" s="36">
        <v>432</v>
      </c>
      <c r="L434" s="95">
        <v>-1.4210854715202004E-14</v>
      </c>
    </row>
    <row r="435" spans="11:12" x14ac:dyDescent="0.45">
      <c r="K435" s="36">
        <v>433</v>
      </c>
      <c r="L435" s="95">
        <v>16.499999999999986</v>
      </c>
    </row>
    <row r="436" spans="11:12" x14ac:dyDescent="0.45">
      <c r="K436" s="36">
        <v>434</v>
      </c>
      <c r="L436" s="95">
        <v>0.59999999999998543</v>
      </c>
    </row>
    <row r="437" spans="11:12" x14ac:dyDescent="0.45">
      <c r="K437" s="36">
        <v>435</v>
      </c>
      <c r="L437" s="95">
        <v>-1.4543921622589551E-14</v>
      </c>
    </row>
    <row r="438" spans="11:12" x14ac:dyDescent="0.45">
      <c r="K438" s="36">
        <v>436</v>
      </c>
      <c r="L438" s="95">
        <v>3.4999999999999853</v>
      </c>
    </row>
    <row r="439" spans="11:12" x14ac:dyDescent="0.45">
      <c r="K439" s="36">
        <v>437</v>
      </c>
      <c r="L439" s="95">
        <v>38.999999999999986</v>
      </c>
    </row>
    <row r="440" spans="11:12" x14ac:dyDescent="0.45">
      <c r="K440" s="36">
        <v>438</v>
      </c>
      <c r="L440" s="95">
        <v>-1.4210854715202004E-14</v>
      </c>
    </row>
    <row r="441" spans="11:12" x14ac:dyDescent="0.45">
      <c r="K441" s="36">
        <v>439</v>
      </c>
      <c r="L441" s="95">
        <v>-33.000000000000014</v>
      </c>
    </row>
    <row r="442" spans="11:12" x14ac:dyDescent="0.45">
      <c r="K442" s="36">
        <v>440</v>
      </c>
      <c r="L442" s="95">
        <v>45.59999999999998</v>
      </c>
    </row>
    <row r="443" spans="11:12" x14ac:dyDescent="0.45">
      <c r="K443" s="36">
        <v>441</v>
      </c>
      <c r="L443" s="95">
        <v>-2.1316282072803006E-14</v>
      </c>
    </row>
    <row r="444" spans="11:12" x14ac:dyDescent="0.45">
      <c r="K444" s="36">
        <v>442</v>
      </c>
      <c r="L444" s="95">
        <v>-24.100000000000023</v>
      </c>
    </row>
    <row r="445" spans="11:12" x14ac:dyDescent="0.45">
      <c r="K445" s="36">
        <v>443</v>
      </c>
      <c r="L445" s="95">
        <v>-23.800000000000022</v>
      </c>
    </row>
    <row r="446" spans="11:12" x14ac:dyDescent="0.45">
      <c r="K446" s="36">
        <v>444</v>
      </c>
      <c r="L446" s="95">
        <v>-2.1316282072803006E-14</v>
      </c>
    </row>
    <row r="447" spans="11:12" x14ac:dyDescent="0.45">
      <c r="K447" s="36">
        <v>445</v>
      </c>
      <c r="L447" s="95">
        <v>10.299999999999979</v>
      </c>
    </row>
    <row r="448" spans="11:12" x14ac:dyDescent="0.45">
      <c r="K448" s="36">
        <v>446</v>
      </c>
      <c r="L448" s="95">
        <v>45.399999999999977</v>
      </c>
    </row>
    <row r="449" spans="11:12" x14ac:dyDescent="0.45">
      <c r="K449" s="36">
        <v>447</v>
      </c>
      <c r="L449" s="95">
        <v>-2.1316282072803006E-14</v>
      </c>
    </row>
    <row r="450" spans="11:12" x14ac:dyDescent="0.45">
      <c r="K450" s="36">
        <v>448</v>
      </c>
      <c r="L450" s="95">
        <v>26.699999999999978</v>
      </c>
    </row>
    <row r="451" spans="11:12" x14ac:dyDescent="0.45">
      <c r="K451" s="36">
        <v>449</v>
      </c>
      <c r="L451" s="95">
        <v>22.299999999999976</v>
      </c>
    </row>
    <row r="452" spans="11:12" x14ac:dyDescent="0.45">
      <c r="K452" s="36">
        <v>450</v>
      </c>
      <c r="L452" s="95">
        <v>-2.4868995751603507E-14</v>
      </c>
    </row>
    <row r="453" spans="11:12" x14ac:dyDescent="0.45">
      <c r="K453" s="36">
        <v>451</v>
      </c>
      <c r="L453" s="95">
        <v>-28.900000000000023</v>
      </c>
    </row>
    <row r="454" spans="11:12" x14ac:dyDescent="0.45">
      <c r="K454" s="36">
        <v>452</v>
      </c>
      <c r="L454" s="95">
        <v>-43.100000000000023</v>
      </c>
    </row>
    <row r="455" spans="11:12" x14ac:dyDescent="0.45">
      <c r="K455" s="36">
        <v>453</v>
      </c>
      <c r="L455" s="95">
        <v>-2.1316282072803006E-14</v>
      </c>
    </row>
    <row r="456" spans="11:12" x14ac:dyDescent="0.45">
      <c r="K456" s="36">
        <v>454</v>
      </c>
      <c r="L456" s="95">
        <v>21.499999999999979</v>
      </c>
    </row>
    <row r="457" spans="11:12" x14ac:dyDescent="0.45">
      <c r="K457" s="36">
        <v>455</v>
      </c>
      <c r="L457" s="95">
        <v>23.999999999999979</v>
      </c>
    </row>
    <row r="458" spans="11:12" x14ac:dyDescent="0.45">
      <c r="K458" s="36">
        <v>456</v>
      </c>
      <c r="L458" s="95">
        <v>-2.1316282072803006E-14</v>
      </c>
    </row>
    <row r="459" spans="11:12" x14ac:dyDescent="0.45">
      <c r="K459" s="36">
        <v>457</v>
      </c>
      <c r="L459" s="95">
        <v>-25.100000000000023</v>
      </c>
    </row>
    <row r="460" spans="11:12" x14ac:dyDescent="0.45">
      <c r="K460" s="36">
        <v>458</v>
      </c>
      <c r="L460" s="95">
        <v>4.9999999999999787</v>
      </c>
    </row>
    <row r="461" spans="11:12" x14ac:dyDescent="0.45">
      <c r="K461" s="36">
        <v>459</v>
      </c>
      <c r="L461" s="95">
        <v>-2.1316282072803006E-14</v>
      </c>
    </row>
    <row r="462" spans="11:12" x14ac:dyDescent="0.45">
      <c r="K462" s="36">
        <v>460</v>
      </c>
      <c r="L462" s="95">
        <v>2.9999999999999787</v>
      </c>
    </row>
    <row r="463" spans="11:12" x14ac:dyDescent="0.45">
      <c r="K463" s="36">
        <v>461</v>
      </c>
      <c r="L463" s="95">
        <v>37.09999999999998</v>
      </c>
    </row>
    <row r="464" spans="11:12" x14ac:dyDescent="0.45">
      <c r="K464" s="36">
        <v>462</v>
      </c>
      <c r="L464" s="95">
        <v>-2.1316282072803006E-14</v>
      </c>
    </row>
    <row r="465" spans="11:12" x14ac:dyDescent="0.45">
      <c r="K465" s="36">
        <v>463</v>
      </c>
      <c r="L465" s="95">
        <v>-1.9000000000000212</v>
      </c>
    </row>
    <row r="466" spans="11:12" x14ac:dyDescent="0.45">
      <c r="K466" s="36">
        <v>464</v>
      </c>
      <c r="L466" s="95">
        <v>-27.700000000000021</v>
      </c>
    </row>
    <row r="467" spans="11:12" x14ac:dyDescent="0.45">
      <c r="K467" s="36">
        <v>465</v>
      </c>
      <c r="L467" s="95">
        <v>-2.1316282072803006E-14</v>
      </c>
    </row>
    <row r="468" spans="11:12" x14ac:dyDescent="0.45">
      <c r="K468" s="36">
        <v>466</v>
      </c>
      <c r="L468" s="95">
        <v>35.899999999999977</v>
      </c>
    </row>
    <row r="469" spans="11:12" x14ac:dyDescent="0.45">
      <c r="K469" s="36">
        <v>467</v>
      </c>
      <c r="L469" s="95">
        <v>45.199999999999974</v>
      </c>
    </row>
    <row r="470" spans="11:12" x14ac:dyDescent="0.45">
      <c r="K470" s="36">
        <v>468</v>
      </c>
      <c r="L470" s="95">
        <v>-2.8421709430404007E-14</v>
      </c>
    </row>
    <row r="471" spans="11:12" x14ac:dyDescent="0.45">
      <c r="K471" s="36">
        <v>469</v>
      </c>
      <c r="L471" s="95">
        <v>37.39999999999997</v>
      </c>
    </row>
    <row r="472" spans="11:12" x14ac:dyDescent="0.45">
      <c r="K472" s="36">
        <v>470</v>
      </c>
      <c r="L472" s="95">
        <v>59.099999999999966</v>
      </c>
    </row>
    <row r="473" spans="11:12" x14ac:dyDescent="0.45">
      <c r="K473" s="36">
        <v>471</v>
      </c>
      <c r="L473" s="95">
        <v>-3.5527136788005009E-14</v>
      </c>
    </row>
    <row r="474" spans="11:12" x14ac:dyDescent="0.45">
      <c r="K474" s="36">
        <v>472</v>
      </c>
      <c r="L474" s="95">
        <v>-3.5000000000000355</v>
      </c>
    </row>
    <row r="475" spans="11:12" x14ac:dyDescent="0.45">
      <c r="K475" s="36">
        <v>473</v>
      </c>
      <c r="L475" s="95">
        <v>15.999999999999964</v>
      </c>
    </row>
    <row r="476" spans="11:12" x14ac:dyDescent="0.45">
      <c r="K476" s="36">
        <v>474</v>
      </c>
      <c r="L476" s="95">
        <v>-3.5527136788005009E-14</v>
      </c>
    </row>
    <row r="477" spans="11:12" x14ac:dyDescent="0.45">
      <c r="K477" s="36">
        <v>475</v>
      </c>
      <c r="L477" s="95">
        <v>28.099999999999966</v>
      </c>
    </row>
    <row r="478" spans="11:12" x14ac:dyDescent="0.45">
      <c r="K478" s="36">
        <v>476</v>
      </c>
      <c r="L478" s="95">
        <v>41.699999999999967</v>
      </c>
    </row>
    <row r="479" spans="11:12" x14ac:dyDescent="0.45">
      <c r="K479" s="36">
        <v>477</v>
      </c>
      <c r="L479" s="95">
        <v>-3.5527136788005009E-14</v>
      </c>
    </row>
    <row r="480" spans="11:12" x14ac:dyDescent="0.45">
      <c r="K480" s="36">
        <v>478</v>
      </c>
      <c r="L480" s="95">
        <v>51.899999999999963</v>
      </c>
    </row>
    <row r="481" spans="11:12" x14ac:dyDescent="0.45">
      <c r="K481" s="36">
        <v>479</v>
      </c>
      <c r="L481" s="95">
        <v>2.3999999999999631</v>
      </c>
    </row>
    <row r="482" spans="11:12" x14ac:dyDescent="0.45">
      <c r="K482" s="36">
        <v>480</v>
      </c>
      <c r="L482" s="95">
        <v>-3.6859404417555197E-14</v>
      </c>
    </row>
    <row r="483" spans="11:12" x14ac:dyDescent="0.45">
      <c r="K483" s="36">
        <v>481</v>
      </c>
      <c r="L483" s="95">
        <v>-17.100000000000037</v>
      </c>
    </row>
    <row r="484" spans="11:12" x14ac:dyDescent="0.45">
      <c r="K484" s="36">
        <v>482</v>
      </c>
      <c r="L484" s="95">
        <v>-21.900000000000038</v>
      </c>
    </row>
    <row r="485" spans="11:12" x14ac:dyDescent="0.45">
      <c r="K485" s="36">
        <v>483</v>
      </c>
      <c r="L485" s="95">
        <v>-3.907985046680551E-14</v>
      </c>
    </row>
    <row r="486" spans="11:12" x14ac:dyDescent="0.45">
      <c r="K486" s="36">
        <v>484</v>
      </c>
      <c r="L486" s="95">
        <v>-46.100000000000037</v>
      </c>
    </row>
    <row r="487" spans="11:12" x14ac:dyDescent="0.45">
      <c r="K487" s="36">
        <v>485</v>
      </c>
      <c r="L487" s="95">
        <v>-41.900000000000034</v>
      </c>
    </row>
    <row r="488" spans="11:12" x14ac:dyDescent="0.45">
      <c r="K488" s="36">
        <v>486</v>
      </c>
      <c r="L488" s="95">
        <v>-3.5527136788005009E-14</v>
      </c>
    </row>
    <row r="489" spans="11:12" x14ac:dyDescent="0.45">
      <c r="K489" s="36">
        <v>487</v>
      </c>
      <c r="L489" s="95">
        <v>-30.300000000000036</v>
      </c>
    </row>
    <row r="490" spans="11:12" x14ac:dyDescent="0.45">
      <c r="K490" s="36">
        <v>488</v>
      </c>
      <c r="L490" s="95">
        <v>16.499999999999961</v>
      </c>
    </row>
    <row r="491" spans="11:12" x14ac:dyDescent="0.45">
      <c r="K491" s="36">
        <v>489</v>
      </c>
      <c r="L491" s="95">
        <v>-3.907985046680551E-14</v>
      </c>
    </row>
    <row r="492" spans="11:12" x14ac:dyDescent="0.45">
      <c r="K492" s="36">
        <v>490</v>
      </c>
      <c r="L492" s="95">
        <v>-36.600000000000037</v>
      </c>
    </row>
    <row r="493" spans="11:12" x14ac:dyDescent="0.45">
      <c r="K493" s="36">
        <v>491</v>
      </c>
      <c r="L493" s="95">
        <v>-49.000000000000036</v>
      </c>
    </row>
    <row r="494" spans="11:12" x14ac:dyDescent="0.45">
      <c r="K494" s="36">
        <v>492</v>
      </c>
      <c r="L494" s="95">
        <v>-3.5527136788005009E-14</v>
      </c>
    </row>
    <row r="495" spans="11:12" x14ac:dyDescent="0.45">
      <c r="K495" s="36">
        <v>493</v>
      </c>
      <c r="L495" s="95">
        <v>-48.600000000000037</v>
      </c>
    </row>
    <row r="496" spans="11:12" x14ac:dyDescent="0.45">
      <c r="K496" s="36">
        <v>494</v>
      </c>
      <c r="L496" s="95">
        <v>-44.400000000000034</v>
      </c>
    </row>
    <row r="497" spans="11:12" x14ac:dyDescent="0.45">
      <c r="K497" s="36">
        <v>495</v>
      </c>
      <c r="L497" s="95">
        <v>-3.5527136788005009E-14</v>
      </c>
    </row>
    <row r="498" spans="11:12" x14ac:dyDescent="0.45">
      <c r="K498" s="36">
        <v>496</v>
      </c>
      <c r="L498" s="95">
        <v>-9.6000000000000352</v>
      </c>
    </row>
    <row r="499" spans="11:12" x14ac:dyDescent="0.45">
      <c r="K499" s="36">
        <v>497</v>
      </c>
      <c r="L499" s="95">
        <v>40.19999999999996</v>
      </c>
    </row>
    <row r="500" spans="11:12" x14ac:dyDescent="0.45">
      <c r="K500" s="36">
        <v>498</v>
      </c>
      <c r="L500" s="95">
        <v>-4.2632564145606011E-14</v>
      </c>
    </row>
    <row r="501" spans="11:12" x14ac:dyDescent="0.45">
      <c r="K501" s="36">
        <v>499</v>
      </c>
      <c r="L501" s="95">
        <v>-48.80000000000004</v>
      </c>
    </row>
    <row r="502" spans="11:12" x14ac:dyDescent="0.45">
      <c r="K502" s="36">
        <v>500</v>
      </c>
      <c r="L502" s="95">
        <v>-50.000000000000043</v>
      </c>
    </row>
    <row r="503" spans="11:12" x14ac:dyDescent="0.45">
      <c r="K503" s="36">
        <v>501</v>
      </c>
      <c r="L503" s="95">
        <v>-4.2632564145606011E-14</v>
      </c>
    </row>
    <row r="504" spans="11:12" x14ac:dyDescent="0.45">
      <c r="K504" s="36">
        <v>502</v>
      </c>
      <c r="L504" s="95">
        <v>-11.400000000000043</v>
      </c>
    </row>
    <row r="505" spans="11:12" x14ac:dyDescent="0.45">
      <c r="K505" s="36">
        <v>503</v>
      </c>
      <c r="L505" s="95">
        <v>33.69999999999996</v>
      </c>
    </row>
    <row r="506" spans="11:12" x14ac:dyDescent="0.45">
      <c r="K506" s="36">
        <v>504</v>
      </c>
      <c r="L506" s="95">
        <v>-4.2632564145606011E-14</v>
      </c>
    </row>
    <row r="507" spans="11:12" x14ac:dyDescent="0.45">
      <c r="K507" s="36">
        <v>505</v>
      </c>
      <c r="L507" s="95">
        <v>124.09999999999995</v>
      </c>
    </row>
    <row r="508" spans="11:12" x14ac:dyDescent="0.45">
      <c r="K508" s="36">
        <v>506</v>
      </c>
      <c r="L508" s="95">
        <v>132.89999999999995</v>
      </c>
    </row>
    <row r="509" spans="11:12" x14ac:dyDescent="0.45">
      <c r="K509" s="36">
        <v>507</v>
      </c>
      <c r="L509" s="95">
        <v>-5.6843418860808015E-14</v>
      </c>
    </row>
    <row r="510" spans="11:12" x14ac:dyDescent="0.45">
      <c r="K510" s="36">
        <v>508</v>
      </c>
      <c r="L510" s="95">
        <v>22.399999999999942</v>
      </c>
    </row>
    <row r="511" spans="11:12" x14ac:dyDescent="0.45">
      <c r="K511" s="36">
        <v>509</v>
      </c>
      <c r="L511" s="95">
        <v>29.399999999999942</v>
      </c>
    </row>
    <row r="512" spans="11:12" x14ac:dyDescent="0.45">
      <c r="K512" s="36">
        <v>510</v>
      </c>
      <c r="L512" s="95">
        <v>-5.6843418860808015E-14</v>
      </c>
    </row>
    <row r="513" spans="11:12" x14ac:dyDescent="0.45">
      <c r="K513" s="36">
        <v>511</v>
      </c>
      <c r="L513" s="95">
        <v>13.599999999999943</v>
      </c>
    </row>
    <row r="514" spans="11:12" x14ac:dyDescent="0.45">
      <c r="K514" s="36">
        <v>512</v>
      </c>
      <c r="L514" s="95">
        <v>-0.50000000000005684</v>
      </c>
    </row>
    <row r="515" spans="11:12" x14ac:dyDescent="0.45">
      <c r="K515" s="36">
        <v>513</v>
      </c>
      <c r="L515" s="95">
        <v>-5.6843418860808015E-14</v>
      </c>
    </row>
    <row r="516" spans="11:12" x14ac:dyDescent="0.45">
      <c r="K516" s="36">
        <v>514</v>
      </c>
      <c r="L516" s="95">
        <v>-48.20000000000006</v>
      </c>
    </row>
    <row r="517" spans="11:12" x14ac:dyDescent="0.45">
      <c r="K517" s="36">
        <v>515</v>
      </c>
      <c r="L517" s="95">
        <v>-70.600000000000051</v>
      </c>
    </row>
    <row r="518" spans="11:12" x14ac:dyDescent="0.45">
      <c r="K518" s="36">
        <v>516</v>
      </c>
      <c r="L518" s="95">
        <v>-5.6843418860808015E-14</v>
      </c>
    </row>
    <row r="519" spans="11:12" x14ac:dyDescent="0.45">
      <c r="K519" s="36">
        <v>517</v>
      </c>
      <c r="L519" s="95">
        <v>44.499999999999943</v>
      </c>
    </row>
    <row r="520" spans="11:12" x14ac:dyDescent="0.45">
      <c r="K520" s="36">
        <v>518</v>
      </c>
      <c r="L520" s="95">
        <v>30.999999999999943</v>
      </c>
    </row>
    <row r="521" spans="11:12" x14ac:dyDescent="0.45">
      <c r="K521" s="36">
        <v>519</v>
      </c>
      <c r="L521" s="95">
        <v>-5.6843418860808015E-14</v>
      </c>
    </row>
    <row r="522" spans="11:12" x14ac:dyDescent="0.45">
      <c r="K522" s="36">
        <v>520</v>
      </c>
      <c r="L522" s="95">
        <v>16.999999999999943</v>
      </c>
    </row>
    <row r="523" spans="11:12" x14ac:dyDescent="0.45">
      <c r="K523" s="36">
        <v>521</v>
      </c>
      <c r="L523" s="95">
        <v>-6.6000000000000583</v>
      </c>
    </row>
    <row r="524" spans="11:12" x14ac:dyDescent="0.45">
      <c r="K524" s="36">
        <v>522</v>
      </c>
      <c r="L524" s="95">
        <v>-5.8619775700208265E-14</v>
      </c>
    </row>
    <row r="525" spans="11:12" x14ac:dyDescent="0.45">
      <c r="K525" s="36">
        <v>523</v>
      </c>
      <c r="L525" s="95">
        <v>3.1999999999999416</v>
      </c>
    </row>
    <row r="526" spans="11:12" x14ac:dyDescent="0.45">
      <c r="K526" s="36">
        <v>524</v>
      </c>
      <c r="L526" s="95">
        <v>-26.400000000000059</v>
      </c>
    </row>
    <row r="527" spans="11:12" x14ac:dyDescent="0.45">
      <c r="K527" s="36">
        <v>525</v>
      </c>
      <c r="L527" s="95">
        <v>-6.0396132539608516E-14</v>
      </c>
    </row>
    <row r="528" spans="11:12" x14ac:dyDescent="0.45">
      <c r="K528" s="36">
        <v>526</v>
      </c>
      <c r="L528" s="95">
        <v>-52.300000000000054</v>
      </c>
    </row>
    <row r="529" spans="11:12" x14ac:dyDescent="0.45">
      <c r="K529" s="36">
        <v>527</v>
      </c>
      <c r="L529" s="95">
        <v>-11.500000000000057</v>
      </c>
    </row>
    <row r="530" spans="11:12" x14ac:dyDescent="0.45">
      <c r="K530" s="36">
        <v>528</v>
      </c>
      <c r="L530" s="95">
        <v>-5.6843418860808015E-14</v>
      </c>
    </row>
    <row r="531" spans="11:12" x14ac:dyDescent="0.45">
      <c r="K531" s="36">
        <v>529</v>
      </c>
      <c r="L531" s="95">
        <v>-22.800000000000058</v>
      </c>
    </row>
    <row r="532" spans="11:12" x14ac:dyDescent="0.45">
      <c r="K532" s="36">
        <v>530</v>
      </c>
      <c r="L532" s="95">
        <v>-70.600000000000051</v>
      </c>
    </row>
    <row r="533" spans="11:12" x14ac:dyDescent="0.45">
      <c r="K533" s="36">
        <v>531</v>
      </c>
      <c r="L533" s="95">
        <v>-5.6843418860808015E-14</v>
      </c>
    </row>
    <row r="534" spans="11:12" x14ac:dyDescent="0.45">
      <c r="K534" s="36">
        <v>532</v>
      </c>
      <c r="L534" s="95">
        <v>5.799999999999943</v>
      </c>
    </row>
    <row r="535" spans="11:12" x14ac:dyDescent="0.45">
      <c r="K535" s="36">
        <v>533</v>
      </c>
      <c r="L535" s="95">
        <v>-16.300000000000058</v>
      </c>
    </row>
    <row r="536" spans="11:12" x14ac:dyDescent="0.45">
      <c r="K536" s="36">
        <v>534</v>
      </c>
      <c r="L536" s="95">
        <v>-5.6843418860808015E-14</v>
      </c>
    </row>
    <row r="537" spans="11:12" x14ac:dyDescent="0.45">
      <c r="K537" s="36">
        <v>535</v>
      </c>
      <c r="L537" s="95">
        <v>-41.100000000000058</v>
      </c>
    </row>
    <row r="538" spans="11:12" x14ac:dyDescent="0.45">
      <c r="K538" s="36">
        <v>536</v>
      </c>
      <c r="L538" s="95">
        <v>5.7999999999999403</v>
      </c>
    </row>
    <row r="539" spans="11:12" x14ac:dyDescent="0.45">
      <c r="K539" s="36">
        <v>537</v>
      </c>
      <c r="L539" s="95">
        <v>-5.9507954119908391E-14</v>
      </c>
    </row>
    <row r="540" spans="11:12" x14ac:dyDescent="0.45">
      <c r="K540" s="36">
        <v>538</v>
      </c>
      <c r="L540" s="95">
        <v>-56.400000000000055</v>
      </c>
    </row>
    <row r="541" spans="11:12" x14ac:dyDescent="0.45">
      <c r="K541" s="36">
        <v>539</v>
      </c>
      <c r="L541" s="95">
        <v>-7.4000000000000554</v>
      </c>
    </row>
    <row r="542" spans="11:12" x14ac:dyDescent="0.45">
      <c r="K542" s="36">
        <v>540</v>
      </c>
      <c r="L542" s="95">
        <v>-5.5067062021407764E-14</v>
      </c>
    </row>
    <row r="543" spans="11:12" x14ac:dyDescent="0.45">
      <c r="K543" s="36">
        <v>541</v>
      </c>
      <c r="L543" s="95">
        <v>36.199999999999946</v>
      </c>
    </row>
    <row r="544" spans="11:12" x14ac:dyDescent="0.45">
      <c r="K544" s="36">
        <v>542</v>
      </c>
      <c r="L544" s="95">
        <v>43.299999999999947</v>
      </c>
    </row>
    <row r="545" spans="11:12" x14ac:dyDescent="0.45">
      <c r="K545" s="36">
        <v>543</v>
      </c>
      <c r="L545" s="95">
        <v>-4.9737991503207013E-14</v>
      </c>
    </row>
    <row r="546" spans="11:12" x14ac:dyDescent="0.45">
      <c r="K546" s="36">
        <v>544</v>
      </c>
      <c r="L546" s="95">
        <v>-26.400000000000048</v>
      </c>
    </row>
    <row r="547" spans="11:12" x14ac:dyDescent="0.45">
      <c r="K547" s="36">
        <v>545</v>
      </c>
      <c r="L547" s="95">
        <v>-25.00000000000005</v>
      </c>
    </row>
    <row r="548" spans="11:12" x14ac:dyDescent="0.45">
      <c r="K548" s="36">
        <v>546</v>
      </c>
      <c r="L548" s="95">
        <v>-4.9737991503207013E-14</v>
      </c>
    </row>
    <row r="549" spans="11:12" x14ac:dyDescent="0.45">
      <c r="K549" s="36">
        <v>547</v>
      </c>
      <c r="L549" s="95">
        <v>-13.100000000000049</v>
      </c>
    </row>
    <row r="550" spans="11:12" x14ac:dyDescent="0.45">
      <c r="K550" s="36">
        <v>548</v>
      </c>
      <c r="L550" s="95">
        <v>36.099999999999952</v>
      </c>
    </row>
    <row r="551" spans="11:12" x14ac:dyDescent="0.45">
      <c r="K551" s="36">
        <v>549</v>
      </c>
      <c r="L551" s="95">
        <v>-4.9737991503207013E-14</v>
      </c>
    </row>
    <row r="552" spans="11:12" x14ac:dyDescent="0.45">
      <c r="K552" s="36">
        <v>550</v>
      </c>
      <c r="L552" s="95">
        <v>-3.9000000000000496</v>
      </c>
    </row>
    <row r="553" spans="11:12" x14ac:dyDescent="0.45">
      <c r="K553" s="36">
        <v>551</v>
      </c>
      <c r="L553" s="95">
        <v>-19.200000000000049</v>
      </c>
    </row>
    <row r="554" spans="11:12" x14ac:dyDescent="0.45">
      <c r="K554" s="36">
        <v>552</v>
      </c>
      <c r="L554" s="95">
        <v>-4.9737991503207013E-14</v>
      </c>
    </row>
    <row r="555" spans="11:12" x14ac:dyDescent="0.45">
      <c r="K555" s="36">
        <v>553</v>
      </c>
      <c r="L555" s="95">
        <v>-49.00000000000005</v>
      </c>
    </row>
    <row r="556" spans="11:12" x14ac:dyDescent="0.45">
      <c r="K556" s="36">
        <v>554</v>
      </c>
      <c r="L556" s="95">
        <v>12.99999999999995</v>
      </c>
    </row>
    <row r="557" spans="11:12" x14ac:dyDescent="0.45">
      <c r="K557" s="36">
        <v>555</v>
      </c>
      <c r="L557" s="95">
        <v>-4.9737991503207013E-14</v>
      </c>
    </row>
    <row r="558" spans="11:12" x14ac:dyDescent="0.45">
      <c r="K558" s="36">
        <v>556</v>
      </c>
      <c r="L558" s="95">
        <v>-19.50000000000005</v>
      </c>
    </row>
    <row r="559" spans="11:12" x14ac:dyDescent="0.45">
      <c r="K559" s="36">
        <v>557</v>
      </c>
      <c r="L559" s="95">
        <v>-16.80000000000005</v>
      </c>
    </row>
    <row r="560" spans="11:12" x14ac:dyDescent="0.45">
      <c r="K560" s="36">
        <v>558</v>
      </c>
      <c r="L560" s="95">
        <v>-4.9737991503207013E-14</v>
      </c>
    </row>
    <row r="561" spans="11:12" x14ac:dyDescent="0.45">
      <c r="K561" s="36">
        <v>559</v>
      </c>
      <c r="L561" s="95">
        <v>37.799999999999947</v>
      </c>
    </row>
    <row r="562" spans="11:12" x14ac:dyDescent="0.45">
      <c r="K562" s="36">
        <v>560</v>
      </c>
      <c r="L562" s="95">
        <v>-7.7000000000000526</v>
      </c>
    </row>
    <row r="563" spans="11:12" x14ac:dyDescent="0.45">
      <c r="K563" s="36">
        <v>561</v>
      </c>
      <c r="L563" s="95">
        <v>-5.2402526762307389E-14</v>
      </c>
    </row>
    <row r="564" spans="11:12" x14ac:dyDescent="0.45">
      <c r="K564" s="36">
        <v>562</v>
      </c>
      <c r="L564" s="95">
        <v>-18.400000000000052</v>
      </c>
    </row>
    <row r="565" spans="11:12" x14ac:dyDescent="0.45">
      <c r="K565" s="36">
        <v>563</v>
      </c>
      <c r="L565" s="95">
        <v>-59.200000000000045</v>
      </c>
    </row>
    <row r="566" spans="11:12" x14ac:dyDescent="0.45">
      <c r="K566" s="36">
        <v>564</v>
      </c>
      <c r="L566" s="95">
        <v>-4.2632564145606011E-14</v>
      </c>
    </row>
    <row r="567" spans="11:12" x14ac:dyDescent="0.45">
      <c r="K567" s="36">
        <v>565</v>
      </c>
      <c r="L567" s="95">
        <v>1.0999999999999575</v>
      </c>
    </row>
    <row r="568" spans="11:12" x14ac:dyDescent="0.45">
      <c r="K568" s="36">
        <v>566</v>
      </c>
      <c r="L568" s="95">
        <v>44.799999999999962</v>
      </c>
    </row>
    <row r="569" spans="11:12" x14ac:dyDescent="0.45">
      <c r="K569" s="36">
        <v>567</v>
      </c>
      <c r="L569" s="95">
        <v>-3.5527136788005009E-14</v>
      </c>
    </row>
    <row r="570" spans="11:12" x14ac:dyDescent="0.45">
      <c r="K570" s="36">
        <v>568</v>
      </c>
      <c r="L570" s="95">
        <v>1.0999999999999646</v>
      </c>
    </row>
    <row r="571" spans="11:12" x14ac:dyDescent="0.45">
      <c r="K571" s="36">
        <v>569</v>
      </c>
      <c r="L571" s="95">
        <v>25.099999999999966</v>
      </c>
    </row>
    <row r="572" spans="11:12" x14ac:dyDescent="0.45">
      <c r="K572" s="36">
        <v>570</v>
      </c>
      <c r="L572" s="95">
        <v>-3.5527136788005009E-14</v>
      </c>
    </row>
    <row r="573" spans="11:12" x14ac:dyDescent="0.45">
      <c r="K573" s="36">
        <v>571</v>
      </c>
      <c r="L573" s="95">
        <v>-0.10000000000003553</v>
      </c>
    </row>
    <row r="574" spans="11:12" x14ac:dyDescent="0.45">
      <c r="K574" s="36">
        <v>572</v>
      </c>
      <c r="L574" s="95">
        <v>-35.80000000000004</v>
      </c>
    </row>
    <row r="575" spans="11:12" x14ac:dyDescent="0.45">
      <c r="K575" s="36">
        <v>573</v>
      </c>
      <c r="L575" s="95">
        <v>-4.2632564145606011E-14</v>
      </c>
    </row>
    <row r="576" spans="11:12" x14ac:dyDescent="0.45">
      <c r="K576" s="36">
        <v>574</v>
      </c>
      <c r="L576" s="95">
        <v>-22.500000000000043</v>
      </c>
    </row>
    <row r="577" spans="11:12" x14ac:dyDescent="0.45">
      <c r="K577" s="36">
        <v>575</v>
      </c>
      <c r="L577" s="95">
        <v>-30.400000000000041</v>
      </c>
    </row>
    <row r="578" spans="11:12" x14ac:dyDescent="0.45">
      <c r="K578" s="36">
        <v>576</v>
      </c>
      <c r="L578" s="95">
        <v>-4.2632564145606011E-14</v>
      </c>
    </row>
    <row r="579" spans="11:12" x14ac:dyDescent="0.45">
      <c r="K579" s="36">
        <v>577</v>
      </c>
      <c r="L579" s="95">
        <v>-87.400000000000048</v>
      </c>
    </row>
    <row r="580" spans="11:12" x14ac:dyDescent="0.45">
      <c r="K580" s="36">
        <v>578</v>
      </c>
      <c r="L580" s="95">
        <v>9.699999999999946</v>
      </c>
    </row>
    <row r="581" spans="11:12" x14ac:dyDescent="0.45">
      <c r="K581" s="36">
        <v>579</v>
      </c>
      <c r="L581" s="95">
        <v>-5.3290705182007514E-14</v>
      </c>
    </row>
    <row r="582" spans="11:12" x14ac:dyDescent="0.45">
      <c r="K582" s="36">
        <v>580</v>
      </c>
      <c r="L582" s="95">
        <v>25.899999999999945</v>
      </c>
    </row>
    <row r="583" spans="11:12" x14ac:dyDescent="0.45">
      <c r="K583" s="36">
        <v>581</v>
      </c>
      <c r="L583" s="95">
        <v>2.7999999999999439</v>
      </c>
    </row>
    <row r="584" spans="11:12" x14ac:dyDescent="0.45">
      <c r="K584" s="36">
        <v>582</v>
      </c>
      <c r="L584" s="95">
        <v>-5.595524044110789E-14</v>
      </c>
    </row>
    <row r="585" spans="11:12" x14ac:dyDescent="0.45">
      <c r="K585" s="36">
        <v>583</v>
      </c>
      <c r="L585" s="95">
        <v>-12.900000000000055</v>
      </c>
    </row>
    <row r="586" spans="11:12" x14ac:dyDescent="0.45">
      <c r="K586" s="36">
        <v>584</v>
      </c>
      <c r="L586" s="95">
        <v>32.299999999999947</v>
      </c>
    </row>
    <row r="587" spans="11:12" x14ac:dyDescent="0.45">
      <c r="K587" s="36">
        <v>585</v>
      </c>
      <c r="L587" s="95">
        <v>-4.9737991503207013E-14</v>
      </c>
    </row>
    <row r="588" spans="11:12" x14ac:dyDescent="0.45">
      <c r="K588" s="36">
        <v>586</v>
      </c>
      <c r="L588" s="95">
        <v>35.99999999999995</v>
      </c>
    </row>
    <row r="589" spans="11:12" x14ac:dyDescent="0.45">
      <c r="K589" s="36">
        <v>587</v>
      </c>
      <c r="L589" s="95">
        <v>-12.800000000000047</v>
      </c>
    </row>
    <row r="590" spans="11:12" x14ac:dyDescent="0.45">
      <c r="K590" s="36">
        <v>588</v>
      </c>
      <c r="L590" s="95">
        <v>-4.6185277824406512E-14</v>
      </c>
    </row>
    <row r="591" spans="11:12" x14ac:dyDescent="0.45">
      <c r="K591" s="36">
        <v>589</v>
      </c>
      <c r="L591" s="95">
        <v>20.399999999999952</v>
      </c>
    </row>
    <row r="592" spans="11:12" x14ac:dyDescent="0.45">
      <c r="K592" s="36">
        <v>590</v>
      </c>
      <c r="L592" s="95">
        <v>-30.700000000000049</v>
      </c>
    </row>
    <row r="593" spans="11:12" x14ac:dyDescent="0.45">
      <c r="K593" s="36">
        <v>591</v>
      </c>
      <c r="L593" s="95">
        <v>-4.9737991503207013E-14</v>
      </c>
    </row>
    <row r="594" spans="11:12" x14ac:dyDescent="0.45">
      <c r="K594" s="36">
        <v>592</v>
      </c>
      <c r="L594" s="95">
        <v>-60.300000000000047</v>
      </c>
    </row>
    <row r="595" spans="11:12" x14ac:dyDescent="0.45">
      <c r="K595" s="36">
        <v>593</v>
      </c>
      <c r="L595" s="95">
        <v>-0.3000000000000469</v>
      </c>
    </row>
    <row r="596" spans="11:12" x14ac:dyDescent="0.45">
      <c r="K596" s="36">
        <v>594</v>
      </c>
      <c r="L596" s="95">
        <v>-4.6906922790412864E-14</v>
      </c>
    </row>
    <row r="597" spans="11:12" x14ac:dyDescent="0.45">
      <c r="K597" s="36">
        <v>595</v>
      </c>
      <c r="L597" s="95">
        <v>-45.600000000000051</v>
      </c>
    </row>
    <row r="598" spans="11:12" x14ac:dyDescent="0.45">
      <c r="K598" s="36">
        <v>596</v>
      </c>
      <c r="L598" s="95">
        <v>9.5999999999999517</v>
      </c>
    </row>
    <row r="599" spans="11:12" x14ac:dyDescent="0.45">
      <c r="K599" s="36">
        <v>597</v>
      </c>
      <c r="L599" s="95">
        <v>-4.7961634663806763E-14</v>
      </c>
    </row>
    <row r="600" spans="11:12" x14ac:dyDescent="0.45">
      <c r="K600" s="36">
        <v>598</v>
      </c>
      <c r="L600" s="95">
        <v>28.899999999999949</v>
      </c>
    </row>
    <row r="601" spans="11:12" x14ac:dyDescent="0.45">
      <c r="K601" s="36">
        <v>599</v>
      </c>
      <c r="L601" s="95">
        <v>27.899999999999949</v>
      </c>
    </row>
    <row r="602" spans="11:12" x14ac:dyDescent="0.45">
      <c r="K602" s="36">
        <v>600</v>
      </c>
      <c r="L602" s="95">
        <v>-4.9737991503207013E-14</v>
      </c>
    </row>
    <row r="603" spans="11:12" x14ac:dyDescent="0.45">
      <c r="K603" s="36">
        <v>601</v>
      </c>
      <c r="L603" s="95">
        <v>-31.50000000000005</v>
      </c>
    </row>
    <row r="604" spans="11:12" x14ac:dyDescent="0.45">
      <c r="K604" s="36">
        <v>602</v>
      </c>
      <c r="L604" s="95">
        <v>-38.400000000000048</v>
      </c>
    </row>
    <row r="605" spans="11:12" x14ac:dyDescent="0.45">
      <c r="K605" s="36">
        <v>603</v>
      </c>
      <c r="L605" s="95">
        <v>-4.9737991503207013E-14</v>
      </c>
    </row>
    <row r="606" spans="11:12" x14ac:dyDescent="0.45">
      <c r="K606" s="36">
        <v>604</v>
      </c>
      <c r="L606" s="95">
        <v>33.49999999999995</v>
      </c>
    </row>
    <row r="607" spans="11:12" x14ac:dyDescent="0.45">
      <c r="K607" s="36">
        <v>605</v>
      </c>
      <c r="L607" s="95">
        <v>0.6999999999999531</v>
      </c>
    </row>
    <row r="608" spans="11:12" x14ac:dyDescent="0.45">
      <c r="K608" s="36">
        <v>606</v>
      </c>
      <c r="L608" s="95">
        <v>-4.6851411639181606E-14</v>
      </c>
    </row>
    <row r="609" spans="11:12" x14ac:dyDescent="0.45">
      <c r="K609" s="36">
        <v>607</v>
      </c>
      <c r="L609" s="95">
        <v>11.999999999999954</v>
      </c>
    </row>
    <row r="610" spans="11:12" x14ac:dyDescent="0.45">
      <c r="K610" s="36">
        <v>608</v>
      </c>
      <c r="L610" s="95">
        <v>38.299999999999955</v>
      </c>
    </row>
    <row r="611" spans="11:12" x14ac:dyDescent="0.45">
      <c r="K611" s="36">
        <v>609</v>
      </c>
      <c r="L611" s="95">
        <v>-4.2632564145606011E-14</v>
      </c>
    </row>
    <row r="612" spans="11:12" x14ac:dyDescent="0.45">
      <c r="K612" s="36">
        <v>610</v>
      </c>
      <c r="L612" s="95">
        <v>7.3999999999999577</v>
      </c>
    </row>
    <row r="613" spans="11:12" x14ac:dyDescent="0.45">
      <c r="K613" s="36">
        <v>611</v>
      </c>
      <c r="L613" s="95">
        <v>26.799999999999955</v>
      </c>
    </row>
    <row r="614" spans="11:12" x14ac:dyDescent="0.45">
      <c r="K614" s="36">
        <v>612</v>
      </c>
      <c r="L614" s="95">
        <v>-4.6185277824406512E-14</v>
      </c>
    </row>
    <row r="615" spans="11:12" x14ac:dyDescent="0.45">
      <c r="K615" s="36">
        <v>613</v>
      </c>
      <c r="L615" s="95">
        <v>-26.800000000000047</v>
      </c>
    </row>
    <row r="616" spans="11:12" x14ac:dyDescent="0.45">
      <c r="K616" s="36">
        <v>614</v>
      </c>
      <c r="L616" s="95">
        <v>-5.3000000000000469</v>
      </c>
    </row>
    <row r="617" spans="11:12" x14ac:dyDescent="0.45">
      <c r="K617" s="36">
        <v>615</v>
      </c>
      <c r="L617" s="95">
        <v>-4.7073456244106637E-14</v>
      </c>
    </row>
    <row r="618" spans="11:12" x14ac:dyDescent="0.45">
      <c r="K618" s="36">
        <v>616</v>
      </c>
      <c r="L618" s="95">
        <v>-20.200000000000045</v>
      </c>
    </row>
    <row r="619" spans="11:12" x14ac:dyDescent="0.45">
      <c r="K619" s="36">
        <v>617</v>
      </c>
      <c r="L619" s="95">
        <v>-28.900000000000045</v>
      </c>
    </row>
    <row r="620" spans="11:12" x14ac:dyDescent="0.45">
      <c r="K620" s="36">
        <v>618</v>
      </c>
      <c r="L620" s="95">
        <v>-4.6185277824406512E-14</v>
      </c>
    </row>
    <row r="621" spans="11:12" x14ac:dyDescent="0.45">
      <c r="K621" s="36">
        <v>619</v>
      </c>
      <c r="L621" s="95">
        <v>-22.600000000000048</v>
      </c>
    </row>
    <row r="622" spans="11:12" x14ac:dyDescent="0.45">
      <c r="K622" s="36">
        <v>620</v>
      </c>
      <c r="L622" s="95">
        <v>-20.000000000000046</v>
      </c>
    </row>
    <row r="623" spans="11:12" x14ac:dyDescent="0.45">
      <c r="K623" s="36">
        <v>621</v>
      </c>
      <c r="L623" s="95">
        <v>-4.6185277824406512E-14</v>
      </c>
    </row>
    <row r="624" spans="11:12" x14ac:dyDescent="0.45">
      <c r="K624" s="36">
        <v>622</v>
      </c>
      <c r="L624" s="95">
        <v>42.299999999999955</v>
      </c>
    </row>
    <row r="625" spans="11:12" x14ac:dyDescent="0.45">
      <c r="K625" s="36">
        <v>623</v>
      </c>
      <c r="L625" s="95">
        <v>46.999999999999957</v>
      </c>
    </row>
    <row r="626" spans="11:12" x14ac:dyDescent="0.45">
      <c r="K626" s="36">
        <v>624</v>
      </c>
      <c r="L626" s="95">
        <v>-4.2632564145606011E-14</v>
      </c>
    </row>
    <row r="627" spans="11:12" x14ac:dyDescent="0.45">
      <c r="K627" s="36">
        <v>625</v>
      </c>
      <c r="L627" s="95">
        <v>-21.600000000000044</v>
      </c>
    </row>
    <row r="628" spans="11:12" x14ac:dyDescent="0.45">
      <c r="K628" s="36">
        <v>626</v>
      </c>
      <c r="L628" s="95">
        <v>0.59999999999995524</v>
      </c>
    </row>
    <row r="629" spans="11:12" x14ac:dyDescent="0.45">
      <c r="K629" s="36">
        <v>627</v>
      </c>
      <c r="L629" s="95">
        <v>-4.4741987892393809E-14</v>
      </c>
    </row>
    <row r="630" spans="11:12" x14ac:dyDescent="0.45">
      <c r="K630" s="36">
        <v>628</v>
      </c>
      <c r="L630" s="95">
        <v>1.0999999999999552</v>
      </c>
    </row>
    <row r="631" spans="11:12" x14ac:dyDescent="0.45">
      <c r="K631" s="36">
        <v>629</v>
      </c>
      <c r="L631" s="95">
        <v>-47.400000000000048</v>
      </c>
    </row>
    <row r="632" spans="11:12" x14ac:dyDescent="0.45">
      <c r="K632" s="36">
        <v>630</v>
      </c>
      <c r="L632" s="95">
        <v>-4.9737991503207013E-14</v>
      </c>
    </row>
    <row r="633" spans="11:12" x14ac:dyDescent="0.45">
      <c r="K633" s="36">
        <v>631</v>
      </c>
      <c r="L633" s="95">
        <v>-55.50000000000005</v>
      </c>
    </row>
    <row r="634" spans="11:12" x14ac:dyDescent="0.45">
      <c r="K634" s="36">
        <v>632</v>
      </c>
      <c r="L634" s="95">
        <v>-66.200000000000045</v>
      </c>
    </row>
    <row r="635" spans="11:12" x14ac:dyDescent="0.45">
      <c r="K635" s="36">
        <v>633</v>
      </c>
      <c r="L635" s="95">
        <v>-4.2632564145606011E-14</v>
      </c>
    </row>
    <row r="636" spans="11:12" x14ac:dyDescent="0.45">
      <c r="K636" s="36">
        <v>634</v>
      </c>
      <c r="L636" s="95">
        <v>54.19999999999996</v>
      </c>
    </row>
    <row r="637" spans="11:12" x14ac:dyDescent="0.45">
      <c r="K637" s="36">
        <v>635</v>
      </c>
      <c r="L637" s="95">
        <v>48.69999999999996</v>
      </c>
    </row>
    <row r="638" spans="11:12" x14ac:dyDescent="0.45">
      <c r="K638" s="36">
        <v>636</v>
      </c>
      <c r="L638" s="95">
        <v>-4.2632564145606011E-14</v>
      </c>
    </row>
    <row r="639" spans="11:12" x14ac:dyDescent="0.45">
      <c r="K639" s="36">
        <v>637</v>
      </c>
      <c r="L639" s="95">
        <v>15.699999999999957</v>
      </c>
    </row>
    <row r="640" spans="11:12" x14ac:dyDescent="0.45">
      <c r="K640" s="36">
        <v>638</v>
      </c>
      <c r="L640" s="95">
        <v>18.299999999999958</v>
      </c>
    </row>
    <row r="641" spans="11:12" x14ac:dyDescent="0.45">
      <c r="K641" s="36">
        <v>639</v>
      </c>
      <c r="L641" s="95">
        <v>-4.2632564145606011E-14</v>
      </c>
    </row>
    <row r="642" spans="11:12" x14ac:dyDescent="0.45">
      <c r="K642" s="36">
        <v>640</v>
      </c>
      <c r="L642" s="95">
        <v>26.799999999999958</v>
      </c>
    </row>
    <row r="643" spans="11:12" x14ac:dyDescent="0.45">
      <c r="K643" s="36">
        <v>641</v>
      </c>
      <c r="L643" s="95">
        <v>-14.900000000000045</v>
      </c>
    </row>
    <row r="644" spans="11:12" x14ac:dyDescent="0.45">
      <c r="K644" s="36">
        <v>642</v>
      </c>
      <c r="L644" s="95">
        <v>-4.4408920985006262E-14</v>
      </c>
    </row>
    <row r="645" spans="11:12" x14ac:dyDescent="0.45">
      <c r="K645" s="36">
        <v>643</v>
      </c>
      <c r="L645" s="95">
        <v>57.799999999999955</v>
      </c>
    </row>
    <row r="646" spans="11:12" x14ac:dyDescent="0.45">
      <c r="K646" s="36">
        <v>644</v>
      </c>
      <c r="L646" s="95">
        <v>45.199999999999953</v>
      </c>
    </row>
    <row r="647" spans="11:12" x14ac:dyDescent="0.45">
      <c r="K647" s="36">
        <v>645</v>
      </c>
      <c r="L647" s="95">
        <v>-4.9737991503207013E-14</v>
      </c>
    </row>
    <row r="648" spans="11:12" x14ac:dyDescent="0.45">
      <c r="K648" s="36">
        <v>646</v>
      </c>
      <c r="L648" s="95">
        <v>-4.5000000000000497</v>
      </c>
    </row>
    <row r="649" spans="11:12" x14ac:dyDescent="0.45">
      <c r="K649" s="36">
        <v>647</v>
      </c>
      <c r="L649" s="95">
        <v>-28.80000000000005</v>
      </c>
    </row>
    <row r="650" spans="11:12" x14ac:dyDescent="0.45">
      <c r="K650" s="36">
        <v>648</v>
      </c>
      <c r="L650" s="95">
        <v>-4.9737991503207013E-14</v>
      </c>
    </row>
    <row r="651" spans="11:12" x14ac:dyDescent="0.45">
      <c r="K651" s="36">
        <v>649</v>
      </c>
      <c r="L651" s="95">
        <v>-19.700000000000049</v>
      </c>
    </row>
    <row r="652" spans="11:12" x14ac:dyDescent="0.45">
      <c r="K652" s="36">
        <v>650</v>
      </c>
      <c r="L652" s="95">
        <v>-1.6000000000000476</v>
      </c>
    </row>
    <row r="653" spans="11:12" x14ac:dyDescent="0.45">
      <c r="K653" s="36">
        <v>651</v>
      </c>
      <c r="L653" s="95">
        <v>-4.75175454539567E-14</v>
      </c>
    </row>
    <row r="654" spans="11:12" x14ac:dyDescent="0.45">
      <c r="K654" s="36">
        <v>652</v>
      </c>
      <c r="L654" s="95">
        <v>-46.800000000000047</v>
      </c>
    </row>
    <row r="655" spans="11:12" x14ac:dyDescent="0.45">
      <c r="K655" s="36">
        <v>653</v>
      </c>
      <c r="L655" s="95">
        <v>29.599999999999959</v>
      </c>
    </row>
    <row r="656" spans="11:12" x14ac:dyDescent="0.45">
      <c r="K656" s="36">
        <v>654</v>
      </c>
      <c r="L656" s="95">
        <v>-4.2632564145606011E-14</v>
      </c>
    </row>
    <row r="657" spans="11:12" x14ac:dyDescent="0.45">
      <c r="K657" s="36">
        <v>655</v>
      </c>
      <c r="L657" s="95">
        <v>36.799999999999955</v>
      </c>
    </row>
    <row r="658" spans="11:12" x14ac:dyDescent="0.45">
      <c r="K658" s="36">
        <v>656</v>
      </c>
      <c r="L658" s="95">
        <v>0.89999999999995595</v>
      </c>
    </row>
    <row r="659" spans="11:12" x14ac:dyDescent="0.45">
      <c r="K659" s="36">
        <v>657</v>
      </c>
      <c r="L659" s="95">
        <v>-4.4075854077618715E-14</v>
      </c>
    </row>
    <row r="660" spans="11:12" x14ac:dyDescent="0.45">
      <c r="K660" s="36">
        <v>658</v>
      </c>
      <c r="L660" s="95">
        <v>0.5999999999999559</v>
      </c>
    </row>
    <row r="661" spans="11:12" x14ac:dyDescent="0.45">
      <c r="K661" s="36">
        <v>659</v>
      </c>
      <c r="L661" s="95">
        <v>18.699999999999957</v>
      </c>
    </row>
    <row r="662" spans="11:12" x14ac:dyDescent="0.45">
      <c r="K662" s="36">
        <v>660</v>
      </c>
      <c r="L662" s="95">
        <v>-4.2632564145606011E-14</v>
      </c>
    </row>
    <row r="663" spans="11:12" x14ac:dyDescent="0.45">
      <c r="K663" s="36">
        <v>661</v>
      </c>
      <c r="L663" s="95">
        <v>-18.500000000000043</v>
      </c>
    </row>
    <row r="664" spans="11:12" x14ac:dyDescent="0.45">
      <c r="K664" s="36">
        <v>662</v>
      </c>
      <c r="L664" s="95">
        <v>-63.600000000000044</v>
      </c>
    </row>
    <row r="665" spans="11:12" x14ac:dyDescent="0.45">
      <c r="K665" s="36">
        <v>663</v>
      </c>
      <c r="L665" s="95">
        <v>-4.2632564145606011E-14</v>
      </c>
    </row>
    <row r="666" spans="11:12" x14ac:dyDescent="0.45">
      <c r="K666" s="36">
        <v>664</v>
      </c>
      <c r="L666" s="95">
        <v>35.19999999999996</v>
      </c>
    </row>
    <row r="667" spans="11:12" x14ac:dyDescent="0.45">
      <c r="K667" s="36">
        <v>665</v>
      </c>
      <c r="L667" s="95">
        <v>-11.500000000000043</v>
      </c>
    </row>
    <row r="668" spans="11:12" x14ac:dyDescent="0.45">
      <c r="K668" s="36">
        <v>666</v>
      </c>
      <c r="L668" s="95">
        <v>-4.2632564145606011E-14</v>
      </c>
    </row>
    <row r="669" spans="11:12" x14ac:dyDescent="0.45">
      <c r="K669" s="36">
        <v>667</v>
      </c>
      <c r="L669" s="95">
        <v>28.899999999999956</v>
      </c>
    </row>
    <row r="670" spans="11:12" x14ac:dyDescent="0.45">
      <c r="K670" s="36">
        <v>668</v>
      </c>
      <c r="L670" s="95">
        <v>25.399999999999956</v>
      </c>
    </row>
    <row r="671" spans="11:12" x14ac:dyDescent="0.45">
      <c r="K671" s="36">
        <v>669</v>
      </c>
      <c r="L671" s="95">
        <v>-4.2632564145606011E-14</v>
      </c>
    </row>
    <row r="672" spans="11:12" x14ac:dyDescent="0.45">
      <c r="K672" s="36">
        <v>670</v>
      </c>
      <c r="L672" s="95">
        <v>3.2999999999999572</v>
      </c>
    </row>
    <row r="673" spans="11:12" x14ac:dyDescent="0.45">
      <c r="K673" s="36">
        <v>671</v>
      </c>
      <c r="L673" s="95">
        <v>22.699999999999957</v>
      </c>
    </row>
    <row r="674" spans="11:12" x14ac:dyDescent="0.45">
      <c r="K674" s="36">
        <v>672</v>
      </c>
      <c r="L674" s="95">
        <v>-4.2632564145606011E-14</v>
      </c>
    </row>
    <row r="675" spans="11:12" x14ac:dyDescent="0.45">
      <c r="K675" s="36">
        <v>673</v>
      </c>
      <c r="L675" s="95">
        <v>8.9999999999999574</v>
      </c>
    </row>
    <row r="676" spans="11:12" x14ac:dyDescent="0.45">
      <c r="K676" s="36">
        <v>674</v>
      </c>
      <c r="L676" s="95">
        <v>-43.600000000000044</v>
      </c>
    </row>
    <row r="677" spans="11:12" x14ac:dyDescent="0.45">
      <c r="K677" s="36">
        <v>675</v>
      </c>
      <c r="L677" s="95">
        <v>-4.2632564145606011E-14</v>
      </c>
    </row>
    <row r="678" spans="11:12" x14ac:dyDescent="0.45">
      <c r="K678" s="36">
        <v>676</v>
      </c>
      <c r="L678" s="95">
        <v>27.399999999999956</v>
      </c>
    </row>
    <row r="679" spans="11:12" x14ac:dyDescent="0.45">
      <c r="K679" s="36">
        <v>677</v>
      </c>
      <c r="L679" s="95">
        <v>41.999999999999957</v>
      </c>
    </row>
    <row r="680" spans="11:12" x14ac:dyDescent="0.45">
      <c r="K680" s="36">
        <v>678</v>
      </c>
      <c r="L680" s="95">
        <v>-4.2632564145606011E-14</v>
      </c>
    </row>
    <row r="681" spans="11:12" x14ac:dyDescent="0.45">
      <c r="K681" s="36">
        <v>679</v>
      </c>
      <c r="L681" s="95">
        <v>-22.300000000000043</v>
      </c>
    </row>
    <row r="682" spans="11:12" x14ac:dyDescent="0.45">
      <c r="K682" s="36">
        <v>680</v>
      </c>
      <c r="L682" s="95">
        <v>-17.100000000000044</v>
      </c>
    </row>
    <row r="683" spans="11:12" x14ac:dyDescent="0.45">
      <c r="K683" s="36">
        <v>681</v>
      </c>
      <c r="L683" s="95">
        <v>-4.2632564145606011E-14</v>
      </c>
    </row>
    <row r="684" spans="11:12" x14ac:dyDescent="0.45">
      <c r="K684" s="36">
        <v>682</v>
      </c>
      <c r="L684" s="95">
        <v>-5.0000000000000426</v>
      </c>
    </row>
    <row r="685" spans="11:12" x14ac:dyDescent="0.45">
      <c r="K685" s="36">
        <v>683</v>
      </c>
      <c r="L685" s="95">
        <v>19.999999999999957</v>
      </c>
    </row>
    <row r="686" spans="11:12" x14ac:dyDescent="0.45">
      <c r="K686" s="36">
        <v>684</v>
      </c>
      <c r="L686" s="95">
        <v>-4.2632564145606011E-14</v>
      </c>
    </row>
    <row r="687" spans="11:12" x14ac:dyDescent="0.45">
      <c r="K687" s="36">
        <v>685</v>
      </c>
      <c r="L687" s="95">
        <v>47.499999999999957</v>
      </c>
    </row>
    <row r="688" spans="11:12" x14ac:dyDescent="0.45">
      <c r="K688" s="36">
        <v>686</v>
      </c>
      <c r="L688" s="95">
        <v>45.499999999999957</v>
      </c>
    </row>
    <row r="689" spans="11:12" x14ac:dyDescent="0.45">
      <c r="K689" s="36">
        <v>687</v>
      </c>
      <c r="L689" s="95">
        <v>-4.2632564145606011E-14</v>
      </c>
    </row>
    <row r="690" spans="11:12" x14ac:dyDescent="0.45">
      <c r="K690" s="36">
        <v>688</v>
      </c>
      <c r="L690" s="95">
        <v>4.1999999999999575</v>
      </c>
    </row>
    <row r="691" spans="11:12" x14ac:dyDescent="0.45">
      <c r="K691" s="36">
        <v>689</v>
      </c>
      <c r="L691" s="95">
        <v>26.199999999999957</v>
      </c>
    </row>
    <row r="692" spans="11:12" x14ac:dyDescent="0.45">
      <c r="K692" s="36">
        <v>690</v>
      </c>
      <c r="L692" s="95">
        <v>-4.2632564145606011E-14</v>
      </c>
    </row>
    <row r="693" spans="11:12" x14ac:dyDescent="0.45">
      <c r="K693" s="36">
        <v>691</v>
      </c>
      <c r="L693" s="95">
        <v>46.19999999999996</v>
      </c>
    </row>
    <row r="694" spans="11:12" x14ac:dyDescent="0.45">
      <c r="K694" s="36">
        <v>692</v>
      </c>
      <c r="L694" s="95">
        <v>-5.3000000000000398</v>
      </c>
    </row>
    <row r="695" spans="11:12" x14ac:dyDescent="0.45">
      <c r="K695" s="36">
        <v>693</v>
      </c>
      <c r="L695" s="95">
        <v>-3.9968028886505635E-14</v>
      </c>
    </row>
    <row r="696" spans="11:12" x14ac:dyDescent="0.45">
      <c r="K696" s="36">
        <v>694</v>
      </c>
      <c r="L696" s="95">
        <v>5.5999999999999597</v>
      </c>
    </row>
    <row r="697" spans="11:12" x14ac:dyDescent="0.45">
      <c r="K697" s="36">
        <v>695</v>
      </c>
      <c r="L697" s="95">
        <v>23.19999999999996</v>
      </c>
    </row>
    <row r="698" spans="11:12" x14ac:dyDescent="0.45">
      <c r="K698" s="36">
        <v>696</v>
      </c>
      <c r="L698" s="95">
        <v>-3.907985046680551E-14</v>
      </c>
    </row>
    <row r="699" spans="11:12" x14ac:dyDescent="0.45">
      <c r="K699" s="36">
        <v>697</v>
      </c>
      <c r="L699" s="95">
        <v>3.8999999999999608</v>
      </c>
    </row>
    <row r="700" spans="11:12" x14ac:dyDescent="0.45">
      <c r="K700" s="36">
        <v>698</v>
      </c>
      <c r="L700" s="95">
        <v>-36.30000000000004</v>
      </c>
    </row>
    <row r="701" spans="11:12" x14ac:dyDescent="0.45">
      <c r="K701" s="36">
        <v>699</v>
      </c>
      <c r="L701" s="95">
        <v>-4.2632564145606011E-14</v>
      </c>
    </row>
    <row r="702" spans="11:12" x14ac:dyDescent="0.45">
      <c r="K702" s="36">
        <v>700</v>
      </c>
      <c r="L702" s="95">
        <v>-7.0000000000000426</v>
      </c>
    </row>
    <row r="703" spans="11:12" x14ac:dyDescent="0.45">
      <c r="K703" s="36">
        <v>701</v>
      </c>
      <c r="L703" s="95">
        <v>-35.700000000000045</v>
      </c>
    </row>
    <row r="704" spans="11:12" x14ac:dyDescent="0.45">
      <c r="K704" s="36">
        <v>702</v>
      </c>
      <c r="L704" s="95">
        <v>-4.2632564145606011E-14</v>
      </c>
    </row>
    <row r="705" spans="11:12" x14ac:dyDescent="0.45">
      <c r="K705" s="36">
        <v>703</v>
      </c>
      <c r="L705" s="95">
        <v>-7.1000000000000423</v>
      </c>
    </row>
    <row r="706" spans="11:12" x14ac:dyDescent="0.45">
      <c r="K706" s="36">
        <v>704</v>
      </c>
      <c r="L706" s="95">
        <v>17.599999999999959</v>
      </c>
    </row>
    <row r="707" spans="11:12" x14ac:dyDescent="0.45">
      <c r="K707" s="36">
        <v>705</v>
      </c>
      <c r="L707" s="95">
        <v>-4.2632564145606011E-14</v>
      </c>
    </row>
    <row r="708" spans="11:12" x14ac:dyDescent="0.45">
      <c r="K708" s="36">
        <v>706</v>
      </c>
      <c r="L708" s="95">
        <v>32.999999999999957</v>
      </c>
    </row>
    <row r="709" spans="11:12" x14ac:dyDescent="0.45">
      <c r="K709" s="36">
        <v>707</v>
      </c>
      <c r="L709" s="95">
        <v>33.099999999999959</v>
      </c>
    </row>
    <row r="710" spans="11:12" x14ac:dyDescent="0.45">
      <c r="K710" s="36">
        <v>708</v>
      </c>
      <c r="L710" s="95">
        <v>-4.2632564145606011E-14</v>
      </c>
    </row>
    <row r="711" spans="11:12" x14ac:dyDescent="0.45">
      <c r="K711" s="36">
        <v>709</v>
      </c>
      <c r="L711" s="95">
        <v>-12.100000000000042</v>
      </c>
    </row>
    <row r="712" spans="11:12" x14ac:dyDescent="0.45">
      <c r="K712" s="36">
        <v>710</v>
      </c>
      <c r="L712" s="95">
        <v>-12.800000000000042</v>
      </c>
    </row>
    <row r="713" spans="11:12" x14ac:dyDescent="0.45">
      <c r="K713" s="36">
        <v>711</v>
      </c>
      <c r="L713" s="95">
        <v>-4.0856207306205761E-14</v>
      </c>
    </row>
    <row r="714" spans="11:12" x14ac:dyDescent="0.45">
      <c r="K714" s="36">
        <v>712</v>
      </c>
      <c r="L714" s="95">
        <v>-13.800000000000042</v>
      </c>
    </row>
    <row r="715" spans="11:12" x14ac:dyDescent="0.45">
      <c r="K715" s="36">
        <v>713</v>
      </c>
      <c r="L715" s="95">
        <v>0.49999999999995914</v>
      </c>
    </row>
    <row r="716" spans="11:12" x14ac:dyDescent="0.45">
      <c r="K716" s="36">
        <v>714</v>
      </c>
      <c r="L716" s="95">
        <v>-4.0856207306205761E-14</v>
      </c>
    </row>
    <row r="717" spans="11:12" x14ac:dyDescent="0.45">
      <c r="K717" s="36">
        <v>715</v>
      </c>
      <c r="L717" s="95">
        <v>-2.8000000000000407</v>
      </c>
    </row>
    <row r="718" spans="11:12" x14ac:dyDescent="0.45">
      <c r="K718" s="36">
        <v>716</v>
      </c>
      <c r="L718" s="95">
        <v>-15.700000000000042</v>
      </c>
    </row>
    <row r="719" spans="11:12" x14ac:dyDescent="0.45">
      <c r="K719" s="36">
        <v>717</v>
      </c>
      <c r="L719" s="95">
        <v>-4.2632564145606011E-14</v>
      </c>
    </row>
    <row r="720" spans="11:12" x14ac:dyDescent="0.45">
      <c r="K720" s="36">
        <v>718</v>
      </c>
      <c r="L720" s="95">
        <v>10.199999999999957</v>
      </c>
    </row>
    <row r="721" spans="11:12" x14ac:dyDescent="0.45">
      <c r="K721" s="36">
        <v>719</v>
      </c>
      <c r="L721" s="95">
        <v>-37.700000000000045</v>
      </c>
    </row>
    <row r="722" spans="11:12" x14ac:dyDescent="0.45">
      <c r="K722" s="36">
        <v>720</v>
      </c>
      <c r="L722" s="95">
        <v>-4.2632564145606011E-14</v>
      </c>
    </row>
    <row r="723" spans="11:12" x14ac:dyDescent="0.45">
      <c r="K723" s="36">
        <v>721</v>
      </c>
      <c r="L723" s="95">
        <v>-30.900000000000041</v>
      </c>
    </row>
    <row r="724" spans="11:12" x14ac:dyDescent="0.45">
      <c r="K724" s="36">
        <v>722</v>
      </c>
      <c r="L724" s="95">
        <v>-9.2000000000000419</v>
      </c>
    </row>
    <row r="725" spans="11:12" x14ac:dyDescent="0.45">
      <c r="K725" s="36">
        <v>723</v>
      </c>
      <c r="L725" s="95">
        <v>-4.2632564145606011E-14</v>
      </c>
    </row>
  </sheetData>
  <sortState xmlns:xlrd2="http://schemas.microsoft.com/office/spreadsheetml/2017/richdata2" ref="E2:I726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500CF-74A8-42FF-AB0B-83A1F20C2F6E}">
  <sheetPr codeName="Sheet7"/>
  <dimension ref="A1:Q67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161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65</v>
      </c>
      <c r="C2" s="159"/>
      <c r="E2" s="58" t="s">
        <v>66</v>
      </c>
      <c r="F2" s="55" t="s">
        <v>22</v>
      </c>
      <c r="G2" s="43">
        <v>116</v>
      </c>
      <c r="H2" s="128">
        <f>IF(B$15=0,0,G2/B$15)</f>
        <v>0.75324675324675328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1363.0769230769231</v>
      </c>
      <c r="P2" s="114">
        <v>65</v>
      </c>
      <c r="Q2" s="98">
        <v>88600</v>
      </c>
    </row>
    <row r="3" spans="1:17" x14ac:dyDescent="0.45">
      <c r="A3" s="51" t="s">
        <v>8</v>
      </c>
      <c r="B3" s="160">
        <v>577</v>
      </c>
      <c r="C3" s="161"/>
      <c r="E3" s="59" t="s">
        <v>72</v>
      </c>
      <c r="F3" s="56" t="s">
        <v>27</v>
      </c>
      <c r="G3" s="44">
        <v>87</v>
      </c>
      <c r="H3" s="129">
        <f>IF(B$15=0,0,G3/B$15)</f>
        <v>0.56493506493506496</v>
      </c>
      <c r="I3" s="90">
        <v>4</v>
      </c>
      <c r="K3" s="36">
        <v>1</v>
      </c>
      <c r="L3" s="95">
        <v>-4.5999999999999996</v>
      </c>
      <c r="N3" s="111" t="s">
        <v>131</v>
      </c>
      <c r="O3" s="118">
        <f t="shared" si="0"/>
        <v>-2112.5</v>
      </c>
      <c r="P3" s="115">
        <v>64</v>
      </c>
      <c r="Q3" s="99">
        <v>-135200</v>
      </c>
    </row>
    <row r="4" spans="1:17" x14ac:dyDescent="0.45">
      <c r="A4" s="51" t="s">
        <v>6</v>
      </c>
      <c r="B4" s="162">
        <v>-526.20000000000016</v>
      </c>
      <c r="C4" s="163"/>
      <c r="E4" s="59" t="s">
        <v>166</v>
      </c>
      <c r="F4" s="56" t="s">
        <v>167</v>
      </c>
      <c r="G4" s="44">
        <v>63</v>
      </c>
      <c r="H4" s="129">
        <f>IF(B$15=0,0,G4/B$15)</f>
        <v>0.40909090909090912</v>
      </c>
      <c r="I4" s="90">
        <v>3</v>
      </c>
      <c r="K4" s="36">
        <v>2</v>
      </c>
      <c r="L4" s="95">
        <v>19.899999999999999</v>
      </c>
      <c r="N4" s="111" t="s">
        <v>132</v>
      </c>
      <c r="O4" s="118">
        <f t="shared" si="0"/>
        <v>-1511.2903225806451</v>
      </c>
      <c r="P4" s="115">
        <v>62</v>
      </c>
      <c r="Q4" s="99">
        <v>-93700</v>
      </c>
    </row>
    <row r="5" spans="1:17" x14ac:dyDescent="0.45">
      <c r="A5" s="51" t="s">
        <v>7</v>
      </c>
      <c r="B5" s="164">
        <f>IF(B$2=0,0,B$4/B$2)</f>
        <v>-8.0953846153846172</v>
      </c>
      <c r="C5" s="165"/>
      <c r="E5" s="59" t="s">
        <v>64</v>
      </c>
      <c r="F5" s="56" t="s">
        <v>20</v>
      </c>
      <c r="G5" s="44">
        <v>41</v>
      </c>
      <c r="H5" s="129">
        <f>IF(B$15=0,0,G5/B$15)</f>
        <v>0.26623376623376621</v>
      </c>
      <c r="I5" s="90">
        <v>12</v>
      </c>
      <c r="K5" s="36">
        <v>3</v>
      </c>
      <c r="L5" s="95">
        <v>-8.3000000000000007</v>
      </c>
      <c r="N5" s="111" t="s">
        <v>133</v>
      </c>
      <c r="O5" s="118">
        <f t="shared" si="0"/>
        <v>-1355.1724137931035</v>
      </c>
      <c r="P5" s="115">
        <v>58</v>
      </c>
      <c r="Q5" s="99">
        <v>-78600</v>
      </c>
    </row>
    <row r="6" spans="1:17" x14ac:dyDescent="0.45">
      <c r="A6" s="51" t="s">
        <v>1</v>
      </c>
      <c r="B6" s="154">
        <f>IF(B$2=0,0,(B$7*1+B$8*2+B$9*3)/B$2)</f>
        <v>2.1846153846153844</v>
      </c>
      <c r="C6" s="155"/>
      <c r="E6" s="59" t="s">
        <v>68</v>
      </c>
      <c r="F6" s="56" t="s">
        <v>12</v>
      </c>
      <c r="G6" s="44">
        <v>39</v>
      </c>
      <c r="H6" s="129">
        <f>IF(B$15=0,0,G6/B$15)</f>
        <v>0.25324675324675322</v>
      </c>
      <c r="I6" s="90">
        <v>9</v>
      </c>
      <c r="K6" s="36">
        <v>4</v>
      </c>
      <c r="L6" s="95">
        <v>-30.7</v>
      </c>
      <c r="N6" s="111" t="s">
        <v>134</v>
      </c>
      <c r="O6" s="118">
        <f t="shared" si="0"/>
        <v>-221.05263157894737</v>
      </c>
      <c r="P6" s="115">
        <v>57</v>
      </c>
      <c r="Q6" s="99">
        <v>-12600</v>
      </c>
    </row>
    <row r="7" spans="1:17" x14ac:dyDescent="0.45">
      <c r="A7" s="51" t="s">
        <v>2</v>
      </c>
      <c r="B7" s="44">
        <v>20</v>
      </c>
      <c r="C7" s="37">
        <f t="shared" ref="C7:C10" si="1">IF(B$2=0,0,B7/B$2)</f>
        <v>0.30769230769230771</v>
      </c>
      <c r="E7" s="59" t="s">
        <v>69</v>
      </c>
      <c r="F7" s="56" t="s">
        <v>24</v>
      </c>
      <c r="G7" s="44">
        <v>30</v>
      </c>
      <c r="H7" s="129">
        <f>IF(B$15=0,0,G7/B$15)</f>
        <v>0.19480519480519481</v>
      </c>
      <c r="I7" s="90">
        <v>3</v>
      </c>
      <c r="K7" s="36">
        <v>5</v>
      </c>
      <c r="L7" s="95">
        <v>-55.8</v>
      </c>
      <c r="N7" s="112" t="s">
        <v>135</v>
      </c>
      <c r="O7" s="119">
        <f t="shared" si="0"/>
        <v>-2379.591836734694</v>
      </c>
      <c r="P7" s="116">
        <v>49</v>
      </c>
      <c r="Q7" s="100">
        <v>-116600</v>
      </c>
    </row>
    <row r="8" spans="1:17" x14ac:dyDescent="0.45">
      <c r="A8" s="51" t="s">
        <v>3</v>
      </c>
      <c r="B8" s="44">
        <v>13</v>
      </c>
      <c r="C8" s="37">
        <f t="shared" si="1"/>
        <v>0.2</v>
      </c>
      <c r="E8" s="59" t="s">
        <v>67</v>
      </c>
      <c r="F8" s="56" t="s">
        <v>23</v>
      </c>
      <c r="G8" s="44">
        <v>23</v>
      </c>
      <c r="H8" s="129">
        <f>IF(B$15=0,0,G8/B$15)</f>
        <v>0.14935064935064934</v>
      </c>
      <c r="I8" s="90">
        <v>12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32</v>
      </c>
      <c r="C9" s="38">
        <f t="shared" si="1"/>
        <v>0.49230769230769234</v>
      </c>
      <c r="E9" s="59" t="s">
        <v>70</v>
      </c>
      <c r="F9" s="56" t="s">
        <v>25</v>
      </c>
      <c r="G9" s="44">
        <v>19</v>
      </c>
      <c r="H9" s="129">
        <f>IF(B$15=0,0,G9/B$15)</f>
        <v>0.12337662337662338</v>
      </c>
      <c r="I9" s="90">
        <v>4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5</v>
      </c>
      <c r="C10" s="40">
        <f t="shared" si="1"/>
        <v>7.6923076923076927E-2</v>
      </c>
      <c r="E10" s="59" t="s">
        <v>71</v>
      </c>
      <c r="F10" s="56" t="s">
        <v>26</v>
      </c>
      <c r="G10" s="44">
        <v>16</v>
      </c>
      <c r="H10" s="129">
        <f>IF(B$15=0,0,G10/B$15)</f>
        <v>0.1038961038961039</v>
      </c>
      <c r="I10" s="90">
        <v>3</v>
      </c>
      <c r="K10" s="36">
        <v>8</v>
      </c>
      <c r="L10" s="95">
        <v>-76.900000000000006</v>
      </c>
      <c r="N10" s="110" t="s">
        <v>157</v>
      </c>
      <c r="O10" s="120">
        <f>IF(P10=0,0,Q10/P10)</f>
        <v>-12.975999999999999</v>
      </c>
      <c r="P10" s="114">
        <v>25</v>
      </c>
      <c r="Q10" s="102">
        <v>-324.39999999999998</v>
      </c>
    </row>
    <row r="11" spans="1:17" x14ac:dyDescent="0.45">
      <c r="A11" s="54" t="s">
        <v>121</v>
      </c>
      <c r="B11" s="47">
        <v>84</v>
      </c>
      <c r="C11" s="42">
        <f>IF(B$3=0,0,B11/B$3)</f>
        <v>0.14558058925476602</v>
      </c>
      <c r="E11" s="59" t="s">
        <v>83</v>
      </c>
      <c r="F11" s="56" t="s">
        <v>38</v>
      </c>
      <c r="G11" s="44">
        <v>13</v>
      </c>
      <c r="H11" s="129">
        <f>IF(B$15=0,0,G11/B$15)</f>
        <v>8.4415584415584416E-2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-8.1105263157894729</v>
      </c>
      <c r="P11" s="115">
        <v>19</v>
      </c>
      <c r="Q11" s="103">
        <v>-154.1</v>
      </c>
    </row>
    <row r="12" spans="1:17" x14ac:dyDescent="0.45">
      <c r="A12" s="51" t="s">
        <v>118</v>
      </c>
      <c r="B12" s="44">
        <v>141</v>
      </c>
      <c r="C12" s="37">
        <f>IF(B$3=0,0,B12/B$3)</f>
        <v>0.24436741767764297</v>
      </c>
      <c r="E12" s="59" t="s">
        <v>65</v>
      </c>
      <c r="F12" s="56" t="s">
        <v>21</v>
      </c>
      <c r="G12" s="44">
        <v>9</v>
      </c>
      <c r="H12" s="129">
        <f>IF(B$15=0,0,G12/B$15)</f>
        <v>5.844155844155844E-2</v>
      </c>
      <c r="I12" s="90">
        <v>11</v>
      </c>
      <c r="K12" s="36">
        <v>10</v>
      </c>
      <c r="L12" s="95">
        <v>-32.700000000000003</v>
      </c>
      <c r="N12" s="112" t="s">
        <v>159</v>
      </c>
      <c r="O12" s="122">
        <f>IF(P12=0,0,Q12/P12)</f>
        <v>-2.2714285714285709</v>
      </c>
      <c r="P12" s="116">
        <v>21</v>
      </c>
      <c r="Q12" s="104">
        <v>-47.699999999999989</v>
      </c>
    </row>
    <row r="13" spans="1:17" x14ac:dyDescent="0.45">
      <c r="A13" s="50" t="s">
        <v>123</v>
      </c>
      <c r="B13" s="43">
        <f>B19</f>
        <v>42</v>
      </c>
      <c r="C13" s="35">
        <f>IF(B$11=0,0,B13/B$11)</f>
        <v>0.5</v>
      </c>
      <c r="E13" s="59" t="s">
        <v>89</v>
      </c>
      <c r="F13" s="56" t="s">
        <v>44</v>
      </c>
      <c r="G13" s="44">
        <v>9</v>
      </c>
      <c r="H13" s="129">
        <f>IF(B$15=0,0,G13/B$15)</f>
        <v>5.844155844155844E-2</v>
      </c>
      <c r="I13" s="90">
        <v>11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57</v>
      </c>
      <c r="C14" s="35">
        <f>IF(B$12=0,0,B14/B$12)</f>
        <v>0.40425531914893614</v>
      </c>
      <c r="E14" s="59" t="s">
        <v>81</v>
      </c>
      <c r="F14" s="56" t="s">
        <v>36</v>
      </c>
      <c r="G14" s="44">
        <v>5</v>
      </c>
      <c r="H14" s="129">
        <f>IF(B$15=0,0,G14/B$15)</f>
        <v>3.2467532467532464E-2</v>
      </c>
      <c r="I14" s="90">
        <v>1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154</v>
      </c>
      <c r="C15" s="35">
        <f>IF(B$3=0,0,B15/B$3)</f>
        <v>0.26689774696707108</v>
      </c>
      <c r="E15" s="59" t="s">
        <v>86</v>
      </c>
      <c r="F15" s="56" t="s">
        <v>41</v>
      </c>
      <c r="G15" s="44">
        <v>5</v>
      </c>
      <c r="H15" s="129">
        <f>IF(B$15=0,0,G15/B$15)</f>
        <v>3.2467532467532464E-2</v>
      </c>
      <c r="I15" s="90">
        <v>9</v>
      </c>
      <c r="K15" s="36">
        <v>13</v>
      </c>
      <c r="L15" s="95">
        <v>-66.2</v>
      </c>
      <c r="N15" s="110" t="s">
        <v>196</v>
      </c>
      <c r="O15" s="120">
        <f t="shared" ref="O15:O21" si="2">IF(P15=0,0,Q15/P15)</f>
        <v>7.4333333333333345</v>
      </c>
      <c r="P15" s="114">
        <v>6</v>
      </c>
      <c r="Q15" s="102">
        <v>44.600000000000009</v>
      </c>
    </row>
    <row r="16" spans="1:17" x14ac:dyDescent="0.45">
      <c r="A16" s="51" t="s">
        <v>13</v>
      </c>
      <c r="B16" s="44">
        <v>93</v>
      </c>
      <c r="C16" s="37">
        <f>IF(B$3=0,0,B16/B$3)</f>
        <v>0.16117850953206239</v>
      </c>
      <c r="E16" s="59" t="s">
        <v>79</v>
      </c>
      <c r="F16" s="56" t="s">
        <v>34</v>
      </c>
      <c r="G16" s="44">
        <v>3</v>
      </c>
      <c r="H16" s="129">
        <f>IF(B$15=0,0,G16/B$15)</f>
        <v>1.948051948051948E-2</v>
      </c>
      <c r="I16" s="90">
        <v>3</v>
      </c>
      <c r="K16" s="36">
        <v>14</v>
      </c>
      <c r="L16" s="95">
        <v>-51.1</v>
      </c>
      <c r="N16" s="111" t="s">
        <v>171</v>
      </c>
      <c r="O16" s="121">
        <f t="shared" si="2"/>
        <v>-3.9454545454545453</v>
      </c>
      <c r="P16" s="115">
        <v>22</v>
      </c>
      <c r="Q16" s="103">
        <v>-86.8</v>
      </c>
    </row>
    <row r="17" spans="1:17" x14ac:dyDescent="0.45">
      <c r="A17" s="51" t="s">
        <v>12</v>
      </c>
      <c r="B17" s="44">
        <v>59</v>
      </c>
      <c r="C17" s="37">
        <f>IF(B$15=0,0,B17/B$15)</f>
        <v>0.38311688311688313</v>
      </c>
      <c r="E17" s="59" t="s">
        <v>91</v>
      </c>
      <c r="F17" s="56" t="s">
        <v>46</v>
      </c>
      <c r="G17" s="44">
        <v>3</v>
      </c>
      <c r="H17" s="129">
        <f>IF(B$15=0,0,G17/B$15)</f>
        <v>1.948051948051948E-2</v>
      </c>
      <c r="I17" s="90">
        <v>3</v>
      </c>
      <c r="K17" s="36">
        <v>15</v>
      </c>
      <c r="L17" s="95">
        <v>-65.2</v>
      </c>
      <c r="N17" s="111" t="s">
        <v>127</v>
      </c>
      <c r="O17" s="121">
        <f t="shared" si="2"/>
        <v>-4.1851851851851869</v>
      </c>
      <c r="P17" s="115">
        <v>27</v>
      </c>
      <c r="Q17" s="103">
        <v>-113.00000000000004</v>
      </c>
    </row>
    <row r="18" spans="1:17" x14ac:dyDescent="0.45">
      <c r="A18" s="51" t="s">
        <v>11</v>
      </c>
      <c r="B18" s="44">
        <v>95</v>
      </c>
      <c r="C18" s="37">
        <f>IF(B$15=0,0,B18/B$15)</f>
        <v>0.61688311688311692</v>
      </c>
      <c r="E18" s="59" t="s">
        <v>88</v>
      </c>
      <c r="F18" s="56" t="s">
        <v>43</v>
      </c>
      <c r="G18" s="44">
        <v>2</v>
      </c>
      <c r="H18" s="129">
        <f>IF(B$15=0,0,G18/B$15)</f>
        <v>1.2987012987012988E-2</v>
      </c>
      <c r="I18" s="90">
        <v>1</v>
      </c>
      <c r="K18" s="36">
        <v>16</v>
      </c>
      <c r="L18" s="95">
        <v>-70.600000000000009</v>
      </c>
      <c r="N18" s="111" t="s">
        <v>172</v>
      </c>
      <c r="O18" s="121">
        <f t="shared" si="2"/>
        <v>-8.6066666666666709</v>
      </c>
      <c r="P18" s="115">
        <v>15</v>
      </c>
      <c r="Q18" s="103">
        <v>-129.10000000000005</v>
      </c>
    </row>
    <row r="19" spans="1:17" x14ac:dyDescent="0.45">
      <c r="A19" s="51" t="s">
        <v>195</v>
      </c>
      <c r="B19" s="44">
        <v>42</v>
      </c>
      <c r="C19" s="37">
        <f>IF(B$15=0,0,B19/B$15)</f>
        <v>0.27272727272727271</v>
      </c>
      <c r="E19" s="59" t="s">
        <v>74</v>
      </c>
      <c r="F19" s="56" t="s">
        <v>29</v>
      </c>
      <c r="G19" s="44">
        <v>1</v>
      </c>
      <c r="H19" s="129">
        <f>IF(B$15=0,0,G19/B$15)</f>
        <v>6.4935064935064939E-3</v>
      </c>
      <c r="I19" s="90">
        <v>2</v>
      </c>
      <c r="K19" s="36">
        <v>17</v>
      </c>
      <c r="L19" s="95">
        <v>-65.2</v>
      </c>
      <c r="N19" s="111" t="s">
        <v>126</v>
      </c>
      <c r="O19" s="121">
        <f t="shared" si="2"/>
        <v>-10.394117647058824</v>
      </c>
      <c r="P19" s="115">
        <v>34</v>
      </c>
      <c r="Q19" s="103">
        <v>-353.40000000000003</v>
      </c>
    </row>
    <row r="20" spans="1:17" x14ac:dyDescent="0.45">
      <c r="A20" s="51" t="s">
        <v>193</v>
      </c>
      <c r="B20" s="44">
        <v>57</v>
      </c>
      <c r="C20" s="37">
        <f>IF(B$15=0,0,B20/B$15)</f>
        <v>0.37012987012987014</v>
      </c>
      <c r="E20" s="59" t="s">
        <v>75</v>
      </c>
      <c r="F20" s="56" t="s">
        <v>30</v>
      </c>
      <c r="G20" s="44">
        <v>1</v>
      </c>
      <c r="H20" s="129">
        <f>IF(B$15=0,0,G20/B$15)</f>
        <v>6.4935064935064939E-3</v>
      </c>
      <c r="I20" s="90">
        <v>5</v>
      </c>
      <c r="K20" s="36">
        <v>18</v>
      </c>
      <c r="L20" s="95">
        <v>-80.2</v>
      </c>
      <c r="N20" s="111" t="s">
        <v>197</v>
      </c>
      <c r="O20" s="121">
        <f t="shared" si="2"/>
        <v>-34.137499999999996</v>
      </c>
      <c r="P20" s="115">
        <v>8</v>
      </c>
      <c r="Q20" s="103">
        <v>-273.09999999999997</v>
      </c>
    </row>
    <row r="21" spans="1:17" x14ac:dyDescent="0.45">
      <c r="A21" s="51" t="s">
        <v>194</v>
      </c>
      <c r="B21" s="44">
        <v>55</v>
      </c>
      <c r="C21" s="37">
        <f>IF(B$15=0,0,B21/B$15)</f>
        <v>0.35714285714285715</v>
      </c>
      <c r="E21" s="59" t="s">
        <v>77</v>
      </c>
      <c r="F21" s="56" t="s">
        <v>32</v>
      </c>
      <c r="G21" s="44">
        <v>1</v>
      </c>
      <c r="H21" s="129">
        <f>IF(B$15=0,0,G21/B$15)</f>
        <v>6.4935064935064939E-3</v>
      </c>
      <c r="I21" s="90">
        <v>2</v>
      </c>
      <c r="K21" s="36">
        <v>19</v>
      </c>
      <c r="L21" s="95">
        <v>-115.1</v>
      </c>
      <c r="N21" s="111" t="s">
        <v>170</v>
      </c>
      <c r="O21" s="121">
        <f t="shared" si="2"/>
        <v>-37.1</v>
      </c>
      <c r="P21" s="115">
        <v>18</v>
      </c>
      <c r="Q21" s="103">
        <v>-667.80000000000007</v>
      </c>
    </row>
    <row r="22" spans="1:17" x14ac:dyDescent="0.45">
      <c r="A22" s="51" t="s">
        <v>5</v>
      </c>
      <c r="B22" s="48">
        <f>IF(B$15=0,0,C22/B$15)</f>
        <v>7048.7012987012986</v>
      </c>
      <c r="C22" s="39">
        <v>1085500</v>
      </c>
      <c r="E22" s="59" t="s">
        <v>78</v>
      </c>
      <c r="F22" s="56" t="s">
        <v>33</v>
      </c>
      <c r="G22" s="44">
        <v>1</v>
      </c>
      <c r="H22" s="129">
        <f>IF(B$15=0,0,G22/B$15)</f>
        <v>6.4935064935064939E-3</v>
      </c>
      <c r="I22" s="90">
        <v>9</v>
      </c>
      <c r="K22" s="36">
        <v>20</v>
      </c>
      <c r="L22" s="95">
        <v>-88.8</v>
      </c>
    </row>
    <row r="23" spans="1:17" x14ac:dyDescent="0.45">
      <c r="A23" s="52" t="s">
        <v>177</v>
      </c>
      <c r="B23" s="136">
        <f>IF($B$15-B$14=0,0,C23/($B$15-B$14))</f>
        <v>7475.2577319587626</v>
      </c>
      <c r="C23" s="137">
        <v>725100</v>
      </c>
      <c r="E23" s="59" t="s">
        <v>84</v>
      </c>
      <c r="F23" s="56" t="s">
        <v>39</v>
      </c>
      <c r="G23" s="44">
        <v>1</v>
      </c>
      <c r="H23" s="129">
        <f>IF(B$15=0,0,G23/B$15)</f>
        <v>6.4935064935064939E-3</v>
      </c>
      <c r="I23" s="90">
        <v>3</v>
      </c>
      <c r="K23" s="36">
        <v>21</v>
      </c>
      <c r="L23" s="95">
        <v>-111.4</v>
      </c>
    </row>
    <row r="24" spans="1:17" x14ac:dyDescent="0.45">
      <c r="A24" s="52" t="s">
        <v>178</v>
      </c>
      <c r="B24" s="136">
        <f>IF(B$14=0,0,C24/B$14)</f>
        <v>6322.8070175438597</v>
      </c>
      <c r="C24" s="137">
        <v>360400</v>
      </c>
      <c r="E24" s="59" t="s">
        <v>93</v>
      </c>
      <c r="F24" s="56" t="s">
        <v>48</v>
      </c>
      <c r="G24" s="44">
        <v>1</v>
      </c>
      <c r="H24" s="129">
        <f>IF(B$15=0,0,G24/B$15)</f>
        <v>6.4935064935064939E-3</v>
      </c>
      <c r="I24" s="90">
        <v>1</v>
      </c>
      <c r="K24" s="36">
        <v>22</v>
      </c>
      <c r="L24" s="95">
        <v>-142.80000000000001</v>
      </c>
    </row>
    <row r="25" spans="1:17" x14ac:dyDescent="0.45">
      <c r="A25" s="52" t="s">
        <v>176</v>
      </c>
      <c r="B25" s="136">
        <f>IF(B$16=0,0,C25/B$16)</f>
        <v>-7673.1182795698924</v>
      </c>
      <c r="C25" s="137">
        <v>-713600</v>
      </c>
      <c r="E25" s="59" t="s">
        <v>73</v>
      </c>
      <c r="F25" s="56" t="s">
        <v>28</v>
      </c>
      <c r="G25" s="44">
        <v>0</v>
      </c>
      <c r="H25" s="129">
        <f>IF(B$15=0,0,G25/B$15)</f>
        <v>0</v>
      </c>
      <c r="I25" s="90">
        <v>5</v>
      </c>
      <c r="K25" s="36">
        <v>23</v>
      </c>
      <c r="L25" s="95">
        <v>-80.900000000000006</v>
      </c>
    </row>
    <row r="26" spans="1:17" x14ac:dyDescent="0.45">
      <c r="A26" s="51" t="s">
        <v>164</v>
      </c>
      <c r="B26" s="44">
        <v>5</v>
      </c>
      <c r="C26" s="131">
        <v>2</v>
      </c>
      <c r="E26" s="59" t="s">
        <v>76</v>
      </c>
      <c r="F26" s="56" t="s">
        <v>31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-111.60000000000001</v>
      </c>
    </row>
    <row r="27" spans="1:17" x14ac:dyDescent="0.45">
      <c r="A27" s="51" t="s">
        <v>165</v>
      </c>
      <c r="B27" s="44">
        <v>32</v>
      </c>
      <c r="C27" s="131">
        <v>9</v>
      </c>
      <c r="E27" s="59" t="s">
        <v>80</v>
      </c>
      <c r="F27" s="56" t="s">
        <v>35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-97.500000000000014</v>
      </c>
    </row>
    <row r="28" spans="1:17" x14ac:dyDescent="0.45">
      <c r="A28" s="86" t="s">
        <v>138</v>
      </c>
      <c r="B28" s="152">
        <v>6</v>
      </c>
      <c r="C28" s="153"/>
      <c r="E28" s="59" t="s">
        <v>82</v>
      </c>
      <c r="F28" s="56" t="s">
        <v>37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-123.10000000000002</v>
      </c>
    </row>
    <row r="29" spans="1:17" x14ac:dyDescent="0.45">
      <c r="A29" s="54" t="s">
        <v>192</v>
      </c>
      <c r="B29" s="150">
        <v>86900</v>
      </c>
      <c r="C29" s="151"/>
      <c r="E29" s="59" t="s">
        <v>85</v>
      </c>
      <c r="F29" s="56" t="s">
        <v>40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-125.20000000000002</v>
      </c>
    </row>
    <row r="30" spans="1:17" x14ac:dyDescent="0.45">
      <c r="A30" s="53" t="s">
        <v>139</v>
      </c>
      <c r="B30" s="61">
        <v>2</v>
      </c>
      <c r="C30" s="40">
        <f>IF(B$3=0,0,B30/B$3)</f>
        <v>3.4662045060658577E-3</v>
      </c>
      <c r="E30" s="59" t="s">
        <v>87</v>
      </c>
      <c r="F30" s="56" t="s">
        <v>42</v>
      </c>
      <c r="G30" s="44">
        <v>0</v>
      </c>
      <c r="H30" s="129">
        <f>IF(B$15=0,0,G30/B$15)</f>
        <v>0</v>
      </c>
      <c r="I30" s="90">
        <v>4</v>
      </c>
      <c r="K30" s="36">
        <v>28</v>
      </c>
      <c r="L30" s="95">
        <v>-124.40000000000002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-156.00000000000003</v>
      </c>
    </row>
    <row r="32" spans="1:17" x14ac:dyDescent="0.45">
      <c r="A32" s="86" t="s">
        <v>183</v>
      </c>
      <c r="B32" s="144">
        <v>21</v>
      </c>
      <c r="C32" s="141">
        <f>IF(B$15=0,0,B32/B$15)</f>
        <v>0.13636363636363635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-182.90000000000003</v>
      </c>
    </row>
    <row r="33" spans="1:12" x14ac:dyDescent="0.45">
      <c r="A33" s="51" t="s">
        <v>179</v>
      </c>
      <c r="B33" s="44">
        <v>33</v>
      </c>
      <c r="C33" s="37">
        <f t="shared" ref="C33:C44" si="3">IF(B$15=0,0,B33/B$15)</f>
        <v>0.21428571428571427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-203.20000000000005</v>
      </c>
    </row>
    <row r="34" spans="1:12" x14ac:dyDescent="0.45">
      <c r="A34" s="51" t="s">
        <v>180</v>
      </c>
      <c r="B34" s="145">
        <v>31</v>
      </c>
      <c r="C34" s="37">
        <f>IF(B$15=0,0,B34/B$15)</f>
        <v>0.20129870129870131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-211.90000000000003</v>
      </c>
    </row>
    <row r="35" spans="1:12" x14ac:dyDescent="0.45">
      <c r="A35" s="51" t="s">
        <v>181</v>
      </c>
      <c r="B35" s="145">
        <v>23</v>
      </c>
      <c r="C35" s="37">
        <f t="shared" si="3"/>
        <v>0.14935064935064934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-183.10000000000002</v>
      </c>
    </row>
    <row r="36" spans="1:12" x14ac:dyDescent="0.45">
      <c r="A36" s="51" t="s">
        <v>182</v>
      </c>
      <c r="B36" s="145">
        <v>17</v>
      </c>
      <c r="C36" s="37">
        <f t="shared" si="3"/>
        <v>0.11038961038961038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-168.3</v>
      </c>
    </row>
    <row r="37" spans="1:12" x14ac:dyDescent="0.45">
      <c r="A37" s="51" t="s">
        <v>184</v>
      </c>
      <c r="B37" s="145">
        <v>14</v>
      </c>
      <c r="C37" s="37">
        <f t="shared" si="3"/>
        <v>9.0909090909090912E-2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-210.60000000000002</v>
      </c>
    </row>
    <row r="38" spans="1:12" x14ac:dyDescent="0.45">
      <c r="A38" s="51" t="s">
        <v>185</v>
      </c>
      <c r="B38" s="145">
        <v>9</v>
      </c>
      <c r="C38" s="37">
        <f t="shared" si="3"/>
        <v>5.844155844155844E-2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-199.20000000000002</v>
      </c>
    </row>
    <row r="39" spans="1:12" x14ac:dyDescent="0.45">
      <c r="A39" s="51" t="s">
        <v>186</v>
      </c>
      <c r="B39" s="145">
        <v>5</v>
      </c>
      <c r="C39" s="37">
        <f t="shared" si="3"/>
        <v>3.2467532467532464E-2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-177.00000000000003</v>
      </c>
    </row>
    <row r="40" spans="1:12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-213.10000000000002</v>
      </c>
    </row>
    <row r="41" spans="1:12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-238.60000000000002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-193.60000000000002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-170.00000000000003</v>
      </c>
    </row>
    <row r="44" spans="1:12" x14ac:dyDescent="0.45">
      <c r="A44" s="53" t="s">
        <v>191</v>
      </c>
      <c r="B44" s="140">
        <v>1</v>
      </c>
      <c r="C44" s="40">
        <f t="shared" si="3"/>
        <v>6.4935064935064939E-3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-143.30000000000004</v>
      </c>
    </row>
    <row r="45" spans="1:12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-172.20000000000005</v>
      </c>
    </row>
    <row r="46" spans="1:12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-144.10000000000005</v>
      </c>
    </row>
    <row r="47" spans="1:12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-97.300000000000054</v>
      </c>
    </row>
    <row r="48" spans="1:12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-145.90000000000006</v>
      </c>
    </row>
    <row r="49" spans="5:12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-187.00000000000006</v>
      </c>
    </row>
    <row r="50" spans="5:12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-230.30000000000007</v>
      </c>
    </row>
    <row r="51" spans="5:12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  <c r="K51" s="36">
        <v>49</v>
      </c>
      <c r="L51" s="95">
        <v>-256.70000000000005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-292.80000000000007</v>
      </c>
    </row>
    <row r="53" spans="5:12" x14ac:dyDescent="0.45">
      <c r="K53" s="36">
        <v>51</v>
      </c>
      <c r="L53" s="95">
        <v>-273.60000000000008</v>
      </c>
    </row>
    <row r="54" spans="5:12" x14ac:dyDescent="0.45">
      <c r="K54" s="36">
        <v>52</v>
      </c>
      <c r="L54" s="95">
        <v>-296.10000000000008</v>
      </c>
    </row>
    <row r="55" spans="5:12" x14ac:dyDescent="0.45">
      <c r="K55" s="36">
        <v>53</v>
      </c>
      <c r="L55" s="95">
        <v>-383.50000000000011</v>
      </c>
    </row>
    <row r="56" spans="5:12" x14ac:dyDescent="0.45">
      <c r="K56" s="36">
        <v>54</v>
      </c>
      <c r="L56" s="95">
        <v>-415.00000000000011</v>
      </c>
    </row>
    <row r="57" spans="5:12" x14ac:dyDescent="0.45">
      <c r="K57" s="36">
        <v>55</v>
      </c>
      <c r="L57" s="95">
        <v>-381.50000000000011</v>
      </c>
    </row>
    <row r="58" spans="5:12" x14ac:dyDescent="0.45">
      <c r="K58" s="36">
        <v>56</v>
      </c>
      <c r="L58" s="95">
        <v>-369.50000000000011</v>
      </c>
    </row>
    <row r="59" spans="5:12" x14ac:dyDescent="0.45">
      <c r="K59" s="36">
        <v>57</v>
      </c>
      <c r="L59" s="95">
        <v>-389.2000000000001</v>
      </c>
    </row>
    <row r="60" spans="5:12" x14ac:dyDescent="0.45">
      <c r="K60" s="36">
        <v>58</v>
      </c>
      <c r="L60" s="95">
        <v>-436.00000000000011</v>
      </c>
    </row>
    <row r="61" spans="5:12" x14ac:dyDescent="0.45">
      <c r="K61" s="36">
        <v>59</v>
      </c>
      <c r="L61" s="95">
        <v>-399.2000000000001</v>
      </c>
    </row>
    <row r="62" spans="5:12" x14ac:dyDescent="0.45">
      <c r="K62" s="36">
        <v>60</v>
      </c>
      <c r="L62" s="95">
        <v>-444.30000000000013</v>
      </c>
    </row>
    <row r="63" spans="5:12" x14ac:dyDescent="0.45">
      <c r="K63" s="36">
        <v>61</v>
      </c>
      <c r="L63" s="95">
        <v>-491.00000000000011</v>
      </c>
    </row>
    <row r="64" spans="5:12" x14ac:dyDescent="0.45">
      <c r="K64" s="36">
        <v>62</v>
      </c>
      <c r="L64" s="95">
        <v>-482.00000000000011</v>
      </c>
    </row>
    <row r="65" spans="11:12" x14ac:dyDescent="0.45">
      <c r="K65" s="36">
        <v>63</v>
      </c>
      <c r="L65" s="95">
        <v>-522.20000000000016</v>
      </c>
    </row>
    <row r="66" spans="11:12" x14ac:dyDescent="0.45">
      <c r="K66" s="36">
        <v>64</v>
      </c>
      <c r="L66" s="95">
        <v>-550.9000000000002</v>
      </c>
    </row>
    <row r="67" spans="11:12" x14ac:dyDescent="0.45">
      <c r="K67" s="36">
        <v>65</v>
      </c>
      <c r="L67" s="95">
        <v>-526.20000000000016</v>
      </c>
    </row>
  </sheetData>
  <sortState xmlns:xlrd2="http://schemas.microsoft.com/office/spreadsheetml/2017/richdata2" ref="E2:I68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22E6D-5883-48B0-9AA0-7279938E402B}">
  <sheetPr codeName="Sheet9"/>
  <dimension ref="A1:Q149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126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147</v>
      </c>
      <c r="C2" s="159"/>
      <c r="E2" s="58" t="s">
        <v>66</v>
      </c>
      <c r="F2" s="55" t="s">
        <v>22</v>
      </c>
      <c r="G2" s="43">
        <v>270</v>
      </c>
      <c r="H2" s="128">
        <f>IF(B$15=0,0,G2/B$15)</f>
        <v>0.65853658536585369</v>
      </c>
      <c r="I2" s="89">
        <v>11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1144.5205479452054</v>
      </c>
      <c r="P2" s="114">
        <v>146</v>
      </c>
      <c r="Q2" s="98">
        <v>167100</v>
      </c>
    </row>
    <row r="3" spans="1:17" x14ac:dyDescent="0.45">
      <c r="A3" s="51" t="s">
        <v>8</v>
      </c>
      <c r="B3" s="160">
        <v>1201</v>
      </c>
      <c r="C3" s="161"/>
      <c r="E3" s="59" t="s">
        <v>72</v>
      </c>
      <c r="F3" s="56" t="s">
        <v>27</v>
      </c>
      <c r="G3" s="44">
        <v>208</v>
      </c>
      <c r="H3" s="129">
        <f>IF(B$15=0,0,G3/B$15)</f>
        <v>0.50731707317073171</v>
      </c>
      <c r="I3" s="90">
        <v>8</v>
      </c>
      <c r="K3" s="36">
        <v>1</v>
      </c>
      <c r="L3" s="95">
        <v>50.2</v>
      </c>
      <c r="N3" s="111" t="s">
        <v>131</v>
      </c>
      <c r="O3" s="118">
        <f t="shared" si="0"/>
        <v>893.00699300699296</v>
      </c>
      <c r="P3" s="115">
        <v>143</v>
      </c>
      <c r="Q3" s="99">
        <v>127700</v>
      </c>
    </row>
    <row r="4" spans="1:17" x14ac:dyDescent="0.45">
      <c r="A4" s="51" t="s">
        <v>6</v>
      </c>
      <c r="B4" s="162">
        <v>1141.3000000000002</v>
      </c>
      <c r="C4" s="163"/>
      <c r="E4" s="59" t="s">
        <v>64</v>
      </c>
      <c r="F4" s="56" t="s">
        <v>20</v>
      </c>
      <c r="G4" s="44">
        <v>185</v>
      </c>
      <c r="H4" s="129">
        <f>IF(B$15=0,0,G4/B$15)</f>
        <v>0.45121951219512196</v>
      </c>
      <c r="I4" s="90">
        <v>8</v>
      </c>
      <c r="K4" s="36">
        <v>2</v>
      </c>
      <c r="L4" s="95">
        <v>14.400000000000006</v>
      </c>
      <c r="N4" s="111" t="s">
        <v>132</v>
      </c>
      <c r="O4" s="118">
        <f t="shared" si="0"/>
        <v>886.1313868613139</v>
      </c>
      <c r="P4" s="115">
        <v>137</v>
      </c>
      <c r="Q4" s="99">
        <v>121400</v>
      </c>
    </row>
    <row r="5" spans="1:17" x14ac:dyDescent="0.45">
      <c r="A5" s="51" t="s">
        <v>7</v>
      </c>
      <c r="B5" s="164">
        <f>IF(B$2=0,0,B$4/B$2)</f>
        <v>7.7639455782312936</v>
      </c>
      <c r="C5" s="165"/>
      <c r="E5" s="59" t="s">
        <v>166</v>
      </c>
      <c r="F5" s="56" t="s">
        <v>167</v>
      </c>
      <c r="G5" s="44">
        <v>157</v>
      </c>
      <c r="H5" s="129">
        <f>IF(B$15=0,0,G5/B$15)</f>
        <v>0.38292682926829269</v>
      </c>
      <c r="I5" s="90">
        <v>7</v>
      </c>
      <c r="K5" s="36">
        <v>3</v>
      </c>
      <c r="L5" s="95">
        <v>40.400000000000006</v>
      </c>
      <c r="N5" s="111" t="s">
        <v>133</v>
      </c>
      <c r="O5" s="118">
        <f t="shared" si="0"/>
        <v>112.5984251968504</v>
      </c>
      <c r="P5" s="115">
        <v>127</v>
      </c>
      <c r="Q5" s="99">
        <v>14300</v>
      </c>
    </row>
    <row r="6" spans="1:17" x14ac:dyDescent="0.45">
      <c r="A6" s="51" t="s">
        <v>1</v>
      </c>
      <c r="B6" s="154">
        <f>IF(B$2=0,0,(B$7*1+B$8*2+B$9*3)/B$2)</f>
        <v>1.8163265306122449</v>
      </c>
      <c r="C6" s="155"/>
      <c r="E6" s="59" t="s">
        <v>68</v>
      </c>
      <c r="F6" s="56" t="s">
        <v>12</v>
      </c>
      <c r="G6" s="44">
        <v>118</v>
      </c>
      <c r="H6" s="129">
        <f>IF(B$15=0,0,G6/B$15)</f>
        <v>0.28780487804878047</v>
      </c>
      <c r="I6" s="90">
        <v>6</v>
      </c>
      <c r="K6" s="36">
        <v>4</v>
      </c>
      <c r="L6" s="95">
        <v>101.60000000000001</v>
      </c>
      <c r="N6" s="111" t="s">
        <v>134</v>
      </c>
      <c r="O6" s="118">
        <f t="shared" si="0"/>
        <v>1840.1709401709402</v>
      </c>
      <c r="P6" s="115">
        <v>117</v>
      </c>
      <c r="Q6" s="99">
        <v>215300</v>
      </c>
    </row>
    <row r="7" spans="1:17" x14ac:dyDescent="0.45">
      <c r="A7" s="51" t="s">
        <v>2</v>
      </c>
      <c r="B7" s="44">
        <v>66</v>
      </c>
      <c r="C7" s="37">
        <f t="shared" ref="C7:C10" si="1">IF(B$2=0,0,B7/B$2)</f>
        <v>0.44897959183673469</v>
      </c>
      <c r="E7" s="59" t="s">
        <v>67</v>
      </c>
      <c r="F7" s="56" t="s">
        <v>23</v>
      </c>
      <c r="G7" s="44">
        <v>105</v>
      </c>
      <c r="H7" s="129">
        <f>IF(B$15=0,0,G7/B$15)</f>
        <v>0.25609756097560976</v>
      </c>
      <c r="I7" s="90">
        <v>7</v>
      </c>
      <c r="K7" s="36">
        <v>5</v>
      </c>
      <c r="L7" s="95">
        <v>99.9</v>
      </c>
      <c r="N7" s="112" t="s">
        <v>135</v>
      </c>
      <c r="O7" s="119">
        <f t="shared" si="0"/>
        <v>1901.0309278350514</v>
      </c>
      <c r="P7" s="116">
        <v>97</v>
      </c>
      <c r="Q7" s="100">
        <v>184400</v>
      </c>
    </row>
    <row r="8" spans="1:17" x14ac:dyDescent="0.45">
      <c r="A8" s="51" t="s">
        <v>3</v>
      </c>
      <c r="B8" s="44">
        <v>42</v>
      </c>
      <c r="C8" s="37">
        <f t="shared" si="1"/>
        <v>0.2857142857142857</v>
      </c>
      <c r="E8" s="59" t="s">
        <v>89</v>
      </c>
      <c r="F8" s="56" t="s">
        <v>44</v>
      </c>
      <c r="G8" s="44">
        <v>59</v>
      </c>
      <c r="H8" s="129">
        <f>IF(B$15=0,0,G8/B$15)</f>
        <v>0.14390243902439023</v>
      </c>
      <c r="I8" s="90">
        <v>3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5">
      <c r="A9" s="52" t="s">
        <v>4</v>
      </c>
      <c r="B9" s="45">
        <v>39</v>
      </c>
      <c r="C9" s="38">
        <f t="shared" si="1"/>
        <v>0.26530612244897961</v>
      </c>
      <c r="E9" s="59" t="s">
        <v>69</v>
      </c>
      <c r="F9" s="56" t="s">
        <v>24</v>
      </c>
      <c r="G9" s="44">
        <v>56</v>
      </c>
      <c r="H9" s="129">
        <f>IF(B$15=0,0,G9/B$15)</f>
        <v>0.13658536585365855</v>
      </c>
      <c r="I9" s="90">
        <v>7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</v>
      </c>
      <c r="C10" s="40">
        <f t="shared" si="1"/>
        <v>4.7619047619047616E-2</v>
      </c>
      <c r="E10" s="59" t="s">
        <v>65</v>
      </c>
      <c r="F10" s="56" t="s">
        <v>21</v>
      </c>
      <c r="G10" s="44">
        <v>47</v>
      </c>
      <c r="H10" s="129">
        <f>IF(B$15=0,0,G10/B$15)</f>
        <v>0.11463414634146342</v>
      </c>
      <c r="I10" s="90">
        <v>6</v>
      </c>
      <c r="K10" s="36">
        <v>8</v>
      </c>
      <c r="L10" s="95">
        <v>148.1</v>
      </c>
      <c r="N10" s="110" t="s">
        <v>157</v>
      </c>
      <c r="O10" s="120">
        <f>IF(P10=0,0,Q10/P10)</f>
        <v>12.277499999999996</v>
      </c>
      <c r="P10" s="114">
        <v>40</v>
      </c>
      <c r="Q10" s="102">
        <v>491.09999999999985</v>
      </c>
    </row>
    <row r="11" spans="1:17" x14ac:dyDescent="0.45">
      <c r="A11" s="54" t="s">
        <v>121</v>
      </c>
      <c r="B11" s="47">
        <v>324</v>
      </c>
      <c r="C11" s="42">
        <f>IF(B$3=0,0,B11/B$3)</f>
        <v>0.26977518734388012</v>
      </c>
      <c r="E11" s="59" t="s">
        <v>71</v>
      </c>
      <c r="F11" s="56" t="s">
        <v>26</v>
      </c>
      <c r="G11" s="44">
        <v>27</v>
      </c>
      <c r="H11" s="129">
        <f>IF(B$15=0,0,G11/B$15)</f>
        <v>6.5853658536585369E-2</v>
      </c>
      <c r="I11" s="90">
        <v>10</v>
      </c>
      <c r="K11" s="36">
        <v>9</v>
      </c>
      <c r="L11" s="95">
        <v>180.89999999999998</v>
      </c>
      <c r="N11" s="111" t="s">
        <v>158</v>
      </c>
      <c r="O11" s="121">
        <f>IF(P11=0,0,Q11/P11)</f>
        <v>2.592307692307692</v>
      </c>
      <c r="P11" s="115">
        <v>52</v>
      </c>
      <c r="Q11" s="103">
        <v>134.79999999999998</v>
      </c>
    </row>
    <row r="12" spans="1:17" x14ac:dyDescent="0.45">
      <c r="A12" s="51" t="s">
        <v>118</v>
      </c>
      <c r="B12" s="44">
        <v>273</v>
      </c>
      <c r="C12" s="37">
        <f>IF(B$3=0,0,B12/B$3)</f>
        <v>0.22731057452123229</v>
      </c>
      <c r="E12" s="59" t="s">
        <v>86</v>
      </c>
      <c r="F12" s="56" t="s">
        <v>41</v>
      </c>
      <c r="G12" s="44">
        <v>27</v>
      </c>
      <c r="H12" s="129">
        <f>IF(B$15=0,0,G12/B$15)</f>
        <v>6.5853658536585369E-2</v>
      </c>
      <c r="I12" s="90">
        <v>3</v>
      </c>
      <c r="K12" s="36">
        <v>10</v>
      </c>
      <c r="L12" s="95">
        <v>158.19999999999999</v>
      </c>
      <c r="N12" s="112" t="s">
        <v>159</v>
      </c>
      <c r="O12" s="122">
        <f>IF(P12=0,0,Q12/P12)</f>
        <v>9.3709090909090893</v>
      </c>
      <c r="P12" s="116">
        <v>55</v>
      </c>
      <c r="Q12" s="104">
        <v>515.39999999999986</v>
      </c>
    </row>
    <row r="13" spans="1:17" x14ac:dyDescent="0.45">
      <c r="A13" s="50" t="s">
        <v>123</v>
      </c>
      <c r="B13" s="43">
        <f>B19</f>
        <v>195</v>
      </c>
      <c r="C13" s="35">
        <f>IF(B$11=0,0,B13/B$11)</f>
        <v>0.60185185185185186</v>
      </c>
      <c r="E13" s="59" t="s">
        <v>70</v>
      </c>
      <c r="F13" s="56" t="s">
        <v>25</v>
      </c>
      <c r="G13" s="44">
        <v>22</v>
      </c>
      <c r="H13" s="129">
        <f>IF(B$15=0,0,G13/B$15)</f>
        <v>5.3658536585365853E-2</v>
      </c>
      <c r="I13" s="90">
        <v>12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131</v>
      </c>
      <c r="C14" s="35">
        <f>IF(B$12=0,0,B14/B$12)</f>
        <v>0.47985347985347987</v>
      </c>
      <c r="E14" s="59" t="s">
        <v>83</v>
      </c>
      <c r="F14" s="56" t="s">
        <v>38</v>
      </c>
      <c r="G14" s="44">
        <v>19</v>
      </c>
      <c r="H14" s="129">
        <f>IF(B$15=0,0,G14/B$15)</f>
        <v>4.6341463414634146E-2</v>
      </c>
      <c r="I14" s="90">
        <v>8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410</v>
      </c>
      <c r="C15" s="35">
        <f>IF(B$3=0,0,B15/B$3)</f>
        <v>0.34138218151540384</v>
      </c>
      <c r="E15" s="59" t="s">
        <v>78</v>
      </c>
      <c r="F15" s="56" t="s">
        <v>33</v>
      </c>
      <c r="G15" s="44">
        <v>15</v>
      </c>
      <c r="H15" s="129">
        <f>IF(B$15=0,0,G15/B$15)</f>
        <v>3.6585365853658534E-2</v>
      </c>
      <c r="I15" s="90">
        <v>2</v>
      </c>
      <c r="K15" s="36">
        <v>13</v>
      </c>
      <c r="L15" s="95">
        <v>206.39999999999998</v>
      </c>
      <c r="N15" s="110" t="s">
        <v>196</v>
      </c>
      <c r="O15" s="120">
        <f>IF(P15=0,0,Q15/P15)</f>
        <v>39.662500000000009</v>
      </c>
      <c r="P15" s="114">
        <v>8</v>
      </c>
      <c r="Q15" s="102">
        <v>317.30000000000007</v>
      </c>
    </row>
    <row r="16" spans="1:17" x14ac:dyDescent="0.45">
      <c r="A16" s="51" t="s">
        <v>13</v>
      </c>
      <c r="B16" s="44">
        <v>160</v>
      </c>
      <c r="C16" s="37">
        <f>IF(B$3=0,0,B16/B$3)</f>
        <v>0.13322231473771856</v>
      </c>
      <c r="E16" s="59" t="s">
        <v>162</v>
      </c>
      <c r="F16" s="56" t="s">
        <v>163</v>
      </c>
      <c r="G16" s="44">
        <v>13</v>
      </c>
      <c r="H16" s="129">
        <f>IF(B$15=0,0,G16/B$15)</f>
        <v>3.1707317073170732E-2</v>
      </c>
      <c r="I16" s="90">
        <v>2</v>
      </c>
      <c r="K16" s="36">
        <v>14</v>
      </c>
      <c r="L16" s="95">
        <v>240.09999999999997</v>
      </c>
      <c r="N16" s="111" t="s">
        <v>197</v>
      </c>
      <c r="O16" s="121">
        <f>IF(P16=0,0,Q16/P16)</f>
        <v>26.026666666666664</v>
      </c>
      <c r="P16" s="115">
        <v>15</v>
      </c>
      <c r="Q16" s="103">
        <v>390.4</v>
      </c>
    </row>
    <row r="17" spans="1:17" x14ac:dyDescent="0.45">
      <c r="A17" s="51" t="s">
        <v>12</v>
      </c>
      <c r="B17" s="44">
        <v>172</v>
      </c>
      <c r="C17" s="37">
        <f>IF(B$15=0,0,B17/B$15)</f>
        <v>0.4195121951219512</v>
      </c>
      <c r="E17" s="59" t="s">
        <v>81</v>
      </c>
      <c r="F17" s="56" t="s">
        <v>36</v>
      </c>
      <c r="G17" s="44">
        <v>5</v>
      </c>
      <c r="H17" s="129">
        <f>IF(B$15=0,0,G17/B$15)</f>
        <v>1.2195121951219513E-2</v>
      </c>
      <c r="I17" s="90">
        <v>9</v>
      </c>
      <c r="K17" s="36">
        <v>15</v>
      </c>
      <c r="L17" s="95">
        <v>269.49999999999994</v>
      </c>
      <c r="N17" s="111" t="s">
        <v>127</v>
      </c>
      <c r="O17" s="121">
        <f>IF(P17=0,0,Q17/P17)</f>
        <v>13.324175824175827</v>
      </c>
      <c r="P17" s="115">
        <v>91</v>
      </c>
      <c r="Q17" s="103">
        <v>1212.5000000000002</v>
      </c>
    </row>
    <row r="18" spans="1:17" x14ac:dyDescent="0.45">
      <c r="A18" s="51" t="s">
        <v>11</v>
      </c>
      <c r="B18" s="44">
        <v>238</v>
      </c>
      <c r="C18" s="37">
        <f>IF(B$15=0,0,B18/B$15)</f>
        <v>0.58048780487804874</v>
      </c>
      <c r="E18" s="59" t="s">
        <v>75</v>
      </c>
      <c r="F18" s="56" t="s">
        <v>30</v>
      </c>
      <c r="G18" s="44">
        <v>4</v>
      </c>
      <c r="H18" s="129">
        <f>IF(B$15=0,0,G18/B$15)</f>
        <v>9.7560975609756097E-3</v>
      </c>
      <c r="I18" s="90">
        <v>3</v>
      </c>
      <c r="K18" s="36">
        <v>16</v>
      </c>
      <c r="L18" s="95">
        <v>323.69999999999993</v>
      </c>
      <c r="N18" s="111" t="s">
        <v>171</v>
      </c>
      <c r="O18" s="121">
        <f>IF(P18=0,0,Q18/P18)</f>
        <v>13.271698113207547</v>
      </c>
      <c r="P18" s="115">
        <v>53</v>
      </c>
      <c r="Q18" s="103">
        <v>703.4</v>
      </c>
    </row>
    <row r="19" spans="1:17" x14ac:dyDescent="0.45">
      <c r="A19" s="51" t="s">
        <v>195</v>
      </c>
      <c r="B19" s="44">
        <v>195</v>
      </c>
      <c r="C19" s="37">
        <f>IF(B$15=0,0,B19/B$15)</f>
        <v>0.47560975609756095</v>
      </c>
      <c r="E19" s="59" t="s">
        <v>77</v>
      </c>
      <c r="F19" s="56" t="s">
        <v>32</v>
      </c>
      <c r="G19" s="44">
        <v>3</v>
      </c>
      <c r="H19" s="129">
        <f>IF(B$15=0,0,G19/B$15)</f>
        <v>7.3170731707317077E-3</v>
      </c>
      <c r="I19" s="90">
        <v>1</v>
      </c>
      <c r="K19" s="36">
        <v>17</v>
      </c>
      <c r="L19" s="95">
        <v>359.09999999999991</v>
      </c>
      <c r="N19" s="111" t="s">
        <v>172</v>
      </c>
      <c r="O19" s="121">
        <f>IF(P19=0,0,Q19/P19)</f>
        <v>12.78888888888889</v>
      </c>
      <c r="P19" s="115">
        <v>54</v>
      </c>
      <c r="Q19" s="103">
        <v>690.6</v>
      </c>
    </row>
    <row r="20" spans="1:17" x14ac:dyDescent="0.45">
      <c r="A20" s="51" t="s">
        <v>193</v>
      </c>
      <c r="B20" s="44">
        <v>131</v>
      </c>
      <c r="C20" s="37">
        <f>IF(B$15=0,0,B20/B$15)</f>
        <v>0.31951219512195123</v>
      </c>
      <c r="E20" s="59" t="s">
        <v>84</v>
      </c>
      <c r="F20" s="56" t="s">
        <v>39</v>
      </c>
      <c r="G20" s="44">
        <v>3</v>
      </c>
      <c r="H20" s="129">
        <f>IF(B$15=0,0,G20/B$15)</f>
        <v>7.3170731707317077E-3</v>
      </c>
      <c r="I20" s="90">
        <v>2</v>
      </c>
      <c r="K20" s="36">
        <v>18</v>
      </c>
      <c r="L20" s="95">
        <v>352.39999999999992</v>
      </c>
      <c r="N20" s="111" t="s">
        <v>161</v>
      </c>
      <c r="O20" s="121">
        <f>IF(P20=0,0,Q20/P20)</f>
        <v>10.394117647058822</v>
      </c>
      <c r="P20" s="115">
        <v>34</v>
      </c>
      <c r="Q20" s="103">
        <v>353.4</v>
      </c>
    </row>
    <row r="21" spans="1:17" x14ac:dyDescent="0.45">
      <c r="A21" s="51" t="s">
        <v>194</v>
      </c>
      <c r="B21" s="44">
        <v>84</v>
      </c>
      <c r="C21" s="37">
        <f>IF(B$15=0,0,B21/B$15)</f>
        <v>0.20487804878048779</v>
      </c>
      <c r="E21" s="59" t="s">
        <v>91</v>
      </c>
      <c r="F21" s="56" t="s">
        <v>46</v>
      </c>
      <c r="G21" s="44">
        <v>3</v>
      </c>
      <c r="H21" s="129">
        <f>IF(B$15=0,0,G21/B$15)</f>
        <v>7.3170731707317077E-3</v>
      </c>
      <c r="I21" s="90">
        <v>7</v>
      </c>
      <c r="K21" s="36">
        <v>19</v>
      </c>
      <c r="L21" s="95">
        <v>383.19999999999993</v>
      </c>
      <c r="N21" s="111" t="s">
        <v>170</v>
      </c>
      <c r="O21" s="121">
        <f>IF(P21=0,0,Q21/P21)</f>
        <v>-4.5578947368421048</v>
      </c>
      <c r="P21" s="115">
        <v>38</v>
      </c>
      <c r="Q21" s="103">
        <v>-173.2</v>
      </c>
    </row>
    <row r="22" spans="1:17" x14ac:dyDescent="0.45">
      <c r="A22" s="51" t="s">
        <v>5</v>
      </c>
      <c r="B22" s="48">
        <f>IF(B$15=0,0,C22/B$15)</f>
        <v>8167.8048780487807</v>
      </c>
      <c r="C22" s="39">
        <v>3348800</v>
      </c>
      <c r="E22" s="59" t="s">
        <v>92</v>
      </c>
      <c r="F22" s="56" t="s">
        <v>47</v>
      </c>
      <c r="G22" s="44">
        <v>3</v>
      </c>
      <c r="H22" s="129">
        <f>IF(B$15=0,0,G22/B$15)</f>
        <v>7.3170731707317077E-3</v>
      </c>
      <c r="I22" s="90">
        <v>4</v>
      </c>
      <c r="K22" s="36">
        <v>20</v>
      </c>
      <c r="L22" s="95">
        <v>365.49999999999994</v>
      </c>
      <c r="N22" s="111" t="s">
        <v>203</v>
      </c>
      <c r="O22" s="121">
        <f>IF(P22=0,0,Q22/P22)</f>
        <v>-70.5</v>
      </c>
      <c r="P22" s="115">
        <v>1</v>
      </c>
      <c r="Q22" s="103">
        <v>-70.5</v>
      </c>
    </row>
    <row r="23" spans="1:17" x14ac:dyDescent="0.45">
      <c r="A23" s="52" t="s">
        <v>177</v>
      </c>
      <c r="B23" s="136">
        <f>IF($B$15-B$14=0,0,C23/($B$15-B$14))</f>
        <v>8551.6129032258068</v>
      </c>
      <c r="C23" s="137">
        <v>2385900</v>
      </c>
      <c r="E23" s="59" t="s">
        <v>79</v>
      </c>
      <c r="F23" s="56" t="s">
        <v>34</v>
      </c>
      <c r="G23" s="44">
        <v>2</v>
      </c>
      <c r="H23" s="129">
        <f>IF(B$15=0,0,G23/B$15)</f>
        <v>4.8780487804878049E-3</v>
      </c>
      <c r="I23" s="90">
        <v>8</v>
      </c>
      <c r="K23" s="36">
        <v>21</v>
      </c>
      <c r="L23" s="95">
        <v>371.39999999999992</v>
      </c>
    </row>
    <row r="24" spans="1:17" x14ac:dyDescent="0.45">
      <c r="A24" s="52" t="s">
        <v>178</v>
      </c>
      <c r="B24" s="136">
        <f>IF(B$14=0,0,C24/B$14)</f>
        <v>7350.3816793893129</v>
      </c>
      <c r="C24" s="137">
        <v>962900</v>
      </c>
      <c r="E24" s="59" t="s">
        <v>85</v>
      </c>
      <c r="F24" s="56" t="s">
        <v>40</v>
      </c>
      <c r="G24" s="44">
        <v>2</v>
      </c>
      <c r="H24" s="129">
        <f>IF(B$15=0,0,G24/B$15)</f>
        <v>4.8780487804878049E-3</v>
      </c>
      <c r="I24" s="90">
        <v>3</v>
      </c>
      <c r="K24" s="36">
        <v>22</v>
      </c>
      <c r="L24" s="95">
        <v>414.2999999999999</v>
      </c>
    </row>
    <row r="25" spans="1:17" x14ac:dyDescent="0.45">
      <c r="A25" s="52" t="s">
        <v>176</v>
      </c>
      <c r="B25" s="136">
        <f>IF(B$16=0,0,C25/B$16)</f>
        <v>-7688.75</v>
      </c>
      <c r="C25" s="137">
        <v>-1230200</v>
      </c>
      <c r="E25" s="59" t="s">
        <v>88</v>
      </c>
      <c r="F25" s="56" t="s">
        <v>43</v>
      </c>
      <c r="G25" s="44">
        <v>2</v>
      </c>
      <c r="H25" s="129">
        <f>IF(B$15=0,0,G25/B$15)</f>
        <v>4.8780487804878049E-3</v>
      </c>
      <c r="I25" s="90">
        <v>2</v>
      </c>
      <c r="K25" s="36">
        <v>23</v>
      </c>
      <c r="L25" s="95">
        <v>356.2999999999999</v>
      </c>
    </row>
    <row r="26" spans="1:17" x14ac:dyDescent="0.45">
      <c r="A26" s="51" t="s">
        <v>164</v>
      </c>
      <c r="B26" s="44">
        <v>6</v>
      </c>
      <c r="C26" s="131">
        <v>0</v>
      </c>
      <c r="E26" s="59" t="s">
        <v>95</v>
      </c>
      <c r="F26" s="56" t="s">
        <v>50</v>
      </c>
      <c r="G26" s="44">
        <v>2</v>
      </c>
      <c r="H26" s="129">
        <f>IF(B$15=0,0,G26/B$15)</f>
        <v>4.8780487804878049E-3</v>
      </c>
      <c r="I26" s="90">
        <v>2</v>
      </c>
      <c r="K26" s="36">
        <v>24</v>
      </c>
      <c r="L26" s="95">
        <v>329.89999999999992</v>
      </c>
    </row>
    <row r="27" spans="1:17" x14ac:dyDescent="0.45">
      <c r="A27" s="51" t="s">
        <v>165</v>
      </c>
      <c r="B27" s="44">
        <v>43</v>
      </c>
      <c r="C27" s="131">
        <v>0</v>
      </c>
      <c r="E27" s="59" t="s">
        <v>74</v>
      </c>
      <c r="F27" s="56" t="s">
        <v>29</v>
      </c>
      <c r="G27" s="44">
        <v>1</v>
      </c>
      <c r="H27" s="129">
        <f>IF(B$15=0,0,G27/B$15)</f>
        <v>2.4390243902439024E-3</v>
      </c>
      <c r="I27" s="90">
        <v>6</v>
      </c>
      <c r="K27" s="36">
        <v>25</v>
      </c>
      <c r="L27" s="95">
        <v>294.99999999999994</v>
      </c>
    </row>
    <row r="28" spans="1:17" x14ac:dyDescent="0.45">
      <c r="A28" s="86" t="s">
        <v>138</v>
      </c>
      <c r="B28" s="152">
        <v>7</v>
      </c>
      <c r="C28" s="153"/>
      <c r="E28" s="59" t="s">
        <v>90</v>
      </c>
      <c r="F28" s="56" t="s">
        <v>45</v>
      </c>
      <c r="G28" s="44">
        <v>1</v>
      </c>
      <c r="H28" s="129">
        <f>IF(B$15=0,0,G28/B$15)</f>
        <v>2.4390243902439024E-3</v>
      </c>
      <c r="I28" s="90">
        <v>3</v>
      </c>
      <c r="K28" s="36">
        <v>26</v>
      </c>
      <c r="L28" s="95">
        <v>329.29999999999995</v>
      </c>
    </row>
    <row r="29" spans="1:17" x14ac:dyDescent="0.45">
      <c r="A29" s="54" t="s">
        <v>192</v>
      </c>
      <c r="B29" s="150">
        <v>149100</v>
      </c>
      <c r="C29" s="151"/>
      <c r="E29" s="59" t="s">
        <v>106</v>
      </c>
      <c r="F29" s="56" t="s">
        <v>113</v>
      </c>
      <c r="G29" s="44">
        <v>1</v>
      </c>
      <c r="H29" s="129">
        <f>IF(B$15=0,0,G29/B$15)</f>
        <v>2.4390243902439024E-3</v>
      </c>
      <c r="I29" s="90">
        <v>1</v>
      </c>
      <c r="K29" s="36">
        <v>27</v>
      </c>
      <c r="L29" s="95">
        <v>362.4</v>
      </c>
    </row>
    <row r="30" spans="1:17" x14ac:dyDescent="0.45">
      <c r="A30" s="53" t="s">
        <v>139</v>
      </c>
      <c r="B30" s="61">
        <v>1</v>
      </c>
      <c r="C30" s="40">
        <f>IF(B$3=0,0,B30/B$3)</f>
        <v>8.3263946711074107E-4</v>
      </c>
      <c r="E30" s="59" t="s">
        <v>73</v>
      </c>
      <c r="F30" s="56" t="s">
        <v>28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375.79999999999995</v>
      </c>
    </row>
    <row r="31" spans="1:17" x14ac:dyDescent="0.45">
      <c r="E31" s="59" t="s">
        <v>76</v>
      </c>
      <c r="F31" s="56" t="s">
        <v>31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381.09999999999997</v>
      </c>
    </row>
    <row r="32" spans="1:17" x14ac:dyDescent="0.45">
      <c r="A32" s="86" t="s">
        <v>183</v>
      </c>
      <c r="B32" s="144">
        <v>37</v>
      </c>
      <c r="C32" s="141">
        <f>IF(B$15=0,0,B32/B$15)</f>
        <v>9.0243902439024387E-2</v>
      </c>
      <c r="E32" s="59" t="s">
        <v>80</v>
      </c>
      <c r="F32" s="56" t="s">
        <v>35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340.79999999999995</v>
      </c>
    </row>
    <row r="33" spans="1:12" x14ac:dyDescent="0.45">
      <c r="A33" s="51" t="s">
        <v>179</v>
      </c>
      <c r="B33" s="44">
        <v>72</v>
      </c>
      <c r="C33" s="37">
        <f t="shared" ref="C33:C44" si="2">IF(B$15=0,0,B33/B$15)</f>
        <v>0.17560975609756097</v>
      </c>
      <c r="E33" s="59" t="s">
        <v>82</v>
      </c>
      <c r="F33" s="56" t="s">
        <v>37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319.49999999999994</v>
      </c>
    </row>
    <row r="34" spans="1:12" x14ac:dyDescent="0.45">
      <c r="A34" s="51" t="s">
        <v>180</v>
      </c>
      <c r="B34" s="145">
        <v>89</v>
      </c>
      <c r="C34" s="37">
        <f>IF(B$15=0,0,B34/B$15)</f>
        <v>0.21707317073170732</v>
      </c>
      <c r="E34" s="59" t="s">
        <v>87</v>
      </c>
      <c r="F34" s="56" t="s">
        <v>42</v>
      </c>
      <c r="G34" s="44">
        <v>0</v>
      </c>
      <c r="H34" s="129">
        <f>IF(B$15=0,0,G34/B$15)</f>
        <v>0</v>
      </c>
      <c r="I34" s="90">
        <v>4</v>
      </c>
      <c r="K34" s="36">
        <v>32</v>
      </c>
      <c r="L34" s="95">
        <v>349.39999999999992</v>
      </c>
    </row>
    <row r="35" spans="1:12" x14ac:dyDescent="0.45">
      <c r="A35" s="51" t="s">
        <v>181</v>
      </c>
      <c r="B35" s="145">
        <v>75</v>
      </c>
      <c r="C35" s="37">
        <f t="shared" si="2"/>
        <v>0.18292682926829268</v>
      </c>
      <c r="E35" s="59" t="s">
        <v>93</v>
      </c>
      <c r="F35" s="56" t="s">
        <v>48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349.19999999999993</v>
      </c>
    </row>
    <row r="36" spans="1:12" x14ac:dyDescent="0.45">
      <c r="A36" s="51" t="s">
        <v>182</v>
      </c>
      <c r="B36" s="145">
        <v>60</v>
      </c>
      <c r="C36" s="37">
        <f t="shared" si="2"/>
        <v>0.14634146341463414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374.49999999999994</v>
      </c>
    </row>
    <row r="37" spans="1:12" x14ac:dyDescent="0.45">
      <c r="A37" s="51" t="s">
        <v>184</v>
      </c>
      <c r="B37" s="145">
        <v>37</v>
      </c>
      <c r="C37" s="37">
        <f t="shared" si="2"/>
        <v>9.0243902439024387E-2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357.89999999999992</v>
      </c>
    </row>
    <row r="38" spans="1:12" x14ac:dyDescent="0.45">
      <c r="A38" s="51" t="s">
        <v>185</v>
      </c>
      <c r="B38" s="145">
        <v>19</v>
      </c>
      <c r="C38" s="37">
        <f t="shared" si="2"/>
        <v>4.6341463414634146E-2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312.09999999999991</v>
      </c>
    </row>
    <row r="39" spans="1:12" x14ac:dyDescent="0.45">
      <c r="A39" s="51" t="s">
        <v>186</v>
      </c>
      <c r="B39" s="145">
        <v>6</v>
      </c>
      <c r="C39" s="37">
        <f t="shared" si="2"/>
        <v>1.4634146341463415E-2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325.09999999999991</v>
      </c>
    </row>
    <row r="40" spans="1:12" x14ac:dyDescent="0.45">
      <c r="A40" s="51" t="s">
        <v>187</v>
      </c>
      <c r="B40" s="145">
        <v>8</v>
      </c>
      <c r="C40" s="37">
        <f t="shared" si="2"/>
        <v>1.9512195121951219E-2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360.49999999999989</v>
      </c>
    </row>
    <row r="41" spans="1:12" x14ac:dyDescent="0.45">
      <c r="A41" s="51" t="s">
        <v>188</v>
      </c>
      <c r="B41" s="145">
        <v>0</v>
      </c>
      <c r="C41" s="37">
        <f t="shared" si="2"/>
        <v>0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365.39999999999986</v>
      </c>
    </row>
    <row r="42" spans="1:12" x14ac:dyDescent="0.45">
      <c r="A42" s="51" t="s">
        <v>189</v>
      </c>
      <c r="B42" s="145">
        <v>0</v>
      </c>
      <c r="C42" s="37">
        <f t="shared" si="2"/>
        <v>0</v>
      </c>
      <c r="E42" s="59" t="s">
        <v>101</v>
      </c>
      <c r="F42" s="56" t="s">
        <v>56</v>
      </c>
      <c r="G42" s="44">
        <v>0</v>
      </c>
      <c r="H42" s="129">
        <f>IF(B$15=0,0,G42/B$15)</f>
        <v>0</v>
      </c>
      <c r="I42" s="90">
        <v>3</v>
      </c>
      <c r="K42" s="36">
        <v>40</v>
      </c>
      <c r="L42" s="95">
        <v>398.79999999999984</v>
      </c>
    </row>
    <row r="43" spans="1:12" x14ac:dyDescent="0.45">
      <c r="A43" s="51" t="s">
        <v>190</v>
      </c>
      <c r="B43" s="145">
        <v>1</v>
      </c>
      <c r="C43" s="37">
        <f t="shared" si="2"/>
        <v>2.4390243902439024E-3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399.89999999999986</v>
      </c>
    </row>
    <row r="44" spans="1:12" x14ac:dyDescent="0.45">
      <c r="A44" s="53" t="s">
        <v>191</v>
      </c>
      <c r="B44" s="140">
        <v>6</v>
      </c>
      <c r="C44" s="40">
        <f t="shared" si="2"/>
        <v>1.4634146341463415E-2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419.29999999999984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424.79999999999984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424.39999999999986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425.69999999999987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465.7999999999999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419.99999999999989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424.59999999999991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427.39999999999992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474.2999999999999</v>
      </c>
    </row>
    <row r="53" spans="5:12" x14ac:dyDescent="0.45">
      <c r="K53" s="36">
        <v>51</v>
      </c>
      <c r="L53" s="95">
        <v>500.7999999999999</v>
      </c>
    </row>
    <row r="54" spans="5:12" x14ac:dyDescent="0.45">
      <c r="K54" s="36">
        <v>52</v>
      </c>
      <c r="L54" s="95">
        <v>534.89999999999986</v>
      </c>
    </row>
    <row r="55" spans="5:12" x14ac:dyDescent="0.45">
      <c r="K55" s="36">
        <v>53</v>
      </c>
      <c r="L55" s="95">
        <v>539.49999999999989</v>
      </c>
    </row>
    <row r="56" spans="5:12" x14ac:dyDescent="0.45">
      <c r="K56" s="36">
        <v>54</v>
      </c>
      <c r="L56" s="95">
        <v>566.59999999999991</v>
      </c>
    </row>
    <row r="57" spans="5:12" x14ac:dyDescent="0.45">
      <c r="K57" s="36">
        <v>55</v>
      </c>
      <c r="L57" s="95">
        <v>584.59999999999991</v>
      </c>
    </row>
    <row r="58" spans="5:12" x14ac:dyDescent="0.45">
      <c r="K58" s="36">
        <v>56</v>
      </c>
      <c r="L58" s="95">
        <v>590.69999999999993</v>
      </c>
    </row>
    <row r="59" spans="5:12" x14ac:dyDescent="0.45">
      <c r="K59" s="36">
        <v>57</v>
      </c>
      <c r="L59" s="95">
        <v>593.09999999999991</v>
      </c>
    </row>
    <row r="60" spans="5:12" x14ac:dyDescent="0.45">
      <c r="K60" s="36">
        <v>58</v>
      </c>
      <c r="L60" s="95">
        <v>597.59999999999991</v>
      </c>
    </row>
    <row r="61" spans="5:12" x14ac:dyDescent="0.45">
      <c r="K61" s="36">
        <v>59</v>
      </c>
      <c r="L61" s="95">
        <v>571.59999999999991</v>
      </c>
    </row>
    <row r="62" spans="5:12" x14ac:dyDescent="0.45">
      <c r="K62" s="36">
        <v>60</v>
      </c>
      <c r="L62" s="95">
        <v>544.59999999999991</v>
      </c>
    </row>
    <row r="63" spans="5:12" x14ac:dyDescent="0.45">
      <c r="K63" s="36">
        <v>61</v>
      </c>
      <c r="L63" s="95">
        <v>527.79999999999995</v>
      </c>
    </row>
    <row r="64" spans="5:12" x14ac:dyDescent="0.45">
      <c r="K64" s="36">
        <v>62</v>
      </c>
      <c r="L64" s="95">
        <v>531.9</v>
      </c>
    </row>
    <row r="65" spans="11:12" x14ac:dyDescent="0.45">
      <c r="K65" s="36">
        <v>63</v>
      </c>
      <c r="L65" s="95">
        <v>500.59999999999997</v>
      </c>
    </row>
    <row r="66" spans="11:12" x14ac:dyDescent="0.45">
      <c r="K66" s="36">
        <v>64</v>
      </c>
      <c r="L66" s="95">
        <v>518.9</v>
      </c>
    </row>
    <row r="67" spans="11:12" x14ac:dyDescent="0.45">
      <c r="K67" s="36">
        <v>65</v>
      </c>
      <c r="L67" s="95">
        <v>538.1</v>
      </c>
    </row>
    <row r="68" spans="11:12" x14ac:dyDescent="0.45">
      <c r="K68" s="36">
        <v>66</v>
      </c>
      <c r="L68" s="95">
        <v>538.70000000000005</v>
      </c>
    </row>
    <row r="69" spans="11:12" x14ac:dyDescent="0.45">
      <c r="K69" s="36">
        <v>67</v>
      </c>
      <c r="L69" s="95">
        <v>503.50000000000006</v>
      </c>
    </row>
    <row r="70" spans="11:12" x14ac:dyDescent="0.45">
      <c r="K70" s="36">
        <v>68</v>
      </c>
      <c r="L70" s="95">
        <v>544.1</v>
      </c>
    </row>
    <row r="71" spans="11:12" x14ac:dyDescent="0.45">
      <c r="K71" s="36">
        <v>69</v>
      </c>
      <c r="L71" s="95">
        <v>576.5</v>
      </c>
    </row>
    <row r="72" spans="11:12" x14ac:dyDescent="0.45">
      <c r="K72" s="36">
        <v>70</v>
      </c>
      <c r="L72" s="95">
        <v>544.79999999999995</v>
      </c>
    </row>
    <row r="73" spans="11:12" x14ac:dyDescent="0.45">
      <c r="K73" s="36">
        <v>71</v>
      </c>
      <c r="L73" s="95">
        <v>502.09999999999997</v>
      </c>
    </row>
    <row r="74" spans="11:12" x14ac:dyDescent="0.45">
      <c r="K74" s="36">
        <v>72</v>
      </c>
      <c r="L74" s="95">
        <v>526.19999999999993</v>
      </c>
    </row>
    <row r="75" spans="11:12" x14ac:dyDescent="0.45">
      <c r="K75" s="36">
        <v>73</v>
      </c>
      <c r="L75" s="95">
        <v>550.99999999999989</v>
      </c>
    </row>
    <row r="76" spans="11:12" x14ac:dyDescent="0.45">
      <c r="K76" s="36">
        <v>74</v>
      </c>
      <c r="L76" s="95">
        <v>576.49999999999989</v>
      </c>
    </row>
    <row r="77" spans="11:12" x14ac:dyDescent="0.45">
      <c r="K77" s="36">
        <v>75</v>
      </c>
      <c r="L77" s="95">
        <v>601.29999999999984</v>
      </c>
    </row>
    <row r="78" spans="11:12" x14ac:dyDescent="0.45">
      <c r="K78" s="36">
        <v>76</v>
      </c>
      <c r="L78" s="95">
        <v>576.29999999999984</v>
      </c>
    </row>
    <row r="79" spans="11:12" x14ac:dyDescent="0.45">
      <c r="K79" s="36">
        <v>77</v>
      </c>
      <c r="L79" s="95">
        <v>546.79999999999984</v>
      </c>
    </row>
    <row r="80" spans="11:12" x14ac:dyDescent="0.45">
      <c r="K80" s="36">
        <v>78</v>
      </c>
      <c r="L80" s="95">
        <v>579.29999999999984</v>
      </c>
    </row>
    <row r="81" spans="11:12" x14ac:dyDescent="0.45">
      <c r="K81" s="36">
        <v>79</v>
      </c>
      <c r="L81" s="95">
        <v>556.89999999999986</v>
      </c>
    </row>
    <row r="82" spans="11:12" x14ac:dyDescent="0.45">
      <c r="K82" s="36">
        <v>80</v>
      </c>
      <c r="L82" s="95">
        <v>572.09999999999991</v>
      </c>
    </row>
    <row r="83" spans="11:12" x14ac:dyDescent="0.45">
      <c r="K83" s="36">
        <v>81</v>
      </c>
      <c r="L83" s="95">
        <v>521.59999999999991</v>
      </c>
    </row>
    <row r="84" spans="11:12" x14ac:dyDescent="0.45">
      <c r="K84" s="36">
        <v>82</v>
      </c>
      <c r="L84" s="95">
        <v>548.39999999999986</v>
      </c>
    </row>
    <row r="85" spans="11:12" x14ac:dyDescent="0.45">
      <c r="K85" s="36">
        <v>83</v>
      </c>
      <c r="L85" s="95">
        <v>546.59999999999991</v>
      </c>
    </row>
    <row r="86" spans="11:12" x14ac:dyDescent="0.45">
      <c r="K86" s="36">
        <v>84</v>
      </c>
      <c r="L86" s="95">
        <v>566.49999999999989</v>
      </c>
    </row>
    <row r="87" spans="11:12" x14ac:dyDescent="0.45">
      <c r="K87" s="36">
        <v>85</v>
      </c>
      <c r="L87" s="95">
        <v>529.79999999999984</v>
      </c>
    </row>
    <row r="88" spans="11:12" x14ac:dyDescent="0.45">
      <c r="K88" s="36">
        <v>86</v>
      </c>
      <c r="L88" s="95">
        <v>550.39999999999986</v>
      </c>
    </row>
    <row r="89" spans="11:12" x14ac:dyDescent="0.45">
      <c r="K89" s="36">
        <v>87</v>
      </c>
      <c r="L89" s="95">
        <v>554.39999999999986</v>
      </c>
    </row>
    <row r="90" spans="11:12" x14ac:dyDescent="0.45">
      <c r="K90" s="36">
        <v>88</v>
      </c>
      <c r="L90" s="95">
        <v>570.89999999999986</v>
      </c>
    </row>
    <row r="91" spans="11:12" x14ac:dyDescent="0.45">
      <c r="K91" s="36">
        <v>89</v>
      </c>
      <c r="L91" s="95">
        <v>531.89999999999986</v>
      </c>
    </row>
    <row r="92" spans="11:12" x14ac:dyDescent="0.45">
      <c r="K92" s="36">
        <v>90</v>
      </c>
      <c r="L92" s="95">
        <v>486.29999999999984</v>
      </c>
    </row>
    <row r="93" spans="11:12" x14ac:dyDescent="0.45">
      <c r="K93" s="36">
        <v>91</v>
      </c>
      <c r="L93" s="95">
        <v>520.39999999999986</v>
      </c>
    </row>
    <row r="94" spans="11:12" x14ac:dyDescent="0.45">
      <c r="K94" s="36">
        <v>92</v>
      </c>
      <c r="L94" s="95">
        <v>548.09999999999991</v>
      </c>
    </row>
    <row r="95" spans="11:12" x14ac:dyDescent="0.45">
      <c r="K95" s="36">
        <v>93</v>
      </c>
      <c r="L95" s="95">
        <v>583.99999999999989</v>
      </c>
    </row>
    <row r="96" spans="11:12" x14ac:dyDescent="0.45">
      <c r="K96" s="36">
        <v>94</v>
      </c>
      <c r="L96" s="95">
        <v>605.69999999999993</v>
      </c>
    </row>
    <row r="97" spans="11:12" x14ac:dyDescent="0.45">
      <c r="K97" s="36">
        <v>95</v>
      </c>
      <c r="L97" s="95">
        <v>625.19999999999993</v>
      </c>
    </row>
    <row r="98" spans="11:12" x14ac:dyDescent="0.45">
      <c r="K98" s="36">
        <v>96</v>
      </c>
      <c r="L98" s="95">
        <v>638.79999999999995</v>
      </c>
    </row>
    <row r="99" spans="11:12" x14ac:dyDescent="0.45">
      <c r="K99" s="36">
        <v>97</v>
      </c>
      <c r="L99" s="95">
        <v>680.69999999999993</v>
      </c>
    </row>
    <row r="100" spans="11:12" x14ac:dyDescent="0.45">
      <c r="K100" s="36">
        <v>98</v>
      </c>
      <c r="L100" s="95">
        <v>664.19999999999993</v>
      </c>
    </row>
    <row r="101" spans="11:12" x14ac:dyDescent="0.45">
      <c r="K101" s="36">
        <v>99</v>
      </c>
      <c r="L101" s="95">
        <v>713.19999999999993</v>
      </c>
    </row>
    <row r="102" spans="11:12" x14ac:dyDescent="0.45">
      <c r="K102" s="36">
        <v>100</v>
      </c>
      <c r="L102" s="95">
        <v>757.59999999999991</v>
      </c>
    </row>
    <row r="103" spans="11:12" x14ac:dyDescent="0.45">
      <c r="K103" s="36">
        <v>101</v>
      </c>
      <c r="L103" s="95">
        <v>717.39999999999986</v>
      </c>
    </row>
    <row r="104" spans="11:12" x14ac:dyDescent="0.45">
      <c r="K104" s="36">
        <v>102</v>
      </c>
      <c r="L104" s="95">
        <v>767.39999999999986</v>
      </c>
    </row>
    <row r="105" spans="11:12" x14ac:dyDescent="0.45">
      <c r="K105" s="36">
        <v>103</v>
      </c>
      <c r="L105" s="95">
        <v>891.49999999999989</v>
      </c>
    </row>
    <row r="106" spans="11:12" x14ac:dyDescent="0.45">
      <c r="K106" s="36">
        <v>104</v>
      </c>
      <c r="L106" s="95">
        <v>898.49999999999989</v>
      </c>
    </row>
    <row r="107" spans="11:12" x14ac:dyDescent="0.45">
      <c r="K107" s="36">
        <v>105</v>
      </c>
      <c r="L107" s="95">
        <v>884.39999999999986</v>
      </c>
    </row>
    <row r="108" spans="11:12" x14ac:dyDescent="0.45">
      <c r="K108" s="36">
        <v>106</v>
      </c>
      <c r="L108" s="95">
        <v>954.99999999999989</v>
      </c>
    </row>
    <row r="109" spans="11:12" x14ac:dyDescent="0.45">
      <c r="K109" s="36">
        <v>107</v>
      </c>
      <c r="L109" s="95">
        <v>923.99999999999989</v>
      </c>
    </row>
    <row r="110" spans="11:12" x14ac:dyDescent="0.45">
      <c r="K110" s="36">
        <v>108</v>
      </c>
      <c r="L110" s="95">
        <v>900.39999999999986</v>
      </c>
    </row>
    <row r="111" spans="11:12" x14ac:dyDescent="0.45">
      <c r="K111" s="36">
        <v>109</v>
      </c>
      <c r="L111" s="95">
        <v>903.59999999999991</v>
      </c>
    </row>
    <row r="112" spans="11:12" x14ac:dyDescent="0.45">
      <c r="K112" s="36">
        <v>110</v>
      </c>
      <c r="L112" s="95">
        <v>915.09999999999991</v>
      </c>
    </row>
    <row r="113" spans="11:12" x14ac:dyDescent="0.45">
      <c r="K113" s="36">
        <v>111</v>
      </c>
      <c r="L113" s="95">
        <v>985.69999999999993</v>
      </c>
    </row>
    <row r="114" spans="11:12" x14ac:dyDescent="0.45">
      <c r="K114" s="36">
        <v>112</v>
      </c>
      <c r="L114" s="95">
        <v>991.49999999999989</v>
      </c>
    </row>
    <row r="115" spans="11:12" x14ac:dyDescent="0.45">
      <c r="K115" s="36">
        <v>113</v>
      </c>
      <c r="L115" s="95">
        <v>1038.3999999999999</v>
      </c>
    </row>
    <row r="116" spans="11:12" x14ac:dyDescent="0.45">
      <c r="K116" s="36">
        <v>114</v>
      </c>
      <c r="L116" s="95">
        <v>1045.8</v>
      </c>
    </row>
    <row r="117" spans="11:12" x14ac:dyDescent="0.45">
      <c r="K117" s="36">
        <v>115</v>
      </c>
      <c r="L117" s="95">
        <v>1047.2</v>
      </c>
    </row>
    <row r="118" spans="11:12" x14ac:dyDescent="0.45">
      <c r="K118" s="36">
        <v>116</v>
      </c>
      <c r="L118" s="95">
        <v>1043.3</v>
      </c>
    </row>
    <row r="119" spans="11:12" x14ac:dyDescent="0.45">
      <c r="K119" s="36">
        <v>117</v>
      </c>
      <c r="L119" s="95">
        <v>1060.0999999999999</v>
      </c>
    </row>
    <row r="120" spans="11:12" x14ac:dyDescent="0.45">
      <c r="K120" s="36">
        <v>118</v>
      </c>
      <c r="L120" s="95">
        <v>1067.8</v>
      </c>
    </row>
    <row r="121" spans="11:12" x14ac:dyDescent="0.45">
      <c r="K121" s="36">
        <v>119</v>
      </c>
      <c r="L121" s="95">
        <v>1027</v>
      </c>
    </row>
    <row r="122" spans="11:12" x14ac:dyDescent="0.45">
      <c r="K122" s="36">
        <v>120</v>
      </c>
      <c r="L122" s="95">
        <v>1070.7</v>
      </c>
    </row>
    <row r="123" spans="11:12" x14ac:dyDescent="0.45">
      <c r="K123" s="36">
        <v>121</v>
      </c>
      <c r="L123" s="95">
        <v>1071.8</v>
      </c>
    </row>
    <row r="124" spans="11:12" x14ac:dyDescent="0.45">
      <c r="K124" s="36">
        <v>122</v>
      </c>
      <c r="L124" s="95">
        <v>1110.2</v>
      </c>
    </row>
    <row r="125" spans="11:12" x14ac:dyDescent="0.45">
      <c r="K125" s="36">
        <v>123</v>
      </c>
      <c r="L125" s="95">
        <v>1077.4000000000001</v>
      </c>
    </row>
    <row r="126" spans="11:12" x14ac:dyDescent="0.45">
      <c r="K126" s="36">
        <v>124</v>
      </c>
      <c r="L126" s="95">
        <v>1103.7</v>
      </c>
    </row>
    <row r="127" spans="11:12" x14ac:dyDescent="0.45">
      <c r="K127" s="36">
        <v>125</v>
      </c>
      <c r="L127" s="95">
        <v>1125.2</v>
      </c>
    </row>
    <row r="128" spans="11:12" x14ac:dyDescent="0.45">
      <c r="K128" s="36">
        <v>126</v>
      </c>
      <c r="L128" s="95">
        <v>1116.5</v>
      </c>
    </row>
    <row r="129" spans="11:12" x14ac:dyDescent="0.45">
      <c r="K129" s="36">
        <v>127</v>
      </c>
      <c r="L129" s="95">
        <v>1093.9000000000001</v>
      </c>
    </row>
    <row r="130" spans="11:12" x14ac:dyDescent="0.45">
      <c r="K130" s="36">
        <v>128</v>
      </c>
      <c r="L130" s="95">
        <v>1098.6000000000001</v>
      </c>
    </row>
    <row r="131" spans="11:12" x14ac:dyDescent="0.45">
      <c r="K131" s="36">
        <v>129</v>
      </c>
      <c r="L131" s="95">
        <v>1120.8000000000002</v>
      </c>
    </row>
    <row r="132" spans="11:12" x14ac:dyDescent="0.45">
      <c r="K132" s="36">
        <v>130</v>
      </c>
      <c r="L132" s="95">
        <v>1072.3000000000002</v>
      </c>
    </row>
    <row r="133" spans="11:12" x14ac:dyDescent="0.45">
      <c r="K133" s="36">
        <v>131</v>
      </c>
      <c r="L133" s="95">
        <v>1138.5000000000002</v>
      </c>
    </row>
    <row r="134" spans="11:12" x14ac:dyDescent="0.45">
      <c r="K134" s="36">
        <v>132</v>
      </c>
      <c r="L134" s="95">
        <v>1192.7000000000003</v>
      </c>
    </row>
    <row r="135" spans="11:12" x14ac:dyDescent="0.45">
      <c r="K135" s="36">
        <v>133</v>
      </c>
      <c r="L135" s="95">
        <v>1208.4000000000003</v>
      </c>
    </row>
    <row r="136" spans="11:12" x14ac:dyDescent="0.45">
      <c r="K136" s="36">
        <v>134</v>
      </c>
      <c r="L136" s="95">
        <v>1166.7000000000003</v>
      </c>
    </row>
    <row r="137" spans="11:12" x14ac:dyDescent="0.45">
      <c r="K137" s="36">
        <v>135</v>
      </c>
      <c r="L137" s="95">
        <v>1154.1000000000004</v>
      </c>
    </row>
    <row r="138" spans="11:12" x14ac:dyDescent="0.45">
      <c r="K138" s="36">
        <v>136</v>
      </c>
      <c r="L138" s="95">
        <v>1129.8000000000004</v>
      </c>
    </row>
    <row r="139" spans="11:12" x14ac:dyDescent="0.45">
      <c r="K139" s="36">
        <v>137</v>
      </c>
      <c r="L139" s="95">
        <v>1111.1000000000004</v>
      </c>
    </row>
    <row r="140" spans="11:12" x14ac:dyDescent="0.45">
      <c r="K140" s="36">
        <v>138</v>
      </c>
      <c r="L140" s="95">
        <v>1174.7000000000003</v>
      </c>
    </row>
    <row r="141" spans="11:12" x14ac:dyDescent="0.45">
      <c r="K141" s="36">
        <v>139</v>
      </c>
      <c r="L141" s="95">
        <v>1218.3000000000002</v>
      </c>
    </row>
    <row r="142" spans="11:12" x14ac:dyDescent="0.45">
      <c r="K142" s="36">
        <v>140</v>
      </c>
      <c r="L142" s="95">
        <v>1245.7000000000003</v>
      </c>
    </row>
    <row r="143" spans="11:12" x14ac:dyDescent="0.45">
      <c r="K143" s="36">
        <v>141</v>
      </c>
      <c r="L143" s="95">
        <v>1262.8000000000002</v>
      </c>
    </row>
    <row r="144" spans="11:12" x14ac:dyDescent="0.45">
      <c r="K144" s="36">
        <v>142</v>
      </c>
      <c r="L144" s="95">
        <v>1242.8000000000002</v>
      </c>
    </row>
    <row r="145" spans="11:12" x14ac:dyDescent="0.45">
      <c r="K145" s="36">
        <v>143</v>
      </c>
      <c r="L145" s="95">
        <v>1197.3000000000002</v>
      </c>
    </row>
    <row r="146" spans="11:12" x14ac:dyDescent="0.45">
      <c r="K146" s="36">
        <v>144</v>
      </c>
      <c r="L146" s="95">
        <v>1171.1000000000001</v>
      </c>
    </row>
    <row r="147" spans="11:12" x14ac:dyDescent="0.45">
      <c r="K147" s="36">
        <v>145</v>
      </c>
      <c r="L147" s="95">
        <v>1175.0000000000002</v>
      </c>
    </row>
    <row r="148" spans="11:12" x14ac:dyDescent="0.45">
      <c r="K148" s="36">
        <v>146</v>
      </c>
      <c r="L148" s="95">
        <v>1172.2000000000003</v>
      </c>
    </row>
    <row r="149" spans="11:12" x14ac:dyDescent="0.45">
      <c r="K149" s="36">
        <v>147</v>
      </c>
      <c r="L149" s="95">
        <v>1141.3000000000002</v>
      </c>
    </row>
  </sheetData>
  <sortState xmlns:xlrd2="http://schemas.microsoft.com/office/spreadsheetml/2017/richdata2" ref="E2:I150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A2B3B-3E41-4302-9922-F85E1AD08E24}">
  <sheetPr codeName="Sheet11"/>
  <dimension ref="A1:Q133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127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131</v>
      </c>
      <c r="C2" s="159"/>
      <c r="E2" s="58" t="s">
        <v>66</v>
      </c>
      <c r="F2" s="55" t="s">
        <v>22</v>
      </c>
      <c r="G2" s="43">
        <v>275</v>
      </c>
      <c r="H2" s="128">
        <f>IF(B$15=0,0,G2/B$15)</f>
        <v>0.83586626139817632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-1524.6153846153845</v>
      </c>
      <c r="P2" s="114">
        <v>130</v>
      </c>
      <c r="Q2" s="98">
        <v>-198200</v>
      </c>
    </row>
    <row r="3" spans="1:17" x14ac:dyDescent="0.45">
      <c r="A3" s="51" t="s">
        <v>8</v>
      </c>
      <c r="B3" s="160">
        <v>1096</v>
      </c>
      <c r="C3" s="161"/>
      <c r="E3" s="59" t="s">
        <v>72</v>
      </c>
      <c r="F3" s="56" t="s">
        <v>27</v>
      </c>
      <c r="G3" s="44">
        <v>191</v>
      </c>
      <c r="H3" s="129">
        <f>IF(B$15=0,0,G3/B$15)</f>
        <v>0.58054711246200608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1446.875</v>
      </c>
      <c r="P3" s="115">
        <v>128</v>
      </c>
      <c r="Q3" s="99">
        <v>185200</v>
      </c>
    </row>
    <row r="4" spans="1:17" x14ac:dyDescent="0.45">
      <c r="A4" s="51" t="s">
        <v>6</v>
      </c>
      <c r="B4" s="162">
        <v>33.499999999999801</v>
      </c>
      <c r="C4" s="163"/>
      <c r="E4" s="59" t="s">
        <v>166</v>
      </c>
      <c r="F4" s="56" t="s">
        <v>167</v>
      </c>
      <c r="G4" s="44">
        <v>130</v>
      </c>
      <c r="H4" s="129">
        <f>IF(B$15=0,0,G4/B$15)</f>
        <v>0.39513677811550152</v>
      </c>
      <c r="I4" s="90">
        <v>5</v>
      </c>
      <c r="K4" s="36">
        <v>2</v>
      </c>
      <c r="L4" s="95">
        <v>-34.299999999999997</v>
      </c>
      <c r="N4" s="111" t="s">
        <v>132</v>
      </c>
      <c r="O4" s="118">
        <f t="shared" si="0"/>
        <v>-262.39316239316241</v>
      </c>
      <c r="P4" s="115">
        <v>117</v>
      </c>
      <c r="Q4" s="99">
        <v>-30700</v>
      </c>
    </row>
    <row r="5" spans="1:17" x14ac:dyDescent="0.45">
      <c r="A5" s="51" t="s">
        <v>7</v>
      </c>
      <c r="B5" s="164">
        <f>IF(B$2=0,0,B$4/B$2)</f>
        <v>0.25572519083969314</v>
      </c>
      <c r="C5" s="165"/>
      <c r="E5" s="59" t="s">
        <v>64</v>
      </c>
      <c r="F5" s="56" t="s">
        <v>20</v>
      </c>
      <c r="G5" s="44">
        <v>124</v>
      </c>
      <c r="H5" s="129">
        <f>IF(B$15=0,0,G5/B$15)</f>
        <v>0.37689969604863222</v>
      </c>
      <c r="I5" s="90">
        <v>10</v>
      </c>
      <c r="K5" s="36">
        <v>3</v>
      </c>
      <c r="L5" s="95">
        <v>-58.599999999999994</v>
      </c>
      <c r="N5" s="111" t="s">
        <v>133</v>
      </c>
      <c r="O5" s="118">
        <f t="shared" si="0"/>
        <v>327.92792792792795</v>
      </c>
      <c r="P5" s="115">
        <v>111</v>
      </c>
      <c r="Q5" s="99">
        <v>36400</v>
      </c>
    </row>
    <row r="6" spans="1:17" x14ac:dyDescent="0.45">
      <c r="A6" s="51" t="s">
        <v>1</v>
      </c>
      <c r="B6" s="154">
        <f>IF(B$2=0,0,(B$7*1+B$8*2+B$9*3)/B$2)</f>
        <v>1.9541984732824427</v>
      </c>
      <c r="C6" s="155"/>
      <c r="E6" s="59" t="s">
        <v>68</v>
      </c>
      <c r="F6" s="56" t="s">
        <v>12</v>
      </c>
      <c r="G6" s="44">
        <v>89</v>
      </c>
      <c r="H6" s="129">
        <f>IF(B$15=0,0,G6/B$15)</f>
        <v>0.27051671732522797</v>
      </c>
      <c r="I6" s="90">
        <v>8</v>
      </c>
      <c r="K6" s="36">
        <v>4</v>
      </c>
      <c r="L6" s="95">
        <v>-38.099999999999994</v>
      </c>
      <c r="N6" s="111" t="s">
        <v>134</v>
      </c>
      <c r="O6" s="118">
        <f t="shared" si="0"/>
        <v>-960.78431372549016</v>
      </c>
      <c r="P6" s="115">
        <v>102</v>
      </c>
      <c r="Q6" s="99">
        <v>-98000</v>
      </c>
    </row>
    <row r="7" spans="1:17" x14ac:dyDescent="0.45">
      <c r="A7" s="51" t="s">
        <v>2</v>
      </c>
      <c r="B7" s="44">
        <v>45</v>
      </c>
      <c r="C7" s="37">
        <f t="shared" ref="C7:C10" si="1">IF(B$2=0,0,B7/B$2)</f>
        <v>0.34351145038167941</v>
      </c>
      <c r="E7" s="59" t="s">
        <v>67</v>
      </c>
      <c r="F7" s="56" t="s">
        <v>23</v>
      </c>
      <c r="G7" s="44">
        <v>70</v>
      </c>
      <c r="H7" s="129">
        <f>IF(B$15=0,0,G7/B$15)</f>
        <v>0.21276595744680851</v>
      </c>
      <c r="I7" s="90">
        <v>11</v>
      </c>
      <c r="K7" s="36">
        <v>5</v>
      </c>
      <c r="L7" s="95">
        <v>-11.299999999999994</v>
      </c>
      <c r="N7" s="112" t="s">
        <v>135</v>
      </c>
      <c r="O7" s="119">
        <f t="shared" si="0"/>
        <v>1518.3908045977012</v>
      </c>
      <c r="P7" s="116">
        <v>87</v>
      </c>
      <c r="Q7" s="100">
        <v>132100</v>
      </c>
    </row>
    <row r="8" spans="1:17" x14ac:dyDescent="0.45">
      <c r="A8" s="51" t="s">
        <v>3</v>
      </c>
      <c r="B8" s="44">
        <v>47</v>
      </c>
      <c r="C8" s="37">
        <f t="shared" si="1"/>
        <v>0.35877862595419846</v>
      </c>
      <c r="E8" s="59" t="s">
        <v>69</v>
      </c>
      <c r="F8" s="56" t="s">
        <v>24</v>
      </c>
      <c r="G8" s="44">
        <v>40</v>
      </c>
      <c r="H8" s="129">
        <f>IF(B$15=0,0,G8/B$15)</f>
        <v>0.12158054711246201</v>
      </c>
      <c r="I8" s="90">
        <v>9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5">
      <c r="A9" s="52" t="s">
        <v>4</v>
      </c>
      <c r="B9" s="45">
        <v>39</v>
      </c>
      <c r="C9" s="38">
        <f t="shared" si="1"/>
        <v>0.29770992366412213</v>
      </c>
      <c r="E9" s="59" t="s">
        <v>89</v>
      </c>
      <c r="F9" s="56" t="s">
        <v>44</v>
      </c>
      <c r="G9" s="44">
        <v>40</v>
      </c>
      <c r="H9" s="129">
        <f>IF(B$15=0,0,G9/B$15)</f>
        <v>0.12158054711246201</v>
      </c>
      <c r="I9" s="90">
        <v>7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18</v>
      </c>
      <c r="C10" s="40">
        <f t="shared" si="1"/>
        <v>0.13740458015267176</v>
      </c>
      <c r="E10" s="59" t="s">
        <v>71</v>
      </c>
      <c r="F10" s="56" t="s">
        <v>26</v>
      </c>
      <c r="G10" s="44">
        <v>31</v>
      </c>
      <c r="H10" s="129">
        <f>IF(B$15=0,0,G10/B$15)</f>
        <v>9.4224924012158054E-2</v>
      </c>
      <c r="I10" s="90">
        <v>7</v>
      </c>
      <c r="K10" s="36">
        <v>8</v>
      </c>
      <c r="L10" s="95">
        <v>-56.79999999999999</v>
      </c>
      <c r="N10" s="110" t="s">
        <v>157</v>
      </c>
      <c r="O10" s="120">
        <f>IF(P10=0,0,Q10/P10)</f>
        <v>2.1800000000000006</v>
      </c>
      <c r="P10" s="114">
        <v>35</v>
      </c>
      <c r="Q10" s="102">
        <v>76.300000000000026</v>
      </c>
    </row>
    <row r="11" spans="1:17" x14ac:dyDescent="0.45">
      <c r="A11" s="54" t="s">
        <v>121</v>
      </c>
      <c r="B11" s="47">
        <v>250</v>
      </c>
      <c r="C11" s="42">
        <f>IF(B$3=0,0,B11/B$3)</f>
        <v>0.2281021897810219</v>
      </c>
      <c r="E11" s="59" t="s">
        <v>70</v>
      </c>
      <c r="F11" s="56" t="s">
        <v>25</v>
      </c>
      <c r="G11" s="44">
        <v>29</v>
      </c>
      <c r="H11" s="129">
        <f>IF(B$15=0,0,G11/B$15)</f>
        <v>8.8145896656534953E-2</v>
      </c>
      <c r="I11" s="90">
        <v>9</v>
      </c>
      <c r="K11" s="36">
        <v>9</v>
      </c>
      <c r="L11" s="95">
        <v>-83.699999999999989</v>
      </c>
      <c r="N11" s="111" t="s">
        <v>158</v>
      </c>
      <c r="O11" s="121">
        <f>IF(P11=0,0,Q11/P11)</f>
        <v>4.0386363636363649</v>
      </c>
      <c r="P11" s="115">
        <v>44</v>
      </c>
      <c r="Q11" s="103">
        <v>177.70000000000005</v>
      </c>
    </row>
    <row r="12" spans="1:17" x14ac:dyDescent="0.45">
      <c r="A12" s="51" t="s">
        <v>118</v>
      </c>
      <c r="B12" s="44">
        <v>338</v>
      </c>
      <c r="C12" s="37">
        <f>IF(B$3=0,0,B12/B$3)</f>
        <v>0.30839416058394159</v>
      </c>
      <c r="E12" s="59" t="s">
        <v>65</v>
      </c>
      <c r="F12" s="56" t="s">
        <v>21</v>
      </c>
      <c r="G12" s="44">
        <v>28</v>
      </c>
      <c r="H12" s="129">
        <f>IF(B$15=0,0,G12/B$15)</f>
        <v>8.5106382978723402E-2</v>
      </c>
      <c r="I12" s="90">
        <v>10</v>
      </c>
      <c r="K12" s="36">
        <v>10</v>
      </c>
      <c r="L12" s="95">
        <v>-78.399999999999991</v>
      </c>
      <c r="N12" s="112" t="s">
        <v>159</v>
      </c>
      <c r="O12" s="122">
        <f>IF(P12=0,0,Q12/P12)</f>
        <v>-4.2403846153846159</v>
      </c>
      <c r="P12" s="116">
        <v>52</v>
      </c>
      <c r="Q12" s="104">
        <v>-220.50000000000003</v>
      </c>
    </row>
    <row r="13" spans="1:17" x14ac:dyDescent="0.45">
      <c r="A13" s="50" t="s">
        <v>123</v>
      </c>
      <c r="B13" s="43">
        <f>B19</f>
        <v>123</v>
      </c>
      <c r="C13" s="35">
        <f>IF(B$11=0,0,B13/B$11)</f>
        <v>0.49199999999999999</v>
      </c>
      <c r="E13" s="59" t="s">
        <v>86</v>
      </c>
      <c r="F13" s="56" t="s">
        <v>41</v>
      </c>
      <c r="G13" s="44">
        <v>21</v>
      </c>
      <c r="H13" s="129">
        <f>IF(B$15=0,0,G13/B$15)</f>
        <v>6.3829787234042548E-2</v>
      </c>
      <c r="I13" s="90">
        <v>4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129</v>
      </c>
      <c r="C14" s="35">
        <f>IF(B$12=0,0,B14/B$12)</f>
        <v>0.38165680473372782</v>
      </c>
      <c r="E14" s="59" t="s">
        <v>83</v>
      </c>
      <c r="F14" s="56" t="s">
        <v>38</v>
      </c>
      <c r="G14" s="44">
        <v>19</v>
      </c>
      <c r="H14" s="129">
        <f>IF(B$15=0,0,G14/B$15)</f>
        <v>5.7750759878419454E-2</v>
      </c>
      <c r="I14" s="90">
        <v>5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329</v>
      </c>
      <c r="C15" s="35">
        <f>IF(B$3=0,0,B15/B$3)</f>
        <v>0.30018248175182483</v>
      </c>
      <c r="E15" s="59" t="s">
        <v>78</v>
      </c>
      <c r="F15" s="56" t="s">
        <v>33</v>
      </c>
      <c r="G15" s="44">
        <v>9</v>
      </c>
      <c r="H15" s="129">
        <f>IF(B$15=0,0,G15/B$15)</f>
        <v>2.7355623100303952E-2</v>
      </c>
      <c r="I15" s="90">
        <v>4</v>
      </c>
      <c r="K15" s="36">
        <v>13</v>
      </c>
      <c r="L15" s="95">
        <v>-86.8</v>
      </c>
      <c r="N15" s="110" t="s">
        <v>228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5">
      <c r="A16" s="51" t="s">
        <v>13</v>
      </c>
      <c r="B16" s="44">
        <v>206</v>
      </c>
      <c r="C16" s="37">
        <f>IF(B$3=0,0,B16/B$3)</f>
        <v>0.18795620437956204</v>
      </c>
      <c r="E16" s="59" t="s">
        <v>91</v>
      </c>
      <c r="F16" s="56" t="s">
        <v>46</v>
      </c>
      <c r="G16" s="44">
        <v>9</v>
      </c>
      <c r="H16" s="129">
        <f>IF(B$15=0,0,G16/B$15)</f>
        <v>2.7355623100303952E-2</v>
      </c>
      <c r="I16" s="90">
        <v>1</v>
      </c>
      <c r="K16" s="36">
        <v>14</v>
      </c>
      <c r="L16" s="95">
        <v>-138.4</v>
      </c>
      <c r="N16" s="111" t="s">
        <v>197</v>
      </c>
      <c r="O16" s="121">
        <f>IF(P16=0,0,Q16/P16)</f>
        <v>16.62857142857143</v>
      </c>
      <c r="P16" s="115">
        <v>14</v>
      </c>
      <c r="Q16" s="103">
        <v>232.8</v>
      </c>
    </row>
    <row r="17" spans="1:17" x14ac:dyDescent="0.45">
      <c r="A17" s="51" t="s">
        <v>12</v>
      </c>
      <c r="B17" s="44">
        <v>136</v>
      </c>
      <c r="C17" s="37">
        <f>IF(B$15=0,0,B17/B$15)</f>
        <v>0.41337386018237082</v>
      </c>
      <c r="E17" s="59" t="s">
        <v>81</v>
      </c>
      <c r="F17" s="56" t="s">
        <v>36</v>
      </c>
      <c r="G17" s="44">
        <v>8</v>
      </c>
      <c r="H17" s="129">
        <f>IF(B$15=0,0,G17/B$15)</f>
        <v>2.4316109422492401E-2</v>
      </c>
      <c r="I17" s="90">
        <v>2</v>
      </c>
      <c r="K17" s="36">
        <v>15</v>
      </c>
      <c r="L17" s="95">
        <v>-144.30000000000001</v>
      </c>
      <c r="N17" s="111" t="s">
        <v>172</v>
      </c>
      <c r="O17" s="121">
        <f>IF(P17=0,0,Q17/P17)</f>
        <v>13.917777777777772</v>
      </c>
      <c r="P17" s="115">
        <v>45</v>
      </c>
      <c r="Q17" s="103">
        <v>626.29999999999973</v>
      </c>
    </row>
    <row r="18" spans="1:17" x14ac:dyDescent="0.45">
      <c r="A18" s="51" t="s">
        <v>11</v>
      </c>
      <c r="B18" s="44">
        <v>193</v>
      </c>
      <c r="C18" s="37">
        <f>IF(B$15=0,0,B18/B$15)</f>
        <v>0.58662613981762923</v>
      </c>
      <c r="E18" s="59" t="s">
        <v>79</v>
      </c>
      <c r="F18" s="56" t="s">
        <v>34</v>
      </c>
      <c r="G18" s="44">
        <v>6</v>
      </c>
      <c r="H18" s="129">
        <f>IF(B$15=0,0,G18/B$15)</f>
        <v>1.82370820668693E-2</v>
      </c>
      <c r="I18" s="90">
        <v>4</v>
      </c>
      <c r="K18" s="36">
        <v>16</v>
      </c>
      <c r="L18" s="95">
        <v>-187.3</v>
      </c>
      <c r="N18" s="111" t="s">
        <v>196</v>
      </c>
      <c r="O18" s="121">
        <f>IF(P18=0,0,Q18/P18)</f>
        <v>13.5</v>
      </c>
      <c r="P18" s="115">
        <v>5</v>
      </c>
      <c r="Q18" s="103">
        <v>67.5</v>
      </c>
    </row>
    <row r="19" spans="1:17" x14ac:dyDescent="0.45">
      <c r="A19" s="51" t="s">
        <v>195</v>
      </c>
      <c r="B19" s="44">
        <v>123</v>
      </c>
      <c r="C19" s="37">
        <f>IF(B$15=0,0,B19/B$15)</f>
        <v>0.37386018237082069</v>
      </c>
      <c r="E19" s="59" t="s">
        <v>162</v>
      </c>
      <c r="F19" s="56" t="s">
        <v>163</v>
      </c>
      <c r="G19" s="44">
        <v>4</v>
      </c>
      <c r="H19" s="129">
        <f>IF(B$15=0,0,G19/B$15)</f>
        <v>1.2158054711246201E-2</v>
      </c>
      <c r="I19" s="90">
        <v>7</v>
      </c>
      <c r="K19" s="36">
        <v>17</v>
      </c>
      <c r="L19" s="95">
        <v>-179.70000000000002</v>
      </c>
      <c r="N19" s="111" t="s">
        <v>161</v>
      </c>
      <c r="O19" s="121">
        <f>IF(P19=0,0,Q19/P19)</f>
        <v>4.1851851851851842</v>
      </c>
      <c r="P19" s="115">
        <v>27</v>
      </c>
      <c r="Q19" s="103">
        <v>112.99999999999999</v>
      </c>
    </row>
    <row r="20" spans="1:17" x14ac:dyDescent="0.45">
      <c r="A20" s="51" t="s">
        <v>193</v>
      </c>
      <c r="B20" s="44">
        <v>129</v>
      </c>
      <c r="C20" s="37">
        <f>IF(B$15=0,0,B20/B$15)</f>
        <v>0.39209726443769</v>
      </c>
      <c r="E20" s="59" t="s">
        <v>92</v>
      </c>
      <c r="F20" s="56" t="s">
        <v>47</v>
      </c>
      <c r="G20" s="44">
        <v>3</v>
      </c>
      <c r="H20" s="129">
        <f>IF(B$15=0,0,G20/B$15)</f>
        <v>9.11854103343465E-3</v>
      </c>
      <c r="I20" s="90">
        <v>3</v>
      </c>
      <c r="K20" s="36">
        <v>18</v>
      </c>
      <c r="L20" s="95">
        <v>-112.90000000000002</v>
      </c>
      <c r="N20" s="111" t="s">
        <v>170</v>
      </c>
      <c r="O20" s="121">
        <f>IF(P20=0,0,Q20/P20)</f>
        <v>3.5842105263157951</v>
      </c>
      <c r="P20" s="115">
        <v>38</v>
      </c>
      <c r="Q20" s="103">
        <v>136.20000000000022</v>
      </c>
    </row>
    <row r="21" spans="1:17" x14ac:dyDescent="0.45">
      <c r="A21" s="51" t="s">
        <v>194</v>
      </c>
      <c r="B21" s="44">
        <v>77</v>
      </c>
      <c r="C21" s="37">
        <f>IF(B$15=0,0,B21/B$15)</f>
        <v>0.23404255319148937</v>
      </c>
      <c r="E21" s="59" t="s">
        <v>74</v>
      </c>
      <c r="F21" s="56" t="s">
        <v>29</v>
      </c>
      <c r="G21" s="44">
        <v>2</v>
      </c>
      <c r="H21" s="129">
        <f>IF(B$15=0,0,G21/B$15)</f>
        <v>6.0790273556231003E-3</v>
      </c>
      <c r="I21" s="90">
        <v>3</v>
      </c>
      <c r="K21" s="36">
        <v>19</v>
      </c>
      <c r="L21" s="95">
        <v>-162.40000000000003</v>
      </c>
      <c r="N21" s="111" t="s">
        <v>171</v>
      </c>
      <c r="O21" s="121">
        <f>IF(P21=0,0,Q21/P21)</f>
        <v>-0.33499999999999791</v>
      </c>
      <c r="P21" s="115">
        <v>40</v>
      </c>
      <c r="Q21" s="103">
        <v>-13.399999999999917</v>
      </c>
    </row>
    <row r="22" spans="1:17" x14ac:dyDescent="0.45">
      <c r="A22" s="51" t="s">
        <v>5</v>
      </c>
      <c r="B22" s="48">
        <f>IF(B$15=0,0,C22/B$15)</f>
        <v>8412.7659574468089</v>
      </c>
      <c r="C22" s="39">
        <v>2767800</v>
      </c>
      <c r="E22" s="59" t="s">
        <v>75</v>
      </c>
      <c r="F22" s="56" t="s">
        <v>30</v>
      </c>
      <c r="G22" s="44">
        <v>2</v>
      </c>
      <c r="H22" s="129">
        <f>IF(B$15=0,0,G22/B$15)</f>
        <v>6.0790273556231003E-3</v>
      </c>
      <c r="I22" s="90">
        <v>6</v>
      </c>
      <c r="K22" s="36">
        <v>20</v>
      </c>
      <c r="L22" s="95">
        <v>-96.000000000000028</v>
      </c>
      <c r="N22" s="111" t="s">
        <v>126</v>
      </c>
      <c r="O22" s="121">
        <f>IF(P22=0,0,Q22/P22)</f>
        <v>-13.324175824175827</v>
      </c>
      <c r="P22" s="115">
        <v>91</v>
      </c>
      <c r="Q22" s="103">
        <v>-1212.5000000000002</v>
      </c>
    </row>
    <row r="23" spans="1:17" x14ac:dyDescent="0.45">
      <c r="A23" s="52" t="s">
        <v>177</v>
      </c>
      <c r="B23" s="136">
        <f>IF($B$15-B$14=0,0,C23/($B$15-B$14))</f>
        <v>9124.5</v>
      </c>
      <c r="C23" s="137">
        <v>1824900</v>
      </c>
      <c r="E23" s="59" t="s">
        <v>73</v>
      </c>
      <c r="F23" s="56" t="s">
        <v>28</v>
      </c>
      <c r="G23" s="44">
        <v>1</v>
      </c>
      <c r="H23" s="129">
        <f>IF(B$15=0,0,G23/B$15)</f>
        <v>3.0395136778115501E-3</v>
      </c>
      <c r="I23" s="90">
        <v>4</v>
      </c>
      <c r="K23" s="36">
        <v>21</v>
      </c>
      <c r="L23" s="95">
        <v>-67.200000000000031</v>
      </c>
    </row>
    <row r="24" spans="1:17" x14ac:dyDescent="0.45">
      <c r="A24" s="52" t="s">
        <v>178</v>
      </c>
      <c r="B24" s="136">
        <f>IF(B$14=0,0,C24/B$14)</f>
        <v>7309.3023255813951</v>
      </c>
      <c r="C24" s="137">
        <v>942900</v>
      </c>
      <c r="E24" s="59" t="s">
        <v>77</v>
      </c>
      <c r="F24" s="56" t="s">
        <v>32</v>
      </c>
      <c r="G24" s="44">
        <v>1</v>
      </c>
      <c r="H24" s="129">
        <f>IF(B$15=0,0,G24/B$15)</f>
        <v>3.0395136778115501E-3</v>
      </c>
      <c r="I24" s="90">
        <v>3</v>
      </c>
      <c r="K24" s="36">
        <v>22</v>
      </c>
      <c r="L24" s="95">
        <v>-38.400000000000034</v>
      </c>
    </row>
    <row r="25" spans="1:17" x14ac:dyDescent="0.45">
      <c r="A25" s="52" t="s">
        <v>176</v>
      </c>
      <c r="B25" s="136">
        <f>IF(B$16=0,0,C25/B$16)</f>
        <v>-7905.825242718447</v>
      </c>
      <c r="C25" s="137">
        <v>-1628600</v>
      </c>
      <c r="E25" s="59" t="s">
        <v>84</v>
      </c>
      <c r="F25" s="56" t="s">
        <v>39</v>
      </c>
      <c r="G25" s="44">
        <v>1</v>
      </c>
      <c r="H25" s="129">
        <f>IF(B$15=0,0,G25/B$15)</f>
        <v>3.0395136778115501E-3</v>
      </c>
      <c r="I25" s="90">
        <v>5</v>
      </c>
      <c r="K25" s="36">
        <v>23</v>
      </c>
      <c r="L25" s="95">
        <v>-37.600000000000037</v>
      </c>
    </row>
    <row r="26" spans="1:17" x14ac:dyDescent="0.45">
      <c r="A26" s="51" t="s">
        <v>164</v>
      </c>
      <c r="B26" s="44">
        <v>7</v>
      </c>
      <c r="C26" s="131">
        <v>2</v>
      </c>
      <c r="E26" s="59" t="s">
        <v>90</v>
      </c>
      <c r="F26" s="56" t="s">
        <v>45</v>
      </c>
      <c r="G26" s="44">
        <v>1</v>
      </c>
      <c r="H26" s="129">
        <f>IF(B$15=0,0,G26/B$15)</f>
        <v>3.0395136778115501E-3</v>
      </c>
      <c r="I26" s="90">
        <v>2</v>
      </c>
      <c r="K26" s="36">
        <v>24</v>
      </c>
      <c r="L26" s="95">
        <v>-37.600000000000037</v>
      </c>
    </row>
    <row r="27" spans="1:17" x14ac:dyDescent="0.45">
      <c r="A27" s="51" t="s">
        <v>165</v>
      </c>
      <c r="B27" s="44">
        <v>30</v>
      </c>
      <c r="C27" s="131">
        <v>5</v>
      </c>
      <c r="E27" s="59" t="s">
        <v>95</v>
      </c>
      <c r="F27" s="56" t="s">
        <v>50</v>
      </c>
      <c r="G27" s="44">
        <v>1</v>
      </c>
      <c r="H27" s="129">
        <f>IF(B$15=0,0,G27/B$15)</f>
        <v>3.0395136778115501E-3</v>
      </c>
      <c r="I27" s="90">
        <v>3</v>
      </c>
      <c r="K27" s="36">
        <v>25</v>
      </c>
      <c r="L27" s="95">
        <v>-10.700000000000038</v>
      </c>
    </row>
    <row r="28" spans="1:17" x14ac:dyDescent="0.45">
      <c r="A28" s="86" t="s">
        <v>138</v>
      </c>
      <c r="B28" s="152">
        <v>8</v>
      </c>
      <c r="C28" s="153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-2.6000000000000387</v>
      </c>
    </row>
    <row r="29" spans="1:17" x14ac:dyDescent="0.45">
      <c r="A29" s="54" t="s">
        <v>192</v>
      </c>
      <c r="B29" s="150">
        <v>91800</v>
      </c>
      <c r="C29" s="151"/>
      <c r="E29" s="59" t="s">
        <v>80</v>
      </c>
      <c r="F29" s="56" t="s">
        <v>35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-34.100000000000037</v>
      </c>
    </row>
    <row r="30" spans="1:17" x14ac:dyDescent="0.45">
      <c r="A30" s="53" t="s">
        <v>139</v>
      </c>
      <c r="B30" s="61">
        <v>4</v>
      </c>
      <c r="C30" s="40">
        <f>IF(B$3=0,0,B30/B$3)</f>
        <v>3.6496350364963502E-3</v>
      </c>
      <c r="E30" s="59" t="s">
        <v>82</v>
      </c>
      <c r="F30" s="56" t="s">
        <v>37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-16.100000000000037</v>
      </c>
    </row>
    <row r="31" spans="1:17" x14ac:dyDescent="0.45">
      <c r="E31" s="59" t="s">
        <v>85</v>
      </c>
      <c r="F31" s="56" t="s">
        <v>40</v>
      </c>
      <c r="G31" s="44">
        <v>0</v>
      </c>
      <c r="H31" s="129">
        <f>IF(B$15=0,0,G31/B$15)</f>
        <v>0</v>
      </c>
      <c r="I31" s="90">
        <v>6</v>
      </c>
      <c r="K31" s="36">
        <v>29</v>
      </c>
      <c r="L31" s="95">
        <v>40.799999999999962</v>
      </c>
    </row>
    <row r="32" spans="1:17" x14ac:dyDescent="0.45">
      <c r="A32" s="86" t="s">
        <v>183</v>
      </c>
      <c r="B32" s="144">
        <v>23</v>
      </c>
      <c r="C32" s="141">
        <f>IF(B$15=0,0,B32/B$15)</f>
        <v>6.9908814589665649E-2</v>
      </c>
      <c r="E32" s="59" t="s">
        <v>87</v>
      </c>
      <c r="F32" s="56" t="s">
        <v>42</v>
      </c>
      <c r="G32" s="44">
        <v>0</v>
      </c>
      <c r="H32" s="129">
        <f>IF(B$15=0,0,G32/B$15)</f>
        <v>0</v>
      </c>
      <c r="I32" s="90">
        <v>4</v>
      </c>
      <c r="K32" s="36">
        <v>30</v>
      </c>
      <c r="L32" s="95">
        <v>63.499999999999957</v>
      </c>
    </row>
    <row r="33" spans="1:12" x14ac:dyDescent="0.45">
      <c r="A33" s="51" t="s">
        <v>179</v>
      </c>
      <c r="B33" s="44">
        <v>51</v>
      </c>
      <c r="C33" s="37">
        <f t="shared" ref="C33:C44" si="2">IF(B$15=0,0,B33/B$15)</f>
        <v>0.15501519756838905</v>
      </c>
      <c r="E33" s="59" t="s">
        <v>88</v>
      </c>
      <c r="F33" s="56" t="s">
        <v>43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94.299999999999955</v>
      </c>
    </row>
    <row r="34" spans="1:12" x14ac:dyDescent="0.45">
      <c r="A34" s="51" t="s">
        <v>180</v>
      </c>
      <c r="B34" s="145">
        <v>69</v>
      </c>
      <c r="C34" s="37">
        <f>IF(B$15=0,0,B34/B$15)</f>
        <v>0.20972644376899696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144.79999999999995</v>
      </c>
    </row>
    <row r="35" spans="1:12" x14ac:dyDescent="0.45">
      <c r="A35" s="51" t="s">
        <v>181</v>
      </c>
      <c r="B35" s="145">
        <v>70</v>
      </c>
      <c r="C35" s="37">
        <f t="shared" si="2"/>
        <v>0.21276595744680851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153.39999999999995</v>
      </c>
    </row>
    <row r="36" spans="1:12" x14ac:dyDescent="0.45">
      <c r="A36" s="51" t="s">
        <v>182</v>
      </c>
      <c r="B36" s="145">
        <v>49</v>
      </c>
      <c r="C36" s="37">
        <f t="shared" si="2"/>
        <v>0.14893617021276595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178.09999999999994</v>
      </c>
    </row>
    <row r="37" spans="1:12" x14ac:dyDescent="0.45">
      <c r="A37" s="51" t="s">
        <v>184</v>
      </c>
      <c r="B37" s="145">
        <v>37</v>
      </c>
      <c r="C37" s="37">
        <f t="shared" si="2"/>
        <v>0.11246200607902736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171.89999999999995</v>
      </c>
    </row>
    <row r="38" spans="1:12" x14ac:dyDescent="0.45">
      <c r="A38" s="51" t="s">
        <v>185</v>
      </c>
      <c r="B38" s="145">
        <v>10</v>
      </c>
      <c r="C38" s="37">
        <f t="shared" si="2"/>
        <v>3.0395136778115502E-2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164.59999999999994</v>
      </c>
    </row>
    <row r="39" spans="1:12" x14ac:dyDescent="0.45">
      <c r="A39" s="51" t="s">
        <v>186</v>
      </c>
      <c r="B39" s="145">
        <v>8</v>
      </c>
      <c r="C39" s="37">
        <f t="shared" si="2"/>
        <v>2.4316109422492401E-2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156.59999999999994</v>
      </c>
    </row>
    <row r="40" spans="1:12" x14ac:dyDescent="0.45">
      <c r="A40" s="51" t="s">
        <v>187</v>
      </c>
      <c r="B40" s="145">
        <v>5</v>
      </c>
      <c r="C40" s="37">
        <f t="shared" si="2"/>
        <v>1.5197568389057751E-2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110.89999999999993</v>
      </c>
    </row>
    <row r="41" spans="1:12" x14ac:dyDescent="0.45">
      <c r="A41" s="51" t="s">
        <v>188</v>
      </c>
      <c r="B41" s="145">
        <v>1</v>
      </c>
      <c r="C41" s="37">
        <f t="shared" si="2"/>
        <v>3.0395136778115501E-3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158.79999999999993</v>
      </c>
    </row>
    <row r="42" spans="1:12" x14ac:dyDescent="0.45">
      <c r="A42" s="51" t="s">
        <v>189</v>
      </c>
      <c r="B42" s="145">
        <v>2</v>
      </c>
      <c r="C42" s="37">
        <f t="shared" si="2"/>
        <v>6.0790273556231003E-3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109.59999999999992</v>
      </c>
    </row>
    <row r="43" spans="1:12" x14ac:dyDescent="0.45">
      <c r="A43" s="51" t="s">
        <v>190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131.59999999999991</v>
      </c>
    </row>
    <row r="44" spans="1:12" x14ac:dyDescent="0.45">
      <c r="A44" s="53" t="s">
        <v>191</v>
      </c>
      <c r="B44" s="140">
        <v>4</v>
      </c>
      <c r="C44" s="40">
        <f t="shared" si="2"/>
        <v>1.2158054711246201E-2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183.6999999999999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211.89999999999989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232.7999999999999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214.39999999999989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215.39999999999989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259.19999999999987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272.09999999999985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222.79999999999984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248.89999999999984</v>
      </c>
    </row>
    <row r="53" spans="5:12" x14ac:dyDescent="0.45">
      <c r="K53" s="36">
        <v>51</v>
      </c>
      <c r="L53" s="95">
        <v>269.99999999999983</v>
      </c>
    </row>
    <row r="54" spans="5:12" x14ac:dyDescent="0.45">
      <c r="K54" s="36">
        <v>52</v>
      </c>
      <c r="L54" s="95">
        <v>298.09999999999985</v>
      </c>
    </row>
    <row r="55" spans="5:12" x14ac:dyDescent="0.45">
      <c r="K55" s="36">
        <v>53</v>
      </c>
      <c r="L55" s="95">
        <v>324.29999999999984</v>
      </c>
    </row>
    <row r="56" spans="5:12" x14ac:dyDescent="0.45">
      <c r="K56" s="36">
        <v>54</v>
      </c>
      <c r="L56" s="95">
        <v>346.59999999999985</v>
      </c>
    </row>
    <row r="57" spans="5:12" x14ac:dyDescent="0.45">
      <c r="K57" s="36">
        <v>55</v>
      </c>
      <c r="L57" s="95">
        <v>295.09999999999985</v>
      </c>
    </row>
    <row r="58" spans="5:12" x14ac:dyDescent="0.45">
      <c r="K58" s="36">
        <v>56</v>
      </c>
      <c r="L58" s="95">
        <v>319.89999999999986</v>
      </c>
    </row>
    <row r="59" spans="5:12" x14ac:dyDescent="0.45">
      <c r="K59" s="36">
        <v>57</v>
      </c>
      <c r="L59" s="95">
        <v>291.09999999999985</v>
      </c>
    </row>
    <row r="60" spans="5:12" x14ac:dyDescent="0.45">
      <c r="K60" s="36">
        <v>58</v>
      </c>
      <c r="L60" s="95">
        <v>274.39999999999986</v>
      </c>
    </row>
    <row r="61" spans="5:12" x14ac:dyDescent="0.45">
      <c r="K61" s="36">
        <v>59</v>
      </c>
      <c r="L61" s="95">
        <v>261.39999999999986</v>
      </c>
    </row>
    <row r="62" spans="5:12" x14ac:dyDescent="0.45">
      <c r="K62" s="36">
        <v>60</v>
      </c>
      <c r="L62" s="95">
        <v>208.69999999999987</v>
      </c>
    </row>
    <row r="63" spans="5:12" x14ac:dyDescent="0.45">
      <c r="K63" s="36">
        <v>61</v>
      </c>
      <c r="L63" s="95">
        <v>245.89999999999986</v>
      </c>
    </row>
    <row r="64" spans="5:12" x14ac:dyDescent="0.45">
      <c r="K64" s="36">
        <v>62</v>
      </c>
      <c r="L64" s="95">
        <v>193.09999999999985</v>
      </c>
    </row>
    <row r="65" spans="11:12" x14ac:dyDescent="0.45">
      <c r="K65" s="36">
        <v>63</v>
      </c>
      <c r="L65" s="95">
        <v>248.19999999999985</v>
      </c>
    </row>
    <row r="66" spans="11:12" x14ac:dyDescent="0.45">
      <c r="K66" s="36">
        <v>64</v>
      </c>
      <c r="L66" s="95">
        <v>238.99999999999986</v>
      </c>
    </row>
    <row r="67" spans="11:12" x14ac:dyDescent="0.45">
      <c r="K67" s="36">
        <v>65</v>
      </c>
      <c r="L67" s="95">
        <v>274.49999999999989</v>
      </c>
    </row>
    <row r="68" spans="11:12" x14ac:dyDescent="0.45">
      <c r="K68" s="36">
        <v>66</v>
      </c>
      <c r="L68" s="95">
        <v>287.09999999999991</v>
      </c>
    </row>
    <row r="69" spans="11:12" x14ac:dyDescent="0.45">
      <c r="K69" s="36">
        <v>67</v>
      </c>
      <c r="L69" s="95">
        <v>315.7999999999999</v>
      </c>
    </row>
    <row r="70" spans="11:12" x14ac:dyDescent="0.45">
      <c r="K70" s="36">
        <v>68</v>
      </c>
      <c r="L70" s="95">
        <v>350.2999999999999</v>
      </c>
    </row>
    <row r="71" spans="11:12" x14ac:dyDescent="0.45">
      <c r="K71" s="36">
        <v>69</v>
      </c>
      <c r="L71" s="95">
        <v>384.09999999999991</v>
      </c>
    </row>
    <row r="72" spans="11:12" x14ac:dyDescent="0.45">
      <c r="K72" s="36">
        <v>70</v>
      </c>
      <c r="L72" s="95">
        <v>390.59999999999991</v>
      </c>
    </row>
    <row r="73" spans="11:12" x14ac:dyDescent="0.45">
      <c r="K73" s="36">
        <v>71</v>
      </c>
      <c r="L73" s="95">
        <v>387.49999999999989</v>
      </c>
    </row>
    <row r="74" spans="11:12" x14ac:dyDescent="0.45">
      <c r="K74" s="36">
        <v>72</v>
      </c>
      <c r="L74" s="95">
        <v>361.39999999999986</v>
      </c>
    </row>
    <row r="75" spans="11:12" x14ac:dyDescent="0.45">
      <c r="K75" s="36">
        <v>73</v>
      </c>
      <c r="L75" s="95">
        <v>380.79999999999984</v>
      </c>
    </row>
    <row r="76" spans="11:12" x14ac:dyDescent="0.45">
      <c r="K76" s="36">
        <v>74</v>
      </c>
      <c r="L76" s="95">
        <v>327.39999999999986</v>
      </c>
    </row>
    <row r="77" spans="11:12" x14ac:dyDescent="0.45">
      <c r="K77" s="36">
        <v>75</v>
      </c>
      <c r="L77" s="95">
        <v>336.79999999999984</v>
      </c>
    </row>
    <row r="78" spans="11:12" x14ac:dyDescent="0.45">
      <c r="K78" s="36">
        <v>76</v>
      </c>
      <c r="L78" s="95">
        <v>344.09999999999985</v>
      </c>
    </row>
    <row r="79" spans="11:12" x14ac:dyDescent="0.45">
      <c r="K79" s="36">
        <v>77</v>
      </c>
      <c r="L79" s="95">
        <v>375.59999999999985</v>
      </c>
    </row>
    <row r="80" spans="11:12" x14ac:dyDescent="0.45">
      <c r="K80" s="36">
        <v>78</v>
      </c>
      <c r="L80" s="95">
        <v>377.19999999999987</v>
      </c>
    </row>
    <row r="81" spans="11:12" x14ac:dyDescent="0.45">
      <c r="K81" s="36">
        <v>79</v>
      </c>
      <c r="L81" s="95">
        <v>390.49999999999989</v>
      </c>
    </row>
    <row r="82" spans="11:12" x14ac:dyDescent="0.45">
      <c r="K82" s="36">
        <v>80</v>
      </c>
      <c r="L82" s="95">
        <v>369.19999999999987</v>
      </c>
    </row>
    <row r="83" spans="11:12" x14ac:dyDescent="0.45">
      <c r="K83" s="36">
        <v>81</v>
      </c>
      <c r="L83" s="95">
        <v>374.2999999999999</v>
      </c>
    </row>
    <row r="84" spans="11:12" x14ac:dyDescent="0.45">
      <c r="K84" s="36">
        <v>82</v>
      </c>
      <c r="L84" s="95">
        <v>344.69999999999987</v>
      </c>
    </row>
    <row r="85" spans="11:12" x14ac:dyDescent="0.45">
      <c r="K85" s="36">
        <v>83</v>
      </c>
      <c r="L85" s="95">
        <v>328.7999999999999</v>
      </c>
    </row>
    <row r="86" spans="11:12" x14ac:dyDescent="0.45">
      <c r="K86" s="36">
        <v>84</v>
      </c>
      <c r="L86" s="95">
        <v>283.59999999999991</v>
      </c>
    </row>
    <row r="87" spans="11:12" x14ac:dyDescent="0.45">
      <c r="K87" s="36">
        <v>85</v>
      </c>
      <c r="L87" s="95">
        <v>320.99999999999989</v>
      </c>
    </row>
    <row r="88" spans="11:12" x14ac:dyDescent="0.45">
      <c r="K88" s="36">
        <v>86</v>
      </c>
      <c r="L88" s="95">
        <v>317.49999999999989</v>
      </c>
    </row>
    <row r="89" spans="11:12" x14ac:dyDescent="0.45">
      <c r="K89" s="36">
        <v>87</v>
      </c>
      <c r="L89" s="95">
        <v>369.39999999999986</v>
      </c>
    </row>
    <row r="90" spans="11:12" x14ac:dyDescent="0.45">
      <c r="K90" s="36">
        <v>88</v>
      </c>
      <c r="L90" s="95">
        <v>352.29999999999984</v>
      </c>
    </row>
    <row r="91" spans="11:12" x14ac:dyDescent="0.45">
      <c r="K91" s="36">
        <v>89</v>
      </c>
      <c r="L91" s="95">
        <v>356.49999999999983</v>
      </c>
    </row>
    <row r="92" spans="11:12" x14ac:dyDescent="0.45">
      <c r="K92" s="36">
        <v>90</v>
      </c>
      <c r="L92" s="95">
        <v>326.19999999999982</v>
      </c>
    </row>
    <row r="93" spans="11:12" x14ac:dyDescent="0.45">
      <c r="K93" s="36">
        <v>91</v>
      </c>
      <c r="L93" s="95">
        <v>316.5999999999998</v>
      </c>
    </row>
    <row r="94" spans="11:12" x14ac:dyDescent="0.45">
      <c r="K94" s="36">
        <v>92</v>
      </c>
      <c r="L94" s="95">
        <v>267.79999999999978</v>
      </c>
    </row>
    <row r="95" spans="11:12" x14ac:dyDescent="0.45">
      <c r="K95" s="36">
        <v>93</v>
      </c>
      <c r="L95" s="95">
        <v>234.0999999999998</v>
      </c>
    </row>
    <row r="96" spans="11:12" x14ac:dyDescent="0.45">
      <c r="K96" s="36">
        <v>94</v>
      </c>
      <c r="L96" s="95">
        <v>101.19999999999979</v>
      </c>
    </row>
    <row r="97" spans="11:12" x14ac:dyDescent="0.45">
      <c r="K97" s="36">
        <v>95</v>
      </c>
      <c r="L97" s="95">
        <v>71.799999999999784</v>
      </c>
    </row>
    <row r="98" spans="11:12" x14ac:dyDescent="0.45">
      <c r="K98" s="36">
        <v>96</v>
      </c>
      <c r="L98" s="95">
        <v>72.299999999999784</v>
      </c>
    </row>
    <row r="99" spans="11:12" x14ac:dyDescent="0.45">
      <c r="K99" s="36">
        <v>97</v>
      </c>
      <c r="L99" s="95">
        <v>49.899999999999785</v>
      </c>
    </row>
    <row r="100" spans="11:12" x14ac:dyDescent="0.45">
      <c r="K100" s="36">
        <v>98</v>
      </c>
      <c r="L100" s="95">
        <v>36.399999999999785</v>
      </c>
    </row>
    <row r="101" spans="11:12" x14ac:dyDescent="0.45">
      <c r="K101" s="36">
        <v>99</v>
      </c>
      <c r="L101" s="95">
        <v>42.999999999999787</v>
      </c>
    </row>
    <row r="102" spans="11:12" x14ac:dyDescent="0.45">
      <c r="K102" s="36">
        <v>100</v>
      </c>
      <c r="L102" s="95">
        <v>13.399999999999785</v>
      </c>
    </row>
    <row r="103" spans="11:12" x14ac:dyDescent="0.45">
      <c r="K103" s="36">
        <v>101</v>
      </c>
      <c r="L103" s="95">
        <v>-34.400000000000212</v>
      </c>
    </row>
    <row r="104" spans="11:12" x14ac:dyDescent="0.45">
      <c r="K104" s="36">
        <v>102</v>
      </c>
      <c r="L104" s="95">
        <v>-56.500000000000213</v>
      </c>
    </row>
    <row r="105" spans="11:12" x14ac:dyDescent="0.45">
      <c r="K105" s="36">
        <v>103</v>
      </c>
      <c r="L105" s="95">
        <v>-31.500000000000213</v>
      </c>
    </row>
    <row r="106" spans="11:12" x14ac:dyDescent="0.45">
      <c r="K106" s="36">
        <v>104</v>
      </c>
      <c r="L106" s="95">
        <v>-49.900000000000212</v>
      </c>
    </row>
    <row r="107" spans="11:12" x14ac:dyDescent="0.45">
      <c r="K107" s="36">
        <v>105</v>
      </c>
      <c r="L107" s="95">
        <v>-48.80000000000021</v>
      </c>
    </row>
    <row r="108" spans="11:12" x14ac:dyDescent="0.45">
      <c r="K108" s="36">
        <v>106</v>
      </c>
      <c r="L108" s="95">
        <v>-48.900000000000212</v>
      </c>
    </row>
    <row r="109" spans="11:12" x14ac:dyDescent="0.45">
      <c r="K109" s="36">
        <v>107</v>
      </c>
      <c r="L109" s="95">
        <v>-18.500000000000213</v>
      </c>
    </row>
    <row r="110" spans="11:12" x14ac:dyDescent="0.45">
      <c r="K110" s="36">
        <v>108</v>
      </c>
      <c r="L110" s="95">
        <v>-28.200000000000212</v>
      </c>
    </row>
    <row r="111" spans="11:12" x14ac:dyDescent="0.45">
      <c r="K111" s="36">
        <v>109</v>
      </c>
      <c r="L111" s="95">
        <v>31.799999999999788</v>
      </c>
    </row>
    <row r="112" spans="11:12" x14ac:dyDescent="0.45">
      <c r="K112" s="36">
        <v>110</v>
      </c>
      <c r="L112" s="95">
        <v>86.999999999999787</v>
      </c>
    </row>
    <row r="113" spans="11:12" x14ac:dyDescent="0.45">
      <c r="K113" s="36">
        <v>111</v>
      </c>
      <c r="L113" s="95">
        <v>85.999999999999787</v>
      </c>
    </row>
    <row r="114" spans="11:12" x14ac:dyDescent="0.45">
      <c r="K114" s="36">
        <v>112</v>
      </c>
      <c r="L114" s="95">
        <v>85.299999999999784</v>
      </c>
    </row>
    <row r="115" spans="11:12" x14ac:dyDescent="0.45">
      <c r="K115" s="36">
        <v>113</v>
      </c>
      <c r="L115" s="95">
        <v>104.69999999999979</v>
      </c>
    </row>
    <row r="116" spans="11:12" x14ac:dyDescent="0.45">
      <c r="K116" s="36">
        <v>114</v>
      </c>
      <c r="L116" s="95">
        <v>109.99999999999979</v>
      </c>
    </row>
    <row r="117" spans="11:12" x14ac:dyDescent="0.45">
      <c r="K117" s="36">
        <v>115</v>
      </c>
      <c r="L117" s="95">
        <v>138.89999999999978</v>
      </c>
    </row>
    <row r="118" spans="11:12" x14ac:dyDescent="0.45">
      <c r="K118" s="36">
        <v>116</v>
      </c>
      <c r="L118" s="95">
        <v>141.49999999999977</v>
      </c>
    </row>
    <row r="119" spans="11:12" x14ac:dyDescent="0.45">
      <c r="K119" s="36">
        <v>117</v>
      </c>
      <c r="L119" s="95">
        <v>94.499999999999773</v>
      </c>
    </row>
    <row r="120" spans="11:12" x14ac:dyDescent="0.45">
      <c r="K120" s="36">
        <v>118</v>
      </c>
      <c r="L120" s="95">
        <v>93.899999999999778</v>
      </c>
    </row>
    <row r="121" spans="11:12" x14ac:dyDescent="0.45">
      <c r="K121" s="36">
        <v>119</v>
      </c>
      <c r="L121" s="95">
        <v>141.29999999999978</v>
      </c>
    </row>
    <row r="122" spans="11:12" x14ac:dyDescent="0.45">
      <c r="K122" s="36">
        <v>120</v>
      </c>
      <c r="L122" s="95">
        <v>130.5999999999998</v>
      </c>
    </row>
    <row r="123" spans="11:12" x14ac:dyDescent="0.45">
      <c r="K123" s="36">
        <v>121</v>
      </c>
      <c r="L123" s="95">
        <v>125.0999999999998</v>
      </c>
    </row>
    <row r="124" spans="11:12" x14ac:dyDescent="0.45">
      <c r="K124" s="36">
        <v>122</v>
      </c>
      <c r="L124" s="95">
        <v>127.69999999999979</v>
      </c>
    </row>
    <row r="125" spans="11:12" x14ac:dyDescent="0.45">
      <c r="K125" s="36">
        <v>123</v>
      </c>
      <c r="L125" s="95">
        <v>154.4999999999998</v>
      </c>
    </row>
    <row r="126" spans="11:12" x14ac:dyDescent="0.45">
      <c r="K126" s="36">
        <v>124</v>
      </c>
      <c r="L126" s="95">
        <v>172.5999999999998</v>
      </c>
    </row>
    <row r="127" spans="11:12" x14ac:dyDescent="0.45">
      <c r="K127" s="36">
        <v>125</v>
      </c>
      <c r="L127" s="95">
        <v>119.9999999999998</v>
      </c>
    </row>
    <row r="128" spans="11:12" x14ac:dyDescent="0.45">
      <c r="K128" s="36">
        <v>126</v>
      </c>
      <c r="L128" s="95">
        <v>77.999999999999801</v>
      </c>
    </row>
    <row r="129" spans="11:12" x14ac:dyDescent="0.45">
      <c r="K129" s="36">
        <v>127</v>
      </c>
      <c r="L129" s="95">
        <v>83.199999999999804</v>
      </c>
    </row>
    <row r="130" spans="11:12" x14ac:dyDescent="0.45">
      <c r="K130" s="36">
        <v>128</v>
      </c>
      <c r="L130" s="95">
        <v>31.699999999999804</v>
      </c>
    </row>
    <row r="131" spans="11:12" x14ac:dyDescent="0.45">
      <c r="K131" s="36">
        <v>129</v>
      </c>
      <c r="L131" s="95">
        <v>24.699999999999804</v>
      </c>
    </row>
    <row r="132" spans="11:12" x14ac:dyDescent="0.45">
      <c r="K132" s="36">
        <v>130</v>
      </c>
      <c r="L132" s="95">
        <v>11.799999999999804</v>
      </c>
    </row>
    <row r="133" spans="11:12" x14ac:dyDescent="0.45">
      <c r="K133" s="36">
        <v>131</v>
      </c>
      <c r="L133" s="95">
        <v>33.499999999999801</v>
      </c>
    </row>
  </sheetData>
  <sortState xmlns:xlrd2="http://schemas.microsoft.com/office/spreadsheetml/2017/richdata2" ref="E2:I134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FF757-5CF2-4536-88D9-D3B001E25C97}">
  <sheetPr codeName="Sheet13"/>
  <dimension ref="A1:Q88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172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86</v>
      </c>
      <c r="C2" s="159"/>
      <c r="E2" s="58" t="s">
        <v>66</v>
      </c>
      <c r="F2" s="55" t="s">
        <v>22</v>
      </c>
      <c r="G2" s="43">
        <v>160</v>
      </c>
      <c r="H2" s="128">
        <f>IF(B$15=0,0,G2/B$15)</f>
        <v>0.77669902912621358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-564.70588235294122</v>
      </c>
      <c r="P2" s="114">
        <v>85</v>
      </c>
      <c r="Q2" s="98">
        <v>-48000</v>
      </c>
    </row>
    <row r="3" spans="1:17" x14ac:dyDescent="0.45">
      <c r="A3" s="51" t="s">
        <v>8</v>
      </c>
      <c r="B3" s="160">
        <v>727</v>
      </c>
      <c r="C3" s="161"/>
      <c r="E3" s="59" t="s">
        <v>64</v>
      </c>
      <c r="F3" s="56" t="s">
        <v>20</v>
      </c>
      <c r="G3" s="44">
        <v>116</v>
      </c>
      <c r="H3" s="129">
        <f>IF(B$15=0,0,G3/B$15)</f>
        <v>0.56310679611650483</v>
      </c>
      <c r="I3" s="90">
        <v>4</v>
      </c>
      <c r="K3" s="36">
        <v>1</v>
      </c>
      <c r="L3" s="95">
        <v>-37.799999999999997</v>
      </c>
      <c r="N3" s="111" t="s">
        <v>131</v>
      </c>
      <c r="O3" s="118">
        <f t="shared" si="0"/>
        <v>-796.47058823529414</v>
      </c>
      <c r="P3" s="115">
        <v>85</v>
      </c>
      <c r="Q3" s="99">
        <v>-67700</v>
      </c>
    </row>
    <row r="4" spans="1:17" x14ac:dyDescent="0.45">
      <c r="A4" s="51" t="s">
        <v>6</v>
      </c>
      <c r="B4" s="162">
        <v>-500.10000000000014</v>
      </c>
      <c r="C4" s="163"/>
      <c r="E4" s="59" t="s">
        <v>72</v>
      </c>
      <c r="F4" s="56" t="s">
        <v>27</v>
      </c>
      <c r="G4" s="44">
        <v>103</v>
      </c>
      <c r="H4" s="129">
        <f>IF(B$15=0,0,G4/B$15)</f>
        <v>0.5</v>
      </c>
      <c r="I4" s="90">
        <v>9</v>
      </c>
      <c r="K4" s="36">
        <v>2</v>
      </c>
      <c r="L4" s="95">
        <v>-30.099999999999998</v>
      </c>
      <c r="N4" s="111" t="s">
        <v>132</v>
      </c>
      <c r="O4" s="118">
        <f t="shared" si="0"/>
        <v>568.35443037974687</v>
      </c>
      <c r="P4" s="115">
        <v>79</v>
      </c>
      <c r="Q4" s="99">
        <v>44900</v>
      </c>
    </row>
    <row r="5" spans="1:17" x14ac:dyDescent="0.45">
      <c r="A5" s="51" t="s">
        <v>7</v>
      </c>
      <c r="B5" s="164">
        <f>IF(B$2=0,0,B$4/B$2)</f>
        <v>-5.8151162790697688</v>
      </c>
      <c r="C5" s="165"/>
      <c r="E5" s="59" t="s">
        <v>166</v>
      </c>
      <c r="F5" s="56" t="s">
        <v>167</v>
      </c>
      <c r="G5" s="44">
        <v>87</v>
      </c>
      <c r="H5" s="129">
        <f>IF(B$15=0,0,G5/B$15)</f>
        <v>0.42233009708737862</v>
      </c>
      <c r="I5" s="90">
        <v>2</v>
      </c>
      <c r="K5" s="36">
        <v>3</v>
      </c>
      <c r="L5" s="95">
        <v>-17.599999999999998</v>
      </c>
      <c r="N5" s="111" t="s">
        <v>133</v>
      </c>
      <c r="O5" s="118">
        <f t="shared" si="0"/>
        <v>-274.35897435897436</v>
      </c>
      <c r="P5" s="115">
        <v>78</v>
      </c>
      <c r="Q5" s="99">
        <v>-21400</v>
      </c>
    </row>
    <row r="6" spans="1:17" x14ac:dyDescent="0.45">
      <c r="A6" s="51" t="s">
        <v>1</v>
      </c>
      <c r="B6" s="154">
        <f>IF(B$2=0,0,(B$7*1+B$8*2+B$9*3)/B$2)</f>
        <v>2.1511627906976742</v>
      </c>
      <c r="C6" s="155"/>
      <c r="E6" s="59" t="s">
        <v>68</v>
      </c>
      <c r="F6" s="56" t="s">
        <v>12</v>
      </c>
      <c r="G6" s="44">
        <v>68</v>
      </c>
      <c r="H6" s="129">
        <f>IF(B$15=0,0,G6/B$15)</f>
        <v>0.3300970873786408</v>
      </c>
      <c r="I6" s="90">
        <v>4</v>
      </c>
      <c r="K6" s="36">
        <v>4</v>
      </c>
      <c r="L6" s="95">
        <v>-54.899999999999991</v>
      </c>
      <c r="N6" s="111" t="s">
        <v>134</v>
      </c>
      <c r="O6" s="118">
        <f t="shared" si="0"/>
        <v>-2947.2972972972975</v>
      </c>
      <c r="P6" s="115">
        <v>74</v>
      </c>
      <c r="Q6" s="99">
        <v>-218100</v>
      </c>
    </row>
    <row r="7" spans="1:17" x14ac:dyDescent="0.45">
      <c r="A7" s="51" t="s">
        <v>2</v>
      </c>
      <c r="B7" s="44">
        <v>19</v>
      </c>
      <c r="C7" s="37">
        <f t="shared" ref="C7:C10" si="1">IF(B$2=0,0,B7/B$2)</f>
        <v>0.22093023255813954</v>
      </c>
      <c r="E7" s="59" t="s">
        <v>67</v>
      </c>
      <c r="F7" s="56" t="s">
        <v>23</v>
      </c>
      <c r="G7" s="44">
        <v>58</v>
      </c>
      <c r="H7" s="129">
        <f>IF(B$15=0,0,G7/B$15)</f>
        <v>0.28155339805825241</v>
      </c>
      <c r="I7" s="90">
        <v>6</v>
      </c>
      <c r="K7" s="36">
        <v>5</v>
      </c>
      <c r="L7" s="95">
        <v>-33.699999999999989</v>
      </c>
      <c r="N7" s="112" t="s">
        <v>135</v>
      </c>
      <c r="O7" s="119">
        <f t="shared" si="0"/>
        <v>-1339.0625</v>
      </c>
      <c r="P7" s="116">
        <v>64</v>
      </c>
      <c r="Q7" s="100">
        <v>-85700</v>
      </c>
    </row>
    <row r="8" spans="1:17" x14ac:dyDescent="0.45">
      <c r="A8" s="51" t="s">
        <v>3</v>
      </c>
      <c r="B8" s="44">
        <v>35</v>
      </c>
      <c r="C8" s="37">
        <f t="shared" si="1"/>
        <v>0.40697674418604651</v>
      </c>
      <c r="E8" s="59" t="s">
        <v>69</v>
      </c>
      <c r="F8" s="56" t="s">
        <v>24</v>
      </c>
      <c r="G8" s="44">
        <v>29</v>
      </c>
      <c r="H8" s="129">
        <f>IF(B$15=0,0,G8/B$15)</f>
        <v>0.14077669902912621</v>
      </c>
      <c r="I8" s="90">
        <v>5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5">
      <c r="A9" s="52" t="s">
        <v>4</v>
      </c>
      <c r="B9" s="45">
        <v>32</v>
      </c>
      <c r="C9" s="38">
        <f t="shared" si="1"/>
        <v>0.37209302325581395</v>
      </c>
      <c r="E9" s="59" t="s">
        <v>70</v>
      </c>
      <c r="F9" s="56" t="s">
        <v>25</v>
      </c>
      <c r="G9" s="44">
        <v>26</v>
      </c>
      <c r="H9" s="129">
        <f>IF(B$15=0,0,G9/B$15)</f>
        <v>0.12621359223300971</v>
      </c>
      <c r="I9" s="90">
        <v>2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6</v>
      </c>
      <c r="C10" s="40">
        <f t="shared" si="1"/>
        <v>6.9767441860465115E-2</v>
      </c>
      <c r="E10" s="59" t="s">
        <v>65</v>
      </c>
      <c r="F10" s="56" t="s">
        <v>21</v>
      </c>
      <c r="G10" s="44">
        <v>24</v>
      </c>
      <c r="H10" s="129">
        <f>IF(B$15=0,0,G10/B$15)</f>
        <v>0.11650485436893204</v>
      </c>
      <c r="I10" s="90">
        <v>5</v>
      </c>
      <c r="K10" s="36">
        <v>8</v>
      </c>
      <c r="L10" s="95">
        <v>-62.999999999999993</v>
      </c>
      <c r="N10" s="110" t="s">
        <v>157</v>
      </c>
      <c r="O10" s="120">
        <f>IF(P10=0,0,Q10/P10)</f>
        <v>-3.9914285714285729</v>
      </c>
      <c r="P10" s="114">
        <v>35</v>
      </c>
      <c r="Q10" s="102">
        <v>-139.70000000000005</v>
      </c>
    </row>
    <row r="11" spans="1:17" x14ac:dyDescent="0.45">
      <c r="A11" s="54" t="s">
        <v>121</v>
      </c>
      <c r="B11" s="47">
        <v>204</v>
      </c>
      <c r="C11" s="42">
        <f>IF(B$3=0,0,B11/B$3)</f>
        <v>0.28060522696011003</v>
      </c>
      <c r="E11" s="59" t="s">
        <v>89</v>
      </c>
      <c r="F11" s="56" t="s">
        <v>44</v>
      </c>
      <c r="G11" s="44">
        <v>24</v>
      </c>
      <c r="H11" s="129">
        <f>IF(B$15=0,0,G11/B$15)</f>
        <v>0.11650485436893204</v>
      </c>
      <c r="I11" s="90">
        <v>8</v>
      </c>
      <c r="K11" s="36">
        <v>9</v>
      </c>
      <c r="L11" s="95">
        <v>-74.199999999999989</v>
      </c>
      <c r="N11" s="111" t="s">
        <v>158</v>
      </c>
      <c r="O11" s="121">
        <f>IF(P11=0,0,Q11/P11)</f>
        <v>-7.8708333333333345</v>
      </c>
      <c r="P11" s="115">
        <v>24</v>
      </c>
      <c r="Q11" s="103">
        <v>-188.90000000000003</v>
      </c>
    </row>
    <row r="12" spans="1:17" x14ac:dyDescent="0.45">
      <c r="A12" s="51" t="s">
        <v>118</v>
      </c>
      <c r="B12" s="44">
        <v>146</v>
      </c>
      <c r="C12" s="37">
        <f>IF(B$3=0,0,B12/B$3)</f>
        <v>0.20082530949105915</v>
      </c>
      <c r="E12" s="59" t="s">
        <v>83</v>
      </c>
      <c r="F12" s="56" t="s">
        <v>38</v>
      </c>
      <c r="G12" s="44">
        <v>10</v>
      </c>
      <c r="H12" s="129">
        <f>IF(B$15=0,0,G12/B$15)</f>
        <v>4.8543689320388349E-2</v>
      </c>
      <c r="I12" s="90">
        <v>7</v>
      </c>
      <c r="K12" s="36">
        <v>10</v>
      </c>
      <c r="L12" s="95">
        <v>-117.19999999999999</v>
      </c>
      <c r="N12" s="112" t="s">
        <v>159</v>
      </c>
      <c r="O12" s="122">
        <f>IF(P12=0,0,Q12/P12)</f>
        <v>-6.3518518518518494</v>
      </c>
      <c r="P12" s="116">
        <v>27</v>
      </c>
      <c r="Q12" s="104">
        <v>-171.49999999999994</v>
      </c>
    </row>
    <row r="13" spans="1:17" x14ac:dyDescent="0.45">
      <c r="A13" s="50" t="s">
        <v>123</v>
      </c>
      <c r="B13" s="43">
        <f>B19</f>
        <v>115</v>
      </c>
      <c r="C13" s="35">
        <f>IF(B$11=0,0,B13/B$11)</f>
        <v>0.56372549019607843</v>
      </c>
      <c r="E13" s="59" t="s">
        <v>86</v>
      </c>
      <c r="F13" s="56" t="s">
        <v>41</v>
      </c>
      <c r="G13" s="44">
        <v>9</v>
      </c>
      <c r="H13" s="129">
        <f>IF(B$15=0,0,G13/B$15)</f>
        <v>4.3689320388349516E-2</v>
      </c>
      <c r="I13" s="90">
        <v>8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61</v>
      </c>
      <c r="C14" s="35">
        <f>IF(B$12=0,0,B14/B$12)</f>
        <v>0.4178082191780822</v>
      </c>
      <c r="E14" s="59" t="s">
        <v>71</v>
      </c>
      <c r="F14" s="56" t="s">
        <v>26</v>
      </c>
      <c r="G14" s="44">
        <v>8</v>
      </c>
      <c r="H14" s="129">
        <f>IF(B$15=0,0,G14/B$15)</f>
        <v>3.8834951456310676E-2</v>
      </c>
      <c r="I14" s="90">
        <v>12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206</v>
      </c>
      <c r="C15" s="35">
        <f>IF(B$3=0,0,B15/B$3)</f>
        <v>0.28335625859697389</v>
      </c>
      <c r="E15" s="59" t="s">
        <v>78</v>
      </c>
      <c r="F15" s="56" t="s">
        <v>33</v>
      </c>
      <c r="G15" s="44">
        <v>7</v>
      </c>
      <c r="H15" s="129">
        <f>IF(B$15=0,0,G15/B$15)</f>
        <v>3.3980582524271843E-2</v>
      </c>
      <c r="I15" s="90">
        <v>3</v>
      </c>
      <c r="K15" s="36">
        <v>13</v>
      </c>
      <c r="L15" s="95">
        <v>-207.3</v>
      </c>
      <c r="N15" s="110" t="s">
        <v>161</v>
      </c>
      <c r="O15" s="120">
        <f>IF(P15=0,0,Q15/P15)</f>
        <v>8.6066666666666709</v>
      </c>
      <c r="P15" s="114">
        <v>15</v>
      </c>
      <c r="Q15" s="102">
        <v>129.10000000000005</v>
      </c>
    </row>
    <row r="16" spans="1:17" x14ac:dyDescent="0.45">
      <c r="A16" s="51" t="s">
        <v>13</v>
      </c>
      <c r="B16" s="44">
        <v>137</v>
      </c>
      <c r="C16" s="37">
        <f>IF(B$3=0,0,B16/B$3)</f>
        <v>0.18844566712517194</v>
      </c>
      <c r="E16" s="59" t="s">
        <v>162</v>
      </c>
      <c r="F16" s="56" t="s">
        <v>163</v>
      </c>
      <c r="G16" s="44">
        <v>4</v>
      </c>
      <c r="H16" s="129">
        <f>IF(B$15=0,0,G16/B$15)</f>
        <v>1.9417475728155338E-2</v>
      </c>
      <c r="I16" s="90">
        <v>5</v>
      </c>
      <c r="K16" s="36">
        <v>14</v>
      </c>
      <c r="L16" s="95">
        <v>-204.8</v>
      </c>
      <c r="N16" s="111" t="s">
        <v>197</v>
      </c>
      <c r="O16" s="121">
        <f>IF(P16=0,0,Q16/P16)</f>
        <v>3.1666666666666656</v>
      </c>
      <c r="P16" s="115">
        <v>3</v>
      </c>
      <c r="Q16" s="103">
        <v>9.4999999999999964</v>
      </c>
    </row>
    <row r="17" spans="1:17" x14ac:dyDescent="0.45">
      <c r="A17" s="51" t="s">
        <v>12</v>
      </c>
      <c r="B17" s="44">
        <v>94</v>
      </c>
      <c r="C17" s="37">
        <f>IF(B$15=0,0,B17/B$15)</f>
        <v>0.4563106796116505</v>
      </c>
      <c r="E17" s="59" t="s">
        <v>75</v>
      </c>
      <c r="F17" s="56" t="s">
        <v>30</v>
      </c>
      <c r="G17" s="44">
        <v>3</v>
      </c>
      <c r="H17" s="129">
        <f>IF(B$15=0,0,G17/B$15)</f>
        <v>1.4563106796116505E-2</v>
      </c>
      <c r="I17" s="90">
        <v>2</v>
      </c>
      <c r="K17" s="36">
        <v>15</v>
      </c>
      <c r="L17" s="95">
        <v>-221.5</v>
      </c>
      <c r="N17" s="111" t="s">
        <v>170</v>
      </c>
      <c r="O17" s="121">
        <f>IF(P17=0,0,Q17/P17)</f>
        <v>2.5450000000000008</v>
      </c>
      <c r="P17" s="115">
        <v>20</v>
      </c>
      <c r="Q17" s="103">
        <v>50.90000000000002</v>
      </c>
    </row>
    <row r="18" spans="1:17" x14ac:dyDescent="0.45">
      <c r="A18" s="51" t="s">
        <v>11</v>
      </c>
      <c r="B18" s="44">
        <v>112</v>
      </c>
      <c r="C18" s="37">
        <f>IF(B$15=0,0,B18/B$15)</f>
        <v>0.5436893203883495</v>
      </c>
      <c r="E18" s="59" t="s">
        <v>81</v>
      </c>
      <c r="F18" s="56" t="s">
        <v>36</v>
      </c>
      <c r="G18" s="44">
        <v>3</v>
      </c>
      <c r="H18" s="129">
        <f>IF(B$15=0,0,G18/B$15)</f>
        <v>1.4563106796116505E-2</v>
      </c>
      <c r="I18" s="90">
        <v>8</v>
      </c>
      <c r="K18" s="36">
        <v>16</v>
      </c>
      <c r="L18" s="95">
        <v>-224.3</v>
      </c>
      <c r="N18" s="111" t="s">
        <v>196</v>
      </c>
      <c r="O18" s="121">
        <f>IF(P18=0,0,Q18/P18)</f>
        <v>0.14000000000000129</v>
      </c>
      <c r="P18" s="115">
        <v>10</v>
      </c>
      <c r="Q18" s="103">
        <v>1.4000000000000128</v>
      </c>
    </row>
    <row r="19" spans="1:17" x14ac:dyDescent="0.45">
      <c r="A19" s="51" t="s">
        <v>195</v>
      </c>
      <c r="B19" s="44">
        <v>115</v>
      </c>
      <c r="C19" s="37">
        <f>IF(B$15=0,0,B19/B$15)</f>
        <v>0.55825242718446599</v>
      </c>
      <c r="E19" s="59" t="s">
        <v>79</v>
      </c>
      <c r="F19" s="56" t="s">
        <v>34</v>
      </c>
      <c r="G19" s="44">
        <v>2</v>
      </c>
      <c r="H19" s="129">
        <f>IF(B$15=0,0,G19/B$15)</f>
        <v>9.7087378640776691E-3</v>
      </c>
      <c r="I19" s="90">
        <v>6</v>
      </c>
      <c r="K19" s="36">
        <v>17</v>
      </c>
      <c r="L19" s="95">
        <v>-251.4</v>
      </c>
      <c r="N19" s="111" t="s">
        <v>126</v>
      </c>
      <c r="O19" s="121">
        <f>IF(P19=0,0,Q19/P19)</f>
        <v>-12.788888888888891</v>
      </c>
      <c r="P19" s="115">
        <v>54</v>
      </c>
      <c r="Q19" s="103">
        <v>-690.60000000000014</v>
      </c>
    </row>
    <row r="20" spans="1:17" x14ac:dyDescent="0.45">
      <c r="A20" s="51" t="s">
        <v>193</v>
      </c>
      <c r="B20" s="44">
        <v>61</v>
      </c>
      <c r="C20" s="37">
        <f>IF(B$15=0,0,B20/B$15)</f>
        <v>0.29611650485436891</v>
      </c>
      <c r="E20" s="59" t="s">
        <v>91</v>
      </c>
      <c r="F20" s="56" t="s">
        <v>46</v>
      </c>
      <c r="G20" s="44">
        <v>1</v>
      </c>
      <c r="H20" s="129">
        <f>IF(B$15=0,0,G20/B$15)</f>
        <v>4.8543689320388345E-3</v>
      </c>
      <c r="I20" s="90">
        <v>8</v>
      </c>
      <c r="K20" s="36">
        <v>18</v>
      </c>
      <c r="L20" s="95">
        <v>-240</v>
      </c>
      <c r="N20" s="111" t="s">
        <v>171</v>
      </c>
      <c r="O20" s="121">
        <f>IF(P20=0,0,Q20/P20)</f>
        <v>-13.237499999999999</v>
      </c>
      <c r="P20" s="115">
        <v>24</v>
      </c>
      <c r="Q20" s="103">
        <v>-317.7</v>
      </c>
    </row>
    <row r="21" spans="1:17" x14ac:dyDescent="0.45">
      <c r="A21" s="51" t="s">
        <v>194</v>
      </c>
      <c r="B21" s="44">
        <v>30</v>
      </c>
      <c r="C21" s="37">
        <f>IF(B$15=0,0,B21/B$15)</f>
        <v>0.14563106796116504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-218</v>
      </c>
      <c r="N21" s="111" t="s">
        <v>127</v>
      </c>
      <c r="O21" s="121">
        <f>IF(P21=0,0,Q21/P21)</f>
        <v>-13.917777777777772</v>
      </c>
      <c r="P21" s="115">
        <v>45</v>
      </c>
      <c r="Q21" s="103">
        <v>-626.29999999999973</v>
      </c>
    </row>
    <row r="22" spans="1:17" x14ac:dyDescent="0.45">
      <c r="A22" s="51" t="s">
        <v>5</v>
      </c>
      <c r="B22" s="48">
        <f>IF(B$15=0,0,C22/B$15)</f>
        <v>7678.155339805825</v>
      </c>
      <c r="C22" s="39">
        <v>1581700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-177.6</v>
      </c>
      <c r="N22" s="111" t="s">
        <v>228</v>
      </c>
      <c r="O22" s="121">
        <f>IF(P22=0,0,Q22/P22)</f>
        <v>-56.6</v>
      </c>
      <c r="P22" s="115">
        <v>1</v>
      </c>
      <c r="Q22" s="103">
        <v>-56.6</v>
      </c>
    </row>
    <row r="23" spans="1:17" x14ac:dyDescent="0.45">
      <c r="A23" s="52" t="s">
        <v>177</v>
      </c>
      <c r="B23" s="136">
        <f>IF($B$15-B$14=0,0,C23/($B$15-B$14))</f>
        <v>8264.8275862068967</v>
      </c>
      <c r="C23" s="137">
        <v>1198400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-133.30000000000001</v>
      </c>
    </row>
    <row r="24" spans="1:17" x14ac:dyDescent="0.45">
      <c r="A24" s="52" t="s">
        <v>178</v>
      </c>
      <c r="B24" s="136">
        <f>IF(B$14=0,0,C24/B$14)</f>
        <v>6283.6065573770493</v>
      </c>
      <c r="C24" s="137">
        <v>383300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-164.60000000000002</v>
      </c>
    </row>
    <row r="25" spans="1:17" x14ac:dyDescent="0.45">
      <c r="A25" s="52" t="s">
        <v>176</v>
      </c>
      <c r="B25" s="136">
        <f>IF(B$16=0,0,C25/B$16)</f>
        <v>-7452.554744525547</v>
      </c>
      <c r="C25" s="137">
        <v>-1021000</v>
      </c>
      <c r="E25" s="59" t="s">
        <v>80</v>
      </c>
      <c r="F25" s="56" t="s">
        <v>35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-162.70000000000002</v>
      </c>
    </row>
    <row r="26" spans="1:17" x14ac:dyDescent="0.45">
      <c r="A26" s="51" t="s">
        <v>164</v>
      </c>
      <c r="B26" s="44">
        <v>4</v>
      </c>
      <c r="C26" s="131">
        <v>0</v>
      </c>
      <c r="E26" s="59" t="s">
        <v>82</v>
      </c>
      <c r="F26" s="56" t="s">
        <v>37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-163.00000000000003</v>
      </c>
    </row>
    <row r="27" spans="1:17" x14ac:dyDescent="0.45">
      <c r="A27" s="51" t="s">
        <v>165</v>
      </c>
      <c r="B27" s="44">
        <v>21</v>
      </c>
      <c r="C27" s="131">
        <v>9</v>
      </c>
      <c r="E27" s="59" t="s">
        <v>84</v>
      </c>
      <c r="F27" s="56" t="s">
        <v>39</v>
      </c>
      <c r="G27" s="44">
        <v>0</v>
      </c>
      <c r="H27" s="129">
        <f>IF(B$15=0,0,G27/B$15)</f>
        <v>0</v>
      </c>
      <c r="I27" s="90">
        <v>6</v>
      </c>
      <c r="K27" s="36">
        <v>25</v>
      </c>
      <c r="L27" s="95">
        <v>-185.00000000000003</v>
      </c>
    </row>
    <row r="28" spans="1:17" x14ac:dyDescent="0.45">
      <c r="A28" s="86" t="s">
        <v>138</v>
      </c>
      <c r="B28" s="152">
        <v>8</v>
      </c>
      <c r="C28" s="153"/>
      <c r="E28" s="59" t="s">
        <v>85</v>
      </c>
      <c r="F28" s="56" t="s">
        <v>40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-186.00000000000003</v>
      </c>
    </row>
    <row r="29" spans="1:17" x14ac:dyDescent="0.45">
      <c r="A29" s="54" t="s">
        <v>192</v>
      </c>
      <c r="B29" s="150">
        <v>69500</v>
      </c>
      <c r="C29" s="151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4</v>
      </c>
      <c r="K29" s="36">
        <v>27</v>
      </c>
      <c r="L29" s="95">
        <v>-163.00000000000003</v>
      </c>
    </row>
    <row r="30" spans="1:17" x14ac:dyDescent="0.45">
      <c r="A30" s="53" t="s">
        <v>139</v>
      </c>
      <c r="B30" s="61">
        <v>3</v>
      </c>
      <c r="C30" s="40">
        <f>IF(B$3=0,0,B30/B$3)</f>
        <v>4.1265474552957355E-3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-181.70000000000002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-159.9</v>
      </c>
    </row>
    <row r="32" spans="1:17" x14ac:dyDescent="0.45">
      <c r="A32" s="86" t="s">
        <v>183</v>
      </c>
      <c r="B32" s="144">
        <v>14</v>
      </c>
      <c r="C32" s="141">
        <f>IF(B$15=0,0,B32/B$15)</f>
        <v>6.7961165048543687E-2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-175.6</v>
      </c>
    </row>
    <row r="33" spans="1:12" x14ac:dyDescent="0.45">
      <c r="A33" s="51" t="s">
        <v>179</v>
      </c>
      <c r="B33" s="44">
        <v>39</v>
      </c>
      <c r="C33" s="37">
        <f t="shared" ref="C33:C44" si="2">IF(B$15=0,0,B33/B$15)</f>
        <v>0.18932038834951456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-212.6</v>
      </c>
    </row>
    <row r="34" spans="1:12" x14ac:dyDescent="0.45">
      <c r="A34" s="51" t="s">
        <v>180</v>
      </c>
      <c r="B34" s="145">
        <v>47</v>
      </c>
      <c r="C34" s="37">
        <f>IF(B$15=0,0,B34/B$15)</f>
        <v>0.22815533980582525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-244.8</v>
      </c>
    </row>
    <row r="35" spans="1:12" x14ac:dyDescent="0.45">
      <c r="A35" s="51" t="s">
        <v>181</v>
      </c>
      <c r="B35" s="145">
        <v>31</v>
      </c>
      <c r="C35" s="37">
        <f t="shared" si="2"/>
        <v>0.15048543689320387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-261.3</v>
      </c>
    </row>
    <row r="36" spans="1:12" x14ac:dyDescent="0.45">
      <c r="A36" s="51" t="s">
        <v>182</v>
      </c>
      <c r="B36" s="145">
        <v>35</v>
      </c>
      <c r="C36" s="37">
        <f t="shared" si="2"/>
        <v>0.16990291262135923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-236.8</v>
      </c>
    </row>
    <row r="37" spans="1:12" x14ac:dyDescent="0.45">
      <c r="A37" s="51" t="s">
        <v>184</v>
      </c>
      <c r="B37" s="145">
        <v>21</v>
      </c>
      <c r="C37" s="37">
        <f t="shared" si="2"/>
        <v>0.10194174757281553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-264.60000000000002</v>
      </c>
    </row>
    <row r="38" spans="1:12" x14ac:dyDescent="0.45">
      <c r="A38" s="51" t="s">
        <v>185</v>
      </c>
      <c r="B38" s="145">
        <v>12</v>
      </c>
      <c r="C38" s="37">
        <f t="shared" si="2"/>
        <v>5.8252427184466021E-2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-252.20000000000002</v>
      </c>
    </row>
    <row r="39" spans="1:12" x14ac:dyDescent="0.45">
      <c r="A39" s="51" t="s">
        <v>186</v>
      </c>
      <c r="B39" s="145">
        <v>4</v>
      </c>
      <c r="C39" s="37">
        <f t="shared" si="2"/>
        <v>1.9417475728155338E-2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-261</v>
      </c>
    </row>
    <row r="40" spans="1:12" x14ac:dyDescent="0.45">
      <c r="A40" s="51" t="s">
        <v>187</v>
      </c>
      <c r="B40" s="145">
        <v>0</v>
      </c>
      <c r="C40" s="37">
        <f t="shared" si="2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-245.4</v>
      </c>
    </row>
    <row r="41" spans="1:12" x14ac:dyDescent="0.45">
      <c r="A41" s="51" t="s">
        <v>188</v>
      </c>
      <c r="B41" s="145">
        <v>0</v>
      </c>
      <c r="C41" s="37">
        <f t="shared" si="2"/>
        <v>0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-227</v>
      </c>
    </row>
    <row r="42" spans="1:12" x14ac:dyDescent="0.45">
      <c r="A42" s="51" t="s">
        <v>189</v>
      </c>
      <c r="B42" s="145">
        <v>1</v>
      </c>
      <c r="C42" s="37">
        <f t="shared" si="2"/>
        <v>4.8543689320388345E-3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-268.39999999999998</v>
      </c>
    </row>
    <row r="43" spans="1:12" x14ac:dyDescent="0.45">
      <c r="A43" s="51" t="s">
        <v>190</v>
      </c>
      <c r="B43" s="145">
        <v>2</v>
      </c>
      <c r="C43" s="37">
        <f t="shared" si="2"/>
        <v>9.7087378640776691E-3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-264.39999999999998</v>
      </c>
    </row>
    <row r="44" spans="1:12" x14ac:dyDescent="0.45">
      <c r="A44" s="53" t="s">
        <v>191</v>
      </c>
      <c r="B44" s="140">
        <v>0</v>
      </c>
      <c r="C44" s="40">
        <f t="shared" si="2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-268.89999999999998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-299.39999999999998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-330.7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-353.09999999999997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-351.79999999999995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-346.19999999999993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-357.39999999999992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-404.09999999999991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-400.99999999999989</v>
      </c>
    </row>
    <row r="53" spans="5:12" x14ac:dyDescent="0.45">
      <c r="K53" s="36">
        <v>51</v>
      </c>
      <c r="L53" s="95">
        <v>-414.7999999999999</v>
      </c>
    </row>
    <row r="54" spans="5:12" x14ac:dyDescent="0.45">
      <c r="K54" s="36">
        <v>52</v>
      </c>
      <c r="L54" s="95">
        <v>-403.89999999999992</v>
      </c>
    </row>
    <row r="55" spans="5:12" x14ac:dyDescent="0.45">
      <c r="K55" s="36">
        <v>53</v>
      </c>
      <c r="L55" s="95">
        <v>-386.7999999999999</v>
      </c>
    </row>
    <row r="56" spans="5:12" x14ac:dyDescent="0.45">
      <c r="K56" s="36">
        <v>54</v>
      </c>
      <c r="L56" s="95">
        <v>-441.2999999999999</v>
      </c>
    </row>
    <row r="57" spans="5:12" x14ac:dyDescent="0.45">
      <c r="K57" s="36">
        <v>55</v>
      </c>
      <c r="L57" s="95">
        <v>-398.09999999999991</v>
      </c>
    </row>
    <row r="58" spans="5:12" x14ac:dyDescent="0.45">
      <c r="K58" s="36">
        <v>56</v>
      </c>
      <c r="L58" s="95">
        <v>-393.39999999999992</v>
      </c>
    </row>
    <row r="59" spans="5:12" x14ac:dyDescent="0.45">
      <c r="K59" s="36">
        <v>57</v>
      </c>
      <c r="L59" s="95">
        <v>-376.49999999999994</v>
      </c>
    </row>
    <row r="60" spans="5:12" x14ac:dyDescent="0.45">
      <c r="K60" s="36">
        <v>58</v>
      </c>
      <c r="L60" s="95">
        <v>-373.49999999999994</v>
      </c>
    </row>
    <row r="61" spans="5:12" x14ac:dyDescent="0.45">
      <c r="K61" s="36">
        <v>59</v>
      </c>
      <c r="L61" s="95">
        <v>-399.29999999999995</v>
      </c>
    </row>
    <row r="62" spans="5:12" x14ac:dyDescent="0.45">
      <c r="K62" s="36">
        <v>60</v>
      </c>
      <c r="L62" s="95">
        <v>-448.79999999999995</v>
      </c>
    </row>
    <row r="63" spans="5:12" x14ac:dyDescent="0.45">
      <c r="K63" s="36">
        <v>61</v>
      </c>
      <c r="L63" s="95">
        <v>-453.59999999999997</v>
      </c>
    </row>
    <row r="64" spans="5:12" x14ac:dyDescent="0.45">
      <c r="K64" s="36">
        <v>62</v>
      </c>
      <c r="L64" s="95">
        <v>-501.79999999999995</v>
      </c>
    </row>
    <row r="65" spans="11:12" x14ac:dyDescent="0.45">
      <c r="K65" s="36">
        <v>63</v>
      </c>
      <c r="L65" s="95">
        <v>-457.29999999999995</v>
      </c>
    </row>
    <row r="66" spans="11:12" x14ac:dyDescent="0.45">
      <c r="K66" s="36">
        <v>64</v>
      </c>
      <c r="L66" s="95">
        <v>-421.09999999999997</v>
      </c>
    </row>
    <row r="67" spans="11:12" x14ac:dyDescent="0.45">
      <c r="K67" s="36">
        <v>65</v>
      </c>
      <c r="L67" s="95">
        <v>-465.9</v>
      </c>
    </row>
    <row r="68" spans="11:12" x14ac:dyDescent="0.45">
      <c r="K68" s="36">
        <v>66</v>
      </c>
      <c r="L68" s="95">
        <v>-441.9</v>
      </c>
    </row>
    <row r="69" spans="11:12" x14ac:dyDescent="0.45">
      <c r="K69" s="36">
        <v>67</v>
      </c>
      <c r="L69" s="95">
        <v>-477.59999999999997</v>
      </c>
    </row>
    <row r="70" spans="11:12" x14ac:dyDescent="0.45">
      <c r="K70" s="36">
        <v>68</v>
      </c>
      <c r="L70" s="95">
        <v>-477.29999999999995</v>
      </c>
    </row>
    <row r="71" spans="11:12" x14ac:dyDescent="0.45">
      <c r="K71" s="36">
        <v>69</v>
      </c>
      <c r="L71" s="95">
        <v>-486.9</v>
      </c>
    </row>
    <row r="72" spans="11:12" x14ac:dyDescent="0.45">
      <c r="K72" s="36">
        <v>70</v>
      </c>
      <c r="L72" s="95">
        <v>-458</v>
      </c>
    </row>
    <row r="73" spans="11:12" x14ac:dyDescent="0.45">
      <c r="K73" s="36">
        <v>71</v>
      </c>
      <c r="L73" s="95">
        <v>-484.8</v>
      </c>
    </row>
    <row r="74" spans="11:12" x14ac:dyDescent="0.45">
      <c r="K74" s="36">
        <v>72</v>
      </c>
      <c r="L74" s="95">
        <v>-506.40000000000003</v>
      </c>
    </row>
    <row r="75" spans="11:12" x14ac:dyDescent="0.45">
      <c r="K75" s="36">
        <v>73</v>
      </c>
      <c r="L75" s="95">
        <v>-505.3</v>
      </c>
    </row>
    <row r="76" spans="11:12" x14ac:dyDescent="0.45">
      <c r="K76" s="36">
        <v>74</v>
      </c>
      <c r="L76" s="95">
        <v>-490.40000000000003</v>
      </c>
    </row>
    <row r="77" spans="11:12" x14ac:dyDescent="0.45">
      <c r="K77" s="36">
        <v>75</v>
      </c>
      <c r="L77" s="95">
        <v>-489.8</v>
      </c>
    </row>
    <row r="78" spans="11:12" x14ac:dyDescent="0.45">
      <c r="K78" s="36">
        <v>76</v>
      </c>
      <c r="L78" s="95">
        <v>-493.3</v>
      </c>
    </row>
    <row r="79" spans="11:12" x14ac:dyDescent="0.45">
      <c r="K79" s="36">
        <v>77</v>
      </c>
      <c r="L79" s="95">
        <v>-473.90000000000003</v>
      </c>
    </row>
    <row r="80" spans="11:12" x14ac:dyDescent="0.45">
      <c r="K80" s="36">
        <v>78</v>
      </c>
      <c r="L80" s="95">
        <v>-459.3</v>
      </c>
    </row>
    <row r="81" spans="11:12" x14ac:dyDescent="0.45">
      <c r="K81" s="36">
        <v>79</v>
      </c>
      <c r="L81" s="95">
        <v>-481.6</v>
      </c>
    </row>
    <row r="82" spans="11:12" x14ac:dyDescent="0.45">
      <c r="K82" s="36">
        <v>80</v>
      </c>
      <c r="L82" s="95">
        <v>-486.6</v>
      </c>
    </row>
    <row r="83" spans="11:12" x14ac:dyDescent="0.45">
      <c r="K83" s="36">
        <v>81</v>
      </c>
      <c r="L83" s="95">
        <v>-504.20000000000005</v>
      </c>
    </row>
    <row r="84" spans="11:12" x14ac:dyDescent="0.45">
      <c r="K84" s="36">
        <v>82</v>
      </c>
      <c r="L84" s="95">
        <v>-537.30000000000007</v>
      </c>
    </row>
    <row r="85" spans="11:12" x14ac:dyDescent="0.45">
      <c r="K85" s="36">
        <v>83</v>
      </c>
      <c r="L85" s="95">
        <v>-524.50000000000011</v>
      </c>
    </row>
    <row r="86" spans="11:12" x14ac:dyDescent="0.45">
      <c r="K86" s="36">
        <v>84</v>
      </c>
      <c r="L86" s="95">
        <v>-525.00000000000011</v>
      </c>
    </row>
    <row r="87" spans="11:12" x14ac:dyDescent="0.45">
      <c r="K87" s="36">
        <v>85</v>
      </c>
      <c r="L87" s="95">
        <v>-509.30000000000013</v>
      </c>
    </row>
    <row r="88" spans="11:12" x14ac:dyDescent="0.45">
      <c r="K88" s="36">
        <v>86</v>
      </c>
      <c r="L88" s="95">
        <v>-500.10000000000014</v>
      </c>
    </row>
  </sheetData>
  <sortState xmlns:xlrd2="http://schemas.microsoft.com/office/spreadsheetml/2017/richdata2" ref="E2:I89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D31DC-A1BB-4540-93F5-6AC2AD443A34}">
  <sheetPr codeName="Sheet15"/>
  <dimension ref="A1:Q101"/>
  <sheetViews>
    <sheetView showGridLines="0" zoomScaleNormal="100" workbookViewId="0">
      <selection activeCell="O20" sqref="O20"/>
    </sheetView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170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99</v>
      </c>
      <c r="C2" s="159"/>
      <c r="E2" s="58" t="s">
        <v>66</v>
      </c>
      <c r="F2" s="55" t="s">
        <v>22</v>
      </c>
      <c r="G2" s="43">
        <v>188</v>
      </c>
      <c r="H2" s="128">
        <f>IF(B$15=0,0,G2/B$15)</f>
        <v>0.84304932735426008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1458.5858585858587</v>
      </c>
      <c r="P2" s="114">
        <v>99</v>
      </c>
      <c r="Q2" s="98">
        <v>144400</v>
      </c>
    </row>
    <row r="3" spans="1:17" x14ac:dyDescent="0.45">
      <c r="A3" s="51" t="s">
        <v>8</v>
      </c>
      <c r="B3" s="160">
        <v>795</v>
      </c>
      <c r="C3" s="161"/>
      <c r="E3" s="59" t="s">
        <v>64</v>
      </c>
      <c r="F3" s="56" t="s">
        <v>20</v>
      </c>
      <c r="G3" s="44">
        <v>126</v>
      </c>
      <c r="H3" s="129">
        <f>IF(B$15=0,0,G3/B$15)</f>
        <v>0.56502242152466364</v>
      </c>
      <c r="I3" s="90">
        <v>3</v>
      </c>
      <c r="K3" s="36">
        <v>1</v>
      </c>
      <c r="L3" s="95">
        <v>-9.1</v>
      </c>
      <c r="N3" s="111" t="s">
        <v>131</v>
      </c>
      <c r="O3" s="118">
        <f t="shared" si="0"/>
        <v>-1319.5876288659795</v>
      </c>
      <c r="P3" s="115">
        <v>97</v>
      </c>
      <c r="Q3" s="99">
        <v>-128000</v>
      </c>
    </row>
    <row r="4" spans="1:17" x14ac:dyDescent="0.45">
      <c r="A4" s="51" t="s">
        <v>6</v>
      </c>
      <c r="B4" s="162">
        <v>386.70000000000016</v>
      </c>
      <c r="C4" s="163"/>
      <c r="E4" s="59" t="s">
        <v>72</v>
      </c>
      <c r="F4" s="56" t="s">
        <v>27</v>
      </c>
      <c r="G4" s="44">
        <v>123</v>
      </c>
      <c r="H4" s="129">
        <f>IF(B$15=0,0,G4/B$15)</f>
        <v>0.55156950672645744</v>
      </c>
      <c r="I4" s="90">
        <v>5</v>
      </c>
      <c r="K4" s="36">
        <v>2</v>
      </c>
      <c r="L4" s="95">
        <v>-67.3</v>
      </c>
      <c r="N4" s="111" t="s">
        <v>132</v>
      </c>
      <c r="O4" s="118">
        <f t="shared" si="0"/>
        <v>-392.04545454545456</v>
      </c>
      <c r="P4" s="115">
        <v>88</v>
      </c>
      <c r="Q4" s="99">
        <v>-34500</v>
      </c>
    </row>
    <row r="5" spans="1:17" x14ac:dyDescent="0.45">
      <c r="A5" s="51" t="s">
        <v>7</v>
      </c>
      <c r="B5" s="164">
        <f>IF(B$2=0,0,B$4/B$2)</f>
        <v>3.9060606060606076</v>
      </c>
      <c r="C5" s="165"/>
      <c r="E5" s="59" t="s">
        <v>67</v>
      </c>
      <c r="F5" s="56" t="s">
        <v>23</v>
      </c>
      <c r="G5" s="44">
        <v>98</v>
      </c>
      <c r="H5" s="129">
        <f>IF(B$15=0,0,G5/B$15)</f>
        <v>0.43946188340807174</v>
      </c>
      <c r="I5" s="90">
        <v>2</v>
      </c>
      <c r="K5" s="36">
        <v>3</v>
      </c>
      <c r="L5" s="95">
        <v>-113.8</v>
      </c>
      <c r="N5" s="111" t="s">
        <v>133</v>
      </c>
      <c r="O5" s="118">
        <f t="shared" si="0"/>
        <v>2876.1904761904761</v>
      </c>
      <c r="P5" s="115">
        <v>84</v>
      </c>
      <c r="Q5" s="99">
        <v>241600</v>
      </c>
    </row>
    <row r="6" spans="1:17" x14ac:dyDescent="0.45">
      <c r="A6" s="51" t="s">
        <v>1</v>
      </c>
      <c r="B6" s="154">
        <f>IF(B$2=0,0,(B$7*1+B$8*2+B$9*3)/B$2)</f>
        <v>1.9191919191919191</v>
      </c>
      <c r="C6" s="155"/>
      <c r="E6" s="59" t="s">
        <v>68</v>
      </c>
      <c r="F6" s="56" t="s">
        <v>12</v>
      </c>
      <c r="G6" s="44">
        <v>91</v>
      </c>
      <c r="H6" s="129">
        <f>IF(B$15=0,0,G6/B$15)</f>
        <v>0.40807174887892378</v>
      </c>
      <c r="I6" s="90">
        <v>2</v>
      </c>
      <c r="K6" s="36">
        <v>4</v>
      </c>
      <c r="L6" s="95">
        <v>-74.599999999999994</v>
      </c>
      <c r="N6" s="111" t="s">
        <v>134</v>
      </c>
      <c r="O6" s="118">
        <f t="shared" si="0"/>
        <v>520</v>
      </c>
      <c r="P6" s="115">
        <v>75</v>
      </c>
      <c r="Q6" s="99">
        <v>39000</v>
      </c>
    </row>
    <row r="7" spans="1:17" x14ac:dyDescent="0.45">
      <c r="A7" s="51" t="s">
        <v>2</v>
      </c>
      <c r="B7" s="44">
        <v>39</v>
      </c>
      <c r="C7" s="37">
        <f t="shared" ref="C7:C10" si="1">IF(B$2=0,0,B7/B$2)</f>
        <v>0.39393939393939392</v>
      </c>
      <c r="E7" s="59" t="s">
        <v>166</v>
      </c>
      <c r="F7" s="56" t="s">
        <v>167</v>
      </c>
      <c r="G7" s="44">
        <v>86</v>
      </c>
      <c r="H7" s="129">
        <f>IF(B$15=0,0,G7/B$15)</f>
        <v>0.38565022421524664</v>
      </c>
      <c r="I7" s="90">
        <v>6</v>
      </c>
      <c r="K7" s="36">
        <v>5</v>
      </c>
      <c r="L7" s="95">
        <v>-118.3</v>
      </c>
      <c r="N7" s="112" t="s">
        <v>135</v>
      </c>
      <c r="O7" s="119">
        <f t="shared" si="0"/>
        <v>18.64406779661017</v>
      </c>
      <c r="P7" s="116">
        <v>59</v>
      </c>
      <c r="Q7" s="100">
        <v>1100</v>
      </c>
    </row>
    <row r="8" spans="1:17" x14ac:dyDescent="0.45">
      <c r="A8" s="51" t="s">
        <v>3</v>
      </c>
      <c r="B8" s="44">
        <v>29</v>
      </c>
      <c r="C8" s="37">
        <f t="shared" si="1"/>
        <v>0.29292929292929293</v>
      </c>
      <c r="E8" s="59" t="s">
        <v>89</v>
      </c>
      <c r="F8" s="56" t="s">
        <v>44</v>
      </c>
      <c r="G8" s="44">
        <v>51</v>
      </c>
      <c r="H8" s="129">
        <f>IF(B$15=0,0,G8/B$15)</f>
        <v>0.22869955156950672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5">
      <c r="A9" s="52" t="s">
        <v>4</v>
      </c>
      <c r="B9" s="45">
        <v>31</v>
      </c>
      <c r="C9" s="38">
        <f t="shared" si="1"/>
        <v>0.31313131313131315</v>
      </c>
      <c r="E9" s="59" t="s">
        <v>69</v>
      </c>
      <c r="F9" s="56" t="s">
        <v>24</v>
      </c>
      <c r="G9" s="44">
        <v>48</v>
      </c>
      <c r="H9" s="129">
        <f>IF(B$15=0,0,G9/B$15)</f>
        <v>0.21524663677130046</v>
      </c>
      <c r="I9" s="90">
        <v>1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11</v>
      </c>
      <c r="C10" s="40">
        <f t="shared" si="1"/>
        <v>0.1111111111111111</v>
      </c>
      <c r="E10" s="59" t="s">
        <v>65</v>
      </c>
      <c r="F10" s="56" t="s">
        <v>21</v>
      </c>
      <c r="G10" s="44">
        <v>33</v>
      </c>
      <c r="H10" s="129">
        <f>IF(B$15=0,0,G10/B$15)</f>
        <v>0.14798206278026907</v>
      </c>
      <c r="I10" s="90">
        <v>2</v>
      </c>
      <c r="K10" s="36">
        <v>8</v>
      </c>
      <c r="L10" s="95">
        <v>-110.19999999999999</v>
      </c>
      <c r="N10" s="110" t="s">
        <v>157</v>
      </c>
      <c r="O10" s="120">
        <f>IF(P10=0,0,Q10/P10)</f>
        <v>0.81851851851851876</v>
      </c>
      <c r="P10" s="114">
        <v>27</v>
      </c>
      <c r="Q10" s="102">
        <v>22.100000000000005</v>
      </c>
    </row>
    <row r="11" spans="1:17" x14ac:dyDescent="0.45">
      <c r="A11" s="54" t="s">
        <v>121</v>
      </c>
      <c r="B11" s="47">
        <v>253</v>
      </c>
      <c r="C11" s="42">
        <f>IF(B$3=0,0,B11/B$3)</f>
        <v>0.31823899371069181</v>
      </c>
      <c r="E11" s="59" t="s">
        <v>70</v>
      </c>
      <c r="F11" s="56" t="s">
        <v>25</v>
      </c>
      <c r="G11" s="44">
        <v>24</v>
      </c>
      <c r="H11" s="129">
        <f>IF(B$15=0,0,G11/B$15)</f>
        <v>0.10762331838565023</v>
      </c>
      <c r="I11" s="90">
        <v>7</v>
      </c>
      <c r="K11" s="36">
        <v>9</v>
      </c>
      <c r="L11" s="95">
        <v>-120.99999999999999</v>
      </c>
      <c r="N11" s="111" t="s">
        <v>158</v>
      </c>
      <c r="O11" s="121">
        <f>IF(P11=0,0,Q11/P11)</f>
        <v>5.9499999999999993</v>
      </c>
      <c r="P11" s="115">
        <v>40</v>
      </c>
      <c r="Q11" s="103">
        <v>237.99999999999997</v>
      </c>
    </row>
    <row r="12" spans="1:17" x14ac:dyDescent="0.45">
      <c r="A12" s="51" t="s">
        <v>118</v>
      </c>
      <c r="B12" s="44">
        <v>130</v>
      </c>
      <c r="C12" s="37">
        <f>IF(B$3=0,0,B12/B$3)</f>
        <v>0.16352201257861634</v>
      </c>
      <c r="E12" s="59" t="s">
        <v>162</v>
      </c>
      <c r="F12" s="56" t="s">
        <v>163</v>
      </c>
      <c r="G12" s="44">
        <v>16</v>
      </c>
      <c r="H12" s="129">
        <f>IF(B$15=0,0,G12/B$15)</f>
        <v>7.1748878923766815E-2</v>
      </c>
      <c r="I12" s="90">
        <v>1</v>
      </c>
      <c r="K12" s="36">
        <v>10</v>
      </c>
      <c r="L12" s="95">
        <v>-113.29999999999998</v>
      </c>
      <c r="N12" s="112" t="s">
        <v>159</v>
      </c>
      <c r="O12" s="122">
        <f>IF(P12=0,0,Q12/P12)</f>
        <v>3.9562500000000003</v>
      </c>
      <c r="P12" s="116">
        <v>32</v>
      </c>
      <c r="Q12" s="104">
        <v>126.60000000000001</v>
      </c>
    </row>
    <row r="13" spans="1:17" x14ac:dyDescent="0.45">
      <c r="A13" s="50" t="s">
        <v>123</v>
      </c>
      <c r="B13" s="43">
        <f>B19</f>
        <v>141</v>
      </c>
      <c r="C13" s="35">
        <f>IF(B$11=0,0,B13/B$11)</f>
        <v>0.55731225296442688</v>
      </c>
      <c r="E13" s="59" t="s">
        <v>71</v>
      </c>
      <c r="F13" s="56" t="s">
        <v>26</v>
      </c>
      <c r="G13" s="44">
        <v>12</v>
      </c>
      <c r="H13" s="129">
        <f>IF(B$15=0,0,G13/B$15)</f>
        <v>5.3811659192825115E-2</v>
      </c>
      <c r="I13" s="90">
        <v>11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51</v>
      </c>
      <c r="C14" s="35">
        <f>IF(B$12=0,0,B14/B$12)</f>
        <v>0.3923076923076923</v>
      </c>
      <c r="E14" s="59" t="s">
        <v>83</v>
      </c>
      <c r="F14" s="56" t="s">
        <v>38</v>
      </c>
      <c r="G14" s="44">
        <v>7</v>
      </c>
      <c r="H14" s="129">
        <f>IF(B$15=0,0,G14/B$15)</f>
        <v>3.1390134529147982E-2</v>
      </c>
      <c r="I14" s="90">
        <v>11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223</v>
      </c>
      <c r="C15" s="35">
        <f>IF(B$3=0,0,B15/B$3)</f>
        <v>0.28050314465408804</v>
      </c>
      <c r="E15" s="59" t="s">
        <v>86</v>
      </c>
      <c r="F15" s="56" t="s">
        <v>41</v>
      </c>
      <c r="G15" s="44">
        <v>7</v>
      </c>
      <c r="H15" s="129">
        <f>IF(B$15=0,0,G15/B$15)</f>
        <v>3.1390134529147982E-2</v>
      </c>
      <c r="I15" s="90">
        <v>10</v>
      </c>
      <c r="K15" s="36">
        <v>13</v>
      </c>
      <c r="L15" s="95">
        <v>-132.39999999999998</v>
      </c>
      <c r="N15" s="110" t="s">
        <v>228</v>
      </c>
      <c r="O15" s="120">
        <f t="shared" ref="O15:O23" si="2">IF(P15=0,0,Q15/P15)</f>
        <v>60.650000000000006</v>
      </c>
      <c r="P15" s="114">
        <v>2</v>
      </c>
      <c r="Q15" s="102">
        <v>121.30000000000001</v>
      </c>
    </row>
    <row r="16" spans="1:17" x14ac:dyDescent="0.45">
      <c r="A16" s="51" t="s">
        <v>13</v>
      </c>
      <c r="B16" s="44">
        <v>139</v>
      </c>
      <c r="C16" s="37">
        <f>IF(B$3=0,0,B16/B$3)</f>
        <v>0.17484276729559747</v>
      </c>
      <c r="E16" s="59" t="s">
        <v>81</v>
      </c>
      <c r="F16" s="56" t="s">
        <v>36</v>
      </c>
      <c r="G16" s="44">
        <v>4</v>
      </c>
      <c r="H16" s="129">
        <f>IF(B$15=0,0,G16/B$15)</f>
        <v>1.7937219730941704E-2</v>
      </c>
      <c r="I16" s="90">
        <v>5</v>
      </c>
      <c r="K16" s="36">
        <v>14</v>
      </c>
      <c r="L16" s="95">
        <v>-86.499999999999972</v>
      </c>
      <c r="N16" s="111" t="s">
        <v>161</v>
      </c>
      <c r="O16" s="121">
        <f t="shared" si="2"/>
        <v>37.1</v>
      </c>
      <c r="P16" s="115">
        <v>18</v>
      </c>
      <c r="Q16" s="103">
        <v>667.80000000000007</v>
      </c>
    </row>
    <row r="17" spans="1:17" x14ac:dyDescent="0.45">
      <c r="A17" s="51" t="s">
        <v>12</v>
      </c>
      <c r="B17" s="44">
        <v>117</v>
      </c>
      <c r="C17" s="37">
        <f>IF(B$15=0,0,B17/B$15)</f>
        <v>0.5246636771300448</v>
      </c>
      <c r="E17" s="59" t="s">
        <v>91</v>
      </c>
      <c r="F17" s="56" t="s">
        <v>46</v>
      </c>
      <c r="G17" s="44">
        <v>4</v>
      </c>
      <c r="H17" s="129">
        <f>IF(B$15=0,0,G17/B$15)</f>
        <v>1.7937219730941704E-2</v>
      </c>
      <c r="I17" s="90">
        <v>4</v>
      </c>
      <c r="K17" s="36">
        <v>15</v>
      </c>
      <c r="L17" s="95">
        <v>-101.79999999999997</v>
      </c>
      <c r="N17" s="111" t="s">
        <v>197</v>
      </c>
      <c r="O17" s="121">
        <f t="shared" si="2"/>
        <v>9.4086956521739165</v>
      </c>
      <c r="P17" s="115">
        <v>23</v>
      </c>
      <c r="Q17" s="103">
        <v>216.40000000000006</v>
      </c>
    </row>
    <row r="18" spans="1:17" x14ac:dyDescent="0.45">
      <c r="A18" s="51" t="s">
        <v>11</v>
      </c>
      <c r="B18" s="44">
        <v>106</v>
      </c>
      <c r="C18" s="37">
        <f>IF(B$15=0,0,B18/B$15)</f>
        <v>0.47533632286995514</v>
      </c>
      <c r="E18" s="59" t="s">
        <v>92</v>
      </c>
      <c r="F18" s="56" t="s">
        <v>47</v>
      </c>
      <c r="G18" s="44">
        <v>4</v>
      </c>
      <c r="H18" s="129">
        <f>IF(B$15=0,0,G18/B$15)</f>
        <v>1.7937219730941704E-2</v>
      </c>
      <c r="I18" s="90">
        <v>1</v>
      </c>
      <c r="K18" s="36">
        <v>16</v>
      </c>
      <c r="L18" s="95">
        <v>-63.099999999999966</v>
      </c>
      <c r="N18" s="111" t="s">
        <v>171</v>
      </c>
      <c r="O18" s="121">
        <f t="shared" si="2"/>
        <v>6.0122448979591834</v>
      </c>
      <c r="P18" s="115">
        <v>49</v>
      </c>
      <c r="Q18" s="103">
        <v>294.59999999999997</v>
      </c>
    </row>
    <row r="19" spans="1:17" x14ac:dyDescent="0.45">
      <c r="A19" s="51" t="s">
        <v>195</v>
      </c>
      <c r="B19" s="44">
        <v>141</v>
      </c>
      <c r="C19" s="37">
        <f>IF(B$15=0,0,B19/B$15)</f>
        <v>0.63228699551569512</v>
      </c>
      <c r="E19" s="59" t="s">
        <v>73</v>
      </c>
      <c r="F19" s="56" t="s">
        <v>28</v>
      </c>
      <c r="G19" s="44">
        <v>2</v>
      </c>
      <c r="H19" s="129">
        <f>IF(B$15=0,0,G19/B$15)</f>
        <v>8.9686098654708519E-3</v>
      </c>
      <c r="I19" s="90">
        <v>2</v>
      </c>
      <c r="K19" s="36">
        <v>17</v>
      </c>
      <c r="L19" s="95">
        <v>-55.799999999999969</v>
      </c>
      <c r="N19" s="111" t="s">
        <v>126</v>
      </c>
      <c r="O19" s="121">
        <f t="shared" si="2"/>
        <v>4.557894736842103</v>
      </c>
      <c r="P19" s="115">
        <v>38</v>
      </c>
      <c r="Q19" s="103">
        <v>173.1999999999999</v>
      </c>
    </row>
    <row r="20" spans="1:17" x14ac:dyDescent="0.45">
      <c r="A20" s="51" t="s">
        <v>193</v>
      </c>
      <c r="B20" s="44">
        <v>51</v>
      </c>
      <c r="C20" s="37">
        <f>IF(B$15=0,0,B20/B$15)</f>
        <v>0.22869955156950672</v>
      </c>
      <c r="E20" s="59" t="s">
        <v>78</v>
      </c>
      <c r="F20" s="56" t="s">
        <v>33</v>
      </c>
      <c r="G20" s="44">
        <v>2</v>
      </c>
      <c r="H20" s="129">
        <f>IF(B$15=0,0,G20/B$15)</f>
        <v>8.9686098654708519E-3</v>
      </c>
      <c r="I20" s="90">
        <v>8</v>
      </c>
      <c r="K20" s="36">
        <v>18</v>
      </c>
      <c r="L20" s="95">
        <v>-24.999999999999968</v>
      </c>
      <c r="N20" s="111" t="s">
        <v>172</v>
      </c>
      <c r="O20" s="121">
        <f t="shared" si="2"/>
        <v>-2.5450000000000008</v>
      </c>
      <c r="P20" s="115">
        <v>20</v>
      </c>
      <c r="Q20" s="103">
        <v>-50.90000000000002</v>
      </c>
    </row>
    <row r="21" spans="1:17" x14ac:dyDescent="0.45">
      <c r="A21" s="51" t="s">
        <v>194</v>
      </c>
      <c r="B21" s="44">
        <v>31</v>
      </c>
      <c r="C21" s="37">
        <f>IF(B$15=0,0,B21/B$15)</f>
        <v>0.13901345291479822</v>
      </c>
      <c r="E21" s="59" t="s">
        <v>79</v>
      </c>
      <c r="F21" s="56" t="s">
        <v>34</v>
      </c>
      <c r="G21" s="44">
        <v>2</v>
      </c>
      <c r="H21" s="129">
        <f>IF(B$15=0,0,G21/B$15)</f>
        <v>8.9686098654708519E-3</v>
      </c>
      <c r="I21" s="90">
        <v>7</v>
      </c>
      <c r="K21" s="36">
        <v>19</v>
      </c>
      <c r="L21" s="95">
        <v>-27.799999999999969</v>
      </c>
      <c r="N21" s="111" t="s">
        <v>127</v>
      </c>
      <c r="O21" s="121">
        <f t="shared" si="2"/>
        <v>-3.584210526315792</v>
      </c>
      <c r="P21" s="115">
        <v>38</v>
      </c>
      <c r="Q21" s="103">
        <v>-136.2000000000001</v>
      </c>
    </row>
    <row r="22" spans="1:17" x14ac:dyDescent="0.45">
      <c r="A22" s="51" t="s">
        <v>5</v>
      </c>
      <c r="B22" s="48">
        <f>IF(B$15=0,0,C22/B$15)</f>
        <v>10865.470852017937</v>
      </c>
      <c r="C22" s="39">
        <v>2423000</v>
      </c>
      <c r="E22" s="59" t="s">
        <v>84</v>
      </c>
      <c r="F22" s="56" t="s">
        <v>39</v>
      </c>
      <c r="G22" s="44">
        <v>2</v>
      </c>
      <c r="H22" s="129">
        <f>IF(B$15=0,0,G22/B$15)</f>
        <v>8.9686098654708519E-3</v>
      </c>
      <c r="I22" s="90">
        <v>1</v>
      </c>
      <c r="K22" s="36">
        <v>20</v>
      </c>
      <c r="L22" s="95">
        <v>-50.39999999999997</v>
      </c>
      <c r="N22" s="111" t="s">
        <v>274</v>
      </c>
      <c r="O22" s="121">
        <f t="shared" si="2"/>
        <v>-6.6499999999999968</v>
      </c>
      <c r="P22" s="115">
        <v>2</v>
      </c>
      <c r="Q22" s="103">
        <v>-13.299999999999994</v>
      </c>
    </row>
    <row r="23" spans="1:17" x14ac:dyDescent="0.45">
      <c r="A23" s="52" t="s">
        <v>177</v>
      </c>
      <c r="B23" s="136">
        <f>IF($B$15-B$14=0,0,C23/($B$15-B$14))</f>
        <v>11547.674418604651</v>
      </c>
      <c r="C23" s="137">
        <v>1986200</v>
      </c>
      <c r="E23" s="59" t="s">
        <v>90</v>
      </c>
      <c r="F23" s="56" t="s">
        <v>45</v>
      </c>
      <c r="G23" s="44">
        <v>2</v>
      </c>
      <c r="H23" s="129">
        <f>IF(B$15=0,0,G23/B$15)</f>
        <v>8.9686098654708519E-3</v>
      </c>
      <c r="I23" s="90">
        <v>1</v>
      </c>
      <c r="K23" s="36">
        <v>21</v>
      </c>
      <c r="L23" s="95">
        <v>-59.89999999999997</v>
      </c>
      <c r="N23" s="111" t="s">
        <v>196</v>
      </c>
      <c r="O23" s="121">
        <f t="shared" si="2"/>
        <v>-14.099999999999998</v>
      </c>
      <c r="P23" s="115">
        <v>8</v>
      </c>
      <c r="Q23" s="103">
        <v>-112.79999999999998</v>
      </c>
    </row>
    <row r="24" spans="1:17" x14ac:dyDescent="0.45">
      <c r="A24" s="52" t="s">
        <v>178</v>
      </c>
      <c r="B24" s="136">
        <f>IF(B$14=0,0,C24/B$14)</f>
        <v>8564.7058823529405</v>
      </c>
      <c r="C24" s="137">
        <v>436800</v>
      </c>
      <c r="E24" s="59" t="s">
        <v>75</v>
      </c>
      <c r="F24" s="56" t="s">
        <v>30</v>
      </c>
      <c r="G24" s="44">
        <v>1</v>
      </c>
      <c r="H24" s="129">
        <f>IF(B$15=0,0,G24/B$15)</f>
        <v>4.4843049327354259E-3</v>
      </c>
      <c r="I24" s="90">
        <v>7</v>
      </c>
      <c r="K24" s="36">
        <v>22</v>
      </c>
      <c r="L24" s="95">
        <v>-21.799999999999969</v>
      </c>
    </row>
    <row r="25" spans="1:17" x14ac:dyDescent="0.45">
      <c r="A25" s="52" t="s">
        <v>176</v>
      </c>
      <c r="B25" s="136">
        <f>IF(B$16=0,0,C25/B$16)</f>
        <v>-8434.5323741007196</v>
      </c>
      <c r="C25" s="137">
        <v>-1172400</v>
      </c>
      <c r="E25" s="59" t="s">
        <v>85</v>
      </c>
      <c r="F25" s="56" t="s">
        <v>40</v>
      </c>
      <c r="G25" s="44">
        <v>1</v>
      </c>
      <c r="H25" s="129">
        <f>IF(B$15=0,0,G25/B$15)</f>
        <v>4.4843049327354259E-3</v>
      </c>
      <c r="I25" s="90">
        <v>4</v>
      </c>
      <c r="K25" s="36">
        <v>23</v>
      </c>
      <c r="L25" s="95">
        <v>-10.299999999999969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93</v>
      </c>
      <c r="F26" s="56" t="s">
        <v>48</v>
      </c>
      <c r="G26" s="44">
        <v>1</v>
      </c>
      <c r="H26" s="129">
        <f>IF(B$15=0,0,G26/B$15)</f>
        <v>4.4843049327354259E-3</v>
      </c>
      <c r="I26" s="90">
        <v>2</v>
      </c>
      <c r="K26" s="36">
        <v>24</v>
      </c>
      <c r="L26" s="95">
        <v>-51.39999999999997</v>
      </c>
    </row>
    <row r="27" spans="1:17" x14ac:dyDescent="0.45">
      <c r="A27" s="51" t="s">
        <v>165</v>
      </c>
      <c r="B27" s="44">
        <v>25</v>
      </c>
      <c r="C27" s="131">
        <v>11</v>
      </c>
      <c r="E27" s="59" t="s">
        <v>97</v>
      </c>
      <c r="F27" s="56" t="s">
        <v>52</v>
      </c>
      <c r="G27" s="44">
        <v>1</v>
      </c>
      <c r="H27" s="129">
        <f>IF(B$15=0,0,G27/B$15)</f>
        <v>4.4843049327354259E-3</v>
      </c>
      <c r="I27" s="90">
        <v>1</v>
      </c>
      <c r="K27" s="36">
        <v>25</v>
      </c>
      <c r="L27" s="95">
        <v>-37.699999999999974</v>
      </c>
    </row>
    <row r="28" spans="1:17" x14ac:dyDescent="0.45">
      <c r="A28" s="86" t="s">
        <v>138</v>
      </c>
      <c r="B28" s="152">
        <v>8</v>
      </c>
      <c r="C28" s="153"/>
      <c r="E28" s="59" t="s">
        <v>74</v>
      </c>
      <c r="F28" s="56" t="s">
        <v>29</v>
      </c>
      <c r="G28" s="44">
        <v>0</v>
      </c>
      <c r="H28" s="129">
        <f>IF(B$15=0,0,G28/B$15)</f>
        <v>0</v>
      </c>
      <c r="I28" s="90">
        <v>7</v>
      </c>
      <c r="K28" s="36">
        <v>26</v>
      </c>
      <c r="L28" s="95">
        <v>-84.999999999999972</v>
      </c>
    </row>
    <row r="29" spans="1:17" x14ac:dyDescent="0.45">
      <c r="A29" s="54" t="s">
        <v>192</v>
      </c>
      <c r="B29" s="150">
        <v>122100</v>
      </c>
      <c r="C29" s="151"/>
      <c r="E29" s="59" t="s">
        <v>76</v>
      </c>
      <c r="F29" s="56" t="s">
        <v>31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-31.499999999999972</v>
      </c>
    </row>
    <row r="30" spans="1:17" x14ac:dyDescent="0.45">
      <c r="A30" s="53" t="s">
        <v>139</v>
      </c>
      <c r="B30" s="61">
        <v>1</v>
      </c>
      <c r="C30" s="40">
        <f>IF(B$3=0,0,B30/B$3)</f>
        <v>1.2578616352201257E-3</v>
      </c>
      <c r="E30" s="59" t="s">
        <v>77</v>
      </c>
      <c r="F30" s="56" t="s">
        <v>32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-10.999999999999972</v>
      </c>
    </row>
    <row r="31" spans="1:17" x14ac:dyDescent="0.45">
      <c r="E31" s="59" t="s">
        <v>80</v>
      </c>
      <c r="F31" s="56" t="s">
        <v>35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-16.499999999999972</v>
      </c>
    </row>
    <row r="32" spans="1:17" x14ac:dyDescent="0.45">
      <c r="A32" s="86" t="s">
        <v>183</v>
      </c>
      <c r="B32" s="144">
        <v>5</v>
      </c>
      <c r="C32" s="141">
        <f>IF(B$15=0,0,B32/B$15)</f>
        <v>2.2421524663677129E-2</v>
      </c>
      <c r="E32" s="59" t="s">
        <v>82</v>
      </c>
      <c r="F32" s="56" t="s">
        <v>37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30.900000000000027</v>
      </c>
    </row>
    <row r="33" spans="1:12" x14ac:dyDescent="0.45">
      <c r="A33" s="51" t="s">
        <v>179</v>
      </c>
      <c r="B33" s="44">
        <v>19</v>
      </c>
      <c r="C33" s="37">
        <f t="shared" ref="C33:C44" si="3">IF(B$15=0,0,B33/B$15)</f>
        <v>8.520179372197309E-2</v>
      </c>
      <c r="E33" s="59" t="s">
        <v>87</v>
      </c>
      <c r="F33" s="56" t="s">
        <v>42</v>
      </c>
      <c r="G33" s="44">
        <v>0</v>
      </c>
      <c r="H33" s="129">
        <f>IF(B$15=0,0,G33/B$15)</f>
        <v>0</v>
      </c>
      <c r="I33" s="90">
        <v>4</v>
      </c>
      <c r="K33" s="36">
        <v>31</v>
      </c>
      <c r="L33" s="95">
        <v>73.900000000000034</v>
      </c>
    </row>
    <row r="34" spans="1:12" x14ac:dyDescent="0.45">
      <c r="A34" s="51" t="s">
        <v>180</v>
      </c>
      <c r="B34" s="145">
        <v>28</v>
      </c>
      <c r="C34" s="37">
        <f>IF(B$15=0,0,B34/B$15)</f>
        <v>0.12556053811659193</v>
      </c>
      <c r="E34" s="59" t="s">
        <v>88</v>
      </c>
      <c r="F34" s="56" t="s">
        <v>43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96.100000000000037</v>
      </c>
    </row>
    <row r="35" spans="1:12" x14ac:dyDescent="0.45">
      <c r="A35" s="51" t="s">
        <v>181</v>
      </c>
      <c r="B35" s="145">
        <v>40</v>
      </c>
      <c r="C35" s="37">
        <f t="shared" si="3"/>
        <v>0.17937219730941703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112.00000000000004</v>
      </c>
    </row>
    <row r="36" spans="1:12" x14ac:dyDescent="0.45">
      <c r="A36" s="51" t="s">
        <v>182</v>
      </c>
      <c r="B36" s="145">
        <v>56</v>
      </c>
      <c r="C36" s="37">
        <f t="shared" si="3"/>
        <v>0.25112107623318386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110.00000000000004</v>
      </c>
    </row>
    <row r="37" spans="1:12" x14ac:dyDescent="0.45">
      <c r="A37" s="51" t="s">
        <v>184</v>
      </c>
      <c r="B37" s="145">
        <v>25</v>
      </c>
      <c r="C37" s="37">
        <f t="shared" si="3"/>
        <v>0.11210762331838565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140.50000000000006</v>
      </c>
    </row>
    <row r="38" spans="1:12" x14ac:dyDescent="0.45">
      <c r="A38" s="51" t="s">
        <v>185</v>
      </c>
      <c r="B38" s="145">
        <v>20</v>
      </c>
      <c r="C38" s="37">
        <f t="shared" si="3"/>
        <v>8.9686098654708515E-2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105.40000000000006</v>
      </c>
    </row>
    <row r="39" spans="1:12" x14ac:dyDescent="0.45">
      <c r="A39" s="51" t="s">
        <v>186</v>
      </c>
      <c r="B39" s="145">
        <v>15</v>
      </c>
      <c r="C39" s="37">
        <f t="shared" si="3"/>
        <v>6.726457399103139E-2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146.30000000000007</v>
      </c>
    </row>
    <row r="40" spans="1:12" x14ac:dyDescent="0.45">
      <c r="A40" s="51" t="s">
        <v>187</v>
      </c>
      <c r="B40" s="145">
        <v>4</v>
      </c>
      <c r="C40" s="37">
        <f t="shared" si="3"/>
        <v>1.7937219730941704E-2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129.30000000000007</v>
      </c>
    </row>
    <row r="41" spans="1:12" x14ac:dyDescent="0.45">
      <c r="A41" s="51" t="s">
        <v>188</v>
      </c>
      <c r="B41" s="145">
        <v>2</v>
      </c>
      <c r="C41" s="37">
        <f t="shared" si="3"/>
        <v>8.9686098654708519E-3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101.20000000000007</v>
      </c>
    </row>
    <row r="42" spans="1:12" x14ac:dyDescent="0.45">
      <c r="A42" s="51" t="s">
        <v>189</v>
      </c>
      <c r="B42" s="145">
        <v>2</v>
      </c>
      <c r="C42" s="37">
        <f t="shared" si="3"/>
        <v>8.9686098654708519E-3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71.200000000000074</v>
      </c>
    </row>
    <row r="43" spans="1:12" x14ac:dyDescent="0.45">
      <c r="A43" s="51" t="s">
        <v>190</v>
      </c>
      <c r="B43" s="145">
        <v>1</v>
      </c>
      <c r="C43" s="37">
        <f t="shared" si="3"/>
        <v>4.4843049327354259E-3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67.900000000000077</v>
      </c>
    </row>
    <row r="44" spans="1:12" x14ac:dyDescent="0.45">
      <c r="A44" s="53" t="s">
        <v>191</v>
      </c>
      <c r="B44" s="140">
        <v>6</v>
      </c>
      <c r="C44" s="40">
        <f t="shared" si="3"/>
        <v>2.6905829596412557E-2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109.90000000000008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78.300000000000068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107.10000000000007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85.800000000000068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154.90000000000006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190.40000000000006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269.00000000000006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269.30000000000007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304.40000000000009</v>
      </c>
    </row>
    <row r="53" spans="5:12" x14ac:dyDescent="0.45">
      <c r="K53" s="36">
        <v>51</v>
      </c>
      <c r="L53" s="95">
        <v>282.10000000000008</v>
      </c>
    </row>
    <row r="54" spans="5:12" x14ac:dyDescent="0.45">
      <c r="K54" s="36">
        <v>52</v>
      </c>
      <c r="L54" s="95">
        <v>325.2000000000001</v>
      </c>
    </row>
    <row r="55" spans="5:12" x14ac:dyDescent="0.45">
      <c r="K55" s="36">
        <v>53</v>
      </c>
      <c r="L55" s="95">
        <v>301.2000000000001</v>
      </c>
    </row>
    <row r="56" spans="5:12" x14ac:dyDescent="0.45">
      <c r="K56" s="36">
        <v>54</v>
      </c>
      <c r="L56" s="95">
        <v>296.2000000000001</v>
      </c>
    </row>
    <row r="57" spans="5:12" x14ac:dyDescent="0.45">
      <c r="K57" s="36">
        <v>55</v>
      </c>
      <c r="L57" s="95">
        <v>259.10000000000008</v>
      </c>
    </row>
    <row r="58" spans="5:12" x14ac:dyDescent="0.45">
      <c r="K58" s="36">
        <v>56</v>
      </c>
      <c r="L58" s="95">
        <v>246.70000000000007</v>
      </c>
    </row>
    <row r="59" spans="5:12" x14ac:dyDescent="0.45">
      <c r="K59" s="36">
        <v>57</v>
      </c>
      <c r="L59" s="95">
        <v>291.80000000000007</v>
      </c>
    </row>
    <row r="60" spans="5:12" x14ac:dyDescent="0.45">
      <c r="K60" s="36">
        <v>58</v>
      </c>
      <c r="L60" s="95">
        <v>308.80000000000007</v>
      </c>
    </row>
    <row r="61" spans="5:12" x14ac:dyDescent="0.45">
      <c r="K61" s="36">
        <v>59</v>
      </c>
      <c r="L61" s="95">
        <v>357.80000000000007</v>
      </c>
    </row>
    <row r="62" spans="5:12" x14ac:dyDescent="0.45">
      <c r="K62" s="36">
        <v>60</v>
      </c>
      <c r="L62" s="95">
        <v>364.90000000000009</v>
      </c>
    </row>
    <row r="63" spans="5:12" x14ac:dyDescent="0.45">
      <c r="K63" s="36">
        <v>61</v>
      </c>
      <c r="L63" s="95">
        <v>351.80000000000007</v>
      </c>
    </row>
    <row r="64" spans="5:12" x14ac:dyDescent="0.45">
      <c r="K64" s="36">
        <v>62</v>
      </c>
      <c r="L64" s="95">
        <v>338.80000000000007</v>
      </c>
    </row>
    <row r="65" spans="11:12" x14ac:dyDescent="0.45">
      <c r="K65" s="36">
        <v>63</v>
      </c>
      <c r="L65" s="95">
        <v>319.30000000000007</v>
      </c>
    </row>
    <row r="66" spans="11:12" x14ac:dyDescent="0.45">
      <c r="K66" s="36">
        <v>64</v>
      </c>
      <c r="L66" s="95">
        <v>273.80000000000007</v>
      </c>
    </row>
    <row r="67" spans="11:12" x14ac:dyDescent="0.45">
      <c r="K67" s="36">
        <v>65</v>
      </c>
      <c r="L67" s="95">
        <v>333.00000000000006</v>
      </c>
    </row>
    <row r="68" spans="11:12" x14ac:dyDescent="0.45">
      <c r="K68" s="36">
        <v>66</v>
      </c>
      <c r="L68" s="95">
        <v>368.80000000000007</v>
      </c>
    </row>
    <row r="69" spans="11:12" x14ac:dyDescent="0.45">
      <c r="K69" s="36">
        <v>67</v>
      </c>
      <c r="L69" s="95">
        <v>360.90000000000009</v>
      </c>
    </row>
    <row r="70" spans="11:12" x14ac:dyDescent="0.45">
      <c r="K70" s="36">
        <v>68</v>
      </c>
      <c r="L70" s="95">
        <v>458.00000000000011</v>
      </c>
    </row>
    <row r="71" spans="11:12" x14ac:dyDescent="0.45">
      <c r="K71" s="36">
        <v>69</v>
      </c>
      <c r="L71" s="95">
        <v>455.2000000000001</v>
      </c>
    </row>
    <row r="72" spans="11:12" x14ac:dyDescent="0.45">
      <c r="K72" s="36">
        <v>70</v>
      </c>
      <c r="L72" s="95">
        <v>422.90000000000009</v>
      </c>
    </row>
    <row r="73" spans="11:12" x14ac:dyDescent="0.45">
      <c r="K73" s="36">
        <v>71</v>
      </c>
      <c r="L73" s="95">
        <v>435.7000000000001</v>
      </c>
    </row>
    <row r="74" spans="11:12" x14ac:dyDescent="0.45">
      <c r="K74" s="36">
        <v>72</v>
      </c>
      <c r="L74" s="95">
        <v>466.40000000000009</v>
      </c>
    </row>
    <row r="75" spans="11:12" x14ac:dyDescent="0.45">
      <c r="K75" s="36">
        <v>73</v>
      </c>
      <c r="L75" s="95">
        <v>406.10000000000008</v>
      </c>
    </row>
    <row r="76" spans="11:12" x14ac:dyDescent="0.45">
      <c r="K76" s="36">
        <v>74</v>
      </c>
      <c r="L76" s="95">
        <v>360.50000000000006</v>
      </c>
    </row>
    <row r="77" spans="11:12" x14ac:dyDescent="0.45">
      <c r="K77" s="36">
        <v>75</v>
      </c>
      <c r="L77" s="95">
        <v>332.60000000000008</v>
      </c>
    </row>
    <row r="78" spans="11:12" x14ac:dyDescent="0.45">
      <c r="K78" s="36">
        <v>76</v>
      </c>
      <c r="L78" s="95">
        <v>325.7000000000001</v>
      </c>
    </row>
    <row r="79" spans="11:12" x14ac:dyDescent="0.45">
      <c r="K79" s="36">
        <v>77</v>
      </c>
      <c r="L79" s="95">
        <v>368.00000000000011</v>
      </c>
    </row>
    <row r="80" spans="11:12" x14ac:dyDescent="0.45">
      <c r="K80" s="36">
        <v>78</v>
      </c>
      <c r="L80" s="95">
        <v>312.50000000000011</v>
      </c>
    </row>
    <row r="81" spans="11:12" x14ac:dyDescent="0.45">
      <c r="K81" s="36">
        <v>79</v>
      </c>
      <c r="L81" s="95">
        <v>263.80000000000013</v>
      </c>
    </row>
    <row r="82" spans="11:12" x14ac:dyDescent="0.45">
      <c r="K82" s="36">
        <v>80</v>
      </c>
      <c r="L82" s="95">
        <v>245.50000000000011</v>
      </c>
    </row>
    <row r="83" spans="11:12" x14ac:dyDescent="0.45">
      <c r="K83" s="36">
        <v>81</v>
      </c>
      <c r="L83" s="95">
        <v>200.30000000000013</v>
      </c>
    </row>
    <row r="84" spans="11:12" x14ac:dyDescent="0.45">
      <c r="K84" s="36">
        <v>82</v>
      </c>
      <c r="L84" s="95">
        <v>229.10000000000014</v>
      </c>
    </row>
    <row r="85" spans="11:12" x14ac:dyDescent="0.45">
      <c r="K85" s="36">
        <v>83</v>
      </c>
      <c r="L85" s="95">
        <v>230.70000000000013</v>
      </c>
    </row>
    <row r="86" spans="11:12" x14ac:dyDescent="0.45">
      <c r="K86" s="36">
        <v>84</v>
      </c>
      <c r="L86" s="95">
        <v>201.10000000000014</v>
      </c>
    </row>
    <row r="87" spans="11:12" x14ac:dyDescent="0.45">
      <c r="K87" s="36">
        <v>85</v>
      </c>
      <c r="L87" s="95">
        <v>200.20000000000013</v>
      </c>
    </row>
    <row r="88" spans="11:12" x14ac:dyDescent="0.45">
      <c r="K88" s="36">
        <v>86</v>
      </c>
      <c r="L88" s="95">
        <v>211.70000000000013</v>
      </c>
    </row>
    <row r="89" spans="11:12" x14ac:dyDescent="0.45">
      <c r="K89" s="36">
        <v>87</v>
      </c>
      <c r="L89" s="95">
        <v>186.30000000000013</v>
      </c>
    </row>
    <row r="90" spans="11:12" x14ac:dyDescent="0.45">
      <c r="K90" s="36">
        <v>88</v>
      </c>
      <c r="L90" s="95">
        <v>163.60000000000014</v>
      </c>
    </row>
    <row r="91" spans="11:12" x14ac:dyDescent="0.45">
      <c r="K91" s="36">
        <v>89</v>
      </c>
      <c r="L91" s="95">
        <v>188.60000000000014</v>
      </c>
    </row>
    <row r="92" spans="11:12" x14ac:dyDescent="0.45">
      <c r="K92" s="36">
        <v>90</v>
      </c>
      <c r="L92" s="95">
        <v>236.10000000000014</v>
      </c>
    </row>
    <row r="93" spans="11:12" x14ac:dyDescent="0.45">
      <c r="K93" s="36">
        <v>91</v>
      </c>
      <c r="L93" s="95">
        <v>240.30000000000013</v>
      </c>
    </row>
    <row r="94" spans="11:12" x14ac:dyDescent="0.45">
      <c r="K94" s="36">
        <v>92</v>
      </c>
      <c r="L94" s="95">
        <v>286.50000000000011</v>
      </c>
    </row>
    <row r="95" spans="11:12" x14ac:dyDescent="0.45">
      <c r="K95" s="36">
        <v>93</v>
      </c>
      <c r="L95" s="95">
        <v>263.30000000000013</v>
      </c>
    </row>
    <row r="96" spans="11:12" x14ac:dyDescent="0.45">
      <c r="K96" s="36">
        <v>94</v>
      </c>
      <c r="L96" s="95">
        <v>299.60000000000014</v>
      </c>
    </row>
    <row r="97" spans="11:12" x14ac:dyDescent="0.45">
      <c r="K97" s="36">
        <v>95</v>
      </c>
      <c r="L97" s="95">
        <v>335.30000000000013</v>
      </c>
    </row>
    <row r="98" spans="11:12" x14ac:dyDescent="0.45">
      <c r="K98" s="36">
        <v>96</v>
      </c>
      <c r="L98" s="95">
        <v>335.40000000000015</v>
      </c>
    </row>
    <row r="99" spans="11:12" x14ac:dyDescent="0.45">
      <c r="K99" s="36">
        <v>97</v>
      </c>
      <c r="L99" s="95">
        <v>334.70000000000016</v>
      </c>
    </row>
    <row r="100" spans="11:12" x14ac:dyDescent="0.45">
      <c r="K100" s="36">
        <v>98</v>
      </c>
      <c r="L100" s="95">
        <v>349.00000000000017</v>
      </c>
    </row>
    <row r="101" spans="11:12" x14ac:dyDescent="0.45">
      <c r="K101" s="36">
        <v>99</v>
      </c>
      <c r="L101" s="95">
        <v>386.70000000000016</v>
      </c>
    </row>
  </sheetData>
  <sortState xmlns:xlrd2="http://schemas.microsoft.com/office/spreadsheetml/2017/richdata2" ref="E2:I102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A29E7-338E-4A8A-AF8E-B7CF03599549}">
  <sheetPr codeName="Sheet17"/>
  <dimension ref="A1:Q113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171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111</v>
      </c>
      <c r="C2" s="159"/>
      <c r="E2" s="58" t="s">
        <v>66</v>
      </c>
      <c r="F2" s="55" t="s">
        <v>22</v>
      </c>
      <c r="G2" s="43">
        <v>196</v>
      </c>
      <c r="H2" s="128">
        <f>IF(B$15=0,0,G2/B$15)</f>
        <v>0.75968992248062017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442.34234234234236</v>
      </c>
      <c r="P2" s="114">
        <v>111</v>
      </c>
      <c r="Q2" s="98">
        <v>49100</v>
      </c>
    </row>
    <row r="3" spans="1:17" x14ac:dyDescent="0.45">
      <c r="A3" s="51" t="s">
        <v>8</v>
      </c>
      <c r="B3" s="160">
        <v>889</v>
      </c>
      <c r="C3" s="161"/>
      <c r="E3" s="59" t="s">
        <v>72</v>
      </c>
      <c r="F3" s="56" t="s">
        <v>27</v>
      </c>
      <c r="G3" s="44">
        <v>142</v>
      </c>
      <c r="H3" s="129">
        <f>IF(B$15=0,0,G3/B$15)</f>
        <v>0.55038759689922478</v>
      </c>
      <c r="I3" s="90">
        <v>6</v>
      </c>
      <c r="K3" s="36">
        <v>1</v>
      </c>
      <c r="L3" s="95">
        <v>46.9</v>
      </c>
      <c r="N3" s="111" t="s">
        <v>131</v>
      </c>
      <c r="O3" s="118">
        <f t="shared" si="0"/>
        <v>332.40740740740739</v>
      </c>
      <c r="P3" s="115">
        <v>108</v>
      </c>
      <c r="Q3" s="99">
        <v>35900</v>
      </c>
    </row>
    <row r="4" spans="1:17" x14ac:dyDescent="0.45">
      <c r="A4" s="51" t="s">
        <v>6</v>
      </c>
      <c r="B4" s="162">
        <v>106.3</v>
      </c>
      <c r="C4" s="163"/>
      <c r="E4" s="59" t="s">
        <v>64</v>
      </c>
      <c r="F4" s="56" t="s">
        <v>20</v>
      </c>
      <c r="G4" s="44">
        <v>132</v>
      </c>
      <c r="H4" s="129">
        <f>IF(B$15=0,0,G4/B$15)</f>
        <v>0.51162790697674421</v>
      </c>
      <c r="I4" s="90">
        <v>6</v>
      </c>
      <c r="K4" s="36">
        <v>2</v>
      </c>
      <c r="L4" s="95">
        <v>8.1000000000000014</v>
      </c>
      <c r="N4" s="111" t="s">
        <v>132</v>
      </c>
      <c r="O4" s="118">
        <f t="shared" si="0"/>
        <v>658.82352941176475</v>
      </c>
      <c r="P4" s="115">
        <v>102</v>
      </c>
      <c r="Q4" s="99">
        <v>67200</v>
      </c>
    </row>
    <row r="5" spans="1:17" x14ac:dyDescent="0.45">
      <c r="A5" s="51" t="s">
        <v>7</v>
      </c>
      <c r="B5" s="164">
        <f>IF(B$2=0,0,B$4/B$2)</f>
        <v>0.95765765765765765</v>
      </c>
      <c r="C5" s="165"/>
      <c r="E5" s="59" t="s">
        <v>166</v>
      </c>
      <c r="F5" s="56" t="s">
        <v>167</v>
      </c>
      <c r="G5" s="44">
        <v>118</v>
      </c>
      <c r="H5" s="129">
        <f>IF(B$15=0,0,G5/B$15)</f>
        <v>0.4573643410852713</v>
      </c>
      <c r="I5" s="90">
        <v>1</v>
      </c>
      <c r="K5" s="36">
        <v>3</v>
      </c>
      <c r="L5" s="95">
        <v>25.8</v>
      </c>
      <c r="N5" s="111" t="s">
        <v>133</v>
      </c>
      <c r="O5" s="118">
        <f t="shared" si="0"/>
        <v>98.924731182795696</v>
      </c>
      <c r="P5" s="115">
        <v>93</v>
      </c>
      <c r="Q5" s="99">
        <v>9200</v>
      </c>
    </row>
    <row r="6" spans="1:17" x14ac:dyDescent="0.45">
      <c r="A6" s="51" t="s">
        <v>1</v>
      </c>
      <c r="B6" s="154">
        <f>IF(B$2=0,0,(B$7*1+B$8*2+B$9*3)/B$2)</f>
        <v>2.0180180180180178</v>
      </c>
      <c r="C6" s="155"/>
      <c r="E6" s="59" t="s">
        <v>67</v>
      </c>
      <c r="F6" s="56" t="s">
        <v>23</v>
      </c>
      <c r="G6" s="44">
        <v>96</v>
      </c>
      <c r="H6" s="129">
        <f>IF(B$15=0,0,G6/B$15)</f>
        <v>0.37209302325581395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-69.512195121951223</v>
      </c>
      <c r="P6" s="115">
        <v>82</v>
      </c>
      <c r="Q6" s="99">
        <v>-5700</v>
      </c>
    </row>
    <row r="7" spans="1:17" x14ac:dyDescent="0.45">
      <c r="A7" s="51" t="s">
        <v>2</v>
      </c>
      <c r="B7" s="44">
        <v>29</v>
      </c>
      <c r="C7" s="37">
        <f t="shared" ref="C7:C10" si="1">IF(B$2=0,0,B7/B$2)</f>
        <v>0.26126126126126126</v>
      </c>
      <c r="E7" s="59" t="s">
        <v>68</v>
      </c>
      <c r="F7" s="56" t="s">
        <v>12</v>
      </c>
      <c r="G7" s="44">
        <v>86</v>
      </c>
      <c r="H7" s="129">
        <f>IF(B$15=0,0,G7/B$15)</f>
        <v>0.33333333333333331</v>
      </c>
      <c r="I7" s="90">
        <v>3</v>
      </c>
      <c r="K7" s="36">
        <v>5</v>
      </c>
      <c r="L7" s="95">
        <v>-1.6000000000000014</v>
      </c>
      <c r="N7" s="112" t="s">
        <v>135</v>
      </c>
      <c r="O7" s="119">
        <f t="shared" si="0"/>
        <v>-801.42857142857144</v>
      </c>
      <c r="P7" s="116">
        <v>70</v>
      </c>
      <c r="Q7" s="100">
        <v>-56100</v>
      </c>
    </row>
    <row r="8" spans="1:17" x14ac:dyDescent="0.45">
      <c r="A8" s="51" t="s">
        <v>3</v>
      </c>
      <c r="B8" s="44">
        <v>51</v>
      </c>
      <c r="C8" s="37">
        <f t="shared" si="1"/>
        <v>0.45945945945945948</v>
      </c>
      <c r="E8" s="59" t="s">
        <v>69</v>
      </c>
      <c r="F8" s="56" t="s">
        <v>24</v>
      </c>
      <c r="G8" s="44">
        <v>36</v>
      </c>
      <c r="H8" s="129">
        <f>IF(B$15=0,0,G8/B$15)</f>
        <v>0.13953488372093023</v>
      </c>
      <c r="I8" s="90">
        <v>6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31</v>
      </c>
      <c r="C9" s="38">
        <f t="shared" si="1"/>
        <v>0.27927927927927926</v>
      </c>
      <c r="E9" s="59" t="s">
        <v>89</v>
      </c>
      <c r="F9" s="56" t="s">
        <v>44</v>
      </c>
      <c r="G9" s="44">
        <v>29</v>
      </c>
      <c r="H9" s="129">
        <f>IF(B$15=0,0,G9/B$15)</f>
        <v>0.1124031007751938</v>
      </c>
      <c r="I9" s="90">
        <v>9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8</v>
      </c>
      <c r="C10" s="40">
        <f t="shared" si="1"/>
        <v>7.2072072072072071E-2</v>
      </c>
      <c r="E10" s="59" t="s">
        <v>71</v>
      </c>
      <c r="F10" s="56" t="s">
        <v>26</v>
      </c>
      <c r="G10" s="44">
        <v>26</v>
      </c>
      <c r="H10" s="129">
        <f>IF(B$15=0,0,G10/B$15)</f>
        <v>0.10077519379844961</v>
      </c>
      <c r="I10" s="90">
        <v>5</v>
      </c>
      <c r="K10" s="36">
        <v>8</v>
      </c>
      <c r="L10" s="95">
        <v>-46.7</v>
      </c>
      <c r="N10" s="110" t="s">
        <v>157</v>
      </c>
      <c r="O10" s="120">
        <f>IF(P10=0,0,Q10/P10)</f>
        <v>0.3645833333333332</v>
      </c>
      <c r="P10" s="114">
        <v>48</v>
      </c>
      <c r="Q10" s="102">
        <v>17.499999999999993</v>
      </c>
    </row>
    <row r="11" spans="1:17" x14ac:dyDescent="0.45">
      <c r="A11" s="54" t="s">
        <v>121</v>
      </c>
      <c r="B11" s="47">
        <v>239</v>
      </c>
      <c r="C11" s="42">
        <f>IF(B$3=0,0,B11/B$3)</f>
        <v>0.26884139482564678</v>
      </c>
      <c r="E11" s="59" t="s">
        <v>65</v>
      </c>
      <c r="F11" s="56" t="s">
        <v>21</v>
      </c>
      <c r="G11" s="44">
        <v>22</v>
      </c>
      <c r="H11" s="129">
        <f>IF(B$15=0,0,G11/B$15)</f>
        <v>8.5271317829457363E-2</v>
      </c>
      <c r="I11" s="90">
        <v>9</v>
      </c>
      <c r="K11" s="36">
        <v>9</v>
      </c>
      <c r="L11" s="95">
        <v>-90.9</v>
      </c>
      <c r="N11" s="111" t="s">
        <v>158</v>
      </c>
      <c r="O11" s="121">
        <f>IF(P11=0,0,Q11/P11)</f>
        <v>3.1852941176470595</v>
      </c>
      <c r="P11" s="115">
        <v>34</v>
      </c>
      <c r="Q11" s="103">
        <v>108.30000000000003</v>
      </c>
    </row>
    <row r="12" spans="1:17" x14ac:dyDescent="0.45">
      <c r="A12" s="51" t="s">
        <v>118</v>
      </c>
      <c r="B12" s="44">
        <v>195</v>
      </c>
      <c r="C12" s="37">
        <f>IF(B$3=0,0,B12/B$3)</f>
        <v>0.21934758155230596</v>
      </c>
      <c r="E12" s="59" t="s">
        <v>70</v>
      </c>
      <c r="F12" s="56" t="s">
        <v>25</v>
      </c>
      <c r="G12" s="44">
        <v>20</v>
      </c>
      <c r="H12" s="129">
        <f>IF(B$15=0,0,G12/B$15)</f>
        <v>7.7519379844961239E-2</v>
      </c>
      <c r="I12" s="90">
        <v>10</v>
      </c>
      <c r="K12" s="36">
        <v>10</v>
      </c>
      <c r="L12" s="95">
        <v>-146.69999999999999</v>
      </c>
      <c r="N12" s="112" t="s">
        <v>159</v>
      </c>
      <c r="O12" s="122">
        <f>IF(P12=0,0,Q12/P12)</f>
        <v>-0.67241379310344851</v>
      </c>
      <c r="P12" s="116">
        <v>29</v>
      </c>
      <c r="Q12" s="104">
        <v>-19.500000000000007</v>
      </c>
    </row>
    <row r="13" spans="1:17" x14ac:dyDescent="0.45">
      <c r="A13" s="50" t="s">
        <v>123</v>
      </c>
      <c r="B13" s="43">
        <f>B19</f>
        <v>138</v>
      </c>
      <c r="C13" s="35">
        <f>IF(B$11=0,0,B13/B$11)</f>
        <v>0.57740585774058573</v>
      </c>
      <c r="E13" s="59" t="s">
        <v>86</v>
      </c>
      <c r="F13" s="56" t="s">
        <v>41</v>
      </c>
      <c r="G13" s="44">
        <v>14</v>
      </c>
      <c r="H13" s="129">
        <f>IF(B$15=0,0,G13/B$15)</f>
        <v>5.4263565891472867E-2</v>
      </c>
      <c r="I13" s="90">
        <v>5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84</v>
      </c>
      <c r="C14" s="35">
        <f>IF(B$12=0,0,B14/B$12)</f>
        <v>0.43076923076923079</v>
      </c>
      <c r="E14" s="59" t="s">
        <v>83</v>
      </c>
      <c r="F14" s="56" t="s">
        <v>38</v>
      </c>
      <c r="G14" s="44">
        <v>11</v>
      </c>
      <c r="H14" s="129">
        <f>IF(B$15=0,0,G14/B$15)</f>
        <v>4.2635658914728682E-2</v>
      </c>
      <c r="I14" s="90">
        <v>9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258</v>
      </c>
      <c r="C15" s="35">
        <f>IF(B$3=0,0,B15/B$3)</f>
        <v>0.29021372328458944</v>
      </c>
      <c r="E15" s="59" t="s">
        <v>79</v>
      </c>
      <c r="F15" s="56" t="s">
        <v>34</v>
      </c>
      <c r="G15" s="44">
        <v>6</v>
      </c>
      <c r="H15" s="129">
        <f>IF(B$15=0,0,G15/B$15)</f>
        <v>2.3255813953488372E-2</v>
      </c>
      <c r="I15" s="90">
        <v>2</v>
      </c>
      <c r="K15" s="36">
        <v>13</v>
      </c>
      <c r="L15" s="95">
        <v>-68.399999999999991</v>
      </c>
      <c r="N15" s="110" t="s">
        <v>228</v>
      </c>
      <c r="O15" s="120">
        <f t="shared" ref="O15:O23" si="2">IF(P15=0,0,Q15/P15)</f>
        <v>53.179999999999993</v>
      </c>
      <c r="P15" s="114">
        <v>5</v>
      </c>
      <c r="Q15" s="102">
        <v>265.89999999999998</v>
      </c>
    </row>
    <row r="16" spans="1:17" x14ac:dyDescent="0.45">
      <c r="A16" s="51" t="s">
        <v>13</v>
      </c>
      <c r="B16" s="44">
        <v>121</v>
      </c>
      <c r="C16" s="37">
        <f>IF(B$3=0,0,B16/B$3)</f>
        <v>0.13610798650168729</v>
      </c>
      <c r="E16" s="59" t="s">
        <v>162</v>
      </c>
      <c r="F16" s="56" t="s">
        <v>163</v>
      </c>
      <c r="G16" s="44">
        <v>6</v>
      </c>
      <c r="H16" s="129">
        <f>IF(B$15=0,0,G16/B$15)</f>
        <v>2.3255813953488372E-2</v>
      </c>
      <c r="I16" s="90">
        <v>4</v>
      </c>
      <c r="K16" s="36">
        <v>14</v>
      </c>
      <c r="L16" s="95">
        <v>-25.79999999999999</v>
      </c>
      <c r="N16" s="111" t="s">
        <v>203</v>
      </c>
      <c r="O16" s="121">
        <f t="shared" si="2"/>
        <v>27.200000000000003</v>
      </c>
      <c r="P16" s="115">
        <v>1</v>
      </c>
      <c r="Q16" s="103">
        <v>27.200000000000003</v>
      </c>
    </row>
    <row r="17" spans="1:17" x14ac:dyDescent="0.45">
      <c r="A17" s="51" t="s">
        <v>12</v>
      </c>
      <c r="B17" s="44">
        <v>115</v>
      </c>
      <c r="C17" s="37">
        <f>IF(B$15=0,0,B17/B$15)</f>
        <v>0.44573643410852715</v>
      </c>
      <c r="E17" s="59" t="s">
        <v>73</v>
      </c>
      <c r="F17" s="56" t="s">
        <v>28</v>
      </c>
      <c r="G17" s="44">
        <v>5</v>
      </c>
      <c r="H17" s="129">
        <f>IF(B$15=0,0,G17/B$15)</f>
        <v>1.937984496124031E-2</v>
      </c>
      <c r="I17" s="90">
        <v>1</v>
      </c>
      <c r="K17" s="36">
        <v>15</v>
      </c>
      <c r="L17" s="95">
        <v>-35.499999999999986</v>
      </c>
      <c r="N17" s="111" t="s">
        <v>197</v>
      </c>
      <c r="O17" s="121">
        <f t="shared" si="2"/>
        <v>25.104347826086954</v>
      </c>
      <c r="P17" s="115">
        <v>23</v>
      </c>
      <c r="Q17" s="103">
        <v>577.4</v>
      </c>
    </row>
    <row r="18" spans="1:17" x14ac:dyDescent="0.45">
      <c r="A18" s="51" t="s">
        <v>11</v>
      </c>
      <c r="B18" s="44">
        <v>143</v>
      </c>
      <c r="C18" s="37">
        <f>IF(B$15=0,0,B18/B$15)</f>
        <v>0.55426356589147285</v>
      </c>
      <c r="E18" s="59" t="s">
        <v>81</v>
      </c>
      <c r="F18" s="56" t="s">
        <v>36</v>
      </c>
      <c r="G18" s="44">
        <v>4</v>
      </c>
      <c r="H18" s="129">
        <f>IF(B$15=0,0,G18/B$15)</f>
        <v>1.5503875968992248E-2</v>
      </c>
      <c r="I18" s="90">
        <v>7</v>
      </c>
      <c r="K18" s="36">
        <v>16</v>
      </c>
      <c r="L18" s="95">
        <v>-35.599999999999987</v>
      </c>
      <c r="N18" s="111" t="s">
        <v>172</v>
      </c>
      <c r="O18" s="121">
        <f t="shared" si="2"/>
        <v>13.237500000000002</v>
      </c>
      <c r="P18" s="115">
        <v>24</v>
      </c>
      <c r="Q18" s="103">
        <v>317.70000000000005</v>
      </c>
    </row>
    <row r="19" spans="1:17" x14ac:dyDescent="0.45">
      <c r="A19" s="51" t="s">
        <v>195</v>
      </c>
      <c r="B19" s="44">
        <v>138</v>
      </c>
      <c r="C19" s="37">
        <f>IF(B$15=0,0,B19/B$15)</f>
        <v>0.53488372093023251</v>
      </c>
      <c r="E19" s="59" t="s">
        <v>78</v>
      </c>
      <c r="F19" s="56" t="s">
        <v>33</v>
      </c>
      <c r="G19" s="44">
        <v>3</v>
      </c>
      <c r="H19" s="129">
        <f>IF(B$15=0,0,G19/B$15)</f>
        <v>1.1627906976744186E-2</v>
      </c>
      <c r="I19" s="90">
        <v>6</v>
      </c>
      <c r="K19" s="36">
        <v>17</v>
      </c>
      <c r="L19" s="95">
        <v>-29.799999999999986</v>
      </c>
      <c r="N19" s="111" t="s">
        <v>196</v>
      </c>
      <c r="O19" s="121">
        <f t="shared" si="2"/>
        <v>5.6999999999999984</v>
      </c>
      <c r="P19" s="115">
        <v>5</v>
      </c>
      <c r="Q19" s="103">
        <v>28.499999999999993</v>
      </c>
    </row>
    <row r="20" spans="1:17" x14ac:dyDescent="0.45">
      <c r="A20" s="51" t="s">
        <v>193</v>
      </c>
      <c r="B20" s="44">
        <v>84</v>
      </c>
      <c r="C20" s="37">
        <f>IF(B$15=0,0,B20/B$15)</f>
        <v>0.32558139534883723</v>
      </c>
      <c r="E20" s="59" t="s">
        <v>85</v>
      </c>
      <c r="F20" s="56" t="s">
        <v>40</v>
      </c>
      <c r="G20" s="44">
        <v>2</v>
      </c>
      <c r="H20" s="129">
        <f>IF(B$15=0,0,G20/B$15)</f>
        <v>7.7519379844961239E-3</v>
      </c>
      <c r="I20" s="90">
        <v>2</v>
      </c>
      <c r="K20" s="36">
        <v>18</v>
      </c>
      <c r="L20" s="95">
        <v>-62.399999999999991</v>
      </c>
      <c r="N20" s="111" t="s">
        <v>161</v>
      </c>
      <c r="O20" s="121">
        <f t="shared" si="2"/>
        <v>3.9454545454545458</v>
      </c>
      <c r="P20" s="115">
        <v>22</v>
      </c>
      <c r="Q20" s="103">
        <v>86.800000000000011</v>
      </c>
    </row>
    <row r="21" spans="1:17" x14ac:dyDescent="0.45">
      <c r="A21" s="51" t="s">
        <v>194</v>
      </c>
      <c r="B21" s="44">
        <v>36</v>
      </c>
      <c r="C21" s="37">
        <f>IF(B$15=0,0,B21/B$15)</f>
        <v>0.13953488372093023</v>
      </c>
      <c r="E21" s="59" t="s">
        <v>91</v>
      </c>
      <c r="F21" s="56" t="s">
        <v>46</v>
      </c>
      <c r="G21" s="44">
        <v>2</v>
      </c>
      <c r="H21" s="129">
        <f>IF(B$15=0,0,G21/B$15)</f>
        <v>7.7519379844961239E-3</v>
      </c>
      <c r="I21" s="90">
        <v>6</v>
      </c>
      <c r="K21" s="36">
        <v>19</v>
      </c>
      <c r="L21" s="95">
        <v>-56.399999999999991</v>
      </c>
      <c r="N21" s="111" t="s">
        <v>127</v>
      </c>
      <c r="O21" s="121">
        <f t="shared" si="2"/>
        <v>0.33500000000000069</v>
      </c>
      <c r="P21" s="115">
        <v>40</v>
      </c>
      <c r="Q21" s="103">
        <v>13.400000000000027</v>
      </c>
    </row>
    <row r="22" spans="1:17" x14ac:dyDescent="0.45">
      <c r="A22" s="51" t="s">
        <v>5</v>
      </c>
      <c r="B22" s="48">
        <f>IF(B$15=0,0,C22/B$15)</f>
        <v>8524.8062015503874</v>
      </c>
      <c r="C22" s="39">
        <v>2199400</v>
      </c>
      <c r="E22" s="59" t="s">
        <v>74</v>
      </c>
      <c r="F22" s="56" t="s">
        <v>29</v>
      </c>
      <c r="G22" s="44">
        <v>1</v>
      </c>
      <c r="H22" s="129">
        <f>IF(B$15=0,0,G22/B$15)</f>
        <v>3.875968992248062E-3</v>
      </c>
      <c r="I22" s="90">
        <v>4</v>
      </c>
      <c r="K22" s="36">
        <v>20</v>
      </c>
      <c r="L22" s="95">
        <v>-93.199999999999989</v>
      </c>
      <c r="N22" s="111" t="s">
        <v>170</v>
      </c>
      <c r="O22" s="121">
        <f t="shared" si="2"/>
        <v>-6.0122448979591843</v>
      </c>
      <c r="P22" s="115">
        <v>49</v>
      </c>
      <c r="Q22" s="103">
        <v>-294.60000000000002</v>
      </c>
    </row>
    <row r="23" spans="1:17" x14ac:dyDescent="0.45">
      <c r="A23" s="52" t="s">
        <v>177</v>
      </c>
      <c r="B23" s="136">
        <f>IF($B$15-B$14=0,0,C23/($B$15-B$14))</f>
        <v>9363.7931034482754</v>
      </c>
      <c r="C23" s="137">
        <v>1629300</v>
      </c>
      <c r="E23" s="59" t="s">
        <v>75</v>
      </c>
      <c r="F23" s="56" t="s">
        <v>30</v>
      </c>
      <c r="G23" s="44">
        <v>1</v>
      </c>
      <c r="H23" s="129">
        <f>IF(B$15=0,0,G23/B$15)</f>
        <v>3.875968992248062E-3</v>
      </c>
      <c r="I23" s="90">
        <v>8</v>
      </c>
      <c r="K23" s="36">
        <v>21</v>
      </c>
      <c r="L23" s="95">
        <v>-123.69999999999999</v>
      </c>
      <c r="N23" s="111" t="s">
        <v>126</v>
      </c>
      <c r="O23" s="121">
        <f t="shared" si="2"/>
        <v>-13.271698113207547</v>
      </c>
      <c r="P23" s="115">
        <v>53</v>
      </c>
      <c r="Q23" s="103">
        <v>-703.4</v>
      </c>
    </row>
    <row r="24" spans="1:17" x14ac:dyDescent="0.45">
      <c r="A24" s="52" t="s">
        <v>178</v>
      </c>
      <c r="B24" s="136">
        <f>IF(B$14=0,0,C24/B$14)</f>
        <v>6786.9047619047615</v>
      </c>
      <c r="C24" s="137">
        <v>570100</v>
      </c>
      <c r="E24" s="59" t="s">
        <v>87</v>
      </c>
      <c r="F24" s="56" t="s">
        <v>42</v>
      </c>
      <c r="G24" s="44">
        <v>1</v>
      </c>
      <c r="H24" s="129">
        <f>IF(B$15=0,0,G24/B$15)</f>
        <v>3.875968992248062E-3</v>
      </c>
      <c r="I24" s="90">
        <v>2</v>
      </c>
      <c r="K24" s="36">
        <v>22</v>
      </c>
      <c r="L24" s="95">
        <v>-66.999999999999986</v>
      </c>
    </row>
    <row r="25" spans="1:17" x14ac:dyDescent="0.45">
      <c r="A25" s="52" t="s">
        <v>176</v>
      </c>
      <c r="B25" s="136">
        <f>IF(B$16=0,0,C25/B$16)</f>
        <v>-7440.4958677685954</v>
      </c>
      <c r="C25" s="137">
        <v>-900300</v>
      </c>
      <c r="E25" s="59" t="s">
        <v>88</v>
      </c>
      <c r="F25" s="56" t="s">
        <v>43</v>
      </c>
      <c r="G25" s="44">
        <v>1</v>
      </c>
      <c r="H25" s="129">
        <f>IF(B$15=0,0,G25/B$15)</f>
        <v>3.875968992248062E-3</v>
      </c>
      <c r="I25" s="90">
        <v>3</v>
      </c>
      <c r="K25" s="36">
        <v>23</v>
      </c>
      <c r="L25" s="95">
        <v>-59.599999999999987</v>
      </c>
    </row>
    <row r="26" spans="1:17" x14ac:dyDescent="0.45">
      <c r="A26" s="51" t="s">
        <v>164</v>
      </c>
      <c r="B26" s="44">
        <v>6</v>
      </c>
      <c r="C26" s="131">
        <v>0</v>
      </c>
      <c r="E26" s="59" t="s">
        <v>93</v>
      </c>
      <c r="F26" s="56" t="s">
        <v>48</v>
      </c>
      <c r="G26" s="44">
        <v>1</v>
      </c>
      <c r="H26" s="129">
        <f>IF(B$15=0,0,G26/B$15)</f>
        <v>3.875968992248062E-3</v>
      </c>
      <c r="I26" s="90">
        <v>3</v>
      </c>
      <c r="K26" s="36">
        <v>24</v>
      </c>
      <c r="L26" s="95">
        <v>-91.399999999999991</v>
      </c>
    </row>
    <row r="27" spans="1:17" x14ac:dyDescent="0.45">
      <c r="A27" s="51" t="s">
        <v>165</v>
      </c>
      <c r="B27" s="44">
        <v>44</v>
      </c>
      <c r="C27" s="131">
        <v>1</v>
      </c>
      <c r="E27" s="59" t="s">
        <v>101</v>
      </c>
      <c r="F27" s="56" t="s">
        <v>56</v>
      </c>
      <c r="G27" s="44">
        <v>1</v>
      </c>
      <c r="H27" s="129">
        <f>IF(B$15=0,0,G27/B$15)</f>
        <v>3.875968992248062E-3</v>
      </c>
      <c r="I27" s="90">
        <v>1</v>
      </c>
      <c r="K27" s="36">
        <v>25</v>
      </c>
      <c r="L27" s="95">
        <v>-41.29999999999999</v>
      </c>
    </row>
    <row r="28" spans="1:17" x14ac:dyDescent="0.45">
      <c r="A28" s="86" t="s">
        <v>138</v>
      </c>
      <c r="B28" s="152">
        <v>8</v>
      </c>
      <c r="C28" s="153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-54.099999999999994</v>
      </c>
    </row>
    <row r="29" spans="1:17" x14ac:dyDescent="0.45">
      <c r="A29" s="54" t="s">
        <v>192</v>
      </c>
      <c r="B29" s="150">
        <v>101400</v>
      </c>
      <c r="C29" s="151"/>
      <c r="E29" s="59" t="s">
        <v>77</v>
      </c>
      <c r="F29" s="56" t="s">
        <v>32</v>
      </c>
      <c r="G29" s="44">
        <v>0</v>
      </c>
      <c r="H29" s="129">
        <f>IF(B$15=0,0,G29/B$15)</f>
        <v>0</v>
      </c>
      <c r="I29" s="90">
        <v>5</v>
      </c>
      <c r="K29" s="36">
        <v>27</v>
      </c>
      <c r="L29" s="95">
        <v>-70.199999999999989</v>
      </c>
    </row>
    <row r="30" spans="1:17" x14ac:dyDescent="0.45">
      <c r="A30" s="53" t="s">
        <v>139</v>
      </c>
      <c r="B30" s="61">
        <v>2</v>
      </c>
      <c r="C30" s="40">
        <f>IF(B$3=0,0,B30/B$3)</f>
        <v>2.2497187851518562E-3</v>
      </c>
      <c r="E30" s="59" t="s">
        <v>80</v>
      </c>
      <c r="F30" s="56" t="s">
        <v>35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-61.29999999999999</v>
      </c>
    </row>
    <row r="31" spans="1:17" x14ac:dyDescent="0.45">
      <c r="E31" s="59" t="s">
        <v>82</v>
      </c>
      <c r="F31" s="56" t="s">
        <v>37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-109.69999999999999</v>
      </c>
    </row>
    <row r="32" spans="1:17" x14ac:dyDescent="0.45">
      <c r="A32" s="86" t="s">
        <v>183</v>
      </c>
      <c r="B32" s="144">
        <v>15</v>
      </c>
      <c r="C32" s="141">
        <f>IF(B$15=0,0,B32/B$15)</f>
        <v>5.8139534883720929E-2</v>
      </c>
      <c r="E32" s="59" t="s">
        <v>84</v>
      </c>
      <c r="F32" s="56" t="s">
        <v>39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-107.29999999999998</v>
      </c>
    </row>
    <row r="33" spans="1:12" x14ac:dyDescent="0.45">
      <c r="A33" s="51" t="s">
        <v>179</v>
      </c>
      <c r="B33" s="44">
        <v>46</v>
      </c>
      <c r="C33" s="37">
        <f t="shared" ref="C33:C44" si="3">IF(B$15=0,0,B33/B$15)</f>
        <v>0.17829457364341086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-96.799999999999983</v>
      </c>
    </row>
    <row r="34" spans="1:12" x14ac:dyDescent="0.45">
      <c r="A34" s="51" t="s">
        <v>180</v>
      </c>
      <c r="B34" s="145">
        <v>51</v>
      </c>
      <c r="C34" s="37">
        <f>IF(B$15=0,0,B34/B$15)</f>
        <v>0.19767441860465115</v>
      </c>
      <c r="E34" s="59" t="s">
        <v>92</v>
      </c>
      <c r="F34" s="56" t="s">
        <v>47</v>
      </c>
      <c r="G34" s="44">
        <v>0</v>
      </c>
      <c r="H34" s="129">
        <f>IF(B$15=0,0,G34/B$15)</f>
        <v>0</v>
      </c>
      <c r="I34" s="90">
        <v>6</v>
      </c>
      <c r="K34" s="36">
        <v>32</v>
      </c>
      <c r="L34" s="95">
        <v>-54.09999999999998</v>
      </c>
    </row>
    <row r="35" spans="1:12" x14ac:dyDescent="0.45">
      <c r="A35" s="51" t="s">
        <v>181</v>
      </c>
      <c r="B35" s="145">
        <v>46</v>
      </c>
      <c r="C35" s="37">
        <f t="shared" si="3"/>
        <v>0.17829457364341086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-48.899999999999977</v>
      </c>
    </row>
    <row r="36" spans="1:12" x14ac:dyDescent="0.45">
      <c r="A36" s="51" t="s">
        <v>182</v>
      </c>
      <c r="B36" s="145">
        <v>40</v>
      </c>
      <c r="C36" s="37">
        <f t="shared" si="3"/>
        <v>0.15503875968992248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-63.999999999999979</v>
      </c>
    </row>
    <row r="37" spans="1:12" x14ac:dyDescent="0.45">
      <c r="A37" s="51" t="s">
        <v>184</v>
      </c>
      <c r="B37" s="145">
        <v>31</v>
      </c>
      <c r="C37" s="37">
        <f t="shared" si="3"/>
        <v>0.12015503875968993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-72.399999999999977</v>
      </c>
    </row>
    <row r="38" spans="1:12" x14ac:dyDescent="0.45">
      <c r="A38" s="51" t="s">
        <v>185</v>
      </c>
      <c r="B38" s="145">
        <v>12</v>
      </c>
      <c r="C38" s="37">
        <f t="shared" si="3"/>
        <v>4.6511627906976744E-2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-65.399999999999977</v>
      </c>
    </row>
    <row r="39" spans="1:12" x14ac:dyDescent="0.45">
      <c r="A39" s="51" t="s">
        <v>186</v>
      </c>
      <c r="B39" s="145">
        <v>7</v>
      </c>
      <c r="C39" s="37">
        <f t="shared" si="3"/>
        <v>2.7131782945736434E-2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-58.59999999999998</v>
      </c>
    </row>
    <row r="40" spans="1:12" x14ac:dyDescent="0.45">
      <c r="A40" s="51" t="s">
        <v>187</v>
      </c>
      <c r="B40" s="145">
        <v>3</v>
      </c>
      <c r="C40" s="37">
        <f t="shared" si="3"/>
        <v>1.1627906976744186E-2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-51.799999999999983</v>
      </c>
    </row>
    <row r="41" spans="1:12" x14ac:dyDescent="0.45">
      <c r="A41" s="51" t="s">
        <v>188</v>
      </c>
      <c r="B41" s="145">
        <v>2</v>
      </c>
      <c r="C41" s="37">
        <f t="shared" si="3"/>
        <v>7.7519379844961239E-3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-67.899999999999977</v>
      </c>
    </row>
    <row r="42" spans="1:12" x14ac:dyDescent="0.45">
      <c r="A42" s="51" t="s">
        <v>189</v>
      </c>
      <c r="B42" s="145">
        <v>1</v>
      </c>
      <c r="C42" s="37">
        <f t="shared" si="3"/>
        <v>3.875968992248062E-3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-61.299999999999976</v>
      </c>
    </row>
    <row r="43" spans="1:12" x14ac:dyDescent="0.45">
      <c r="A43" s="51" t="s">
        <v>190</v>
      </c>
      <c r="B43" s="145">
        <v>2</v>
      </c>
      <c r="C43" s="37">
        <f t="shared" si="3"/>
        <v>7.7519379844961239E-3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-56.899999999999977</v>
      </c>
    </row>
    <row r="44" spans="1:12" x14ac:dyDescent="0.45">
      <c r="A44" s="53" t="s">
        <v>191</v>
      </c>
      <c r="B44" s="140">
        <v>2</v>
      </c>
      <c r="C44" s="40">
        <f t="shared" si="3"/>
        <v>7.7519379844961239E-3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-58.499999999999979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-49.899999999999977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11.600000000000023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-23.299999999999976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-11.099999999999977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-31.099999999999977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-18.499999999999979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7.1000000000000227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6.5000000000000231</v>
      </c>
    </row>
    <row r="53" spans="5:12" x14ac:dyDescent="0.45">
      <c r="K53" s="36">
        <v>51</v>
      </c>
      <c r="L53" s="95">
        <v>-0.29999999999997673</v>
      </c>
    </row>
    <row r="54" spans="5:12" x14ac:dyDescent="0.45">
      <c r="K54" s="36">
        <v>52</v>
      </c>
      <c r="L54" s="95">
        <v>8.800000000000022</v>
      </c>
    </row>
    <row r="55" spans="5:12" x14ac:dyDescent="0.45">
      <c r="K55" s="36">
        <v>53</v>
      </c>
      <c r="L55" s="95">
        <v>5.800000000000022</v>
      </c>
    </row>
    <row r="56" spans="5:12" x14ac:dyDescent="0.45">
      <c r="K56" s="36">
        <v>54</v>
      </c>
      <c r="L56" s="95">
        <v>-12.499999999999979</v>
      </c>
    </row>
    <row r="57" spans="5:12" x14ac:dyDescent="0.45">
      <c r="K57" s="36">
        <v>55</v>
      </c>
      <c r="L57" s="95">
        <v>36.40000000000002</v>
      </c>
    </row>
    <row r="58" spans="5:12" x14ac:dyDescent="0.45">
      <c r="K58" s="36">
        <v>56</v>
      </c>
      <c r="L58" s="95">
        <v>-3.6999999999999815</v>
      </c>
    </row>
    <row r="59" spans="5:12" x14ac:dyDescent="0.45">
      <c r="K59" s="36">
        <v>57</v>
      </c>
      <c r="L59" s="95">
        <v>12.90000000000002</v>
      </c>
    </row>
    <row r="60" spans="5:12" x14ac:dyDescent="0.45">
      <c r="K60" s="36">
        <v>58</v>
      </c>
      <c r="L60" s="95">
        <v>37.700000000000017</v>
      </c>
    </row>
    <row r="61" spans="5:12" x14ac:dyDescent="0.45">
      <c r="K61" s="36">
        <v>59</v>
      </c>
      <c r="L61" s="95">
        <v>77.000000000000014</v>
      </c>
    </row>
    <row r="62" spans="5:12" x14ac:dyDescent="0.45">
      <c r="K62" s="36">
        <v>60</v>
      </c>
      <c r="L62" s="95">
        <v>21.100000000000016</v>
      </c>
    </row>
    <row r="63" spans="5:12" x14ac:dyDescent="0.45">
      <c r="K63" s="36">
        <v>61</v>
      </c>
      <c r="L63" s="95">
        <v>27.100000000000016</v>
      </c>
    </row>
    <row r="64" spans="5:12" x14ac:dyDescent="0.45">
      <c r="K64" s="36">
        <v>62</v>
      </c>
      <c r="L64" s="95">
        <v>11.800000000000015</v>
      </c>
    </row>
    <row r="65" spans="11:12" x14ac:dyDescent="0.45">
      <c r="K65" s="36">
        <v>63</v>
      </c>
      <c r="L65" s="95">
        <v>46.40000000000002</v>
      </c>
    </row>
    <row r="66" spans="11:12" x14ac:dyDescent="0.45">
      <c r="K66" s="36">
        <v>64</v>
      </c>
      <c r="L66" s="95">
        <v>39.90000000000002</v>
      </c>
    </row>
    <row r="67" spans="11:12" x14ac:dyDescent="0.45">
      <c r="K67" s="36">
        <v>65</v>
      </c>
      <c r="L67" s="95">
        <v>14.600000000000019</v>
      </c>
    </row>
    <row r="68" spans="11:12" x14ac:dyDescent="0.45">
      <c r="K68" s="36">
        <v>66</v>
      </c>
      <c r="L68" s="95">
        <v>-6.2999999999999794</v>
      </c>
    </row>
    <row r="69" spans="11:12" x14ac:dyDescent="0.45">
      <c r="K69" s="36">
        <v>67</v>
      </c>
      <c r="L69" s="95">
        <v>-2.7999999999999794</v>
      </c>
    </row>
    <row r="70" spans="11:12" x14ac:dyDescent="0.45">
      <c r="K70" s="36">
        <v>68</v>
      </c>
      <c r="L70" s="95">
        <v>-35.799999999999983</v>
      </c>
    </row>
    <row r="71" spans="11:12" x14ac:dyDescent="0.45">
      <c r="K71" s="36">
        <v>69</v>
      </c>
      <c r="L71" s="95">
        <v>-59.899999999999984</v>
      </c>
    </row>
    <row r="72" spans="11:12" x14ac:dyDescent="0.45">
      <c r="K72" s="36">
        <v>70</v>
      </c>
      <c r="L72" s="95">
        <v>-49.59999999999998</v>
      </c>
    </row>
    <row r="73" spans="11:12" x14ac:dyDescent="0.45">
      <c r="K73" s="36">
        <v>71</v>
      </c>
      <c r="L73" s="95">
        <v>-53.999999999999979</v>
      </c>
    </row>
    <row r="74" spans="11:12" x14ac:dyDescent="0.45">
      <c r="K74" s="36">
        <v>72</v>
      </c>
      <c r="L74" s="95">
        <v>-68.199999999999974</v>
      </c>
    </row>
    <row r="75" spans="11:12" x14ac:dyDescent="0.45">
      <c r="K75" s="36">
        <v>73</v>
      </c>
      <c r="L75" s="95">
        <v>-65.699999999999974</v>
      </c>
    </row>
    <row r="76" spans="11:12" x14ac:dyDescent="0.45">
      <c r="K76" s="36">
        <v>74</v>
      </c>
      <c r="L76" s="95">
        <v>-35.599999999999973</v>
      </c>
    </row>
    <row r="77" spans="11:12" x14ac:dyDescent="0.45">
      <c r="K77" s="36">
        <v>75</v>
      </c>
      <c r="L77" s="95">
        <v>-37.499999999999972</v>
      </c>
    </row>
    <row r="78" spans="11:12" x14ac:dyDescent="0.45">
      <c r="K78" s="36">
        <v>76</v>
      </c>
      <c r="L78" s="95">
        <v>-28.199999999999971</v>
      </c>
    </row>
    <row r="79" spans="11:12" x14ac:dyDescent="0.45">
      <c r="K79" s="36">
        <v>77</v>
      </c>
      <c r="L79" s="95">
        <v>-87.299999999999969</v>
      </c>
    </row>
    <row r="80" spans="11:12" x14ac:dyDescent="0.45">
      <c r="K80" s="36">
        <v>78</v>
      </c>
      <c r="L80" s="95">
        <v>-133.39999999999998</v>
      </c>
    </row>
    <row r="81" spans="11:12" x14ac:dyDescent="0.45">
      <c r="K81" s="36">
        <v>79</v>
      </c>
      <c r="L81" s="95">
        <v>-169.99999999999997</v>
      </c>
    </row>
    <row r="82" spans="11:12" x14ac:dyDescent="0.45">
      <c r="K82" s="36">
        <v>80</v>
      </c>
      <c r="L82" s="95">
        <v>-165.79999999999998</v>
      </c>
    </row>
    <row r="83" spans="11:12" x14ac:dyDescent="0.45">
      <c r="K83" s="36">
        <v>81</v>
      </c>
      <c r="L83" s="95">
        <v>-115.99999999999999</v>
      </c>
    </row>
    <row r="84" spans="11:12" x14ac:dyDescent="0.45">
      <c r="K84" s="36">
        <v>82</v>
      </c>
      <c r="L84" s="95">
        <v>-117.19999999999999</v>
      </c>
    </row>
    <row r="85" spans="11:12" x14ac:dyDescent="0.45">
      <c r="K85" s="36">
        <v>83</v>
      </c>
      <c r="L85" s="95">
        <v>-128.6</v>
      </c>
    </row>
    <row r="86" spans="11:12" x14ac:dyDescent="0.45">
      <c r="K86" s="36">
        <v>84</v>
      </c>
      <c r="L86" s="95">
        <v>-119.8</v>
      </c>
    </row>
    <row r="87" spans="11:12" x14ac:dyDescent="0.45">
      <c r="K87" s="36">
        <v>85</v>
      </c>
      <c r="L87" s="95">
        <v>-97.4</v>
      </c>
    </row>
    <row r="88" spans="11:12" x14ac:dyDescent="0.45">
      <c r="K88" s="36">
        <v>86</v>
      </c>
      <c r="L88" s="95">
        <v>-83.800000000000011</v>
      </c>
    </row>
    <row r="89" spans="11:12" x14ac:dyDescent="0.45">
      <c r="K89" s="36">
        <v>87</v>
      </c>
      <c r="L89" s="95">
        <v>-57.400000000000013</v>
      </c>
    </row>
    <row r="90" spans="11:12" x14ac:dyDescent="0.45">
      <c r="K90" s="36">
        <v>88</v>
      </c>
      <c r="L90" s="95">
        <v>-63.20000000000001</v>
      </c>
    </row>
    <row r="91" spans="11:12" x14ac:dyDescent="0.45">
      <c r="K91" s="36">
        <v>89</v>
      </c>
      <c r="L91" s="95">
        <v>-119.60000000000001</v>
      </c>
    </row>
    <row r="92" spans="11:12" x14ac:dyDescent="0.45">
      <c r="K92" s="36">
        <v>90</v>
      </c>
      <c r="L92" s="95">
        <v>-57.600000000000009</v>
      </c>
    </row>
    <row r="93" spans="11:12" x14ac:dyDescent="0.45">
      <c r="K93" s="36">
        <v>91</v>
      </c>
      <c r="L93" s="95">
        <v>-54.900000000000006</v>
      </c>
    </row>
    <row r="94" spans="11:12" x14ac:dyDescent="0.45">
      <c r="K94" s="36">
        <v>92</v>
      </c>
      <c r="L94" s="95">
        <v>-17.100000000000009</v>
      </c>
    </row>
    <row r="95" spans="11:12" x14ac:dyDescent="0.45">
      <c r="K95" s="36">
        <v>93</v>
      </c>
      <c r="L95" s="95">
        <v>8.7999999999999901</v>
      </c>
    </row>
    <row r="96" spans="11:12" x14ac:dyDescent="0.45">
      <c r="K96" s="36">
        <v>94</v>
      </c>
      <c r="L96" s="95">
        <v>-4.1000000000000103</v>
      </c>
    </row>
    <row r="97" spans="11:12" x14ac:dyDescent="0.45">
      <c r="K97" s="36">
        <v>95</v>
      </c>
      <c r="L97" s="95">
        <v>31.899999999999991</v>
      </c>
    </row>
    <row r="98" spans="11:12" x14ac:dyDescent="0.45">
      <c r="K98" s="36">
        <v>96</v>
      </c>
      <c r="L98" s="95">
        <v>52.29999999999999</v>
      </c>
    </row>
    <row r="99" spans="11:12" x14ac:dyDescent="0.45">
      <c r="K99" s="36">
        <v>97</v>
      </c>
      <c r="L99" s="95">
        <v>13.999999999999993</v>
      </c>
    </row>
    <row r="100" spans="11:12" x14ac:dyDescent="0.45">
      <c r="K100" s="36">
        <v>98</v>
      </c>
      <c r="L100" s="95">
        <v>21.399999999999991</v>
      </c>
    </row>
    <row r="101" spans="11:12" x14ac:dyDescent="0.45">
      <c r="K101" s="36">
        <v>99</v>
      </c>
      <c r="L101" s="95">
        <v>-5.4000000000000092</v>
      </c>
    </row>
    <row r="102" spans="11:12" x14ac:dyDescent="0.45">
      <c r="K102" s="36">
        <v>100</v>
      </c>
      <c r="L102" s="95">
        <v>-25.600000000000009</v>
      </c>
    </row>
    <row r="103" spans="11:12" x14ac:dyDescent="0.45">
      <c r="K103" s="36">
        <v>101</v>
      </c>
      <c r="L103" s="95">
        <v>32.199999999999989</v>
      </c>
    </row>
    <row r="104" spans="11:12" x14ac:dyDescent="0.45">
      <c r="K104" s="36">
        <v>102</v>
      </c>
      <c r="L104" s="95">
        <v>27.699999999999989</v>
      </c>
    </row>
    <row r="105" spans="11:12" x14ac:dyDescent="0.45">
      <c r="K105" s="36">
        <v>103</v>
      </c>
      <c r="L105" s="95">
        <v>45.79999999999999</v>
      </c>
    </row>
    <row r="106" spans="11:12" x14ac:dyDescent="0.45">
      <c r="K106" s="36">
        <v>104</v>
      </c>
      <c r="L106" s="95">
        <v>122.19999999999999</v>
      </c>
    </row>
    <row r="107" spans="11:12" x14ac:dyDescent="0.45">
      <c r="K107" s="36">
        <v>105</v>
      </c>
      <c r="L107" s="95">
        <v>86.299999999999983</v>
      </c>
    </row>
    <row r="108" spans="11:12" x14ac:dyDescent="0.45">
      <c r="K108" s="36">
        <v>106</v>
      </c>
      <c r="L108" s="95">
        <v>84.299999999999983</v>
      </c>
    </row>
    <row r="109" spans="11:12" x14ac:dyDescent="0.45">
      <c r="K109" s="36">
        <v>107</v>
      </c>
      <c r="L109" s="95">
        <v>106.29999999999998</v>
      </c>
    </row>
    <row r="110" spans="11:12" x14ac:dyDescent="0.45">
      <c r="K110" s="36">
        <v>108</v>
      </c>
      <c r="L110" s="95">
        <v>99.199999999999989</v>
      </c>
    </row>
    <row r="111" spans="11:12" x14ac:dyDescent="0.45">
      <c r="K111" s="36">
        <v>109</v>
      </c>
      <c r="L111" s="95">
        <v>132.19999999999999</v>
      </c>
    </row>
    <row r="112" spans="11:12" x14ac:dyDescent="0.45">
      <c r="K112" s="36">
        <v>110</v>
      </c>
      <c r="L112" s="95">
        <v>120.1</v>
      </c>
    </row>
    <row r="113" spans="11:12" x14ac:dyDescent="0.45">
      <c r="K113" s="36">
        <v>111</v>
      </c>
      <c r="L113" s="95">
        <v>106.3</v>
      </c>
    </row>
  </sheetData>
  <sortState xmlns:xlrd2="http://schemas.microsoft.com/office/spreadsheetml/2017/richdata2" ref="E2:I114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77523-D718-455E-91B6-0DBBD4BF16B4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197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48</v>
      </c>
      <c r="C2" s="159"/>
      <c r="E2" s="58" t="s">
        <v>66</v>
      </c>
      <c r="F2" s="55" t="s">
        <v>22</v>
      </c>
      <c r="G2" s="43">
        <v>68</v>
      </c>
      <c r="H2" s="128">
        <f>IF(B$15=0,0,G2/B$15)</f>
        <v>0.68686868686868685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-2208.3333333333335</v>
      </c>
      <c r="P2" s="114">
        <v>48</v>
      </c>
      <c r="Q2" s="98">
        <v>-106000</v>
      </c>
    </row>
    <row r="3" spans="1:17" x14ac:dyDescent="0.45">
      <c r="A3" s="51" t="s">
        <v>8</v>
      </c>
      <c r="B3" s="160">
        <v>390</v>
      </c>
      <c r="C3" s="161"/>
      <c r="E3" s="59" t="s">
        <v>72</v>
      </c>
      <c r="F3" s="56" t="s">
        <v>27</v>
      </c>
      <c r="G3" s="44">
        <v>60</v>
      </c>
      <c r="H3" s="129">
        <f>IF(B$15=0,0,G3/B$15)</f>
        <v>0.60606060606060608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497.91666666666669</v>
      </c>
      <c r="P3" s="115">
        <v>48</v>
      </c>
      <c r="Q3" s="99">
        <v>23900</v>
      </c>
    </row>
    <row r="4" spans="1:17" x14ac:dyDescent="0.45">
      <c r="A4" s="51" t="s">
        <v>6</v>
      </c>
      <c r="B4" s="162">
        <v>-545.00000000000011</v>
      </c>
      <c r="C4" s="163"/>
      <c r="E4" s="59" t="s">
        <v>64</v>
      </c>
      <c r="F4" s="56" t="s">
        <v>20</v>
      </c>
      <c r="G4" s="44">
        <v>42</v>
      </c>
      <c r="H4" s="129">
        <f>IF(B$15=0,0,G4/B$15)</f>
        <v>0.42424242424242425</v>
      </c>
      <c r="I4" s="90">
        <v>9</v>
      </c>
      <c r="K4" s="36">
        <v>2</v>
      </c>
      <c r="L4" s="95">
        <v>-40.6</v>
      </c>
      <c r="N4" s="111" t="s">
        <v>132</v>
      </c>
      <c r="O4" s="118">
        <f t="shared" si="0"/>
        <v>-1412.7659574468084</v>
      </c>
      <c r="P4" s="115">
        <v>47</v>
      </c>
      <c r="Q4" s="99">
        <v>-66400</v>
      </c>
    </row>
    <row r="5" spans="1:17" x14ac:dyDescent="0.45">
      <c r="A5" s="51" t="s">
        <v>7</v>
      </c>
      <c r="B5" s="164">
        <f>IF(B$2=0,0,B$4/B$2)</f>
        <v>-11.35416666666667</v>
      </c>
      <c r="C5" s="165"/>
      <c r="E5" s="59" t="s">
        <v>166</v>
      </c>
      <c r="F5" s="56" t="s">
        <v>167</v>
      </c>
      <c r="G5" s="44">
        <v>36</v>
      </c>
      <c r="H5" s="129">
        <f>IF(B$15=0,0,G5/B$15)</f>
        <v>0.36363636363636365</v>
      </c>
      <c r="I5" s="90">
        <v>9</v>
      </c>
      <c r="K5" s="36">
        <v>3</v>
      </c>
      <c r="L5" s="95">
        <v>-33.6</v>
      </c>
      <c r="N5" s="111" t="s">
        <v>133</v>
      </c>
      <c r="O5" s="118">
        <f t="shared" si="0"/>
        <v>-3121.4285714285716</v>
      </c>
      <c r="P5" s="115">
        <v>42</v>
      </c>
      <c r="Q5" s="99">
        <v>-131100</v>
      </c>
    </row>
    <row r="6" spans="1:17" x14ac:dyDescent="0.45">
      <c r="A6" s="51" t="s">
        <v>1</v>
      </c>
      <c r="B6" s="154">
        <f>IF(B$2=0,0,(B$7*1+B$8*2+B$9*3)/B$2)</f>
        <v>2.2916666666666665</v>
      </c>
      <c r="C6" s="155"/>
      <c r="E6" s="59" t="s">
        <v>67</v>
      </c>
      <c r="F6" s="56" t="s">
        <v>23</v>
      </c>
      <c r="G6" s="44">
        <v>25</v>
      </c>
      <c r="H6" s="129">
        <f>IF(B$15=0,0,G6/B$15)</f>
        <v>0.25252525252525254</v>
      </c>
      <c r="I6" s="90">
        <v>9</v>
      </c>
      <c r="K6" s="36">
        <v>4</v>
      </c>
      <c r="L6" s="95">
        <v>-80.5</v>
      </c>
      <c r="N6" s="111" t="s">
        <v>134</v>
      </c>
      <c r="O6" s="118">
        <f t="shared" si="0"/>
        <v>-1230</v>
      </c>
      <c r="P6" s="115">
        <v>40</v>
      </c>
      <c r="Q6" s="99">
        <v>-49200</v>
      </c>
    </row>
    <row r="7" spans="1:17" x14ac:dyDescent="0.45">
      <c r="A7" s="51" t="s">
        <v>2</v>
      </c>
      <c r="B7" s="44">
        <v>9</v>
      </c>
      <c r="C7" s="37">
        <f t="shared" ref="C7:C10" si="1">IF(B$2=0,0,B7/B$2)</f>
        <v>0.1875</v>
      </c>
      <c r="E7" s="59" t="s">
        <v>68</v>
      </c>
      <c r="F7" s="56" t="s">
        <v>12</v>
      </c>
      <c r="G7" s="44">
        <v>25</v>
      </c>
      <c r="H7" s="129">
        <f>IF(B$15=0,0,G7/B$15)</f>
        <v>0.25252525252525254</v>
      </c>
      <c r="I7" s="90">
        <v>10</v>
      </c>
      <c r="K7" s="36">
        <v>5</v>
      </c>
      <c r="L7" s="95">
        <v>-124.3</v>
      </c>
      <c r="N7" s="112" t="s">
        <v>135</v>
      </c>
      <c r="O7" s="119">
        <f t="shared" si="0"/>
        <v>-2094.1176470588234</v>
      </c>
      <c r="P7" s="116">
        <v>34</v>
      </c>
      <c r="Q7" s="100">
        <v>-71200</v>
      </c>
    </row>
    <row r="8" spans="1:17" x14ac:dyDescent="0.45">
      <c r="A8" s="51" t="s">
        <v>3</v>
      </c>
      <c r="B8" s="44">
        <v>16</v>
      </c>
      <c r="C8" s="37">
        <f t="shared" si="1"/>
        <v>0.33333333333333331</v>
      </c>
      <c r="E8" s="59" t="s">
        <v>89</v>
      </c>
      <c r="F8" s="56" t="s">
        <v>44</v>
      </c>
      <c r="G8" s="44">
        <v>13</v>
      </c>
      <c r="H8" s="129">
        <f>IF(B$15=0,0,G8/B$15)</f>
        <v>0.13131313131313133</v>
      </c>
      <c r="I8" s="90">
        <v>6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5">
      <c r="A9" s="52" t="s">
        <v>4</v>
      </c>
      <c r="B9" s="45">
        <v>23</v>
      </c>
      <c r="C9" s="38">
        <f t="shared" si="1"/>
        <v>0.47916666666666669</v>
      </c>
      <c r="E9" s="59" t="s">
        <v>70</v>
      </c>
      <c r="F9" s="56" t="s">
        <v>25</v>
      </c>
      <c r="G9" s="44">
        <v>12</v>
      </c>
      <c r="H9" s="129">
        <f>IF(B$15=0,0,G9/B$15)</f>
        <v>0.12121212121212122</v>
      </c>
      <c r="I9" s="90">
        <v>5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9</v>
      </c>
      <c r="C10" s="40">
        <f t="shared" si="1"/>
        <v>0.1875</v>
      </c>
      <c r="E10" s="59" t="s">
        <v>65</v>
      </c>
      <c r="F10" s="56" t="s">
        <v>21</v>
      </c>
      <c r="G10" s="44">
        <v>10</v>
      </c>
      <c r="H10" s="129">
        <f>IF(B$15=0,0,G10/B$15)</f>
        <v>0.10101010101010101</v>
      </c>
      <c r="I10" s="90">
        <v>8</v>
      </c>
      <c r="K10" s="36">
        <v>8</v>
      </c>
      <c r="L10" s="95">
        <v>-152.6</v>
      </c>
      <c r="N10" s="110" t="s">
        <v>157</v>
      </c>
      <c r="O10" s="120">
        <f>IF(P10=0,0,Q10/P10)</f>
        <v>-21.957894736842103</v>
      </c>
      <c r="P10" s="114">
        <v>19</v>
      </c>
      <c r="Q10" s="102">
        <v>-417.2</v>
      </c>
    </row>
    <row r="11" spans="1:17" x14ac:dyDescent="0.45">
      <c r="A11" s="54" t="s">
        <v>121</v>
      </c>
      <c r="B11" s="47">
        <v>78</v>
      </c>
      <c r="C11" s="42">
        <f>IF(B$3=0,0,B11/B$3)</f>
        <v>0.2</v>
      </c>
      <c r="E11" s="59" t="s">
        <v>71</v>
      </c>
      <c r="F11" s="56" t="s">
        <v>26</v>
      </c>
      <c r="G11" s="44">
        <v>10</v>
      </c>
      <c r="H11" s="129">
        <f>IF(B$15=0,0,G11/B$15)</f>
        <v>0.10101010101010101</v>
      </c>
      <c r="I11" s="90">
        <v>4</v>
      </c>
      <c r="K11" s="36">
        <v>9</v>
      </c>
      <c r="L11" s="95">
        <v>-150.6</v>
      </c>
      <c r="N11" s="111" t="s">
        <v>158</v>
      </c>
      <c r="O11" s="121">
        <f>IF(P11=0,0,Q11/P11)</f>
        <v>-4.4285714285714279</v>
      </c>
      <c r="P11" s="115">
        <v>14</v>
      </c>
      <c r="Q11" s="103">
        <v>-61.999999999999986</v>
      </c>
    </row>
    <row r="12" spans="1:17" x14ac:dyDescent="0.45">
      <c r="A12" s="51" t="s">
        <v>118</v>
      </c>
      <c r="B12" s="44">
        <v>85</v>
      </c>
      <c r="C12" s="37">
        <f>IF(B$3=0,0,B12/B$3)</f>
        <v>0.21794871794871795</v>
      </c>
      <c r="E12" s="59" t="s">
        <v>69</v>
      </c>
      <c r="F12" s="56" t="s">
        <v>24</v>
      </c>
      <c r="G12" s="44">
        <v>7</v>
      </c>
      <c r="H12" s="129">
        <f>IF(B$15=0,0,G12/B$15)</f>
        <v>7.0707070707070704E-2</v>
      </c>
      <c r="I12" s="90">
        <v>10</v>
      </c>
      <c r="K12" s="36">
        <v>10</v>
      </c>
      <c r="L12" s="95">
        <v>-151.1</v>
      </c>
      <c r="N12" s="112" t="s">
        <v>159</v>
      </c>
      <c r="O12" s="122">
        <f>IF(P12=0,0,Q12/P12)</f>
        <v>-4.3866666666666667</v>
      </c>
      <c r="P12" s="116">
        <v>15</v>
      </c>
      <c r="Q12" s="104">
        <v>-65.8</v>
      </c>
    </row>
    <row r="13" spans="1:17" x14ac:dyDescent="0.45">
      <c r="A13" s="50" t="s">
        <v>123</v>
      </c>
      <c r="B13" s="43">
        <f>B19</f>
        <v>43</v>
      </c>
      <c r="C13" s="35">
        <f>IF(B$11=0,0,B13/B$11)</f>
        <v>0.55128205128205132</v>
      </c>
      <c r="E13" s="59" t="s">
        <v>83</v>
      </c>
      <c r="F13" s="56" t="s">
        <v>38</v>
      </c>
      <c r="G13" s="44">
        <v>7</v>
      </c>
      <c r="H13" s="129">
        <f>IF(B$15=0,0,G13/B$15)</f>
        <v>7.0707070707070704E-2</v>
      </c>
      <c r="I13" s="90">
        <v>3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37</v>
      </c>
      <c r="C14" s="35">
        <f>IF(B$12=0,0,B14/B$12)</f>
        <v>0.43529411764705883</v>
      </c>
      <c r="E14" s="59" t="s">
        <v>86</v>
      </c>
      <c r="F14" s="56" t="s">
        <v>41</v>
      </c>
      <c r="G14" s="44">
        <v>7</v>
      </c>
      <c r="H14" s="129">
        <f>IF(B$15=0,0,G14/B$15)</f>
        <v>7.0707070707070704E-2</v>
      </c>
      <c r="I14" s="90">
        <v>1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99</v>
      </c>
      <c r="C15" s="35">
        <f>IF(B$3=0,0,B15/B$3)</f>
        <v>0.25384615384615383</v>
      </c>
      <c r="E15" s="59" t="s">
        <v>81</v>
      </c>
      <c r="F15" s="56" t="s">
        <v>36</v>
      </c>
      <c r="G15" s="44">
        <v>2</v>
      </c>
      <c r="H15" s="129">
        <f>IF(B$15=0,0,G15/B$15)</f>
        <v>2.0202020202020204E-2</v>
      </c>
      <c r="I15" s="90">
        <v>3</v>
      </c>
      <c r="K15" s="36">
        <v>13</v>
      </c>
      <c r="L15" s="95">
        <v>-217.60000000000002</v>
      </c>
      <c r="N15" s="110" t="s">
        <v>161</v>
      </c>
      <c r="O15" s="120">
        <f t="shared" ref="O15:O24" si="2">IF(P15=0,0,Q15/P15)</f>
        <v>34.137499999999996</v>
      </c>
      <c r="P15" s="114">
        <v>8</v>
      </c>
      <c r="Q15" s="102">
        <v>273.09999999999997</v>
      </c>
    </row>
    <row r="16" spans="1:17" x14ac:dyDescent="0.45">
      <c r="A16" s="51" t="s">
        <v>13</v>
      </c>
      <c r="B16" s="44">
        <v>71</v>
      </c>
      <c r="C16" s="37">
        <f>IF(B$3=0,0,B16/B$3)</f>
        <v>0.18205128205128204</v>
      </c>
      <c r="E16" s="59" t="s">
        <v>91</v>
      </c>
      <c r="F16" s="56" t="s">
        <v>46</v>
      </c>
      <c r="G16" s="44">
        <v>2</v>
      </c>
      <c r="H16" s="129">
        <f>IF(B$15=0,0,G16/B$15)</f>
        <v>2.0202020202020204E-2</v>
      </c>
      <c r="I16" s="90">
        <v>2</v>
      </c>
      <c r="K16" s="36">
        <v>14</v>
      </c>
      <c r="L16" s="95">
        <v>-266.90000000000003</v>
      </c>
      <c r="N16" s="111" t="s">
        <v>172</v>
      </c>
      <c r="O16" s="121">
        <f t="shared" si="2"/>
        <v>-3.1666666666666656</v>
      </c>
      <c r="P16" s="115">
        <v>3</v>
      </c>
      <c r="Q16" s="103">
        <v>-9.4999999999999964</v>
      </c>
    </row>
    <row r="17" spans="1:17" x14ac:dyDescent="0.45">
      <c r="A17" s="51" t="s">
        <v>12</v>
      </c>
      <c r="B17" s="44">
        <v>44</v>
      </c>
      <c r="C17" s="37">
        <f>IF(B$15=0,0,B17/B$15)</f>
        <v>0.44444444444444442</v>
      </c>
      <c r="E17" s="59" t="s">
        <v>74</v>
      </c>
      <c r="F17" s="56" t="s">
        <v>29</v>
      </c>
      <c r="G17" s="44">
        <v>1</v>
      </c>
      <c r="H17" s="129">
        <f>IF(B$15=0,0,G17/B$15)</f>
        <v>1.0101010101010102E-2</v>
      </c>
      <c r="I17" s="90">
        <v>1</v>
      </c>
      <c r="K17" s="36">
        <v>15</v>
      </c>
      <c r="L17" s="95">
        <v>-272.50000000000006</v>
      </c>
      <c r="N17" s="111" t="s">
        <v>170</v>
      </c>
      <c r="O17" s="121">
        <f t="shared" si="2"/>
        <v>-9.4086956521739129</v>
      </c>
      <c r="P17" s="115">
        <v>23</v>
      </c>
      <c r="Q17" s="103">
        <v>-216.4</v>
      </c>
    </row>
    <row r="18" spans="1:17" x14ac:dyDescent="0.45">
      <c r="A18" s="51" t="s">
        <v>11</v>
      </c>
      <c r="B18" s="44">
        <v>55</v>
      </c>
      <c r="C18" s="37">
        <f>IF(B$15=0,0,B18/B$15)</f>
        <v>0.55555555555555558</v>
      </c>
      <c r="E18" s="59" t="s">
        <v>78</v>
      </c>
      <c r="F18" s="56" t="s">
        <v>33</v>
      </c>
      <c r="G18" s="44">
        <v>1</v>
      </c>
      <c r="H18" s="129">
        <f>IF(B$15=0,0,G18/B$15)</f>
        <v>1.0101010101010102E-2</v>
      </c>
      <c r="I18" s="90">
        <v>7</v>
      </c>
      <c r="K18" s="36">
        <v>16</v>
      </c>
      <c r="L18" s="95">
        <v>-320.30000000000007</v>
      </c>
      <c r="N18" s="111" t="s">
        <v>274</v>
      </c>
      <c r="O18" s="121">
        <f t="shared" si="2"/>
        <v>-12.000000000000002</v>
      </c>
      <c r="P18" s="115">
        <v>1</v>
      </c>
      <c r="Q18" s="103">
        <v>-12.000000000000002</v>
      </c>
    </row>
    <row r="19" spans="1:17" x14ac:dyDescent="0.45">
      <c r="A19" s="51" t="s">
        <v>195</v>
      </c>
      <c r="B19" s="44">
        <v>43</v>
      </c>
      <c r="C19" s="37">
        <f>IF(B$15=0,0,B19/B$15)</f>
        <v>0.43434343434343436</v>
      </c>
      <c r="E19" s="59" t="s">
        <v>92</v>
      </c>
      <c r="F19" s="56" t="s">
        <v>47</v>
      </c>
      <c r="G19" s="44">
        <v>1</v>
      </c>
      <c r="H19" s="129">
        <f>IF(B$15=0,0,G19/B$15)</f>
        <v>1.0101010101010102E-2</v>
      </c>
      <c r="I19" s="90">
        <v>2</v>
      </c>
      <c r="K19" s="36">
        <v>17</v>
      </c>
      <c r="L19" s="95">
        <v>-352.60000000000008</v>
      </c>
      <c r="N19" s="111" t="s">
        <v>127</v>
      </c>
      <c r="O19" s="121">
        <f t="shared" si="2"/>
        <v>-16.62857142857143</v>
      </c>
      <c r="P19" s="115">
        <v>14</v>
      </c>
      <c r="Q19" s="103">
        <v>-232.8</v>
      </c>
    </row>
    <row r="20" spans="1:17" x14ac:dyDescent="0.45">
      <c r="A20" s="51" t="s">
        <v>193</v>
      </c>
      <c r="B20" s="44">
        <v>37</v>
      </c>
      <c r="C20" s="37">
        <f>IF(B$15=0,0,B20/B$15)</f>
        <v>0.37373737373737376</v>
      </c>
      <c r="E20" s="59" t="s">
        <v>95</v>
      </c>
      <c r="F20" s="56" t="s">
        <v>50</v>
      </c>
      <c r="G20" s="44">
        <v>1</v>
      </c>
      <c r="H20" s="129">
        <f>IF(B$15=0,0,G20/B$15)</f>
        <v>1.0101010101010102E-2</v>
      </c>
      <c r="I20" s="90">
        <v>1</v>
      </c>
      <c r="K20" s="36">
        <v>18</v>
      </c>
      <c r="L20" s="95">
        <v>-355.50000000000006</v>
      </c>
      <c r="N20" s="111" t="s">
        <v>203</v>
      </c>
      <c r="O20" s="121">
        <f t="shared" si="2"/>
        <v>-17.649999999999999</v>
      </c>
      <c r="P20" s="115">
        <v>2</v>
      </c>
      <c r="Q20" s="103">
        <v>-35.299999999999997</v>
      </c>
    </row>
    <row r="21" spans="1:17" x14ac:dyDescent="0.45">
      <c r="A21" s="51" t="s">
        <v>194</v>
      </c>
      <c r="B21" s="44">
        <v>19</v>
      </c>
      <c r="C21" s="37">
        <f>IF(B$15=0,0,B21/B$15)</f>
        <v>0.19191919191919191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-400.60000000000008</v>
      </c>
      <c r="N21" s="111" t="s">
        <v>171</v>
      </c>
      <c r="O21" s="121">
        <f t="shared" si="2"/>
        <v>-25.104347826086954</v>
      </c>
      <c r="P21" s="115">
        <v>23</v>
      </c>
      <c r="Q21" s="103">
        <v>-577.4</v>
      </c>
    </row>
    <row r="22" spans="1:17" x14ac:dyDescent="0.45">
      <c r="A22" s="51" t="s">
        <v>5</v>
      </c>
      <c r="B22" s="48">
        <f>IF(B$15=0,0,C22/B$15)</f>
        <v>8000</v>
      </c>
      <c r="C22" s="39">
        <v>792000</v>
      </c>
      <c r="E22" s="59" t="s">
        <v>75</v>
      </c>
      <c r="F22" s="56" t="s">
        <v>30</v>
      </c>
      <c r="G22" s="44">
        <v>0</v>
      </c>
      <c r="H22" s="129">
        <f>IF(B$15=0,0,G22/B$15)</f>
        <v>0</v>
      </c>
      <c r="I22" s="90">
        <v>9</v>
      </c>
      <c r="K22" s="36">
        <v>20</v>
      </c>
      <c r="L22" s="95">
        <v>-428.10000000000008</v>
      </c>
      <c r="N22" s="111" t="s">
        <v>126</v>
      </c>
      <c r="O22" s="121">
        <f t="shared" si="2"/>
        <v>-26.026666666666667</v>
      </c>
      <c r="P22" s="115">
        <v>15</v>
      </c>
      <c r="Q22" s="103">
        <v>-390.40000000000003</v>
      </c>
    </row>
    <row r="23" spans="1:17" x14ac:dyDescent="0.45">
      <c r="A23" s="52" t="s">
        <v>177</v>
      </c>
      <c r="B23" s="136">
        <f>IF($B$15-B$14=0,0,C23/($B$15-B$14))</f>
        <v>8433.8709677419356</v>
      </c>
      <c r="C23" s="137">
        <v>522900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-423.7000000000001</v>
      </c>
      <c r="N23" s="111" t="s">
        <v>196</v>
      </c>
      <c r="O23" s="121">
        <f t="shared" si="2"/>
        <v>-60.640000000000008</v>
      </c>
      <c r="P23" s="115">
        <v>5</v>
      </c>
      <c r="Q23" s="103">
        <v>-303.20000000000005</v>
      </c>
    </row>
    <row r="24" spans="1:17" x14ac:dyDescent="0.45">
      <c r="A24" s="52" t="s">
        <v>178</v>
      </c>
      <c r="B24" s="136">
        <f>IF(B$14=0,0,C24/B$14)</f>
        <v>7272.9729729729734</v>
      </c>
      <c r="C24" s="137">
        <v>269100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-465.00000000000011</v>
      </c>
      <c r="N24" s="111" t="s">
        <v>228</v>
      </c>
      <c r="O24" s="121">
        <f t="shared" si="2"/>
        <v>-65.55</v>
      </c>
      <c r="P24" s="115">
        <v>2</v>
      </c>
      <c r="Q24" s="103">
        <v>-131.1</v>
      </c>
    </row>
    <row r="25" spans="1:17" x14ac:dyDescent="0.45">
      <c r="A25" s="52" t="s">
        <v>176</v>
      </c>
      <c r="B25" s="136">
        <f>IF(B$16=0,0,C25/B$16)</f>
        <v>-8015.4929577464791</v>
      </c>
      <c r="C25" s="137">
        <v>-569100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9</v>
      </c>
      <c r="K25" s="36">
        <v>23</v>
      </c>
      <c r="L25" s="95">
        <v>-450.10000000000014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-474.10000000000014</v>
      </c>
    </row>
    <row r="27" spans="1:17" x14ac:dyDescent="0.45">
      <c r="A27" s="51" t="s">
        <v>165</v>
      </c>
      <c r="B27" s="44">
        <v>19</v>
      </c>
      <c r="C27" s="131">
        <v>3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-488.30000000000013</v>
      </c>
    </row>
    <row r="28" spans="1:17" x14ac:dyDescent="0.45">
      <c r="A28" s="86" t="s">
        <v>138</v>
      </c>
      <c r="B28" s="152">
        <v>6</v>
      </c>
      <c r="C28" s="153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-439.2000000000001</v>
      </c>
    </row>
    <row r="29" spans="1:17" x14ac:dyDescent="0.45">
      <c r="A29" s="54" t="s">
        <v>192</v>
      </c>
      <c r="B29" s="150">
        <v>85100</v>
      </c>
      <c r="C29" s="151"/>
      <c r="E29" s="59" t="s">
        <v>85</v>
      </c>
      <c r="F29" s="56" t="s">
        <v>40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-418.80000000000013</v>
      </c>
    </row>
    <row r="30" spans="1:17" x14ac:dyDescent="0.45">
      <c r="A30" s="53" t="s">
        <v>139</v>
      </c>
      <c r="B30" s="61">
        <v>1</v>
      </c>
      <c r="C30" s="40">
        <f>IF(B$3=0,0,B30/B$3)</f>
        <v>2.5641025641025641E-3</v>
      </c>
      <c r="E30" s="59" t="s">
        <v>87</v>
      </c>
      <c r="F30" s="56" t="s">
        <v>42</v>
      </c>
      <c r="G30" s="44">
        <v>0</v>
      </c>
      <c r="H30" s="129">
        <f>IF(B$15=0,0,G30/B$15)</f>
        <v>0</v>
      </c>
      <c r="I30" s="90">
        <v>4</v>
      </c>
      <c r="K30" s="36">
        <v>28</v>
      </c>
      <c r="L30" s="95">
        <v>-447.30000000000013</v>
      </c>
    </row>
    <row r="31" spans="1:17" x14ac:dyDescent="0.45">
      <c r="E31" s="59" t="s">
        <v>88</v>
      </c>
      <c r="F31" s="56" t="s">
        <v>43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-442.60000000000014</v>
      </c>
    </row>
    <row r="32" spans="1:17" x14ac:dyDescent="0.45">
      <c r="A32" s="86" t="s">
        <v>183</v>
      </c>
      <c r="B32" s="144">
        <v>8</v>
      </c>
      <c r="C32" s="141">
        <f>IF(B$15=0,0,B32/B$15)</f>
        <v>8.0808080808080815E-2</v>
      </c>
      <c r="E32" s="59" t="s">
        <v>90</v>
      </c>
      <c r="F32" s="56" t="s">
        <v>45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-472.50000000000011</v>
      </c>
    </row>
    <row r="33" spans="1:12" x14ac:dyDescent="0.45">
      <c r="A33" s="51" t="s">
        <v>179</v>
      </c>
      <c r="B33" s="44">
        <v>22</v>
      </c>
      <c r="C33" s="37">
        <f t="shared" ref="C33:C44" si="3">IF(B$15=0,0,B33/B$15)</f>
        <v>0.22222222222222221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-473.10000000000014</v>
      </c>
    </row>
    <row r="34" spans="1:12" x14ac:dyDescent="0.45">
      <c r="A34" s="51" t="s">
        <v>180</v>
      </c>
      <c r="B34" s="145">
        <v>21</v>
      </c>
      <c r="C34" s="37">
        <f>IF(B$15=0,0,B34/B$15)</f>
        <v>0.21212121212121213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-525.40000000000009</v>
      </c>
    </row>
    <row r="35" spans="1:12" x14ac:dyDescent="0.45">
      <c r="A35" s="51" t="s">
        <v>181</v>
      </c>
      <c r="B35" s="145">
        <v>13</v>
      </c>
      <c r="C35" s="37">
        <f t="shared" si="3"/>
        <v>0.13131313131313133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-548.20000000000005</v>
      </c>
    </row>
    <row r="36" spans="1:12" x14ac:dyDescent="0.45">
      <c r="A36" s="51" t="s">
        <v>182</v>
      </c>
      <c r="B36" s="145">
        <v>13</v>
      </c>
      <c r="C36" s="37">
        <f t="shared" si="3"/>
        <v>0.13131313131313133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-531.90000000000009</v>
      </c>
    </row>
    <row r="37" spans="1:12" x14ac:dyDescent="0.45">
      <c r="A37" s="51" t="s">
        <v>184</v>
      </c>
      <c r="B37" s="145">
        <v>7</v>
      </c>
      <c r="C37" s="37">
        <f t="shared" si="3"/>
        <v>7.0707070707070704E-2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-482.7000000000001</v>
      </c>
    </row>
    <row r="38" spans="1:12" x14ac:dyDescent="0.45">
      <c r="A38" s="51" t="s">
        <v>185</v>
      </c>
      <c r="B38" s="145">
        <v>7</v>
      </c>
      <c r="C38" s="37">
        <f t="shared" si="3"/>
        <v>7.0707070707070704E-2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-498.00000000000011</v>
      </c>
    </row>
    <row r="39" spans="1:12" x14ac:dyDescent="0.45">
      <c r="A39" s="51" t="s">
        <v>186</v>
      </c>
      <c r="B39" s="145">
        <v>5</v>
      </c>
      <c r="C39" s="37">
        <f t="shared" si="3"/>
        <v>5.0505050505050504E-2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-547.00000000000011</v>
      </c>
    </row>
    <row r="40" spans="1:12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-570.10000000000014</v>
      </c>
    </row>
    <row r="41" spans="1:12" x14ac:dyDescent="0.45">
      <c r="A41" s="51" t="s">
        <v>188</v>
      </c>
      <c r="B41" s="145">
        <v>1</v>
      </c>
      <c r="C41" s="37">
        <f t="shared" si="3"/>
        <v>1.0101010101010102E-2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-524.90000000000009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-573.70000000000005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-624.80000000000007</v>
      </c>
    </row>
    <row r="44" spans="1:12" x14ac:dyDescent="0.45">
      <c r="A44" s="53" t="s">
        <v>191</v>
      </c>
      <c r="B44" s="140">
        <v>2</v>
      </c>
      <c r="C44" s="40">
        <f t="shared" si="3"/>
        <v>2.0202020202020204E-2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-604.80000000000007</v>
      </c>
    </row>
    <row r="45" spans="1:12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-623.30000000000007</v>
      </c>
    </row>
    <row r="46" spans="1:12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-588.1</v>
      </c>
    </row>
    <row r="47" spans="1:12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-559.20000000000005</v>
      </c>
    </row>
    <row r="48" spans="1:12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-555.90000000000009</v>
      </c>
    </row>
    <row r="49" spans="5:12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-550.60000000000014</v>
      </c>
    </row>
    <row r="50" spans="5:12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-545.00000000000011</v>
      </c>
    </row>
    <row r="51" spans="5:12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C335-5A3E-49C9-9DBD-5B180DACC0B8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196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25</v>
      </c>
      <c r="C2" s="159"/>
      <c r="E2" s="58" t="s">
        <v>66</v>
      </c>
      <c r="F2" s="55" t="s">
        <v>22</v>
      </c>
      <c r="G2" s="43">
        <v>63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-3136</v>
      </c>
      <c r="P2" s="114">
        <v>25</v>
      </c>
      <c r="Q2" s="98">
        <v>-78400</v>
      </c>
    </row>
    <row r="3" spans="1:17" x14ac:dyDescent="0.45">
      <c r="A3" s="51" t="s">
        <v>8</v>
      </c>
      <c r="B3" s="160">
        <v>240</v>
      </c>
      <c r="C3" s="161"/>
      <c r="E3" s="59" t="s">
        <v>64</v>
      </c>
      <c r="F3" s="56" t="s">
        <v>20</v>
      </c>
      <c r="G3" s="44">
        <v>37</v>
      </c>
      <c r="H3" s="129">
        <f>IF(B$15=0,0,G3/B$15)</f>
        <v>0.58730158730158732</v>
      </c>
      <c r="I3" s="90">
        <v>2</v>
      </c>
      <c r="K3" s="36">
        <v>1</v>
      </c>
      <c r="L3" s="95">
        <v>70.2</v>
      </c>
      <c r="N3" s="111" t="s">
        <v>131</v>
      </c>
      <c r="O3" s="118">
        <f t="shared" si="0"/>
        <v>-1216</v>
      </c>
      <c r="P3" s="115">
        <v>25</v>
      </c>
      <c r="Q3" s="99">
        <v>-30400</v>
      </c>
    </row>
    <row r="4" spans="1:17" x14ac:dyDescent="0.45">
      <c r="A4" s="51" t="s">
        <v>6</v>
      </c>
      <c r="B4" s="162">
        <v>-45.7</v>
      </c>
      <c r="C4" s="163"/>
      <c r="E4" s="59" t="s">
        <v>68</v>
      </c>
      <c r="F4" s="56" t="s">
        <v>12</v>
      </c>
      <c r="G4" s="44">
        <v>28</v>
      </c>
      <c r="H4" s="129">
        <f>IF(B$15=0,0,G4/B$15)</f>
        <v>0.44444444444444442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1454.1666666666667</v>
      </c>
      <c r="P4" s="115">
        <v>24</v>
      </c>
      <c r="Q4" s="99">
        <v>34900</v>
      </c>
    </row>
    <row r="5" spans="1:17" x14ac:dyDescent="0.45">
      <c r="A5" s="51" t="s">
        <v>7</v>
      </c>
      <c r="B5" s="164">
        <f>IF(B$2=0,0,B$4/B$2)</f>
        <v>-1.8280000000000001</v>
      </c>
      <c r="C5" s="165"/>
      <c r="E5" s="59" t="s">
        <v>166</v>
      </c>
      <c r="F5" s="56" t="s">
        <v>167</v>
      </c>
      <c r="G5" s="44">
        <v>24</v>
      </c>
      <c r="H5" s="129">
        <f>IF(B$15=0,0,G5/B$15)</f>
        <v>0.38095238095238093</v>
      </c>
      <c r="I5" s="90">
        <v>8</v>
      </c>
      <c r="K5" s="36">
        <v>3</v>
      </c>
      <c r="L5" s="95">
        <v>76</v>
      </c>
      <c r="N5" s="111" t="s">
        <v>133</v>
      </c>
      <c r="O5" s="118">
        <f t="shared" si="0"/>
        <v>-2866.6666666666665</v>
      </c>
      <c r="P5" s="115">
        <v>24</v>
      </c>
      <c r="Q5" s="99">
        <v>-68800</v>
      </c>
    </row>
    <row r="6" spans="1:17" x14ac:dyDescent="0.45">
      <c r="A6" s="51" t="s">
        <v>1</v>
      </c>
      <c r="B6" s="154">
        <f>IF(B$2=0,0,(B$7*1+B$8*2+B$9*3)/B$2)</f>
        <v>2.04</v>
      </c>
      <c r="C6" s="155"/>
      <c r="E6" s="59" t="s">
        <v>72</v>
      </c>
      <c r="F6" s="56" t="s">
        <v>27</v>
      </c>
      <c r="G6" s="44">
        <v>21</v>
      </c>
      <c r="H6" s="129">
        <f>IF(B$15=0,0,G6/B$15)</f>
        <v>0.33333333333333331</v>
      </c>
      <c r="I6" s="90">
        <v>12</v>
      </c>
      <c r="K6" s="36">
        <v>4</v>
      </c>
      <c r="L6" s="95">
        <v>115.5</v>
      </c>
      <c r="N6" s="111" t="s">
        <v>134</v>
      </c>
      <c r="O6" s="118">
        <f t="shared" si="0"/>
        <v>4822.727272727273</v>
      </c>
      <c r="P6" s="115">
        <v>22</v>
      </c>
      <c r="Q6" s="99">
        <v>106100</v>
      </c>
    </row>
    <row r="7" spans="1:17" x14ac:dyDescent="0.45">
      <c r="A7" s="51" t="s">
        <v>2</v>
      </c>
      <c r="B7" s="44">
        <v>9</v>
      </c>
      <c r="C7" s="37">
        <f t="shared" ref="C7:C10" si="1">IF(B$2=0,0,B7/B$2)</f>
        <v>0.36</v>
      </c>
      <c r="E7" s="59" t="s">
        <v>67</v>
      </c>
      <c r="F7" s="56" t="s">
        <v>23</v>
      </c>
      <c r="G7" s="44">
        <v>16</v>
      </c>
      <c r="H7" s="129">
        <f>IF(B$15=0,0,G7/B$15)</f>
        <v>0.25396825396825395</v>
      </c>
      <c r="I7" s="90">
        <v>8</v>
      </c>
      <c r="K7" s="36">
        <v>5</v>
      </c>
      <c r="L7" s="95">
        <v>127.9</v>
      </c>
      <c r="N7" s="112" t="s">
        <v>135</v>
      </c>
      <c r="O7" s="119">
        <f t="shared" si="0"/>
        <v>711.11111111111109</v>
      </c>
      <c r="P7" s="116">
        <v>18</v>
      </c>
      <c r="Q7" s="100">
        <v>12800</v>
      </c>
    </row>
    <row r="8" spans="1:17" x14ac:dyDescent="0.45">
      <c r="A8" s="51" t="s">
        <v>3</v>
      </c>
      <c r="B8" s="44">
        <v>6</v>
      </c>
      <c r="C8" s="37">
        <f t="shared" si="1"/>
        <v>0.24</v>
      </c>
      <c r="E8" s="59" t="s">
        <v>69</v>
      </c>
      <c r="F8" s="56" t="s">
        <v>24</v>
      </c>
      <c r="G8" s="44">
        <v>13</v>
      </c>
      <c r="H8" s="129">
        <f>IF(B$15=0,0,G8/B$15)</f>
        <v>0.20634920634920634</v>
      </c>
      <c r="I8" s="90">
        <v>2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5">
      <c r="A9" s="52" t="s">
        <v>4</v>
      </c>
      <c r="B9" s="45">
        <v>10</v>
      </c>
      <c r="C9" s="38">
        <f t="shared" si="1"/>
        <v>0.4</v>
      </c>
      <c r="E9" s="59" t="s">
        <v>65</v>
      </c>
      <c r="F9" s="56" t="s">
        <v>21</v>
      </c>
      <c r="G9" s="44">
        <v>9</v>
      </c>
      <c r="H9" s="129">
        <f>IF(B$15=0,0,G9/B$15)</f>
        <v>0.14285714285714285</v>
      </c>
      <c r="I9" s="90">
        <v>3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3</v>
      </c>
      <c r="C10" s="40">
        <f t="shared" si="1"/>
        <v>0.12</v>
      </c>
      <c r="E10" s="59" t="s">
        <v>70</v>
      </c>
      <c r="F10" s="56" t="s">
        <v>25</v>
      </c>
      <c r="G10" s="44">
        <v>7</v>
      </c>
      <c r="H10" s="129">
        <f>IF(B$15=0,0,G10/B$15)</f>
        <v>0.1111111111111111</v>
      </c>
      <c r="I10" s="90">
        <v>6</v>
      </c>
      <c r="K10" s="36">
        <v>8</v>
      </c>
      <c r="L10" s="95">
        <v>124.6</v>
      </c>
      <c r="N10" s="110" t="s">
        <v>157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5">
      <c r="A11" s="54" t="s">
        <v>121</v>
      </c>
      <c r="B11" s="47">
        <v>62</v>
      </c>
      <c r="C11" s="42">
        <f>IF(B$3=0,0,B11/B$3)</f>
        <v>0.25833333333333336</v>
      </c>
      <c r="E11" s="59" t="s">
        <v>71</v>
      </c>
      <c r="F11" s="56" t="s">
        <v>26</v>
      </c>
      <c r="G11" s="44">
        <v>6</v>
      </c>
      <c r="H11" s="129">
        <f>IF(B$15=0,0,G11/B$15)</f>
        <v>9.5238095238095233E-2</v>
      </c>
      <c r="I11" s="90">
        <v>6</v>
      </c>
      <c r="K11" s="36">
        <v>9</v>
      </c>
      <c r="L11" s="95">
        <v>141.5</v>
      </c>
      <c r="N11" s="111" t="s">
        <v>158</v>
      </c>
      <c r="O11" s="121">
        <f>IF(P11=0,0,Q11/P11)</f>
        <v>-1.150000000000001</v>
      </c>
      <c r="P11" s="115">
        <v>6</v>
      </c>
      <c r="Q11" s="103">
        <v>-6.9000000000000057</v>
      </c>
    </row>
    <row r="12" spans="1:17" x14ac:dyDescent="0.45">
      <c r="A12" s="51" t="s">
        <v>118</v>
      </c>
      <c r="B12" s="44">
        <v>36</v>
      </c>
      <c r="C12" s="37">
        <f>IF(B$3=0,0,B12/B$3)</f>
        <v>0.15</v>
      </c>
      <c r="E12" s="59" t="s">
        <v>89</v>
      </c>
      <c r="F12" s="56" t="s">
        <v>44</v>
      </c>
      <c r="G12" s="44">
        <v>5</v>
      </c>
      <c r="H12" s="129">
        <f>IF(B$15=0,0,G12/B$15)</f>
        <v>7.9365079365079361E-2</v>
      </c>
      <c r="I12" s="90">
        <v>10</v>
      </c>
      <c r="K12" s="36">
        <v>10</v>
      </c>
      <c r="L12" s="95">
        <v>162.80000000000001</v>
      </c>
      <c r="N12" s="112" t="s">
        <v>159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5">
      <c r="A13" s="50" t="s">
        <v>123</v>
      </c>
      <c r="B13" s="43">
        <f>B19</f>
        <v>37</v>
      </c>
      <c r="C13" s="35">
        <f>IF(B$11=0,0,B13/B$11)</f>
        <v>0.59677419354838712</v>
      </c>
      <c r="E13" s="59" t="s">
        <v>78</v>
      </c>
      <c r="F13" s="56" t="s">
        <v>33</v>
      </c>
      <c r="G13" s="44">
        <v>3</v>
      </c>
      <c r="H13" s="129">
        <f>IF(B$15=0,0,G13/B$15)</f>
        <v>4.7619047619047616E-2</v>
      </c>
      <c r="I13" s="90">
        <v>1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</v>
      </c>
      <c r="C14" s="35">
        <f>IF(B$12=0,0,B14/B$12)</f>
        <v>0.33333333333333331</v>
      </c>
      <c r="E14" s="59" t="s">
        <v>86</v>
      </c>
      <c r="F14" s="56" t="s">
        <v>41</v>
      </c>
      <c r="G14" s="44">
        <v>3</v>
      </c>
      <c r="H14" s="129">
        <f>IF(B$15=0,0,G14/B$15)</f>
        <v>4.7619047619047616E-2</v>
      </c>
      <c r="I14" s="90">
        <v>7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63</v>
      </c>
      <c r="C15" s="35">
        <f>IF(B$3=0,0,B15/B$3)</f>
        <v>0.26250000000000001</v>
      </c>
      <c r="E15" s="59" t="s">
        <v>83</v>
      </c>
      <c r="F15" s="56" t="s">
        <v>38</v>
      </c>
      <c r="G15" s="44">
        <v>2</v>
      </c>
      <c r="H15" s="129">
        <f>IF(B$15=0,0,G15/B$15)</f>
        <v>3.1746031746031744E-2</v>
      </c>
      <c r="I15" s="90">
        <v>10</v>
      </c>
      <c r="K15" s="36">
        <v>13</v>
      </c>
      <c r="L15" s="95">
        <v>76.7</v>
      </c>
      <c r="N15" s="110" t="s">
        <v>197</v>
      </c>
      <c r="O15" s="120">
        <f t="shared" ref="O15:O23" si="2">IF(P15=0,0,Q15/P15)</f>
        <v>60.640000000000008</v>
      </c>
      <c r="P15" s="114">
        <v>5</v>
      </c>
      <c r="Q15" s="102">
        <v>303.20000000000005</v>
      </c>
    </row>
    <row r="16" spans="1:17" x14ac:dyDescent="0.45">
      <c r="A16" s="51" t="s">
        <v>13</v>
      </c>
      <c r="B16" s="44">
        <v>42</v>
      </c>
      <c r="C16" s="37">
        <f>IF(B$3=0,0,B16/B$3)</f>
        <v>0.17499999999999999</v>
      </c>
      <c r="E16" s="59" t="s">
        <v>75</v>
      </c>
      <c r="F16" s="56" t="s">
        <v>30</v>
      </c>
      <c r="G16" s="44">
        <v>1</v>
      </c>
      <c r="H16" s="129">
        <f>IF(B$15=0,0,G16/B$15)</f>
        <v>1.5873015873015872E-2</v>
      </c>
      <c r="I16" s="90">
        <v>1</v>
      </c>
      <c r="K16" s="36">
        <v>14</v>
      </c>
      <c r="L16" s="95">
        <v>49.900000000000006</v>
      </c>
      <c r="N16" s="111" t="s">
        <v>170</v>
      </c>
      <c r="O16" s="121">
        <f t="shared" si="2"/>
        <v>14.1</v>
      </c>
      <c r="P16" s="115">
        <v>8</v>
      </c>
      <c r="Q16" s="103">
        <v>112.8</v>
      </c>
    </row>
    <row r="17" spans="1:17" x14ac:dyDescent="0.45">
      <c r="A17" s="51" t="s">
        <v>12</v>
      </c>
      <c r="B17" s="44">
        <v>36</v>
      </c>
      <c r="C17" s="37">
        <f>IF(B$15=0,0,B17/B$15)</f>
        <v>0.5714285714285714</v>
      </c>
      <c r="E17" s="59" t="s">
        <v>81</v>
      </c>
      <c r="F17" s="56" t="s">
        <v>36</v>
      </c>
      <c r="G17" s="44">
        <v>1</v>
      </c>
      <c r="H17" s="129">
        <f>IF(B$15=0,0,G17/B$15)</f>
        <v>1.5873015873015872E-2</v>
      </c>
      <c r="I17" s="90">
        <v>6</v>
      </c>
      <c r="K17" s="36">
        <v>15</v>
      </c>
      <c r="L17" s="95">
        <v>73.7</v>
      </c>
      <c r="N17" s="111" t="s">
        <v>172</v>
      </c>
      <c r="O17" s="121">
        <f t="shared" si="2"/>
        <v>-0.13999999999999985</v>
      </c>
      <c r="P17" s="115">
        <v>10</v>
      </c>
      <c r="Q17" s="103">
        <v>-1.3999999999999986</v>
      </c>
    </row>
    <row r="18" spans="1:17" x14ac:dyDescent="0.45">
      <c r="A18" s="51" t="s">
        <v>11</v>
      </c>
      <c r="B18" s="44">
        <v>27</v>
      </c>
      <c r="C18" s="37">
        <f>IF(B$15=0,0,B18/B$15)</f>
        <v>0.42857142857142855</v>
      </c>
      <c r="E18" s="59" t="s">
        <v>85</v>
      </c>
      <c r="F18" s="56" t="s">
        <v>40</v>
      </c>
      <c r="G18" s="44">
        <v>1</v>
      </c>
      <c r="H18" s="129">
        <f>IF(B$15=0,0,G18/B$15)</f>
        <v>1.5873015873015872E-2</v>
      </c>
      <c r="I18" s="90">
        <v>1</v>
      </c>
      <c r="K18" s="36">
        <v>16</v>
      </c>
      <c r="L18" s="95">
        <v>28.300000000000004</v>
      </c>
      <c r="N18" s="111" t="s">
        <v>171</v>
      </c>
      <c r="O18" s="121">
        <f t="shared" si="2"/>
        <v>-5.7000000000000011</v>
      </c>
      <c r="P18" s="115">
        <v>5</v>
      </c>
      <c r="Q18" s="103">
        <v>-28.500000000000004</v>
      </c>
    </row>
    <row r="19" spans="1:17" x14ac:dyDescent="0.45">
      <c r="A19" s="51" t="s">
        <v>195</v>
      </c>
      <c r="B19" s="44">
        <v>37</v>
      </c>
      <c r="C19" s="37">
        <f>IF(B$15=0,0,B19/B$15)</f>
        <v>0.58730158730158732</v>
      </c>
      <c r="E19" s="59" t="s">
        <v>87</v>
      </c>
      <c r="F19" s="56" t="s">
        <v>42</v>
      </c>
      <c r="G19" s="44">
        <v>1</v>
      </c>
      <c r="H19" s="129">
        <f>IF(B$15=0,0,G19/B$15)</f>
        <v>1.5873015873015872E-2</v>
      </c>
      <c r="I19" s="90">
        <v>1</v>
      </c>
      <c r="K19" s="36">
        <v>17</v>
      </c>
      <c r="L19" s="95">
        <v>49.800000000000004</v>
      </c>
      <c r="N19" s="111" t="s">
        <v>161</v>
      </c>
      <c r="O19" s="121">
        <f t="shared" si="2"/>
        <v>-7.4333333333333336</v>
      </c>
      <c r="P19" s="115">
        <v>6</v>
      </c>
      <c r="Q19" s="103">
        <v>-44.6</v>
      </c>
    </row>
    <row r="20" spans="1:17" x14ac:dyDescent="0.45">
      <c r="A20" s="51" t="s">
        <v>193</v>
      </c>
      <c r="B20" s="44">
        <v>12</v>
      </c>
      <c r="C20" s="37">
        <f>IF(B$15=0,0,B20/B$15)</f>
        <v>0.19047619047619047</v>
      </c>
      <c r="E20" s="59" t="s">
        <v>162</v>
      </c>
      <c r="F20" s="56" t="s">
        <v>163</v>
      </c>
      <c r="G20" s="44">
        <v>1</v>
      </c>
      <c r="H20" s="129">
        <f>IF(B$15=0,0,G20/B$15)</f>
        <v>1.5873015873015872E-2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2"/>
        <v>-13.5</v>
      </c>
      <c r="P20" s="115">
        <v>5</v>
      </c>
      <c r="Q20" s="103">
        <v>-67.5</v>
      </c>
    </row>
    <row r="21" spans="1:17" x14ac:dyDescent="0.45">
      <c r="A21" s="51" t="s">
        <v>194</v>
      </c>
      <c r="B21" s="44">
        <v>14</v>
      </c>
      <c r="C21" s="37">
        <f>IF(B$15=0,0,B21/B$15)</f>
        <v>0.22222222222222221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8.7000000000000028</v>
      </c>
      <c r="N21" s="111" t="s">
        <v>228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5">
      <c r="A22" s="51" t="s">
        <v>5</v>
      </c>
      <c r="B22" s="48">
        <f>IF(B$15=0,0,C22/B$15)</f>
        <v>8385.7142857142862</v>
      </c>
      <c r="C22" s="39">
        <v>528300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2"/>
        <v>-39.662500000000009</v>
      </c>
      <c r="P22" s="115">
        <v>8</v>
      </c>
      <c r="Q22" s="103">
        <v>-317.30000000000007</v>
      </c>
    </row>
    <row r="23" spans="1:17" x14ac:dyDescent="0.45">
      <c r="A23" s="52" t="s">
        <v>177</v>
      </c>
      <c r="B23" s="136">
        <f>IF($B$15-B$14=0,0,C23/($B$15-B$14))</f>
        <v>8686.2745098039213</v>
      </c>
      <c r="C23" s="137">
        <v>443000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-35.4</v>
      </c>
      <c r="N23" s="111" t="s">
        <v>274</v>
      </c>
      <c r="O23" s="121">
        <f t="shared" si="2"/>
        <v>-58.099999999999994</v>
      </c>
      <c r="P23" s="115">
        <v>1</v>
      </c>
      <c r="Q23" s="103">
        <v>-58.099999999999994</v>
      </c>
    </row>
    <row r="24" spans="1:17" x14ac:dyDescent="0.45">
      <c r="A24" s="52" t="s">
        <v>178</v>
      </c>
      <c r="B24" s="136">
        <f>IF(B$14=0,0,C24/B$14)</f>
        <v>7108.333333333333</v>
      </c>
      <c r="C24" s="137">
        <v>85300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-13.5</v>
      </c>
    </row>
    <row r="25" spans="1:17" x14ac:dyDescent="0.45">
      <c r="A25" s="52" t="s">
        <v>176</v>
      </c>
      <c r="B25" s="136">
        <f>IF(B$16=0,0,C25/B$16)</f>
        <v>-6876.1904761904761</v>
      </c>
      <c r="C25" s="137">
        <v>-288800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9</v>
      </c>
      <c r="K25" s="36">
        <v>23</v>
      </c>
      <c r="L25" s="95">
        <v>27.299999999999997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2.1999999999999957</v>
      </c>
    </row>
    <row r="27" spans="1:17" x14ac:dyDescent="0.45">
      <c r="A27" s="51" t="s">
        <v>165</v>
      </c>
      <c r="B27" s="44">
        <v>19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-45.7</v>
      </c>
    </row>
    <row r="28" spans="1:17" x14ac:dyDescent="0.45">
      <c r="A28" s="86" t="s">
        <v>138</v>
      </c>
      <c r="B28" s="152">
        <v>7</v>
      </c>
      <c r="C28" s="153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50">
        <v>95200</v>
      </c>
      <c r="C29" s="151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4.1666666666666666E-3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9</v>
      </c>
    </row>
    <row r="32" spans="1:17" x14ac:dyDescent="0.45">
      <c r="A32" s="86" t="s">
        <v>183</v>
      </c>
      <c r="B32" s="144">
        <v>7</v>
      </c>
      <c r="C32" s="141">
        <f>IF(B$15=0,0,B32/B$15)</f>
        <v>0.1111111111111111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</row>
    <row r="33" spans="1:9" x14ac:dyDescent="0.45">
      <c r="A33" s="51" t="s">
        <v>179</v>
      </c>
      <c r="B33" s="44">
        <v>9</v>
      </c>
      <c r="C33" s="37">
        <f t="shared" ref="C33:C44" si="3">IF(B$15=0,0,B33/B$15)</f>
        <v>0.14285714285714285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</row>
    <row r="34" spans="1:9" x14ac:dyDescent="0.45">
      <c r="A34" s="51" t="s">
        <v>180</v>
      </c>
      <c r="B34" s="145">
        <v>10</v>
      </c>
      <c r="C34" s="37">
        <f>IF(B$15=0,0,B34/B$15)</f>
        <v>0.15873015873015872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</row>
    <row r="35" spans="1:9" x14ac:dyDescent="0.45">
      <c r="A35" s="51" t="s">
        <v>181</v>
      </c>
      <c r="B35" s="145">
        <v>9</v>
      </c>
      <c r="C35" s="37">
        <f t="shared" si="3"/>
        <v>0.14285714285714285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</row>
    <row r="36" spans="1:9" x14ac:dyDescent="0.45">
      <c r="A36" s="51" t="s">
        <v>182</v>
      </c>
      <c r="B36" s="145">
        <v>10</v>
      </c>
      <c r="C36" s="37">
        <f t="shared" si="3"/>
        <v>0.15873015873015872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</row>
    <row r="37" spans="1:9" x14ac:dyDescent="0.45">
      <c r="A37" s="51" t="s">
        <v>184</v>
      </c>
      <c r="B37" s="145">
        <v>12</v>
      </c>
      <c r="C37" s="37">
        <f t="shared" si="3"/>
        <v>0.19047619047619047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</row>
    <row r="38" spans="1:9" x14ac:dyDescent="0.45">
      <c r="A38" s="51" t="s">
        <v>185</v>
      </c>
      <c r="B38" s="145">
        <v>3</v>
      </c>
      <c r="C38" s="37">
        <f t="shared" si="3"/>
        <v>4.7619047619047616E-2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2</v>
      </c>
      <c r="C39" s="37">
        <f t="shared" si="3"/>
        <v>3.1746031746031744E-2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</row>
    <row r="41" spans="1:9" x14ac:dyDescent="0.45">
      <c r="A41" s="51" t="s">
        <v>188</v>
      </c>
      <c r="B41" s="145">
        <v>1</v>
      </c>
      <c r="C41" s="37">
        <f t="shared" si="3"/>
        <v>1.5873015873015872E-2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</row>
    <row r="46" spans="1:9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</row>
    <row r="47" spans="1:9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3C0CE-FF64-4D0E-999A-38EA4A1519EC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228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7</v>
      </c>
      <c r="C2" s="159"/>
      <c r="E2" s="58" t="s">
        <v>66</v>
      </c>
      <c r="F2" s="55" t="s">
        <v>22</v>
      </c>
      <c r="G2" s="43">
        <v>11</v>
      </c>
      <c r="H2" s="128">
        <f>IF(B$15=0,0,G2/B$15)</f>
        <v>0.73333333333333328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5">
      <c r="A3" s="51" t="s">
        <v>8</v>
      </c>
      <c r="B3" s="160">
        <v>62</v>
      </c>
      <c r="C3" s="161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5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5">
      <c r="A4" s="51" t="s">
        <v>6</v>
      </c>
      <c r="B4" s="162">
        <v>-104.80000000000001</v>
      </c>
      <c r="C4" s="163"/>
      <c r="E4" s="59" t="s">
        <v>67</v>
      </c>
      <c r="F4" s="56" t="s">
        <v>23</v>
      </c>
      <c r="G4" s="44">
        <v>7</v>
      </c>
      <c r="H4" s="129">
        <f>IF(B$15=0,0,G4/B$15)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5">
      <c r="A5" s="51" t="s">
        <v>7</v>
      </c>
      <c r="B5" s="164">
        <f>IF(B$2=0,0,B$4/B$2)</f>
        <v>-14.971428571428573</v>
      </c>
      <c r="C5" s="165"/>
      <c r="E5" s="59" t="s">
        <v>72</v>
      </c>
      <c r="F5" s="56" t="s">
        <v>27</v>
      </c>
      <c r="G5" s="44">
        <v>7</v>
      </c>
      <c r="H5" s="129">
        <f>IF(B$15=0,0,G5/B$15)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5">
      <c r="A6" s="51" t="s">
        <v>1</v>
      </c>
      <c r="B6" s="154">
        <f>IF(B$2=0,0,(B$7*1+B$8*2+B$9*3)/B$2)</f>
        <v>2.1428571428571428</v>
      </c>
      <c r="C6" s="155"/>
      <c r="E6" s="59" t="s">
        <v>166</v>
      </c>
      <c r="F6" s="56" t="s">
        <v>167</v>
      </c>
      <c r="G6" s="44">
        <v>5</v>
      </c>
      <c r="H6" s="129">
        <f>IF(B$15=0,0,G6/B$15)</f>
        <v>0.33333333333333331</v>
      </c>
      <c r="I6" s="90">
        <v>10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5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IF(B$15=0,0,G8/B$15)</f>
        <v>0.2</v>
      </c>
      <c r="I8" s="90">
        <v>11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5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IF(B$15=0,0,G9/B$15)</f>
        <v>0.13333333333333333</v>
      </c>
      <c r="I9" s="90">
        <v>4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4</v>
      </c>
      <c r="C10" s="40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IF(B$15=0,0,G10/B$15)</f>
        <v>6.6666666666666666E-2</v>
      </c>
      <c r="I10" s="90">
        <v>11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>IF(B$15=0,0,G11/B$15)</f>
        <v>6.6666666666666666E-2</v>
      </c>
      <c r="I11" s="90">
        <v>11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5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9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5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>IF(B$15=0,0,G14/B$15)</f>
        <v>6.6666666666666666E-2</v>
      </c>
      <c r="I14" s="90">
        <v>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2</v>
      </c>
      <c r="N15" s="110" t="s">
        <v>197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5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>IF(B$15=0,0,G16/B$15)</f>
        <v>0</v>
      </c>
      <c r="I16" s="90">
        <v>5</v>
      </c>
      <c r="N16" s="111" t="s">
        <v>172</v>
      </c>
      <c r="O16" s="121">
        <f t="shared" si="2"/>
        <v>56.6</v>
      </c>
      <c r="P16" s="115">
        <v>1</v>
      </c>
      <c r="Q16" s="103">
        <v>56.6</v>
      </c>
    </row>
    <row r="17" spans="1:17" x14ac:dyDescent="0.45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>IF(B$15=0,0,G17/B$15)</f>
        <v>0</v>
      </c>
      <c r="I17" s="90">
        <v>7</v>
      </c>
      <c r="N17" s="111" t="s">
        <v>196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5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>IF(B$15=0,0,G18/B$15)</f>
        <v>0</v>
      </c>
      <c r="I18" s="90">
        <v>9</v>
      </c>
      <c r="N18" s="111" t="s">
        <v>171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5">
      <c r="A19" s="51" t="s">
        <v>195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>IF(B$15=0,0,G19/B$15)</f>
        <v>0</v>
      </c>
      <c r="I19" s="90">
        <v>1</v>
      </c>
      <c r="N19" s="111" t="s">
        <v>170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5">
      <c r="A20" s="51" t="s">
        <v>193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>IF(B$15=0,0,G20/B$15)</f>
        <v>0</v>
      </c>
      <c r="I20" s="90">
        <v>5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5">
      <c r="A21" s="51" t="s">
        <v>194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>IF(B$15=0,0,G21/B$15)</f>
        <v>0</v>
      </c>
      <c r="I21" s="90">
        <v>10</v>
      </c>
    </row>
    <row r="22" spans="1:17" x14ac:dyDescent="0.45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10</v>
      </c>
    </row>
    <row r="24" spans="1:17" x14ac:dyDescent="0.45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 x14ac:dyDescent="0.45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6</v>
      </c>
    </row>
    <row r="27" spans="1:17" x14ac:dyDescent="0.45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4</v>
      </c>
    </row>
    <row r="28" spans="1:17" x14ac:dyDescent="0.45">
      <c r="A28" s="86" t="s">
        <v>138</v>
      </c>
      <c r="B28" s="152">
        <v>4</v>
      </c>
      <c r="C28" s="153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50">
        <v>59500</v>
      </c>
      <c r="C29" s="151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9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3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3</v>
      </c>
      <c r="C35" s="37">
        <f t="shared" si="3"/>
        <v>0.2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3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3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3"/>
        <v>6.6666666666666666E-2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F2CAF-BDFE-45D0-A480-50FA82771875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203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2</v>
      </c>
      <c r="C2" s="159"/>
      <c r="E2" s="58" t="s">
        <v>72</v>
      </c>
      <c r="F2" s="55" t="s">
        <v>27</v>
      </c>
      <c r="G2" s="43">
        <v>7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5">
      <c r="A3" s="51" t="s">
        <v>8</v>
      </c>
      <c r="B3" s="160">
        <v>15</v>
      </c>
      <c r="C3" s="161"/>
      <c r="E3" s="59" t="s">
        <v>66</v>
      </c>
      <c r="F3" s="56" t="s">
        <v>22</v>
      </c>
      <c r="G3" s="44">
        <v>3</v>
      </c>
      <c r="H3" s="129">
        <f>IF(B$15=0,0,G3/B$15)</f>
        <v>0.42857142857142855</v>
      </c>
      <c r="I3" s="90">
        <v>12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5">
      <c r="A4" s="51" t="s">
        <v>6</v>
      </c>
      <c r="B4" s="162">
        <v>26.2</v>
      </c>
      <c r="C4" s="163"/>
      <c r="E4" s="59" t="s">
        <v>67</v>
      </c>
      <c r="F4" s="56" t="s">
        <v>23</v>
      </c>
      <c r="G4" s="44">
        <v>3</v>
      </c>
      <c r="H4" s="129">
        <f>IF(B$15=0,0,G4/B$15)</f>
        <v>0.42857142857142855</v>
      </c>
      <c r="I4" s="90">
        <v>3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5">
      <c r="A5" s="51" t="s">
        <v>7</v>
      </c>
      <c r="B5" s="164">
        <f>IF(B$2=0,0,B$4/B$2)</f>
        <v>13.1</v>
      </c>
      <c r="C5" s="165"/>
      <c r="E5" s="59" t="s">
        <v>89</v>
      </c>
      <c r="F5" s="56" t="s">
        <v>44</v>
      </c>
      <c r="G5" s="44">
        <v>3</v>
      </c>
      <c r="H5" s="129">
        <f>IF(B$15=0,0,G5/B$15)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5">
      <c r="A6" s="51" t="s">
        <v>1</v>
      </c>
      <c r="B6" s="154">
        <f>IF(B$2=0,0,(B$7*1+B$8*2+B$9*3)/B$2)</f>
        <v>1.5</v>
      </c>
      <c r="C6" s="155"/>
      <c r="E6" s="59" t="s">
        <v>64</v>
      </c>
      <c r="F6" s="56" t="s">
        <v>20</v>
      </c>
      <c r="G6" s="44">
        <v>2</v>
      </c>
      <c r="H6" s="129">
        <f>IF(B$15=0,0,G6/B$15)</f>
        <v>0.2857142857142857</v>
      </c>
      <c r="I6" s="90">
        <v>11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2</v>
      </c>
      <c r="H7" s="129">
        <f>IF(B$15=0,0,G7/B$15)</f>
        <v>0.2857142857142857</v>
      </c>
      <c r="I7" s="90">
        <v>7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5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0.2857142857142857</v>
      </c>
      <c r="I8" s="90">
        <v>1</v>
      </c>
      <c r="N8" s="41"/>
      <c r="O8" s="123"/>
      <c r="P8" s="107"/>
      <c r="Q8" s="105"/>
    </row>
    <row r="9" spans="1:17" x14ac:dyDescent="0.45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0.14285714285714285</v>
      </c>
      <c r="I9" s="90">
        <v>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>IF(B$15=0,0,G11/B$15)</f>
        <v>0.14285714285714285</v>
      </c>
      <c r="I11" s="90">
        <v>11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5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12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5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>IF(B$15=0,0,G13/B$15)</f>
        <v>0</v>
      </c>
      <c r="I13" s="90">
        <v>12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5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9</v>
      </c>
      <c r="N16" s="111" t="s">
        <v>197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5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5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5</v>
      </c>
    </row>
    <row r="19" spans="1:17" x14ac:dyDescent="0.45">
      <c r="A19" s="51" t="s">
        <v>195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10</v>
      </c>
    </row>
    <row r="20" spans="1:17" x14ac:dyDescent="0.45">
      <c r="A20" s="51" t="s">
        <v>193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9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10</v>
      </c>
    </row>
    <row r="23" spans="1:17" x14ac:dyDescent="0.45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6</v>
      </c>
    </row>
    <row r="25" spans="1:17" x14ac:dyDescent="0.45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11</v>
      </c>
    </row>
    <row r="27" spans="1:17" x14ac:dyDescent="0.45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4</v>
      </c>
    </row>
    <row r="28" spans="1:17" x14ac:dyDescent="0.45">
      <c r="A28" s="86" t="s">
        <v>138</v>
      </c>
      <c r="B28" s="152">
        <v>4</v>
      </c>
      <c r="C28" s="153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50">
        <v>52800</v>
      </c>
      <c r="C29" s="151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9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2</v>
      </c>
      <c r="C37" s="37">
        <f t="shared" si="2"/>
        <v>0.2857142857142857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0.14285714285714285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0EE47-776B-44AA-81BA-0A18D75D0782}">
  <sheetPr codeName="Sheet27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274</v>
      </c>
      <c r="C1" s="157"/>
      <c r="E1" s="125" t="s">
        <v>160</v>
      </c>
      <c r="F1" s="147" t="s">
        <v>115</v>
      </c>
      <c r="G1" s="146" t="s">
        <v>116</v>
      </c>
      <c r="H1" s="126" t="s">
        <v>117</v>
      </c>
      <c r="I1" s="147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2</v>
      </c>
      <c r="C2" s="159"/>
      <c r="E2" s="58" t="s">
        <v>64</v>
      </c>
      <c r="F2" s="55" t="s">
        <v>20</v>
      </c>
      <c r="G2" s="43">
        <v>6</v>
      </c>
      <c r="H2" s="128">
        <f>IF(B$15=0,0,G2/B$15)</f>
        <v>0.75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-1600</v>
      </c>
      <c r="P2" s="114">
        <v>2</v>
      </c>
      <c r="Q2" s="98">
        <v>-3200</v>
      </c>
    </row>
    <row r="3" spans="1:17" x14ac:dyDescent="0.45">
      <c r="A3" s="51" t="s">
        <v>8</v>
      </c>
      <c r="B3" s="160">
        <v>17</v>
      </c>
      <c r="C3" s="161"/>
      <c r="E3" s="59" t="s">
        <v>66</v>
      </c>
      <c r="F3" s="56" t="s">
        <v>22</v>
      </c>
      <c r="G3" s="44">
        <v>6</v>
      </c>
      <c r="H3" s="129">
        <f>IF(B$15=0,0,G3/B$15)</f>
        <v>0.75</v>
      </c>
      <c r="I3" s="90">
        <v>8</v>
      </c>
      <c r="K3" s="36">
        <v>1</v>
      </c>
      <c r="L3" s="95">
        <v>17.600000000000001</v>
      </c>
      <c r="N3" s="111" t="s">
        <v>131</v>
      </c>
      <c r="O3" s="118">
        <f t="shared" si="0"/>
        <v>500</v>
      </c>
      <c r="P3" s="115">
        <v>2</v>
      </c>
      <c r="Q3" s="99">
        <v>1000</v>
      </c>
    </row>
    <row r="4" spans="1:17" x14ac:dyDescent="0.45">
      <c r="A4" s="51" t="s">
        <v>6</v>
      </c>
      <c r="B4" s="162">
        <v>27.8</v>
      </c>
      <c r="C4" s="163"/>
      <c r="E4" s="59" t="s">
        <v>72</v>
      </c>
      <c r="F4" s="56" t="s">
        <v>27</v>
      </c>
      <c r="G4" s="44">
        <v>3</v>
      </c>
      <c r="H4" s="129">
        <f>IF(B$15=0,0,G4/B$15)</f>
        <v>0.375</v>
      </c>
      <c r="I4" s="90">
        <v>11</v>
      </c>
      <c r="K4" s="36">
        <v>2</v>
      </c>
      <c r="L4" s="95">
        <v>27.8</v>
      </c>
      <c r="N4" s="111" t="s">
        <v>132</v>
      </c>
      <c r="O4" s="118">
        <f t="shared" si="0"/>
        <v>-3350</v>
      </c>
      <c r="P4" s="115">
        <v>2</v>
      </c>
      <c r="Q4" s="99">
        <v>-6700</v>
      </c>
    </row>
    <row r="5" spans="1:17" x14ac:dyDescent="0.45">
      <c r="A5" s="51" t="s">
        <v>7</v>
      </c>
      <c r="B5" s="164">
        <f>IF(B$2=0,0,B$4/B$2)</f>
        <v>13.9</v>
      </c>
      <c r="C5" s="165"/>
      <c r="E5" s="59" t="s">
        <v>67</v>
      </c>
      <c r="F5" s="56" t="s">
        <v>23</v>
      </c>
      <c r="G5" s="44">
        <v>2</v>
      </c>
      <c r="H5" s="129">
        <f>IF(B$15=0,0,G5/B$15)</f>
        <v>0.25</v>
      </c>
      <c r="I5" s="90">
        <v>10</v>
      </c>
      <c r="N5" s="111" t="s">
        <v>133</v>
      </c>
      <c r="O5" s="118">
        <f t="shared" si="0"/>
        <v>4250</v>
      </c>
      <c r="P5" s="115">
        <v>2</v>
      </c>
      <c r="Q5" s="99">
        <v>8500</v>
      </c>
    </row>
    <row r="6" spans="1:17" x14ac:dyDescent="0.45">
      <c r="A6" s="51" t="s">
        <v>1</v>
      </c>
      <c r="B6" s="154">
        <f>IF(B$2=0,0,(B$7*1+B$8*2+B$9*3)/B$2)</f>
        <v>1.5</v>
      </c>
      <c r="C6" s="155"/>
      <c r="E6" s="59" t="s">
        <v>65</v>
      </c>
      <c r="F6" s="56" t="s">
        <v>21</v>
      </c>
      <c r="G6" s="44">
        <v>1</v>
      </c>
      <c r="H6" s="129">
        <f>IF(B$15=0,0,G6/B$15)</f>
        <v>0.125</v>
      </c>
      <c r="I6" s="90">
        <v>4</v>
      </c>
      <c r="N6" s="111" t="s">
        <v>134</v>
      </c>
      <c r="O6" s="118">
        <f t="shared" si="0"/>
        <v>1250</v>
      </c>
      <c r="P6" s="115">
        <v>2</v>
      </c>
      <c r="Q6" s="99">
        <v>2500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1</v>
      </c>
      <c r="H7" s="129">
        <f>IF(B$15=0,0,G7/B$15)</f>
        <v>0.125</v>
      </c>
      <c r="I7" s="90">
        <v>12</v>
      </c>
      <c r="N7" s="112" t="s">
        <v>135</v>
      </c>
      <c r="O7" s="119">
        <f t="shared" si="0"/>
        <v>7850</v>
      </c>
      <c r="P7" s="116">
        <v>2</v>
      </c>
      <c r="Q7" s="100">
        <v>15700</v>
      </c>
    </row>
    <row r="8" spans="1:17" x14ac:dyDescent="0.45">
      <c r="A8" s="51" t="s">
        <v>3</v>
      </c>
      <c r="B8" s="44">
        <v>1</v>
      </c>
      <c r="C8" s="37">
        <f t="shared" si="1"/>
        <v>0.5</v>
      </c>
      <c r="E8" s="59" t="s">
        <v>69</v>
      </c>
      <c r="F8" s="56" t="s">
        <v>24</v>
      </c>
      <c r="G8" s="44">
        <v>1</v>
      </c>
      <c r="H8" s="129">
        <f>IF(B$15=0,0,G8/B$15)</f>
        <v>0.125</v>
      </c>
      <c r="I8" s="90">
        <v>8</v>
      </c>
      <c r="N8" s="41"/>
      <c r="O8" s="123"/>
      <c r="P8" s="107"/>
      <c r="Q8" s="105"/>
    </row>
    <row r="9" spans="1:17" x14ac:dyDescent="0.45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0.125</v>
      </c>
      <c r="I9" s="90">
        <v>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0.125</v>
      </c>
      <c r="I10" s="90">
        <v>2</v>
      </c>
      <c r="N10" s="110" t="s">
        <v>157</v>
      </c>
      <c r="O10" s="120">
        <f>IF(P10=0,0,Q10/P10)</f>
        <v>10.199999999999999</v>
      </c>
      <c r="P10" s="114">
        <v>1</v>
      </c>
      <c r="Q10" s="102">
        <v>10.199999999999999</v>
      </c>
    </row>
    <row r="11" spans="1:17" x14ac:dyDescent="0.45">
      <c r="A11" s="54" t="s">
        <v>121</v>
      </c>
      <c r="B11" s="47">
        <v>9</v>
      </c>
      <c r="C11" s="42">
        <f>IF(B$3=0,0,B11/B$3)</f>
        <v>0.52941176470588236</v>
      </c>
      <c r="E11" s="59" t="s">
        <v>166</v>
      </c>
      <c r="F11" s="56" t="s">
        <v>167</v>
      </c>
      <c r="G11" s="44">
        <v>1</v>
      </c>
      <c r="H11" s="129">
        <f>IF(B$15=0,0,G11/B$15)</f>
        <v>0.125</v>
      </c>
      <c r="I11" s="90">
        <v>12</v>
      </c>
      <c r="N11" s="111" t="s">
        <v>158</v>
      </c>
      <c r="O11" s="121">
        <f>IF(P11=0,0,Q11/P11)</f>
        <v>17.600000000000001</v>
      </c>
      <c r="P11" s="115">
        <v>1</v>
      </c>
      <c r="Q11" s="103">
        <v>17.600000000000001</v>
      </c>
    </row>
    <row r="12" spans="1:17" x14ac:dyDescent="0.45">
      <c r="A12" s="51" t="s">
        <v>118</v>
      </c>
      <c r="B12" s="44">
        <v>3</v>
      </c>
      <c r="C12" s="37">
        <f>IF(B$3=0,0,B12/B$3)</f>
        <v>0.17647058823529413</v>
      </c>
      <c r="E12" s="59" t="s">
        <v>73</v>
      </c>
      <c r="F12" s="56" t="s">
        <v>28</v>
      </c>
      <c r="G12" s="44">
        <v>0</v>
      </c>
      <c r="H12" s="129">
        <f>IF(B$15=0,0,G12/B$15)</f>
        <v>0</v>
      </c>
      <c r="I12" s="90">
        <v>5</v>
      </c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5">
      <c r="A13" s="50" t="s">
        <v>123</v>
      </c>
      <c r="B13" s="43">
        <f>B19</f>
        <v>6</v>
      </c>
      <c r="C13" s="35">
        <f>IF(B$11=0,0,B13/B$11)</f>
        <v>0.66666666666666663</v>
      </c>
      <c r="E13" s="59" t="s">
        <v>74</v>
      </c>
      <c r="F13" s="56" t="s">
        <v>29</v>
      </c>
      <c r="G13" s="44">
        <v>0</v>
      </c>
      <c r="H13" s="129">
        <f>IF(B$15=0,0,G13/B$15)</f>
        <v>0</v>
      </c>
      <c r="I13" s="90">
        <v>7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2</v>
      </c>
      <c r="C14" s="35">
        <f>IF(B$12=0,0,B14/B$12)</f>
        <v>0.66666666666666663</v>
      </c>
      <c r="E14" s="59" t="s">
        <v>75</v>
      </c>
      <c r="F14" s="56" t="s">
        <v>30</v>
      </c>
      <c r="G14" s="44">
        <v>0</v>
      </c>
      <c r="H14" s="129">
        <f>IF(B$15=0,0,G14/B$15)</f>
        <v>0</v>
      </c>
      <c r="I14" s="90">
        <v>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8</v>
      </c>
      <c r="C15" s="35">
        <f>IF(B$3=0,0,B15/B$3)</f>
        <v>0.47058823529411764</v>
      </c>
      <c r="E15" s="59" t="s">
        <v>76</v>
      </c>
      <c r="F15" s="56" t="s">
        <v>31</v>
      </c>
      <c r="G15" s="44">
        <v>0</v>
      </c>
      <c r="H15" s="129">
        <f>IF(B$15=0,0,G15/B$15)</f>
        <v>0</v>
      </c>
      <c r="I15" s="90">
        <v>1</v>
      </c>
      <c r="N15" s="110" t="s">
        <v>196</v>
      </c>
      <c r="O15" s="120">
        <f>IF(P15=0,0,Q15/P15)</f>
        <v>58.099999999999994</v>
      </c>
      <c r="P15" s="114">
        <v>1</v>
      </c>
      <c r="Q15" s="102">
        <v>58.099999999999994</v>
      </c>
    </row>
    <row r="16" spans="1:17" x14ac:dyDescent="0.45">
      <c r="A16" s="51" t="s">
        <v>13</v>
      </c>
      <c r="B16" s="44">
        <v>1</v>
      </c>
      <c r="C16" s="37">
        <f>IF(B$3=0,0,B16/B$3)</f>
        <v>5.8823529411764705E-2</v>
      </c>
      <c r="E16" s="59" t="s">
        <v>77</v>
      </c>
      <c r="F16" s="56" t="s">
        <v>32</v>
      </c>
      <c r="G16" s="44">
        <v>0</v>
      </c>
      <c r="H16" s="129">
        <f>IF(B$15=0,0,G16/B$15)</f>
        <v>0</v>
      </c>
      <c r="I16" s="90">
        <v>5</v>
      </c>
      <c r="N16" s="111" t="s">
        <v>197</v>
      </c>
      <c r="O16" s="121">
        <f>IF(P16=0,0,Q16/P16)</f>
        <v>12.000000000000002</v>
      </c>
      <c r="P16" s="115">
        <v>1</v>
      </c>
      <c r="Q16" s="103">
        <v>12.000000000000002</v>
      </c>
    </row>
    <row r="17" spans="1:17" x14ac:dyDescent="0.45">
      <c r="A17" s="51" t="s">
        <v>12</v>
      </c>
      <c r="B17" s="44">
        <v>1</v>
      </c>
      <c r="C17" s="37">
        <f>IF(B$15=0,0,B17/B$15)</f>
        <v>0.125</v>
      </c>
      <c r="E17" s="59" t="s">
        <v>78</v>
      </c>
      <c r="F17" s="56" t="s">
        <v>33</v>
      </c>
      <c r="G17" s="44">
        <v>0</v>
      </c>
      <c r="H17" s="129">
        <f>IF(B$15=0,0,G17/B$15)</f>
        <v>0</v>
      </c>
      <c r="I17" s="90">
        <v>10</v>
      </c>
      <c r="N17" s="111" t="s">
        <v>170</v>
      </c>
      <c r="O17" s="121">
        <f>IF(P17=0,0,Q17/P17)</f>
        <v>6.6499999999999986</v>
      </c>
      <c r="P17" s="115">
        <v>2</v>
      </c>
      <c r="Q17" s="103">
        <v>13.299999999999997</v>
      </c>
    </row>
    <row r="18" spans="1:17" x14ac:dyDescent="0.45">
      <c r="A18" s="51" t="s">
        <v>11</v>
      </c>
      <c r="B18" s="44">
        <v>7</v>
      </c>
      <c r="C18" s="37">
        <f>IF(B$15=0,0,B18/B$15)</f>
        <v>0.875</v>
      </c>
      <c r="E18" s="59" t="s">
        <v>79</v>
      </c>
      <c r="F18" s="56" t="s">
        <v>34</v>
      </c>
      <c r="G18" s="44">
        <v>0</v>
      </c>
      <c r="H18" s="129">
        <f>IF(B$15=0,0,G18/B$15)</f>
        <v>0</v>
      </c>
      <c r="I18" s="90">
        <v>9</v>
      </c>
    </row>
    <row r="19" spans="1:17" x14ac:dyDescent="0.45">
      <c r="A19" s="51" t="s">
        <v>195</v>
      </c>
      <c r="B19" s="44">
        <v>6</v>
      </c>
      <c r="C19" s="37">
        <f>IF(B$15=0,0,B19/B$15)</f>
        <v>0.75</v>
      </c>
      <c r="E19" s="59" t="s">
        <v>80</v>
      </c>
      <c r="F19" s="56" t="s">
        <v>35</v>
      </c>
      <c r="G19" s="44">
        <v>0</v>
      </c>
      <c r="H19" s="129">
        <f>IF(B$15=0,0,G19/B$15)</f>
        <v>0</v>
      </c>
      <c r="I19" s="90">
        <v>1</v>
      </c>
    </row>
    <row r="20" spans="1:17" x14ac:dyDescent="0.45">
      <c r="A20" s="51" t="s">
        <v>193</v>
      </c>
      <c r="B20" s="44">
        <v>2</v>
      </c>
      <c r="C20" s="37">
        <f>IF(B$15=0,0,B20/B$15)</f>
        <v>0.25</v>
      </c>
      <c r="E20" s="59" t="s">
        <v>81</v>
      </c>
      <c r="F20" s="56" t="s">
        <v>36</v>
      </c>
      <c r="G20" s="44">
        <v>0</v>
      </c>
      <c r="H20" s="129">
        <f>IF(B$15=0,0,G20/B$15)</f>
        <v>0</v>
      </c>
      <c r="I20" s="90">
        <v>10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82</v>
      </c>
      <c r="F21" s="56" t="s">
        <v>37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5575</v>
      </c>
      <c r="C22" s="39">
        <v>44600</v>
      </c>
      <c r="E22" s="59" t="s">
        <v>83</v>
      </c>
      <c r="F22" s="56" t="s">
        <v>38</v>
      </c>
      <c r="G22" s="44">
        <v>0</v>
      </c>
      <c r="H22" s="129">
        <f>IF(B$15=0,0,G22/B$15)</f>
        <v>0</v>
      </c>
      <c r="I22" s="90">
        <v>12</v>
      </c>
    </row>
    <row r="23" spans="1:17" x14ac:dyDescent="0.45">
      <c r="A23" s="52" t="s">
        <v>177</v>
      </c>
      <c r="B23" s="136">
        <f>IF($B$15-B$14=0,0,C23/($B$15-B$14))</f>
        <v>5266.666666666667</v>
      </c>
      <c r="C23" s="137">
        <v>31600</v>
      </c>
      <c r="E23" s="59" t="s">
        <v>84</v>
      </c>
      <c r="F23" s="56" t="s">
        <v>39</v>
      </c>
      <c r="G23" s="44">
        <v>0</v>
      </c>
      <c r="H23" s="129">
        <f>IF(B$15=0,0,G23/B$15)</f>
        <v>0</v>
      </c>
      <c r="I23" s="90">
        <v>6</v>
      </c>
    </row>
    <row r="24" spans="1:17" x14ac:dyDescent="0.45">
      <c r="A24" s="52" t="s">
        <v>178</v>
      </c>
      <c r="B24" s="136">
        <f>IF(B$14=0,0,C24/B$14)</f>
        <v>6500</v>
      </c>
      <c r="C24" s="137">
        <v>13000</v>
      </c>
      <c r="E24" s="59" t="s">
        <v>85</v>
      </c>
      <c r="F24" s="56" t="s">
        <v>40</v>
      </c>
      <c r="G24" s="44">
        <v>0</v>
      </c>
      <c r="H24" s="129">
        <f>IF(B$15=0,0,G24/B$15)</f>
        <v>0</v>
      </c>
      <c r="I24" s="90">
        <v>6</v>
      </c>
    </row>
    <row r="25" spans="1:17" x14ac:dyDescent="0.45">
      <c r="A25" s="52" t="s">
        <v>176</v>
      </c>
      <c r="B25" s="136">
        <f>IF(B$16=0,0,C25/B$16)</f>
        <v>-8000</v>
      </c>
      <c r="C25" s="137">
        <v>-8000</v>
      </c>
      <c r="E25" s="59" t="s">
        <v>86</v>
      </c>
      <c r="F25" s="56" t="s">
        <v>41</v>
      </c>
      <c r="G25" s="44">
        <v>0</v>
      </c>
      <c r="H25" s="129">
        <f>IF(B$15=0,0,G25/B$15)</f>
        <v>0</v>
      </c>
      <c r="I25" s="90">
        <v>11</v>
      </c>
    </row>
    <row r="26" spans="1:17" x14ac:dyDescent="0.45">
      <c r="A26" s="51" t="s">
        <v>164</v>
      </c>
      <c r="B26" s="44">
        <v>2</v>
      </c>
      <c r="C26" s="131">
        <v>2</v>
      </c>
      <c r="E26" s="59" t="s">
        <v>87</v>
      </c>
      <c r="F26" s="56" t="s">
        <v>42</v>
      </c>
      <c r="G26" s="44">
        <v>0</v>
      </c>
      <c r="H26" s="129">
        <f>IF(B$15=0,0,G26/B$15)</f>
        <v>0</v>
      </c>
      <c r="I26" s="90">
        <v>4</v>
      </c>
    </row>
    <row r="27" spans="1:17" x14ac:dyDescent="0.45">
      <c r="A27" s="51" t="s">
        <v>165</v>
      </c>
      <c r="B27" s="44">
        <v>12</v>
      </c>
      <c r="C27" s="131">
        <v>12</v>
      </c>
      <c r="E27" s="59" t="s">
        <v>88</v>
      </c>
      <c r="F27" s="56" t="s">
        <v>43</v>
      </c>
      <c r="G27" s="44">
        <v>0</v>
      </c>
      <c r="H27" s="129">
        <f>IF(B$15=0,0,G27/B$15)</f>
        <v>0</v>
      </c>
      <c r="I27" s="90">
        <v>5</v>
      </c>
    </row>
    <row r="28" spans="1:17" x14ac:dyDescent="0.45">
      <c r="A28" s="86" t="s">
        <v>138</v>
      </c>
      <c r="B28" s="152">
        <v>3</v>
      </c>
      <c r="C28" s="153"/>
      <c r="E28" s="59" t="s">
        <v>89</v>
      </c>
      <c r="F28" s="56" t="s">
        <v>44</v>
      </c>
      <c r="G28" s="44">
        <v>0</v>
      </c>
      <c r="H28" s="129">
        <f>IF(B$15=0,0,G28/B$15)</f>
        <v>0</v>
      </c>
      <c r="I28" s="90">
        <v>12</v>
      </c>
    </row>
    <row r="29" spans="1:17" x14ac:dyDescent="0.45">
      <c r="A29" s="54" t="s">
        <v>192</v>
      </c>
      <c r="B29" s="150">
        <v>45200</v>
      </c>
      <c r="C29" s="151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9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8">
        <v>2</v>
      </c>
      <c r="C32" s="141">
        <f>IF(B$15=0,0,B32/B$15)</f>
        <v>0.25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0.125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9">
        <v>1</v>
      </c>
      <c r="C34" s="37">
        <f>IF(B$15=0,0,B34/B$15)</f>
        <v>0.125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9">
        <v>4</v>
      </c>
      <c r="C35" s="37">
        <f t="shared" si="2"/>
        <v>0.5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9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9">
        <v>0</v>
      </c>
      <c r="C37" s="37">
        <f t="shared" si="2"/>
        <v>0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9">
        <v>0</v>
      </c>
      <c r="C38" s="37">
        <f t="shared" si="2"/>
        <v>0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9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9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9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9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9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3CDC9-CF00-4A86-950D-740FA3027C9A}">
  <sheetPr codeName="Sheet28"/>
  <dimension ref="A1:Q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274</v>
      </c>
      <c r="B1" s="66" t="s">
        <v>274</v>
      </c>
      <c r="C1" s="66" t="s">
        <v>274</v>
      </c>
      <c r="D1" s="67" t="s">
        <v>274</v>
      </c>
      <c r="E1" s="66" t="s">
        <v>274</v>
      </c>
      <c r="F1" s="66" t="s">
        <v>274</v>
      </c>
      <c r="G1" s="66" t="s">
        <v>274</v>
      </c>
      <c r="H1" s="66" t="s">
        <v>274</v>
      </c>
      <c r="I1" s="66" t="s">
        <v>274</v>
      </c>
      <c r="J1" s="66" t="s">
        <v>274</v>
      </c>
      <c r="K1" s="66" t="s">
        <v>274</v>
      </c>
      <c r="L1" s="66" t="s">
        <v>274</v>
      </c>
      <c r="M1" s="66" t="s">
        <v>274</v>
      </c>
      <c r="N1" s="66" t="s">
        <v>274</v>
      </c>
      <c r="O1" s="66" t="s">
        <v>274</v>
      </c>
      <c r="P1" s="66" t="s">
        <v>274</v>
      </c>
      <c r="Q1" s="66" t="s">
        <v>274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17.600000000000001</v>
      </c>
      <c r="C4" s="62">
        <v>17.600000000000001</v>
      </c>
      <c r="D4" s="67">
        <v>1</v>
      </c>
      <c r="E4" s="63">
        <v>1</v>
      </c>
      <c r="F4" s="63">
        <v>0</v>
      </c>
      <c r="G4" s="63">
        <v>0.66666666666666663</v>
      </c>
      <c r="H4" s="63">
        <v>0.16666666666666666</v>
      </c>
      <c r="I4" s="64">
        <v>3900</v>
      </c>
      <c r="J4" s="64">
        <v>-8000</v>
      </c>
      <c r="K4" s="63">
        <v>0</v>
      </c>
      <c r="L4" s="63">
        <v>0.66666666666666663</v>
      </c>
      <c r="M4" s="63">
        <v>0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27.8</v>
      </c>
      <c r="C5" s="62">
        <v>13.9</v>
      </c>
      <c r="D5" s="67">
        <v>1.5</v>
      </c>
      <c r="E5" s="63">
        <v>0.5</v>
      </c>
      <c r="F5" s="63">
        <v>0</v>
      </c>
      <c r="G5" s="63">
        <v>0.47058823529411764</v>
      </c>
      <c r="H5" s="63">
        <v>5.8823529411764705E-2</v>
      </c>
      <c r="I5" s="64">
        <v>5575</v>
      </c>
      <c r="J5" s="64">
        <v>-8000</v>
      </c>
      <c r="K5" s="63">
        <v>0</v>
      </c>
      <c r="L5" s="63">
        <v>0.52941176470588236</v>
      </c>
      <c r="M5" s="63">
        <v>0.17647058823529413</v>
      </c>
      <c r="N5" s="63">
        <v>0.66666666666666663</v>
      </c>
      <c r="O5" s="63">
        <v>0.66666666666666663</v>
      </c>
      <c r="P5" s="63">
        <v>0.125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DB93C-25E2-4961-994F-A36CE99A44AA}">
  <sheetPr codeName="Sheet26"/>
  <dimension ref="A1:Q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203</v>
      </c>
      <c r="B1" s="66" t="s">
        <v>203</v>
      </c>
      <c r="C1" s="66" t="s">
        <v>203</v>
      </c>
      <c r="D1" s="67" t="s">
        <v>203</v>
      </c>
      <c r="E1" s="66" t="s">
        <v>203</v>
      </c>
      <c r="F1" s="66" t="s">
        <v>203</v>
      </c>
      <c r="G1" s="66" t="s">
        <v>203</v>
      </c>
      <c r="H1" s="66" t="s">
        <v>203</v>
      </c>
      <c r="I1" s="66" t="s">
        <v>203</v>
      </c>
      <c r="J1" s="66" t="s">
        <v>203</v>
      </c>
      <c r="K1" s="66" t="s">
        <v>203</v>
      </c>
      <c r="L1" s="66" t="s">
        <v>203</v>
      </c>
      <c r="M1" s="66" t="s">
        <v>203</v>
      </c>
      <c r="N1" s="66" t="s">
        <v>203</v>
      </c>
      <c r="O1" s="66" t="s">
        <v>203</v>
      </c>
      <c r="P1" s="66" t="s">
        <v>203</v>
      </c>
      <c r="Q1" s="66" t="s">
        <v>203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5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4AA1A-DF06-4A3B-81CD-10DB110FE139}">
  <sheetPr codeName="Sheet24"/>
  <dimension ref="A1:Q1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228</v>
      </c>
      <c r="B1" s="66" t="s">
        <v>228</v>
      </c>
      <c r="C1" s="66" t="s">
        <v>228</v>
      </c>
      <c r="D1" s="67" t="s">
        <v>228</v>
      </c>
      <c r="E1" s="66" t="s">
        <v>228</v>
      </c>
      <c r="F1" s="66" t="s">
        <v>228</v>
      </c>
      <c r="G1" s="66" t="s">
        <v>228</v>
      </c>
      <c r="H1" s="66" t="s">
        <v>228</v>
      </c>
      <c r="I1" s="66" t="s">
        <v>228</v>
      </c>
      <c r="J1" s="66" t="s">
        <v>228</v>
      </c>
      <c r="K1" s="66" t="s">
        <v>228</v>
      </c>
      <c r="L1" s="66" t="s">
        <v>228</v>
      </c>
      <c r="M1" s="66" t="s">
        <v>228</v>
      </c>
      <c r="N1" s="66" t="s">
        <v>228</v>
      </c>
      <c r="O1" s="66" t="s">
        <v>228</v>
      </c>
      <c r="P1" s="66" t="s">
        <v>228</v>
      </c>
      <c r="Q1" s="66" t="s">
        <v>228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5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5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5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5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5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0A651-F155-4F26-A5F2-8454E5EAD96C}">
  <sheetPr codeName="Sheet22"/>
  <dimension ref="A1:Q2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196</v>
      </c>
      <c r="B1" s="66" t="s">
        <v>196</v>
      </c>
      <c r="C1" s="66" t="s">
        <v>196</v>
      </c>
      <c r="D1" s="67" t="s">
        <v>196</v>
      </c>
      <c r="E1" s="66" t="s">
        <v>196</v>
      </c>
      <c r="F1" s="66" t="s">
        <v>196</v>
      </c>
      <c r="G1" s="66" t="s">
        <v>196</v>
      </c>
      <c r="H1" s="66" t="s">
        <v>196</v>
      </c>
      <c r="I1" s="66" t="s">
        <v>196</v>
      </c>
      <c r="J1" s="66" t="s">
        <v>196</v>
      </c>
      <c r="K1" s="66" t="s">
        <v>196</v>
      </c>
      <c r="L1" s="66" t="s">
        <v>196</v>
      </c>
      <c r="M1" s="66" t="s">
        <v>196</v>
      </c>
      <c r="N1" s="66" t="s">
        <v>196</v>
      </c>
      <c r="O1" s="66" t="s">
        <v>196</v>
      </c>
      <c r="P1" s="66" t="s">
        <v>196</v>
      </c>
      <c r="Q1" s="66" t="s">
        <v>196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5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5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5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5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5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5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5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5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5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5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5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5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5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5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5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5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5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5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5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5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5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5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5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  <row r="28" spans="1:16" x14ac:dyDescent="0.45">
      <c r="A28" s="65">
        <v>25</v>
      </c>
      <c r="B28" s="62">
        <v>-45.7</v>
      </c>
      <c r="C28" s="62">
        <v>-1.8280000000000001</v>
      </c>
      <c r="D28" s="67">
        <v>2.04</v>
      </c>
      <c r="E28" s="63">
        <v>0.36</v>
      </c>
      <c r="F28" s="63">
        <v>0.4</v>
      </c>
      <c r="G28" s="63">
        <v>0.26250000000000001</v>
      </c>
      <c r="H28" s="63">
        <v>0.17499999999999999</v>
      </c>
      <c r="I28" s="64">
        <v>8385.7142857142862</v>
      </c>
      <c r="J28" s="64">
        <v>-6876.1904761904761</v>
      </c>
      <c r="K28" s="63">
        <v>0.12</v>
      </c>
      <c r="L28" s="63">
        <v>0.25833333333333336</v>
      </c>
      <c r="M28" s="63">
        <v>0.15</v>
      </c>
      <c r="N28" s="63">
        <v>0.59677419354838712</v>
      </c>
      <c r="O28" s="63">
        <v>0.33333333333333331</v>
      </c>
      <c r="P28" s="63">
        <v>0.5714285714285714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832D1-E5F9-4D57-AA9F-C483D2F1B5B1}">
  <sheetPr codeName="Sheet20"/>
  <dimension ref="A1:Q5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197</v>
      </c>
      <c r="B1" s="66" t="s">
        <v>197</v>
      </c>
      <c r="C1" s="66" t="s">
        <v>197</v>
      </c>
      <c r="D1" s="67" t="s">
        <v>197</v>
      </c>
      <c r="E1" s="66" t="s">
        <v>197</v>
      </c>
      <c r="F1" s="66" t="s">
        <v>197</v>
      </c>
      <c r="G1" s="66" t="s">
        <v>197</v>
      </c>
      <c r="H1" s="66" t="s">
        <v>197</v>
      </c>
      <c r="I1" s="66" t="s">
        <v>197</v>
      </c>
      <c r="J1" s="66" t="s">
        <v>197</v>
      </c>
      <c r="K1" s="66" t="s">
        <v>197</v>
      </c>
      <c r="L1" s="66" t="s">
        <v>197</v>
      </c>
      <c r="M1" s="66" t="s">
        <v>197</v>
      </c>
      <c r="N1" s="66" t="s">
        <v>197</v>
      </c>
      <c r="O1" s="66" t="s">
        <v>197</v>
      </c>
      <c r="P1" s="66" t="s">
        <v>197</v>
      </c>
      <c r="Q1" s="66" t="s">
        <v>197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5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5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5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5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5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5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5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5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5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5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5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5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5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5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5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5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5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5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5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5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5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5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5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5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5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5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5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5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5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5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5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5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5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5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5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5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5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5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5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 x14ac:dyDescent="0.45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  <row r="46" spans="1:16" x14ac:dyDescent="0.45">
      <c r="A46" s="65">
        <v>43</v>
      </c>
      <c r="B46" s="62">
        <v>-623.30000000000007</v>
      </c>
      <c r="C46" s="62">
        <v>-14.495348837209304</v>
      </c>
      <c r="D46" s="67">
        <v>2.3720930232558142</v>
      </c>
      <c r="E46" s="63">
        <v>0.16279069767441862</v>
      </c>
      <c r="F46" s="63">
        <v>0.53488372093023251</v>
      </c>
      <c r="G46" s="63">
        <v>0.24858757062146894</v>
      </c>
      <c r="H46" s="63">
        <v>0.1864406779661017</v>
      </c>
      <c r="I46" s="64">
        <v>7706.818181818182</v>
      </c>
      <c r="J46" s="64">
        <v>-8234.8484848484841</v>
      </c>
      <c r="K46" s="63">
        <v>0.20930232558139536</v>
      </c>
      <c r="L46" s="63">
        <v>0.20903954802259886</v>
      </c>
      <c r="M46" s="63">
        <v>0.2175141242937853</v>
      </c>
      <c r="N46" s="63">
        <v>0.54054054054054057</v>
      </c>
      <c r="O46" s="63">
        <v>0.41558441558441561</v>
      </c>
      <c r="P46" s="63">
        <v>0.46590909090909088</v>
      </c>
    </row>
    <row r="47" spans="1:16" x14ac:dyDescent="0.45">
      <c r="A47" s="65">
        <v>44</v>
      </c>
      <c r="B47" s="62">
        <v>-588.1</v>
      </c>
      <c r="C47" s="62">
        <v>-13.365909090909092</v>
      </c>
      <c r="D47" s="67">
        <v>2.3409090909090908</v>
      </c>
      <c r="E47" s="63">
        <v>0.18181818181818182</v>
      </c>
      <c r="F47" s="63">
        <v>0.52272727272727271</v>
      </c>
      <c r="G47" s="63">
        <v>0.25138121546961328</v>
      </c>
      <c r="H47" s="63">
        <v>0.18508287292817679</v>
      </c>
      <c r="I47" s="64">
        <v>8059.3406593406589</v>
      </c>
      <c r="J47" s="64">
        <v>-8291.0447761194027</v>
      </c>
      <c r="K47" s="63">
        <v>0.20454545454545456</v>
      </c>
      <c r="L47" s="63">
        <v>0.20994475138121546</v>
      </c>
      <c r="M47" s="63">
        <v>0.21546961325966851</v>
      </c>
      <c r="N47" s="63">
        <v>0.53947368421052633</v>
      </c>
      <c r="O47" s="63">
        <v>0.42307692307692307</v>
      </c>
      <c r="P47" s="63">
        <v>0.45054945054945056</v>
      </c>
    </row>
    <row r="48" spans="1:16" x14ac:dyDescent="0.45">
      <c r="A48" s="65">
        <v>45</v>
      </c>
      <c r="B48" s="62">
        <v>-559.20000000000005</v>
      </c>
      <c r="C48" s="62">
        <v>-12.426666666666668</v>
      </c>
      <c r="D48" s="67">
        <v>2.3111111111111109</v>
      </c>
      <c r="E48" s="63">
        <v>0.2</v>
      </c>
      <c r="F48" s="63">
        <v>0.51111111111111107</v>
      </c>
      <c r="G48" s="63">
        <v>0.25474254742547425</v>
      </c>
      <c r="H48" s="63">
        <v>0.18428184281842819</v>
      </c>
      <c r="I48" s="64">
        <v>8054.255319148936</v>
      </c>
      <c r="J48" s="64">
        <v>-8198.5294117647063</v>
      </c>
      <c r="K48" s="63">
        <v>0.2</v>
      </c>
      <c r="L48" s="63">
        <v>0.20867208672086721</v>
      </c>
      <c r="M48" s="63">
        <v>0.21680216802168023</v>
      </c>
      <c r="N48" s="63">
        <v>0.54545454545454541</v>
      </c>
      <c r="O48" s="63">
        <v>0.4375</v>
      </c>
      <c r="P48" s="63">
        <v>0.44680851063829785</v>
      </c>
    </row>
    <row r="49" spans="1:16" x14ac:dyDescent="0.45">
      <c r="A49" s="65">
        <v>46</v>
      </c>
      <c r="B49" s="62">
        <v>-555.90000000000009</v>
      </c>
      <c r="C49" s="62">
        <v>-12.084782608695654</v>
      </c>
      <c r="D49" s="67">
        <v>2.3043478260869565</v>
      </c>
      <c r="E49" s="63">
        <v>0.19565217391304349</v>
      </c>
      <c r="F49" s="63">
        <v>0.5</v>
      </c>
      <c r="G49" s="63">
        <v>0.25661375661375663</v>
      </c>
      <c r="H49" s="63">
        <v>0.17989417989417988</v>
      </c>
      <c r="I49" s="64">
        <v>7917.5257731958764</v>
      </c>
      <c r="J49" s="64">
        <v>-8198.5294117647063</v>
      </c>
      <c r="K49" s="63">
        <v>0.19565217391304349</v>
      </c>
      <c r="L49" s="63">
        <v>0.20370370370370369</v>
      </c>
      <c r="M49" s="63">
        <v>0.21693121693121692</v>
      </c>
      <c r="N49" s="63">
        <v>0.54545454545454541</v>
      </c>
      <c r="O49" s="63">
        <v>0.43902439024390244</v>
      </c>
      <c r="P49" s="63">
        <v>0.45360824742268041</v>
      </c>
    </row>
    <row r="50" spans="1:16" x14ac:dyDescent="0.45">
      <c r="A50" s="65">
        <v>47</v>
      </c>
      <c r="B50" s="62">
        <v>-550.60000000000014</v>
      </c>
      <c r="C50" s="62">
        <v>-11.71489361702128</v>
      </c>
      <c r="D50" s="67">
        <v>2.2978723404255321</v>
      </c>
      <c r="E50" s="63">
        <v>0.19148936170212766</v>
      </c>
      <c r="F50" s="63">
        <v>0.48936170212765956</v>
      </c>
      <c r="G50" s="63">
        <v>0.25520833333333331</v>
      </c>
      <c r="H50" s="63">
        <v>0.1796875</v>
      </c>
      <c r="I50" s="64">
        <v>7959.1836734693879</v>
      </c>
      <c r="J50" s="64">
        <v>-8191.304347826087</v>
      </c>
      <c r="K50" s="63">
        <v>0.19148936170212766</v>
      </c>
      <c r="L50" s="63">
        <v>0.203125</v>
      </c>
      <c r="M50" s="63">
        <v>0.21875</v>
      </c>
      <c r="N50" s="63">
        <v>0.55128205128205132</v>
      </c>
      <c r="O50" s="63">
        <v>0.42857142857142855</v>
      </c>
      <c r="P50" s="63">
        <v>0.44897959183673469</v>
      </c>
    </row>
    <row r="51" spans="1:16" x14ac:dyDescent="0.45">
      <c r="A51" s="65">
        <v>48</v>
      </c>
      <c r="B51" s="62">
        <v>-545.00000000000011</v>
      </c>
      <c r="C51" s="62">
        <v>-11.35416666666667</v>
      </c>
      <c r="D51" s="67">
        <v>2.2916666666666665</v>
      </c>
      <c r="E51" s="63">
        <v>0.1875</v>
      </c>
      <c r="F51" s="63">
        <v>0.47916666666666669</v>
      </c>
      <c r="G51" s="63">
        <v>0.25384615384615383</v>
      </c>
      <c r="H51" s="63">
        <v>0.18205128205128204</v>
      </c>
      <c r="I51" s="64">
        <v>8000</v>
      </c>
      <c r="J51" s="64">
        <v>-8015.4929577464791</v>
      </c>
      <c r="K51" s="63">
        <v>0.1875</v>
      </c>
      <c r="L51" s="63">
        <v>0.2</v>
      </c>
      <c r="M51" s="63">
        <v>0.21794871794871795</v>
      </c>
      <c r="N51" s="63">
        <v>0.55128205128205132</v>
      </c>
      <c r="O51" s="63">
        <v>0.43529411764705883</v>
      </c>
      <c r="P51" s="63">
        <v>0.44444444444444442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A109B-B247-41DB-B57D-6BDAED8046E3}">
  <sheetPr codeName="Sheet18"/>
  <dimension ref="A1:Q114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5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5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5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5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5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5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5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5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5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5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5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5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5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5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5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5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5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5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5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5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5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5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5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5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5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5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5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5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5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5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5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5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5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5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5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5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5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0.24600638977635783</v>
      </c>
      <c r="M41" s="63">
        <v>0.27795527156549521</v>
      </c>
      <c r="N41" s="63">
        <v>0.53246753246753242</v>
      </c>
      <c r="O41" s="63">
        <v>0.39080459770114945</v>
      </c>
      <c r="P41" s="63">
        <v>0.40229885057471265</v>
      </c>
    </row>
    <row r="42" spans="1:16" x14ac:dyDescent="0.45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0.24374999999999999</v>
      </c>
      <c r="M42" s="63">
        <v>0.27500000000000002</v>
      </c>
      <c r="N42" s="63">
        <v>0.52564102564102566</v>
      </c>
      <c r="O42" s="63">
        <v>0.38636363636363635</v>
      </c>
      <c r="P42" s="63">
        <v>0.39772727272727271</v>
      </c>
    </row>
    <row r="43" spans="1:16" x14ac:dyDescent="0.45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0.24464831804281345</v>
      </c>
      <c r="M43" s="63">
        <v>0.27217125382262997</v>
      </c>
      <c r="N43" s="63">
        <v>0.53749999999999998</v>
      </c>
      <c r="O43" s="63">
        <v>0.38202247191011235</v>
      </c>
      <c r="P43" s="63">
        <v>0.3888888888888889</v>
      </c>
    </row>
    <row r="44" spans="1:16" x14ac:dyDescent="0.45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0.24850299401197604</v>
      </c>
      <c r="M44" s="63">
        <v>0.26946107784431139</v>
      </c>
      <c r="N44" s="63">
        <v>0.54216867469879515</v>
      </c>
      <c r="O44" s="63">
        <v>0.3888888888888889</v>
      </c>
      <c r="P44" s="63">
        <v>0.39784946236559138</v>
      </c>
    </row>
    <row r="45" spans="1:16" x14ac:dyDescent="0.45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0.25072886297376096</v>
      </c>
      <c r="M45" s="63">
        <v>0.26822157434402333</v>
      </c>
      <c r="N45" s="63">
        <v>0.55813953488372092</v>
      </c>
      <c r="O45" s="63">
        <v>0.39130434782608697</v>
      </c>
      <c r="P45" s="63">
        <v>0.40206185567010311</v>
      </c>
    </row>
    <row r="46" spans="1:16" x14ac:dyDescent="0.45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0.25714285714285712</v>
      </c>
      <c r="M46" s="63">
        <v>0.26285714285714284</v>
      </c>
      <c r="N46" s="63">
        <v>0.55555555555555558</v>
      </c>
      <c r="O46" s="63">
        <v>0.39130434782608697</v>
      </c>
      <c r="P46" s="63">
        <v>0.41414141414141414</v>
      </c>
    </row>
    <row r="47" spans="1:16" x14ac:dyDescent="0.45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0.26197183098591548</v>
      </c>
      <c r="M47" s="63">
        <v>0.25915492957746478</v>
      </c>
      <c r="N47" s="63">
        <v>0.56989247311827962</v>
      </c>
      <c r="O47" s="63">
        <v>0.39130434782608697</v>
      </c>
      <c r="P47" s="63">
        <v>0.42156862745098039</v>
      </c>
    </row>
    <row r="48" spans="1:16" x14ac:dyDescent="0.45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0.25683060109289618</v>
      </c>
      <c r="M48" s="63">
        <v>0.25683060109289618</v>
      </c>
      <c r="N48" s="63">
        <v>0.57446808510638303</v>
      </c>
      <c r="O48" s="63">
        <v>0.39361702127659576</v>
      </c>
      <c r="P48" s="63">
        <v>0.41346153846153844</v>
      </c>
    </row>
    <row r="49" spans="1:16" x14ac:dyDescent="0.45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0.25336927223719674</v>
      </c>
      <c r="M49" s="63">
        <v>0.2587601078167116</v>
      </c>
      <c r="N49" s="63">
        <v>0.57446808510638303</v>
      </c>
      <c r="O49" s="63">
        <v>0.38541666666666669</v>
      </c>
      <c r="P49" s="63">
        <v>0.41904761904761906</v>
      </c>
    </row>
    <row r="50" spans="1:16" x14ac:dyDescent="0.45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0.25129533678756477</v>
      </c>
      <c r="M50" s="63">
        <v>0.25647668393782386</v>
      </c>
      <c r="N50" s="63">
        <v>0.57731958762886593</v>
      </c>
      <c r="O50" s="63">
        <v>0.39393939393939392</v>
      </c>
      <c r="P50" s="63">
        <v>0.42201834862385323</v>
      </c>
    </row>
    <row r="51" spans="1:16" x14ac:dyDescent="0.45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0.25190839694656486</v>
      </c>
      <c r="M51" s="63">
        <v>0.2544529262086514</v>
      </c>
      <c r="N51" s="63">
        <v>0.58585858585858586</v>
      </c>
      <c r="O51" s="63">
        <v>0.4</v>
      </c>
      <c r="P51" s="63">
        <v>0.41964285714285715</v>
      </c>
    </row>
    <row r="52" spans="1:16" x14ac:dyDescent="0.45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0.2525</v>
      </c>
      <c r="M52" s="63">
        <v>0.255</v>
      </c>
      <c r="N52" s="63">
        <v>0.59405940594059403</v>
      </c>
      <c r="O52" s="63">
        <v>0.39215686274509803</v>
      </c>
      <c r="P52" s="63">
        <v>0.42982456140350878</v>
      </c>
    </row>
    <row r="53" spans="1:16" x14ac:dyDescent="0.45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0.25245098039215685</v>
      </c>
      <c r="M53" s="63">
        <v>0.25</v>
      </c>
      <c r="N53" s="63">
        <v>0.59223300970873782</v>
      </c>
      <c r="O53" s="63">
        <v>0.39215686274509803</v>
      </c>
      <c r="P53" s="63">
        <v>0.43478260869565216</v>
      </c>
    </row>
    <row r="54" spans="1:16" x14ac:dyDescent="0.45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0.25358851674641147</v>
      </c>
      <c r="M54" s="63">
        <v>0.25119617224880381</v>
      </c>
      <c r="N54" s="63">
        <v>0.58490566037735847</v>
      </c>
      <c r="O54" s="63">
        <v>0.38095238095238093</v>
      </c>
      <c r="P54" s="63">
        <v>0.43965517241379309</v>
      </c>
    </row>
    <row r="55" spans="1:16" x14ac:dyDescent="0.45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0.2541176470588235</v>
      </c>
      <c r="M55" s="63">
        <v>0.25176470588235295</v>
      </c>
      <c r="N55" s="63">
        <v>0.59259259259259256</v>
      </c>
      <c r="O55" s="63">
        <v>0.38317757009345793</v>
      </c>
      <c r="P55" s="63">
        <v>0.43697478991596639</v>
      </c>
    </row>
    <row r="56" spans="1:16" x14ac:dyDescent="0.45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0.25635103926096997</v>
      </c>
      <c r="M56" s="63">
        <v>0.24942263279445728</v>
      </c>
      <c r="N56" s="63">
        <v>0.5855855855855856</v>
      </c>
      <c r="O56" s="63">
        <v>0.3888888888888889</v>
      </c>
      <c r="P56" s="63">
        <v>0.4344262295081967</v>
      </c>
    </row>
    <row r="57" spans="1:16" x14ac:dyDescent="0.45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0.25740318906605925</v>
      </c>
      <c r="M57" s="63">
        <v>0.24601366742596811</v>
      </c>
      <c r="N57" s="63">
        <v>0.58407079646017701</v>
      </c>
      <c r="O57" s="63">
        <v>0.3888888888888889</v>
      </c>
      <c r="P57" s="63">
        <v>0.43089430894308944</v>
      </c>
    </row>
    <row r="58" spans="1:16" x14ac:dyDescent="0.45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0.25733634311512416</v>
      </c>
      <c r="M58" s="63">
        <v>0.24830699774266365</v>
      </c>
      <c r="N58" s="63">
        <v>0.58771929824561409</v>
      </c>
      <c r="O58" s="63">
        <v>0.4</v>
      </c>
      <c r="P58" s="63">
        <v>0.42063492063492064</v>
      </c>
    </row>
    <row r="59" spans="1:16" x14ac:dyDescent="0.45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0.26096491228070173</v>
      </c>
      <c r="M59" s="63">
        <v>0.24561403508771928</v>
      </c>
      <c r="N59" s="63">
        <v>0.5714285714285714</v>
      </c>
      <c r="O59" s="63">
        <v>0.39285714285714285</v>
      </c>
      <c r="P59" s="63">
        <v>0.421875</v>
      </c>
    </row>
    <row r="60" spans="1:16" x14ac:dyDescent="0.45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0.25751072961373389</v>
      </c>
      <c r="M60" s="63">
        <v>0.24678111587982832</v>
      </c>
      <c r="N60" s="63">
        <v>0.57499999999999996</v>
      </c>
      <c r="O60" s="63">
        <v>0.40869565217391307</v>
      </c>
      <c r="P60" s="63">
        <v>0.41666666666666669</v>
      </c>
    </row>
    <row r="61" spans="1:16" x14ac:dyDescent="0.45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0.25420168067226889</v>
      </c>
      <c r="M61" s="63">
        <v>0.24789915966386555</v>
      </c>
      <c r="N61" s="63">
        <v>0.57851239669421484</v>
      </c>
      <c r="O61" s="63">
        <v>0.4152542372881356</v>
      </c>
      <c r="P61" s="63">
        <v>0.42222222222222222</v>
      </c>
    </row>
    <row r="62" spans="1:16" x14ac:dyDescent="0.45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0.25465838509316768</v>
      </c>
      <c r="M62" s="63">
        <v>0.2484472049689441</v>
      </c>
      <c r="N62" s="63">
        <v>0.58536585365853655</v>
      </c>
      <c r="O62" s="63">
        <v>0.42499999999999999</v>
      </c>
      <c r="P62" s="63">
        <v>0.44285714285714284</v>
      </c>
    </row>
    <row r="63" spans="1:16" x14ac:dyDescent="0.45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0.25454545454545452</v>
      </c>
      <c r="M63" s="63">
        <v>0.25050505050505051</v>
      </c>
      <c r="N63" s="63">
        <v>0.57936507936507942</v>
      </c>
      <c r="O63" s="63">
        <v>0.41935483870967744</v>
      </c>
      <c r="P63" s="63">
        <v>0.44055944055944057</v>
      </c>
    </row>
    <row r="64" spans="1:16" x14ac:dyDescent="0.45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0.25595238095238093</v>
      </c>
      <c r="M64" s="63">
        <v>0.25198412698412698</v>
      </c>
      <c r="N64" s="63">
        <v>0.5736434108527132</v>
      </c>
      <c r="O64" s="63">
        <v>0.41732283464566927</v>
      </c>
      <c r="P64" s="63">
        <v>0.43448275862068964</v>
      </c>
    </row>
    <row r="65" spans="1:16" x14ac:dyDescent="0.45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0.255859375</v>
      </c>
      <c r="M65" s="63">
        <v>0.251953125</v>
      </c>
      <c r="N65" s="63">
        <v>0.58015267175572516</v>
      </c>
      <c r="O65" s="63">
        <v>0.41085271317829458</v>
      </c>
      <c r="P65" s="63">
        <v>0.44217687074829931</v>
      </c>
    </row>
    <row r="66" spans="1:16" x14ac:dyDescent="0.45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0.2558139534883721</v>
      </c>
      <c r="M66" s="63">
        <v>0.25193798449612403</v>
      </c>
      <c r="N66" s="63">
        <v>0.58333333333333337</v>
      </c>
      <c r="O66" s="63">
        <v>0.41538461538461541</v>
      </c>
      <c r="P66" s="63">
        <v>0.44295302013422821</v>
      </c>
    </row>
    <row r="67" spans="1:16" x14ac:dyDescent="0.45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0.25478927203065133</v>
      </c>
      <c r="M67" s="63">
        <v>0.25287356321839083</v>
      </c>
      <c r="N67" s="63">
        <v>0.5864661654135338</v>
      </c>
      <c r="O67" s="63">
        <v>0.40909090909090912</v>
      </c>
      <c r="P67" s="63">
        <v>0.44370860927152317</v>
      </c>
    </row>
    <row r="68" spans="1:16" x14ac:dyDescent="0.45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0.25235404896421848</v>
      </c>
      <c r="M68" s="63">
        <v>0.25235404896421848</v>
      </c>
      <c r="N68" s="63">
        <v>0.58208955223880599</v>
      </c>
      <c r="O68" s="63">
        <v>0.41044776119402987</v>
      </c>
      <c r="P68" s="63">
        <v>0.44078947368421051</v>
      </c>
    </row>
    <row r="69" spans="1:16" x14ac:dyDescent="0.45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0.25139664804469275</v>
      </c>
      <c r="M69" s="63">
        <v>0.25139664804469275</v>
      </c>
      <c r="N69" s="63">
        <v>0.58518518518518514</v>
      </c>
      <c r="O69" s="63">
        <v>0.40740740740740738</v>
      </c>
      <c r="P69" s="63">
        <v>0.44444444444444442</v>
      </c>
    </row>
    <row r="70" spans="1:16" x14ac:dyDescent="0.45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0.25504587155963304</v>
      </c>
      <c r="M70" s="63">
        <v>0.25321100917431194</v>
      </c>
      <c r="N70" s="63">
        <v>0.58273381294964033</v>
      </c>
      <c r="O70" s="63">
        <v>0.40579710144927539</v>
      </c>
      <c r="P70" s="63">
        <v>0.44871794871794873</v>
      </c>
    </row>
    <row r="71" spans="1:16" x14ac:dyDescent="0.45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0.25362318840579712</v>
      </c>
      <c r="M71" s="63">
        <v>0.25362318840579712</v>
      </c>
      <c r="N71" s="63">
        <v>0.57857142857142863</v>
      </c>
      <c r="O71" s="63">
        <v>0.4</v>
      </c>
      <c r="P71" s="63">
        <v>0.45222929936305734</v>
      </c>
    </row>
    <row r="72" spans="1:16" x14ac:dyDescent="0.45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0.25223613595706618</v>
      </c>
      <c r="M72" s="63">
        <v>0.25223613595706618</v>
      </c>
      <c r="N72" s="63">
        <v>0.57446808510638303</v>
      </c>
      <c r="O72" s="63">
        <v>0.40425531914893614</v>
      </c>
      <c r="P72" s="63">
        <v>0.44936708860759494</v>
      </c>
    </row>
    <row r="73" spans="1:16" x14ac:dyDescent="0.45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0.25354609929078015</v>
      </c>
      <c r="M73" s="63">
        <v>0.25177304964539005</v>
      </c>
      <c r="N73" s="63">
        <v>0.57342657342657344</v>
      </c>
      <c r="O73" s="63">
        <v>0.40845070422535212</v>
      </c>
      <c r="P73" s="63">
        <v>0.45624999999999999</v>
      </c>
    </row>
    <row r="74" spans="1:16" x14ac:dyDescent="0.45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0.25043782837127848</v>
      </c>
      <c r="M74" s="63">
        <v>0.24868651488616461</v>
      </c>
      <c r="N74" s="63">
        <v>0.57342657342657344</v>
      </c>
      <c r="O74" s="63">
        <v>0.40845070422535212</v>
      </c>
      <c r="P74" s="63">
        <v>0.453416149068323</v>
      </c>
    </row>
    <row r="75" spans="1:16" x14ac:dyDescent="0.45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0.25043177892918828</v>
      </c>
      <c r="M75" s="63">
        <v>0.24525043177892919</v>
      </c>
      <c r="N75" s="63">
        <v>0.57241379310344831</v>
      </c>
      <c r="O75" s="63">
        <v>0.40845070422535212</v>
      </c>
      <c r="P75" s="63">
        <v>0.46012269938650308</v>
      </c>
    </row>
    <row r="76" spans="1:16" x14ac:dyDescent="0.45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0.24957264957264957</v>
      </c>
      <c r="M76" s="63">
        <v>0.24615384615384617</v>
      </c>
      <c r="N76" s="63">
        <v>0.57534246575342463</v>
      </c>
      <c r="O76" s="63">
        <v>0.40277777777777779</v>
      </c>
      <c r="P76" s="63">
        <v>0.46341463414634149</v>
      </c>
    </row>
    <row r="77" spans="1:16" x14ac:dyDescent="0.45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0.25126475548060706</v>
      </c>
      <c r="M77" s="63">
        <v>0.24283305227655985</v>
      </c>
      <c r="N77" s="63">
        <v>0.57718120805369133</v>
      </c>
      <c r="O77" s="63">
        <v>0.40277777777777779</v>
      </c>
      <c r="P77" s="63">
        <v>0.44970414201183434</v>
      </c>
    </row>
    <row r="78" spans="1:16" x14ac:dyDescent="0.45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0.25666666666666665</v>
      </c>
      <c r="M78" s="63">
        <v>0.24166666666666667</v>
      </c>
      <c r="N78" s="63">
        <v>0.5714285714285714</v>
      </c>
      <c r="O78" s="63">
        <v>0.4</v>
      </c>
      <c r="P78" s="63">
        <v>0.45029239766081869</v>
      </c>
    </row>
    <row r="79" spans="1:16" x14ac:dyDescent="0.45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0.25577557755775576</v>
      </c>
      <c r="M79" s="63">
        <v>0.24092409240924093</v>
      </c>
      <c r="N79" s="63">
        <v>0.5741935483870968</v>
      </c>
      <c r="O79" s="63">
        <v>0.4041095890410959</v>
      </c>
      <c r="P79" s="63">
        <v>0.45086705202312138</v>
      </c>
    </row>
    <row r="80" spans="1:16" x14ac:dyDescent="0.45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0.25283630470016205</v>
      </c>
      <c r="M80" s="63">
        <v>0.23824959481361427</v>
      </c>
      <c r="N80" s="63">
        <v>0.57051282051282048</v>
      </c>
      <c r="O80" s="63">
        <v>0.40136054421768708</v>
      </c>
      <c r="P80" s="63">
        <v>0.45086705202312138</v>
      </c>
    </row>
    <row r="81" spans="1:16" x14ac:dyDescent="0.45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0.2504012841091493</v>
      </c>
      <c r="M81" s="63">
        <v>0.23595505617977527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5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0.25078864353312302</v>
      </c>
      <c r="M82" s="63">
        <v>0.23501577287066247</v>
      </c>
      <c r="N82" s="63">
        <v>0.55974842767295596</v>
      </c>
      <c r="O82" s="63">
        <v>0.40268456375838924</v>
      </c>
      <c r="P82" s="63">
        <v>0.44886363636363635</v>
      </c>
    </row>
    <row r="83" spans="1:16" x14ac:dyDescent="0.45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0.25039123630672927</v>
      </c>
      <c r="M83" s="63">
        <v>0.23630672926447574</v>
      </c>
      <c r="N83" s="63">
        <v>0.5625</v>
      </c>
      <c r="O83" s="63">
        <v>0.40397350993377484</v>
      </c>
      <c r="P83" s="63">
        <v>0.449438202247191</v>
      </c>
    </row>
    <row r="84" spans="1:16" x14ac:dyDescent="0.45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0.25386996904024767</v>
      </c>
      <c r="M84" s="63">
        <v>0.23529411764705882</v>
      </c>
      <c r="N84" s="63">
        <v>0.56707317073170727</v>
      </c>
      <c r="O84" s="63">
        <v>0.40789473684210525</v>
      </c>
      <c r="P84" s="63">
        <v>0.44808743169398907</v>
      </c>
    </row>
    <row r="85" spans="1:16" x14ac:dyDescent="0.45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0.25229357798165136</v>
      </c>
      <c r="M85" s="63">
        <v>0.23547400611620795</v>
      </c>
      <c r="N85" s="63">
        <v>0.5696969696969697</v>
      </c>
      <c r="O85" s="63">
        <v>0.40909090909090912</v>
      </c>
      <c r="P85" s="63">
        <v>0.44864864864864867</v>
      </c>
    </row>
    <row r="86" spans="1:16" x14ac:dyDescent="0.45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0.25264750378214829</v>
      </c>
      <c r="M86" s="63">
        <v>0.2329803328290469</v>
      </c>
      <c r="N86" s="63">
        <v>0.56287425149700598</v>
      </c>
      <c r="O86" s="63">
        <v>0.40909090909090912</v>
      </c>
      <c r="P86" s="63">
        <v>0.44864864864864867</v>
      </c>
    </row>
    <row r="87" spans="1:16" x14ac:dyDescent="0.45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0.25337331334332835</v>
      </c>
      <c r="M87" s="63">
        <v>0.23088455772113944</v>
      </c>
      <c r="N87" s="63">
        <v>0.56804733727810652</v>
      </c>
      <c r="O87" s="63">
        <v>0.40909090909090912</v>
      </c>
      <c r="P87" s="63">
        <v>0.44385026737967914</v>
      </c>
    </row>
    <row r="88" spans="1:16" x14ac:dyDescent="0.45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0.25370919881305637</v>
      </c>
      <c r="M88" s="63">
        <v>0.2314540059347181</v>
      </c>
      <c r="N88" s="63">
        <v>0.56140350877192979</v>
      </c>
      <c r="O88" s="63">
        <v>0.41025641025641024</v>
      </c>
      <c r="P88" s="63">
        <v>0.44973544973544971</v>
      </c>
    </row>
    <row r="89" spans="1:16" x14ac:dyDescent="0.45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0.25768667642752563</v>
      </c>
      <c r="M89" s="63">
        <v>0.22986822840409957</v>
      </c>
      <c r="N89" s="63">
        <v>0.55681818181818177</v>
      </c>
      <c r="O89" s="63">
        <v>0.4140127388535032</v>
      </c>
      <c r="P89" s="63">
        <v>0.44791666666666669</v>
      </c>
    </row>
    <row r="90" spans="1:16" x14ac:dyDescent="0.45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0.2608695652173913</v>
      </c>
      <c r="M90" s="63">
        <v>0.22898550724637681</v>
      </c>
      <c r="N90" s="63">
        <v>0.56111111111111112</v>
      </c>
      <c r="O90" s="63">
        <v>0.41139240506329117</v>
      </c>
      <c r="P90" s="63">
        <v>0.44615384615384618</v>
      </c>
    </row>
    <row r="91" spans="1:16" x14ac:dyDescent="0.45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0.26315789473684209</v>
      </c>
      <c r="M91" s="63">
        <v>0.22759601706970128</v>
      </c>
      <c r="N91" s="63">
        <v>0.56216216216216219</v>
      </c>
      <c r="O91" s="63">
        <v>0.41249999999999998</v>
      </c>
      <c r="P91" s="63">
        <v>0.44221105527638194</v>
      </c>
    </row>
    <row r="92" spans="1:16" x14ac:dyDescent="0.45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0.26396648044692739</v>
      </c>
      <c r="M92" s="63">
        <v>0.22346368715083798</v>
      </c>
      <c r="N92" s="63">
        <v>0.56084656084656082</v>
      </c>
      <c r="O92" s="63">
        <v>0.41249999999999998</v>
      </c>
      <c r="P92" s="63">
        <v>0.4405940594059406</v>
      </c>
    </row>
    <row r="93" spans="1:16" x14ac:dyDescent="0.45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0.26592797783933519</v>
      </c>
      <c r="M93" s="63">
        <v>0.22160664819944598</v>
      </c>
      <c r="N93" s="63">
        <v>0.56770833333333337</v>
      </c>
      <c r="O93" s="63">
        <v>0.41249999999999998</v>
      </c>
      <c r="P93" s="63">
        <v>0.44878048780487806</v>
      </c>
    </row>
    <row r="94" spans="1:16" x14ac:dyDescent="0.45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0.26648351648351648</v>
      </c>
      <c r="M94" s="63">
        <v>0.22115384615384615</v>
      </c>
      <c r="N94" s="63">
        <v>0.57216494845360821</v>
      </c>
      <c r="O94" s="63">
        <v>0.40993788819875776</v>
      </c>
      <c r="P94" s="63">
        <v>0.44927536231884058</v>
      </c>
    </row>
    <row r="95" spans="1:16" x14ac:dyDescent="0.45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0.26666666666666666</v>
      </c>
      <c r="M95" s="63">
        <v>0.22040816326530613</v>
      </c>
      <c r="N95" s="63">
        <v>0.57653061224489799</v>
      </c>
      <c r="O95" s="63">
        <v>0.41358024691358025</v>
      </c>
      <c r="P95" s="63">
        <v>0.45714285714285713</v>
      </c>
    </row>
    <row r="96" spans="1:16" x14ac:dyDescent="0.45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0.27052489905787347</v>
      </c>
      <c r="M96" s="63">
        <v>0.21938088829071331</v>
      </c>
      <c r="N96" s="63">
        <v>0.58208955223880599</v>
      </c>
      <c r="O96" s="63">
        <v>0.41717791411042943</v>
      </c>
      <c r="P96" s="63">
        <v>0.46046511627906977</v>
      </c>
    </row>
    <row r="97" spans="1:16" x14ac:dyDescent="0.45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0.27030625832223704</v>
      </c>
      <c r="M97" s="63">
        <v>0.21970705725699069</v>
      </c>
      <c r="N97" s="63">
        <v>0.58128078817733986</v>
      </c>
      <c r="O97" s="63">
        <v>0.41212121212121211</v>
      </c>
      <c r="P97" s="63">
        <v>0.45622119815668205</v>
      </c>
    </row>
    <row r="98" spans="1:16" x14ac:dyDescent="0.45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0.27055702917771884</v>
      </c>
      <c r="M98" s="63">
        <v>0.21883289124668434</v>
      </c>
      <c r="N98" s="63">
        <v>0.58333333333333337</v>
      </c>
      <c r="O98" s="63">
        <v>0.41212121212121211</v>
      </c>
      <c r="P98" s="63">
        <v>0.45412844036697247</v>
      </c>
    </row>
    <row r="99" spans="1:16" x14ac:dyDescent="0.45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0.26938239159001315</v>
      </c>
      <c r="M99" s="63">
        <v>0.21944809461235218</v>
      </c>
      <c r="N99" s="63">
        <v>0.58536585365853655</v>
      </c>
      <c r="O99" s="63">
        <v>0.41317365269461076</v>
      </c>
      <c r="P99" s="63">
        <v>0.45248868778280543</v>
      </c>
    </row>
    <row r="100" spans="1:16" x14ac:dyDescent="0.45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0.26848249027237353</v>
      </c>
      <c r="M100" s="63">
        <v>0.21789883268482491</v>
      </c>
      <c r="N100" s="63">
        <v>0.57971014492753625</v>
      </c>
      <c r="O100" s="63">
        <v>0.4107142857142857</v>
      </c>
      <c r="P100" s="63">
        <v>0.45495495495495497</v>
      </c>
    </row>
    <row r="101" spans="1:16" x14ac:dyDescent="0.45">
      <c r="A101" s="65">
        <v>98</v>
      </c>
      <c r="B101" s="62">
        <v>21.399999999999991</v>
      </c>
      <c r="C101" s="62">
        <v>0.21836734693877544</v>
      </c>
      <c r="D101" s="67">
        <v>2.0204081632653059</v>
      </c>
      <c r="E101" s="63">
        <v>0.24489795918367346</v>
      </c>
      <c r="F101" s="63">
        <v>0.26530612244897961</v>
      </c>
      <c r="G101" s="63">
        <v>0.28937259923175418</v>
      </c>
      <c r="H101" s="63">
        <v>0.13444302176696543</v>
      </c>
      <c r="I101" s="64">
        <v>8381.858407079646</v>
      </c>
      <c r="J101" s="64">
        <v>-7902.8571428571431</v>
      </c>
      <c r="K101" s="63">
        <v>8.1632653061224483E-2</v>
      </c>
      <c r="L101" s="63">
        <v>0.26632522407170295</v>
      </c>
      <c r="M101" s="63">
        <v>0.22023047375160051</v>
      </c>
      <c r="N101" s="63">
        <v>0.58173076923076927</v>
      </c>
      <c r="O101" s="63">
        <v>0.41860465116279072</v>
      </c>
      <c r="P101" s="63">
        <v>0.44690265486725661</v>
      </c>
    </row>
    <row r="102" spans="1:16" x14ac:dyDescent="0.45">
      <c r="A102" s="65">
        <v>99</v>
      </c>
      <c r="B102" s="62">
        <v>-5.4000000000000092</v>
      </c>
      <c r="C102" s="62">
        <v>-5.454545454545464E-2</v>
      </c>
      <c r="D102" s="67">
        <v>2.0303030303030303</v>
      </c>
      <c r="E102" s="63">
        <v>0.24242424242424243</v>
      </c>
      <c r="F102" s="63">
        <v>0.27272727272727271</v>
      </c>
      <c r="G102" s="63">
        <v>0.2878787878787879</v>
      </c>
      <c r="H102" s="63">
        <v>0.13636363636363635</v>
      </c>
      <c r="I102" s="64">
        <v>8326.3157894736851</v>
      </c>
      <c r="J102" s="64">
        <v>-7774.0740740740739</v>
      </c>
      <c r="K102" s="63">
        <v>8.0808080808080815E-2</v>
      </c>
      <c r="L102" s="63">
        <v>0.26767676767676768</v>
      </c>
      <c r="M102" s="63">
        <v>0.2196969696969697</v>
      </c>
      <c r="N102" s="63">
        <v>0.57075471698113212</v>
      </c>
      <c r="O102" s="63">
        <v>0.42528735632183906</v>
      </c>
      <c r="P102" s="63">
        <v>0.44736842105263158</v>
      </c>
    </row>
    <row r="103" spans="1:16" x14ac:dyDescent="0.45">
      <c r="A103" s="65">
        <v>100</v>
      </c>
      <c r="B103" s="62">
        <v>-25.600000000000009</v>
      </c>
      <c r="C103" s="62">
        <v>-0.25600000000000006</v>
      </c>
      <c r="D103" s="67">
        <v>2.04</v>
      </c>
      <c r="E103" s="63">
        <v>0.24</v>
      </c>
      <c r="F103" s="63">
        <v>0.28000000000000003</v>
      </c>
      <c r="G103" s="63">
        <v>0.28714107365792757</v>
      </c>
      <c r="H103" s="63">
        <v>0.13732833957553059</v>
      </c>
      <c r="I103" s="64">
        <v>8340.8695652173919</v>
      </c>
      <c r="J103" s="64">
        <v>-7714.545454545455</v>
      </c>
      <c r="K103" s="63">
        <v>0.08</v>
      </c>
      <c r="L103" s="63">
        <v>0.26716604244694131</v>
      </c>
      <c r="M103" s="63">
        <v>0.22097378277153559</v>
      </c>
      <c r="N103" s="63">
        <v>0.57009345794392519</v>
      </c>
      <c r="O103" s="63">
        <v>0.42372881355932202</v>
      </c>
      <c r="P103" s="63">
        <v>0.45217391304347826</v>
      </c>
    </row>
    <row r="104" spans="1:16" x14ac:dyDescent="0.45">
      <c r="A104" s="65">
        <v>101</v>
      </c>
      <c r="B104" s="62">
        <v>32.199999999999989</v>
      </c>
      <c r="C104" s="62">
        <v>0.31881188118811871</v>
      </c>
      <c r="D104" s="67">
        <v>2.0297029702970297</v>
      </c>
      <c r="E104" s="63">
        <v>0.24752475247524752</v>
      </c>
      <c r="F104" s="63">
        <v>0.27722772277227725</v>
      </c>
      <c r="G104" s="63">
        <v>0.28888888888888886</v>
      </c>
      <c r="H104" s="63">
        <v>0.13580246913580246</v>
      </c>
      <c r="I104" s="64">
        <v>8434.6153846153848</v>
      </c>
      <c r="J104" s="64">
        <v>-7714.545454545455</v>
      </c>
      <c r="K104" s="63">
        <v>7.9207920792079209E-2</v>
      </c>
      <c r="L104" s="63">
        <v>0.26790123456790121</v>
      </c>
      <c r="M104" s="63">
        <v>0.21975308641975308</v>
      </c>
      <c r="N104" s="63">
        <v>0.57603686635944695</v>
      </c>
      <c r="O104" s="63">
        <v>0.42696629213483145</v>
      </c>
      <c r="P104" s="63">
        <v>0.45299145299145299</v>
      </c>
    </row>
    <row r="105" spans="1:16" x14ac:dyDescent="0.45">
      <c r="A105" s="65">
        <v>102</v>
      </c>
      <c r="B105" s="62">
        <v>27.699999999999989</v>
      </c>
      <c r="C105" s="62">
        <v>0.27156862745098026</v>
      </c>
      <c r="D105" s="67">
        <v>2.0294117647058822</v>
      </c>
      <c r="E105" s="63">
        <v>0.24509803921568626</v>
      </c>
      <c r="F105" s="63">
        <v>0.27450980392156865</v>
      </c>
      <c r="G105" s="63">
        <v>0.28886168910648713</v>
      </c>
      <c r="H105" s="63">
        <v>0.13586291309669524</v>
      </c>
      <c r="I105" s="64">
        <v>8447.8813559322025</v>
      </c>
      <c r="J105" s="64">
        <v>-7671.1711711711714</v>
      </c>
      <c r="K105" s="63">
        <v>7.8431372549019607E-2</v>
      </c>
      <c r="L105" s="63">
        <v>0.27050183598531213</v>
      </c>
      <c r="M105" s="63">
        <v>0.21787025703794369</v>
      </c>
      <c r="N105" s="63">
        <v>0.57466063348416285</v>
      </c>
      <c r="O105" s="63">
        <v>0.42696629213483145</v>
      </c>
      <c r="P105" s="63">
        <v>0.45338983050847459</v>
      </c>
    </row>
    <row r="106" spans="1:16" x14ac:dyDescent="0.45">
      <c r="A106" s="65">
        <v>103</v>
      </c>
      <c r="B106" s="62">
        <v>45.79999999999999</v>
      </c>
      <c r="C106" s="62">
        <v>0.44466019417475716</v>
      </c>
      <c r="D106" s="67">
        <v>2.0194174757281553</v>
      </c>
      <c r="E106" s="63">
        <v>0.25242718446601942</v>
      </c>
      <c r="F106" s="63">
        <v>0.27184466019417475</v>
      </c>
      <c r="G106" s="63">
        <v>0.28950542822677927</v>
      </c>
      <c r="H106" s="63">
        <v>0.13751507840772015</v>
      </c>
      <c r="I106" s="64">
        <v>8495</v>
      </c>
      <c r="J106" s="64">
        <v>-7662.2807017543855</v>
      </c>
      <c r="K106" s="63">
        <v>7.7669902912621352E-2</v>
      </c>
      <c r="L106" s="63">
        <v>0.27020506634499397</v>
      </c>
      <c r="M106" s="63">
        <v>0.21833534378769601</v>
      </c>
      <c r="N106" s="63">
        <v>0.5758928571428571</v>
      </c>
      <c r="O106" s="63">
        <v>0.43093922651933703</v>
      </c>
      <c r="P106" s="63">
        <v>0.44583333333333336</v>
      </c>
    </row>
    <row r="107" spans="1:16" x14ac:dyDescent="0.45">
      <c r="A107" s="65">
        <v>104</v>
      </c>
      <c r="B107" s="62">
        <v>122.19999999999999</v>
      </c>
      <c r="C107" s="62">
        <v>1.1749999999999998</v>
      </c>
      <c r="D107" s="67">
        <v>2.0096153846153846</v>
      </c>
      <c r="E107" s="63">
        <v>0.25961538461538464</v>
      </c>
      <c r="F107" s="63">
        <v>0.26923076923076922</v>
      </c>
      <c r="G107" s="63">
        <v>0.2930622009569378</v>
      </c>
      <c r="H107" s="63">
        <v>0.13755980861244019</v>
      </c>
      <c r="I107" s="64">
        <v>8576.7346938775518</v>
      </c>
      <c r="J107" s="64">
        <v>-7618.260869565217</v>
      </c>
      <c r="K107" s="63">
        <v>7.6923076923076927E-2</v>
      </c>
      <c r="L107" s="63">
        <v>0.27272727272727271</v>
      </c>
      <c r="M107" s="63">
        <v>0.21770334928229665</v>
      </c>
      <c r="N107" s="63">
        <v>0.58333333333333337</v>
      </c>
      <c r="O107" s="63">
        <v>0.43406593406593408</v>
      </c>
      <c r="P107" s="63">
        <v>0.44897959183673469</v>
      </c>
    </row>
    <row r="108" spans="1:16" x14ac:dyDescent="0.45">
      <c r="A108" s="65">
        <v>105</v>
      </c>
      <c r="B108" s="62">
        <v>86.299999999999983</v>
      </c>
      <c r="C108" s="62">
        <v>0.82190476190476169</v>
      </c>
      <c r="D108" s="67">
        <v>2.019047619047619</v>
      </c>
      <c r="E108" s="63">
        <v>0.25714285714285712</v>
      </c>
      <c r="F108" s="63">
        <v>0.27619047619047621</v>
      </c>
      <c r="G108" s="63">
        <v>0.29078014184397161</v>
      </c>
      <c r="H108" s="63">
        <v>0.13593380614657211</v>
      </c>
      <c r="I108" s="64">
        <v>8552.4390243902435</v>
      </c>
      <c r="J108" s="64">
        <v>-7618.260869565217</v>
      </c>
      <c r="K108" s="63">
        <v>7.6190476190476197E-2</v>
      </c>
      <c r="L108" s="63">
        <v>0.27304964539007093</v>
      </c>
      <c r="M108" s="63">
        <v>0.21631205673758866</v>
      </c>
      <c r="N108" s="63">
        <v>0.58008658008658009</v>
      </c>
      <c r="O108" s="63">
        <v>0.43169398907103823</v>
      </c>
      <c r="P108" s="63">
        <v>0.44715447154471544</v>
      </c>
    </row>
    <row r="109" spans="1:16" x14ac:dyDescent="0.45">
      <c r="A109" s="65">
        <v>106</v>
      </c>
      <c r="B109" s="62">
        <v>84.299999999999983</v>
      </c>
      <c r="C109" s="62">
        <v>0.79528301886792441</v>
      </c>
      <c r="D109" s="67">
        <v>2.0188679245283021</v>
      </c>
      <c r="E109" s="63">
        <v>0.25471698113207547</v>
      </c>
      <c r="F109" s="63">
        <v>0.27358490566037735</v>
      </c>
      <c r="G109" s="63">
        <v>0.29024676850763809</v>
      </c>
      <c r="H109" s="63">
        <v>0.13513513513513514</v>
      </c>
      <c r="I109" s="64">
        <v>8550.2024291497983</v>
      </c>
      <c r="J109" s="64">
        <v>-7618.260869565217</v>
      </c>
      <c r="K109" s="63">
        <v>7.5471698113207544E-2</v>
      </c>
      <c r="L109" s="63">
        <v>0.27379553466509987</v>
      </c>
      <c r="M109" s="63">
        <v>0.21504112808460635</v>
      </c>
      <c r="N109" s="63">
        <v>0.57510729613733902</v>
      </c>
      <c r="O109" s="63">
        <v>0.43169398907103823</v>
      </c>
      <c r="P109" s="63">
        <v>0.44534412955465585</v>
      </c>
    </row>
    <row r="110" spans="1:16" x14ac:dyDescent="0.45">
      <c r="A110" s="65">
        <v>107</v>
      </c>
      <c r="B110" s="62">
        <v>106.29999999999998</v>
      </c>
      <c r="C110" s="62">
        <v>0.99345794392523346</v>
      </c>
      <c r="D110" s="67">
        <v>2.0093457943925235</v>
      </c>
      <c r="E110" s="63">
        <v>0.26168224299065418</v>
      </c>
      <c r="F110" s="63">
        <v>0.27102803738317754</v>
      </c>
      <c r="G110" s="63">
        <v>0.29254079254079252</v>
      </c>
      <c r="H110" s="63">
        <v>0.1351981351981352</v>
      </c>
      <c r="I110" s="64">
        <v>8514.3426294820711</v>
      </c>
      <c r="J110" s="64">
        <v>-7597.4137931034484</v>
      </c>
      <c r="K110" s="63">
        <v>7.476635514018691E-2</v>
      </c>
      <c r="L110" s="63">
        <v>0.27272727272727271</v>
      </c>
      <c r="M110" s="63">
        <v>0.21678321678321677</v>
      </c>
      <c r="N110" s="63">
        <v>0.57692307692307687</v>
      </c>
      <c r="O110" s="63">
        <v>0.43548387096774194</v>
      </c>
      <c r="P110" s="63">
        <v>0.44621513944223107</v>
      </c>
    </row>
    <row r="111" spans="1:16" x14ac:dyDescent="0.45">
      <c r="A111" s="65">
        <v>108</v>
      </c>
      <c r="B111" s="62">
        <v>99.199999999999989</v>
      </c>
      <c r="C111" s="62">
        <v>0.9185185185185184</v>
      </c>
      <c r="D111" s="67">
        <v>2.0092592592592591</v>
      </c>
      <c r="E111" s="63">
        <v>0.25925925925925924</v>
      </c>
      <c r="F111" s="63">
        <v>0.26851851851851855</v>
      </c>
      <c r="G111" s="63">
        <v>0.29032258064516131</v>
      </c>
      <c r="H111" s="63">
        <v>0.1347926267281106</v>
      </c>
      <c r="I111" s="64">
        <v>8511.5079365079364</v>
      </c>
      <c r="J111" s="64">
        <v>-7554.7008547008545</v>
      </c>
      <c r="K111" s="63">
        <v>7.407407407407407E-2</v>
      </c>
      <c r="L111" s="63">
        <v>0.27073732718894011</v>
      </c>
      <c r="M111" s="63">
        <v>0.21658986175115208</v>
      </c>
      <c r="N111" s="63">
        <v>0.5787234042553191</v>
      </c>
      <c r="O111" s="63">
        <v>0.43085106382978722</v>
      </c>
      <c r="P111" s="63">
        <v>0.44841269841269843</v>
      </c>
    </row>
    <row r="112" spans="1:16" x14ac:dyDescent="0.45">
      <c r="A112" s="65">
        <v>109</v>
      </c>
      <c r="B112" s="62">
        <v>132.19999999999999</v>
      </c>
      <c r="C112" s="62">
        <v>1.2128440366972475</v>
      </c>
      <c r="D112" s="67">
        <v>2</v>
      </c>
      <c r="E112" s="63">
        <v>0.26605504587155965</v>
      </c>
      <c r="F112" s="63">
        <v>0.26605504587155965</v>
      </c>
      <c r="G112" s="63">
        <v>0.29142857142857143</v>
      </c>
      <c r="H112" s="63">
        <v>0.13485714285714287</v>
      </c>
      <c r="I112" s="64">
        <v>8554.1176470588234</v>
      </c>
      <c r="J112" s="64">
        <v>-7523.7288135593217</v>
      </c>
      <c r="K112" s="63">
        <v>7.3394495412844041E-2</v>
      </c>
      <c r="L112" s="63">
        <v>0.27085714285714285</v>
      </c>
      <c r="M112" s="63">
        <v>0.216</v>
      </c>
      <c r="N112" s="63">
        <v>0.57805907172995785</v>
      </c>
      <c r="O112" s="63">
        <v>0.43386243386243384</v>
      </c>
      <c r="P112" s="63">
        <v>0.45098039215686275</v>
      </c>
    </row>
    <row r="113" spans="1:16" x14ac:dyDescent="0.45">
      <c r="A113" s="65">
        <v>110</v>
      </c>
      <c r="B113" s="62">
        <v>120.1</v>
      </c>
      <c r="C113" s="62">
        <v>1.0918181818181818</v>
      </c>
      <c r="D113" s="67">
        <v>2.0090909090909093</v>
      </c>
      <c r="E113" s="63">
        <v>0.26363636363636361</v>
      </c>
      <c r="F113" s="63">
        <v>0.27272727272727271</v>
      </c>
      <c r="G113" s="63">
        <v>0.29171396140749151</v>
      </c>
      <c r="H113" s="63">
        <v>0.1362088535754824</v>
      </c>
      <c r="I113" s="64">
        <v>8537.7431906614784</v>
      </c>
      <c r="J113" s="64">
        <v>-7435.833333333333</v>
      </c>
      <c r="K113" s="63">
        <v>7.2727272727272724E-2</v>
      </c>
      <c r="L113" s="63">
        <v>0.26901248581157777</v>
      </c>
      <c r="M113" s="63">
        <v>0.21793416572077184</v>
      </c>
      <c r="N113" s="63">
        <v>0.57805907172995785</v>
      </c>
      <c r="O113" s="63">
        <v>0.4375</v>
      </c>
      <c r="P113" s="63">
        <v>0.44747081712062259</v>
      </c>
    </row>
    <row r="114" spans="1:16" x14ac:dyDescent="0.45">
      <c r="A114" s="65">
        <v>111</v>
      </c>
      <c r="B114" s="62">
        <v>106.3</v>
      </c>
      <c r="C114" s="62">
        <v>0.95765765765765765</v>
      </c>
      <c r="D114" s="67">
        <v>2.0180180180180178</v>
      </c>
      <c r="E114" s="63">
        <v>0.26126126126126126</v>
      </c>
      <c r="F114" s="63">
        <v>0.27927927927927926</v>
      </c>
      <c r="G114" s="63">
        <v>0.29021372328458944</v>
      </c>
      <c r="H114" s="63">
        <v>0.13610798650168729</v>
      </c>
      <c r="I114" s="64">
        <v>8524.8062015503874</v>
      </c>
      <c r="J114" s="64">
        <v>-7440.4958677685954</v>
      </c>
      <c r="K114" s="63">
        <v>7.2072072072072071E-2</v>
      </c>
      <c r="L114" s="63">
        <v>0.26884139482564678</v>
      </c>
      <c r="M114" s="63">
        <v>0.21934758155230596</v>
      </c>
      <c r="N114" s="63">
        <v>0.57740585774058573</v>
      </c>
      <c r="O114" s="63">
        <v>0.43076923076923079</v>
      </c>
      <c r="P114" s="63">
        <v>0.44573643410852715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B1A2B-5670-475E-AAE3-2956C8A0D252}">
  <sheetPr codeName="Sheet16"/>
  <dimension ref="A1:Q102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5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5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5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5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5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5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5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5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5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5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5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5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5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5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5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5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5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5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5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5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5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5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5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5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5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5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5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5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5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5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5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5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5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5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5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5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5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5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5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5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5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5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5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5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5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5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5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5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5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5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5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5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5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5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5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5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5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5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5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5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5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5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5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5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5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5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5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5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5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5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5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5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5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5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5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 x14ac:dyDescent="0.45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  <row r="81" spans="1:16" x14ac:dyDescent="0.45">
      <c r="A81" s="65">
        <v>78</v>
      </c>
      <c r="B81" s="62">
        <v>312.50000000000011</v>
      </c>
      <c r="C81" s="62">
        <v>4.0064102564102582</v>
      </c>
      <c r="D81" s="67">
        <v>1.9230769230769231</v>
      </c>
      <c r="E81" s="63">
        <v>0.39743589743589741</v>
      </c>
      <c r="F81" s="63">
        <v>0.32051282051282054</v>
      </c>
      <c r="G81" s="63">
        <v>0.28389154704944181</v>
      </c>
      <c r="H81" s="63">
        <v>0.17224880382775121</v>
      </c>
      <c r="I81" s="64">
        <v>10858.988764044943</v>
      </c>
      <c r="J81" s="64">
        <v>-8263.8888888888887</v>
      </c>
      <c r="K81" s="63">
        <v>0.11538461538461539</v>
      </c>
      <c r="L81" s="63">
        <v>0.31897926634768742</v>
      </c>
      <c r="M81" s="63">
        <v>0.17543859649122806</v>
      </c>
      <c r="N81" s="63">
        <v>0.55000000000000004</v>
      </c>
      <c r="O81" s="63">
        <v>0.41818181818181815</v>
      </c>
      <c r="P81" s="63">
        <v>0.4887640449438202</v>
      </c>
    </row>
    <row r="82" spans="1:16" x14ac:dyDescent="0.45">
      <c r="A82" s="65">
        <v>79</v>
      </c>
      <c r="B82" s="62">
        <v>263.80000000000013</v>
      </c>
      <c r="C82" s="62">
        <v>3.3392405063291153</v>
      </c>
      <c r="D82" s="67">
        <v>1.9367088607594938</v>
      </c>
      <c r="E82" s="63">
        <v>0.39240506329113922</v>
      </c>
      <c r="F82" s="63">
        <v>0.32911392405063289</v>
      </c>
      <c r="G82" s="63">
        <v>0.28031496062992128</v>
      </c>
      <c r="H82" s="63">
        <v>0.17322834645669291</v>
      </c>
      <c r="I82" s="64">
        <v>10858.988764044943</v>
      </c>
      <c r="J82" s="64">
        <v>-8233.636363636364</v>
      </c>
      <c r="K82" s="63">
        <v>0.12658227848101267</v>
      </c>
      <c r="L82" s="63">
        <v>0.31653543307086612</v>
      </c>
      <c r="M82" s="63">
        <v>0.17480314960629922</v>
      </c>
      <c r="N82" s="63">
        <v>0.54726368159203975</v>
      </c>
      <c r="O82" s="63">
        <v>0.4144144144144144</v>
      </c>
      <c r="P82" s="63">
        <v>0.4887640449438202</v>
      </c>
    </row>
    <row r="83" spans="1:16" x14ac:dyDescent="0.45">
      <c r="A83" s="65">
        <v>80</v>
      </c>
      <c r="B83" s="62">
        <v>245.50000000000011</v>
      </c>
      <c r="C83" s="62">
        <v>3.0687500000000014</v>
      </c>
      <c r="D83" s="67">
        <v>1.95</v>
      </c>
      <c r="E83" s="63">
        <v>0.38750000000000001</v>
      </c>
      <c r="F83" s="63">
        <v>0.33750000000000002</v>
      </c>
      <c r="G83" s="63">
        <v>0.27906976744186046</v>
      </c>
      <c r="H83" s="63">
        <v>0.17674418604651163</v>
      </c>
      <c r="I83" s="64">
        <v>10849.444444444445</v>
      </c>
      <c r="J83" s="64">
        <v>-8083.333333333333</v>
      </c>
      <c r="K83" s="63">
        <v>0.125</v>
      </c>
      <c r="L83" s="63">
        <v>0.31627906976744186</v>
      </c>
      <c r="M83" s="63">
        <v>0.17674418604651163</v>
      </c>
      <c r="N83" s="63">
        <v>0.54411764705882348</v>
      </c>
      <c r="O83" s="63">
        <v>0.40350877192982454</v>
      </c>
      <c r="P83" s="63">
        <v>0.49444444444444446</v>
      </c>
    </row>
    <row r="84" spans="1:16" x14ac:dyDescent="0.45">
      <c r="A84" s="65">
        <v>81</v>
      </c>
      <c r="B84" s="62">
        <v>200.30000000000013</v>
      </c>
      <c r="C84" s="62">
        <v>2.472839506172841</v>
      </c>
      <c r="D84" s="67">
        <v>1.962962962962963</v>
      </c>
      <c r="E84" s="63">
        <v>0.38271604938271603</v>
      </c>
      <c r="F84" s="63">
        <v>0.34567901234567899</v>
      </c>
      <c r="G84" s="63">
        <v>0.27981651376146788</v>
      </c>
      <c r="H84" s="63">
        <v>0.17737003058103976</v>
      </c>
      <c r="I84" s="64">
        <v>10812.021857923497</v>
      </c>
      <c r="J84" s="64">
        <v>-8375</v>
      </c>
      <c r="K84" s="63">
        <v>0.13580246913580246</v>
      </c>
      <c r="L84" s="63">
        <v>0.3165137614678899</v>
      </c>
      <c r="M84" s="63">
        <v>0.1743119266055046</v>
      </c>
      <c r="N84" s="63">
        <v>0.54589371980676327</v>
      </c>
      <c r="O84" s="63">
        <v>0.40350877192982454</v>
      </c>
      <c r="P84" s="63">
        <v>0.49180327868852458</v>
      </c>
    </row>
    <row r="85" spans="1:16" x14ac:dyDescent="0.45">
      <c r="A85" s="65">
        <v>82</v>
      </c>
      <c r="B85" s="62">
        <v>229.10000000000014</v>
      </c>
      <c r="C85" s="62">
        <v>2.7939024390243921</v>
      </c>
      <c r="D85" s="67">
        <v>1.9512195121951219</v>
      </c>
      <c r="E85" s="63">
        <v>0.3902439024390244</v>
      </c>
      <c r="F85" s="63">
        <v>0.34146341463414637</v>
      </c>
      <c r="G85" s="63">
        <v>0.28290468986384265</v>
      </c>
      <c r="H85" s="63">
        <v>0.17700453857791226</v>
      </c>
      <c r="I85" s="64">
        <v>10767.379679144386</v>
      </c>
      <c r="J85" s="64">
        <v>-8405.9829059829062</v>
      </c>
      <c r="K85" s="63">
        <v>0.13414634146341464</v>
      </c>
      <c r="L85" s="63">
        <v>0.31618759455370649</v>
      </c>
      <c r="M85" s="63">
        <v>0.17397881996974282</v>
      </c>
      <c r="N85" s="63">
        <v>0.55023923444976075</v>
      </c>
      <c r="O85" s="63">
        <v>0.40869565217391307</v>
      </c>
      <c r="P85" s="63">
        <v>0.49732620320855614</v>
      </c>
    </row>
    <row r="86" spans="1:16" x14ac:dyDescent="0.45">
      <c r="A86" s="65">
        <v>83</v>
      </c>
      <c r="B86" s="62">
        <v>230.70000000000013</v>
      </c>
      <c r="C86" s="62">
        <v>2.7795180722891581</v>
      </c>
      <c r="D86" s="67">
        <v>1.9518072289156627</v>
      </c>
      <c r="E86" s="63">
        <v>0.38554216867469882</v>
      </c>
      <c r="F86" s="63">
        <v>0.33734939759036142</v>
      </c>
      <c r="G86" s="63">
        <v>0.28083209509658247</v>
      </c>
      <c r="H86" s="63">
        <v>0.17682020802377416</v>
      </c>
      <c r="I86" s="64">
        <v>10780.42328042328</v>
      </c>
      <c r="J86" s="64">
        <v>-8356.3025210084033</v>
      </c>
      <c r="K86" s="63">
        <v>0.13253012048192772</v>
      </c>
      <c r="L86" s="63">
        <v>0.31500742942050519</v>
      </c>
      <c r="M86" s="63">
        <v>0.17236255572065379</v>
      </c>
      <c r="N86" s="63">
        <v>0.55188679245283023</v>
      </c>
      <c r="O86" s="63">
        <v>0.40517241379310343</v>
      </c>
      <c r="P86" s="63">
        <v>0.49735449735449733</v>
      </c>
    </row>
    <row r="87" spans="1:16" x14ac:dyDescent="0.45">
      <c r="A87" s="65">
        <v>84</v>
      </c>
      <c r="B87" s="62">
        <v>201.10000000000014</v>
      </c>
      <c r="C87" s="62">
        <v>2.3940476190476208</v>
      </c>
      <c r="D87" s="67">
        <v>1.9523809523809523</v>
      </c>
      <c r="E87" s="63">
        <v>0.38095238095238093</v>
      </c>
      <c r="F87" s="63">
        <v>0.33333333333333331</v>
      </c>
      <c r="G87" s="63">
        <v>0.27941176470588236</v>
      </c>
      <c r="H87" s="63">
        <v>0.17647058823529413</v>
      </c>
      <c r="I87" s="64">
        <v>10786.842105263158</v>
      </c>
      <c r="J87" s="64">
        <v>-8383.3333333333339</v>
      </c>
      <c r="K87" s="63">
        <v>0.13095238095238096</v>
      </c>
      <c r="L87" s="63">
        <v>0.31617647058823528</v>
      </c>
      <c r="M87" s="63">
        <v>0.17058823529411765</v>
      </c>
      <c r="N87" s="63">
        <v>0.5488372093023256</v>
      </c>
      <c r="O87" s="63">
        <v>0.40517241379310343</v>
      </c>
      <c r="P87" s="63">
        <v>0.5</v>
      </c>
    </row>
    <row r="88" spans="1:16" x14ac:dyDescent="0.45">
      <c r="A88" s="65">
        <v>85</v>
      </c>
      <c r="B88" s="62">
        <v>200.20000000000013</v>
      </c>
      <c r="C88" s="62">
        <v>2.3552941176470603</v>
      </c>
      <c r="D88" s="67">
        <v>1.9529411764705882</v>
      </c>
      <c r="E88" s="63">
        <v>0.37647058823529411</v>
      </c>
      <c r="F88" s="63">
        <v>0.32941176470588235</v>
      </c>
      <c r="G88" s="63">
        <v>0.27826086956521739</v>
      </c>
      <c r="H88" s="63">
        <v>0.17826086956521739</v>
      </c>
      <c r="I88" s="64">
        <v>10893.229166666666</v>
      </c>
      <c r="J88" s="64">
        <v>-8391.0569105691065</v>
      </c>
      <c r="K88" s="63">
        <v>0.12941176470588237</v>
      </c>
      <c r="L88" s="63">
        <v>0.31304347826086959</v>
      </c>
      <c r="M88" s="63">
        <v>0.17101449275362318</v>
      </c>
      <c r="N88" s="63">
        <v>0.55092592592592593</v>
      </c>
      <c r="O88" s="63">
        <v>0.40677966101694918</v>
      </c>
      <c r="P88" s="63">
        <v>0.50520833333333337</v>
      </c>
    </row>
    <row r="89" spans="1:16" x14ac:dyDescent="0.45">
      <c r="A89" s="65">
        <v>86</v>
      </c>
      <c r="B89" s="62">
        <v>211.70000000000013</v>
      </c>
      <c r="C89" s="62">
        <v>2.4616279069767457</v>
      </c>
      <c r="D89" s="67">
        <v>1.9534883720930232</v>
      </c>
      <c r="E89" s="63">
        <v>0.37209302325581395</v>
      </c>
      <c r="F89" s="63">
        <v>0.32558139534883723</v>
      </c>
      <c r="G89" s="63">
        <v>0.27936962750716332</v>
      </c>
      <c r="H89" s="63">
        <v>0.17765042979942694</v>
      </c>
      <c r="I89" s="64">
        <v>10961.538461538461</v>
      </c>
      <c r="J89" s="64">
        <v>-8581.4516129032254</v>
      </c>
      <c r="K89" s="63">
        <v>0.12790697674418605</v>
      </c>
      <c r="L89" s="63">
        <v>0.31088825214899712</v>
      </c>
      <c r="M89" s="63">
        <v>0.16905444126074498</v>
      </c>
      <c r="N89" s="63">
        <v>0.55299539170506917</v>
      </c>
      <c r="O89" s="63">
        <v>0.40677966101694918</v>
      </c>
      <c r="P89" s="63">
        <v>0.51282051282051277</v>
      </c>
    </row>
    <row r="90" spans="1:16" x14ac:dyDescent="0.45">
      <c r="A90" s="65">
        <v>87</v>
      </c>
      <c r="B90" s="62">
        <v>186.30000000000013</v>
      </c>
      <c r="C90" s="62">
        <v>2.1413793103448291</v>
      </c>
      <c r="D90" s="67">
        <v>1.9655172413793103</v>
      </c>
      <c r="E90" s="63">
        <v>0.36781609195402298</v>
      </c>
      <c r="F90" s="63">
        <v>0.33333333333333331</v>
      </c>
      <c r="G90" s="63">
        <v>0.27659574468085107</v>
      </c>
      <c r="H90" s="63">
        <v>0.17872340425531916</v>
      </c>
      <c r="I90" s="64">
        <v>10961.538461538461</v>
      </c>
      <c r="J90" s="64">
        <v>-8529.3650793650795</v>
      </c>
      <c r="K90" s="63">
        <v>0.12643678160919541</v>
      </c>
      <c r="L90" s="63">
        <v>0.31063829787234043</v>
      </c>
      <c r="M90" s="63">
        <v>0.1702127659574468</v>
      </c>
      <c r="N90" s="63">
        <v>0.54794520547945202</v>
      </c>
      <c r="O90" s="63">
        <v>0.4</v>
      </c>
      <c r="P90" s="63">
        <v>0.51282051282051277</v>
      </c>
    </row>
    <row r="91" spans="1:16" x14ac:dyDescent="0.45">
      <c r="A91" s="65">
        <v>88</v>
      </c>
      <c r="B91" s="62">
        <v>163.60000000000014</v>
      </c>
      <c r="C91" s="62">
        <v>1.8590909090909107</v>
      </c>
      <c r="D91" s="67">
        <v>1.9772727272727273</v>
      </c>
      <c r="E91" s="63">
        <v>0.36363636363636365</v>
      </c>
      <c r="F91" s="63">
        <v>0.34090909090909088</v>
      </c>
      <c r="G91" s="63">
        <v>0.27591036414565828</v>
      </c>
      <c r="H91" s="63">
        <v>0.18067226890756302</v>
      </c>
      <c r="I91" s="64">
        <v>10904.060913705584</v>
      </c>
      <c r="J91" s="64">
        <v>-8453.4883720930229</v>
      </c>
      <c r="K91" s="63">
        <v>0.125</v>
      </c>
      <c r="L91" s="63">
        <v>0.31092436974789917</v>
      </c>
      <c r="M91" s="63">
        <v>0.17086834733893558</v>
      </c>
      <c r="N91" s="63">
        <v>0.54504504504504503</v>
      </c>
      <c r="O91" s="63">
        <v>0.40163934426229508</v>
      </c>
      <c r="P91" s="63">
        <v>0.51776649746192893</v>
      </c>
    </row>
    <row r="92" spans="1:16" x14ac:dyDescent="0.45">
      <c r="A92" s="65">
        <v>89</v>
      </c>
      <c r="B92" s="62">
        <v>188.60000000000014</v>
      </c>
      <c r="C92" s="62">
        <v>2.1191011235955073</v>
      </c>
      <c r="D92" s="67">
        <v>1.9662921348314606</v>
      </c>
      <c r="E92" s="63">
        <v>0.3707865168539326</v>
      </c>
      <c r="F92" s="63">
        <v>0.33707865168539325</v>
      </c>
      <c r="G92" s="63">
        <v>0.27524204702627941</v>
      </c>
      <c r="H92" s="63">
        <v>0.17980636237897649</v>
      </c>
      <c r="I92" s="64">
        <v>10915.075376884422</v>
      </c>
      <c r="J92" s="64">
        <v>-8403.8461538461543</v>
      </c>
      <c r="K92" s="63">
        <v>0.12359550561797752</v>
      </c>
      <c r="L92" s="63">
        <v>0.31258644536652835</v>
      </c>
      <c r="M92" s="63">
        <v>0.17012448132780084</v>
      </c>
      <c r="N92" s="63">
        <v>0.54424778761061943</v>
      </c>
      <c r="O92" s="63">
        <v>0.3983739837398374</v>
      </c>
      <c r="P92" s="63">
        <v>0.52261306532663321</v>
      </c>
    </row>
    <row r="93" spans="1:16" x14ac:dyDescent="0.45">
      <c r="A93" s="65">
        <v>90</v>
      </c>
      <c r="B93" s="62">
        <v>236.10000000000014</v>
      </c>
      <c r="C93" s="62">
        <v>2.6233333333333348</v>
      </c>
      <c r="D93" s="67">
        <v>1.9555555555555555</v>
      </c>
      <c r="E93" s="63">
        <v>0.37777777777777777</v>
      </c>
      <c r="F93" s="63">
        <v>0.33333333333333331</v>
      </c>
      <c r="G93" s="63">
        <v>0.27747252747252749</v>
      </c>
      <c r="H93" s="63">
        <v>0.17857142857142858</v>
      </c>
      <c r="I93" s="64">
        <v>10921.287128712871</v>
      </c>
      <c r="J93" s="64">
        <v>-8403.8461538461543</v>
      </c>
      <c r="K93" s="63">
        <v>0.12222222222222222</v>
      </c>
      <c r="L93" s="63">
        <v>0.31318681318681318</v>
      </c>
      <c r="M93" s="63">
        <v>0.16895604395604397</v>
      </c>
      <c r="N93" s="63">
        <v>0.54824561403508776</v>
      </c>
      <c r="O93" s="63">
        <v>0.3983739837398374</v>
      </c>
      <c r="P93" s="63">
        <v>0.52475247524752477</v>
      </c>
    </row>
    <row r="94" spans="1:16" x14ac:dyDescent="0.45">
      <c r="A94" s="65">
        <v>91</v>
      </c>
      <c r="B94" s="62">
        <v>240.30000000000013</v>
      </c>
      <c r="C94" s="62">
        <v>2.6406593406593419</v>
      </c>
      <c r="D94" s="67">
        <v>1.956043956043956</v>
      </c>
      <c r="E94" s="63">
        <v>0.37362637362637363</v>
      </c>
      <c r="F94" s="63">
        <v>0.32967032967032966</v>
      </c>
      <c r="G94" s="63">
        <v>0.27755102040816326</v>
      </c>
      <c r="H94" s="63">
        <v>0.17823129251700681</v>
      </c>
      <c r="I94" s="64">
        <v>10912.254901960785</v>
      </c>
      <c r="J94" s="64">
        <v>-8400.7633587786258</v>
      </c>
      <c r="K94" s="63">
        <v>0.12087912087912088</v>
      </c>
      <c r="L94" s="63">
        <v>0.31564625850340133</v>
      </c>
      <c r="M94" s="63">
        <v>0.16734693877551021</v>
      </c>
      <c r="N94" s="63">
        <v>0.54741379310344829</v>
      </c>
      <c r="O94" s="63">
        <v>0.3983739837398374</v>
      </c>
      <c r="P94" s="63">
        <v>0.52941176470588236</v>
      </c>
    </row>
    <row r="95" spans="1:16" x14ac:dyDescent="0.45">
      <c r="A95" s="65">
        <v>92</v>
      </c>
      <c r="B95" s="62">
        <v>286.50000000000011</v>
      </c>
      <c r="C95" s="62">
        <v>3.1141304347826098</v>
      </c>
      <c r="D95" s="67">
        <v>1.9456521739130435</v>
      </c>
      <c r="E95" s="63">
        <v>0.38043478260869568</v>
      </c>
      <c r="F95" s="63">
        <v>0.32608695652173914</v>
      </c>
      <c r="G95" s="63">
        <v>0.2807017543859649</v>
      </c>
      <c r="H95" s="63">
        <v>0.17678812415654521</v>
      </c>
      <c r="I95" s="64">
        <v>10862.01923076923</v>
      </c>
      <c r="J95" s="64">
        <v>-8400.7633587786258</v>
      </c>
      <c r="K95" s="63">
        <v>0.11956521739130435</v>
      </c>
      <c r="L95" s="63">
        <v>0.31713900134952766</v>
      </c>
      <c r="M95" s="63">
        <v>0.16599190283400811</v>
      </c>
      <c r="N95" s="63">
        <v>0.55319148936170215</v>
      </c>
      <c r="O95" s="63">
        <v>0.3983739837398374</v>
      </c>
      <c r="P95" s="63">
        <v>0.52403846153846156</v>
      </c>
    </row>
    <row r="96" spans="1:16" x14ac:dyDescent="0.45">
      <c r="A96" s="65">
        <v>93</v>
      </c>
      <c r="B96" s="62">
        <v>263.30000000000013</v>
      </c>
      <c r="C96" s="62">
        <v>2.8311827956989259</v>
      </c>
      <c r="D96" s="67">
        <v>1.956989247311828</v>
      </c>
      <c r="E96" s="63">
        <v>0.37634408602150538</v>
      </c>
      <c r="F96" s="63">
        <v>0.33333333333333331</v>
      </c>
      <c r="G96" s="63">
        <v>0.27978580990629182</v>
      </c>
      <c r="H96" s="63">
        <v>0.17804551539491298</v>
      </c>
      <c r="I96" s="64">
        <v>10848.325358851675</v>
      </c>
      <c r="J96" s="64">
        <v>-8422.5563909774428</v>
      </c>
      <c r="K96" s="63">
        <v>0.11827956989247312</v>
      </c>
      <c r="L96" s="63">
        <v>0.31593038821954483</v>
      </c>
      <c r="M96" s="63">
        <v>0.1646586345381526</v>
      </c>
      <c r="N96" s="63">
        <v>0.55508474576271183</v>
      </c>
      <c r="O96" s="63">
        <v>0.3983739837398374</v>
      </c>
      <c r="P96" s="63">
        <v>0.52153110047846885</v>
      </c>
    </row>
    <row r="97" spans="1:16" x14ac:dyDescent="0.45">
      <c r="A97" s="65">
        <v>94</v>
      </c>
      <c r="B97" s="62">
        <v>299.60000000000014</v>
      </c>
      <c r="C97" s="62">
        <v>3.1872340425531931</v>
      </c>
      <c r="D97" s="67">
        <v>1.946808510638298</v>
      </c>
      <c r="E97" s="63">
        <v>0.38297872340425532</v>
      </c>
      <c r="F97" s="63">
        <v>0.32978723404255317</v>
      </c>
      <c r="G97" s="63">
        <v>0.27910052910052913</v>
      </c>
      <c r="H97" s="63">
        <v>0.17724867724867724</v>
      </c>
      <c r="I97" s="64">
        <v>10887.677725118483</v>
      </c>
      <c r="J97" s="64">
        <v>-8419.4029850746265</v>
      </c>
      <c r="K97" s="63">
        <v>0.11702127659574468</v>
      </c>
      <c r="L97" s="63">
        <v>0.31613756613756616</v>
      </c>
      <c r="M97" s="63">
        <v>0.16402116402116401</v>
      </c>
      <c r="N97" s="63">
        <v>0.55648535564853552</v>
      </c>
      <c r="O97" s="63">
        <v>0.39516129032258063</v>
      </c>
      <c r="P97" s="63">
        <v>0.52606635071090047</v>
      </c>
    </row>
    <row r="98" spans="1:16" x14ac:dyDescent="0.45">
      <c r="A98" s="65">
        <v>95</v>
      </c>
      <c r="B98" s="62">
        <v>335.30000000000013</v>
      </c>
      <c r="C98" s="62">
        <v>3.5294736842105277</v>
      </c>
      <c r="D98" s="67">
        <v>1.9368421052631579</v>
      </c>
      <c r="E98" s="63">
        <v>0.38947368421052631</v>
      </c>
      <c r="F98" s="63">
        <v>0.32631578947368423</v>
      </c>
      <c r="G98" s="63">
        <v>0.28047182175622543</v>
      </c>
      <c r="H98" s="63">
        <v>0.17693315858453473</v>
      </c>
      <c r="I98" s="64">
        <v>10903.271028037383</v>
      </c>
      <c r="J98" s="64">
        <v>-8366.6666666666661</v>
      </c>
      <c r="K98" s="63">
        <v>0.11578947368421053</v>
      </c>
      <c r="L98" s="63">
        <v>0.31716906946264745</v>
      </c>
      <c r="M98" s="63">
        <v>0.16382699868938402</v>
      </c>
      <c r="N98" s="63">
        <v>0.55371900826446285</v>
      </c>
      <c r="O98" s="63">
        <v>0.4</v>
      </c>
      <c r="P98" s="63">
        <v>0.52336448598130836</v>
      </c>
    </row>
    <row r="99" spans="1:16" x14ac:dyDescent="0.45">
      <c r="A99" s="65">
        <v>96</v>
      </c>
      <c r="B99" s="62">
        <v>335.40000000000015</v>
      </c>
      <c r="C99" s="62">
        <v>3.4937500000000017</v>
      </c>
      <c r="D99" s="67">
        <v>1.9375</v>
      </c>
      <c r="E99" s="63">
        <v>0.38541666666666669</v>
      </c>
      <c r="F99" s="63">
        <v>0.32291666666666669</v>
      </c>
      <c r="G99" s="63">
        <v>0.2805194805194805</v>
      </c>
      <c r="H99" s="63">
        <v>0.17662337662337663</v>
      </c>
      <c r="I99" s="64">
        <v>10913.425925925925</v>
      </c>
      <c r="J99" s="64">
        <v>-8437.5</v>
      </c>
      <c r="K99" s="63">
        <v>0.11458333333333333</v>
      </c>
      <c r="L99" s="63">
        <v>0.31818181818181818</v>
      </c>
      <c r="M99" s="63">
        <v>0.16493506493506493</v>
      </c>
      <c r="N99" s="63">
        <v>0.55510204081632653</v>
      </c>
      <c r="O99" s="63">
        <v>0.39370078740157483</v>
      </c>
      <c r="P99" s="63">
        <v>0.52314814814814814</v>
      </c>
    </row>
    <row r="100" spans="1:16" x14ac:dyDescent="0.45">
      <c r="A100" s="65">
        <v>97</v>
      </c>
      <c r="B100" s="62">
        <v>334.70000000000016</v>
      </c>
      <c r="C100" s="62">
        <v>3.4505154639175273</v>
      </c>
      <c r="D100" s="67">
        <v>1.9381443298969072</v>
      </c>
      <c r="E100" s="63">
        <v>0.38144329896907214</v>
      </c>
      <c r="F100" s="63">
        <v>0.31958762886597936</v>
      </c>
      <c r="G100" s="63">
        <v>0.27963917525773196</v>
      </c>
      <c r="H100" s="63">
        <v>0.17654639175257733</v>
      </c>
      <c r="I100" s="64">
        <v>10918.433179723503</v>
      </c>
      <c r="J100" s="64">
        <v>-8432.1167883211674</v>
      </c>
      <c r="K100" s="63">
        <v>0.1134020618556701</v>
      </c>
      <c r="L100" s="63">
        <v>0.31572164948453607</v>
      </c>
      <c r="M100" s="63">
        <v>0.16365979381443299</v>
      </c>
      <c r="N100" s="63">
        <v>0.55510204081632653</v>
      </c>
      <c r="O100" s="63">
        <v>0.39370078740157483</v>
      </c>
      <c r="P100" s="63">
        <v>0.52534562211981561</v>
      </c>
    </row>
    <row r="101" spans="1:16" x14ac:dyDescent="0.45">
      <c r="A101" s="65">
        <v>98</v>
      </c>
      <c r="B101" s="62">
        <v>349.00000000000017</v>
      </c>
      <c r="C101" s="62">
        <v>3.56122448979592</v>
      </c>
      <c r="D101" s="67">
        <v>1.9285714285714286</v>
      </c>
      <c r="E101" s="63">
        <v>0.38775510204081631</v>
      </c>
      <c r="F101" s="63">
        <v>0.31632653061224492</v>
      </c>
      <c r="G101" s="63">
        <v>0.28061224489795916</v>
      </c>
      <c r="H101" s="63">
        <v>0.17729591836734693</v>
      </c>
      <c r="I101" s="64">
        <v>10869.545454545454</v>
      </c>
      <c r="J101" s="64">
        <v>-8434.5323741007196</v>
      </c>
      <c r="K101" s="63">
        <v>0.11224489795918367</v>
      </c>
      <c r="L101" s="63">
        <v>0.31887755102040816</v>
      </c>
      <c r="M101" s="63">
        <v>0.16198979591836735</v>
      </c>
      <c r="N101" s="63">
        <v>0.55600000000000005</v>
      </c>
      <c r="O101" s="63">
        <v>0.39370078740157483</v>
      </c>
      <c r="P101" s="63">
        <v>0.51818181818181819</v>
      </c>
    </row>
    <row r="102" spans="1:16" x14ac:dyDescent="0.45">
      <c r="A102" s="65">
        <v>99</v>
      </c>
      <c r="B102" s="62">
        <v>386.70000000000016</v>
      </c>
      <c r="C102" s="62">
        <v>3.9060606060606076</v>
      </c>
      <c r="D102" s="67">
        <v>1.9191919191919191</v>
      </c>
      <c r="E102" s="63">
        <v>0.39393939393939392</v>
      </c>
      <c r="F102" s="63">
        <v>0.31313131313131315</v>
      </c>
      <c r="G102" s="63">
        <v>0.28050314465408804</v>
      </c>
      <c r="H102" s="63">
        <v>0.17484276729559747</v>
      </c>
      <c r="I102" s="64">
        <v>10865.470852017937</v>
      </c>
      <c r="J102" s="64">
        <v>-8434.5323741007196</v>
      </c>
      <c r="K102" s="63">
        <v>0.1111111111111111</v>
      </c>
      <c r="L102" s="63">
        <v>0.31823899371069181</v>
      </c>
      <c r="M102" s="63">
        <v>0.16352201257861634</v>
      </c>
      <c r="N102" s="63">
        <v>0.55731225296442688</v>
      </c>
      <c r="O102" s="63">
        <v>0.3923076923076923</v>
      </c>
      <c r="P102" s="63">
        <v>0.5246636771300448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CCE3D-1C44-4BEB-9DE9-9BF9D7BC5882}">
  <sheetPr codeName="Sheet14"/>
  <dimension ref="A1:Q89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5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5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5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5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5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5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5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5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5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5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5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5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5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5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5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5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5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5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5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5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5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5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5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5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5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5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5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5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5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5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5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5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5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5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0.27814569536423839</v>
      </c>
      <c r="M38" s="63">
        <v>0.17218543046357615</v>
      </c>
      <c r="N38" s="63">
        <v>0.59523809523809523</v>
      </c>
      <c r="O38" s="63">
        <v>0.42307692307692307</v>
      </c>
      <c r="P38" s="63">
        <v>0.4</v>
      </c>
    </row>
    <row r="39" spans="1:16" x14ac:dyDescent="0.45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0.28387096774193549</v>
      </c>
      <c r="M39" s="63">
        <v>0.17419354838709677</v>
      </c>
      <c r="N39" s="63">
        <v>0.59090909090909094</v>
      </c>
      <c r="O39" s="63">
        <v>0.40740740740740738</v>
      </c>
      <c r="P39" s="63">
        <v>0.41379310344827586</v>
      </c>
    </row>
    <row r="40" spans="1:16" x14ac:dyDescent="0.45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0.28253968253968254</v>
      </c>
      <c r="M40" s="63">
        <v>0.17142857142857143</v>
      </c>
      <c r="N40" s="63">
        <v>0.5955056179775281</v>
      </c>
      <c r="O40" s="63">
        <v>0.40740740740740738</v>
      </c>
      <c r="P40" s="63">
        <v>0.40909090909090912</v>
      </c>
    </row>
    <row r="41" spans="1:16" x14ac:dyDescent="0.45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0.28963414634146339</v>
      </c>
      <c r="M41" s="63">
        <v>0.1676829268292683</v>
      </c>
      <c r="N41" s="63">
        <v>0.58947368421052626</v>
      </c>
      <c r="O41" s="63">
        <v>0.4</v>
      </c>
      <c r="P41" s="63">
        <v>0.41304347826086957</v>
      </c>
    </row>
    <row r="42" spans="1:16" x14ac:dyDescent="0.45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0.29289940828402367</v>
      </c>
      <c r="M42" s="63">
        <v>0.16568047337278108</v>
      </c>
      <c r="N42" s="63">
        <v>0.58585858585858586</v>
      </c>
      <c r="O42" s="63">
        <v>0.4107142857142857</v>
      </c>
      <c r="P42" s="63">
        <v>0.42105263157894735</v>
      </c>
    </row>
    <row r="43" spans="1:16" x14ac:dyDescent="0.45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0.29142857142857143</v>
      </c>
      <c r="M43" s="63">
        <v>0.16857142857142857</v>
      </c>
      <c r="N43" s="63">
        <v>0.59803921568627449</v>
      </c>
      <c r="O43" s="63">
        <v>0.42372881355932202</v>
      </c>
      <c r="P43" s="63">
        <v>0.42</v>
      </c>
    </row>
    <row r="44" spans="1:16" x14ac:dyDescent="0.45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0.29329608938547486</v>
      </c>
      <c r="M44" s="63">
        <v>0.16480446927374301</v>
      </c>
      <c r="N44" s="63">
        <v>0.6</v>
      </c>
      <c r="O44" s="63">
        <v>0.42372881355932202</v>
      </c>
      <c r="P44" s="63">
        <v>0.42156862745098039</v>
      </c>
    </row>
    <row r="45" spans="1:16" x14ac:dyDescent="0.45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0.29234972677595628</v>
      </c>
      <c r="M45" s="63">
        <v>0.16939890710382513</v>
      </c>
      <c r="N45" s="63">
        <v>0.60747663551401865</v>
      </c>
      <c r="O45" s="63">
        <v>0.40322580645161288</v>
      </c>
      <c r="P45" s="63">
        <v>0.43269230769230771</v>
      </c>
    </row>
    <row r="46" spans="1:16" x14ac:dyDescent="0.45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0.28799999999999998</v>
      </c>
      <c r="M46" s="63">
        <v>0.17599999999999999</v>
      </c>
      <c r="N46" s="63">
        <v>0.60185185185185186</v>
      </c>
      <c r="O46" s="63">
        <v>0.39393939393939392</v>
      </c>
      <c r="P46" s="63">
        <v>0.43809523809523809</v>
      </c>
    </row>
    <row r="47" spans="1:16" x14ac:dyDescent="0.45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0.28720626631853785</v>
      </c>
      <c r="M47" s="63">
        <v>0.18015665796344649</v>
      </c>
      <c r="N47" s="63">
        <v>0.59090909090909094</v>
      </c>
      <c r="O47" s="63">
        <v>0.39130434782608697</v>
      </c>
      <c r="P47" s="63">
        <v>0.43396226415094341</v>
      </c>
    </row>
    <row r="48" spans="1:16" x14ac:dyDescent="0.45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0.2879177377892031</v>
      </c>
      <c r="M48" s="63">
        <v>0.18508997429305912</v>
      </c>
      <c r="N48" s="63">
        <v>0.5892857142857143</v>
      </c>
      <c r="O48" s="63">
        <v>0.3888888888888889</v>
      </c>
      <c r="P48" s="63">
        <v>0.42592592592592593</v>
      </c>
    </row>
    <row r="49" spans="1:16" x14ac:dyDescent="0.45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0.28607594936708863</v>
      </c>
      <c r="M49" s="63">
        <v>0.18734177215189873</v>
      </c>
      <c r="N49" s="63">
        <v>0.59292035398230092</v>
      </c>
      <c r="O49" s="63">
        <v>0.39189189189189189</v>
      </c>
      <c r="P49" s="63">
        <v>0.42727272727272725</v>
      </c>
    </row>
    <row r="50" spans="1:16" x14ac:dyDescent="0.45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0.28678304239401498</v>
      </c>
      <c r="M50" s="63">
        <v>0.18703241895261846</v>
      </c>
      <c r="N50" s="63">
        <v>0.6</v>
      </c>
      <c r="O50" s="63">
        <v>0.4</v>
      </c>
      <c r="P50" s="63">
        <v>0.4247787610619469</v>
      </c>
    </row>
    <row r="51" spans="1:16" x14ac:dyDescent="0.45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0.29126213592233008</v>
      </c>
      <c r="M51" s="63">
        <v>0.18446601941747573</v>
      </c>
      <c r="N51" s="63">
        <v>0.6</v>
      </c>
      <c r="O51" s="63">
        <v>0.39473684210526316</v>
      </c>
      <c r="P51" s="63">
        <v>0.4358974358974359</v>
      </c>
    </row>
    <row r="52" spans="1:16" x14ac:dyDescent="0.45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0.28672985781990523</v>
      </c>
      <c r="M52" s="63">
        <v>0.1872037914691943</v>
      </c>
      <c r="N52" s="63">
        <v>0.60330578512396693</v>
      </c>
      <c r="O52" s="63">
        <v>0.39240506329113922</v>
      </c>
      <c r="P52" s="63">
        <v>0.43697478991596639</v>
      </c>
    </row>
    <row r="53" spans="1:16" x14ac:dyDescent="0.45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0.28504672897196259</v>
      </c>
      <c r="M53" s="63">
        <v>0.18457943925233644</v>
      </c>
      <c r="N53" s="63">
        <v>0.60655737704918034</v>
      </c>
      <c r="O53" s="63">
        <v>0.39240506329113922</v>
      </c>
      <c r="P53" s="63">
        <v>0.44166666666666665</v>
      </c>
    </row>
    <row r="54" spans="1:16" x14ac:dyDescent="0.45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0.28275862068965518</v>
      </c>
      <c r="M54" s="63">
        <v>0.18390804597701149</v>
      </c>
      <c r="N54" s="63">
        <v>0.60162601626016265</v>
      </c>
      <c r="O54" s="63">
        <v>0.38750000000000001</v>
      </c>
      <c r="P54" s="63">
        <v>0.43801652892561982</v>
      </c>
    </row>
    <row r="55" spans="1:16" x14ac:dyDescent="0.45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0.28411633109619688</v>
      </c>
      <c r="M55" s="63">
        <v>0.18568232662192394</v>
      </c>
      <c r="N55" s="63">
        <v>0.59055118110236215</v>
      </c>
      <c r="O55" s="63">
        <v>0.38554216867469882</v>
      </c>
      <c r="P55" s="63">
        <v>0.44354838709677419</v>
      </c>
    </row>
    <row r="56" spans="1:16" x14ac:dyDescent="0.45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0.28351648351648351</v>
      </c>
      <c r="M56" s="63">
        <v>0.18461538461538463</v>
      </c>
      <c r="N56" s="63">
        <v>0.5968992248062015</v>
      </c>
      <c r="O56" s="63">
        <v>0.39285714285714285</v>
      </c>
      <c r="P56" s="63">
        <v>0.44881889763779526</v>
      </c>
    </row>
    <row r="57" spans="1:16" x14ac:dyDescent="0.45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0.28104575163398693</v>
      </c>
      <c r="M57" s="63">
        <v>0.18300653594771241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5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0.28387096774193549</v>
      </c>
      <c r="M58" s="63">
        <v>0.18494623655913978</v>
      </c>
      <c r="N58" s="63">
        <v>0.60606060606060608</v>
      </c>
      <c r="O58" s="63">
        <v>0.39534883720930231</v>
      </c>
      <c r="P58" s="63">
        <v>0.45038167938931295</v>
      </c>
    </row>
    <row r="59" spans="1:16" x14ac:dyDescent="0.45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0.2848101265822785</v>
      </c>
      <c r="M59" s="63">
        <v>0.18354430379746836</v>
      </c>
      <c r="N59" s="63">
        <v>0.6074074074074074</v>
      </c>
      <c r="O59" s="63">
        <v>0.39080459770114945</v>
      </c>
      <c r="P59" s="63">
        <v>0.45864661654135336</v>
      </c>
    </row>
    <row r="60" spans="1:16" x14ac:dyDescent="0.45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0.28541666666666665</v>
      </c>
      <c r="M60" s="63">
        <v>0.18333333333333332</v>
      </c>
      <c r="N60" s="63">
        <v>0.61313868613138689</v>
      </c>
      <c r="O60" s="63">
        <v>0.38636363636363635</v>
      </c>
      <c r="P60" s="63">
        <v>0.47058823529411764</v>
      </c>
    </row>
    <row r="61" spans="1:16" x14ac:dyDescent="0.45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0.28834355828220859</v>
      </c>
      <c r="M61" s="63">
        <v>0.18404907975460122</v>
      </c>
      <c r="N61" s="63">
        <v>0.6028368794326241</v>
      </c>
      <c r="O61" s="63">
        <v>0.3888888888888889</v>
      </c>
      <c r="P61" s="63">
        <v>0.46376811594202899</v>
      </c>
    </row>
    <row r="62" spans="1:16" x14ac:dyDescent="0.45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0.28629032258064518</v>
      </c>
      <c r="M62" s="63">
        <v>0.1875</v>
      </c>
      <c r="N62" s="63">
        <v>0.59859154929577463</v>
      </c>
      <c r="O62" s="63">
        <v>0.38709677419354838</v>
      </c>
      <c r="P62" s="63">
        <v>0.45714285714285713</v>
      </c>
    </row>
    <row r="63" spans="1:16" x14ac:dyDescent="0.45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0.28286852589641437</v>
      </c>
      <c r="M63" s="63">
        <v>0.18725099601593626</v>
      </c>
      <c r="N63" s="63">
        <v>0.59859154929577463</v>
      </c>
      <c r="O63" s="63">
        <v>0.38297872340425532</v>
      </c>
      <c r="P63" s="63">
        <v>0.45714285714285713</v>
      </c>
    </row>
    <row r="64" spans="1:16" x14ac:dyDescent="0.45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0.28488372093023256</v>
      </c>
      <c r="M64" s="63">
        <v>0.18992248062015504</v>
      </c>
      <c r="N64" s="63">
        <v>0.59183673469387754</v>
      </c>
      <c r="O64" s="63">
        <v>0.38775510204081631</v>
      </c>
      <c r="P64" s="63">
        <v>0.4513888888888889</v>
      </c>
    </row>
    <row r="65" spans="1:16" x14ac:dyDescent="0.45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0.28516377649325625</v>
      </c>
      <c r="M65" s="63">
        <v>0.18882466281310212</v>
      </c>
      <c r="N65" s="63">
        <v>0.58783783783783783</v>
      </c>
      <c r="O65" s="63">
        <v>0.38775510204081631</v>
      </c>
      <c r="P65" s="63">
        <v>0.4513888888888889</v>
      </c>
    </row>
    <row r="66" spans="1:16" x14ac:dyDescent="0.45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0.29166666666666669</v>
      </c>
      <c r="M66" s="63">
        <v>0.1875</v>
      </c>
      <c r="N66" s="63">
        <v>0.58441558441558439</v>
      </c>
      <c r="O66" s="63">
        <v>0.38383838383838381</v>
      </c>
      <c r="P66" s="63">
        <v>0.45270270270270269</v>
      </c>
    </row>
    <row r="67" spans="1:16" x14ac:dyDescent="0.45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0.28782287822878228</v>
      </c>
      <c r="M67" s="63">
        <v>0.18819188191881919</v>
      </c>
      <c r="N67" s="63">
        <v>0.58333333333333337</v>
      </c>
      <c r="O67" s="63">
        <v>0.40196078431372551</v>
      </c>
      <c r="P67" s="63">
        <v>0.46052631578947367</v>
      </c>
    </row>
    <row r="68" spans="1:16" x14ac:dyDescent="0.45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0.2867513611615245</v>
      </c>
      <c r="M68" s="63">
        <v>0.19237749546279492</v>
      </c>
      <c r="N68" s="63">
        <v>0.58227848101265822</v>
      </c>
      <c r="O68" s="63">
        <v>0.3867924528301887</v>
      </c>
      <c r="P68" s="63">
        <v>0.45751633986928103</v>
      </c>
    </row>
    <row r="69" spans="1:16" x14ac:dyDescent="0.45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0.28520499108734404</v>
      </c>
      <c r="M69" s="63">
        <v>0.19073083778966132</v>
      </c>
      <c r="N69" s="63">
        <v>0.58750000000000002</v>
      </c>
      <c r="O69" s="63">
        <v>0.3925233644859813</v>
      </c>
      <c r="P69" s="63">
        <v>0.46202531645569622</v>
      </c>
    </row>
    <row r="70" spans="1:16" x14ac:dyDescent="0.45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0.2879581151832461</v>
      </c>
      <c r="M70" s="63">
        <v>0.19022687609075042</v>
      </c>
      <c r="N70" s="63">
        <v>0.5757575757575758</v>
      </c>
      <c r="O70" s="63">
        <v>0.40366972477064222</v>
      </c>
      <c r="P70" s="63">
        <v>0.45962732919254656</v>
      </c>
    </row>
    <row r="71" spans="1:16" x14ac:dyDescent="0.45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0.28869565217391302</v>
      </c>
      <c r="M71" s="63">
        <v>0.19130434782608696</v>
      </c>
      <c r="N71" s="63">
        <v>0.57228915662650603</v>
      </c>
      <c r="O71" s="63">
        <v>0.40909090909090912</v>
      </c>
      <c r="P71" s="63">
        <v>0.4567901234567901</v>
      </c>
    </row>
    <row r="72" spans="1:16" x14ac:dyDescent="0.45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0.28694158075601373</v>
      </c>
      <c r="M72" s="63">
        <v>0.19243986254295534</v>
      </c>
      <c r="N72" s="63">
        <v>0.56886227544910184</v>
      </c>
      <c r="O72" s="63">
        <v>0.4107142857142857</v>
      </c>
      <c r="P72" s="63">
        <v>0.45398773006134968</v>
      </c>
    </row>
    <row r="73" spans="1:16" x14ac:dyDescent="0.45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0.28499156829679595</v>
      </c>
      <c r="M73" s="63">
        <v>0.19224283305227655</v>
      </c>
      <c r="N73" s="63">
        <v>0.57396449704142016</v>
      </c>
      <c r="O73" s="63">
        <v>0.41228070175438597</v>
      </c>
      <c r="P73" s="63">
        <v>0.45783132530120479</v>
      </c>
    </row>
    <row r="74" spans="1:16" x14ac:dyDescent="0.45">
      <c r="A74" s="65">
        <v>71</v>
      </c>
      <c r="B74" s="62">
        <v>-484.8</v>
      </c>
      <c r="C74" s="62">
        <v>-6.8281690140845068</v>
      </c>
      <c r="D74" s="67">
        <v>2.1690140845070425</v>
      </c>
      <c r="E74" s="63">
        <v>0.22535211267605634</v>
      </c>
      <c r="F74" s="63">
        <v>0.39436619718309857</v>
      </c>
      <c r="G74" s="63">
        <v>0.27860696517412936</v>
      </c>
      <c r="H74" s="63">
        <v>0.20232172470978441</v>
      </c>
      <c r="I74" s="64">
        <v>8067.8571428571431</v>
      </c>
      <c r="J74" s="64">
        <v>-7622.1311475409839</v>
      </c>
      <c r="K74" s="63">
        <v>8.4507042253521125E-2</v>
      </c>
      <c r="L74" s="63">
        <v>0.28524046434494194</v>
      </c>
      <c r="M74" s="63">
        <v>0.19237147595356552</v>
      </c>
      <c r="N74" s="63">
        <v>0.57558139534883723</v>
      </c>
      <c r="O74" s="63">
        <v>0.40517241379310343</v>
      </c>
      <c r="P74" s="63">
        <v>0.4642857142857143</v>
      </c>
    </row>
    <row r="75" spans="1:16" x14ac:dyDescent="0.45">
      <c r="A75" s="65">
        <v>72</v>
      </c>
      <c r="B75" s="62">
        <v>-506.40000000000003</v>
      </c>
      <c r="C75" s="62">
        <v>-7.0333333333333341</v>
      </c>
      <c r="D75" s="67">
        <v>2.1805555555555554</v>
      </c>
      <c r="E75" s="63">
        <v>0.22222222222222221</v>
      </c>
      <c r="F75" s="63">
        <v>0.40277777777777779</v>
      </c>
      <c r="G75" s="63">
        <v>0.27659574468085107</v>
      </c>
      <c r="H75" s="63">
        <v>0.20294599018003273</v>
      </c>
      <c r="I75" s="64">
        <v>8067.455621301775</v>
      </c>
      <c r="J75" s="64">
        <v>-7592.7419354838712</v>
      </c>
      <c r="K75" s="63">
        <v>8.3333333333333329E-2</v>
      </c>
      <c r="L75" s="63">
        <v>0.28477905073649756</v>
      </c>
      <c r="M75" s="63">
        <v>0.19148936170212766</v>
      </c>
      <c r="N75" s="63">
        <v>0.57471264367816088</v>
      </c>
      <c r="O75" s="63">
        <v>0.40170940170940173</v>
      </c>
      <c r="P75" s="63">
        <v>0.46153846153846156</v>
      </c>
    </row>
    <row r="76" spans="1:16" x14ac:dyDescent="0.45">
      <c r="A76" s="65">
        <v>73</v>
      </c>
      <c r="B76" s="62">
        <v>-505.3</v>
      </c>
      <c r="C76" s="62">
        <v>-6.9219178082191783</v>
      </c>
      <c r="D76" s="67">
        <v>2.1780821917808217</v>
      </c>
      <c r="E76" s="63">
        <v>0.21917808219178081</v>
      </c>
      <c r="F76" s="63">
        <v>0.39726027397260272</v>
      </c>
      <c r="G76" s="63">
        <v>0.27741935483870966</v>
      </c>
      <c r="H76" s="63">
        <v>0.20161290322580644</v>
      </c>
      <c r="I76" s="64">
        <v>8034.3023255813951</v>
      </c>
      <c r="J76" s="64">
        <v>-7544</v>
      </c>
      <c r="K76" s="63">
        <v>8.2191780821917804E-2</v>
      </c>
      <c r="L76" s="63">
        <v>0.2870967741935484</v>
      </c>
      <c r="M76" s="63">
        <v>0.19354838709677419</v>
      </c>
      <c r="N76" s="63">
        <v>0.5730337078651685</v>
      </c>
      <c r="O76" s="63">
        <v>0.4</v>
      </c>
      <c r="P76" s="63">
        <v>0.46511627906976744</v>
      </c>
    </row>
    <row r="77" spans="1:16" x14ac:dyDescent="0.45">
      <c r="A77" s="65">
        <v>74</v>
      </c>
      <c r="B77" s="62">
        <v>-490.40000000000003</v>
      </c>
      <c r="C77" s="62">
        <v>-6.6270270270270277</v>
      </c>
      <c r="D77" s="67">
        <v>2.1756756756756759</v>
      </c>
      <c r="E77" s="63">
        <v>0.21621621621621623</v>
      </c>
      <c r="F77" s="63">
        <v>0.39189189189189189</v>
      </c>
      <c r="G77" s="63">
        <v>0.27892234548335976</v>
      </c>
      <c r="H77" s="63">
        <v>0.19968304278922344</v>
      </c>
      <c r="I77" s="64">
        <v>8047.727272727273</v>
      </c>
      <c r="J77" s="64">
        <v>-7576.1904761904761</v>
      </c>
      <c r="K77" s="63">
        <v>8.1081081081081086E-2</v>
      </c>
      <c r="L77" s="63">
        <v>0.28526148969889065</v>
      </c>
      <c r="M77" s="63">
        <v>0.19492868462757529</v>
      </c>
      <c r="N77" s="63">
        <v>0.57222222222222219</v>
      </c>
      <c r="O77" s="63">
        <v>0.4065040650406504</v>
      </c>
      <c r="P77" s="63">
        <v>0.46590909090909088</v>
      </c>
    </row>
    <row r="78" spans="1:16" x14ac:dyDescent="0.45">
      <c r="A78" s="65">
        <v>75</v>
      </c>
      <c r="B78" s="62">
        <v>-489.8</v>
      </c>
      <c r="C78" s="62">
        <v>-6.5306666666666668</v>
      </c>
      <c r="D78" s="67">
        <v>2.1733333333333333</v>
      </c>
      <c r="E78" s="63">
        <v>0.21333333333333335</v>
      </c>
      <c r="F78" s="63">
        <v>0.38666666666666666</v>
      </c>
      <c r="G78" s="63">
        <v>0.27899686520376177</v>
      </c>
      <c r="H78" s="63">
        <v>0.19749216300940439</v>
      </c>
      <c r="I78" s="64">
        <v>8001.6853932584272</v>
      </c>
      <c r="J78" s="64">
        <v>-7576.1904761904761</v>
      </c>
      <c r="K78" s="63">
        <v>0.08</v>
      </c>
      <c r="L78" s="63">
        <v>0.28369905956112851</v>
      </c>
      <c r="M78" s="63">
        <v>0.19749216300940439</v>
      </c>
      <c r="N78" s="63">
        <v>0.56906077348066297</v>
      </c>
      <c r="O78" s="63">
        <v>0.41269841269841268</v>
      </c>
      <c r="P78" s="63">
        <v>0.46629213483146065</v>
      </c>
    </row>
    <row r="79" spans="1:16" x14ac:dyDescent="0.45">
      <c r="A79" s="65">
        <v>76</v>
      </c>
      <c r="B79" s="62">
        <v>-493.3</v>
      </c>
      <c r="C79" s="62">
        <v>-6.4907894736842104</v>
      </c>
      <c r="D79" s="67">
        <v>2.1710526315789473</v>
      </c>
      <c r="E79" s="63">
        <v>0.21052631578947367</v>
      </c>
      <c r="F79" s="63">
        <v>0.38157894736842107</v>
      </c>
      <c r="G79" s="63">
        <v>0.2806201550387597</v>
      </c>
      <c r="H79" s="63">
        <v>0.19689922480620156</v>
      </c>
      <c r="I79" s="64">
        <v>7906.0773480662983</v>
      </c>
      <c r="J79" s="64">
        <v>-7577.1653543307084</v>
      </c>
      <c r="K79" s="63">
        <v>7.8947368421052627E-2</v>
      </c>
      <c r="L79" s="63">
        <v>0.28372093023255812</v>
      </c>
      <c r="M79" s="63">
        <v>0.19689922480620156</v>
      </c>
      <c r="N79" s="63">
        <v>0.56830601092896171</v>
      </c>
      <c r="O79" s="63">
        <v>0.41732283464566927</v>
      </c>
      <c r="P79" s="63">
        <v>0.46408839779005523</v>
      </c>
    </row>
    <row r="80" spans="1:16" x14ac:dyDescent="0.45">
      <c r="A80" s="65">
        <v>77</v>
      </c>
      <c r="B80" s="62">
        <v>-473.90000000000003</v>
      </c>
      <c r="C80" s="62">
        <v>-6.1545454545454552</v>
      </c>
      <c r="D80" s="67">
        <v>2.1558441558441559</v>
      </c>
      <c r="E80" s="63">
        <v>0.22077922077922077</v>
      </c>
      <c r="F80" s="63">
        <v>0.37662337662337664</v>
      </c>
      <c r="G80" s="63">
        <v>0.28134556574923547</v>
      </c>
      <c r="H80" s="63">
        <v>0.19571865443425077</v>
      </c>
      <c r="I80" s="64">
        <v>7863.04347826087</v>
      </c>
      <c r="J80" s="64">
        <v>-7548.4375</v>
      </c>
      <c r="K80" s="63">
        <v>7.792207792207792E-2</v>
      </c>
      <c r="L80" s="63">
        <v>0.28287461773700306</v>
      </c>
      <c r="M80" s="63">
        <v>0.19724770642201836</v>
      </c>
      <c r="N80" s="63">
        <v>0.572972972972973</v>
      </c>
      <c r="O80" s="63">
        <v>0.41860465116279072</v>
      </c>
      <c r="P80" s="63">
        <v>0.45652173913043476</v>
      </c>
    </row>
    <row r="81" spans="1:16" x14ac:dyDescent="0.45">
      <c r="A81" s="65">
        <v>78</v>
      </c>
      <c r="B81" s="62">
        <v>-459.3</v>
      </c>
      <c r="C81" s="62">
        <v>-5.8884615384615389</v>
      </c>
      <c r="D81" s="67">
        <v>2.1538461538461537</v>
      </c>
      <c r="E81" s="63">
        <v>0.21794871794871795</v>
      </c>
      <c r="F81" s="63">
        <v>0.37179487179487181</v>
      </c>
      <c r="G81" s="63">
        <v>0.28120300751879701</v>
      </c>
      <c r="H81" s="63">
        <v>0.19398496240601504</v>
      </c>
      <c r="I81" s="64">
        <v>7845.454545454545</v>
      </c>
      <c r="J81" s="64">
        <v>-7549.6124031007748</v>
      </c>
      <c r="K81" s="63">
        <v>7.6923076923076927E-2</v>
      </c>
      <c r="L81" s="63">
        <v>0.28120300751879701</v>
      </c>
      <c r="M81" s="63">
        <v>0.2</v>
      </c>
      <c r="N81" s="63">
        <v>0.57219251336898391</v>
      </c>
      <c r="O81" s="63">
        <v>0.41353383458646614</v>
      </c>
      <c r="P81" s="63">
        <v>0.45989304812834225</v>
      </c>
    </row>
    <row r="82" spans="1:16" x14ac:dyDescent="0.45">
      <c r="A82" s="65">
        <v>79</v>
      </c>
      <c r="B82" s="62">
        <v>-481.6</v>
      </c>
      <c r="C82" s="62">
        <v>-6.0962025316455701</v>
      </c>
      <c r="D82" s="67">
        <v>2.1645569620253164</v>
      </c>
      <c r="E82" s="63">
        <v>0.21518987341772153</v>
      </c>
      <c r="F82" s="63">
        <v>0.379746835443038</v>
      </c>
      <c r="G82" s="63">
        <v>0.28125</v>
      </c>
      <c r="H82" s="63">
        <v>0.19196428571428573</v>
      </c>
      <c r="I82" s="64">
        <v>7810.0529100529102</v>
      </c>
      <c r="J82" s="64">
        <v>-7549.6124031007748</v>
      </c>
      <c r="K82" s="63">
        <v>7.5949367088607597E-2</v>
      </c>
      <c r="L82" s="63">
        <v>0.28125</v>
      </c>
      <c r="M82" s="63">
        <v>0.20238095238095238</v>
      </c>
      <c r="N82" s="63">
        <v>0.5714285714285714</v>
      </c>
      <c r="O82" s="63">
        <v>0.41176470588235292</v>
      </c>
      <c r="P82" s="63">
        <v>0.455026455026455</v>
      </c>
    </row>
    <row r="83" spans="1:16" x14ac:dyDescent="0.45">
      <c r="A83" s="65">
        <v>80</v>
      </c>
      <c r="B83" s="62">
        <v>-486.6</v>
      </c>
      <c r="C83" s="62">
        <v>-6.0825000000000005</v>
      </c>
      <c r="D83" s="67">
        <v>2.1625000000000001</v>
      </c>
      <c r="E83" s="63">
        <v>0.21249999999999999</v>
      </c>
      <c r="F83" s="63">
        <v>0.375</v>
      </c>
      <c r="G83" s="63">
        <v>0.28046989720998533</v>
      </c>
      <c r="H83" s="63">
        <v>0.1894273127753304</v>
      </c>
      <c r="I83" s="64">
        <v>7791.0994764397901</v>
      </c>
      <c r="J83" s="64">
        <v>-7549.6124031007748</v>
      </c>
      <c r="K83" s="63">
        <v>7.4999999999999997E-2</v>
      </c>
      <c r="L83" s="63">
        <v>0.28193832599118945</v>
      </c>
      <c r="M83" s="63">
        <v>0.20264317180616739</v>
      </c>
      <c r="N83" s="63">
        <v>0.56770833333333337</v>
      </c>
      <c r="O83" s="63">
        <v>0.40579710144927539</v>
      </c>
      <c r="P83" s="63">
        <v>0.45549738219895286</v>
      </c>
    </row>
    <row r="84" spans="1:16" x14ac:dyDescent="0.45">
      <c r="A84" s="65">
        <v>81</v>
      </c>
      <c r="B84" s="62">
        <v>-504.20000000000005</v>
      </c>
      <c r="C84" s="62">
        <v>-6.2246913580246916</v>
      </c>
      <c r="D84" s="67">
        <v>2.1728395061728394</v>
      </c>
      <c r="E84" s="63">
        <v>0.20987654320987653</v>
      </c>
      <c r="F84" s="63">
        <v>0.38271604938271603</v>
      </c>
      <c r="G84" s="63">
        <v>0.28075253256150506</v>
      </c>
      <c r="H84" s="63">
        <v>0.19102749638205499</v>
      </c>
      <c r="I84" s="64">
        <v>7787.1134020618556</v>
      </c>
      <c r="J84" s="64">
        <v>-7499.242424242424</v>
      </c>
      <c r="K84" s="63">
        <v>7.407407407407407E-2</v>
      </c>
      <c r="L84" s="63">
        <v>0.28075253256150506</v>
      </c>
      <c r="M84" s="63">
        <v>0.2040520984081042</v>
      </c>
      <c r="N84" s="63">
        <v>0.57216494845360821</v>
      </c>
      <c r="O84" s="63">
        <v>0.40425531914893614</v>
      </c>
      <c r="P84" s="63">
        <v>0.45360824742268041</v>
      </c>
    </row>
    <row r="85" spans="1:16" x14ac:dyDescent="0.45">
      <c r="A85" s="65">
        <v>82</v>
      </c>
      <c r="B85" s="62">
        <v>-537.30000000000007</v>
      </c>
      <c r="C85" s="62">
        <v>-6.5524390243902451</v>
      </c>
      <c r="D85" s="67">
        <v>2.1829268292682928</v>
      </c>
      <c r="E85" s="63">
        <v>0.2073170731707317</v>
      </c>
      <c r="F85" s="63">
        <v>0.3902439024390244</v>
      </c>
      <c r="G85" s="63">
        <v>0.27936962750716332</v>
      </c>
      <c r="H85" s="63">
        <v>0.19054441260744986</v>
      </c>
      <c r="I85" s="64">
        <v>7767.1794871794873</v>
      </c>
      <c r="J85" s="64">
        <v>-7503.0075187969924</v>
      </c>
      <c r="K85" s="63">
        <v>7.3170731707317069E-2</v>
      </c>
      <c r="L85" s="63">
        <v>0.2822349570200573</v>
      </c>
      <c r="M85" s="63">
        <v>0.2020057306590258</v>
      </c>
      <c r="N85" s="63">
        <v>0.56852791878172593</v>
      </c>
      <c r="O85" s="63">
        <v>0.40425531914893614</v>
      </c>
      <c r="P85" s="63">
        <v>0.45128205128205129</v>
      </c>
    </row>
    <row r="86" spans="1:16" x14ac:dyDescent="0.45">
      <c r="A86" s="65">
        <v>83</v>
      </c>
      <c r="B86" s="62">
        <v>-524.50000000000011</v>
      </c>
      <c r="C86" s="62">
        <v>-6.3192771084337362</v>
      </c>
      <c r="D86" s="67">
        <v>2.1686746987951806</v>
      </c>
      <c r="E86" s="63">
        <v>0.21686746987951808</v>
      </c>
      <c r="F86" s="63">
        <v>0.38554216867469882</v>
      </c>
      <c r="G86" s="63">
        <v>0.28125</v>
      </c>
      <c r="H86" s="63">
        <v>0.19034090909090909</v>
      </c>
      <c r="I86" s="64">
        <v>7712.6262626262624</v>
      </c>
      <c r="J86" s="64">
        <v>-7485.8208955223881</v>
      </c>
      <c r="K86" s="63">
        <v>7.2289156626506021E-2</v>
      </c>
      <c r="L86" s="63">
        <v>0.27982954545454547</v>
      </c>
      <c r="M86" s="63">
        <v>0.20170454545454544</v>
      </c>
      <c r="N86" s="63">
        <v>0.56852791878172593</v>
      </c>
      <c r="O86" s="63">
        <v>0.40845070422535212</v>
      </c>
      <c r="P86" s="63">
        <v>0.4494949494949495</v>
      </c>
    </row>
    <row r="87" spans="1:16" x14ac:dyDescent="0.45">
      <c r="A87" s="65">
        <v>84</v>
      </c>
      <c r="B87" s="62">
        <v>-525.00000000000011</v>
      </c>
      <c r="C87" s="62">
        <v>-6.2500000000000018</v>
      </c>
      <c r="D87" s="67">
        <v>2.1666666666666665</v>
      </c>
      <c r="E87" s="63">
        <v>0.21428571428571427</v>
      </c>
      <c r="F87" s="63">
        <v>0.38095238095238093</v>
      </c>
      <c r="G87" s="63">
        <v>0.2808988764044944</v>
      </c>
      <c r="H87" s="63">
        <v>0.19101123595505617</v>
      </c>
      <c r="I87" s="64">
        <v>7715.5</v>
      </c>
      <c r="J87" s="64">
        <v>-7478.6764705882351</v>
      </c>
      <c r="K87" s="63">
        <v>7.1428571428571425E-2</v>
      </c>
      <c r="L87" s="63">
        <v>0.2794943820224719</v>
      </c>
      <c r="M87" s="63">
        <v>0.199438202247191</v>
      </c>
      <c r="N87" s="63">
        <v>0.56783919597989951</v>
      </c>
      <c r="O87" s="63">
        <v>0.40845070422535212</v>
      </c>
      <c r="P87" s="63">
        <v>0.45</v>
      </c>
    </row>
    <row r="88" spans="1:16" x14ac:dyDescent="0.45">
      <c r="A88" s="65">
        <v>85</v>
      </c>
      <c r="B88" s="62">
        <v>-509.30000000000013</v>
      </c>
      <c r="C88" s="62">
        <v>-5.9917647058823542</v>
      </c>
      <c r="D88" s="67">
        <v>2.1529411764705881</v>
      </c>
      <c r="E88" s="63">
        <v>0.22352941176470589</v>
      </c>
      <c r="F88" s="63">
        <v>0.37647058823529411</v>
      </c>
      <c r="G88" s="63">
        <v>0.28294036061026351</v>
      </c>
      <c r="H88" s="63">
        <v>0.19001386962552011</v>
      </c>
      <c r="I88" s="64">
        <v>7675</v>
      </c>
      <c r="J88" s="64">
        <v>-7452.554744525547</v>
      </c>
      <c r="K88" s="63">
        <v>7.0588235294117646E-2</v>
      </c>
      <c r="L88" s="63">
        <v>0.28016643550624132</v>
      </c>
      <c r="M88" s="63">
        <v>0.20110957004160887</v>
      </c>
      <c r="N88" s="63">
        <v>0.56930693069306926</v>
      </c>
      <c r="O88" s="63">
        <v>0.41379310344827586</v>
      </c>
      <c r="P88" s="63">
        <v>0.45588235294117646</v>
      </c>
    </row>
    <row r="89" spans="1:16" x14ac:dyDescent="0.45">
      <c r="A89" s="65">
        <v>86</v>
      </c>
      <c r="B89" s="62">
        <v>-500.10000000000014</v>
      </c>
      <c r="C89" s="62">
        <v>-5.8151162790697688</v>
      </c>
      <c r="D89" s="67">
        <v>2.1511627906976742</v>
      </c>
      <c r="E89" s="63">
        <v>0.22093023255813954</v>
      </c>
      <c r="F89" s="63">
        <v>0.37209302325581395</v>
      </c>
      <c r="G89" s="63">
        <v>0.28335625859697389</v>
      </c>
      <c r="H89" s="63">
        <v>0.18844566712517194</v>
      </c>
      <c r="I89" s="64">
        <v>7678.155339805825</v>
      </c>
      <c r="J89" s="64">
        <v>-7452.554744525547</v>
      </c>
      <c r="K89" s="63">
        <v>6.9767441860465115E-2</v>
      </c>
      <c r="L89" s="63">
        <v>0.28060522696011003</v>
      </c>
      <c r="M89" s="63">
        <v>0.20082530949105915</v>
      </c>
      <c r="N89" s="63">
        <v>0.56372549019607843</v>
      </c>
      <c r="O89" s="63">
        <v>0.4178082191780822</v>
      </c>
      <c r="P89" s="63">
        <v>0.4563106796116505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D679A-D46F-4FBE-AAA0-4CCFB72495B5}">
  <sheetPr codeName="Sheet12"/>
  <dimension ref="A1:Q134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5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5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5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5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5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5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5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5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5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5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5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5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5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5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5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5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5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5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5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5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5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5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5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5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5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5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5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5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5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5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5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5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5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5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5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5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5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5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5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5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5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5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5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5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5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5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5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5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5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5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5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5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5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5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5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5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5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5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5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5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5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5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5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5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5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5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5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5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5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5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5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5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5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5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5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5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5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5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5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5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5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5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5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5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5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5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5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5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5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5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5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5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5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5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5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5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5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5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5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5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5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5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5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5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5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5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5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5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5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5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5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5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5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5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 x14ac:dyDescent="0.45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 x14ac:dyDescent="0.45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  <row r="121" spans="1:16" x14ac:dyDescent="0.45">
      <c r="A121" s="65">
        <v>118</v>
      </c>
      <c r="B121" s="62">
        <v>93.899999999999778</v>
      </c>
      <c r="C121" s="62">
        <v>0.79576271186440495</v>
      </c>
      <c r="D121" s="67">
        <v>1.9491525423728813</v>
      </c>
      <c r="E121" s="63">
        <v>0.34745762711864409</v>
      </c>
      <c r="F121" s="63">
        <v>0.29661016949152541</v>
      </c>
      <c r="G121" s="63">
        <v>0.30637007077856421</v>
      </c>
      <c r="H121" s="63">
        <v>0.1911021233569262</v>
      </c>
      <c r="I121" s="64">
        <v>8469.9669966996698</v>
      </c>
      <c r="J121" s="64">
        <v>-8047.6190476190477</v>
      </c>
      <c r="K121" s="63">
        <v>0.13559322033898305</v>
      </c>
      <c r="L121" s="63">
        <v>0.22851365015166836</v>
      </c>
      <c r="M121" s="63">
        <v>0.3114256825075834</v>
      </c>
      <c r="N121" s="63">
        <v>0.5</v>
      </c>
      <c r="O121" s="63">
        <v>0.37987012987012986</v>
      </c>
      <c r="P121" s="63">
        <v>0.40264026402640263</v>
      </c>
    </row>
    <row r="122" spans="1:16" x14ac:dyDescent="0.45">
      <c r="A122" s="65">
        <v>119</v>
      </c>
      <c r="B122" s="62">
        <v>141.29999999999978</v>
      </c>
      <c r="C122" s="62">
        <v>1.1873949579831915</v>
      </c>
      <c r="D122" s="67">
        <v>1.9411764705882353</v>
      </c>
      <c r="E122" s="63">
        <v>0.35294117647058826</v>
      </c>
      <c r="F122" s="63">
        <v>0.29411764705882354</v>
      </c>
      <c r="G122" s="63">
        <v>0.30761523046092182</v>
      </c>
      <c r="H122" s="63">
        <v>0.19038076152304609</v>
      </c>
      <c r="I122" s="64">
        <v>8487.6221498371342</v>
      </c>
      <c r="J122" s="64">
        <v>-8022.105263157895</v>
      </c>
      <c r="K122" s="63">
        <v>0.13445378151260504</v>
      </c>
      <c r="L122" s="63">
        <v>0.22845691382765532</v>
      </c>
      <c r="M122" s="63">
        <v>0.31062124248496992</v>
      </c>
      <c r="N122" s="63">
        <v>0.50438596491228072</v>
      </c>
      <c r="O122" s="63">
        <v>0.38064516129032255</v>
      </c>
      <c r="P122" s="63">
        <v>0.40716612377850164</v>
      </c>
    </row>
    <row r="123" spans="1:16" x14ac:dyDescent="0.45">
      <c r="A123" s="65">
        <v>120</v>
      </c>
      <c r="B123" s="62">
        <v>130.5999999999998</v>
      </c>
      <c r="C123" s="62">
        <v>1.0883333333333316</v>
      </c>
      <c r="D123" s="67">
        <v>1.9416666666666667</v>
      </c>
      <c r="E123" s="63">
        <v>0.35</v>
      </c>
      <c r="F123" s="63">
        <v>0.29166666666666669</v>
      </c>
      <c r="G123" s="63">
        <v>0.30784508440913605</v>
      </c>
      <c r="H123" s="63">
        <v>0.18867924528301888</v>
      </c>
      <c r="I123" s="64">
        <v>8467.7419354838712</v>
      </c>
      <c r="J123" s="64">
        <v>-8022.105263157895</v>
      </c>
      <c r="K123" s="63">
        <v>0.13333333333333333</v>
      </c>
      <c r="L123" s="63">
        <v>0.22840119165839126</v>
      </c>
      <c r="M123" s="63">
        <v>0.3128103277060576</v>
      </c>
      <c r="N123" s="63">
        <v>0.5043478260869565</v>
      </c>
      <c r="O123" s="63">
        <v>0.38095238095238093</v>
      </c>
      <c r="P123" s="63">
        <v>0.40322580645161288</v>
      </c>
    </row>
    <row r="124" spans="1:16" x14ac:dyDescent="0.45">
      <c r="A124" s="65">
        <v>121</v>
      </c>
      <c r="B124" s="62">
        <v>125.0999999999998</v>
      </c>
      <c r="C124" s="62">
        <v>1.0338842975206595</v>
      </c>
      <c r="D124" s="67">
        <v>1.9421487603305785</v>
      </c>
      <c r="E124" s="63">
        <v>0.34710743801652894</v>
      </c>
      <c r="F124" s="63">
        <v>0.28925619834710742</v>
      </c>
      <c r="G124" s="63">
        <v>0.30738916256157633</v>
      </c>
      <c r="H124" s="63">
        <v>0.18817733990147784</v>
      </c>
      <c r="I124" s="64">
        <v>8496.7948717948711</v>
      </c>
      <c r="J124" s="64">
        <v>-8042.9319371727752</v>
      </c>
      <c r="K124" s="63">
        <v>0.13223140495867769</v>
      </c>
      <c r="L124" s="63">
        <v>0.22758620689655173</v>
      </c>
      <c r="M124" s="63">
        <v>0.31231527093596056</v>
      </c>
      <c r="N124" s="63">
        <v>0.50649350649350644</v>
      </c>
      <c r="O124" s="63">
        <v>0.38170347003154576</v>
      </c>
      <c r="P124" s="63">
        <v>0.40384615384615385</v>
      </c>
    </row>
    <row r="125" spans="1:16" x14ac:dyDescent="0.45">
      <c r="A125" s="65">
        <v>122</v>
      </c>
      <c r="B125" s="62">
        <v>127.69999999999979</v>
      </c>
      <c r="C125" s="62">
        <v>1.0467213114754081</v>
      </c>
      <c r="D125" s="67">
        <v>1.9426229508196722</v>
      </c>
      <c r="E125" s="63">
        <v>0.34426229508196721</v>
      </c>
      <c r="F125" s="63">
        <v>0.28688524590163933</v>
      </c>
      <c r="G125" s="63">
        <v>0.30829268292682926</v>
      </c>
      <c r="H125" s="63">
        <v>0.18634146341463415</v>
      </c>
      <c r="I125" s="64">
        <v>8449.683544303798</v>
      </c>
      <c r="J125" s="64">
        <v>-8042.9319371727752</v>
      </c>
      <c r="K125" s="63">
        <v>0.13114754098360656</v>
      </c>
      <c r="L125" s="63">
        <v>0.22829268292682928</v>
      </c>
      <c r="M125" s="63">
        <v>0.31317073170731707</v>
      </c>
      <c r="N125" s="63">
        <v>0.50427350427350426</v>
      </c>
      <c r="O125" s="63">
        <v>0.38317757009345793</v>
      </c>
      <c r="P125" s="63">
        <v>0.4050632911392405</v>
      </c>
    </row>
    <row r="126" spans="1:16" x14ac:dyDescent="0.45">
      <c r="A126" s="65">
        <v>123</v>
      </c>
      <c r="B126" s="62">
        <v>154.4999999999998</v>
      </c>
      <c r="C126" s="62">
        <v>1.2560975609756082</v>
      </c>
      <c r="D126" s="67">
        <v>1.934959349593496</v>
      </c>
      <c r="E126" s="63">
        <v>0.34959349593495936</v>
      </c>
      <c r="F126" s="63">
        <v>0.28455284552845528</v>
      </c>
      <c r="G126" s="63">
        <v>0.30984555984555984</v>
      </c>
      <c r="H126" s="63">
        <v>0.18629343629343628</v>
      </c>
      <c r="I126" s="64">
        <v>8423.0529595015578</v>
      </c>
      <c r="J126" s="64">
        <v>-7989.6373056994817</v>
      </c>
      <c r="K126" s="63">
        <v>0.13008130081300814</v>
      </c>
      <c r="L126" s="63">
        <v>0.22876447876447875</v>
      </c>
      <c r="M126" s="63">
        <v>0.31274131274131273</v>
      </c>
      <c r="N126" s="63">
        <v>0.50210970464135019</v>
      </c>
      <c r="O126" s="63">
        <v>0.3888888888888889</v>
      </c>
      <c r="P126" s="63">
        <v>0.40498442367601245</v>
      </c>
    </row>
    <row r="127" spans="1:16" x14ac:dyDescent="0.45">
      <c r="A127" s="65">
        <v>124</v>
      </c>
      <c r="B127" s="62">
        <v>172.5999999999998</v>
      </c>
      <c r="C127" s="62">
        <v>1.3919354838709661</v>
      </c>
      <c r="D127" s="67">
        <v>1.9274193548387097</v>
      </c>
      <c r="E127" s="63">
        <v>0.35483870967741937</v>
      </c>
      <c r="F127" s="63">
        <v>0.28225806451612906</v>
      </c>
      <c r="G127" s="63">
        <v>0.30968360498561842</v>
      </c>
      <c r="H127" s="63">
        <v>0.18504314477468839</v>
      </c>
      <c r="I127" s="64">
        <v>8398.4520123839011</v>
      </c>
      <c r="J127" s="64">
        <v>-7989.6373056994817</v>
      </c>
      <c r="K127" s="63">
        <v>0.12903225806451613</v>
      </c>
      <c r="L127" s="63">
        <v>0.22722914669223393</v>
      </c>
      <c r="M127" s="63">
        <v>0.31447746883988492</v>
      </c>
      <c r="N127" s="63">
        <v>0.50210970464135019</v>
      </c>
      <c r="O127" s="63">
        <v>0.3902439024390244</v>
      </c>
      <c r="P127" s="63">
        <v>0.4086687306501548</v>
      </c>
    </row>
    <row r="128" spans="1:16" x14ac:dyDescent="0.45">
      <c r="A128" s="65">
        <v>125</v>
      </c>
      <c r="B128" s="62">
        <v>119.9999999999998</v>
      </c>
      <c r="C128" s="62">
        <v>0.95999999999999841</v>
      </c>
      <c r="D128" s="67">
        <v>1.9359999999999999</v>
      </c>
      <c r="E128" s="63">
        <v>0.35199999999999998</v>
      </c>
      <c r="F128" s="63">
        <v>0.28799999999999998</v>
      </c>
      <c r="G128" s="63">
        <v>0.30761904761904763</v>
      </c>
      <c r="H128" s="63">
        <v>0.18571428571428572</v>
      </c>
      <c r="I128" s="64">
        <v>8398.4520123839011</v>
      </c>
      <c r="J128" s="64">
        <v>-8018.4615384615381</v>
      </c>
      <c r="K128" s="63">
        <v>0.13600000000000001</v>
      </c>
      <c r="L128" s="63">
        <v>0.22761904761904761</v>
      </c>
      <c r="M128" s="63">
        <v>0.31428571428571428</v>
      </c>
      <c r="N128" s="63">
        <v>0.497907949790795</v>
      </c>
      <c r="O128" s="63">
        <v>0.38787878787878788</v>
      </c>
      <c r="P128" s="63">
        <v>0.4086687306501548</v>
      </c>
    </row>
    <row r="129" spans="1:16" x14ac:dyDescent="0.45">
      <c r="A129" s="65">
        <v>126</v>
      </c>
      <c r="B129" s="62">
        <v>77.999999999999801</v>
      </c>
      <c r="C129" s="62">
        <v>0.61904761904761751</v>
      </c>
      <c r="D129" s="67">
        <v>1.9444444444444444</v>
      </c>
      <c r="E129" s="63">
        <v>0.34920634920634919</v>
      </c>
      <c r="F129" s="63">
        <v>0.29365079365079366</v>
      </c>
      <c r="G129" s="63">
        <v>0.30442978322337416</v>
      </c>
      <c r="H129" s="63">
        <v>0.18661639962299717</v>
      </c>
      <c r="I129" s="64">
        <v>8398.4520123839011</v>
      </c>
      <c r="J129" s="64">
        <v>-7957.0707070707067</v>
      </c>
      <c r="K129" s="63">
        <v>0.13492063492063491</v>
      </c>
      <c r="L129" s="63">
        <v>0.22808671065032987</v>
      </c>
      <c r="M129" s="63">
        <v>0.31385485391140433</v>
      </c>
      <c r="N129" s="63">
        <v>0.49173553719008267</v>
      </c>
      <c r="O129" s="63">
        <v>0.38438438438438438</v>
      </c>
      <c r="P129" s="63">
        <v>0.4086687306501548</v>
      </c>
    </row>
    <row r="130" spans="1:16" x14ac:dyDescent="0.45">
      <c r="A130" s="65">
        <v>127</v>
      </c>
      <c r="B130" s="62">
        <v>83.199999999999804</v>
      </c>
      <c r="C130" s="62">
        <v>0.65511811023621891</v>
      </c>
      <c r="D130" s="67">
        <v>1.9448818897637796</v>
      </c>
      <c r="E130" s="63">
        <v>0.34645669291338582</v>
      </c>
      <c r="F130" s="63">
        <v>0.29133858267716534</v>
      </c>
      <c r="G130" s="63">
        <v>0.30430711610486894</v>
      </c>
      <c r="H130" s="63">
        <v>0.18632958801498128</v>
      </c>
      <c r="I130" s="64">
        <v>8425.8461538461543</v>
      </c>
      <c r="J130" s="64">
        <v>-7997.4874371859296</v>
      </c>
      <c r="K130" s="63">
        <v>0.13385826771653545</v>
      </c>
      <c r="L130" s="63">
        <v>0.22846441947565543</v>
      </c>
      <c r="M130" s="63">
        <v>0.31367041198501872</v>
      </c>
      <c r="N130" s="63">
        <v>0.49590163934426229</v>
      </c>
      <c r="O130" s="63">
        <v>0.38208955223880597</v>
      </c>
      <c r="P130" s="63">
        <v>0.41230769230769232</v>
      </c>
    </row>
    <row r="131" spans="1:16" x14ac:dyDescent="0.45">
      <c r="A131" s="65">
        <v>128</v>
      </c>
      <c r="B131" s="62">
        <v>31.699999999999804</v>
      </c>
      <c r="C131" s="62">
        <v>0.24765624999999847</v>
      </c>
      <c r="D131" s="67">
        <v>1.953125</v>
      </c>
      <c r="E131" s="63">
        <v>0.34375</v>
      </c>
      <c r="F131" s="63">
        <v>0.296875</v>
      </c>
      <c r="G131" s="63">
        <v>0.3026070763500931</v>
      </c>
      <c r="H131" s="63">
        <v>0.18808193668528864</v>
      </c>
      <c r="I131" s="64">
        <v>8425.8461538461543</v>
      </c>
      <c r="J131" s="64">
        <v>-8004.9504950495048</v>
      </c>
      <c r="K131" s="63">
        <v>0.140625</v>
      </c>
      <c r="L131" s="63">
        <v>0.22811918063314712</v>
      </c>
      <c r="M131" s="63">
        <v>0.31191806331471134</v>
      </c>
      <c r="N131" s="63">
        <v>0.49387755102040815</v>
      </c>
      <c r="O131" s="63">
        <v>0.38208955223880597</v>
      </c>
      <c r="P131" s="63">
        <v>0.41230769230769232</v>
      </c>
    </row>
    <row r="132" spans="1:16" x14ac:dyDescent="0.45">
      <c r="A132" s="65">
        <v>129</v>
      </c>
      <c r="B132" s="62">
        <v>24.699999999999804</v>
      </c>
      <c r="C132" s="62">
        <v>0.19147286821705276</v>
      </c>
      <c r="D132" s="67">
        <v>1.9534883720930232</v>
      </c>
      <c r="E132" s="63">
        <v>0.34108527131782945</v>
      </c>
      <c r="F132" s="63">
        <v>0.29457364341085274</v>
      </c>
      <c r="G132" s="63">
        <v>0.30064754856614245</v>
      </c>
      <c r="H132" s="63">
        <v>0.1877890841813136</v>
      </c>
      <c r="I132" s="64">
        <v>8425.8461538461543</v>
      </c>
      <c r="J132" s="64">
        <v>-7975.3694581280788</v>
      </c>
      <c r="K132" s="63">
        <v>0.13953488372093023</v>
      </c>
      <c r="L132" s="63">
        <v>0.2294172062904718</v>
      </c>
      <c r="M132" s="63">
        <v>0.31082331174838113</v>
      </c>
      <c r="N132" s="63">
        <v>0.48790322580645162</v>
      </c>
      <c r="O132" s="63">
        <v>0.38095238095238093</v>
      </c>
      <c r="P132" s="63">
        <v>0.41230769230769232</v>
      </c>
    </row>
    <row r="133" spans="1:16" x14ac:dyDescent="0.45">
      <c r="A133" s="65">
        <v>130</v>
      </c>
      <c r="B133" s="62">
        <v>11.799999999999804</v>
      </c>
      <c r="C133" s="62">
        <v>9.0769230769229256E-2</v>
      </c>
      <c r="D133" s="67">
        <v>1.9615384615384615</v>
      </c>
      <c r="E133" s="63">
        <v>0.33846153846153848</v>
      </c>
      <c r="F133" s="63">
        <v>0.3</v>
      </c>
      <c r="G133" s="63">
        <v>0.29908256880733947</v>
      </c>
      <c r="H133" s="63">
        <v>0.18807339449541285</v>
      </c>
      <c r="I133" s="64">
        <v>8436.8098159509209</v>
      </c>
      <c r="J133" s="64">
        <v>-7919.0243902439024</v>
      </c>
      <c r="K133" s="63">
        <v>0.13846153846153847</v>
      </c>
      <c r="L133" s="63">
        <v>0.22844036697247708</v>
      </c>
      <c r="M133" s="63">
        <v>0.30825688073394497</v>
      </c>
      <c r="N133" s="63">
        <v>0.48995983935742971</v>
      </c>
      <c r="O133" s="63">
        <v>0.38095238095238093</v>
      </c>
      <c r="P133" s="63">
        <v>0.41411042944785276</v>
      </c>
    </row>
    <row r="134" spans="1:16" x14ac:dyDescent="0.45">
      <c r="A134" s="65">
        <v>131</v>
      </c>
      <c r="B134" s="62">
        <v>33.499999999999801</v>
      </c>
      <c r="C134" s="62">
        <v>0.25572519083969314</v>
      </c>
      <c r="D134" s="67">
        <v>1.9541984732824427</v>
      </c>
      <c r="E134" s="63">
        <v>0.34351145038167941</v>
      </c>
      <c r="F134" s="63">
        <v>0.29770992366412213</v>
      </c>
      <c r="G134" s="63">
        <v>0.30018248175182483</v>
      </c>
      <c r="H134" s="63">
        <v>0.18795620437956204</v>
      </c>
      <c r="I134" s="64">
        <v>8412.7659574468089</v>
      </c>
      <c r="J134" s="64">
        <v>-7905.825242718447</v>
      </c>
      <c r="K134" s="63">
        <v>0.13740458015267176</v>
      </c>
      <c r="L134" s="63">
        <v>0.2281021897810219</v>
      </c>
      <c r="M134" s="63">
        <v>0.30839416058394159</v>
      </c>
      <c r="N134" s="63">
        <v>0.49199999999999999</v>
      </c>
      <c r="O134" s="63">
        <v>0.38165680473372782</v>
      </c>
      <c r="P134" s="63">
        <v>0.41337386018237082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53233-0DBD-46B5-AF1F-AC99D8594D07}">
  <sheetPr codeName="Sheet10"/>
  <dimension ref="A1:Q15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5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5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5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5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5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5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5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5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5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5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5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5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5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5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5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5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5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5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5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5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5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5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5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5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5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5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5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5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5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5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5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5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5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5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5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5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5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5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5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5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5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5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5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5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5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5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5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5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5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5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5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5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5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5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5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5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5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5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5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5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5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5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0.25047801147227533</v>
      </c>
      <c r="M67" s="63">
        <v>0.23709369024856597</v>
      </c>
      <c r="N67" s="63">
        <v>0.59541984732824427</v>
      </c>
      <c r="O67" s="63">
        <v>0.4838709677419355</v>
      </c>
      <c r="P67" s="63">
        <v>0.41860465116279072</v>
      </c>
    </row>
    <row r="68" spans="1:16" x14ac:dyDescent="0.45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0.25283018867924528</v>
      </c>
      <c r="M68" s="63">
        <v>0.23962264150943396</v>
      </c>
      <c r="N68" s="63">
        <v>0.58955223880597019</v>
      </c>
      <c r="O68" s="63">
        <v>0.48818897637795278</v>
      </c>
      <c r="P68" s="63">
        <v>0.42045454545454547</v>
      </c>
    </row>
    <row r="69" spans="1:16" x14ac:dyDescent="0.45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0.25092936802973975</v>
      </c>
      <c r="M69" s="63">
        <v>0.23977695167286245</v>
      </c>
      <c r="N69" s="63">
        <v>0.59259259259259256</v>
      </c>
      <c r="O69" s="63">
        <v>0.49612403100775193</v>
      </c>
      <c r="P69" s="63">
        <v>0.41666666666666669</v>
      </c>
    </row>
    <row r="70" spans="1:16" x14ac:dyDescent="0.45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0.25</v>
      </c>
      <c r="M70" s="63">
        <v>0.24270072992700731</v>
      </c>
      <c r="N70" s="63">
        <v>0.59124087591240881</v>
      </c>
      <c r="O70" s="63">
        <v>0.48872180451127817</v>
      </c>
      <c r="P70" s="63">
        <v>0.41208791208791207</v>
      </c>
    </row>
    <row r="71" spans="1:16" x14ac:dyDescent="0.45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0.24954792043399637</v>
      </c>
      <c r="M71" s="63">
        <v>0.24231464737793851</v>
      </c>
      <c r="N71" s="63">
        <v>0.59420289855072461</v>
      </c>
      <c r="O71" s="63">
        <v>0.4925373134328358</v>
      </c>
      <c r="P71" s="63">
        <v>0.40860215053763443</v>
      </c>
    </row>
    <row r="72" spans="1:16" x14ac:dyDescent="0.45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0.25265017667844525</v>
      </c>
      <c r="M72" s="63">
        <v>0.23851590106007067</v>
      </c>
      <c r="N72" s="63">
        <v>0.60139860139860135</v>
      </c>
      <c r="O72" s="63">
        <v>0.48888888888888887</v>
      </c>
      <c r="P72" s="63">
        <v>0.41361256544502617</v>
      </c>
    </row>
    <row r="73" spans="1:16" x14ac:dyDescent="0.45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0.24956369982547993</v>
      </c>
      <c r="M73" s="63">
        <v>0.23734729493891799</v>
      </c>
      <c r="N73" s="63">
        <v>0.60139860139860135</v>
      </c>
      <c r="O73" s="63">
        <v>0.48529411764705882</v>
      </c>
      <c r="P73" s="63">
        <v>0.41666666666666669</v>
      </c>
    </row>
    <row r="74" spans="1:16" x14ac:dyDescent="0.45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0.2512908777969019</v>
      </c>
      <c r="M74" s="63">
        <v>0.23580034423407917</v>
      </c>
      <c r="N74" s="63">
        <v>0.60273972602739723</v>
      </c>
      <c r="O74" s="63">
        <v>0.48175182481751827</v>
      </c>
      <c r="P74" s="63">
        <v>0.42268041237113402</v>
      </c>
    </row>
    <row r="75" spans="1:16" x14ac:dyDescent="0.45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0.25127334465195245</v>
      </c>
      <c r="M75" s="63">
        <v>0.23769100169779286</v>
      </c>
      <c r="N75" s="63">
        <v>0.60810810810810811</v>
      </c>
      <c r="O75" s="63">
        <v>0.47857142857142859</v>
      </c>
      <c r="P75" s="63">
        <v>0.42424242424242425</v>
      </c>
    </row>
    <row r="76" spans="1:16" x14ac:dyDescent="0.45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0.25628140703517588</v>
      </c>
      <c r="M76" s="63">
        <v>0.23785594639865998</v>
      </c>
      <c r="N76" s="63">
        <v>0.60784313725490191</v>
      </c>
      <c r="O76" s="63">
        <v>0.47887323943661969</v>
      </c>
      <c r="P76" s="63">
        <v>0.42079207920792078</v>
      </c>
    </row>
    <row r="77" spans="1:16" x14ac:dyDescent="0.45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0.25538971807628524</v>
      </c>
      <c r="M77" s="63">
        <v>0.23714759535655058</v>
      </c>
      <c r="N77" s="63">
        <v>0.61038961038961037</v>
      </c>
      <c r="O77" s="63">
        <v>0.47552447552447552</v>
      </c>
      <c r="P77" s="63">
        <v>0.42156862745098039</v>
      </c>
    </row>
    <row r="78" spans="1:16" x14ac:dyDescent="0.45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0.25451559934318557</v>
      </c>
      <c r="M78" s="63">
        <v>0.2348111658456486</v>
      </c>
      <c r="N78" s="63">
        <v>0.61290322580645162</v>
      </c>
      <c r="O78" s="63">
        <v>0.47552447552447552</v>
      </c>
      <c r="P78" s="63">
        <v>0.42028985507246375</v>
      </c>
    </row>
    <row r="79" spans="1:16" x14ac:dyDescent="0.45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0.25365853658536586</v>
      </c>
      <c r="M79" s="63">
        <v>0.23577235772357724</v>
      </c>
      <c r="N79" s="63">
        <v>0.60897435897435892</v>
      </c>
      <c r="O79" s="63">
        <v>0.4689655172413793</v>
      </c>
      <c r="P79" s="63">
        <v>0.42028985507246375</v>
      </c>
    </row>
    <row r="80" spans="1:16" x14ac:dyDescent="0.45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0.25241157556270094</v>
      </c>
      <c r="M80" s="63">
        <v>0.23794212218649519</v>
      </c>
      <c r="N80" s="63">
        <v>0.61146496815286622</v>
      </c>
      <c r="O80" s="63">
        <v>0.46621621621621623</v>
      </c>
      <c r="P80" s="63">
        <v>0.42105263157894735</v>
      </c>
    </row>
    <row r="81" spans="1:16" x14ac:dyDescent="0.45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0.2527646129541864</v>
      </c>
      <c r="M81" s="63">
        <v>0.24328593996840442</v>
      </c>
      <c r="N81" s="63">
        <v>0.60624999999999996</v>
      </c>
      <c r="O81" s="63">
        <v>0.46753246753246752</v>
      </c>
      <c r="P81" s="63">
        <v>0.42253521126760563</v>
      </c>
    </row>
    <row r="82" spans="1:16" x14ac:dyDescent="0.45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0.25038880248833595</v>
      </c>
      <c r="M82" s="63">
        <v>0.24105754276827371</v>
      </c>
      <c r="N82" s="63">
        <v>0.60248447204968947</v>
      </c>
      <c r="O82" s="63">
        <v>0.46451612903225808</v>
      </c>
      <c r="P82" s="63">
        <v>0.42056074766355139</v>
      </c>
    </row>
    <row r="83" spans="1:16" x14ac:dyDescent="0.45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0.2526964560862866</v>
      </c>
      <c r="M83" s="63">
        <v>0.24191063174114022</v>
      </c>
      <c r="N83" s="63">
        <v>0.60365853658536583</v>
      </c>
      <c r="O83" s="63">
        <v>0.46496815286624205</v>
      </c>
      <c r="P83" s="63">
        <v>0.42396313364055299</v>
      </c>
    </row>
    <row r="84" spans="1:16" x14ac:dyDescent="0.45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0.25114854517611024</v>
      </c>
      <c r="M84" s="63">
        <v>0.24042879019908117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5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0.25375375375375375</v>
      </c>
      <c r="M85" s="63">
        <v>0.23723723723723725</v>
      </c>
      <c r="N85" s="63">
        <v>0.60946745562130178</v>
      </c>
      <c r="O85" s="63">
        <v>0.46835443037974683</v>
      </c>
      <c r="P85" s="63">
        <v>0.42342342342342343</v>
      </c>
    </row>
    <row r="86" spans="1:16" x14ac:dyDescent="0.45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0.25519287833827892</v>
      </c>
      <c r="M86" s="63">
        <v>0.23738872403560832</v>
      </c>
      <c r="N86" s="63">
        <v>0.60465116279069764</v>
      </c>
      <c r="O86" s="63">
        <v>0.46875</v>
      </c>
      <c r="P86" s="63">
        <v>0.42410714285714285</v>
      </c>
    </row>
    <row r="87" spans="1:16" x14ac:dyDescent="0.45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0.25663716814159293</v>
      </c>
      <c r="M87" s="63">
        <v>0.2359882005899705</v>
      </c>
      <c r="N87" s="63">
        <v>0.60919540229885061</v>
      </c>
      <c r="O87" s="63">
        <v>0.46875</v>
      </c>
      <c r="P87" s="63">
        <v>0.4247787610619469</v>
      </c>
    </row>
    <row r="88" spans="1:16" x14ac:dyDescent="0.45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0.25877192982456143</v>
      </c>
      <c r="M88" s="63">
        <v>0.23391812865497075</v>
      </c>
      <c r="N88" s="63">
        <v>0.59887005649717517</v>
      </c>
      <c r="O88" s="63">
        <v>0.46875</v>
      </c>
      <c r="P88" s="63">
        <v>0.4247787610619469</v>
      </c>
    </row>
    <row r="89" spans="1:16" x14ac:dyDescent="0.45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0.26118326118326118</v>
      </c>
      <c r="M89" s="63">
        <v>0.23376623376623376</v>
      </c>
      <c r="N89" s="63">
        <v>0.59668508287292821</v>
      </c>
      <c r="O89" s="63">
        <v>0.47530864197530864</v>
      </c>
      <c r="P89" s="63">
        <v>0.42608695652173911</v>
      </c>
    </row>
    <row r="90" spans="1:16" x14ac:dyDescent="0.45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0.2603719599427754</v>
      </c>
      <c r="M90" s="63">
        <v>0.23319027181688126</v>
      </c>
      <c r="N90" s="63">
        <v>0.59890109890109888</v>
      </c>
      <c r="O90" s="63">
        <v>0.4785276073619632</v>
      </c>
      <c r="P90" s="63">
        <v>0.42672413793103448</v>
      </c>
    </row>
    <row r="91" spans="1:16" x14ac:dyDescent="0.45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0.26203966005665724</v>
      </c>
      <c r="M91" s="63">
        <v>0.23229461756373937</v>
      </c>
      <c r="N91" s="63">
        <v>0.6</v>
      </c>
      <c r="O91" s="63">
        <v>0.47560975609756095</v>
      </c>
      <c r="P91" s="63">
        <v>0.42735042735042733</v>
      </c>
    </row>
    <row r="92" spans="1:16" x14ac:dyDescent="0.45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0.26470588235294118</v>
      </c>
      <c r="M92" s="63">
        <v>0.22969187675070027</v>
      </c>
      <c r="N92" s="63">
        <v>0.59259259259259256</v>
      </c>
      <c r="O92" s="63">
        <v>0.47560975609756095</v>
      </c>
      <c r="P92" s="63">
        <v>0.43220338983050849</v>
      </c>
    </row>
    <row r="93" spans="1:16" x14ac:dyDescent="0.45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0.26490984743411927</v>
      </c>
      <c r="M93" s="63">
        <v>0.2288488210818308</v>
      </c>
      <c r="N93" s="63">
        <v>0.58638743455497377</v>
      </c>
      <c r="O93" s="63">
        <v>0.47272727272727272</v>
      </c>
      <c r="P93" s="63">
        <v>0.43459915611814348</v>
      </c>
    </row>
    <row r="94" spans="1:16" x14ac:dyDescent="0.45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0.26438356164383564</v>
      </c>
      <c r="M94" s="63">
        <v>0.23013698630136986</v>
      </c>
      <c r="N94" s="63">
        <v>0.59067357512953367</v>
      </c>
      <c r="O94" s="63">
        <v>0.47023809523809523</v>
      </c>
      <c r="P94" s="63">
        <v>0.43388429752066116</v>
      </c>
    </row>
    <row r="95" spans="1:16" x14ac:dyDescent="0.45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0.26458616010854819</v>
      </c>
      <c r="M95" s="63">
        <v>0.22930800542740842</v>
      </c>
      <c r="N95" s="63">
        <v>0.59487179487179487</v>
      </c>
      <c r="O95" s="63">
        <v>0.46745562130177515</v>
      </c>
      <c r="P95" s="63">
        <v>0.43265306122448982</v>
      </c>
    </row>
    <row r="96" spans="1:16" x14ac:dyDescent="0.45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0.26648721399730824</v>
      </c>
      <c r="M96" s="63">
        <v>0.22880215343203231</v>
      </c>
      <c r="N96" s="63">
        <v>0.59595959595959591</v>
      </c>
      <c r="O96" s="63">
        <v>0.47058823529411764</v>
      </c>
      <c r="P96" s="63">
        <v>0.42741935483870969</v>
      </c>
    </row>
    <row r="97" spans="1:16" x14ac:dyDescent="0.45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0.26790450928381965</v>
      </c>
      <c r="M97" s="63">
        <v>0.22944297082228116</v>
      </c>
      <c r="N97" s="63">
        <v>0.59405940594059403</v>
      </c>
      <c r="O97" s="63">
        <v>0.47976878612716761</v>
      </c>
      <c r="P97" s="63">
        <v>0.42292490118577075</v>
      </c>
    </row>
    <row r="98" spans="1:16" x14ac:dyDescent="0.45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0.26902887139107612</v>
      </c>
      <c r="M98" s="63">
        <v>0.22703412073490814</v>
      </c>
      <c r="N98" s="63">
        <v>0.59512195121951217</v>
      </c>
      <c r="O98" s="63">
        <v>0.47976878612716761</v>
      </c>
      <c r="P98" s="63">
        <v>0.42578125</v>
      </c>
    </row>
    <row r="99" spans="1:16" x14ac:dyDescent="0.45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0.27142857142857141</v>
      </c>
      <c r="M99" s="63">
        <v>0.22467532467532467</v>
      </c>
      <c r="N99" s="63">
        <v>0.59330143540669855</v>
      </c>
      <c r="O99" s="63">
        <v>0.47976878612716761</v>
      </c>
      <c r="P99" s="63">
        <v>0.4263565891472868</v>
      </c>
    </row>
    <row r="100" spans="1:16" x14ac:dyDescent="0.45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0.27319587628865977</v>
      </c>
      <c r="M100" s="63">
        <v>0.22551546391752578</v>
      </c>
      <c r="N100" s="63">
        <v>0.59433962264150941</v>
      </c>
      <c r="O100" s="63">
        <v>0.48571428571428571</v>
      </c>
      <c r="P100" s="63">
        <v>0.43129770992366412</v>
      </c>
    </row>
    <row r="101" spans="1:16" x14ac:dyDescent="0.45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0.27376425855513309</v>
      </c>
      <c r="M101" s="63">
        <v>0.2256020278833967</v>
      </c>
      <c r="N101" s="63">
        <v>0.59259259259259256</v>
      </c>
      <c r="O101" s="63">
        <v>0.47752808988764045</v>
      </c>
      <c r="P101" s="63">
        <v>0.42803030303030304</v>
      </c>
    </row>
    <row r="102" spans="1:16" x14ac:dyDescent="0.45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0.27124999999999999</v>
      </c>
      <c r="M102" s="63">
        <v>0.22750000000000001</v>
      </c>
      <c r="N102" s="63">
        <v>0.59447004608294929</v>
      </c>
      <c r="O102" s="63">
        <v>0.47802197802197804</v>
      </c>
      <c r="P102" s="63">
        <v>0.43122676579925651</v>
      </c>
    </row>
    <row r="103" spans="1:16" x14ac:dyDescent="0.45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0.27204968944099378</v>
      </c>
      <c r="M103" s="63">
        <v>0.22608695652173913</v>
      </c>
      <c r="N103" s="63">
        <v>0.59817351598173518</v>
      </c>
      <c r="O103" s="63">
        <v>0.47802197802197804</v>
      </c>
      <c r="P103" s="63">
        <v>0.43014705882352944</v>
      </c>
    </row>
    <row r="104" spans="1:16" x14ac:dyDescent="0.45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0.27093596059113301</v>
      </c>
      <c r="M104" s="63">
        <v>0.22536945812807882</v>
      </c>
      <c r="N104" s="63">
        <v>0.6</v>
      </c>
      <c r="O104" s="63">
        <v>0.47540983606557374</v>
      </c>
      <c r="P104" s="63">
        <v>0.42857142857142855</v>
      </c>
    </row>
    <row r="105" spans="1:16" x14ac:dyDescent="0.45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0.27317073170731709</v>
      </c>
      <c r="M105" s="63">
        <v>0.22560975609756098</v>
      </c>
      <c r="N105" s="63">
        <v>0.5982142857142857</v>
      </c>
      <c r="O105" s="63">
        <v>0.48108108108108111</v>
      </c>
      <c r="P105" s="63">
        <v>0.4296028880866426</v>
      </c>
    </row>
    <row r="106" spans="1:16" x14ac:dyDescent="0.45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0.27360774818401939</v>
      </c>
      <c r="M106" s="63">
        <v>0.22397094430992737</v>
      </c>
      <c r="N106" s="63">
        <v>0.59734513274336287</v>
      </c>
      <c r="O106" s="63">
        <v>0.48108108108108111</v>
      </c>
      <c r="P106" s="63">
        <v>0.42857142857142855</v>
      </c>
    </row>
    <row r="107" spans="1:16" x14ac:dyDescent="0.45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0.27370948379351739</v>
      </c>
      <c r="M107" s="63">
        <v>0.22208883553421369</v>
      </c>
      <c r="N107" s="63">
        <v>0.60087719298245612</v>
      </c>
      <c r="O107" s="63">
        <v>0.48108108108108111</v>
      </c>
      <c r="P107" s="63">
        <v>0.43109540636042404</v>
      </c>
    </row>
    <row r="108" spans="1:16" x14ac:dyDescent="0.45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0.27197149643705465</v>
      </c>
      <c r="M108" s="63">
        <v>0.22446555819477435</v>
      </c>
      <c r="N108" s="63">
        <v>0.6026200873362445</v>
      </c>
      <c r="O108" s="63">
        <v>0.47619047619047616</v>
      </c>
      <c r="P108" s="63">
        <v>0.43508771929824563</v>
      </c>
    </row>
    <row r="109" spans="1:16" x14ac:dyDescent="0.45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0.2710059171597633</v>
      </c>
      <c r="M109" s="63">
        <v>0.22603550295857988</v>
      </c>
      <c r="N109" s="63">
        <v>0.6026200873362445</v>
      </c>
      <c r="O109" s="63">
        <v>0.48167539267015708</v>
      </c>
      <c r="P109" s="63">
        <v>0.4375</v>
      </c>
    </row>
    <row r="110" spans="1:16" x14ac:dyDescent="0.45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0.27166276346604218</v>
      </c>
      <c r="M110" s="63">
        <v>0.22599531615925059</v>
      </c>
      <c r="N110" s="63">
        <v>0.59482758620689657</v>
      </c>
      <c r="O110" s="63">
        <v>0.47668393782383417</v>
      </c>
      <c r="P110" s="63">
        <v>0.43598615916955019</v>
      </c>
    </row>
    <row r="111" spans="1:16" x14ac:dyDescent="0.45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0.27030162412993042</v>
      </c>
      <c r="M111" s="63">
        <v>0.22737819025522041</v>
      </c>
      <c r="N111" s="63">
        <v>0.59227467811158796</v>
      </c>
      <c r="O111" s="63">
        <v>0.47959183673469385</v>
      </c>
      <c r="P111" s="63">
        <v>0.4315068493150685</v>
      </c>
    </row>
    <row r="112" spans="1:16" x14ac:dyDescent="0.45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0.26812428078250861</v>
      </c>
      <c r="M112" s="63">
        <v>0.22669735327963175</v>
      </c>
      <c r="N112" s="63">
        <v>0.59227467811158796</v>
      </c>
      <c r="O112" s="63">
        <v>0.48223350253807107</v>
      </c>
      <c r="P112" s="63">
        <v>0.42857142857142855</v>
      </c>
    </row>
    <row r="113" spans="1:16" x14ac:dyDescent="0.45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0.26583710407239819</v>
      </c>
      <c r="M113" s="63">
        <v>0.2239819004524887</v>
      </c>
      <c r="N113" s="63">
        <v>0.5957446808510638</v>
      </c>
      <c r="O113" s="63">
        <v>0.47979797979797978</v>
      </c>
      <c r="P113" s="63">
        <v>0.42474916387959866</v>
      </c>
    </row>
    <row r="114" spans="1:16" x14ac:dyDescent="0.45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0.26629213483146069</v>
      </c>
      <c r="M114" s="63">
        <v>0.2247191011235955</v>
      </c>
      <c r="N114" s="63">
        <v>0.59915611814345993</v>
      </c>
      <c r="O114" s="63">
        <v>0.48499999999999999</v>
      </c>
      <c r="P114" s="63">
        <v>0.43092105263157893</v>
      </c>
    </row>
    <row r="115" spans="1:16" x14ac:dyDescent="0.45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0.267260579064588</v>
      </c>
      <c r="M115" s="63">
        <v>0.22494432071269488</v>
      </c>
      <c r="N115" s="63">
        <v>0.60416666666666663</v>
      </c>
      <c r="O115" s="63">
        <v>0.48514851485148514</v>
      </c>
      <c r="P115" s="63">
        <v>0.42857142857142855</v>
      </c>
    </row>
    <row r="116" spans="1:16" x14ac:dyDescent="0.45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0.26783754116355651</v>
      </c>
      <c r="M116" s="63">
        <v>0.2239297475301866</v>
      </c>
      <c r="N116" s="63">
        <v>0.60655737704918034</v>
      </c>
      <c r="O116" s="63">
        <v>0.48529411764705882</v>
      </c>
      <c r="P116" s="63">
        <v>0.43130990415335463</v>
      </c>
    </row>
    <row r="117" spans="1:16" x14ac:dyDescent="0.45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0.27056277056277056</v>
      </c>
      <c r="M117" s="63">
        <v>0.22294372294372294</v>
      </c>
      <c r="N117" s="63">
        <v>0.60399999999999998</v>
      </c>
      <c r="O117" s="63">
        <v>0.4854368932038835</v>
      </c>
      <c r="P117" s="63">
        <v>0.4308176100628931</v>
      </c>
    </row>
    <row r="118" spans="1:16" x14ac:dyDescent="0.45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0.27038626609442062</v>
      </c>
      <c r="M118" s="63">
        <v>0.22424892703862662</v>
      </c>
      <c r="N118" s="63">
        <v>0.60317460317460314</v>
      </c>
      <c r="O118" s="63">
        <v>0.48325358851674644</v>
      </c>
      <c r="P118" s="63">
        <v>0.42812499999999998</v>
      </c>
    </row>
    <row r="119" spans="1:16" x14ac:dyDescent="0.45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0.26723223753976671</v>
      </c>
      <c r="M119" s="63">
        <v>0.22481442205726404</v>
      </c>
      <c r="N119" s="63">
        <v>0.60317460317460314</v>
      </c>
      <c r="O119" s="63">
        <v>0.48584905660377359</v>
      </c>
      <c r="P119" s="63">
        <v>0.42592592592592593</v>
      </c>
    </row>
    <row r="120" spans="1:16" x14ac:dyDescent="0.45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0.26765015806111697</v>
      </c>
      <c r="M120" s="63">
        <v>0.22444678609062171</v>
      </c>
      <c r="N120" s="63">
        <v>0.60236220472440949</v>
      </c>
      <c r="O120" s="63">
        <v>0.48826291079812206</v>
      </c>
      <c r="P120" s="63">
        <v>0.42638036809815949</v>
      </c>
    </row>
    <row r="121" spans="1:16" x14ac:dyDescent="0.45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0.26882845188284521</v>
      </c>
      <c r="M121" s="63">
        <v>0.22280334728033474</v>
      </c>
      <c r="N121" s="63">
        <v>0.59922178988326846</v>
      </c>
      <c r="O121" s="63">
        <v>0.48826291079812206</v>
      </c>
      <c r="P121" s="63">
        <v>0.42378048780487804</v>
      </c>
    </row>
    <row r="122" spans="1:16" x14ac:dyDescent="0.45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0.26867219917012447</v>
      </c>
      <c r="M122" s="63">
        <v>0.22199170124481327</v>
      </c>
      <c r="N122" s="63">
        <v>0.59459459459459463</v>
      </c>
      <c r="O122" s="63">
        <v>0.48598130841121495</v>
      </c>
      <c r="P122" s="63">
        <v>0.42378048780487804</v>
      </c>
    </row>
    <row r="123" spans="1:16" x14ac:dyDescent="0.45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0.27132579650565264</v>
      </c>
      <c r="M123" s="63">
        <v>0.22096608427543679</v>
      </c>
      <c r="N123" s="63">
        <v>0.59848484848484851</v>
      </c>
      <c r="O123" s="63">
        <v>0.48837209302325579</v>
      </c>
      <c r="P123" s="63">
        <v>0.42814371257485029</v>
      </c>
    </row>
    <row r="124" spans="1:16" x14ac:dyDescent="0.45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0.27060020345879959</v>
      </c>
      <c r="M124" s="63">
        <v>0.22380467955239064</v>
      </c>
      <c r="N124" s="63">
        <v>0.59774436090225569</v>
      </c>
      <c r="O124" s="63">
        <v>0.48636363636363639</v>
      </c>
      <c r="P124" s="63">
        <v>0.42433234421364985</v>
      </c>
    </row>
    <row r="125" spans="1:16" x14ac:dyDescent="0.45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0.27144298688193741</v>
      </c>
      <c r="M125" s="63">
        <v>0.22401614530776992</v>
      </c>
      <c r="N125" s="63">
        <v>0.60223048327137552</v>
      </c>
      <c r="O125" s="63">
        <v>0.48648648648648651</v>
      </c>
      <c r="P125" s="63">
        <v>0.41812865497076024</v>
      </c>
    </row>
    <row r="126" spans="1:16" x14ac:dyDescent="0.45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0.27081243731193583</v>
      </c>
      <c r="M126" s="63">
        <v>0.22668004012036108</v>
      </c>
      <c r="N126" s="63">
        <v>0.6</v>
      </c>
      <c r="O126" s="63">
        <v>0.47787610619469029</v>
      </c>
      <c r="P126" s="63">
        <v>0.41812865497076024</v>
      </c>
    </row>
    <row r="127" spans="1:16" x14ac:dyDescent="0.45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0.27110228401191661</v>
      </c>
      <c r="M127" s="63">
        <v>0.22740814299900694</v>
      </c>
      <c r="N127" s="63">
        <v>0.60073260073260071</v>
      </c>
      <c r="O127" s="63">
        <v>0.4759825327510917</v>
      </c>
      <c r="P127" s="63">
        <v>0.41739130434782606</v>
      </c>
    </row>
    <row r="128" spans="1:16" x14ac:dyDescent="0.45">
      <c r="A128" s="65">
        <v>125</v>
      </c>
      <c r="B128" s="62">
        <v>1125.2</v>
      </c>
      <c r="C128" s="62">
        <v>9.0015999999999998</v>
      </c>
      <c r="D128" s="67">
        <v>1.776</v>
      </c>
      <c r="E128" s="63">
        <v>0.46400000000000002</v>
      </c>
      <c r="F128" s="63">
        <v>0.24</v>
      </c>
      <c r="G128" s="63">
        <v>0.34184675834970529</v>
      </c>
      <c r="H128" s="63">
        <v>0.13064833005893908</v>
      </c>
      <c r="I128" s="64">
        <v>8269.8275862068967</v>
      </c>
      <c r="J128" s="64">
        <v>-7803.7593984962405</v>
      </c>
      <c r="K128" s="63">
        <v>0.04</v>
      </c>
      <c r="L128" s="63">
        <v>0.27013752455795675</v>
      </c>
      <c r="M128" s="63">
        <v>0.22888015717092339</v>
      </c>
      <c r="N128" s="63">
        <v>0.6</v>
      </c>
      <c r="O128" s="63">
        <v>0.47210300429184548</v>
      </c>
      <c r="P128" s="63">
        <v>0.41954022988505746</v>
      </c>
    </row>
    <row r="129" spans="1:16" x14ac:dyDescent="0.45">
      <c r="A129" s="65">
        <v>126</v>
      </c>
      <c r="B129" s="62">
        <v>1116.5</v>
      </c>
      <c r="C129" s="62">
        <v>8.8611111111111107</v>
      </c>
      <c r="D129" s="67">
        <v>1.7777777777777777</v>
      </c>
      <c r="E129" s="63">
        <v>0.46031746031746029</v>
      </c>
      <c r="F129" s="63">
        <v>0.23809523809523808</v>
      </c>
      <c r="G129" s="63">
        <v>0.34274586173320348</v>
      </c>
      <c r="H129" s="63">
        <v>0.12950340798442064</v>
      </c>
      <c r="I129" s="64">
        <v>8219.318181818182</v>
      </c>
      <c r="J129" s="64">
        <v>-7803.7593984962405</v>
      </c>
      <c r="K129" s="63">
        <v>3.968253968253968E-2</v>
      </c>
      <c r="L129" s="63">
        <v>0.26971762414800388</v>
      </c>
      <c r="M129" s="63">
        <v>0.22979552093476144</v>
      </c>
      <c r="N129" s="63">
        <v>0.6028880866425993</v>
      </c>
      <c r="O129" s="63">
        <v>0.47457627118644069</v>
      </c>
      <c r="P129" s="63">
        <v>0.42329545454545453</v>
      </c>
    </row>
    <row r="130" spans="1:16" x14ac:dyDescent="0.45">
      <c r="A130" s="65">
        <v>127</v>
      </c>
      <c r="B130" s="62">
        <v>1093.9000000000001</v>
      </c>
      <c r="C130" s="62">
        <v>8.6133858267716548</v>
      </c>
      <c r="D130" s="67">
        <v>1.7874015748031495</v>
      </c>
      <c r="E130" s="63">
        <v>0.45669291338582679</v>
      </c>
      <c r="F130" s="63">
        <v>0.24409448818897639</v>
      </c>
      <c r="G130" s="63">
        <v>0.34200385356454721</v>
      </c>
      <c r="H130" s="63">
        <v>0.13005780346820808</v>
      </c>
      <c r="I130" s="64">
        <v>8203.6619718309867</v>
      </c>
      <c r="J130" s="64">
        <v>-7776.2962962962965</v>
      </c>
      <c r="K130" s="63">
        <v>3.937007874015748E-2</v>
      </c>
      <c r="L130" s="63">
        <v>0.27167630057803466</v>
      </c>
      <c r="M130" s="63">
        <v>0.22832369942196531</v>
      </c>
      <c r="N130" s="63">
        <v>0.5957446808510638</v>
      </c>
      <c r="O130" s="63">
        <v>0.47679324894514769</v>
      </c>
      <c r="P130" s="63">
        <v>0.42535211267605633</v>
      </c>
    </row>
    <row r="131" spans="1:16" x14ac:dyDescent="0.45">
      <c r="A131" s="65">
        <v>128</v>
      </c>
      <c r="B131" s="62">
        <v>1098.6000000000001</v>
      </c>
      <c r="C131" s="62">
        <v>8.5828125000000011</v>
      </c>
      <c r="D131" s="67">
        <v>1.7890625</v>
      </c>
      <c r="E131" s="63">
        <v>0.453125</v>
      </c>
      <c r="F131" s="63">
        <v>0.2421875</v>
      </c>
      <c r="G131" s="63">
        <v>0.34291187739463602</v>
      </c>
      <c r="H131" s="63">
        <v>0.13026819923371646</v>
      </c>
      <c r="I131" s="64">
        <v>8222.0670391061449</v>
      </c>
      <c r="J131" s="64">
        <v>-7851.4705882352937</v>
      </c>
      <c r="K131" s="63">
        <v>3.90625E-2</v>
      </c>
      <c r="L131" s="63">
        <v>0.27203065134099619</v>
      </c>
      <c r="M131" s="63">
        <v>0.22796934865900384</v>
      </c>
      <c r="N131" s="63">
        <v>0.59507042253521125</v>
      </c>
      <c r="O131" s="63">
        <v>0.47899159663865548</v>
      </c>
      <c r="P131" s="63">
        <v>0.42737430167597767</v>
      </c>
    </row>
    <row r="132" spans="1:16" x14ac:dyDescent="0.45">
      <c r="A132" s="65">
        <v>129</v>
      </c>
      <c r="B132" s="62">
        <v>1120.8000000000002</v>
      </c>
      <c r="C132" s="62">
        <v>8.6883720930232577</v>
      </c>
      <c r="D132" s="67">
        <v>1.7829457364341086</v>
      </c>
      <c r="E132" s="63">
        <v>0.4573643410852713</v>
      </c>
      <c r="F132" s="63">
        <v>0.24031007751937986</v>
      </c>
      <c r="G132" s="63">
        <v>0.34315589353612169</v>
      </c>
      <c r="H132" s="63">
        <v>0.13117870722433461</v>
      </c>
      <c r="I132" s="64">
        <v>8230.4709141274234</v>
      </c>
      <c r="J132" s="64">
        <v>-7853.623188405797</v>
      </c>
      <c r="K132" s="63">
        <v>3.875968992248062E-2</v>
      </c>
      <c r="L132" s="63">
        <v>0.27281368821292773</v>
      </c>
      <c r="M132" s="63">
        <v>0.22718631178707224</v>
      </c>
      <c r="N132" s="63">
        <v>0.59233449477351918</v>
      </c>
      <c r="O132" s="63">
        <v>0.48117154811715479</v>
      </c>
      <c r="P132" s="63">
        <v>0.4265927977839335</v>
      </c>
    </row>
    <row r="133" spans="1:16" x14ac:dyDescent="0.45">
      <c r="A133" s="65">
        <v>130</v>
      </c>
      <c r="B133" s="62">
        <v>1072.3000000000002</v>
      </c>
      <c r="C133" s="62">
        <v>8.2484615384615392</v>
      </c>
      <c r="D133" s="67">
        <v>1.7923076923076924</v>
      </c>
      <c r="E133" s="63">
        <v>0.45384615384615384</v>
      </c>
      <c r="F133" s="63">
        <v>0.24615384615384617</v>
      </c>
      <c r="G133" s="63">
        <v>0.34118755890669178</v>
      </c>
      <c r="H133" s="63">
        <v>0.13100848256361922</v>
      </c>
      <c r="I133" s="64">
        <v>8216.5745856353587</v>
      </c>
      <c r="J133" s="64">
        <v>-7852.517985611511</v>
      </c>
      <c r="K133" s="63">
        <v>4.6153846153846156E-2</v>
      </c>
      <c r="L133" s="63">
        <v>0.27238454288407166</v>
      </c>
      <c r="M133" s="63">
        <v>0.22525918944392084</v>
      </c>
      <c r="N133" s="63">
        <v>0.59169550173010377</v>
      </c>
      <c r="O133" s="63">
        <v>0.48117154811715479</v>
      </c>
      <c r="P133" s="63">
        <v>0.425414364640884</v>
      </c>
    </row>
    <row r="134" spans="1:16" x14ac:dyDescent="0.45">
      <c r="A134" s="65">
        <v>131</v>
      </c>
      <c r="B134" s="62">
        <v>1138.5000000000002</v>
      </c>
      <c r="C134" s="62">
        <v>8.690839694656491</v>
      </c>
      <c r="D134" s="67">
        <v>1.7862595419847329</v>
      </c>
      <c r="E134" s="63">
        <v>0.4580152671755725</v>
      </c>
      <c r="F134" s="63">
        <v>0.24427480916030533</v>
      </c>
      <c r="G134" s="63">
        <v>0.34299065420560748</v>
      </c>
      <c r="H134" s="63">
        <v>0.13177570093457944</v>
      </c>
      <c r="I134" s="64">
        <v>8279.0190735694814</v>
      </c>
      <c r="J134" s="64">
        <v>-7792.9078014184397</v>
      </c>
      <c r="K134" s="63">
        <v>4.5801526717557252E-2</v>
      </c>
      <c r="L134" s="63">
        <v>0.27102803738317754</v>
      </c>
      <c r="M134" s="63">
        <v>0.22429906542056074</v>
      </c>
      <c r="N134" s="63">
        <v>0.59310344827586203</v>
      </c>
      <c r="O134" s="63">
        <v>0.48333333333333334</v>
      </c>
      <c r="P134" s="63">
        <v>0.42506811989100818</v>
      </c>
    </row>
    <row r="135" spans="1:16" x14ac:dyDescent="0.45">
      <c r="A135" s="65">
        <v>132</v>
      </c>
      <c r="B135" s="62">
        <v>1192.7000000000003</v>
      </c>
      <c r="C135" s="62">
        <v>9.035606060606062</v>
      </c>
      <c r="D135" s="67">
        <v>1.7803030303030303</v>
      </c>
      <c r="E135" s="63">
        <v>0.4621212121212121</v>
      </c>
      <c r="F135" s="63">
        <v>0.24242424242424243</v>
      </c>
      <c r="G135" s="63">
        <v>0.34508348794063082</v>
      </c>
      <c r="H135" s="63">
        <v>0.13079777365491652</v>
      </c>
      <c r="I135" s="64">
        <v>8283.8709677419356</v>
      </c>
      <c r="J135" s="64">
        <v>-7792.9078014184397</v>
      </c>
      <c r="K135" s="63">
        <v>4.5454545454545456E-2</v>
      </c>
      <c r="L135" s="63">
        <v>0.27272727272727271</v>
      </c>
      <c r="M135" s="63">
        <v>0.22356215213358072</v>
      </c>
      <c r="N135" s="63">
        <v>0.59863945578231292</v>
      </c>
      <c r="O135" s="63">
        <v>0.48132780082987553</v>
      </c>
      <c r="P135" s="63">
        <v>0.42741935483870969</v>
      </c>
    </row>
    <row r="136" spans="1:16" x14ac:dyDescent="0.45">
      <c r="A136" s="65">
        <v>133</v>
      </c>
      <c r="B136" s="62">
        <v>1208.4000000000003</v>
      </c>
      <c r="C136" s="62">
        <v>9.085714285714289</v>
      </c>
      <c r="D136" s="67">
        <v>1.7744360902255638</v>
      </c>
      <c r="E136" s="63">
        <v>0.46616541353383456</v>
      </c>
      <c r="F136" s="63">
        <v>0.24060150375939848</v>
      </c>
      <c r="G136" s="63">
        <v>0.34466911764705882</v>
      </c>
      <c r="H136" s="63">
        <v>0.12959558823529413</v>
      </c>
      <c r="I136" s="64">
        <v>8265.8666666666668</v>
      </c>
      <c r="J136" s="64">
        <v>-7792.9078014184397</v>
      </c>
      <c r="K136" s="63">
        <v>4.5112781954887216E-2</v>
      </c>
      <c r="L136" s="63">
        <v>0.27205882352941174</v>
      </c>
      <c r="M136" s="63">
        <v>0.22242647058823528</v>
      </c>
      <c r="N136" s="63">
        <v>0.60135135135135132</v>
      </c>
      <c r="O136" s="63">
        <v>0.47933884297520662</v>
      </c>
      <c r="P136" s="63">
        <v>0.42666666666666669</v>
      </c>
    </row>
    <row r="137" spans="1:16" x14ac:dyDescent="0.45">
      <c r="A137" s="65">
        <v>134</v>
      </c>
      <c r="B137" s="62">
        <v>1166.7000000000003</v>
      </c>
      <c r="C137" s="62">
        <v>8.7067164179104495</v>
      </c>
      <c r="D137" s="67">
        <v>1.7835820895522387</v>
      </c>
      <c r="E137" s="63">
        <v>0.46268656716417911</v>
      </c>
      <c r="F137" s="63">
        <v>0.2462686567164179</v>
      </c>
      <c r="G137" s="63">
        <v>0.34303912647861695</v>
      </c>
      <c r="H137" s="63">
        <v>0.13102820746132848</v>
      </c>
      <c r="I137" s="64">
        <v>8235.2785145888593</v>
      </c>
      <c r="J137" s="64">
        <v>-7797.916666666667</v>
      </c>
      <c r="K137" s="63">
        <v>4.4776119402985072E-2</v>
      </c>
      <c r="L137" s="63">
        <v>0.27115559599636035</v>
      </c>
      <c r="M137" s="63">
        <v>0.22292993630573249</v>
      </c>
      <c r="N137" s="63">
        <v>0.59731543624161076</v>
      </c>
      <c r="O137" s="63">
        <v>0.47755102040816327</v>
      </c>
      <c r="P137" s="63">
        <v>0.4270557029177719</v>
      </c>
    </row>
    <row r="138" spans="1:16" x14ac:dyDescent="0.45">
      <c r="A138" s="65">
        <v>135</v>
      </c>
      <c r="B138" s="62">
        <v>1154.1000000000004</v>
      </c>
      <c r="C138" s="62">
        <v>8.5488888888888912</v>
      </c>
      <c r="D138" s="67">
        <v>1.7851851851851852</v>
      </c>
      <c r="E138" s="63">
        <v>0.45925925925925926</v>
      </c>
      <c r="F138" s="63">
        <v>0.24444444444444444</v>
      </c>
      <c r="G138" s="63">
        <v>0.34115523465703973</v>
      </c>
      <c r="H138" s="63">
        <v>0.13267148014440433</v>
      </c>
      <c r="I138" s="64">
        <v>8298.1481481481478</v>
      </c>
      <c r="J138" s="64">
        <v>-7783.6734693877552</v>
      </c>
      <c r="K138" s="63">
        <v>4.4444444444444446E-2</v>
      </c>
      <c r="L138" s="63">
        <v>0.27075812274368233</v>
      </c>
      <c r="M138" s="63">
        <v>0.22202166064981949</v>
      </c>
      <c r="N138" s="63">
        <v>0.59333333333333338</v>
      </c>
      <c r="O138" s="63">
        <v>0.47967479674796748</v>
      </c>
      <c r="P138" s="63">
        <v>0.42592592592592593</v>
      </c>
    </row>
    <row r="139" spans="1:16" x14ac:dyDescent="0.45">
      <c r="A139" s="65">
        <v>136</v>
      </c>
      <c r="B139" s="62">
        <v>1129.8000000000004</v>
      </c>
      <c r="C139" s="62">
        <v>8.3073529411764735</v>
      </c>
      <c r="D139" s="67">
        <v>1.7941176470588236</v>
      </c>
      <c r="E139" s="63">
        <v>0.45588235294117646</v>
      </c>
      <c r="F139" s="63">
        <v>0.25</v>
      </c>
      <c r="G139" s="63">
        <v>0.3399103139013453</v>
      </c>
      <c r="H139" s="63">
        <v>0.13183856502242153</v>
      </c>
      <c r="I139" s="64">
        <v>8282.0580474934031</v>
      </c>
      <c r="J139" s="64">
        <v>-7783.6734693877552</v>
      </c>
      <c r="K139" s="63">
        <v>4.4117647058823532E-2</v>
      </c>
      <c r="L139" s="63">
        <v>0.26905829596412556</v>
      </c>
      <c r="M139" s="63">
        <v>0.22242152466367712</v>
      </c>
      <c r="N139" s="63">
        <v>0.59333333333333338</v>
      </c>
      <c r="O139" s="63">
        <v>0.47983870967741937</v>
      </c>
      <c r="P139" s="63">
        <v>0.42744063324538256</v>
      </c>
    </row>
    <row r="140" spans="1:16" x14ac:dyDescent="0.45">
      <c r="A140" s="65">
        <v>137</v>
      </c>
      <c r="B140" s="62">
        <v>1111.1000000000004</v>
      </c>
      <c r="C140" s="62">
        <v>8.1102189781021927</v>
      </c>
      <c r="D140" s="67">
        <v>1.802919708029197</v>
      </c>
      <c r="E140" s="63">
        <v>0.45255474452554745</v>
      </c>
      <c r="F140" s="63">
        <v>0.25547445255474455</v>
      </c>
      <c r="G140" s="63">
        <v>0.33957219251336901</v>
      </c>
      <c r="H140" s="63">
        <v>0.1319073083778966</v>
      </c>
      <c r="I140" s="64">
        <v>8245.9317585301833</v>
      </c>
      <c r="J140" s="64">
        <v>-7757.4324324324325</v>
      </c>
      <c r="K140" s="63">
        <v>4.3795620437956206E-2</v>
      </c>
      <c r="L140" s="63">
        <v>0.26827094474153296</v>
      </c>
      <c r="M140" s="63">
        <v>0.22370766488413546</v>
      </c>
      <c r="N140" s="63">
        <v>0.59136212624584716</v>
      </c>
      <c r="O140" s="63">
        <v>0.48207171314741037</v>
      </c>
      <c r="P140" s="63">
        <v>0.43044619422572178</v>
      </c>
    </row>
    <row r="141" spans="1:16" x14ac:dyDescent="0.45">
      <c r="A141" s="65">
        <v>138</v>
      </c>
      <c r="B141" s="62">
        <v>1174.7000000000003</v>
      </c>
      <c r="C141" s="62">
        <v>8.512318840579713</v>
      </c>
      <c r="D141" s="67">
        <v>1.7971014492753623</v>
      </c>
      <c r="E141" s="63">
        <v>0.45652173913043476</v>
      </c>
      <c r="F141" s="63">
        <v>0.25362318840579712</v>
      </c>
      <c r="G141" s="63">
        <v>0.34217506631299732</v>
      </c>
      <c r="H141" s="63">
        <v>0.13085764809902742</v>
      </c>
      <c r="I141" s="64">
        <v>8238.5012919896635</v>
      </c>
      <c r="J141" s="64">
        <v>-7757.4324324324325</v>
      </c>
      <c r="K141" s="63">
        <v>4.3478260869565216E-2</v>
      </c>
      <c r="L141" s="63">
        <v>0.27055702917771884</v>
      </c>
      <c r="M141" s="63">
        <v>0.22281167108753316</v>
      </c>
      <c r="N141" s="63">
        <v>0.59803921568627449</v>
      </c>
      <c r="O141" s="63">
        <v>0.48015873015873017</v>
      </c>
      <c r="P141" s="63">
        <v>0.4289405684754522</v>
      </c>
    </row>
    <row r="142" spans="1:16" x14ac:dyDescent="0.45">
      <c r="A142" s="65">
        <v>139</v>
      </c>
      <c r="B142" s="62">
        <v>1218.3000000000002</v>
      </c>
      <c r="C142" s="62">
        <v>8.7647482014388505</v>
      </c>
      <c r="D142" s="67">
        <v>1.7913669064748201</v>
      </c>
      <c r="E142" s="63">
        <v>0.46043165467625902</v>
      </c>
      <c r="F142" s="63">
        <v>0.25179856115107913</v>
      </c>
      <c r="G142" s="63">
        <v>0.343585237258348</v>
      </c>
      <c r="H142" s="63">
        <v>0.13093145869947276</v>
      </c>
      <c r="I142" s="64">
        <v>8250.1278772378519</v>
      </c>
      <c r="J142" s="64">
        <v>-7724.8322147651006</v>
      </c>
      <c r="K142" s="63">
        <v>4.3165467625899283E-2</v>
      </c>
      <c r="L142" s="63">
        <v>0.27065026362038663</v>
      </c>
      <c r="M142" s="63">
        <v>0.22407732864674867</v>
      </c>
      <c r="N142" s="63">
        <v>0.60064935064935066</v>
      </c>
      <c r="O142" s="63">
        <v>0.4823529411764706</v>
      </c>
      <c r="P142" s="63">
        <v>0.42710997442455245</v>
      </c>
    </row>
    <row r="143" spans="1:16" x14ac:dyDescent="0.45">
      <c r="A143" s="65">
        <v>140</v>
      </c>
      <c r="B143" s="62">
        <v>1245.7000000000003</v>
      </c>
      <c r="C143" s="62">
        <v>8.8978571428571449</v>
      </c>
      <c r="D143" s="67">
        <v>1.7857142857142858</v>
      </c>
      <c r="E143" s="63">
        <v>0.4642857142857143</v>
      </c>
      <c r="F143" s="63">
        <v>0.25</v>
      </c>
      <c r="G143" s="63">
        <v>0.34377719756309832</v>
      </c>
      <c r="H143" s="63">
        <v>0.13054830287206268</v>
      </c>
      <c r="I143" s="64">
        <v>8216.2025316455693</v>
      </c>
      <c r="J143" s="64">
        <v>-7680</v>
      </c>
      <c r="K143" s="63">
        <v>4.2857142857142858E-2</v>
      </c>
      <c r="L143" s="63">
        <v>0.26979982593559615</v>
      </c>
      <c r="M143" s="63">
        <v>0.22541340295909487</v>
      </c>
      <c r="N143" s="63">
        <v>0.60322580645161294</v>
      </c>
      <c r="O143" s="63">
        <v>0.4826254826254826</v>
      </c>
      <c r="P143" s="63">
        <v>0.42278481012658226</v>
      </c>
    </row>
    <row r="144" spans="1:16" x14ac:dyDescent="0.45">
      <c r="A144" s="65">
        <v>141</v>
      </c>
      <c r="B144" s="62">
        <v>1262.8000000000002</v>
      </c>
      <c r="C144" s="62">
        <v>8.9560283687943283</v>
      </c>
      <c r="D144" s="67">
        <v>1.7801418439716312</v>
      </c>
      <c r="E144" s="63">
        <v>0.46808510638297873</v>
      </c>
      <c r="F144" s="63">
        <v>0.24822695035460993</v>
      </c>
      <c r="G144" s="63">
        <v>0.34429065743944637</v>
      </c>
      <c r="H144" s="63">
        <v>0.13148788927335639</v>
      </c>
      <c r="I144" s="64">
        <v>8222.1105527638192</v>
      </c>
      <c r="J144" s="64">
        <v>-7638.1578947368425</v>
      </c>
      <c r="K144" s="63">
        <v>4.2553191489361701E-2</v>
      </c>
      <c r="L144" s="63">
        <v>0.27076124567474047</v>
      </c>
      <c r="M144" s="63">
        <v>0.22491349480968859</v>
      </c>
      <c r="N144" s="63">
        <v>0.60383386581469645</v>
      </c>
      <c r="O144" s="63">
        <v>0.48461538461538461</v>
      </c>
      <c r="P144" s="63">
        <v>0.42462311557788945</v>
      </c>
    </row>
    <row r="145" spans="1:16" x14ac:dyDescent="0.45">
      <c r="A145" s="65">
        <v>142</v>
      </c>
      <c r="B145" s="62">
        <v>1242.8000000000002</v>
      </c>
      <c r="C145" s="62">
        <v>8.7521126760563401</v>
      </c>
      <c r="D145" s="67">
        <v>1.7887323943661972</v>
      </c>
      <c r="E145" s="63">
        <v>0.46478873239436619</v>
      </c>
      <c r="F145" s="63">
        <v>0.25352112676056338</v>
      </c>
      <c r="G145" s="63">
        <v>0.34334763948497854</v>
      </c>
      <c r="H145" s="63">
        <v>0.1313304721030043</v>
      </c>
      <c r="I145" s="64">
        <v>8226</v>
      </c>
      <c r="J145" s="64">
        <v>-7640.5228758169933</v>
      </c>
      <c r="K145" s="63">
        <v>4.2253521126760563E-2</v>
      </c>
      <c r="L145" s="63">
        <v>0.27038626609442062</v>
      </c>
      <c r="M145" s="63">
        <v>0.22489270386266094</v>
      </c>
      <c r="N145" s="63">
        <v>0.6063492063492063</v>
      </c>
      <c r="O145" s="63">
        <v>0.48091603053435117</v>
      </c>
      <c r="P145" s="63">
        <v>0.42499999999999999</v>
      </c>
    </row>
    <row r="146" spans="1:16" x14ac:dyDescent="0.45">
      <c r="A146" s="65">
        <v>143</v>
      </c>
      <c r="B146" s="62">
        <v>1197.3000000000002</v>
      </c>
      <c r="C146" s="62">
        <v>8.3727272727272748</v>
      </c>
      <c r="D146" s="67">
        <v>1.7972027972027973</v>
      </c>
      <c r="E146" s="63">
        <v>0.46153846153846156</v>
      </c>
      <c r="F146" s="63">
        <v>0.25874125874125875</v>
      </c>
      <c r="G146" s="63">
        <v>0.34188034188034189</v>
      </c>
      <c r="H146" s="63">
        <v>0.13247863247863248</v>
      </c>
      <c r="I146" s="64">
        <v>8226</v>
      </c>
      <c r="J146" s="64">
        <v>-7709.677419354839</v>
      </c>
      <c r="K146" s="63">
        <v>4.8951048951048952E-2</v>
      </c>
      <c r="L146" s="63">
        <v>0.27008547008547007</v>
      </c>
      <c r="M146" s="63">
        <v>0.22478632478632479</v>
      </c>
      <c r="N146" s="63">
        <v>0.60443037974683544</v>
      </c>
      <c r="O146" s="63">
        <v>0.47908745247148288</v>
      </c>
      <c r="P146" s="63">
        <v>0.42499999999999999</v>
      </c>
    </row>
    <row r="147" spans="1:16" x14ac:dyDescent="0.45">
      <c r="A147" s="65">
        <v>144</v>
      </c>
      <c r="B147" s="62">
        <v>1171.1000000000001</v>
      </c>
      <c r="C147" s="62">
        <v>8.1326388888888896</v>
      </c>
      <c r="D147" s="67">
        <v>1.8055555555555556</v>
      </c>
      <c r="E147" s="63">
        <v>0.45833333333333331</v>
      </c>
      <c r="F147" s="63">
        <v>0.2638888888888889</v>
      </c>
      <c r="G147" s="63">
        <v>0.34069668649107904</v>
      </c>
      <c r="H147" s="63">
        <v>0.13254035683942225</v>
      </c>
      <c r="I147" s="64">
        <v>8218.4538653366581</v>
      </c>
      <c r="J147" s="64">
        <v>-7669.8717948717949</v>
      </c>
      <c r="K147" s="63">
        <v>4.8611111111111112E-2</v>
      </c>
      <c r="L147" s="63">
        <v>0.27102803738317754</v>
      </c>
      <c r="M147" s="63">
        <v>0.22514868309260833</v>
      </c>
      <c r="N147" s="63">
        <v>0.60188087774294674</v>
      </c>
      <c r="O147" s="63">
        <v>0.47547169811320755</v>
      </c>
      <c r="P147" s="63">
        <v>0.42394014962593518</v>
      </c>
    </row>
    <row r="148" spans="1:16" x14ac:dyDescent="0.45">
      <c r="A148" s="65">
        <v>145</v>
      </c>
      <c r="B148" s="62">
        <v>1175.0000000000002</v>
      </c>
      <c r="C148" s="62">
        <v>8.1034482758620712</v>
      </c>
      <c r="D148" s="67">
        <v>1.806896551724138</v>
      </c>
      <c r="E148" s="63">
        <v>0.45517241379310347</v>
      </c>
      <c r="F148" s="63">
        <v>0.2620689655172414</v>
      </c>
      <c r="G148" s="63">
        <v>0.34148397976391232</v>
      </c>
      <c r="H148" s="63">
        <v>0.13153456998313659</v>
      </c>
      <c r="I148" s="64">
        <v>8205.6790123456794</v>
      </c>
      <c r="J148" s="64">
        <v>-7669.8717948717949</v>
      </c>
      <c r="K148" s="63">
        <v>4.8275862068965517E-2</v>
      </c>
      <c r="L148" s="63">
        <v>0.27150084317032042</v>
      </c>
      <c r="M148" s="63">
        <v>0.22344013490725126</v>
      </c>
      <c r="N148" s="63">
        <v>0.60559006211180122</v>
      </c>
      <c r="O148" s="63">
        <v>0.47547169811320755</v>
      </c>
      <c r="P148" s="63">
        <v>0.42222222222222222</v>
      </c>
    </row>
    <row r="149" spans="1:16" x14ac:dyDescent="0.45">
      <c r="A149" s="65">
        <v>146</v>
      </c>
      <c r="B149" s="62">
        <v>1172.2000000000003</v>
      </c>
      <c r="C149" s="62">
        <v>8.0287671232876736</v>
      </c>
      <c r="D149" s="67">
        <v>1.8082191780821917</v>
      </c>
      <c r="E149" s="63">
        <v>0.45205479452054792</v>
      </c>
      <c r="F149" s="63">
        <v>0.26027397260273971</v>
      </c>
      <c r="G149" s="63">
        <v>0.34225941422594142</v>
      </c>
      <c r="H149" s="63">
        <v>0.13138075313807532</v>
      </c>
      <c r="I149" s="64">
        <v>8175.0611246943763</v>
      </c>
      <c r="J149" s="64">
        <v>-7697.4522292993634</v>
      </c>
      <c r="K149" s="63">
        <v>4.7945205479452052E-2</v>
      </c>
      <c r="L149" s="63">
        <v>0.27029288702928872</v>
      </c>
      <c r="M149" s="63">
        <v>0.22594142259414227</v>
      </c>
      <c r="N149" s="63">
        <v>0.60371517027863775</v>
      </c>
      <c r="O149" s="63">
        <v>0.48148148148148145</v>
      </c>
      <c r="P149" s="63">
        <v>0.42053789731051344</v>
      </c>
    </row>
    <row r="150" spans="1:16" x14ac:dyDescent="0.45">
      <c r="A150" s="65">
        <v>147</v>
      </c>
      <c r="B150" s="62">
        <v>1141.3000000000002</v>
      </c>
      <c r="C150" s="62">
        <v>7.7639455782312936</v>
      </c>
      <c r="D150" s="67">
        <v>1.8163265306122449</v>
      </c>
      <c r="E150" s="63">
        <v>0.44897959183673469</v>
      </c>
      <c r="F150" s="63">
        <v>0.26530612244897961</v>
      </c>
      <c r="G150" s="63">
        <v>0.34138218151540384</v>
      </c>
      <c r="H150" s="63">
        <v>0.13322231473771856</v>
      </c>
      <c r="I150" s="64">
        <v>8167.8048780487807</v>
      </c>
      <c r="J150" s="64">
        <v>-7688.75</v>
      </c>
      <c r="K150" s="63">
        <v>4.7619047619047616E-2</v>
      </c>
      <c r="L150" s="63">
        <v>0.26977518734388012</v>
      </c>
      <c r="M150" s="63">
        <v>0.22731057452123229</v>
      </c>
      <c r="N150" s="63">
        <v>0.60185185185185186</v>
      </c>
      <c r="O150" s="63">
        <v>0.47985347985347987</v>
      </c>
      <c r="P150" s="63">
        <v>0.4195121951219512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4AFE1-70F0-4B53-8047-E4CAA74D512A}">
  <sheetPr codeName="Sheet8"/>
  <dimension ref="A1:Q6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5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5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5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5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5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5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5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5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5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5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5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5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5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5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5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5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5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5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5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5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5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5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5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5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5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5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5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5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5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5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5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5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5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5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5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5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5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5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5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5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5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5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5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5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5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5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5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5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5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5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5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5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5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5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5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  <row r="60" spans="1:16" x14ac:dyDescent="0.45">
      <c r="A60" s="65">
        <v>57</v>
      </c>
      <c r="B60" s="62">
        <v>-389.2000000000001</v>
      </c>
      <c r="C60" s="62">
        <v>-6.8280701754385982</v>
      </c>
      <c r="D60" s="67">
        <v>2.1578947368421053</v>
      </c>
      <c r="E60" s="63">
        <v>0.31578947368421051</v>
      </c>
      <c r="F60" s="63">
        <v>0.47368421052631576</v>
      </c>
      <c r="G60" s="63">
        <v>0.26862745098039215</v>
      </c>
      <c r="H60" s="63">
        <v>0.15490196078431373</v>
      </c>
      <c r="I60" s="64">
        <v>7048.175182481752</v>
      </c>
      <c r="J60" s="64">
        <v>-7786.0759493670885</v>
      </c>
      <c r="K60" s="63">
        <v>3.5087719298245612E-2</v>
      </c>
      <c r="L60" s="63">
        <v>0.15294117647058825</v>
      </c>
      <c r="M60" s="63">
        <v>0.23921568627450981</v>
      </c>
      <c r="N60" s="63">
        <v>0.48717948717948717</v>
      </c>
      <c r="O60" s="63">
        <v>0.40163934426229508</v>
      </c>
      <c r="P60" s="63">
        <v>0.38686131386861317</v>
      </c>
    </row>
    <row r="61" spans="1:16" x14ac:dyDescent="0.45">
      <c r="A61" s="65">
        <v>58</v>
      </c>
      <c r="B61" s="62">
        <v>-436.00000000000011</v>
      </c>
      <c r="C61" s="62">
        <v>-7.517241379310347</v>
      </c>
      <c r="D61" s="67">
        <v>2.1724137931034484</v>
      </c>
      <c r="E61" s="63">
        <v>0.31034482758620691</v>
      </c>
      <c r="F61" s="63">
        <v>0.48275862068965519</v>
      </c>
      <c r="G61" s="63">
        <v>0.26692456479690524</v>
      </c>
      <c r="H61" s="63">
        <v>0.15473887814313347</v>
      </c>
      <c r="I61" s="64">
        <v>7015.942028985507</v>
      </c>
      <c r="J61" s="64">
        <v>-7725</v>
      </c>
      <c r="K61" s="63">
        <v>5.1724137931034482E-2</v>
      </c>
      <c r="L61" s="63">
        <v>0.15280464216634429</v>
      </c>
      <c r="M61" s="63">
        <v>0.23791102514506771</v>
      </c>
      <c r="N61" s="63">
        <v>0.49367088607594939</v>
      </c>
      <c r="O61" s="63">
        <v>0.3983739837398374</v>
      </c>
      <c r="P61" s="63">
        <v>0.38405797101449274</v>
      </c>
    </row>
    <row r="62" spans="1:16" x14ac:dyDescent="0.45">
      <c r="A62" s="65">
        <v>59</v>
      </c>
      <c r="B62" s="62">
        <v>-399.2000000000001</v>
      </c>
      <c r="C62" s="62">
        <v>-6.7661016949152559</v>
      </c>
      <c r="D62" s="67">
        <v>2.152542372881356</v>
      </c>
      <c r="E62" s="63">
        <v>0.32203389830508472</v>
      </c>
      <c r="F62" s="63">
        <v>0.47457627118644069</v>
      </c>
      <c r="G62" s="63">
        <v>0.27134724857685011</v>
      </c>
      <c r="H62" s="63">
        <v>0.15370018975332067</v>
      </c>
      <c r="I62" s="64">
        <v>7116.0839160839159</v>
      </c>
      <c r="J62" s="64">
        <v>-7661.7283950617284</v>
      </c>
      <c r="K62" s="63">
        <v>5.0847457627118647E-2</v>
      </c>
      <c r="L62" s="63">
        <v>0.14990512333965844</v>
      </c>
      <c r="M62" s="63">
        <v>0.23908918406072105</v>
      </c>
      <c r="N62" s="63">
        <v>0.49367088607594939</v>
      </c>
      <c r="O62" s="63">
        <v>0.40476190476190477</v>
      </c>
      <c r="P62" s="63">
        <v>0.38461538461538464</v>
      </c>
    </row>
    <row r="63" spans="1:16" x14ac:dyDescent="0.45">
      <c r="A63" s="65">
        <v>60</v>
      </c>
      <c r="B63" s="62">
        <v>-444.30000000000013</v>
      </c>
      <c r="C63" s="62">
        <v>-7.405000000000002</v>
      </c>
      <c r="D63" s="67">
        <v>2.1666666666666665</v>
      </c>
      <c r="E63" s="63">
        <v>0.31666666666666665</v>
      </c>
      <c r="F63" s="63">
        <v>0.48333333333333334</v>
      </c>
      <c r="G63" s="63">
        <v>0.26679104477611942</v>
      </c>
      <c r="H63" s="63">
        <v>0.15858208955223882</v>
      </c>
      <c r="I63" s="64">
        <v>7116.0839160839159</v>
      </c>
      <c r="J63" s="64">
        <v>-7543.5294117647063</v>
      </c>
      <c r="K63" s="63">
        <v>6.6666666666666666E-2</v>
      </c>
      <c r="L63" s="63">
        <v>0.14925373134328357</v>
      </c>
      <c r="M63" s="63">
        <v>0.24067164179104478</v>
      </c>
      <c r="N63" s="63">
        <v>0.48749999999999999</v>
      </c>
      <c r="O63" s="63">
        <v>0.39534883720930231</v>
      </c>
      <c r="P63" s="63">
        <v>0.38461538461538464</v>
      </c>
    </row>
    <row r="64" spans="1:16" x14ac:dyDescent="0.45">
      <c r="A64" s="65">
        <v>61</v>
      </c>
      <c r="B64" s="62">
        <v>-491.00000000000011</v>
      </c>
      <c r="C64" s="62">
        <v>-8.0491803278688536</v>
      </c>
      <c r="D64" s="67">
        <v>2.180327868852459</v>
      </c>
      <c r="E64" s="63">
        <v>0.31147540983606559</v>
      </c>
      <c r="F64" s="63">
        <v>0.49180327868852458</v>
      </c>
      <c r="G64" s="63">
        <v>0.26470588235294118</v>
      </c>
      <c r="H64" s="63">
        <v>0.15992647058823528</v>
      </c>
      <c r="I64" s="64">
        <v>7150</v>
      </c>
      <c r="J64" s="64">
        <v>-7636.7816091954019</v>
      </c>
      <c r="K64" s="63">
        <v>8.1967213114754092E-2</v>
      </c>
      <c r="L64" s="63">
        <v>0.14889705882352941</v>
      </c>
      <c r="M64" s="63">
        <v>0.23897058823529413</v>
      </c>
      <c r="N64" s="63">
        <v>0.48148148148148145</v>
      </c>
      <c r="O64" s="63">
        <v>0.4</v>
      </c>
      <c r="P64" s="63">
        <v>0.38194444444444442</v>
      </c>
    </row>
    <row r="65" spans="1:16" x14ac:dyDescent="0.45">
      <c r="A65" s="65">
        <v>62</v>
      </c>
      <c r="B65" s="62">
        <v>-482.00000000000011</v>
      </c>
      <c r="C65" s="62">
        <v>-7.7741935483870988</v>
      </c>
      <c r="D65" s="67">
        <v>2.1774193548387095</v>
      </c>
      <c r="E65" s="63">
        <v>0.30645161290322581</v>
      </c>
      <c r="F65" s="63">
        <v>0.4838709677419355</v>
      </c>
      <c r="G65" s="63">
        <v>0.26497277676950998</v>
      </c>
      <c r="H65" s="63">
        <v>0.15970961887477314</v>
      </c>
      <c r="I65" s="64">
        <v>7195.2054794520545</v>
      </c>
      <c r="J65" s="64">
        <v>-7594.318181818182</v>
      </c>
      <c r="K65" s="63">
        <v>8.0645161290322578E-2</v>
      </c>
      <c r="L65" s="63">
        <v>0.14700544464609799</v>
      </c>
      <c r="M65" s="63">
        <v>0.2413793103448276</v>
      </c>
      <c r="N65" s="63">
        <v>0.48148148148148145</v>
      </c>
      <c r="O65" s="63">
        <v>0.39097744360902253</v>
      </c>
      <c r="P65" s="63">
        <v>0.38356164383561642</v>
      </c>
    </row>
    <row r="66" spans="1:16" x14ac:dyDescent="0.45">
      <c r="A66" s="65">
        <v>63</v>
      </c>
      <c r="B66" s="62">
        <v>-522.20000000000016</v>
      </c>
      <c r="C66" s="62">
        <v>-8.2888888888888914</v>
      </c>
      <c r="D66" s="67">
        <v>2.1904761904761907</v>
      </c>
      <c r="E66" s="63">
        <v>0.30158730158730157</v>
      </c>
      <c r="F66" s="63">
        <v>0.49206349206349204</v>
      </c>
      <c r="G66" s="63">
        <v>0.26250000000000001</v>
      </c>
      <c r="H66" s="63">
        <v>0.16071428571428573</v>
      </c>
      <c r="I66" s="64">
        <v>7160.5442176870747</v>
      </c>
      <c r="J66" s="64">
        <v>-7573.333333333333</v>
      </c>
      <c r="K66" s="63">
        <v>7.9365079365079361E-2</v>
      </c>
      <c r="L66" s="63">
        <v>0.14464285714285716</v>
      </c>
      <c r="M66" s="63">
        <v>0.2392857142857143</v>
      </c>
      <c r="N66" s="63">
        <v>0.48148148148148145</v>
      </c>
      <c r="O66" s="63">
        <v>0.39552238805970147</v>
      </c>
      <c r="P66" s="63">
        <v>0.38775510204081631</v>
      </c>
    </row>
    <row r="67" spans="1:16" x14ac:dyDescent="0.45">
      <c r="A67" s="65">
        <v>64</v>
      </c>
      <c r="B67" s="62">
        <v>-550.9000000000002</v>
      </c>
      <c r="C67" s="62">
        <v>-8.6078125000000032</v>
      </c>
      <c r="D67" s="67">
        <v>2.203125</v>
      </c>
      <c r="E67" s="63">
        <v>0.296875</v>
      </c>
      <c r="F67" s="63">
        <v>0.5</v>
      </c>
      <c r="G67" s="63">
        <v>0.26278659611992944</v>
      </c>
      <c r="H67" s="63">
        <v>0.16225749559082892</v>
      </c>
      <c r="I67" s="64">
        <v>7086.5771812080538</v>
      </c>
      <c r="J67" s="64">
        <v>-7669.565217391304</v>
      </c>
      <c r="K67" s="63">
        <v>7.8125E-2</v>
      </c>
      <c r="L67" s="63">
        <v>0.14462081128747795</v>
      </c>
      <c r="M67" s="63">
        <v>0.24162257495590828</v>
      </c>
      <c r="N67" s="63">
        <v>0.48780487804878048</v>
      </c>
      <c r="O67" s="63">
        <v>0.39416058394160586</v>
      </c>
      <c r="P67" s="63">
        <v>0.3825503355704698</v>
      </c>
    </row>
    <row r="68" spans="1:16" x14ac:dyDescent="0.45">
      <c r="A68" s="65">
        <v>65</v>
      </c>
      <c r="B68" s="62">
        <v>-526.20000000000016</v>
      </c>
      <c r="C68" s="62">
        <v>-8.0953846153846172</v>
      </c>
      <c r="D68" s="67">
        <v>2.1846153846153844</v>
      </c>
      <c r="E68" s="63">
        <v>0.30769230769230771</v>
      </c>
      <c r="F68" s="63">
        <v>0.49230769230769234</v>
      </c>
      <c r="G68" s="63">
        <v>0.26689774696707108</v>
      </c>
      <c r="H68" s="63">
        <v>0.16117850953206239</v>
      </c>
      <c r="I68" s="64">
        <v>7048.7012987012986</v>
      </c>
      <c r="J68" s="64">
        <v>-7673.1182795698924</v>
      </c>
      <c r="K68" s="63">
        <v>7.6923076923076927E-2</v>
      </c>
      <c r="L68" s="63">
        <v>0.14558058925476602</v>
      </c>
      <c r="M68" s="63">
        <v>0.24436741767764297</v>
      </c>
      <c r="N68" s="63">
        <v>0.5</v>
      </c>
      <c r="O68" s="63">
        <v>0.40425531914893614</v>
      </c>
      <c r="P68" s="63">
        <v>0.38311688311688313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9ADC5-47C2-40EC-BDC5-128888A11E22}">
  <sheetPr codeName="Sheet6"/>
  <dimension ref="A1:Q244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5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5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5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5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5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5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5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5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5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5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5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5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5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5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5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5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5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5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5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5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5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5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5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5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5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5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5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5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5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5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5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5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5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5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5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5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5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5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5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5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5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5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5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5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5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5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5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5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5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5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5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5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5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5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5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5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5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5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5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5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5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5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5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5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5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5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5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5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5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5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5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5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5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5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5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5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5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5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5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5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5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5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5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5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5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5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5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5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5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5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5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5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5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5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5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0.24427798585101956</v>
      </c>
      <c r="M99" s="63">
        <v>0.2459425717852684</v>
      </c>
      <c r="N99" s="63">
        <v>0.55025553662691651</v>
      </c>
      <c r="O99" s="63">
        <v>0.41624365482233505</v>
      </c>
      <c r="P99" s="63">
        <v>0.41084165477888729</v>
      </c>
    </row>
    <row r="100" spans="1:16" x14ac:dyDescent="0.45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0.24381188118811881</v>
      </c>
      <c r="M100" s="63">
        <v>0.24628712871287128</v>
      </c>
      <c r="N100" s="63">
        <v>0.54991539763113362</v>
      </c>
      <c r="O100" s="63">
        <v>0.41708542713567837</v>
      </c>
      <c r="P100" s="63">
        <v>0.41018387553041019</v>
      </c>
    </row>
    <row r="101" spans="1:16" x14ac:dyDescent="0.45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0.24335378323108384</v>
      </c>
      <c r="M101" s="63">
        <v>0.24498977505112474</v>
      </c>
      <c r="N101" s="63">
        <v>0.55294117647058827</v>
      </c>
      <c r="O101" s="63">
        <v>0.41736227045075125</v>
      </c>
      <c r="P101" s="63">
        <v>0.40953716690042075</v>
      </c>
    </row>
    <row r="102" spans="1:16" x14ac:dyDescent="0.45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0.24371451743714517</v>
      </c>
      <c r="M102" s="63">
        <v>0.24452554744525548</v>
      </c>
      <c r="N102" s="63">
        <v>0.55574043261231276</v>
      </c>
      <c r="O102" s="63">
        <v>0.41791044776119401</v>
      </c>
      <c r="P102" s="63">
        <v>0.40833333333333333</v>
      </c>
    </row>
    <row r="103" spans="1:16" x14ac:dyDescent="0.45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0.2438828720417168</v>
      </c>
      <c r="M103" s="63">
        <v>0.24428399518652227</v>
      </c>
      <c r="N103" s="63">
        <v>0.55756578947368418</v>
      </c>
      <c r="O103" s="63">
        <v>0.4154351395730706</v>
      </c>
      <c r="P103" s="63">
        <v>0.4107142857142857</v>
      </c>
    </row>
    <row r="104" spans="1:16" x14ac:dyDescent="0.45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0.24502784407319014</v>
      </c>
      <c r="M104" s="63">
        <v>0.24343675417661098</v>
      </c>
      <c r="N104" s="63">
        <v>0.55681818181818177</v>
      </c>
      <c r="O104" s="63">
        <v>0.41666666666666669</v>
      </c>
      <c r="P104" s="63">
        <v>0.41360544217687073</v>
      </c>
    </row>
    <row r="105" spans="1:16" x14ac:dyDescent="0.45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0.24507486209613868</v>
      </c>
      <c r="M105" s="63">
        <v>0.24310480693459416</v>
      </c>
      <c r="N105" s="63">
        <v>0.55787781350482313</v>
      </c>
      <c r="O105" s="63">
        <v>0.41653160453808752</v>
      </c>
      <c r="P105" s="63">
        <v>0.4137466307277628</v>
      </c>
    </row>
    <row r="106" spans="1:16" x14ac:dyDescent="0.45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0.24598511555033295</v>
      </c>
      <c r="M106" s="63">
        <v>0.24206815511163338</v>
      </c>
      <c r="N106" s="63">
        <v>0.55891719745222934</v>
      </c>
      <c r="O106" s="63">
        <v>0.41585760517799353</v>
      </c>
      <c r="P106" s="63">
        <v>0.41420911528150134</v>
      </c>
    </row>
    <row r="107" spans="1:16" x14ac:dyDescent="0.45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0.24622531939605111</v>
      </c>
      <c r="M107" s="63">
        <v>0.24428958575300039</v>
      </c>
      <c r="N107" s="63">
        <v>0.55817610062893086</v>
      </c>
      <c r="O107" s="63">
        <v>0.41521394611727419</v>
      </c>
      <c r="P107" s="63">
        <v>0.41456953642384103</v>
      </c>
    </row>
    <row r="108" spans="1:16" x14ac:dyDescent="0.45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0.24541284403669725</v>
      </c>
      <c r="M108" s="63">
        <v>0.24273700305810397</v>
      </c>
      <c r="N108" s="63">
        <v>0.55919003115264798</v>
      </c>
      <c r="O108" s="63">
        <v>0.41574803149606299</v>
      </c>
      <c r="P108" s="63">
        <v>0.41753926701570682</v>
      </c>
    </row>
    <row r="109" spans="1:16" x14ac:dyDescent="0.45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0.24553401748384646</v>
      </c>
      <c r="M109" s="63">
        <v>0.24287343215507412</v>
      </c>
      <c r="N109" s="63">
        <v>0.55727554179566563</v>
      </c>
      <c r="O109" s="63">
        <v>0.41471048513302033</v>
      </c>
      <c r="P109" s="63">
        <v>0.4174252275682705</v>
      </c>
    </row>
    <row r="110" spans="1:16" x14ac:dyDescent="0.45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0.24644194756554308</v>
      </c>
      <c r="M110" s="63">
        <v>0.24044943820224718</v>
      </c>
      <c r="N110" s="63">
        <v>0.55927051671732519</v>
      </c>
      <c r="O110" s="63">
        <v>0.41277258566978192</v>
      </c>
      <c r="P110" s="63">
        <v>0.41848523748395378</v>
      </c>
    </row>
    <row r="111" spans="1:16" x14ac:dyDescent="0.45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0.24567219152854511</v>
      </c>
      <c r="M111" s="63">
        <v>0.23904235727440148</v>
      </c>
      <c r="N111" s="63">
        <v>0.56071964017991005</v>
      </c>
      <c r="O111" s="63">
        <v>0.41294298921417566</v>
      </c>
      <c r="P111" s="63">
        <v>0.42118537200504413</v>
      </c>
    </row>
    <row r="112" spans="1:16" x14ac:dyDescent="0.45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0.24524853801169591</v>
      </c>
      <c r="M112" s="63">
        <v>0.23940058479532164</v>
      </c>
      <c r="N112" s="63">
        <v>0.56184798807749625</v>
      </c>
      <c r="O112" s="63">
        <v>0.41068702290076337</v>
      </c>
      <c r="P112" s="63">
        <v>0.42375000000000002</v>
      </c>
    </row>
    <row r="113" spans="1:16" x14ac:dyDescent="0.45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0.24656543745480838</v>
      </c>
      <c r="M113" s="63">
        <v>0.23933477946493131</v>
      </c>
      <c r="N113" s="63">
        <v>0.56158357771260992</v>
      </c>
      <c r="O113" s="63">
        <v>0.41087613293051362</v>
      </c>
      <c r="P113" s="63">
        <v>0.42274412855377008</v>
      </c>
    </row>
    <row r="114" spans="1:16" x14ac:dyDescent="0.45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0.24591329068941009</v>
      </c>
      <c r="M114" s="63">
        <v>0.23987206823027718</v>
      </c>
      <c r="N114" s="63">
        <v>0.55924855491329484</v>
      </c>
      <c r="O114" s="63">
        <v>0.41037037037037039</v>
      </c>
      <c r="P114" s="63">
        <v>0.42509135200974424</v>
      </c>
    </row>
    <row r="115" spans="1:16" x14ac:dyDescent="0.45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0.24491228070175439</v>
      </c>
      <c r="M115" s="63">
        <v>0.24140350877192981</v>
      </c>
      <c r="N115" s="63">
        <v>0.56160458452722062</v>
      </c>
      <c r="O115" s="63">
        <v>0.40988372093023256</v>
      </c>
      <c r="P115" s="63">
        <v>0.42376950780312123</v>
      </c>
    </row>
    <row r="116" spans="1:16" x14ac:dyDescent="0.45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0.24486241727621039</v>
      </c>
      <c r="M116" s="63">
        <v>0.24103099965168931</v>
      </c>
      <c r="N116" s="63">
        <v>0.56187766714082499</v>
      </c>
      <c r="O116" s="63">
        <v>0.41184971098265893</v>
      </c>
      <c r="P116" s="63">
        <v>0.42550655542312277</v>
      </c>
    </row>
    <row r="117" spans="1:16" x14ac:dyDescent="0.45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0.24455958549222798</v>
      </c>
      <c r="M117" s="63">
        <v>0.24145077720207253</v>
      </c>
      <c r="N117" s="63">
        <v>0.56214689265536721</v>
      </c>
      <c r="O117" s="63">
        <v>0.413447782546495</v>
      </c>
      <c r="P117" s="63">
        <v>0.42334905660377359</v>
      </c>
    </row>
    <row r="118" spans="1:16" x14ac:dyDescent="0.45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0.2448559670781893</v>
      </c>
      <c r="M118" s="63">
        <v>0.24074074074074073</v>
      </c>
      <c r="N118" s="63">
        <v>0.56302521008403361</v>
      </c>
      <c r="O118" s="63">
        <v>0.4131054131054131</v>
      </c>
      <c r="P118" s="63">
        <v>0.42505854800936765</v>
      </c>
    </row>
    <row r="119" spans="1:16" x14ac:dyDescent="0.45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0.24557823129251702</v>
      </c>
      <c r="M119" s="63">
        <v>0.24047619047619048</v>
      </c>
      <c r="N119" s="63">
        <v>0.56371191135734067</v>
      </c>
      <c r="O119" s="63">
        <v>0.4115983026874116</v>
      </c>
      <c r="P119" s="63">
        <v>0.42624854819976771</v>
      </c>
    </row>
    <row r="120" spans="1:16" x14ac:dyDescent="0.45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0.24595141700404857</v>
      </c>
      <c r="M120" s="63">
        <v>0.24055330634278002</v>
      </c>
      <c r="N120" s="63">
        <v>0.56515775034293558</v>
      </c>
      <c r="O120" s="63">
        <v>0.4109396914446003</v>
      </c>
      <c r="P120" s="63">
        <v>0.42692750287686998</v>
      </c>
    </row>
    <row r="121" spans="1:16" x14ac:dyDescent="0.45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0.24607154797726513</v>
      </c>
      <c r="M121" s="63">
        <v>0.24105650284185892</v>
      </c>
      <c r="N121" s="63">
        <v>0.56385869565217395</v>
      </c>
      <c r="O121" s="63">
        <v>0.41192787794729541</v>
      </c>
      <c r="P121" s="63">
        <v>0.42824601366742598</v>
      </c>
    </row>
    <row r="122" spans="1:16" x14ac:dyDescent="0.45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0.2470978441127695</v>
      </c>
      <c r="M122" s="63">
        <v>0.24112769485903815</v>
      </c>
      <c r="N122" s="63">
        <v>0.56375838926174493</v>
      </c>
      <c r="O122" s="63">
        <v>0.41127922971114167</v>
      </c>
      <c r="P122" s="63">
        <v>0.4255079006772009</v>
      </c>
    </row>
    <row r="123" spans="1:16" x14ac:dyDescent="0.45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0.24695021430926475</v>
      </c>
      <c r="M123" s="63">
        <v>0.24167490933069569</v>
      </c>
      <c r="N123" s="63">
        <v>0.56341789052069424</v>
      </c>
      <c r="O123" s="63">
        <v>0.40927694406548432</v>
      </c>
      <c r="P123" s="63">
        <v>0.42424242424242425</v>
      </c>
    </row>
    <row r="124" spans="1:16" x14ac:dyDescent="0.45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0.24647656506063587</v>
      </c>
      <c r="M124" s="63">
        <v>0.24090462143559488</v>
      </c>
      <c r="N124" s="63">
        <v>0.56515957446808507</v>
      </c>
      <c r="O124" s="63">
        <v>0.40952380952380951</v>
      </c>
      <c r="P124" s="63">
        <v>0.42474916387959866</v>
      </c>
    </row>
    <row r="125" spans="1:16" x14ac:dyDescent="0.45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0.2469859889214728</v>
      </c>
      <c r="M125" s="63">
        <v>0.24079504724666015</v>
      </c>
      <c r="N125" s="63">
        <v>0.56464379947229548</v>
      </c>
      <c r="O125" s="63">
        <v>0.40866035182679294</v>
      </c>
      <c r="P125" s="63">
        <v>0.42461197339246121</v>
      </c>
    </row>
    <row r="126" spans="1:16" x14ac:dyDescent="0.45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0.24636275460717749</v>
      </c>
      <c r="M126" s="63">
        <v>0.23957322987390883</v>
      </c>
      <c r="N126" s="63">
        <v>0.56561679790026242</v>
      </c>
      <c r="O126" s="63">
        <v>0.40890688259109309</v>
      </c>
      <c r="P126" s="63">
        <v>0.42511013215859028</v>
      </c>
    </row>
    <row r="127" spans="1:16" x14ac:dyDescent="0.45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0.24591738712776176</v>
      </c>
      <c r="M127" s="63">
        <v>0.23983349343579891</v>
      </c>
      <c r="N127" s="63">
        <v>0.56640625</v>
      </c>
      <c r="O127" s="63">
        <v>0.40720961281708945</v>
      </c>
      <c r="P127" s="63">
        <v>0.42903930131004364</v>
      </c>
    </row>
    <row r="128" spans="1:16" x14ac:dyDescent="0.45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0.24633524537922244</v>
      </c>
      <c r="M128" s="63">
        <v>0.23900573613766729</v>
      </c>
      <c r="N128" s="63">
        <v>0.5666235446313066</v>
      </c>
      <c r="O128" s="63">
        <v>0.40799999999999997</v>
      </c>
      <c r="P128" s="63">
        <v>0.42779587404994573</v>
      </c>
    </row>
    <row r="129" spans="1:16" x14ac:dyDescent="0.45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0.24589646464646464</v>
      </c>
      <c r="M129" s="63">
        <v>0.23958333333333334</v>
      </c>
      <c r="N129" s="63">
        <v>0.56482670089858789</v>
      </c>
      <c r="O129" s="63">
        <v>0.40579710144927539</v>
      </c>
      <c r="P129" s="63">
        <v>0.42841765339074273</v>
      </c>
    </row>
    <row r="130" spans="1:16" x14ac:dyDescent="0.45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0.24553151458137348</v>
      </c>
      <c r="M130" s="63">
        <v>0.24020068987143306</v>
      </c>
      <c r="N130" s="63">
        <v>0.56704980842911878</v>
      </c>
      <c r="O130" s="63">
        <v>0.40600522193211486</v>
      </c>
      <c r="P130" s="63">
        <v>0.42948717948717946</v>
      </c>
    </row>
    <row r="131" spans="1:16" x14ac:dyDescent="0.45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0.24556489262371614</v>
      </c>
      <c r="M131" s="63">
        <v>0.23996265172735762</v>
      </c>
      <c r="N131" s="63">
        <v>0.56780735107731306</v>
      </c>
      <c r="O131" s="63">
        <v>0.40466926070038911</v>
      </c>
      <c r="P131" s="63">
        <v>0.43054082714740188</v>
      </c>
    </row>
    <row r="132" spans="1:16" x14ac:dyDescent="0.45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0.24590670373802903</v>
      </c>
      <c r="M132" s="63">
        <v>0.23972814334260117</v>
      </c>
      <c r="N132" s="63">
        <v>0.5653266331658291</v>
      </c>
      <c r="O132" s="63">
        <v>0.40463917525773196</v>
      </c>
      <c r="P132" s="63">
        <v>0.43143459915611815</v>
      </c>
    </row>
    <row r="133" spans="1:16" x14ac:dyDescent="0.45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0.24648318042813455</v>
      </c>
      <c r="M133" s="63">
        <v>0.2400611620795107</v>
      </c>
      <c r="N133" s="63">
        <v>0.56451612903225812</v>
      </c>
      <c r="O133" s="63">
        <v>0.40509554140127391</v>
      </c>
      <c r="P133" s="63">
        <v>0.43319415448851772</v>
      </c>
    </row>
    <row r="134" spans="1:16" x14ac:dyDescent="0.45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0.24696969696969698</v>
      </c>
      <c r="M134" s="63">
        <v>0.23969696969696969</v>
      </c>
      <c r="N134" s="63">
        <v>0.56564417177914106</v>
      </c>
      <c r="O134" s="63">
        <v>0.40455120101137798</v>
      </c>
      <c r="P134" s="63">
        <v>0.43329886246122029</v>
      </c>
    </row>
    <row r="135" spans="1:16" x14ac:dyDescent="0.45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0.24743821579264616</v>
      </c>
      <c r="M135" s="63">
        <v>0.23899939722724534</v>
      </c>
      <c r="N135" s="63">
        <v>0.5663824604141291</v>
      </c>
      <c r="O135" s="63">
        <v>0.4047919293820933</v>
      </c>
      <c r="P135" s="63">
        <v>0.43415637860082307</v>
      </c>
    </row>
    <row r="136" spans="1:16" x14ac:dyDescent="0.45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0.24714714714714714</v>
      </c>
      <c r="M136" s="63">
        <v>0.23873873873873874</v>
      </c>
      <c r="N136" s="63">
        <v>0.56622114216281894</v>
      </c>
      <c r="O136" s="63">
        <v>0.40628930817610065</v>
      </c>
      <c r="P136" s="63">
        <v>0.43237704918032788</v>
      </c>
    </row>
    <row r="137" spans="1:16" x14ac:dyDescent="0.45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0.24784802612051055</v>
      </c>
      <c r="M137" s="63">
        <v>0.2377560106856634</v>
      </c>
      <c r="N137" s="63">
        <v>0.56526946107784426</v>
      </c>
      <c r="O137" s="63">
        <v>0.40574282147315854</v>
      </c>
      <c r="P137" s="63">
        <v>0.43204868154158216</v>
      </c>
    </row>
    <row r="138" spans="1:16" x14ac:dyDescent="0.45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0.24801412180052956</v>
      </c>
      <c r="M138" s="63">
        <v>0.23771697558105326</v>
      </c>
      <c r="N138" s="63">
        <v>0.5658362989323843</v>
      </c>
      <c r="O138" s="63">
        <v>0.40841584158415839</v>
      </c>
      <c r="P138" s="63">
        <v>0.42971887550200805</v>
      </c>
    </row>
    <row r="139" spans="1:16" x14ac:dyDescent="0.45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0.24671916010498687</v>
      </c>
      <c r="M139" s="63">
        <v>0.23826188393117528</v>
      </c>
      <c r="N139" s="63">
        <v>0.56619385342789597</v>
      </c>
      <c r="O139" s="63">
        <v>0.41003671970624234</v>
      </c>
      <c r="P139" s="63">
        <v>0.43084577114427863</v>
      </c>
    </row>
    <row r="140" spans="1:16" x14ac:dyDescent="0.45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0.24637681159420291</v>
      </c>
      <c r="M140" s="63">
        <v>0.23826086956521739</v>
      </c>
      <c r="N140" s="63">
        <v>0.5658823529411765</v>
      </c>
      <c r="O140" s="63">
        <v>0.40997566909975669</v>
      </c>
      <c r="P140" s="63">
        <v>0.43323442136498519</v>
      </c>
    </row>
    <row r="141" spans="1:16" x14ac:dyDescent="0.45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0.24584050487664946</v>
      </c>
      <c r="M141" s="63">
        <v>0.23866896156052783</v>
      </c>
      <c r="N141" s="63">
        <v>0.56359393232205368</v>
      </c>
      <c r="O141" s="63">
        <v>0.40985576923076922</v>
      </c>
      <c r="P141" s="63">
        <v>0.4315068493150685</v>
      </c>
    </row>
    <row r="142" spans="1:16" x14ac:dyDescent="0.45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0.24565898092798177</v>
      </c>
      <c r="M142" s="63">
        <v>0.23939652718474239</v>
      </c>
      <c r="N142" s="63">
        <v>0.56431054461181929</v>
      </c>
      <c r="O142" s="63">
        <v>0.40665873959571935</v>
      </c>
      <c r="P142" s="63">
        <v>0.43106796116504853</v>
      </c>
    </row>
    <row r="143" spans="1:16" x14ac:dyDescent="0.45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0.24597116200169636</v>
      </c>
      <c r="M143" s="63">
        <v>0.23918575063613232</v>
      </c>
      <c r="N143" s="63">
        <v>0.56551724137931036</v>
      </c>
      <c r="O143" s="63">
        <v>0.40661938534278957</v>
      </c>
      <c r="P143" s="63">
        <v>0.43297974927675986</v>
      </c>
    </row>
    <row r="144" spans="1:16" x14ac:dyDescent="0.45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0.24598478444632291</v>
      </c>
      <c r="M144" s="63">
        <v>0.23865877712031558</v>
      </c>
      <c r="N144" s="63">
        <v>0.5670103092783505</v>
      </c>
      <c r="O144" s="63">
        <v>0.40731995277449823</v>
      </c>
      <c r="P144" s="63">
        <v>0.43323727185398653</v>
      </c>
    </row>
    <row r="145" spans="1:16" x14ac:dyDescent="0.45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0.24670591533501543</v>
      </c>
      <c r="M145" s="63">
        <v>0.23857583403420241</v>
      </c>
      <c r="N145" s="63">
        <v>0.56704545454545452</v>
      </c>
      <c r="O145" s="63">
        <v>0.40658049353701525</v>
      </c>
      <c r="P145" s="63">
        <v>0.43361986628462273</v>
      </c>
    </row>
    <row r="146" spans="1:16" x14ac:dyDescent="0.45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0.24707846410684475</v>
      </c>
      <c r="M146" s="63">
        <v>0.23817473567056205</v>
      </c>
      <c r="N146" s="63">
        <v>0.56644144144144148</v>
      </c>
      <c r="O146" s="63">
        <v>0.40771028037383178</v>
      </c>
      <c r="P146" s="63">
        <v>0.43453510436432635</v>
      </c>
    </row>
    <row r="147" spans="1:16" x14ac:dyDescent="0.45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0.24695459579180509</v>
      </c>
      <c r="M147" s="63">
        <v>0.23781838316722037</v>
      </c>
      <c r="N147" s="63">
        <v>0.56838565022421528</v>
      </c>
      <c r="O147" s="63">
        <v>0.40745052386495928</v>
      </c>
      <c r="P147" s="63">
        <v>0.43679245283018869</v>
      </c>
    </row>
    <row r="148" spans="1:16" x14ac:dyDescent="0.45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0.24690338563170933</v>
      </c>
      <c r="M148" s="63">
        <v>0.23809523809523808</v>
      </c>
      <c r="N148" s="63">
        <v>0.56744704570791527</v>
      </c>
      <c r="O148" s="63">
        <v>0.40578034682080927</v>
      </c>
      <c r="P148" s="63">
        <v>0.43568075117370891</v>
      </c>
    </row>
    <row r="149" spans="1:16" x14ac:dyDescent="0.45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0.24883784522832922</v>
      </c>
      <c r="M149" s="63">
        <v>0.23735302160240634</v>
      </c>
      <c r="N149" s="63">
        <v>0.56593406593406592</v>
      </c>
      <c r="O149" s="63">
        <v>0.40552995391705071</v>
      </c>
      <c r="P149" s="63">
        <v>0.43802423112767941</v>
      </c>
    </row>
    <row r="150" spans="1:16" x14ac:dyDescent="0.45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0.24932028276237087</v>
      </c>
      <c r="M150" s="63">
        <v>0.23708537248504621</v>
      </c>
      <c r="N150" s="63">
        <v>0.56597600872410037</v>
      </c>
      <c r="O150" s="63">
        <v>0.40481651376146788</v>
      </c>
      <c r="P150" s="63">
        <v>0.43888888888888888</v>
      </c>
    </row>
    <row r="151" spans="1:16" x14ac:dyDescent="0.45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0.2492565558258989</v>
      </c>
      <c r="M151" s="63">
        <v>0.23655041903217086</v>
      </c>
      <c r="N151" s="63">
        <v>0.56616052060737532</v>
      </c>
      <c r="O151" s="63">
        <v>0.40571428571428569</v>
      </c>
      <c r="P151" s="63">
        <v>0.43738489871086556</v>
      </c>
    </row>
    <row r="152" spans="1:16" x14ac:dyDescent="0.45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0.24986537425955843</v>
      </c>
      <c r="M152" s="63">
        <v>0.23586429725363489</v>
      </c>
      <c r="N152" s="63">
        <v>0.56573275862068961</v>
      </c>
      <c r="O152" s="63">
        <v>0.40639269406392692</v>
      </c>
      <c r="P152" s="63">
        <v>0.43944954128440367</v>
      </c>
    </row>
    <row r="153" spans="1:16" x14ac:dyDescent="0.45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0.24953145917001338</v>
      </c>
      <c r="M153" s="63">
        <v>0.23480589022757697</v>
      </c>
      <c r="N153" s="63">
        <v>0.56545064377682408</v>
      </c>
      <c r="O153" s="63">
        <v>0.40706955530216649</v>
      </c>
      <c r="P153" s="63">
        <v>0.43938012762078393</v>
      </c>
    </row>
    <row r="154" spans="1:16" x14ac:dyDescent="0.45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0.25006650704974726</v>
      </c>
      <c r="M154" s="63">
        <v>0.23357275871242353</v>
      </c>
      <c r="N154" s="63">
        <v>0.56595744680851068</v>
      </c>
      <c r="O154" s="63">
        <v>0.40774487471526194</v>
      </c>
      <c r="P154" s="63">
        <v>0.44253393665158369</v>
      </c>
    </row>
    <row r="155" spans="1:16" x14ac:dyDescent="0.45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0.25019857029388404</v>
      </c>
      <c r="M155" s="63">
        <v>0.23325390521577971</v>
      </c>
      <c r="N155" s="63">
        <v>0.56613756613756616</v>
      </c>
      <c r="O155" s="63">
        <v>0.40749148694665155</v>
      </c>
      <c r="P155" s="63">
        <v>0.44464446444644462</v>
      </c>
    </row>
    <row r="156" spans="1:16" x14ac:dyDescent="0.45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0.2496711391739016</v>
      </c>
      <c r="M156" s="63">
        <v>0.23204419889502761</v>
      </c>
      <c r="N156" s="63">
        <v>0.5669125395152792</v>
      </c>
      <c r="O156" s="63">
        <v>0.40702947845804988</v>
      </c>
      <c r="P156" s="63">
        <v>0.44325290437890974</v>
      </c>
    </row>
    <row r="157" spans="1:16" x14ac:dyDescent="0.45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0.2497387669801463</v>
      </c>
      <c r="M157" s="63">
        <v>0.23171368861024033</v>
      </c>
      <c r="N157" s="63">
        <v>0.56589958158995812</v>
      </c>
      <c r="O157" s="63">
        <v>0.40698985343855693</v>
      </c>
      <c r="P157" s="63">
        <v>0.44227353463587921</v>
      </c>
    </row>
    <row r="158" spans="1:16" x14ac:dyDescent="0.45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0.25045466354897378</v>
      </c>
      <c r="M158" s="63">
        <v>0.23174850610548195</v>
      </c>
      <c r="N158" s="63">
        <v>0.56535269709543567</v>
      </c>
      <c r="O158" s="63">
        <v>0.40582959641255606</v>
      </c>
      <c r="P158" s="63">
        <v>0.44130626654898497</v>
      </c>
    </row>
    <row r="159" spans="1:16" x14ac:dyDescent="0.45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0.25084044478924233</v>
      </c>
      <c r="M159" s="63">
        <v>0.23196276183087663</v>
      </c>
      <c r="N159" s="63">
        <v>0.56494845360824741</v>
      </c>
      <c r="O159" s="63">
        <v>0.40579710144927539</v>
      </c>
      <c r="P159" s="63">
        <v>0.44024604569420034</v>
      </c>
    </row>
    <row r="160" spans="1:16" x14ac:dyDescent="0.45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0.25102564102564101</v>
      </c>
      <c r="M160" s="63">
        <v>0.23179487179487179</v>
      </c>
      <c r="N160" s="63">
        <v>0.56486210418794691</v>
      </c>
      <c r="O160" s="63">
        <v>0.40707964601769914</v>
      </c>
      <c r="P160" s="63">
        <v>0.43766346992153443</v>
      </c>
    </row>
    <row r="161" spans="1:16" x14ac:dyDescent="0.45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0.25127420998980632</v>
      </c>
      <c r="M161" s="63">
        <v>0.23088685015290519</v>
      </c>
      <c r="N161" s="63">
        <v>0.56490872210953347</v>
      </c>
      <c r="O161" s="63">
        <v>0.40728476821192056</v>
      </c>
      <c r="P161" s="63">
        <v>0.43760831889081458</v>
      </c>
    </row>
    <row r="162" spans="1:16" x14ac:dyDescent="0.45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0.25177304964539005</v>
      </c>
      <c r="M162" s="63">
        <v>0.2307497467071935</v>
      </c>
      <c r="N162" s="63">
        <v>0.56338028169014087</v>
      </c>
      <c r="O162" s="63">
        <v>0.40724478594950603</v>
      </c>
      <c r="P162" s="63">
        <v>0.43755383290267014</v>
      </c>
    </row>
    <row r="163" spans="1:16" x14ac:dyDescent="0.45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0.2508825012607161</v>
      </c>
      <c r="M163" s="63">
        <v>0.23096318709026728</v>
      </c>
      <c r="N163" s="63">
        <v>0.56381909547738696</v>
      </c>
      <c r="O163" s="63">
        <v>0.40938864628820959</v>
      </c>
      <c r="P163" s="63">
        <v>0.43701799485861181</v>
      </c>
    </row>
    <row r="164" spans="1:16" x14ac:dyDescent="0.45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0.250499001996008</v>
      </c>
      <c r="M164" s="63">
        <v>0.23203592814371257</v>
      </c>
      <c r="N164" s="63">
        <v>0.5627490039840638</v>
      </c>
      <c r="O164" s="63">
        <v>0.41182795698924729</v>
      </c>
      <c r="P164" s="63">
        <v>0.43728813559322033</v>
      </c>
    </row>
    <row r="165" spans="1:16" x14ac:dyDescent="0.45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0.25062096373571785</v>
      </c>
      <c r="M165" s="63">
        <v>0.23174366616989567</v>
      </c>
      <c r="N165" s="63">
        <v>0.56293359762140738</v>
      </c>
      <c r="O165" s="63">
        <v>0.41264737406216506</v>
      </c>
      <c r="P165" s="63">
        <v>0.43844856661045534</v>
      </c>
    </row>
    <row r="166" spans="1:16" x14ac:dyDescent="0.45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0.25116851168511684</v>
      </c>
      <c r="M166" s="63">
        <v>0.23345633456334564</v>
      </c>
      <c r="N166" s="63">
        <v>0.56023506366307541</v>
      </c>
      <c r="O166" s="63">
        <v>0.41095890410958902</v>
      </c>
      <c r="P166" s="63">
        <v>0.43943191311612362</v>
      </c>
    </row>
    <row r="167" spans="1:16" x14ac:dyDescent="0.45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0.25085407515861396</v>
      </c>
      <c r="M167" s="63">
        <v>0.23352855051244509</v>
      </c>
      <c r="N167" s="63">
        <v>0.55933852140077822</v>
      </c>
      <c r="O167" s="63">
        <v>0.41065830721003133</v>
      </c>
      <c r="P167" s="63">
        <v>0.43993371996685998</v>
      </c>
    </row>
    <row r="168" spans="1:16" x14ac:dyDescent="0.45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0.25066861171893995</v>
      </c>
      <c r="M168" s="63">
        <v>0.23340627279358134</v>
      </c>
      <c r="N168" s="63">
        <v>0.56062075654704169</v>
      </c>
      <c r="O168" s="63">
        <v>0.41041666666666665</v>
      </c>
      <c r="P168" s="63">
        <v>0.43976897689768979</v>
      </c>
    </row>
    <row r="169" spans="1:16" x14ac:dyDescent="0.45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0.25108853410740201</v>
      </c>
      <c r="M169" s="63">
        <v>0.2331881954523464</v>
      </c>
      <c r="N169" s="63">
        <v>0.56165703275529866</v>
      </c>
      <c r="O169" s="63">
        <v>0.40975103734439833</v>
      </c>
      <c r="P169" s="63">
        <v>0.43888433141919608</v>
      </c>
    </row>
    <row r="170" spans="1:16" x14ac:dyDescent="0.45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0.25156325156325154</v>
      </c>
      <c r="M170" s="63">
        <v>0.23328523328523329</v>
      </c>
      <c r="N170" s="63">
        <v>0.56118546845124284</v>
      </c>
      <c r="O170" s="63">
        <v>0.41030927835051545</v>
      </c>
      <c r="P170" s="63">
        <v>0.43964110929853178</v>
      </c>
    </row>
    <row r="171" spans="1:16" x14ac:dyDescent="0.45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0.25269203158650394</v>
      </c>
      <c r="M171" s="63">
        <v>0.23211294568078489</v>
      </c>
      <c r="N171" s="63">
        <v>0.56060606060606055</v>
      </c>
      <c r="O171" s="63">
        <v>0.41030927835051545</v>
      </c>
      <c r="P171" s="63">
        <v>0.43831168831168832</v>
      </c>
    </row>
    <row r="172" spans="1:16" x14ac:dyDescent="0.45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0.2527996187753157</v>
      </c>
      <c r="M172" s="63">
        <v>0.2315939957112223</v>
      </c>
      <c r="N172" s="63">
        <v>0.56079170593779448</v>
      </c>
      <c r="O172" s="63">
        <v>0.40946502057613171</v>
      </c>
      <c r="P172" s="63">
        <v>0.43734842360549719</v>
      </c>
    </row>
    <row r="173" spans="1:16" x14ac:dyDescent="0.45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0.25248933143669988</v>
      </c>
      <c r="M173" s="63">
        <v>0.23138928402086298</v>
      </c>
      <c r="N173" s="63">
        <v>0.56056338028169017</v>
      </c>
      <c r="O173" s="63">
        <v>0.4098360655737705</v>
      </c>
      <c r="P173" s="63">
        <v>0.43845534995977475</v>
      </c>
    </row>
    <row r="174" spans="1:16" x14ac:dyDescent="0.45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0.25276796230859833</v>
      </c>
      <c r="M174" s="63">
        <v>0.23180212014134274</v>
      </c>
      <c r="N174" s="63">
        <v>0.5601118359739049</v>
      </c>
      <c r="O174" s="63">
        <v>0.40955284552845528</v>
      </c>
      <c r="P174" s="63">
        <v>0.43919999999999998</v>
      </c>
    </row>
    <row r="175" spans="1:16" x14ac:dyDescent="0.45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0.25246826516220028</v>
      </c>
      <c r="M175" s="63">
        <v>0.23178185237423601</v>
      </c>
      <c r="N175" s="63">
        <v>0.55959031657355685</v>
      </c>
      <c r="O175" s="63">
        <v>0.41075050709939148</v>
      </c>
      <c r="P175" s="63">
        <v>0.43974461292897049</v>
      </c>
    </row>
    <row r="176" spans="1:16" x14ac:dyDescent="0.45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0.25367904695164684</v>
      </c>
      <c r="M176" s="63">
        <v>0.23125437981779959</v>
      </c>
      <c r="N176" s="63">
        <v>0.55801104972375692</v>
      </c>
      <c r="O176" s="63">
        <v>0.40909090909090912</v>
      </c>
      <c r="P176" s="63">
        <v>0.43968253968253967</v>
      </c>
    </row>
    <row r="177" spans="1:16" x14ac:dyDescent="0.45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0.25342624854819978</v>
      </c>
      <c r="M177" s="63">
        <v>0.23135888501742161</v>
      </c>
      <c r="N177" s="63">
        <v>0.55728689275893672</v>
      </c>
      <c r="O177" s="63">
        <v>0.40963855421686746</v>
      </c>
      <c r="P177" s="63">
        <v>0.43883188634569847</v>
      </c>
    </row>
    <row r="178" spans="1:16" x14ac:dyDescent="0.45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0.25358298659269535</v>
      </c>
      <c r="M178" s="63">
        <v>0.23116042533518261</v>
      </c>
      <c r="N178" s="63">
        <v>0.55788514129443934</v>
      </c>
      <c r="O178" s="63">
        <v>0.40899999999999997</v>
      </c>
      <c r="P178" s="63">
        <v>0.43833464257659072</v>
      </c>
    </row>
    <row r="179" spans="1:16" x14ac:dyDescent="0.45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0.25371768474033402</v>
      </c>
      <c r="M179" s="63">
        <v>0.23038206360100663</v>
      </c>
      <c r="N179" s="63">
        <v>0.55816050495942293</v>
      </c>
      <c r="O179" s="63">
        <v>0.40615690168818275</v>
      </c>
      <c r="P179" s="63">
        <v>0.43779160186625193</v>
      </c>
    </row>
    <row r="180" spans="1:16" x14ac:dyDescent="0.45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0.25313283208020049</v>
      </c>
      <c r="M180" s="63">
        <v>0.23034859876965141</v>
      </c>
      <c r="N180" s="63">
        <v>0.55895589558955894</v>
      </c>
      <c r="O180" s="63">
        <v>0.40652818991097922</v>
      </c>
      <c r="P180" s="63">
        <v>0.4388544891640867</v>
      </c>
    </row>
    <row r="181" spans="1:16" x14ac:dyDescent="0.45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0.25334239746204396</v>
      </c>
      <c r="M181" s="63">
        <v>0.23068207568547475</v>
      </c>
      <c r="N181" s="63">
        <v>0.55992844364937389</v>
      </c>
      <c r="O181" s="63">
        <v>0.40667976424361491</v>
      </c>
      <c r="P181" s="63">
        <v>0.43923076923076926</v>
      </c>
    </row>
    <row r="182" spans="1:16" x14ac:dyDescent="0.45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0.25359389038634322</v>
      </c>
      <c r="M182" s="63">
        <v>0.2302336028751123</v>
      </c>
      <c r="N182" s="63">
        <v>0.55978742249778568</v>
      </c>
      <c r="O182" s="63">
        <v>0.40780487804878046</v>
      </c>
      <c r="P182" s="63">
        <v>0.43902439024390244</v>
      </c>
    </row>
    <row r="183" spans="1:16" x14ac:dyDescent="0.45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0.25517702070808285</v>
      </c>
      <c r="M183" s="63">
        <v>0.2293475840570029</v>
      </c>
      <c r="N183" s="63">
        <v>0.56020942408376961</v>
      </c>
      <c r="O183" s="63">
        <v>0.40679611650485437</v>
      </c>
      <c r="P183" s="63">
        <v>0.43849056603773584</v>
      </c>
    </row>
    <row r="184" spans="1:16" x14ac:dyDescent="0.45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0.25413633355393778</v>
      </c>
      <c r="M184" s="63">
        <v>0.22964923891462607</v>
      </c>
      <c r="N184" s="63">
        <v>0.55902777777777779</v>
      </c>
      <c r="O184" s="63">
        <v>0.40922190201729108</v>
      </c>
      <c r="P184" s="63">
        <v>0.43787425149700598</v>
      </c>
    </row>
    <row r="185" spans="1:16" x14ac:dyDescent="0.45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0.25455343427693661</v>
      </c>
      <c r="M185" s="63">
        <v>0.22953697608075488</v>
      </c>
      <c r="N185" s="63">
        <v>0.55862068965517242</v>
      </c>
      <c r="O185" s="63">
        <v>0.40822179732313574</v>
      </c>
      <c r="P185" s="63">
        <v>0.4378257632166791</v>
      </c>
    </row>
    <row r="186" spans="1:16" x14ac:dyDescent="0.45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0.25364685390812103</v>
      </c>
      <c r="M186" s="63">
        <v>0.22969736555628129</v>
      </c>
      <c r="N186" s="63">
        <v>0.55879828326180259</v>
      </c>
      <c r="O186" s="63">
        <v>0.40853080568720379</v>
      </c>
      <c r="P186" s="63">
        <v>0.43680709534368073</v>
      </c>
    </row>
    <row r="187" spans="1:16" x14ac:dyDescent="0.45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0.25270211846087332</v>
      </c>
      <c r="M187" s="63">
        <v>0.22978815391266752</v>
      </c>
      <c r="N187" s="63">
        <v>0.55859709153122328</v>
      </c>
      <c r="O187" s="63">
        <v>0.4101599247412982</v>
      </c>
      <c r="P187" s="63">
        <v>0.43727072633895819</v>
      </c>
    </row>
    <row r="188" spans="1:16" x14ac:dyDescent="0.45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0.25279931093884583</v>
      </c>
      <c r="M188" s="63">
        <v>0.22889750215331611</v>
      </c>
      <c r="N188" s="63">
        <v>0.55962521294718914</v>
      </c>
      <c r="O188" s="63">
        <v>0.4101599247412982</v>
      </c>
      <c r="P188" s="63">
        <v>0.43859649122807015</v>
      </c>
    </row>
    <row r="189" spans="1:16" x14ac:dyDescent="0.45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0.25268125268125269</v>
      </c>
      <c r="M189" s="63">
        <v>0.22844272844272845</v>
      </c>
      <c r="N189" s="63">
        <v>0.56027164685908315</v>
      </c>
      <c r="O189" s="63">
        <v>0.41032863849765261</v>
      </c>
      <c r="P189" s="63">
        <v>0.43877551020408162</v>
      </c>
    </row>
    <row r="190" spans="1:16" x14ac:dyDescent="0.45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0.25304292120435617</v>
      </c>
      <c r="M190" s="63">
        <v>0.22805893657911594</v>
      </c>
      <c r="N190" s="63">
        <v>0.56033755274261599</v>
      </c>
      <c r="O190" s="63">
        <v>0.4101123595505618</v>
      </c>
      <c r="P190" s="63">
        <v>0.43976777939042089</v>
      </c>
    </row>
    <row r="191" spans="1:16" x14ac:dyDescent="0.45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0.25281495644784363</v>
      </c>
      <c r="M191" s="63">
        <v>0.22817080943275972</v>
      </c>
      <c r="N191" s="63">
        <v>0.56050420168067228</v>
      </c>
      <c r="O191" s="63">
        <v>0.41061452513966479</v>
      </c>
      <c r="P191" s="63">
        <v>0.44043321299638988</v>
      </c>
    </row>
    <row r="192" spans="1:16" x14ac:dyDescent="0.45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0.25327418673426277</v>
      </c>
      <c r="M192" s="63">
        <v>0.22813688212927757</v>
      </c>
      <c r="N192" s="63">
        <v>0.56130108423686409</v>
      </c>
      <c r="O192" s="63">
        <v>0.40925925925925927</v>
      </c>
      <c r="P192" s="63">
        <v>0.44117647058823528</v>
      </c>
    </row>
    <row r="193" spans="1:16" x14ac:dyDescent="0.45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0.25293870696893367</v>
      </c>
      <c r="M193" s="63">
        <v>0.22816960537363559</v>
      </c>
      <c r="N193" s="63">
        <v>0.56182572614107884</v>
      </c>
      <c r="O193" s="63">
        <v>0.40938362465501382</v>
      </c>
      <c r="P193" s="63">
        <v>0.44119743406985035</v>
      </c>
    </row>
    <row r="194" spans="1:16" x14ac:dyDescent="0.45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0.25333333333333335</v>
      </c>
      <c r="M194" s="63">
        <v>0.22812499999999999</v>
      </c>
      <c r="N194" s="63">
        <v>0.56085526315789469</v>
      </c>
      <c r="O194" s="63">
        <v>0.41004566210045662</v>
      </c>
      <c r="P194" s="63">
        <v>0.44130127298444133</v>
      </c>
    </row>
    <row r="195" spans="1:16" x14ac:dyDescent="0.45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0.25290215588723053</v>
      </c>
      <c r="M195" s="63">
        <v>0.22864842454394693</v>
      </c>
      <c r="N195" s="63">
        <v>0.55901639344262299</v>
      </c>
      <c r="O195" s="63">
        <v>0.41160471441523117</v>
      </c>
      <c r="P195" s="63">
        <v>0.44264602392681213</v>
      </c>
    </row>
    <row r="196" spans="1:16" x14ac:dyDescent="0.45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0.25263157894736843</v>
      </c>
      <c r="M196" s="63">
        <v>0.22951496388028897</v>
      </c>
      <c r="N196" s="63">
        <v>0.55882352941176472</v>
      </c>
      <c r="O196" s="63">
        <v>0.41187050359712229</v>
      </c>
      <c r="P196" s="63">
        <v>0.44296710986703991</v>
      </c>
    </row>
    <row r="197" spans="1:16" x14ac:dyDescent="0.45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0.25302936948038612</v>
      </c>
      <c r="M197" s="63">
        <v>0.22879441363729719</v>
      </c>
      <c r="N197" s="63">
        <v>0.55925324675324672</v>
      </c>
      <c r="O197" s="63">
        <v>0.41292639138240572</v>
      </c>
      <c r="P197" s="63">
        <v>0.44359331476323122</v>
      </c>
    </row>
    <row r="198" spans="1:16" x14ac:dyDescent="0.45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0.25281013693030863</v>
      </c>
      <c r="M198" s="63">
        <v>0.22930717351318208</v>
      </c>
      <c r="N198" s="63">
        <v>0.56022635408245758</v>
      </c>
      <c r="O198" s="63">
        <v>0.41176470588235292</v>
      </c>
      <c r="P198" s="63">
        <v>0.44352044352044351</v>
      </c>
    </row>
    <row r="199" spans="1:16" x14ac:dyDescent="0.45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0.25356997144022847</v>
      </c>
      <c r="M199" s="63">
        <v>0.22888616891064872</v>
      </c>
      <c r="N199" s="63">
        <v>0.55993563958165726</v>
      </c>
      <c r="O199" s="63">
        <v>0.41176470588235292</v>
      </c>
      <c r="P199" s="63">
        <v>0.44260027662517287</v>
      </c>
    </row>
    <row r="200" spans="1:16" x14ac:dyDescent="0.45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0.25431647369490146</v>
      </c>
      <c r="M200" s="63">
        <v>0.22831606743855373</v>
      </c>
      <c r="N200" s="63">
        <v>0.55990415335463262</v>
      </c>
      <c r="O200" s="63">
        <v>0.41192170818505336</v>
      </c>
      <c r="P200" s="63">
        <v>0.44184445973847214</v>
      </c>
    </row>
    <row r="201" spans="1:16" x14ac:dyDescent="0.45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0.25441265976871574</v>
      </c>
      <c r="M201" s="63">
        <v>0.22844390342868737</v>
      </c>
      <c r="N201" s="63">
        <v>0.55901116427432218</v>
      </c>
      <c r="O201" s="63">
        <v>0.41207815275310833</v>
      </c>
      <c r="P201" s="63">
        <v>0.44123711340206184</v>
      </c>
    </row>
    <row r="202" spans="1:16" x14ac:dyDescent="0.45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0.25414141414141417</v>
      </c>
      <c r="M202" s="63">
        <v>0.22868686868686869</v>
      </c>
      <c r="N202" s="63">
        <v>0.55802861685214622</v>
      </c>
      <c r="O202" s="63">
        <v>0.41254416961130741</v>
      </c>
      <c r="P202" s="63">
        <v>0.44109589041095892</v>
      </c>
    </row>
    <row r="203" spans="1:16" x14ac:dyDescent="0.45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0.25406381697772429</v>
      </c>
      <c r="M203" s="63">
        <v>0.22897852699177201</v>
      </c>
      <c r="N203" s="63">
        <v>0.55766192733017372</v>
      </c>
      <c r="O203" s="63">
        <v>0.41279579316389131</v>
      </c>
      <c r="P203" s="63">
        <v>0.44179714091218514</v>
      </c>
    </row>
    <row r="204" spans="1:16" x14ac:dyDescent="0.45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0.2536448971439984</v>
      </c>
      <c r="M204" s="63">
        <v>0.22927900938685838</v>
      </c>
      <c r="N204" s="63">
        <v>0.55826771653543306</v>
      </c>
      <c r="O204" s="63">
        <v>0.41202090592334495</v>
      </c>
      <c r="P204" s="63">
        <v>0.44105691056910568</v>
      </c>
    </row>
    <row r="205" spans="1:16" x14ac:dyDescent="0.45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0.2537313432835821</v>
      </c>
      <c r="M205" s="63">
        <v>0.23024875621890548</v>
      </c>
      <c r="N205" s="63">
        <v>0.55764705882352938</v>
      </c>
      <c r="O205" s="63">
        <v>0.41140881590319794</v>
      </c>
      <c r="P205" s="63">
        <v>0.44062078272604588</v>
      </c>
    </row>
    <row r="206" spans="1:16" x14ac:dyDescent="0.45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0.25380811078140453</v>
      </c>
      <c r="M206" s="63">
        <v>0.2304648862512364</v>
      </c>
      <c r="N206" s="63">
        <v>0.55650818394388157</v>
      </c>
      <c r="O206" s="63">
        <v>0.41201716738197425</v>
      </c>
      <c r="P206" s="63">
        <v>0.43930248155600266</v>
      </c>
    </row>
    <row r="207" spans="1:16" x14ac:dyDescent="0.45">
      <c r="A207" s="65">
        <v>204</v>
      </c>
      <c r="B207" s="62">
        <v>-4.6185277824406512E-14</v>
      </c>
      <c r="C207" s="62">
        <v>-7.5466140235958356E-17</v>
      </c>
      <c r="D207" s="67">
        <v>2</v>
      </c>
      <c r="E207" s="63">
        <v>0.33333333333333331</v>
      </c>
      <c r="F207" s="63">
        <v>0.33333333333333331</v>
      </c>
      <c r="G207" s="63">
        <v>0.29518190757128809</v>
      </c>
      <c r="H207" s="63">
        <v>0.1640117994100295</v>
      </c>
      <c r="I207" s="64">
        <v>8462.0919387075282</v>
      </c>
      <c r="J207" s="64">
        <v>-7899.8800959232613</v>
      </c>
      <c r="K207" s="63">
        <v>9.6405228758169939E-2</v>
      </c>
      <c r="L207" s="63">
        <v>0.25329400196656832</v>
      </c>
      <c r="M207" s="63">
        <v>0.23126843657817109</v>
      </c>
      <c r="N207" s="63">
        <v>0.55667701863354035</v>
      </c>
      <c r="O207" s="63">
        <v>0.41326530612244899</v>
      </c>
      <c r="P207" s="63">
        <v>0.43904063957361761</v>
      </c>
    </row>
    <row r="208" spans="1:16" x14ac:dyDescent="0.45">
      <c r="A208" s="65">
        <v>205</v>
      </c>
      <c r="B208" s="62">
        <v>-4.7073456244106637E-14</v>
      </c>
      <c r="C208" s="62">
        <v>-7.6542205274970144E-17</v>
      </c>
      <c r="D208" s="67">
        <v>2</v>
      </c>
      <c r="E208" s="63">
        <v>0.33333333333333331</v>
      </c>
      <c r="F208" s="63">
        <v>0.33333333333333331</v>
      </c>
      <c r="G208" s="63">
        <v>0.29523251270027356</v>
      </c>
      <c r="H208" s="63">
        <v>0.16412661195779601</v>
      </c>
      <c r="I208" s="64">
        <v>8433.1568497683656</v>
      </c>
      <c r="J208" s="64">
        <v>-7863.8095238095239</v>
      </c>
      <c r="K208" s="63">
        <v>9.5934959349593493E-2</v>
      </c>
      <c r="L208" s="63">
        <v>0.25322391559202811</v>
      </c>
      <c r="M208" s="63">
        <v>0.23192653380226652</v>
      </c>
      <c r="N208" s="63">
        <v>0.55478395061728392</v>
      </c>
      <c r="O208" s="63">
        <v>0.41449031171019379</v>
      </c>
      <c r="P208" s="63">
        <v>0.43878226340172072</v>
      </c>
    </row>
    <row r="209" spans="1:16" x14ac:dyDescent="0.45">
      <c r="A209" s="65">
        <v>206</v>
      </c>
      <c r="B209" s="62">
        <v>-4.6185277824406512E-14</v>
      </c>
      <c r="C209" s="62">
        <v>-7.4733459262793709E-17</v>
      </c>
      <c r="D209" s="67">
        <v>2</v>
      </c>
      <c r="E209" s="63">
        <v>0.33333333333333331</v>
      </c>
      <c r="F209" s="63">
        <v>0.33333333333333331</v>
      </c>
      <c r="G209" s="63">
        <v>0.2954324586977648</v>
      </c>
      <c r="H209" s="63">
        <v>0.16384839650145772</v>
      </c>
      <c r="I209" s="64">
        <v>8433.4210526315783</v>
      </c>
      <c r="J209" s="64">
        <v>-7848.8730723606168</v>
      </c>
      <c r="K209" s="63">
        <v>9.5469255663430425E-2</v>
      </c>
      <c r="L209" s="63">
        <v>0.2530612244897959</v>
      </c>
      <c r="M209" s="63">
        <v>0.23206997084548106</v>
      </c>
      <c r="N209" s="63">
        <v>0.55453149001536095</v>
      </c>
      <c r="O209" s="63">
        <v>0.41541038525963148</v>
      </c>
      <c r="P209" s="63">
        <v>0.44013157894736843</v>
      </c>
    </row>
    <row r="210" spans="1:16" x14ac:dyDescent="0.45">
      <c r="A210" s="65">
        <v>207</v>
      </c>
      <c r="B210" s="62">
        <v>-4.6185277824406512E-14</v>
      </c>
      <c r="C210" s="62">
        <v>-7.4372428058625621E-17</v>
      </c>
      <c r="D210" s="67">
        <v>2</v>
      </c>
      <c r="E210" s="63">
        <v>0.33333333333333331</v>
      </c>
      <c r="F210" s="63">
        <v>0.33333333333333331</v>
      </c>
      <c r="G210" s="63">
        <v>0.29528775589030515</v>
      </c>
      <c r="H210" s="63">
        <v>0.16357667052916183</v>
      </c>
      <c r="I210" s="64">
        <v>8432.7011118378032</v>
      </c>
      <c r="J210" s="64">
        <v>-7839.5513577331758</v>
      </c>
      <c r="K210" s="63">
        <v>9.5008051529790666E-2</v>
      </c>
      <c r="L210" s="63">
        <v>0.25376593279258403</v>
      </c>
      <c r="M210" s="63">
        <v>0.23155658555426806</v>
      </c>
      <c r="N210" s="63">
        <v>0.55403348554033482</v>
      </c>
      <c r="O210" s="63">
        <v>0.41534612176814012</v>
      </c>
      <c r="P210" s="63">
        <v>0.44081098757357751</v>
      </c>
    </row>
    <row r="211" spans="1:16" x14ac:dyDescent="0.45">
      <c r="A211" s="65">
        <v>208</v>
      </c>
      <c r="B211" s="62">
        <v>-4.2632564145606011E-14</v>
      </c>
      <c r="C211" s="62">
        <v>-6.8321416900009637E-17</v>
      </c>
      <c r="D211" s="67">
        <v>2</v>
      </c>
      <c r="E211" s="63">
        <v>0.33333333333333331</v>
      </c>
      <c r="F211" s="63">
        <v>0.33333333333333331</v>
      </c>
      <c r="G211" s="63">
        <v>0.29541955350269439</v>
      </c>
      <c r="H211" s="63">
        <v>0.16339491916859122</v>
      </c>
      <c r="I211" s="64">
        <v>8447.4267100977195</v>
      </c>
      <c r="J211" s="64">
        <v>-7856.4193168433449</v>
      </c>
      <c r="K211" s="63">
        <v>9.6153846153846159E-2</v>
      </c>
      <c r="L211" s="63">
        <v>0.2540415704387991</v>
      </c>
      <c r="M211" s="63">
        <v>0.23152424942263281</v>
      </c>
      <c r="N211" s="63">
        <v>0.55454545454545456</v>
      </c>
      <c r="O211" s="63">
        <v>0.41479634247714048</v>
      </c>
      <c r="P211" s="63">
        <v>0.44169381107491856</v>
      </c>
    </row>
    <row r="212" spans="1:16" x14ac:dyDescent="0.45">
      <c r="A212" s="65">
        <v>209</v>
      </c>
      <c r="B212" s="62">
        <v>-4.4741987892393809E-14</v>
      </c>
      <c r="C212" s="62">
        <v>-7.1358832364264442E-17</v>
      </c>
      <c r="D212" s="67">
        <v>2</v>
      </c>
      <c r="E212" s="63">
        <v>0.33333333333333331</v>
      </c>
      <c r="F212" s="63">
        <v>0.33333333333333331</v>
      </c>
      <c r="G212" s="63">
        <v>0.29540229885057473</v>
      </c>
      <c r="H212" s="63">
        <v>0.16379310344827586</v>
      </c>
      <c r="I212" s="64">
        <v>8445.1361867704272</v>
      </c>
      <c r="J212" s="64">
        <v>-7856.9590643274851</v>
      </c>
      <c r="K212" s="63">
        <v>9.569377990430622E-2</v>
      </c>
      <c r="L212" s="63">
        <v>0.25440613026819925</v>
      </c>
      <c r="M212" s="63">
        <v>0.23122605363984675</v>
      </c>
      <c r="N212" s="63">
        <v>0.55421686746987953</v>
      </c>
      <c r="O212" s="63">
        <v>0.41507870753935378</v>
      </c>
      <c r="P212" s="63">
        <v>0.44033722438391698</v>
      </c>
    </row>
    <row r="213" spans="1:16" x14ac:dyDescent="0.45">
      <c r="A213" s="65">
        <v>210</v>
      </c>
      <c r="B213" s="62">
        <v>-4.9737991503207013E-14</v>
      </c>
      <c r="C213" s="62">
        <v>-7.8949192862233357E-17</v>
      </c>
      <c r="D213" s="67">
        <v>2</v>
      </c>
      <c r="E213" s="63">
        <v>0.33333333333333331</v>
      </c>
      <c r="F213" s="63">
        <v>0.33333333333333331</v>
      </c>
      <c r="G213" s="63">
        <v>0.29540689918048407</v>
      </c>
      <c r="H213" s="63">
        <v>0.16352201257861634</v>
      </c>
      <c r="I213" s="64">
        <v>8440.9032258064508</v>
      </c>
      <c r="J213" s="64">
        <v>-7843.939393939394</v>
      </c>
      <c r="K213" s="63">
        <v>9.6825396825396828E-2</v>
      </c>
      <c r="L213" s="63">
        <v>0.25462168858395273</v>
      </c>
      <c r="M213" s="63">
        <v>0.23098913664951401</v>
      </c>
      <c r="N213" s="63">
        <v>0.55464071856287422</v>
      </c>
      <c r="O213" s="63">
        <v>0.41501650165016502</v>
      </c>
      <c r="P213" s="63">
        <v>0.44129032258064516</v>
      </c>
    </row>
    <row r="214" spans="1:16" x14ac:dyDescent="0.45">
      <c r="A214" s="65">
        <v>211</v>
      </c>
      <c r="B214" s="62">
        <v>-4.2632564145606011E-14</v>
      </c>
      <c r="C214" s="62">
        <v>-6.7350022346928933E-17</v>
      </c>
      <c r="D214" s="67">
        <v>2</v>
      </c>
      <c r="E214" s="63">
        <v>0.33333333333333331</v>
      </c>
      <c r="F214" s="63">
        <v>0.33333333333333331</v>
      </c>
      <c r="G214" s="63">
        <v>0.29560106181266593</v>
      </c>
      <c r="H214" s="63">
        <v>0.16382252559726962</v>
      </c>
      <c r="I214" s="64">
        <v>8453.3033996151371</v>
      </c>
      <c r="J214" s="64">
        <v>-7848.8425925925922</v>
      </c>
      <c r="K214" s="63">
        <v>9.7946287519747238E-2</v>
      </c>
      <c r="L214" s="63">
        <v>0.25445582100872205</v>
      </c>
      <c r="M214" s="63">
        <v>0.23113386423966628</v>
      </c>
      <c r="N214" s="63">
        <v>0.55439642324888228</v>
      </c>
      <c r="O214" s="63">
        <v>0.41509433962264153</v>
      </c>
      <c r="P214" s="63">
        <v>0.44066709429121231</v>
      </c>
    </row>
    <row r="215" spans="1:16" x14ac:dyDescent="0.45">
      <c r="A215" s="65">
        <v>212</v>
      </c>
      <c r="B215" s="62">
        <v>-4.2632564145606011E-14</v>
      </c>
      <c r="C215" s="62">
        <v>-6.70323335622736E-17</v>
      </c>
      <c r="D215" s="67">
        <v>2</v>
      </c>
      <c r="E215" s="63">
        <v>0.33333333333333331</v>
      </c>
      <c r="F215" s="63">
        <v>0.33333333333333331</v>
      </c>
      <c r="G215" s="63">
        <v>0.29558323895809741</v>
      </c>
      <c r="H215" s="63">
        <v>0.1636466591166478</v>
      </c>
      <c r="I215" s="64">
        <v>8459.7062579821195</v>
      </c>
      <c r="J215" s="64">
        <v>-7850.749711649366</v>
      </c>
      <c r="K215" s="63">
        <v>9.9056603773584911E-2</v>
      </c>
      <c r="L215" s="63">
        <v>0.2544356360890902</v>
      </c>
      <c r="M215" s="63">
        <v>0.23084182710456777</v>
      </c>
      <c r="N215" s="63">
        <v>0.5556379821958457</v>
      </c>
      <c r="O215" s="63">
        <v>0.4145543744889616</v>
      </c>
      <c r="P215" s="63">
        <v>0.44125159642401024</v>
      </c>
    </row>
    <row r="216" spans="1:16" x14ac:dyDescent="0.45">
      <c r="A216" s="65">
        <v>213</v>
      </c>
      <c r="B216" s="62">
        <v>-4.2632564145606011E-14</v>
      </c>
      <c r="C216" s="62">
        <v>-6.6717627770901427E-17</v>
      </c>
      <c r="D216" s="67">
        <v>2</v>
      </c>
      <c r="E216" s="63">
        <v>0.33333333333333331</v>
      </c>
      <c r="F216" s="63">
        <v>0.33333333333333331</v>
      </c>
      <c r="G216" s="63">
        <v>0.29560810810810811</v>
      </c>
      <c r="H216" s="63">
        <v>0.16347597597597596</v>
      </c>
      <c r="I216" s="64">
        <v>8447.6825396825388</v>
      </c>
      <c r="J216" s="64">
        <v>-7832.8358208955224</v>
      </c>
      <c r="K216" s="63">
        <v>9.8591549295774641E-2</v>
      </c>
      <c r="L216" s="63">
        <v>0.25450450450450451</v>
      </c>
      <c r="M216" s="63">
        <v>0.23104354354354353</v>
      </c>
      <c r="N216" s="63">
        <v>0.55530973451327437</v>
      </c>
      <c r="O216" s="63">
        <v>0.41348497156783104</v>
      </c>
      <c r="P216" s="63">
        <v>0.44190476190476191</v>
      </c>
    </row>
    <row r="217" spans="1:16" x14ac:dyDescent="0.45">
      <c r="A217" s="65">
        <v>214</v>
      </c>
      <c r="B217" s="62">
        <v>-4.4408920985006262E-14</v>
      </c>
      <c r="C217" s="62">
        <v>-6.9172774119947443E-17</v>
      </c>
      <c r="D217" s="67">
        <v>2</v>
      </c>
      <c r="E217" s="63">
        <v>0.33333333333333331</v>
      </c>
      <c r="F217" s="63">
        <v>0.33333333333333331</v>
      </c>
      <c r="G217" s="63">
        <v>0.2958403282969595</v>
      </c>
      <c r="H217" s="63">
        <v>0.16358888267114344</v>
      </c>
      <c r="I217" s="64">
        <v>8435.2459016393441</v>
      </c>
      <c r="J217" s="64">
        <v>-7826.5678449258839</v>
      </c>
      <c r="K217" s="63">
        <v>9.8130841121495324E-2</v>
      </c>
      <c r="L217" s="63">
        <v>0.25424361126655476</v>
      </c>
      <c r="M217" s="63">
        <v>0.23130013057265436</v>
      </c>
      <c r="N217" s="63">
        <v>0.55392516507703593</v>
      </c>
      <c r="O217" s="63">
        <v>0.41532258064516131</v>
      </c>
      <c r="P217" s="63">
        <v>0.44199243379571246</v>
      </c>
    </row>
    <row r="218" spans="1:16" x14ac:dyDescent="0.45">
      <c r="A218" s="65">
        <v>215</v>
      </c>
      <c r="B218" s="62">
        <v>-4.9737991503207013E-14</v>
      </c>
      <c r="C218" s="62">
        <v>-7.7113165121251182E-17</v>
      </c>
      <c r="D218" s="67">
        <v>2</v>
      </c>
      <c r="E218" s="63">
        <v>0.33333333333333331</v>
      </c>
      <c r="F218" s="63">
        <v>0.33333333333333331</v>
      </c>
      <c r="G218" s="63">
        <v>0.29584261321455085</v>
      </c>
      <c r="H218" s="63">
        <v>0.16369710467706014</v>
      </c>
      <c r="I218" s="64">
        <v>8463.8017565872015</v>
      </c>
      <c r="J218" s="64">
        <v>-7863.0385487528347</v>
      </c>
      <c r="K218" s="63">
        <v>9.9224806201550386E-2</v>
      </c>
      <c r="L218" s="63">
        <v>0.25445434298440978</v>
      </c>
      <c r="M218" s="63">
        <v>0.23051224944320714</v>
      </c>
      <c r="N218" s="63">
        <v>0.55433989788475568</v>
      </c>
      <c r="O218" s="63">
        <v>0.41626409017713367</v>
      </c>
      <c r="P218" s="63">
        <v>0.44165621079046424</v>
      </c>
    </row>
    <row r="219" spans="1:16" x14ac:dyDescent="0.45">
      <c r="A219" s="65">
        <v>216</v>
      </c>
      <c r="B219" s="62">
        <v>-4.9737991503207013E-14</v>
      </c>
      <c r="C219" s="62">
        <v>-7.6756159727171312E-17</v>
      </c>
      <c r="D219" s="67">
        <v>2</v>
      </c>
      <c r="E219" s="63">
        <v>0.33333333333333331</v>
      </c>
      <c r="F219" s="63">
        <v>0.33333333333333331</v>
      </c>
      <c r="G219" s="63">
        <v>0.29598816786836751</v>
      </c>
      <c r="H219" s="63">
        <v>0.16343131817341469</v>
      </c>
      <c r="I219" s="64">
        <v>8462.4609618988125</v>
      </c>
      <c r="J219" s="64">
        <v>-7862.1040723981896</v>
      </c>
      <c r="K219" s="63">
        <v>9.8765432098765427E-2</v>
      </c>
      <c r="L219" s="63">
        <v>0.25457570715474209</v>
      </c>
      <c r="M219" s="63">
        <v>0.23017193566278424</v>
      </c>
      <c r="N219" s="63">
        <v>0.55482933914306465</v>
      </c>
      <c r="O219" s="63">
        <v>0.41686746987951806</v>
      </c>
      <c r="P219" s="63">
        <v>0.44284821986258588</v>
      </c>
    </row>
    <row r="220" spans="1:16" x14ac:dyDescent="0.45">
      <c r="A220" s="65">
        <v>217</v>
      </c>
      <c r="B220" s="62">
        <v>-4.75175454539567E-14</v>
      </c>
      <c r="C220" s="62">
        <v>-7.2991621281039478E-17</v>
      </c>
      <c r="D220" s="67">
        <v>2</v>
      </c>
      <c r="E220" s="63">
        <v>0.33333333333333331</v>
      </c>
      <c r="F220" s="63">
        <v>0.33333333333333331</v>
      </c>
      <c r="G220" s="63">
        <v>0.29605142332415058</v>
      </c>
      <c r="H220" s="63">
        <v>0.16400367309458219</v>
      </c>
      <c r="I220" s="64">
        <v>8475.4342431761779</v>
      </c>
      <c r="J220" s="64">
        <v>-7870.2127659574471</v>
      </c>
      <c r="K220" s="63">
        <v>9.8310291858678955E-2</v>
      </c>
      <c r="L220" s="63">
        <v>0.25417814508723602</v>
      </c>
      <c r="M220" s="63">
        <v>0.22975206611570248</v>
      </c>
      <c r="N220" s="63">
        <v>0.55563583815028905</v>
      </c>
      <c r="O220" s="63">
        <v>0.41806554756195041</v>
      </c>
      <c r="P220" s="63">
        <v>0.44106699751861045</v>
      </c>
    </row>
    <row r="221" spans="1:16" x14ac:dyDescent="0.45">
      <c r="A221" s="65">
        <v>218</v>
      </c>
      <c r="B221" s="62">
        <v>-4.2632564145606011E-14</v>
      </c>
      <c r="C221" s="62">
        <v>-6.5187406950467911E-17</v>
      </c>
      <c r="D221" s="67">
        <v>2</v>
      </c>
      <c r="E221" s="63">
        <v>0.33333333333333331</v>
      </c>
      <c r="F221" s="63">
        <v>0.33333333333333331</v>
      </c>
      <c r="G221" s="63">
        <v>0.29619465788510796</v>
      </c>
      <c r="H221" s="63">
        <v>0.16392242956458106</v>
      </c>
      <c r="I221" s="64">
        <v>8486.4113650401487</v>
      </c>
      <c r="J221" s="64">
        <v>-7862.9464285714284</v>
      </c>
      <c r="K221" s="63">
        <v>9.9388379204892963E-2</v>
      </c>
      <c r="L221" s="63">
        <v>0.25466520307354557</v>
      </c>
      <c r="M221" s="63">
        <v>0.2292352725942188</v>
      </c>
      <c r="N221" s="63">
        <v>0.55675287356321834</v>
      </c>
      <c r="O221" s="63">
        <v>0.41819632881085395</v>
      </c>
      <c r="P221" s="63">
        <v>0.44163063619518222</v>
      </c>
    </row>
    <row r="222" spans="1:16" x14ac:dyDescent="0.45">
      <c r="A222" s="65">
        <v>219</v>
      </c>
      <c r="B222" s="62">
        <v>-4.4075854077618715E-14</v>
      </c>
      <c r="C222" s="62">
        <v>-6.7086535886786478E-17</v>
      </c>
      <c r="D222" s="67">
        <v>2</v>
      </c>
      <c r="E222" s="63">
        <v>0.33333333333333331</v>
      </c>
      <c r="F222" s="63">
        <v>0.33333333333333331</v>
      </c>
      <c r="G222" s="63">
        <v>0.29603347889374088</v>
      </c>
      <c r="H222" s="63">
        <v>0.16375545851528384</v>
      </c>
      <c r="I222" s="64">
        <v>8502.4585125998765</v>
      </c>
      <c r="J222" s="64">
        <v>-7859.8888888888887</v>
      </c>
      <c r="K222" s="63">
        <v>9.8934550989345504E-2</v>
      </c>
      <c r="L222" s="63">
        <v>0.25400291120815138</v>
      </c>
      <c r="M222" s="63">
        <v>0.22907569141193596</v>
      </c>
      <c r="N222" s="63">
        <v>0.55659025787965621</v>
      </c>
      <c r="O222" s="63">
        <v>0.41858617950754567</v>
      </c>
      <c r="P222" s="63">
        <v>0.44191763982790411</v>
      </c>
    </row>
    <row r="223" spans="1:16" x14ac:dyDescent="0.45">
      <c r="A223" s="65">
        <v>220</v>
      </c>
      <c r="B223" s="62">
        <v>-4.2632564145606011E-14</v>
      </c>
      <c r="C223" s="62">
        <v>-6.4594794160009105E-17</v>
      </c>
      <c r="D223" s="67">
        <v>2</v>
      </c>
      <c r="E223" s="63">
        <v>0.33333333333333331</v>
      </c>
      <c r="F223" s="63">
        <v>0.33333333333333331</v>
      </c>
      <c r="G223" s="63">
        <v>0.29599419974623892</v>
      </c>
      <c r="H223" s="63">
        <v>0.16331339496102953</v>
      </c>
      <c r="I223" s="64">
        <v>8483.2210655235758</v>
      </c>
      <c r="J223" s="64">
        <v>-7855.4938956714759</v>
      </c>
      <c r="K223" s="63">
        <v>9.8484848484848481E-2</v>
      </c>
      <c r="L223" s="63">
        <v>0.25339858618814576</v>
      </c>
      <c r="M223" s="63">
        <v>0.23001631321370311</v>
      </c>
      <c r="N223" s="63">
        <v>0.55579399141630903</v>
      </c>
      <c r="O223" s="63">
        <v>0.42001576044129235</v>
      </c>
      <c r="P223" s="63">
        <v>0.44335578689528476</v>
      </c>
    </row>
    <row r="224" spans="1:16" x14ac:dyDescent="0.45">
      <c r="A224" s="65">
        <v>221</v>
      </c>
      <c r="B224" s="62">
        <v>-4.2632564145606011E-14</v>
      </c>
      <c r="C224" s="62">
        <v>-6.4302510023538484E-17</v>
      </c>
      <c r="D224" s="67">
        <v>2</v>
      </c>
      <c r="E224" s="63">
        <v>0.33333333333333331</v>
      </c>
      <c r="F224" s="63">
        <v>0.33333333333333331</v>
      </c>
      <c r="G224" s="63">
        <v>0.29599567099567098</v>
      </c>
      <c r="H224" s="63">
        <v>0.16360028860028861</v>
      </c>
      <c r="I224" s="64">
        <v>8473.2480195003045</v>
      </c>
      <c r="J224" s="64">
        <v>-7843.7706725468579</v>
      </c>
      <c r="K224" s="63">
        <v>9.9547511312217188E-2</v>
      </c>
      <c r="L224" s="63">
        <v>0.25342712842712845</v>
      </c>
      <c r="M224" s="63">
        <v>0.22997835497835498</v>
      </c>
      <c r="N224" s="63">
        <v>0.55729537366548043</v>
      </c>
      <c r="O224" s="63">
        <v>0.41882352941176471</v>
      </c>
      <c r="P224" s="63">
        <v>0.44241316270566727</v>
      </c>
    </row>
    <row r="225" spans="1:16" x14ac:dyDescent="0.45">
      <c r="A225" s="65">
        <v>222</v>
      </c>
      <c r="B225" s="62">
        <v>-4.2632564145606011E-14</v>
      </c>
      <c r="C225" s="62">
        <v>-6.4012859077486503E-17</v>
      </c>
      <c r="D225" s="67">
        <v>2</v>
      </c>
      <c r="E225" s="63">
        <v>0.33333333333333331</v>
      </c>
      <c r="F225" s="63">
        <v>0.33333333333333331</v>
      </c>
      <c r="G225" s="63">
        <v>0.29597701149425287</v>
      </c>
      <c r="H225" s="63">
        <v>0.16361350574712644</v>
      </c>
      <c r="I225" s="64">
        <v>8505.9466019417468</v>
      </c>
      <c r="J225" s="64">
        <v>-7883.0954994511521</v>
      </c>
      <c r="K225" s="63">
        <v>0.1006006006006006</v>
      </c>
      <c r="L225" s="63">
        <v>0.25305316091954022</v>
      </c>
      <c r="M225" s="63">
        <v>0.22934626436781611</v>
      </c>
      <c r="N225" s="63">
        <v>0.55713271823988642</v>
      </c>
      <c r="O225" s="63">
        <v>0.41973375097885668</v>
      </c>
      <c r="P225" s="63">
        <v>0.44235436893203883</v>
      </c>
    </row>
    <row r="226" spans="1:16" x14ac:dyDescent="0.45">
      <c r="A226" s="65">
        <v>223</v>
      </c>
      <c r="B226" s="62">
        <v>-4.2632564145606011E-14</v>
      </c>
      <c r="C226" s="62">
        <v>-6.3725805897766832E-17</v>
      </c>
      <c r="D226" s="67">
        <v>2</v>
      </c>
      <c r="E226" s="63">
        <v>0.33333333333333331</v>
      </c>
      <c r="F226" s="63">
        <v>0.33333333333333331</v>
      </c>
      <c r="G226" s="63">
        <v>0.29593845052782253</v>
      </c>
      <c r="H226" s="63">
        <v>0.16371443907675792</v>
      </c>
      <c r="I226" s="64">
        <v>8493.4703748488519</v>
      </c>
      <c r="J226" s="64">
        <v>-7870.8196721311479</v>
      </c>
      <c r="K226" s="63">
        <v>0.10014947683109118</v>
      </c>
      <c r="L226" s="63">
        <v>0.25299695831096797</v>
      </c>
      <c r="M226" s="63">
        <v>0.22937913759169798</v>
      </c>
      <c r="N226" s="63">
        <v>0.55657708628005653</v>
      </c>
      <c r="O226" s="63">
        <v>0.4204368174726989</v>
      </c>
      <c r="P226" s="63">
        <v>0.44195888754534463</v>
      </c>
    </row>
    <row r="227" spans="1:16" x14ac:dyDescent="0.45">
      <c r="A227" s="65">
        <v>224</v>
      </c>
      <c r="B227" s="62">
        <v>-4.2632564145606011E-14</v>
      </c>
      <c r="C227" s="62">
        <v>-6.3441315692866085E-17</v>
      </c>
      <c r="D227" s="67">
        <v>2</v>
      </c>
      <c r="E227" s="63">
        <v>0.33333333333333331</v>
      </c>
      <c r="F227" s="63">
        <v>0.33333333333333331</v>
      </c>
      <c r="G227" s="63">
        <v>0.29594017094017094</v>
      </c>
      <c r="H227" s="63">
        <v>0.16363960113960113</v>
      </c>
      <c r="I227" s="64">
        <v>8475.0300842358611</v>
      </c>
      <c r="J227" s="64">
        <v>-7857.9978237214364</v>
      </c>
      <c r="K227" s="63">
        <v>9.9702380952380959E-2</v>
      </c>
      <c r="L227" s="63">
        <v>0.25267094017094016</v>
      </c>
      <c r="M227" s="63">
        <v>0.22934472934472935</v>
      </c>
      <c r="N227" s="63">
        <v>0.55673009161381259</v>
      </c>
      <c r="O227" s="63">
        <v>0.42080745341614906</v>
      </c>
      <c r="P227" s="63">
        <v>0.44223826714801445</v>
      </c>
    </row>
    <row r="228" spans="1:16" x14ac:dyDescent="0.45">
      <c r="A228" s="65">
        <v>225</v>
      </c>
      <c r="B228" s="62">
        <v>-4.2632564145606011E-14</v>
      </c>
      <c r="C228" s="62">
        <v>-6.3159354289786683E-17</v>
      </c>
      <c r="D228" s="67">
        <v>2</v>
      </c>
      <c r="E228" s="63">
        <v>0.33333333333333331</v>
      </c>
      <c r="F228" s="63">
        <v>0.33333333333333331</v>
      </c>
      <c r="G228" s="63">
        <v>0.29590207557211284</v>
      </c>
      <c r="H228" s="63">
        <v>0.16373957778960441</v>
      </c>
      <c r="I228" s="64">
        <v>8479.556354916067</v>
      </c>
      <c r="J228" s="64">
        <v>-7854.7128927410622</v>
      </c>
      <c r="K228" s="63">
        <v>0.10074074074074074</v>
      </c>
      <c r="L228" s="63">
        <v>0.25243924073088519</v>
      </c>
      <c r="M228" s="63">
        <v>0.22990952634379988</v>
      </c>
      <c r="N228" s="63">
        <v>0.55657062543921298</v>
      </c>
      <c r="O228" s="63">
        <v>0.41975308641975306</v>
      </c>
      <c r="P228" s="63">
        <v>0.44184652278177455</v>
      </c>
    </row>
    <row r="229" spans="1:16" x14ac:dyDescent="0.45">
      <c r="A229" s="65">
        <v>226</v>
      </c>
      <c r="B229" s="62">
        <v>-4.2632564145606011E-14</v>
      </c>
      <c r="C229" s="62">
        <v>-6.2879888120362847E-17</v>
      </c>
      <c r="D229" s="67">
        <v>2</v>
      </c>
      <c r="E229" s="63">
        <v>0.33333333333333331</v>
      </c>
      <c r="F229" s="63">
        <v>0.33333333333333331</v>
      </c>
      <c r="G229" s="63">
        <v>0.29541446208112876</v>
      </c>
      <c r="H229" s="63">
        <v>0.16366843033509701</v>
      </c>
      <c r="I229" s="64">
        <v>8467.940298507463</v>
      </c>
      <c r="J229" s="64">
        <v>-7834.5905172413795</v>
      </c>
      <c r="K229" s="63">
        <v>0.10029498525073746</v>
      </c>
      <c r="L229" s="63">
        <v>0.25220458553791886</v>
      </c>
      <c r="M229" s="63">
        <v>0.23051146384479718</v>
      </c>
      <c r="N229" s="63">
        <v>0.55594405594405594</v>
      </c>
      <c r="O229" s="63">
        <v>0.4185156847742923</v>
      </c>
      <c r="P229" s="63">
        <v>0.44119402985074629</v>
      </c>
    </row>
    <row r="230" spans="1:16" x14ac:dyDescent="0.45">
      <c r="A230" s="65">
        <v>227</v>
      </c>
      <c r="B230" s="62">
        <v>-4.2632564145606011E-14</v>
      </c>
      <c r="C230" s="62">
        <v>-6.2602884207938348E-17</v>
      </c>
      <c r="D230" s="67">
        <v>2</v>
      </c>
      <c r="E230" s="63">
        <v>0.33333333333333331</v>
      </c>
      <c r="F230" s="63">
        <v>0.33333333333333331</v>
      </c>
      <c r="G230" s="63">
        <v>0.29555438411526974</v>
      </c>
      <c r="H230" s="63">
        <v>0.16359163591635917</v>
      </c>
      <c r="I230" s="64">
        <v>8469.3816884661119</v>
      </c>
      <c r="J230" s="64">
        <v>-7836.1976369495169</v>
      </c>
      <c r="K230" s="63">
        <v>9.9853157121879588E-2</v>
      </c>
      <c r="L230" s="63">
        <v>0.25250395361096467</v>
      </c>
      <c r="M230" s="63">
        <v>0.23071516429450009</v>
      </c>
      <c r="N230" s="63">
        <v>0.55671537926235215</v>
      </c>
      <c r="O230" s="63">
        <v>0.41812642802741812</v>
      </c>
      <c r="P230" s="63">
        <v>0.44173602853745542</v>
      </c>
    </row>
    <row r="231" spans="1:16" x14ac:dyDescent="0.45">
      <c r="A231" s="65">
        <v>228</v>
      </c>
      <c r="B231" s="62">
        <v>-4.2632564145606011E-14</v>
      </c>
      <c r="C231" s="62">
        <v>-6.232831015439475E-17</v>
      </c>
      <c r="D231" s="67">
        <v>2</v>
      </c>
      <c r="E231" s="63">
        <v>0.33333333333333331</v>
      </c>
      <c r="F231" s="63">
        <v>0.33333333333333331</v>
      </c>
      <c r="G231" s="63">
        <v>0.29520811472542846</v>
      </c>
      <c r="H231" s="63">
        <v>0.16316894018887723</v>
      </c>
      <c r="I231" s="64">
        <v>8471.2677725118483</v>
      </c>
      <c r="J231" s="64">
        <v>-7830.1178992497316</v>
      </c>
      <c r="K231" s="63">
        <v>9.9415204678362568E-2</v>
      </c>
      <c r="L231" s="63">
        <v>0.25288562434417627</v>
      </c>
      <c r="M231" s="63">
        <v>0.23050017488632388</v>
      </c>
      <c r="N231" s="63">
        <v>0.5567081604426003</v>
      </c>
      <c r="O231" s="63">
        <v>0.41654021244309558</v>
      </c>
      <c r="P231" s="63">
        <v>0.44253554502369669</v>
      </c>
    </row>
    <row r="232" spans="1:16" x14ac:dyDescent="0.45">
      <c r="A232" s="65">
        <v>229</v>
      </c>
      <c r="B232" s="62">
        <v>-4.2632564145606011E-14</v>
      </c>
      <c r="C232" s="62">
        <v>-6.2056134127519664E-17</v>
      </c>
      <c r="D232" s="67">
        <v>2</v>
      </c>
      <c r="E232" s="63">
        <v>0.33333333333333331</v>
      </c>
      <c r="F232" s="63">
        <v>0.33333333333333331</v>
      </c>
      <c r="G232" s="63">
        <v>0.29513343799058084</v>
      </c>
      <c r="H232" s="63">
        <v>0.16309087737659167</v>
      </c>
      <c r="I232" s="64">
        <v>8476.0638297872338</v>
      </c>
      <c r="J232" s="64">
        <v>-7841.1764705882351</v>
      </c>
      <c r="K232" s="63">
        <v>0.10043668122270742</v>
      </c>
      <c r="L232" s="63">
        <v>0.25309611023896739</v>
      </c>
      <c r="M232" s="63">
        <v>0.23007151578580151</v>
      </c>
      <c r="N232" s="63">
        <v>0.55616815988973123</v>
      </c>
      <c r="O232" s="63">
        <v>0.41622441243366187</v>
      </c>
      <c r="P232" s="63">
        <v>0.44267139479905437</v>
      </c>
    </row>
    <row r="233" spans="1:16" x14ac:dyDescent="0.45">
      <c r="A233" s="65">
        <v>230</v>
      </c>
      <c r="B233" s="62">
        <v>-4.2632564145606011E-14</v>
      </c>
      <c r="C233" s="62">
        <v>-6.1786324848704365E-17</v>
      </c>
      <c r="D233" s="67">
        <v>2</v>
      </c>
      <c r="E233" s="63">
        <v>0.33333333333333331</v>
      </c>
      <c r="F233" s="63">
        <v>0.33333333333333331</v>
      </c>
      <c r="G233" s="63">
        <v>0.29527285366701422</v>
      </c>
      <c r="H233" s="63">
        <v>0.16301703163017031</v>
      </c>
      <c r="I233" s="64">
        <v>8470.8063566803994</v>
      </c>
      <c r="J233" s="64">
        <v>-7831.7697228144989</v>
      </c>
      <c r="K233" s="63">
        <v>0.1</v>
      </c>
      <c r="L233" s="63">
        <v>0.25356273896419884</v>
      </c>
      <c r="M233" s="63">
        <v>0.23010079944386513</v>
      </c>
      <c r="N233" s="63">
        <v>0.55586017820424949</v>
      </c>
      <c r="O233" s="63">
        <v>0.41616314199395771</v>
      </c>
      <c r="P233" s="63">
        <v>0.44320188346085931</v>
      </c>
    </row>
    <row r="234" spans="1:16" x14ac:dyDescent="0.45">
      <c r="A234" s="65">
        <v>231</v>
      </c>
      <c r="B234" s="62">
        <v>-3.9968028886505635E-14</v>
      </c>
      <c r="C234" s="62">
        <v>-5.7673923357150984E-17</v>
      </c>
      <c r="D234" s="67">
        <v>2</v>
      </c>
      <c r="E234" s="63">
        <v>0.33333333333333331</v>
      </c>
      <c r="F234" s="63">
        <v>0.33333333333333331</v>
      </c>
      <c r="G234" s="63">
        <v>0.29521829521829523</v>
      </c>
      <c r="H234" s="63">
        <v>0.16320166320166321</v>
      </c>
      <c r="I234" s="64">
        <v>8472.4765258215957</v>
      </c>
      <c r="J234" s="64">
        <v>-7833.7579617834399</v>
      </c>
      <c r="K234" s="63">
        <v>0.10101010101010101</v>
      </c>
      <c r="L234" s="63">
        <v>0.25363825363825365</v>
      </c>
      <c r="M234" s="63">
        <v>0.22972972972972974</v>
      </c>
      <c r="N234" s="63">
        <v>0.55669398907103829</v>
      </c>
      <c r="O234" s="63">
        <v>0.41553544494720968</v>
      </c>
      <c r="P234" s="63">
        <v>0.44248826291079812</v>
      </c>
    </row>
    <row r="235" spans="1:16" x14ac:dyDescent="0.45">
      <c r="A235" s="65">
        <v>232</v>
      </c>
      <c r="B235" s="62">
        <v>-3.907985046680551E-14</v>
      </c>
      <c r="C235" s="62">
        <v>-5.614921044081252E-17</v>
      </c>
      <c r="D235" s="67">
        <v>2</v>
      </c>
      <c r="E235" s="63">
        <v>0.33333333333333331</v>
      </c>
      <c r="F235" s="63">
        <v>0.33333333333333331</v>
      </c>
      <c r="G235" s="63">
        <v>0.29533678756476683</v>
      </c>
      <c r="H235" s="63">
        <v>0.16355785837651124</v>
      </c>
      <c r="I235" s="64">
        <v>8463.5672514619891</v>
      </c>
      <c r="J235" s="64">
        <v>-7825.765575501584</v>
      </c>
      <c r="K235" s="63">
        <v>0.10057471264367816</v>
      </c>
      <c r="L235" s="63">
        <v>0.253713298791019</v>
      </c>
      <c r="M235" s="63">
        <v>0.22918825561312609</v>
      </c>
      <c r="N235" s="63">
        <v>0.55820285908781486</v>
      </c>
      <c r="O235" s="63">
        <v>0.41597588545591557</v>
      </c>
      <c r="P235" s="63">
        <v>0.44152046783625731</v>
      </c>
    </row>
    <row r="236" spans="1:16" x14ac:dyDescent="0.45">
      <c r="A236" s="65">
        <v>233</v>
      </c>
      <c r="B236" s="62">
        <v>-4.2632564145606011E-14</v>
      </c>
      <c r="C236" s="62">
        <v>-6.0990792769107312E-17</v>
      </c>
      <c r="D236" s="67">
        <v>2</v>
      </c>
      <c r="E236" s="63">
        <v>0.33333333333333331</v>
      </c>
      <c r="F236" s="63">
        <v>0.33333333333333331</v>
      </c>
      <c r="G236" s="63">
        <v>0.29516933127041428</v>
      </c>
      <c r="H236" s="63">
        <v>0.16331442324222106</v>
      </c>
      <c r="I236" s="64">
        <v>8463.8905066977277</v>
      </c>
      <c r="J236" s="64">
        <v>-7823.4736842105267</v>
      </c>
      <c r="K236" s="63">
        <v>0.10014306151645208</v>
      </c>
      <c r="L236" s="63">
        <v>0.25356713082344851</v>
      </c>
      <c r="M236" s="63">
        <v>0.22846828261990718</v>
      </c>
      <c r="N236" s="63">
        <v>0.55932203389830504</v>
      </c>
      <c r="O236" s="63">
        <v>0.41610233258088791</v>
      </c>
      <c r="P236" s="63">
        <v>0.44205008736167734</v>
      </c>
    </row>
    <row r="237" spans="1:16" x14ac:dyDescent="0.45">
      <c r="A237" s="65">
        <v>234</v>
      </c>
      <c r="B237" s="62">
        <v>-4.2632564145606011E-14</v>
      </c>
      <c r="C237" s="62">
        <v>-6.0730148355564125E-17</v>
      </c>
      <c r="D237" s="67">
        <v>2</v>
      </c>
      <c r="E237" s="63">
        <v>0.33333333333333331</v>
      </c>
      <c r="F237" s="63">
        <v>0.33333333333333331</v>
      </c>
      <c r="G237" s="63">
        <v>0.29496402877697842</v>
      </c>
      <c r="H237" s="63">
        <v>0.16341212744090441</v>
      </c>
      <c r="I237" s="64">
        <v>8462.1370499419281</v>
      </c>
      <c r="J237" s="64">
        <v>-7819.287211740042</v>
      </c>
      <c r="K237" s="63">
        <v>9.9715099715099717E-2</v>
      </c>
      <c r="L237" s="63">
        <v>0.25385405960945528</v>
      </c>
      <c r="M237" s="63">
        <v>0.22850291195614936</v>
      </c>
      <c r="N237" s="63">
        <v>0.55802968960863697</v>
      </c>
      <c r="O237" s="63">
        <v>0.41604197901049478</v>
      </c>
      <c r="P237" s="63">
        <v>0.44134727061556328</v>
      </c>
    </row>
    <row r="238" spans="1:16" x14ac:dyDescent="0.45">
      <c r="A238" s="65">
        <v>235</v>
      </c>
      <c r="B238" s="62">
        <v>-4.2632564145606011E-14</v>
      </c>
      <c r="C238" s="62">
        <v>-6.0471722192348953E-17</v>
      </c>
      <c r="D238" s="67">
        <v>2</v>
      </c>
      <c r="E238" s="63">
        <v>0.33333333333333331</v>
      </c>
      <c r="F238" s="63">
        <v>0.33333333333333331</v>
      </c>
      <c r="G238" s="63">
        <v>0.29498977505112473</v>
      </c>
      <c r="H238" s="63">
        <v>0.16342876618950239</v>
      </c>
      <c r="I238" s="64">
        <v>8452.8018486424025</v>
      </c>
      <c r="J238" s="64">
        <v>-7806.2565172054219</v>
      </c>
      <c r="K238" s="63">
        <v>9.9290780141843976E-2</v>
      </c>
      <c r="L238" s="63">
        <v>0.25340831629175187</v>
      </c>
      <c r="M238" s="63">
        <v>0.22886843899113837</v>
      </c>
      <c r="N238" s="63">
        <v>0.5595158036314728</v>
      </c>
      <c r="O238" s="63">
        <v>0.41623231571109459</v>
      </c>
      <c r="P238" s="63">
        <v>0.44136337377238588</v>
      </c>
    </row>
    <row r="239" spans="1:16" x14ac:dyDescent="0.45">
      <c r="A239" s="65">
        <v>236</v>
      </c>
      <c r="B239" s="62">
        <v>-4.2632564145606011E-14</v>
      </c>
      <c r="C239" s="62">
        <v>-6.0215486081364422E-17</v>
      </c>
      <c r="D239" s="67">
        <v>2</v>
      </c>
      <c r="E239" s="63">
        <v>0.33333333333333331</v>
      </c>
      <c r="F239" s="63">
        <v>0.33333333333333331</v>
      </c>
      <c r="G239" s="63">
        <v>0.29495669893020887</v>
      </c>
      <c r="H239" s="63">
        <v>0.16335540838852097</v>
      </c>
      <c r="I239" s="64">
        <v>8460.6217616580307</v>
      </c>
      <c r="J239" s="64">
        <v>-7812.9937629937631</v>
      </c>
      <c r="K239" s="63">
        <v>9.8870056497175146E-2</v>
      </c>
      <c r="L239" s="63">
        <v>0.25386313465783666</v>
      </c>
      <c r="M239" s="63">
        <v>0.22856172525046697</v>
      </c>
      <c r="N239" s="63">
        <v>0.5591973244147157</v>
      </c>
      <c r="O239" s="63">
        <v>0.4160475482912333</v>
      </c>
      <c r="P239" s="63">
        <v>0.44156591824985608</v>
      </c>
    </row>
    <row r="240" spans="1:16" x14ac:dyDescent="0.45">
      <c r="A240" s="65">
        <v>237</v>
      </c>
      <c r="B240" s="62">
        <v>-4.0856207306205761E-14</v>
      </c>
      <c r="C240" s="62">
        <v>-5.7463020121245801E-17</v>
      </c>
      <c r="D240" s="67">
        <v>2</v>
      </c>
      <c r="E240" s="63">
        <v>0.33333333333333331</v>
      </c>
      <c r="F240" s="63">
        <v>0.33333333333333331</v>
      </c>
      <c r="G240" s="63">
        <v>0.29507364144235654</v>
      </c>
      <c r="H240" s="63">
        <v>0.16353478923311326</v>
      </c>
      <c r="I240" s="64">
        <v>8452.954675846242</v>
      </c>
      <c r="J240" s="64">
        <v>-7798.6542443064181</v>
      </c>
      <c r="K240" s="63">
        <v>9.8452883263009841E-2</v>
      </c>
      <c r="L240" s="63">
        <v>0.25308955476553241</v>
      </c>
      <c r="M240" s="63">
        <v>0.22854240731335704</v>
      </c>
      <c r="N240" s="63">
        <v>0.5591973244147157</v>
      </c>
      <c r="O240" s="63">
        <v>0.41703703703703704</v>
      </c>
      <c r="P240" s="63">
        <v>0.44119334480780265</v>
      </c>
    </row>
    <row r="241" spans="1:16" x14ac:dyDescent="0.45">
      <c r="A241" s="65">
        <v>238</v>
      </c>
      <c r="B241" s="62">
        <v>-4.0856207306205761E-14</v>
      </c>
      <c r="C241" s="62">
        <v>-5.7221578860232152E-17</v>
      </c>
      <c r="D241" s="67">
        <v>2</v>
      </c>
      <c r="E241" s="63">
        <v>0.33333333333333331</v>
      </c>
      <c r="F241" s="63">
        <v>0.33333333333333331</v>
      </c>
      <c r="G241" s="63">
        <v>0.29489124936772887</v>
      </c>
      <c r="H241" s="63">
        <v>0.16371606811667511</v>
      </c>
      <c r="I241" s="64">
        <v>8448.6563750714686</v>
      </c>
      <c r="J241" s="64">
        <v>-7798.8671472708547</v>
      </c>
      <c r="K241" s="63">
        <v>9.8039215686274508E-2</v>
      </c>
      <c r="L241" s="63">
        <v>0.25358286966784693</v>
      </c>
      <c r="M241" s="63">
        <v>0.22812341932220537</v>
      </c>
      <c r="N241" s="63">
        <v>0.55917553191489366</v>
      </c>
      <c r="O241" s="63">
        <v>0.41611234294161126</v>
      </c>
      <c r="P241" s="63">
        <v>0.44025157232704404</v>
      </c>
    </row>
    <row r="242" spans="1:16" x14ac:dyDescent="0.45">
      <c r="A242" s="65">
        <v>239</v>
      </c>
      <c r="B242" s="62">
        <v>-4.2632564145606011E-14</v>
      </c>
      <c r="C242" s="62">
        <v>-5.9459643159841015E-17</v>
      </c>
      <c r="D242" s="67">
        <v>2</v>
      </c>
      <c r="E242" s="63">
        <v>0.33333333333333331</v>
      </c>
      <c r="F242" s="63">
        <v>0.33333333333333331</v>
      </c>
      <c r="G242" s="63">
        <v>0.29506545820745217</v>
      </c>
      <c r="H242" s="63">
        <v>0.16364551863041288</v>
      </c>
      <c r="I242" s="64">
        <v>8436.6325369738333</v>
      </c>
      <c r="J242" s="64">
        <v>-7787.6923076923076</v>
      </c>
      <c r="K242" s="63">
        <v>9.7629009762900981E-2</v>
      </c>
      <c r="L242" s="63">
        <v>0.25327291037260824</v>
      </c>
      <c r="M242" s="63">
        <v>0.22843235985229943</v>
      </c>
      <c r="N242" s="63">
        <v>0.5593108018555335</v>
      </c>
      <c r="O242" s="63">
        <v>0.4180749448934607</v>
      </c>
      <c r="P242" s="63">
        <v>0.44084186575654155</v>
      </c>
    </row>
    <row r="243" spans="1:16" x14ac:dyDescent="0.45">
      <c r="A243" s="65">
        <v>240</v>
      </c>
      <c r="B243" s="62">
        <v>-4.2632564145606011E-14</v>
      </c>
      <c r="C243" s="62">
        <v>-5.9211894646675015E-17</v>
      </c>
      <c r="D243" s="67">
        <v>2</v>
      </c>
      <c r="E243" s="63">
        <v>0.33333333333333331</v>
      </c>
      <c r="F243" s="63">
        <v>0.33333333333333331</v>
      </c>
      <c r="G243" s="63">
        <v>0.29477549657820062</v>
      </c>
      <c r="H243" s="63">
        <v>0.16341178434318143</v>
      </c>
      <c r="I243" s="64">
        <v>8435.050962627407</v>
      </c>
      <c r="J243" s="64">
        <v>-7785.4954034729317</v>
      </c>
      <c r="K243" s="63">
        <v>9.8611111111111108E-2</v>
      </c>
      <c r="L243" s="63">
        <v>0.25338007010515773</v>
      </c>
      <c r="M243" s="63">
        <v>0.22834251377065598</v>
      </c>
      <c r="N243" s="63">
        <v>0.55928853754940711</v>
      </c>
      <c r="O243" s="63">
        <v>0.41812865497076024</v>
      </c>
      <c r="P243" s="63">
        <v>0.44110985277463194</v>
      </c>
    </row>
    <row r="244" spans="1:16" x14ac:dyDescent="0.45">
      <c r="A244" s="65">
        <v>241</v>
      </c>
      <c r="B244" s="62">
        <v>-4.2632564145606011E-14</v>
      </c>
      <c r="C244" s="62">
        <v>-5.896620213776765E-17</v>
      </c>
      <c r="D244" s="67">
        <v>2</v>
      </c>
      <c r="E244" s="63">
        <v>0.33333333333333331</v>
      </c>
      <c r="F244" s="63">
        <v>0.33333333333333331</v>
      </c>
      <c r="G244" s="63">
        <v>0.29489099683807624</v>
      </c>
      <c r="H244" s="63">
        <v>0.16358795140622401</v>
      </c>
      <c r="I244" s="64">
        <v>8428.2731376975171</v>
      </c>
      <c r="J244" s="64">
        <v>-7781.1800610376395</v>
      </c>
      <c r="K244" s="63">
        <v>9.8201936376210233E-2</v>
      </c>
      <c r="L244" s="63">
        <v>0.25328673656182393</v>
      </c>
      <c r="M244" s="63">
        <v>0.22865701447828257</v>
      </c>
      <c r="N244" s="63">
        <v>0.55847568988173457</v>
      </c>
      <c r="O244" s="63">
        <v>0.41848617176128095</v>
      </c>
      <c r="P244" s="63">
        <v>0.44074492099322798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29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689</vt:i4>
      </vt:variant>
    </vt:vector>
  </HeadingPairs>
  <TitlesOfParts>
    <vt:vector size="733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2019-12-05T16:34:47Z</dcterms:modified>
</cp:coreProperties>
</file>