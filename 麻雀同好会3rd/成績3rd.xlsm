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0441D9A-97D1-4C8B-8C33-FEA70404E4C8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1" i="5835" l="1"/>
  <c r="O16" i="5843"/>
  <c r="O15" i="5843" l="1"/>
  <c r="O19" i="5851"/>
  <c r="O15" i="5841" l="1"/>
  <c r="O20" i="5847"/>
  <c r="O16" i="5851" l="1"/>
  <c r="O22" i="5841"/>
  <c r="O20" i="5835" l="1"/>
  <c r="O16" i="5837"/>
  <c r="O15" i="5847"/>
  <c r="O19" i="5847"/>
  <c r="O22" i="5845" l="1"/>
  <c r="O17" i="5849"/>
  <c r="O16" i="5839" l="1"/>
  <c r="O17" i="5845"/>
  <c r="O21" i="5847"/>
  <c r="O17" i="5847"/>
  <c r="O18" i="5835" l="1"/>
  <c r="O19" i="5849"/>
  <c r="O18" i="5849"/>
  <c r="O17" i="5841"/>
  <c r="O18" i="5839" l="1"/>
  <c r="O21" i="5843"/>
  <c r="O19" i="5843" l="1"/>
  <c r="O21" i="5837"/>
  <c r="O23" i="5847"/>
  <c r="O17" i="5851"/>
  <c r="O15" i="5851"/>
  <c r="O20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0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19" i="5845"/>
  <c r="O21" i="5845"/>
  <c r="O15" i="5835"/>
  <c r="O19" i="5839"/>
  <c r="O16" i="5841"/>
  <c r="O18" i="5841"/>
  <c r="O19" i="5835"/>
  <c r="O17" i="5839"/>
  <c r="O15" i="5837"/>
  <c r="O21" i="5849"/>
  <c r="O22" i="5849"/>
  <c r="O22" i="5843" l="1"/>
  <c r="O17" i="5843"/>
  <c r="O16" i="5849"/>
  <c r="O15" i="5849"/>
  <c r="C29" i="5849"/>
  <c r="B26" i="5849"/>
  <c r="B25" i="5849"/>
  <c r="C20" i="5849"/>
  <c r="B17" i="5849"/>
  <c r="H5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0" i="5833"/>
  <c r="H4" i="5849" l="1"/>
  <c r="H15" i="5849"/>
  <c r="H39" i="5849"/>
  <c r="H21" i="5849"/>
  <c r="H11" i="5849"/>
  <c r="H13" i="5849"/>
  <c r="H40" i="5849"/>
  <c r="H10" i="5849"/>
  <c r="C17" i="5849"/>
  <c r="H42" i="5849"/>
  <c r="C19" i="5849"/>
  <c r="H46" i="5849"/>
  <c r="H31" i="5849"/>
  <c r="H47" i="5849"/>
  <c r="H14" i="5849"/>
  <c r="H32" i="5849"/>
  <c r="H48" i="5849"/>
  <c r="H6" i="5849"/>
  <c r="H8" i="5849"/>
  <c r="H27" i="5849"/>
  <c r="H50" i="5849"/>
  <c r="H2" i="5849"/>
  <c r="H16" i="5849"/>
  <c r="H7" i="5849"/>
  <c r="H23" i="5849"/>
  <c r="H34" i="5849"/>
  <c r="H3" i="5849"/>
  <c r="H9" i="5849"/>
  <c r="B24" i="5849"/>
  <c r="H38" i="5849"/>
  <c r="H52" i="5849"/>
  <c r="H26" i="5849"/>
  <c r="H18" i="5849"/>
  <c r="H33" i="5849"/>
  <c r="H41" i="5849"/>
  <c r="H49" i="5849"/>
  <c r="H24" i="5849"/>
  <c r="H28" i="5849"/>
  <c r="H29" i="5849"/>
  <c r="H35" i="5849"/>
  <c r="H43" i="5849"/>
  <c r="H51" i="5849"/>
  <c r="H20" i="5849"/>
  <c r="H22" i="5849"/>
  <c r="C18" i="5849"/>
  <c r="B23" i="5849"/>
  <c r="H12" i="5849"/>
  <c r="H36" i="5849"/>
  <c r="H44" i="5849"/>
  <c r="H19" i="5849"/>
  <c r="H25" i="5849"/>
  <c r="H17" i="5849"/>
  <c r="H30" i="5849"/>
  <c r="H37" i="5849"/>
  <c r="H45" i="5849"/>
  <c r="B23" i="5847"/>
  <c r="H21" i="5847"/>
  <c r="H13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4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3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20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19" i="5841"/>
  <c r="O20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3" i="5833"/>
  <c r="H44" i="5841" l="1"/>
  <c r="H20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5" i="5845"/>
  <c r="H15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2" i="5845"/>
  <c r="H3" i="5845"/>
  <c r="H14" i="5845"/>
  <c r="H22" i="5845"/>
  <c r="H2" i="5845"/>
  <c r="H8" i="5845"/>
  <c r="H19" i="5845"/>
  <c r="H28" i="5845"/>
  <c r="H23" i="5845"/>
  <c r="H51" i="5845"/>
  <c r="B24" i="5845"/>
  <c r="H36" i="5845"/>
  <c r="H52" i="5845"/>
  <c r="H47" i="5845"/>
  <c r="H30" i="5845"/>
  <c r="H21" i="5845"/>
  <c r="H34" i="5845"/>
  <c r="H24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1" i="5845"/>
  <c r="H29" i="5845"/>
  <c r="H20" i="5845"/>
  <c r="H32" i="5845"/>
  <c r="H38" i="5845"/>
  <c r="H45" i="5845"/>
  <c r="H23" i="5843"/>
  <c r="B23" i="5843"/>
  <c r="H2" i="5843"/>
  <c r="H44" i="5843"/>
  <c r="H17" i="5843"/>
  <c r="H11" i="5843"/>
  <c r="C18" i="5843"/>
  <c r="H48" i="5843"/>
  <c r="C17" i="5843"/>
  <c r="H5" i="5843"/>
  <c r="H13" i="5843"/>
  <c r="H8" i="5843"/>
  <c r="H4" i="5843"/>
  <c r="H3" i="5843"/>
  <c r="H28" i="5843"/>
  <c r="H36" i="5843"/>
  <c r="H25" i="5843"/>
  <c r="H40" i="5843"/>
  <c r="H21" i="5843"/>
  <c r="H22" i="5843"/>
  <c r="H37" i="5843"/>
  <c r="H45" i="5843"/>
  <c r="H6" i="5843"/>
  <c r="H26" i="5843"/>
  <c r="C19" i="5843"/>
  <c r="B24" i="5843"/>
  <c r="H38" i="5843"/>
  <c r="H46" i="5843"/>
  <c r="H52" i="5843"/>
  <c r="H10" i="5843"/>
  <c r="H7" i="5843"/>
  <c r="H12" i="5843"/>
  <c r="H24" i="5843"/>
  <c r="H15" i="5843"/>
  <c r="H16" i="5843"/>
  <c r="H18" i="5843"/>
  <c r="H39" i="5843"/>
  <c r="H47" i="5843"/>
  <c r="H29" i="5843"/>
  <c r="H31" i="5843"/>
  <c r="H33" i="5843"/>
  <c r="H41" i="5843"/>
  <c r="H49" i="5843"/>
  <c r="H9" i="5843"/>
  <c r="H19" i="5843"/>
  <c r="H14" i="5843"/>
  <c r="H34" i="5843"/>
  <c r="H42" i="5843"/>
  <c r="H50" i="5843"/>
  <c r="H27" i="5843"/>
  <c r="H30" i="5843"/>
  <c r="H32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3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4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7" i="5835"/>
  <c r="O16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1" i="5833"/>
  <c r="O22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7" i="5839"/>
  <c r="B24" i="5839"/>
  <c r="H52" i="5839"/>
  <c r="H10" i="5839"/>
  <c r="H6" i="5839"/>
  <c r="H11" i="5839"/>
  <c r="H19" i="5839"/>
  <c r="H18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1" i="5839"/>
  <c r="H40" i="5839"/>
  <c r="H48" i="5839"/>
  <c r="H31" i="5839"/>
  <c r="H41" i="5839"/>
  <c r="H8" i="5839"/>
  <c r="H25" i="5839"/>
  <c r="H50" i="5839"/>
  <c r="H17" i="5839"/>
  <c r="H20" i="5839"/>
  <c r="H32" i="5839"/>
  <c r="H22" i="5839"/>
  <c r="H43" i="5839"/>
  <c r="H51" i="5839"/>
  <c r="H29" i="5839"/>
  <c r="H34" i="5839"/>
  <c r="H49" i="5839"/>
  <c r="H14" i="5839"/>
  <c r="H35" i="5839"/>
  <c r="H42" i="5839"/>
  <c r="H7" i="5839"/>
  <c r="H24" i="5839"/>
  <c r="H26" i="5839"/>
  <c r="C18" i="5839"/>
  <c r="B23" i="5839"/>
  <c r="H9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5" i="5837"/>
  <c r="H27" i="5837"/>
  <c r="H39" i="5837"/>
  <c r="H47" i="5837"/>
  <c r="H16" i="5837"/>
  <c r="H21" i="5837"/>
  <c r="H40" i="5837"/>
  <c r="H48" i="5837"/>
  <c r="H33" i="5837"/>
  <c r="H34" i="5837"/>
  <c r="H49" i="5837"/>
  <c r="H9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8" i="5837"/>
  <c r="H36" i="5837"/>
  <c r="H44" i="5837"/>
  <c r="B24" i="5835"/>
  <c r="H20" i="5835"/>
  <c r="H11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2" i="5835"/>
  <c r="H26" i="5835"/>
  <c r="H4" i="5835"/>
  <c r="C17" i="5835"/>
  <c r="H6" i="5835"/>
  <c r="H5" i="5835"/>
  <c r="C19" i="5835"/>
  <c r="H32" i="5835"/>
  <c r="H52" i="5835"/>
  <c r="H18" i="5835"/>
  <c r="H14" i="5835"/>
  <c r="H16" i="5835"/>
  <c r="H15" i="5835"/>
  <c r="H38" i="5835"/>
  <c r="H46" i="5835"/>
  <c r="H33" i="5835"/>
  <c r="H41" i="5835"/>
  <c r="H49" i="5835"/>
  <c r="H30" i="5835"/>
  <c r="H48" i="5835"/>
  <c r="H19" i="5835"/>
  <c r="H10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5" i="5833"/>
  <c r="H13" i="5833"/>
  <c r="H3" i="5833"/>
  <c r="H8" i="5833"/>
  <c r="H15" i="5833"/>
  <c r="H2" i="5833"/>
  <c r="C17" i="5833"/>
  <c r="H21" i="5833"/>
  <c r="H19" i="5833"/>
  <c r="H41" i="5833"/>
  <c r="H20" i="5833"/>
  <c r="H48" i="5833"/>
  <c r="H23" i="5833"/>
  <c r="H28" i="5833"/>
  <c r="H43" i="5833"/>
  <c r="H51" i="5833"/>
  <c r="H7" i="5833"/>
  <c r="H27" i="5833"/>
  <c r="H33" i="5833"/>
  <c r="C18" i="5833"/>
  <c r="B23" i="5833"/>
  <c r="H9" i="5833"/>
  <c r="H37" i="5833"/>
  <c r="H44" i="5833"/>
  <c r="H16" i="5833"/>
  <c r="H4" i="5833"/>
  <c r="H11" i="5833"/>
  <c r="H34" i="5833"/>
  <c r="H26" i="5833"/>
  <c r="H30" i="5833"/>
  <c r="H38" i="5833"/>
  <c r="H45" i="5833"/>
  <c r="H5" i="5833"/>
  <c r="H24" i="5833"/>
  <c r="C19" i="5833"/>
  <c r="B24" i="5833"/>
  <c r="H39" i="5833"/>
  <c r="H46" i="5833"/>
  <c r="H52" i="5833"/>
  <c r="H10" i="5833"/>
  <c r="H6" i="5833"/>
  <c r="H12" i="5833"/>
  <c r="H22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<sst xmlns="http://schemas.openxmlformats.org/spreadsheetml/2006/main" count="2798" uniqueCount="234">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</sst>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全体!$K$2:$K$443</c:f>
              <c:numCache>
                <c:formatCode>General</c:formatCode>
                <c:ptCount val="4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</c:numCache>
            </c:numRef>
          </c:xVal>
          <c:yVal>
            <c:numRef>
              <c:f>全体!$L$2:$L$443</c:f>
              <c:numCache>
                <c:formatCode>\+0.0;\-0.0;\±0</c:formatCode>
                <c:ptCount val="44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-22.831050228310502</c:v>
                </c:pt>
                <c:pt idx="1">
                  <c:v>9.3896713615023479</c:v>
                </c:pt>
                <c:pt idx="2">
                  <c:v>-19.607843137254903</c:v>
                </c:pt>
                <c:pt idx="3">
                  <c:v>12.919896640826874</c:v>
                </c:pt>
                <c:pt idx="4">
                  <c:v>16.528925619834709</c:v>
                </c:pt>
                <c:pt idx="5">
                  <c:v>9.8039215686274517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1634.1463414634147</c:v>
                </c:pt>
                <c:pt idx="1">
                  <c:v>-1080</c:v>
                </c:pt>
                <c:pt idx="2">
                  <c:v>-644.73684210526312</c:v>
                </c:pt>
                <c:pt idx="3">
                  <c:v>-1934.2105263157894</c:v>
                </c:pt>
                <c:pt idx="4">
                  <c:v>118.42105263157895</c:v>
                </c:pt>
                <c:pt idx="5">
                  <c:v>-1943.75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だいち!$L$2:$L$92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312.35955056179773</c:v>
                </c:pt>
                <c:pt idx="1">
                  <c:v>-225.58139534883722</c:v>
                </c:pt>
                <c:pt idx="2">
                  <c:v>-588.09523809523807</c:v>
                </c:pt>
                <c:pt idx="3">
                  <c:v>-577.92207792207796</c:v>
                </c:pt>
                <c:pt idx="4">
                  <c:v>2656.1643835616437</c:v>
                </c:pt>
                <c:pt idx="5">
                  <c:v>3313.1147540983607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-1897.560975609756</c:v>
                </c:pt>
                <c:pt idx="1">
                  <c:v>1463.75</c:v>
                </c:pt>
                <c:pt idx="2">
                  <c:v>640.78947368421052</c:v>
                </c:pt>
                <c:pt idx="3">
                  <c:v>2302.7777777777778</c:v>
                </c:pt>
                <c:pt idx="4">
                  <c:v>-35.294117647058826</c:v>
                </c:pt>
                <c:pt idx="5">
                  <c:v>1667.2413793103449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-512.5</c:v>
                </c:pt>
                <c:pt idx="1">
                  <c:v>-382.14285714285717</c:v>
                </c:pt>
                <c:pt idx="2">
                  <c:v>1120.7547169811321</c:v>
                </c:pt>
                <c:pt idx="3">
                  <c:v>-1419.2307692307693</c:v>
                </c:pt>
                <c:pt idx="4">
                  <c:v>-3500</c:v>
                </c:pt>
                <c:pt idx="5">
                  <c:v>-1368.1818181818182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れんたろう!$L$2:$L$50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2889.5833333333335</c:v>
                </c:pt>
                <c:pt idx="1">
                  <c:v>-2732.608695652174</c:v>
                </c:pt>
                <c:pt idx="2">
                  <c:v>2290.6976744186045</c:v>
                </c:pt>
                <c:pt idx="3">
                  <c:v>3155</c:v>
                </c:pt>
                <c:pt idx="4">
                  <c:v>-905.40540540540542</c:v>
                </c:pt>
                <c:pt idx="5">
                  <c:v>-660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1152.9411764705883</c:v>
                </c:pt>
                <c:pt idx="1">
                  <c:v>1447.6923076923076</c:v>
                </c:pt>
                <c:pt idx="2">
                  <c:v>-1304.9180327868853</c:v>
                </c:pt>
                <c:pt idx="3">
                  <c:v>425</c:v>
                </c:pt>
                <c:pt idx="4">
                  <c:v>-872</c:v>
                </c:pt>
                <c:pt idx="5">
                  <c:v>-1281.8181818181818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-2264.2857142857142</c:v>
                </c:pt>
                <c:pt idx="4">
                  <c:v>6215.3846153846152</c:v>
                </c:pt>
                <c:pt idx="5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まっつん2!$B$3:$B$71</c:f>
              <c:numCache>
                <c:formatCode>\+0.0;\-0.0;\±0</c:formatCode>
                <c:ptCount val="6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まっつん2!$C$3:$C$71</c:f>
              <c:numCache>
                <c:formatCode>\+0.0;\-0.0;\±0</c:formatCode>
                <c:ptCount val="69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83362405278979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まっつん2!$D$3:$D$71</c:f>
              <c:numCache>
                <c:formatCode>0.00\ "位"</c:formatCode>
                <c:ptCount val="69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まっつん2!$E$3:$E$71</c:f>
              <c:numCache>
                <c:formatCode>0.0%</c:formatCode>
                <c:ptCount val="6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まっつん2!$F$3:$F$71</c:f>
              <c:numCache>
                <c:formatCode>0.0%</c:formatCode>
                <c:ptCount val="6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まっつん2!$G$3:$G$71</c:f>
              <c:numCache>
                <c:formatCode>0.0%</c:formatCode>
                <c:ptCount val="69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37846655791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まっつん2!$H$3:$H$71</c:f>
              <c:numCache>
                <c:formatCode>0.0%</c:formatCode>
                <c:ptCount val="69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132137030995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まっつん2!$I$3:$I$71</c:f>
              <c:numCache>
                <c:formatCode>0</c:formatCode>
                <c:ptCount val="69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43.70370370370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まっつん2!$J$3:$J$71</c:f>
              <c:numCache>
                <c:formatCode>0</c:formatCode>
                <c:ptCount val="69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93.8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まっつん2!$K$3:$K$71</c:f>
              <c:numCache>
                <c:formatCode>0.0%</c:formatCode>
                <c:ptCount val="6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70294784580498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まっつん2!$L$3:$L$71</c:f>
              <c:numCache>
                <c:formatCode>0.0%</c:formatCode>
                <c:ptCount val="6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70294784580498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まっつん2!$M$3:$M$71</c:f>
              <c:numCache>
                <c:formatCode>0.0%</c:formatCode>
                <c:ptCount val="69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320282762370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まっつん2!$N$3:$N$71</c:f>
              <c:numCache>
                <c:formatCode>0.0%</c:formatCode>
                <c:ptCount val="69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085372485046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まっつん2!$O$3:$O$71</c:f>
              <c:numCache>
                <c:formatCode>0.0%</c:formatCode>
                <c:ptCount val="69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5976008724100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まっつん2!$P$3:$P$71</c:f>
              <c:numCache>
                <c:formatCode>0.0%</c:formatCode>
                <c:ptCount val="69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4816513761467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まっつん2!$A$3:$A$71</c:f>
              <c:numCache>
                <c:formatCode>0\ "回"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まっつん2!$Q$3:$Q$71</c:f>
              <c:numCache>
                <c:formatCode>0.0%</c:formatCode>
                <c:ptCount val="69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888888888888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2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7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7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7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7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7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7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7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7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7" x14ac:dyDescent="0.4">
      <c r="A41" s="28" t="s">
        <v>232</v>
      </c>
      <c r="B41" s="29">
        <v>43766.037835648145</v>
      </c>
      <c r="C41" s="28" t="s">
        <v>128</v>
      </c>
    </row>
    <row r="42" spans="1:7" x14ac:dyDescent="0.4">
      <c r="A42" s="28" t="s">
        <v>233</v>
      </c>
      <c r="B42" s="29">
        <v>43766.770682870374</v>
      </c>
      <c r="C42" s="28" t="s">
        <v>128</v>
      </c>
      <c r="D42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441</v>
      </c>
    </row>
    <row r="2" spans="1:2" x14ac:dyDescent="0.4">
      <c r="A2" t="s">
        <v>166</v>
      </c>
      <c r="B2">
        <v>41</v>
      </c>
    </row>
    <row r="3" spans="1:2" x14ac:dyDescent="0.4">
      <c r="A3" t="s">
        <v>126</v>
      </c>
      <c r="B3">
        <v>90</v>
      </c>
    </row>
    <row r="4" spans="1:2" x14ac:dyDescent="0.4">
      <c r="A4" t="s">
        <v>127</v>
      </c>
      <c r="B4">
        <v>83</v>
      </c>
    </row>
    <row r="5" spans="1:2" x14ac:dyDescent="0.4">
      <c r="A5" t="s">
        <v>179</v>
      </c>
      <c r="B5">
        <v>57</v>
      </c>
    </row>
    <row r="6" spans="1:2" x14ac:dyDescent="0.4">
      <c r="A6" t="s">
        <v>177</v>
      </c>
      <c r="B6">
        <v>48</v>
      </c>
    </row>
    <row r="7" spans="1:2" x14ac:dyDescent="0.4">
      <c r="A7" t="s">
        <v>178</v>
      </c>
      <c r="B7">
        <v>68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0.98867818199541968</v>
      </c>
      <c r="G2" s="157"/>
      <c r="H2" s="156">
        <v>0.92459107862419576</v>
      </c>
      <c r="I2" s="157"/>
      <c r="J2" s="156">
        <v>0.94557814525603201</v>
      </c>
      <c r="K2" s="157"/>
      <c r="L2" s="156">
        <v>0.87278138544465633</v>
      </c>
      <c r="M2" s="157"/>
      <c r="N2" s="156">
        <v>0.46647786544517106</v>
      </c>
      <c r="O2" s="157"/>
      <c r="P2" s="156">
        <v>0.41330269208828191</v>
      </c>
      <c r="Q2" s="157"/>
      <c r="R2" s="156">
        <v>1.4049920418353113E-3</v>
      </c>
      <c r="S2" s="157"/>
      <c r="T2" s="156">
        <v>0.24948614231223745</v>
      </c>
      <c r="U2" s="157"/>
      <c r="V2" s="156">
        <v>0.7561018826382615</v>
      </c>
      <c r="W2" s="157"/>
      <c r="X2" s="156">
        <v>0.55297949472576047</v>
      </c>
      <c r="Y2" s="157"/>
      <c r="Z2" s="156">
        <v>8.2760856061090737E-2</v>
      </c>
      <c r="AA2" s="157"/>
      <c r="AB2" s="156">
        <v>0.12669730021569772</v>
      </c>
      <c r="AC2" s="157"/>
      <c r="AD2" s="156">
        <v>0.23321880341204618</v>
      </c>
      <c r="AE2" s="157"/>
      <c r="AF2" s="156">
        <v>-0.14286008830879154</v>
      </c>
      <c r="AG2" s="157"/>
      <c r="AH2" s="156">
        <v>0.58093291521432788</v>
      </c>
      <c r="AI2" s="157"/>
    </row>
    <row r="3" spans="1:35" x14ac:dyDescent="0.4">
      <c r="A3" s="70">
        <v>1</v>
      </c>
      <c r="B3" s="71" t="s">
        <v>126</v>
      </c>
      <c r="C3" s="72">
        <v>486.29999999999984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10467.826086956522</v>
      </c>
      <c r="R3" s="73" t="s">
        <v>166</v>
      </c>
      <c r="S3" s="77">
        <v>-6775.4716981132078</v>
      </c>
      <c r="T3" s="73" t="s">
        <v>166</v>
      </c>
      <c r="U3" s="75">
        <v>0</v>
      </c>
      <c r="V3" s="73" t="s">
        <v>177</v>
      </c>
      <c r="W3" s="75">
        <v>0.20833333333333334</v>
      </c>
      <c r="X3" s="73" t="s">
        <v>177</v>
      </c>
      <c r="Y3" s="76">
        <v>0.32133676092544988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177</v>
      </c>
      <c r="AI3" s="87">
        <v>103600</v>
      </c>
    </row>
    <row r="4" spans="1:35" x14ac:dyDescent="0.4">
      <c r="A4" s="78">
        <v>2</v>
      </c>
      <c r="B4" s="79" t="s">
        <v>127</v>
      </c>
      <c r="C4" s="80">
        <v>328.7999999999999</v>
      </c>
      <c r="D4" s="81" t="s">
        <v>177</v>
      </c>
      <c r="E4" s="93">
        <v>5.6041666666666679</v>
      </c>
      <c r="F4" s="81" t="s">
        <v>126</v>
      </c>
      <c r="G4" s="82">
        <v>1.8111111111111111</v>
      </c>
      <c r="H4" s="81" t="s">
        <v>126</v>
      </c>
      <c r="I4" s="83">
        <v>0.45555555555555555</v>
      </c>
      <c r="J4" s="81" t="s">
        <v>126</v>
      </c>
      <c r="K4" s="83">
        <v>0.26666666666666666</v>
      </c>
      <c r="L4" s="81" t="s">
        <v>126</v>
      </c>
      <c r="M4" s="84">
        <v>0.3287101248266297</v>
      </c>
      <c r="N4" s="81" t="s">
        <v>178</v>
      </c>
      <c r="O4" s="84">
        <v>0.125</v>
      </c>
      <c r="P4" s="81" t="s">
        <v>127</v>
      </c>
      <c r="Q4" s="85">
        <v>8703.6036036036039</v>
      </c>
      <c r="R4" s="81" t="s">
        <v>181</v>
      </c>
      <c r="S4" s="85">
        <v>-6800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0.28541666666666665</v>
      </c>
      <c r="Z4" s="81" t="s">
        <v>222</v>
      </c>
      <c r="AA4" s="84">
        <v>0.33333333333333331</v>
      </c>
      <c r="AB4" s="81" t="s">
        <v>179</v>
      </c>
      <c r="AC4" s="84">
        <v>0.61313868613138689</v>
      </c>
      <c r="AD4" s="81" t="s">
        <v>126</v>
      </c>
      <c r="AE4" s="84">
        <v>0.47272727272727272</v>
      </c>
      <c r="AF4" s="81" t="s">
        <v>182</v>
      </c>
      <c r="AG4" s="84">
        <v>0.48275862068965519</v>
      </c>
      <c r="AH4" s="81" t="s">
        <v>143</v>
      </c>
      <c r="AI4" s="88">
        <v>103600</v>
      </c>
    </row>
    <row r="5" spans="1:35" x14ac:dyDescent="0.4">
      <c r="A5" s="78">
        <v>3</v>
      </c>
      <c r="B5" s="79" t="s">
        <v>177</v>
      </c>
      <c r="C5" s="80">
        <v>269.00000000000006</v>
      </c>
      <c r="D5" s="81" t="s">
        <v>126</v>
      </c>
      <c r="E5" s="93">
        <v>5.4033333333333315</v>
      </c>
      <c r="F5" s="81" t="s">
        <v>177</v>
      </c>
      <c r="G5" s="82">
        <v>1.875</v>
      </c>
      <c r="H5" s="81" t="s">
        <v>177</v>
      </c>
      <c r="I5" s="83">
        <v>0.4375</v>
      </c>
      <c r="J5" s="81" t="s">
        <v>181</v>
      </c>
      <c r="K5" s="83">
        <v>0.2857142857142857</v>
      </c>
      <c r="L5" s="81" t="s">
        <v>127</v>
      </c>
      <c r="M5" s="84">
        <v>0.31400282885431402</v>
      </c>
      <c r="N5" s="81" t="s">
        <v>181</v>
      </c>
      <c r="O5" s="84">
        <v>0.13380281690140844</v>
      </c>
      <c r="P5" s="81" t="s">
        <v>178</v>
      </c>
      <c r="Q5" s="85">
        <v>8428.6624203821648</v>
      </c>
      <c r="R5" s="81" t="s">
        <v>179</v>
      </c>
      <c r="S5" s="85">
        <v>-7629</v>
      </c>
      <c r="T5" s="81" t="s">
        <v>126</v>
      </c>
      <c r="U5" s="83">
        <v>5.5555555555555552E-2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0.30410183875530411</v>
      </c>
      <c r="AB5" s="81" t="s">
        <v>126</v>
      </c>
      <c r="AC5" s="84">
        <v>0.58638743455497377</v>
      </c>
      <c r="AD5" s="81" t="s">
        <v>177</v>
      </c>
      <c r="AE5" s="84">
        <v>0.46052631578947367</v>
      </c>
      <c r="AF5" s="81" t="s">
        <v>179</v>
      </c>
      <c r="AG5" s="84">
        <v>0.47058823529411764</v>
      </c>
      <c r="AH5" s="81" t="s">
        <v>181</v>
      </c>
      <c r="AI5" s="88">
        <v>95200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127</v>
      </c>
      <c r="E6" s="93">
        <v>3.9614457831325289</v>
      </c>
      <c r="F6" s="81" t="s">
        <v>127</v>
      </c>
      <c r="G6" s="82">
        <v>1.8915662650602409</v>
      </c>
      <c r="H6" s="81" t="s">
        <v>195</v>
      </c>
      <c r="I6" s="83">
        <v>0.42857142857142855</v>
      </c>
      <c r="J6" s="81" t="s">
        <v>127</v>
      </c>
      <c r="K6" s="83">
        <v>0.28915662650602408</v>
      </c>
      <c r="L6" s="81" t="s">
        <v>177</v>
      </c>
      <c r="M6" s="84">
        <v>0.29562982005141386</v>
      </c>
      <c r="N6" s="81" t="s">
        <v>126</v>
      </c>
      <c r="O6" s="84">
        <v>0.13869625520110956</v>
      </c>
      <c r="P6" s="81" t="s">
        <v>143</v>
      </c>
      <c r="Q6" s="85">
        <v>8343.7037037037044</v>
      </c>
      <c r="R6" s="81" t="s">
        <v>127</v>
      </c>
      <c r="S6" s="85">
        <v>-7707.246376811594</v>
      </c>
      <c r="T6" s="81" t="s">
        <v>179</v>
      </c>
      <c r="U6" s="83">
        <v>7.0175438596491224E-2</v>
      </c>
      <c r="V6" s="81" t="s">
        <v>127</v>
      </c>
      <c r="W6" s="83">
        <v>9.6385542168674704E-2</v>
      </c>
      <c r="X6" s="81" t="s">
        <v>222</v>
      </c>
      <c r="Y6" s="84">
        <v>0.26666666666666666</v>
      </c>
      <c r="Z6" s="81" t="s">
        <v>178</v>
      </c>
      <c r="AA6" s="84">
        <v>0.25362318840579712</v>
      </c>
      <c r="AB6" s="81" t="s">
        <v>178</v>
      </c>
      <c r="AC6" s="84">
        <v>0.57857142857142863</v>
      </c>
      <c r="AD6" s="81" t="s">
        <v>143</v>
      </c>
      <c r="AE6" s="84">
        <v>0.40481651376146788</v>
      </c>
      <c r="AF6" s="81" t="s">
        <v>177</v>
      </c>
      <c r="AG6" s="84">
        <v>0.46956521739130436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181</v>
      </c>
      <c r="E7" s="93">
        <v>3.5642857142857145</v>
      </c>
      <c r="F7" s="81" t="s">
        <v>181</v>
      </c>
      <c r="G7" s="82">
        <v>1.9285714285714286</v>
      </c>
      <c r="H7" s="81" t="s">
        <v>127</v>
      </c>
      <c r="I7" s="83">
        <v>0.39759036144578314</v>
      </c>
      <c r="J7" s="81" t="s">
        <v>178</v>
      </c>
      <c r="K7" s="83">
        <v>0.29411764705882354</v>
      </c>
      <c r="L7" s="81" t="s">
        <v>143</v>
      </c>
      <c r="M7" s="84">
        <v>0.29363784665579118</v>
      </c>
      <c r="N7" s="81" t="s">
        <v>166</v>
      </c>
      <c r="O7" s="84">
        <v>0.14722222222222223</v>
      </c>
      <c r="P7" s="81" t="s">
        <v>179</v>
      </c>
      <c r="Q7" s="85">
        <v>8029.411764705882</v>
      </c>
      <c r="R7" s="81" t="s">
        <v>126</v>
      </c>
      <c r="S7" s="85">
        <v>-7715</v>
      </c>
      <c r="T7" s="81" t="s">
        <v>181</v>
      </c>
      <c r="U7" s="83">
        <v>7.1428571428571425E-2</v>
      </c>
      <c r="V7" s="81" t="s">
        <v>143</v>
      </c>
      <c r="W7" s="83">
        <v>9.0702947845804988E-2</v>
      </c>
      <c r="X7" s="81" t="s">
        <v>126</v>
      </c>
      <c r="Y7" s="84">
        <v>0.26490984743411927</v>
      </c>
      <c r="Z7" s="81" t="s">
        <v>143</v>
      </c>
      <c r="AA7" s="84">
        <v>0.23708537248504621</v>
      </c>
      <c r="AB7" s="81" t="s">
        <v>143</v>
      </c>
      <c r="AC7" s="84">
        <v>0.56597600872410037</v>
      </c>
      <c r="AD7" s="81" t="s">
        <v>178</v>
      </c>
      <c r="AE7" s="84">
        <v>0.4</v>
      </c>
      <c r="AF7" s="81" t="s">
        <v>178</v>
      </c>
      <c r="AG7" s="84">
        <v>0.45222929936305734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143</v>
      </c>
      <c r="C8" s="80">
        <v>-2.1316282072803006E-14</v>
      </c>
      <c r="D8" s="81" t="s">
        <v>143</v>
      </c>
      <c r="E8" s="93">
        <v>-4.833624052789797E-17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0.3125</v>
      </c>
      <c r="L8" s="81" t="s">
        <v>181</v>
      </c>
      <c r="M8" s="84">
        <v>0.28873239436619719</v>
      </c>
      <c r="N8" s="81" t="s">
        <v>177</v>
      </c>
      <c r="O8" s="84">
        <v>0.15681233933161953</v>
      </c>
      <c r="P8" s="81" t="s">
        <v>182</v>
      </c>
      <c r="Q8" s="85">
        <v>7901.7241379310344</v>
      </c>
      <c r="R8" s="81" t="s">
        <v>143</v>
      </c>
      <c r="S8" s="85">
        <v>-7793.833333333333</v>
      </c>
      <c r="T8" s="81" t="s">
        <v>178</v>
      </c>
      <c r="U8" s="83">
        <v>7.3529411764705885E-2</v>
      </c>
      <c r="V8" s="81" t="s">
        <v>126</v>
      </c>
      <c r="W8" s="83">
        <v>8.8888888888888892E-2</v>
      </c>
      <c r="X8" s="81" t="s">
        <v>178</v>
      </c>
      <c r="Y8" s="84">
        <v>0.25362318840579712</v>
      </c>
      <c r="Z8" s="81" t="s">
        <v>166</v>
      </c>
      <c r="AA8" s="84">
        <v>0.23333333333333334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0.43888888888888888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-35.799999999999983</v>
      </c>
      <c r="D9" s="81" t="s">
        <v>178</v>
      </c>
      <c r="E9" s="93">
        <v>-0.52647058823529391</v>
      </c>
      <c r="F9" s="81" t="s">
        <v>178</v>
      </c>
      <c r="G9" s="82">
        <v>2.0735294117647061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178</v>
      </c>
      <c r="M9" s="84">
        <v>0.28442028985507245</v>
      </c>
      <c r="N9" s="81" t="s">
        <v>143</v>
      </c>
      <c r="O9" s="84">
        <v>0.16313213703099511</v>
      </c>
      <c r="P9" s="81" t="s">
        <v>181</v>
      </c>
      <c r="Q9" s="85">
        <v>7782.9268292682927</v>
      </c>
      <c r="R9" s="81" t="s">
        <v>222</v>
      </c>
      <c r="S9" s="85">
        <v>-8000</v>
      </c>
      <c r="T9" s="81" t="s">
        <v>143</v>
      </c>
      <c r="U9" s="83">
        <v>9.0702947845804988E-2</v>
      </c>
      <c r="V9" s="81" t="s">
        <v>178</v>
      </c>
      <c r="W9" s="83">
        <v>8.8235294117647065E-2</v>
      </c>
      <c r="X9" s="81" t="s">
        <v>143</v>
      </c>
      <c r="Y9" s="84">
        <v>0.24932028276237087</v>
      </c>
      <c r="Z9" s="81" t="s">
        <v>126</v>
      </c>
      <c r="AA9" s="84">
        <v>0.2288488210818308</v>
      </c>
      <c r="AB9" s="81" t="s">
        <v>127</v>
      </c>
      <c r="AC9" s="84">
        <v>0.53703703703703709</v>
      </c>
      <c r="AD9" s="81" t="s">
        <v>179</v>
      </c>
      <c r="AE9" s="84">
        <v>0.38636363636363635</v>
      </c>
      <c r="AF9" s="81" t="s">
        <v>126</v>
      </c>
      <c r="AG9" s="84">
        <v>0.43459915611814348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-4.1463414634146352</v>
      </c>
      <c r="F10" s="81" t="s">
        <v>166</v>
      </c>
      <c r="G10" s="82">
        <v>2.0975609756097562</v>
      </c>
      <c r="H10" s="81" t="s">
        <v>166</v>
      </c>
      <c r="I10" s="83">
        <v>0.31707317073170732</v>
      </c>
      <c r="J10" s="81" t="s">
        <v>179</v>
      </c>
      <c r="K10" s="83">
        <v>0.38596491228070173</v>
      </c>
      <c r="L10" s="81" t="s">
        <v>179</v>
      </c>
      <c r="M10" s="84">
        <v>0.28333333333333333</v>
      </c>
      <c r="N10" s="81" t="s">
        <v>182</v>
      </c>
      <c r="O10" s="84">
        <v>0.188</v>
      </c>
      <c r="P10" s="81" t="s">
        <v>126</v>
      </c>
      <c r="Q10" s="85">
        <v>7735.4430379746836</v>
      </c>
      <c r="R10" s="81" t="s">
        <v>182</v>
      </c>
      <c r="S10" s="85">
        <v>-8059.5744680851067</v>
      </c>
      <c r="T10" s="81" t="s">
        <v>177</v>
      </c>
      <c r="U10" s="83">
        <v>0.10416666666666667</v>
      </c>
      <c r="V10" s="81" t="s">
        <v>166</v>
      </c>
      <c r="W10" s="83">
        <v>4.878048780487805E-2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127</v>
      </c>
      <c r="AE10" s="84">
        <v>0.37674418604651161</v>
      </c>
      <c r="AF10" s="81" t="s">
        <v>166</v>
      </c>
      <c r="AG10" s="84">
        <v>0.41304347826086957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-170.00000000000003</v>
      </c>
      <c r="D11" s="81" t="s">
        <v>179</v>
      </c>
      <c r="E11" s="93">
        <v>-6.6052631578947363</v>
      </c>
      <c r="F11" s="81" t="s">
        <v>195</v>
      </c>
      <c r="G11" s="82">
        <v>2.1428571428571428</v>
      </c>
      <c r="H11" s="81" t="s">
        <v>178</v>
      </c>
      <c r="I11" s="83">
        <v>0.22058823529411764</v>
      </c>
      <c r="J11" s="81" t="s">
        <v>166</v>
      </c>
      <c r="K11" s="83">
        <v>0.41463414634146339</v>
      </c>
      <c r="L11" s="81" t="s">
        <v>166</v>
      </c>
      <c r="M11" s="84">
        <v>0.25555555555555554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178</v>
      </c>
      <c r="S11" s="85">
        <v>-8321.7391304347821</v>
      </c>
      <c r="T11" s="81" t="s">
        <v>127</v>
      </c>
      <c r="U11" s="83">
        <v>0.13253012048192772</v>
      </c>
      <c r="V11" s="81" t="s">
        <v>179</v>
      </c>
      <c r="W11" s="83">
        <v>3.5087719298245612E-2</v>
      </c>
      <c r="X11" s="81" t="s">
        <v>127</v>
      </c>
      <c r="Y11" s="84">
        <v>0.22913719943422914</v>
      </c>
      <c r="Z11" s="81" t="s">
        <v>177</v>
      </c>
      <c r="AA11" s="84">
        <v>0.19537275064267351</v>
      </c>
      <c r="AB11" s="81" t="s">
        <v>177</v>
      </c>
      <c r="AC11" s="84">
        <v>0.52800000000000002</v>
      </c>
      <c r="AD11" s="81" t="s">
        <v>166</v>
      </c>
      <c r="AE11" s="84">
        <v>0.34523809523809523</v>
      </c>
      <c r="AF11" s="81" t="s">
        <v>127</v>
      </c>
      <c r="AG11" s="84">
        <v>0.39189189189189189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-376.49999999999994</v>
      </c>
      <c r="D12" s="81" t="s">
        <v>195</v>
      </c>
      <c r="E12" s="93">
        <v>-14.971428571428573</v>
      </c>
      <c r="F12" s="81" t="s">
        <v>179</v>
      </c>
      <c r="G12" s="82">
        <v>2.1754385964912282</v>
      </c>
      <c r="H12" s="81" t="s">
        <v>179</v>
      </c>
      <c r="I12" s="83">
        <v>0.21052631578947367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0.19519094766619519</v>
      </c>
      <c r="P12" s="81" t="s">
        <v>166</v>
      </c>
      <c r="Q12" s="85">
        <v>7450</v>
      </c>
      <c r="R12" s="81" t="s">
        <v>177</v>
      </c>
      <c r="S12" s="85">
        <v>-8526.2295081967204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179</v>
      </c>
      <c r="AA12" s="84">
        <v>0.18333333333333332</v>
      </c>
      <c r="AB12" s="81" t="s">
        <v>166</v>
      </c>
      <c r="AC12" s="84">
        <v>0.50909090909090904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0.20833333333333334</v>
      </c>
      <c r="P13" s="81" t="s">
        <v>222</v>
      </c>
      <c r="Q13" s="85">
        <v>7385.7142857142853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0.15277777777777779</v>
      </c>
      <c r="Z13" s="81" t="s">
        <v>181</v>
      </c>
      <c r="AA13" s="84">
        <v>0.15492957746478872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44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441</v>
      </c>
      <c r="C2" s="149"/>
      <c r="E2" s="58" t="s">
        <v>66</v>
      </c>
      <c r="F2" s="55" t="s">
        <v>22</v>
      </c>
      <c r="G2" s="43">
        <v>847</v>
      </c>
      <c r="H2" s="128">
        <f>IF(B$17=0,0,G2/B$17)</f>
        <v>0.78425925925925921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-22.831050228310502</v>
      </c>
      <c r="P2" s="114">
        <v>438</v>
      </c>
      <c r="Q2" s="98">
        <v>-10000</v>
      </c>
    </row>
    <row r="3" spans="1:17" x14ac:dyDescent="0.4">
      <c r="A3" s="51" t="s">
        <v>8</v>
      </c>
      <c r="B3" s="150">
        <v>3678</v>
      </c>
      <c r="C3" s="151"/>
      <c r="E3" s="59" t="s">
        <v>72</v>
      </c>
      <c r="F3" s="56" t="s">
        <v>27</v>
      </c>
      <c r="G3" s="44">
        <v>581</v>
      </c>
      <c r="H3" s="129">
        <f>IF(B$17=0,0,G3/B$17)</f>
        <v>0.53796296296296298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9.3896713615023479</v>
      </c>
      <c r="P3" s="115">
        <v>426</v>
      </c>
      <c r="Q3" s="99">
        <v>4000</v>
      </c>
    </row>
    <row r="4" spans="1:17" x14ac:dyDescent="0.4">
      <c r="A4" s="51" t="s">
        <v>6</v>
      </c>
      <c r="B4" s="152">
        <v>-2.1316282072803006E-14</v>
      </c>
      <c r="C4" s="153"/>
      <c r="E4" s="59" t="s">
        <v>64</v>
      </c>
      <c r="F4" s="56" t="s">
        <v>20</v>
      </c>
      <c r="G4" s="44">
        <v>496</v>
      </c>
      <c r="H4" s="129">
        <f>IF(B$17=0,0,G4/B$17)</f>
        <v>0.45925925925925926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-19.607843137254903</v>
      </c>
      <c r="P4" s="115">
        <v>408</v>
      </c>
      <c r="Q4" s="99">
        <v>-8000</v>
      </c>
    </row>
    <row r="5" spans="1:17" x14ac:dyDescent="0.4">
      <c r="A5" s="51" t="s">
        <v>7</v>
      </c>
      <c r="B5" s="154">
        <f>IF(B$2=0,0,B$4/B$2)</f>
        <v>-4.833624052789797E-17</v>
      </c>
      <c r="C5" s="155"/>
      <c r="E5" s="59" t="s">
        <v>171</v>
      </c>
      <c r="F5" s="56" t="s">
        <v>172</v>
      </c>
      <c r="G5" s="44">
        <v>425</v>
      </c>
      <c r="H5" s="129">
        <f>IF(B$17=0,0,G5/B$17)</f>
        <v>0.39351851851851855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12.919896640826874</v>
      </c>
      <c r="P5" s="115">
        <v>387</v>
      </c>
      <c r="Q5" s="99">
        <v>5000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341</v>
      </c>
      <c r="H6" s="129">
        <f>IF(B$17=0,0,G6/B$17)</f>
        <v>0.31574074074074077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16.528925619834709</v>
      </c>
      <c r="P6" s="115">
        <v>363</v>
      </c>
      <c r="Q6" s="99">
        <v>6000</v>
      </c>
    </row>
    <row r="7" spans="1:17" x14ac:dyDescent="0.4">
      <c r="A7" s="51" t="s">
        <v>2</v>
      </c>
      <c r="B7" s="44">
        <v>147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323</v>
      </c>
      <c r="H7" s="129">
        <f>IF(B$17=0,0,G7/B$17)</f>
        <v>0.29907407407407405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9.8039215686274517</v>
      </c>
      <c r="P7" s="116">
        <v>306</v>
      </c>
      <c r="Q7" s="100">
        <v>3000</v>
      </c>
    </row>
    <row r="8" spans="1:17" x14ac:dyDescent="0.4">
      <c r="A8" s="51" t="s">
        <v>3</v>
      </c>
      <c r="B8" s="44">
        <v>147</v>
      </c>
      <c r="C8" s="37">
        <f t="shared" si="1"/>
        <v>0.33333333333333331</v>
      </c>
      <c r="E8" s="59" t="s">
        <v>69</v>
      </c>
      <c r="F8" s="56" t="s">
        <v>24</v>
      </c>
      <c r="G8" s="44">
        <v>164</v>
      </c>
      <c r="H8" s="129">
        <f>IF(B$17=0,0,G8/B$17)</f>
        <v>0.15185185185185185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147</v>
      </c>
      <c r="C9" s="38">
        <f t="shared" si="1"/>
        <v>0.33333333333333331</v>
      </c>
      <c r="E9" s="59" t="s">
        <v>89</v>
      </c>
      <c r="F9" s="56" t="s">
        <v>44</v>
      </c>
      <c r="G9" s="44">
        <v>144</v>
      </c>
      <c r="H9" s="129">
        <f>IF(B$17=0,0,G9/B$17)</f>
        <v>0.13333333333333333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40</v>
      </c>
      <c r="C10" s="38">
        <f t="shared" si="1"/>
        <v>9.0702947845804988E-2</v>
      </c>
      <c r="E10" s="59" t="s">
        <v>65</v>
      </c>
      <c r="F10" s="56" t="s">
        <v>21</v>
      </c>
      <c r="G10" s="44">
        <v>109</v>
      </c>
      <c r="H10" s="129">
        <f>IF(B$17=0,0,G10/B$17)</f>
        <v>0.10092592592592593</v>
      </c>
      <c r="I10" s="90">
        <v>6</v>
      </c>
      <c r="K10" s="36">
        <v>8</v>
      </c>
      <c r="L10" s="95">
        <v>-46.9</v>
      </c>
      <c r="N10" s="110" t="s">
        <v>162</v>
      </c>
      <c r="O10" s="120">
        <f>IF(P10=0,0,Q10/P10)</f>
        <v>0.89455782312925136</v>
      </c>
      <c r="P10" s="114">
        <v>147</v>
      </c>
      <c r="Q10" s="102">
        <v>131.49999999999994</v>
      </c>
    </row>
    <row r="11" spans="1:17" x14ac:dyDescent="0.4">
      <c r="A11" s="52" t="s">
        <v>138</v>
      </c>
      <c r="B11" s="45">
        <v>40</v>
      </c>
      <c r="C11" s="38">
        <f t="shared" si="1"/>
        <v>9.0702947845804988E-2</v>
      </c>
      <c r="E11" s="59" t="s">
        <v>70</v>
      </c>
      <c r="F11" s="56" t="s">
        <v>25</v>
      </c>
      <c r="G11" s="44">
        <v>102</v>
      </c>
      <c r="H11" s="129">
        <f>IF(B$17=0,0,G11/B$17)</f>
        <v>9.4444444444444442E-2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0.42789115646258485</v>
      </c>
      <c r="P11" s="115">
        <v>147</v>
      </c>
      <c r="Q11" s="103">
        <v>62.89999999999997</v>
      </c>
    </row>
    <row r="12" spans="1:17" x14ac:dyDescent="0.4">
      <c r="A12" s="53" t="s">
        <v>158</v>
      </c>
      <c r="B12" s="46">
        <v>47</v>
      </c>
      <c r="C12" s="40">
        <f t="shared" si="1"/>
        <v>0.10657596371882086</v>
      </c>
      <c r="E12" s="59" t="s">
        <v>71</v>
      </c>
      <c r="F12" s="56" t="s">
        <v>26</v>
      </c>
      <c r="G12" s="44">
        <v>84</v>
      </c>
      <c r="H12" s="129">
        <f>IF(B$17=0,0,G12/B$17)</f>
        <v>7.7777777777777779E-2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-1.3224489795918373</v>
      </c>
      <c r="P12" s="116">
        <v>147</v>
      </c>
      <c r="Q12" s="104">
        <v>-194.40000000000009</v>
      </c>
    </row>
    <row r="13" spans="1:17" x14ac:dyDescent="0.4">
      <c r="A13" s="54" t="s">
        <v>121</v>
      </c>
      <c r="B13" s="47">
        <v>917</v>
      </c>
      <c r="C13" s="42">
        <f>IF(B$3=0,0,B13/B$3)</f>
        <v>0.24932028276237087</v>
      </c>
      <c r="E13" s="59" t="s">
        <v>83</v>
      </c>
      <c r="F13" s="56" t="s">
        <v>38</v>
      </c>
      <c r="G13" s="44">
        <v>59</v>
      </c>
      <c r="H13" s="129">
        <f>IF(B$17=0,0,G13/B$17)</f>
        <v>5.4629629629629632E-2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872</v>
      </c>
      <c r="C14" s="37">
        <f>IF(B$3=0,0,B14/B$3)</f>
        <v>0.23708537248504621</v>
      </c>
      <c r="E14" s="59" t="s">
        <v>86</v>
      </c>
      <c r="F14" s="56" t="s">
        <v>41</v>
      </c>
      <c r="G14" s="44">
        <v>49</v>
      </c>
      <c r="H14" s="129">
        <f>IF(B$17=0,0,G14/B$17)</f>
        <v>4.5370370370370373E-2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519</v>
      </c>
      <c r="C15" s="35">
        <f>IF(B$13=0,0,B15/B$13)</f>
        <v>0.56597600872410037</v>
      </c>
      <c r="E15" s="59" t="s">
        <v>78</v>
      </c>
      <c r="F15" s="56" t="s">
        <v>33</v>
      </c>
      <c r="G15" s="44">
        <v>28</v>
      </c>
      <c r="H15" s="129">
        <f>IF(B$17=0,0,G15/B$17)</f>
        <v>2.5925925925925925E-2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353</v>
      </c>
      <c r="C16" s="35">
        <f>IF(B$14=0,0,B16/B$14)</f>
        <v>0.40481651376146788</v>
      </c>
      <c r="E16" s="59" t="s">
        <v>167</v>
      </c>
      <c r="F16" s="56" t="s">
        <v>168</v>
      </c>
      <c r="G16" s="44">
        <v>27</v>
      </c>
      <c r="H16" s="129">
        <f>IF(B$17=0,0,G16/B$17)</f>
        <v>2.5000000000000001E-2</v>
      </c>
      <c r="I16" s="90">
        <v>4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1080</v>
      </c>
      <c r="C17" s="35">
        <f>IF(B$3=0,0,B17/B$3)</f>
        <v>0.29363784665579118</v>
      </c>
      <c r="E17" s="59" t="s">
        <v>81</v>
      </c>
      <c r="F17" s="56" t="s">
        <v>36</v>
      </c>
      <c r="G17" s="44">
        <v>20</v>
      </c>
      <c r="H17" s="129">
        <f>IF(B$17=0,0,G17/B$17)</f>
        <v>1.8518518518518517E-2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9.907894736842108</v>
      </c>
      <c r="P17" s="115">
        <v>114</v>
      </c>
      <c r="Q17" s="103">
        <v>1129.5000000000002</v>
      </c>
    </row>
    <row r="18" spans="1:17" x14ac:dyDescent="0.4">
      <c r="A18" s="51" t="s">
        <v>12</v>
      </c>
      <c r="B18" s="44">
        <v>474</v>
      </c>
      <c r="C18" s="37">
        <f>IF(B$17=0,0,B18/B$17)</f>
        <v>0.43888888888888888</v>
      </c>
      <c r="E18" s="59" t="s">
        <v>91</v>
      </c>
      <c r="F18" s="56" t="s">
        <v>46</v>
      </c>
      <c r="G18" s="44">
        <v>16</v>
      </c>
      <c r="H18" s="129">
        <f>IF(B$17=0,0,G18/B$17)</f>
        <v>1.4814814814814815E-2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6.2195121951219487</v>
      </c>
      <c r="P18" s="115">
        <v>82</v>
      </c>
      <c r="Q18" s="103">
        <v>509.99999999999977</v>
      </c>
    </row>
    <row r="19" spans="1:17" x14ac:dyDescent="0.4">
      <c r="A19" s="51" t="s">
        <v>11</v>
      </c>
      <c r="B19" s="44">
        <v>606</v>
      </c>
      <c r="C19" s="37">
        <f>IF(B$17=0,0,B19/B$17)</f>
        <v>0.56111111111111112</v>
      </c>
      <c r="E19" s="59" t="s">
        <v>79</v>
      </c>
      <c r="F19" s="56" t="s">
        <v>34</v>
      </c>
      <c r="G19" s="44">
        <v>15</v>
      </c>
      <c r="H19" s="129">
        <f>IF(B$17=0,0,G19/B$17)</f>
        <v>1.3888888888888888E-2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0.78970588235294081</v>
      </c>
      <c r="P19" s="115">
        <v>136</v>
      </c>
      <c r="Q19" s="103">
        <v>107.39999999999995</v>
      </c>
    </row>
    <row r="20" spans="1:17" x14ac:dyDescent="0.4">
      <c r="A20" s="51" t="s">
        <v>13</v>
      </c>
      <c r="B20" s="44">
        <v>600</v>
      </c>
      <c r="C20" s="37">
        <f>IF(B$3=0,0,B20/B$3)</f>
        <v>0.16313213703099511</v>
      </c>
      <c r="E20" s="59" t="s">
        <v>75</v>
      </c>
      <c r="F20" s="56" t="s">
        <v>30</v>
      </c>
      <c r="G20" s="44">
        <v>7</v>
      </c>
      <c r="H20" s="129">
        <f>IF(B$17=0,0,G20/B$17)</f>
        <v>6.4814814814814813E-3</v>
      </c>
      <c r="I20" s="90">
        <v>6</v>
      </c>
      <c r="K20" s="36">
        <v>18</v>
      </c>
      <c r="L20" s="95">
        <v>0</v>
      </c>
      <c r="N20" s="111" t="s">
        <v>181</v>
      </c>
      <c r="O20" s="121">
        <f>IF(P20=0,0,Q20/P20)</f>
        <v>-5.3464285714285724</v>
      </c>
      <c r="P20" s="115">
        <v>28</v>
      </c>
      <c r="Q20" s="103">
        <v>-149.70000000000002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6</v>
      </c>
      <c r="H21" s="129">
        <f>IF(B$17=0,0,G21/B$17)</f>
        <v>5.5555555555555558E-3</v>
      </c>
      <c r="I21" s="90">
        <v>3</v>
      </c>
      <c r="K21" s="36">
        <v>19</v>
      </c>
      <c r="L21" s="95">
        <v>-22.4</v>
      </c>
      <c r="N21" s="111" t="s">
        <v>127</v>
      </c>
      <c r="O21" s="121">
        <f>IF(P21=0,0,Q21/P21)</f>
        <v>-5.9421686746988023</v>
      </c>
      <c r="P21" s="115">
        <v>166</v>
      </c>
      <c r="Q21" s="103">
        <v>-986.40000000000111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5</v>
      </c>
      <c r="H22" s="129">
        <f>IF(B$17=0,0,G22/B$17)</f>
        <v>4.6296296296296294E-3</v>
      </c>
      <c r="I22" s="90">
        <v>4</v>
      </c>
      <c r="K22" s="36">
        <v>20</v>
      </c>
      <c r="L22" s="95">
        <v>-61.199999999999996</v>
      </c>
      <c r="N22" s="111" t="s">
        <v>126</v>
      </c>
      <c r="O22" s="121">
        <f>IF(P22=0,0,Q22/P22)</f>
        <v>-8.1049999999999933</v>
      </c>
      <c r="P22" s="115">
        <v>180</v>
      </c>
      <c r="Q22" s="103">
        <v>-1458.8999999999987</v>
      </c>
    </row>
    <row r="23" spans="1:17" x14ac:dyDescent="0.4">
      <c r="A23" s="51" t="s">
        <v>5</v>
      </c>
      <c r="B23" s="48">
        <f>IF(B$17=0,0,C23/B$17)</f>
        <v>8343.7037037037044</v>
      </c>
      <c r="C23" s="39">
        <v>9011200</v>
      </c>
      <c r="E23" s="59" t="s">
        <v>88</v>
      </c>
      <c r="F23" s="56" t="s">
        <v>43</v>
      </c>
      <c r="G23" s="44">
        <v>5</v>
      </c>
      <c r="H23" s="129">
        <f>IF(B$17=0,0,G23/B$17)</f>
        <v>4.6296296296296294E-3</v>
      </c>
      <c r="I23" s="90">
        <v>4</v>
      </c>
      <c r="K23" s="36">
        <v>21</v>
      </c>
      <c r="L23" s="95">
        <v>7.1054273576010019E-15</v>
      </c>
      <c r="N23" s="111" t="s">
        <v>177</v>
      </c>
      <c r="O23" s="121">
        <f>IF(P23=0,0,Q23/P23)</f>
        <v>-8.4062499999999982</v>
      </c>
      <c r="P23" s="115">
        <v>96</v>
      </c>
      <c r="Q23" s="103">
        <v>-806.99999999999977</v>
      </c>
    </row>
    <row r="24" spans="1:17" x14ac:dyDescent="0.4">
      <c r="A24" s="52" t="s">
        <v>216</v>
      </c>
      <c r="B24" s="136">
        <f>IF($B$17-B$16=0,0,C24/($B$17-B$16))</f>
        <v>8835.3507565337004</v>
      </c>
      <c r="C24" s="137">
        <v>6423300</v>
      </c>
      <c r="E24" s="59" t="s">
        <v>77</v>
      </c>
      <c r="F24" s="56" t="s">
        <v>32</v>
      </c>
      <c r="G24" s="44">
        <v>4</v>
      </c>
      <c r="H24" s="129">
        <f>IF(B$17=0,0,G24/B$17)</f>
        <v>3.7037037037037038E-3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7331.1614730878191</v>
      </c>
      <c r="C25" s="137">
        <v>2587900</v>
      </c>
      <c r="E25" s="59" t="s">
        <v>84</v>
      </c>
      <c r="F25" s="56" t="s">
        <v>39</v>
      </c>
      <c r="G25" s="44">
        <v>4</v>
      </c>
      <c r="H25" s="129">
        <f>IF(B$17=0,0,G25/B$17)</f>
        <v>3.7037037037037038E-3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-7793.833333333333</v>
      </c>
      <c r="C26" s="137">
        <v>-4676300</v>
      </c>
      <c r="E26" s="59" t="s">
        <v>85</v>
      </c>
      <c r="F26" s="56" t="s">
        <v>40</v>
      </c>
      <c r="G26" s="44">
        <v>4</v>
      </c>
      <c r="H26" s="129">
        <f>IF(B$17=0,0,G26/B$17)</f>
        <v>3.7037037037037038E-3</v>
      </c>
      <c r="I26" s="90">
        <v>5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73</v>
      </c>
      <c r="F27" s="56" t="s">
        <v>28</v>
      </c>
      <c r="G27" s="44">
        <v>3</v>
      </c>
      <c r="H27" s="129">
        <f>IF(B$17=0,0,G27/B$17)</f>
        <v>2.7777777777777779E-3</v>
      </c>
      <c r="I27" s="90">
        <v>2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103600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2.7777777777777779E-3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3.2626427406199023E-3</v>
      </c>
      <c r="E29" s="59" t="s">
        <v>87</v>
      </c>
      <c r="F29" s="56" t="s">
        <v>42</v>
      </c>
      <c r="G29" s="44">
        <v>2</v>
      </c>
      <c r="H29" s="129">
        <f>IF(B$17=0,0,G29/B$17)</f>
        <v>1.8518518518518519E-3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1.8518518518518519E-3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1</v>
      </c>
      <c r="H31" s="129">
        <f>IF(B$17=0,0,G31/B$17)</f>
        <v>9.2592592592592596E-4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9.2592592592592596E-4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41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0.68478260869565222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1634.1463414634147</v>
      </c>
      <c r="P2" s="114">
        <v>41</v>
      </c>
      <c r="Q2" s="98">
        <v>67000</v>
      </c>
    </row>
    <row r="3" spans="1:17" x14ac:dyDescent="0.4">
      <c r="A3" s="51" t="s">
        <v>8</v>
      </c>
      <c r="B3" s="150">
        <v>360</v>
      </c>
      <c r="C3" s="151"/>
      <c r="E3" s="59" t="s">
        <v>72</v>
      </c>
      <c r="F3" s="56" t="s">
        <v>27</v>
      </c>
      <c r="G3" s="44">
        <v>46</v>
      </c>
      <c r="H3" s="129">
        <f>IF(B$17=0,0,G3/B$17)</f>
        <v>0.5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-1080</v>
      </c>
      <c r="P3" s="115">
        <v>40</v>
      </c>
      <c r="Q3" s="99">
        <v>-43200</v>
      </c>
    </row>
    <row r="4" spans="1:17" x14ac:dyDescent="0.4">
      <c r="A4" s="51" t="s">
        <v>6</v>
      </c>
      <c r="B4" s="152">
        <v>-170.00000000000003</v>
      </c>
      <c r="C4" s="153"/>
      <c r="E4" s="59" t="s">
        <v>171</v>
      </c>
      <c r="F4" s="56" t="s">
        <v>172</v>
      </c>
      <c r="G4" s="44">
        <v>37</v>
      </c>
      <c r="H4" s="129">
        <f>IF(B$17=0,0,G4/B$17)</f>
        <v>0.40217391304347827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-644.73684210526312</v>
      </c>
      <c r="P4" s="115">
        <v>38</v>
      </c>
      <c r="Q4" s="99">
        <v>-24500</v>
      </c>
    </row>
    <row r="5" spans="1:17" x14ac:dyDescent="0.4">
      <c r="A5" s="51" t="s">
        <v>7</v>
      </c>
      <c r="B5" s="154">
        <f>IF(B$2=0,0,B$4/B$2)</f>
        <v>-4.1463414634146352</v>
      </c>
      <c r="C5" s="155"/>
      <c r="E5" s="59" t="s">
        <v>68</v>
      </c>
      <c r="F5" s="56" t="s">
        <v>12</v>
      </c>
      <c r="G5" s="44">
        <v>27</v>
      </c>
      <c r="H5" s="129">
        <f>IF(B$17=0,0,G5/B$17)</f>
        <v>0.29347826086956524</v>
      </c>
      <c r="I5" s="90">
        <v>7</v>
      </c>
      <c r="K5" s="36">
        <v>3</v>
      </c>
      <c r="L5" s="95">
        <v>-8.3000000000000007</v>
      </c>
      <c r="N5" s="111" t="s">
        <v>133</v>
      </c>
      <c r="O5" s="118">
        <f t="shared" si="0"/>
        <v>-1934.2105263157894</v>
      </c>
      <c r="P5" s="115">
        <v>38</v>
      </c>
      <c r="Q5" s="99">
        <v>-73500</v>
      </c>
    </row>
    <row r="6" spans="1:17" x14ac:dyDescent="0.4">
      <c r="A6" s="51" t="s">
        <v>1</v>
      </c>
      <c r="B6" s="144">
        <f>IF(B$2=0,0,(B$7*1+B$8*2+B$9*3)/B$2)</f>
        <v>2.0975609756097562</v>
      </c>
      <c r="C6" s="145"/>
      <c r="E6" s="59" t="s">
        <v>64</v>
      </c>
      <c r="F6" s="56" t="s">
        <v>20</v>
      </c>
      <c r="G6" s="44">
        <v>26</v>
      </c>
      <c r="H6" s="129">
        <f>IF(B$17=0,0,G6/B$17)</f>
        <v>0.28260869565217389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118.42105263157895</v>
      </c>
      <c r="P6" s="115">
        <v>38</v>
      </c>
      <c r="Q6" s="99">
        <v>4500</v>
      </c>
    </row>
    <row r="7" spans="1:17" x14ac:dyDescent="0.4">
      <c r="A7" s="51" t="s">
        <v>2</v>
      </c>
      <c r="B7" s="44">
        <v>13</v>
      </c>
      <c r="C7" s="37">
        <f t="shared" ref="C7:C12" si="1">IF(B$2=0,0,B7/B$2)</f>
        <v>0.31707317073170732</v>
      </c>
      <c r="E7" s="59" t="s">
        <v>69</v>
      </c>
      <c r="F7" s="56" t="s">
        <v>24</v>
      </c>
      <c r="G7" s="44">
        <v>21</v>
      </c>
      <c r="H7" s="129">
        <f>IF(B$17=0,0,G7/B$17)</f>
        <v>0.22826086956521738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-1943.75</v>
      </c>
      <c r="P7" s="116">
        <v>32</v>
      </c>
      <c r="Q7" s="100">
        <v>-62200</v>
      </c>
    </row>
    <row r="8" spans="1:17" x14ac:dyDescent="0.4">
      <c r="A8" s="51" t="s">
        <v>3</v>
      </c>
      <c r="B8" s="44">
        <v>11</v>
      </c>
      <c r="C8" s="37">
        <f t="shared" si="1"/>
        <v>0.26829268292682928</v>
      </c>
      <c r="E8" s="59" t="s">
        <v>70</v>
      </c>
      <c r="F8" s="56" t="s">
        <v>25</v>
      </c>
      <c r="G8" s="44">
        <v>15</v>
      </c>
      <c r="H8" s="129">
        <f>IF(B$17=0,0,G8/B$17)</f>
        <v>0.16304347826086957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0.41463414634146339</v>
      </c>
      <c r="E9" s="59" t="s">
        <v>67</v>
      </c>
      <c r="F9" s="56" t="s">
        <v>23</v>
      </c>
      <c r="G9" s="44">
        <v>12</v>
      </c>
      <c r="H9" s="129">
        <f>IF(B$17=0,0,G9/B$17)</f>
        <v>0.13043478260869565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83</v>
      </c>
      <c r="F10" s="56" t="s">
        <v>38</v>
      </c>
      <c r="G10" s="44">
        <v>9</v>
      </c>
      <c r="H10" s="129">
        <f>IF(B$17=0,0,G10/B$17)</f>
        <v>9.7826086956521743E-2</v>
      </c>
      <c r="I10" s="90">
        <v>2</v>
      </c>
      <c r="K10" s="36">
        <v>8</v>
      </c>
      <c r="L10" s="95">
        <v>-76.900000000000006</v>
      </c>
      <c r="N10" s="110" t="s">
        <v>162</v>
      </c>
      <c r="O10" s="120">
        <f>IF(P10=0,0,Q10/P10)</f>
        <v>-1.5071428571428567</v>
      </c>
      <c r="P10" s="114">
        <v>14</v>
      </c>
      <c r="Q10" s="102">
        <v>-21.099999999999994</v>
      </c>
    </row>
    <row r="11" spans="1:17" x14ac:dyDescent="0.4">
      <c r="A11" s="52" t="s">
        <v>138</v>
      </c>
      <c r="B11" s="45">
        <v>2</v>
      </c>
      <c r="C11" s="38">
        <f t="shared" si="1"/>
        <v>4.878048780487805E-2</v>
      </c>
      <c r="E11" s="59" t="s">
        <v>65</v>
      </c>
      <c r="F11" s="56" t="s">
        <v>21</v>
      </c>
      <c r="G11" s="44">
        <v>8</v>
      </c>
      <c r="H11" s="129">
        <f>IF(B$17=0,0,G11/B$17)</f>
        <v>8.6956521739130432E-2</v>
      </c>
      <c r="I11" s="90">
        <v>9</v>
      </c>
      <c r="K11" s="36">
        <v>9</v>
      </c>
      <c r="L11" s="95">
        <v>-59.500000000000007</v>
      </c>
      <c r="N11" s="111" t="s">
        <v>163</v>
      </c>
      <c r="O11" s="121">
        <f>IF(P11=0,0,Q11/P11)</f>
        <v>-8.2416666666666654</v>
      </c>
      <c r="P11" s="115">
        <v>12</v>
      </c>
      <c r="Q11" s="103">
        <v>-98.899999999999977</v>
      </c>
    </row>
    <row r="12" spans="1:17" x14ac:dyDescent="0.4">
      <c r="A12" s="53" t="s">
        <v>158</v>
      </c>
      <c r="B12" s="46">
        <v>6</v>
      </c>
      <c r="C12" s="40">
        <f t="shared" si="1"/>
        <v>0.14634146341463414</v>
      </c>
      <c r="E12" s="59" t="s">
        <v>71</v>
      </c>
      <c r="F12" s="56" t="s">
        <v>26</v>
      </c>
      <c r="G12" s="44">
        <v>8</v>
      </c>
      <c r="H12" s="129">
        <f>IF(B$17=0,0,G12/B$17)</f>
        <v>8.6956521739130432E-2</v>
      </c>
      <c r="I12" s="90">
        <v>5</v>
      </c>
      <c r="K12" s="36">
        <v>10</v>
      </c>
      <c r="L12" s="95">
        <v>-32.700000000000003</v>
      </c>
      <c r="N12" s="112" t="s">
        <v>164</v>
      </c>
      <c r="O12" s="122">
        <f>IF(P12=0,0,Q12/P12)</f>
        <v>-3.333333333333333</v>
      </c>
      <c r="P12" s="116">
        <v>15</v>
      </c>
      <c r="Q12" s="104">
        <v>-49.999999999999993</v>
      </c>
    </row>
    <row r="13" spans="1:17" x14ac:dyDescent="0.4">
      <c r="A13" s="54" t="s">
        <v>121</v>
      </c>
      <c r="B13" s="47">
        <v>55</v>
      </c>
      <c r="C13" s="42">
        <f>IF(B$3=0,0,B13/B$3)</f>
        <v>0.15277777777777779</v>
      </c>
      <c r="E13" s="59" t="s">
        <v>89</v>
      </c>
      <c r="F13" s="56" t="s">
        <v>44</v>
      </c>
      <c r="G13" s="44">
        <v>7</v>
      </c>
      <c r="H13" s="129">
        <f>IF(B$17=0,0,G13/B$17)</f>
        <v>7.6086956521739135E-2</v>
      </c>
      <c r="I13" s="90">
        <v>10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84</v>
      </c>
      <c r="C14" s="37">
        <f>IF(B$3=0,0,B14/B$3)</f>
        <v>0.23333333333333334</v>
      </c>
      <c r="E14" s="59" t="s">
        <v>81</v>
      </c>
      <c r="F14" s="56" t="s">
        <v>36</v>
      </c>
      <c r="G14" s="44">
        <v>4</v>
      </c>
      <c r="H14" s="129">
        <f>IF(B$17=0,0,G14/B$17)</f>
        <v>4.3478260869565216E-2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28</v>
      </c>
      <c r="C15" s="35">
        <f>IF(B$13=0,0,B15/B$13)</f>
        <v>0.50909090909090904</v>
      </c>
      <c r="E15" s="59" t="s">
        <v>91</v>
      </c>
      <c r="F15" s="56" t="s">
        <v>46</v>
      </c>
      <c r="G15" s="44">
        <v>3</v>
      </c>
      <c r="H15" s="129">
        <f>IF(B$17=0,0,G15/B$17)</f>
        <v>3.2608695652173912E-2</v>
      </c>
      <c r="I15" s="90">
        <v>2</v>
      </c>
      <c r="K15" s="36">
        <v>13</v>
      </c>
      <c r="L15" s="95">
        <v>-66.2</v>
      </c>
      <c r="N15" s="110" t="s">
        <v>178</v>
      </c>
      <c r="O15" s="120">
        <f t="shared" ref="O15:O21" si="2">IF(P15=0,0,Q15/P15)</f>
        <v>-0.68461538461538396</v>
      </c>
      <c r="P15" s="114">
        <v>13</v>
      </c>
      <c r="Q15" s="102">
        <v>-8.8999999999999915</v>
      </c>
    </row>
    <row r="16" spans="1:17" x14ac:dyDescent="0.4">
      <c r="A16" s="50" t="s">
        <v>124</v>
      </c>
      <c r="B16" s="43">
        <v>29</v>
      </c>
      <c r="C16" s="35">
        <f>IF(B$14=0,0,B16/B$14)</f>
        <v>0.34523809523809523</v>
      </c>
      <c r="E16" s="59" t="s">
        <v>86</v>
      </c>
      <c r="F16" s="56" t="s">
        <v>41</v>
      </c>
      <c r="G16" s="44">
        <v>2</v>
      </c>
      <c r="H16" s="129">
        <f>IF(B$17=0,0,G16/B$17)</f>
        <v>2.1739130434782608E-2</v>
      </c>
      <c r="I16" s="90">
        <v>10</v>
      </c>
      <c r="K16" s="36">
        <v>14</v>
      </c>
      <c r="L16" s="95">
        <v>-51.1</v>
      </c>
      <c r="N16" s="111" t="s">
        <v>126</v>
      </c>
      <c r="O16" s="121">
        <f t="shared" si="2"/>
        <v>-1.8272727272727274</v>
      </c>
      <c r="P16" s="115">
        <v>22</v>
      </c>
      <c r="Q16" s="103">
        <v>-40.200000000000003</v>
      </c>
    </row>
    <row r="17" spans="1:17" x14ac:dyDescent="0.4">
      <c r="A17" s="50" t="s">
        <v>10</v>
      </c>
      <c r="B17" s="43">
        <f>B19+B18</f>
        <v>92</v>
      </c>
      <c r="C17" s="35">
        <f>IF(B$3=0,0,B17/B$3)</f>
        <v>0.25555555555555554</v>
      </c>
      <c r="E17" s="59" t="s">
        <v>88</v>
      </c>
      <c r="F17" s="56" t="s">
        <v>43</v>
      </c>
      <c r="G17" s="44">
        <v>2</v>
      </c>
      <c r="H17" s="129">
        <f>IF(B$17=0,0,G17/B$17)</f>
        <v>2.1739130434782608E-2</v>
      </c>
      <c r="I17" s="90">
        <v>1</v>
      </c>
      <c r="K17" s="36">
        <v>15</v>
      </c>
      <c r="L17" s="95">
        <v>-65.2</v>
      </c>
      <c r="N17" s="111" t="s">
        <v>127</v>
      </c>
      <c r="O17" s="121">
        <f t="shared" si="2"/>
        <v>-4.1100000000000012</v>
      </c>
      <c r="P17" s="115">
        <v>20</v>
      </c>
      <c r="Q17" s="103">
        <v>-82.200000000000017</v>
      </c>
    </row>
    <row r="18" spans="1:17" x14ac:dyDescent="0.4">
      <c r="A18" s="51" t="s">
        <v>12</v>
      </c>
      <c r="B18" s="44">
        <v>38</v>
      </c>
      <c r="C18" s="37">
        <f>IF(B$17=0,0,B18/B$17)</f>
        <v>0.41304347826086957</v>
      </c>
      <c r="E18" s="59" t="s">
        <v>74</v>
      </c>
      <c r="F18" s="56" t="s">
        <v>29</v>
      </c>
      <c r="G18" s="44">
        <v>1</v>
      </c>
      <c r="H18" s="129">
        <f>IF(B$17=0,0,G18/B$17)</f>
        <v>1.0869565217391304E-2</v>
      </c>
      <c r="I18" s="90">
        <v>2</v>
      </c>
      <c r="K18" s="36">
        <v>16</v>
      </c>
      <c r="L18" s="95">
        <v>-70.600000000000009</v>
      </c>
      <c r="N18" s="111" t="s">
        <v>181</v>
      </c>
      <c r="O18" s="121">
        <f t="shared" si="2"/>
        <v>-5.04</v>
      </c>
      <c r="P18" s="115">
        <v>5</v>
      </c>
      <c r="Q18" s="103">
        <v>-25.2</v>
      </c>
    </row>
    <row r="19" spans="1:17" x14ac:dyDescent="0.4">
      <c r="A19" s="51" t="s">
        <v>11</v>
      </c>
      <c r="B19" s="44">
        <v>54</v>
      </c>
      <c r="C19" s="37">
        <f>IF(B$17=0,0,B19/B$17)</f>
        <v>0.58695652173913049</v>
      </c>
      <c r="E19" s="59" t="s">
        <v>75</v>
      </c>
      <c r="F19" s="56" t="s">
        <v>30</v>
      </c>
      <c r="G19" s="44">
        <v>1</v>
      </c>
      <c r="H19" s="129">
        <f>IF(B$17=0,0,G19/B$17)</f>
        <v>1.0869565217391304E-2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53</v>
      </c>
      <c r="C20" s="37">
        <f>IF(B$3=0,0,B20/B$3)</f>
        <v>0.14722222222222223</v>
      </c>
      <c r="E20" s="59" t="s">
        <v>77</v>
      </c>
      <c r="F20" s="56" t="s">
        <v>32</v>
      </c>
      <c r="G20" s="44">
        <v>1</v>
      </c>
      <c r="H20" s="129">
        <f>IF(B$17=0,0,G20/B$17)</f>
        <v>1.0869565217391304E-2</v>
      </c>
      <c r="I20" s="90">
        <v>2</v>
      </c>
      <c r="K20" s="36">
        <v>18</v>
      </c>
      <c r="L20" s="95">
        <v>-80.2</v>
      </c>
      <c r="N20" s="111" t="s">
        <v>182</v>
      </c>
      <c r="O20" s="121">
        <f t="shared" si="2"/>
        <v>-28.449999999999996</v>
      </c>
      <c r="P20" s="115">
        <v>4</v>
      </c>
      <c r="Q20" s="103">
        <v>-113.79999999999998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1.0869565217391304E-2</v>
      </c>
      <c r="I21" s="90">
        <v>1</v>
      </c>
      <c r="K21" s="36">
        <v>19</v>
      </c>
      <c r="L21" s="95">
        <v>-115.1</v>
      </c>
      <c r="N21" s="111" t="s">
        <v>177</v>
      </c>
      <c r="O21" s="121">
        <f t="shared" si="2"/>
        <v>-29.559999999999995</v>
      </c>
      <c r="P21" s="115">
        <v>5</v>
      </c>
      <c r="Q21" s="103">
        <v>-147.79999999999998</v>
      </c>
    </row>
    <row r="22" spans="1:17" x14ac:dyDescent="0.4">
      <c r="A22" s="51" t="s">
        <v>170</v>
      </c>
      <c r="B22" s="44">
        <v>23</v>
      </c>
      <c r="C22" s="131">
        <v>7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7450</v>
      </c>
      <c r="C23" s="39">
        <v>685400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7993.6507936507933</v>
      </c>
      <c r="C24" s="137">
        <v>503600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6268.9655172413795</v>
      </c>
      <c r="C25" s="137">
        <v>181800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-6775.4716981132078</v>
      </c>
      <c r="C26" s="137">
        <v>-359100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5.5555555555555558E-3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9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90</v>
      </c>
      <c r="C2" s="149"/>
      <c r="E2" s="58" t="s">
        <v>66</v>
      </c>
      <c r="F2" s="55" t="s">
        <v>22</v>
      </c>
      <c r="G2" s="43">
        <v>155</v>
      </c>
      <c r="H2" s="128">
        <f>IF(B$17=0,0,G2/B$17)</f>
        <v>0.65400843881856541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312.35955056179773</v>
      </c>
      <c r="P2" s="114">
        <v>89</v>
      </c>
      <c r="Q2" s="98">
        <v>27800</v>
      </c>
    </row>
    <row r="3" spans="1:17" x14ac:dyDescent="0.4">
      <c r="A3" s="51" t="s">
        <v>8</v>
      </c>
      <c r="B3" s="150">
        <v>721</v>
      </c>
      <c r="C3" s="151"/>
      <c r="E3" s="59" t="s">
        <v>72</v>
      </c>
      <c r="F3" s="56" t="s">
        <v>27</v>
      </c>
      <c r="G3" s="44">
        <v>118</v>
      </c>
      <c r="H3" s="129">
        <f>IF(B$17=0,0,G3/B$17)</f>
        <v>0.49789029535864981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-225.58139534883722</v>
      </c>
      <c r="P3" s="115">
        <v>86</v>
      </c>
      <c r="Q3" s="99">
        <v>-19400</v>
      </c>
    </row>
    <row r="4" spans="1:17" x14ac:dyDescent="0.4">
      <c r="A4" s="51" t="s">
        <v>6</v>
      </c>
      <c r="B4" s="152">
        <v>486.29999999999984</v>
      </c>
      <c r="C4" s="153"/>
      <c r="E4" s="59" t="s">
        <v>64</v>
      </c>
      <c r="F4" s="56" t="s">
        <v>20</v>
      </c>
      <c r="G4" s="44">
        <v>104</v>
      </c>
      <c r="H4" s="129">
        <f>IF(B$17=0,0,G4/B$17)</f>
        <v>0.43881856540084391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-588.09523809523807</v>
      </c>
      <c r="P4" s="115">
        <v>84</v>
      </c>
      <c r="Q4" s="99">
        <v>-49400</v>
      </c>
    </row>
    <row r="5" spans="1:17" x14ac:dyDescent="0.4">
      <c r="A5" s="51" t="s">
        <v>7</v>
      </c>
      <c r="B5" s="154">
        <f>IF(B$2=0,0,B$4/B$2)</f>
        <v>5.4033333333333315</v>
      </c>
      <c r="C5" s="155"/>
      <c r="E5" s="59" t="s">
        <v>171</v>
      </c>
      <c r="F5" s="56" t="s">
        <v>172</v>
      </c>
      <c r="G5" s="44">
        <v>85</v>
      </c>
      <c r="H5" s="129">
        <f>IF(B$17=0,0,G5/B$17)</f>
        <v>0.35864978902953587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-577.92207792207796</v>
      </c>
      <c r="P5" s="115">
        <v>77</v>
      </c>
      <c r="Q5" s="99">
        <v>-44500</v>
      </c>
    </row>
    <row r="6" spans="1:17" x14ac:dyDescent="0.4">
      <c r="A6" s="51" t="s">
        <v>1</v>
      </c>
      <c r="B6" s="144">
        <f>IF(B$2=0,0,(B$7*1+B$8*2+B$9*3)/B$2)</f>
        <v>1.8111111111111111</v>
      </c>
      <c r="C6" s="145"/>
      <c r="E6" s="59" t="s">
        <v>68</v>
      </c>
      <c r="F6" s="56" t="s">
        <v>12</v>
      </c>
      <c r="G6" s="44">
        <v>70</v>
      </c>
      <c r="H6" s="129">
        <f>IF(B$17=0,0,G6/B$17)</f>
        <v>0.29535864978902954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2656.1643835616437</v>
      </c>
      <c r="P6" s="115">
        <v>73</v>
      </c>
      <c r="Q6" s="99">
        <v>193900</v>
      </c>
    </row>
    <row r="7" spans="1:17" x14ac:dyDescent="0.4">
      <c r="A7" s="51" t="s">
        <v>2</v>
      </c>
      <c r="B7" s="44">
        <v>41</v>
      </c>
      <c r="C7" s="37">
        <f t="shared" ref="C7:C12" si="1">IF(B$2=0,0,B7/B$2)</f>
        <v>0.45555555555555555</v>
      </c>
      <c r="E7" s="59" t="s">
        <v>67</v>
      </c>
      <c r="F7" s="56" t="s">
        <v>23</v>
      </c>
      <c r="G7" s="44">
        <v>63</v>
      </c>
      <c r="H7" s="129">
        <f>IF(B$17=0,0,G7/B$17)</f>
        <v>0.26582278481012656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3313.1147540983607</v>
      </c>
      <c r="P7" s="116">
        <v>61</v>
      </c>
      <c r="Q7" s="100">
        <v>202100</v>
      </c>
    </row>
    <row r="8" spans="1:17" x14ac:dyDescent="0.4">
      <c r="A8" s="51" t="s">
        <v>3</v>
      </c>
      <c r="B8" s="44">
        <v>25</v>
      </c>
      <c r="C8" s="37">
        <f t="shared" si="1"/>
        <v>0.27777777777777779</v>
      </c>
      <c r="E8" s="59" t="s">
        <v>89</v>
      </c>
      <c r="F8" s="56" t="s">
        <v>44</v>
      </c>
      <c r="G8" s="44">
        <v>40</v>
      </c>
      <c r="H8" s="129">
        <f>IF(B$17=0,0,G8/B$17)</f>
        <v>0.16877637130801687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0.26666666666666666</v>
      </c>
      <c r="E9" s="59" t="s">
        <v>69</v>
      </c>
      <c r="F9" s="56" t="s">
        <v>24</v>
      </c>
      <c r="G9" s="44">
        <v>37</v>
      </c>
      <c r="H9" s="129">
        <f>IF(B$17=0,0,G9/B$17)</f>
        <v>0.15611814345991562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5.5555555555555552E-2</v>
      </c>
      <c r="E10" s="59" t="s">
        <v>65</v>
      </c>
      <c r="F10" s="56" t="s">
        <v>21</v>
      </c>
      <c r="G10" s="44">
        <v>27</v>
      </c>
      <c r="H10" s="129">
        <f>IF(B$17=0,0,G10/B$17)</f>
        <v>0.11392405063291139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8.58</v>
      </c>
      <c r="P10" s="114">
        <v>25</v>
      </c>
      <c r="Q10" s="102">
        <v>214.5</v>
      </c>
    </row>
    <row r="11" spans="1:17" x14ac:dyDescent="0.4">
      <c r="A11" s="52" t="s">
        <v>138</v>
      </c>
      <c r="B11" s="45">
        <v>8</v>
      </c>
      <c r="C11" s="38">
        <f t="shared" si="1"/>
        <v>8.8888888888888892E-2</v>
      </c>
      <c r="E11" s="59" t="s">
        <v>71</v>
      </c>
      <c r="F11" s="56" t="s">
        <v>26</v>
      </c>
      <c r="G11" s="44">
        <v>17</v>
      </c>
      <c r="H11" s="129">
        <f>IF(B$17=0,0,G11/B$17)</f>
        <v>7.1729957805907171E-2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1.929411764705883</v>
      </c>
      <c r="P11" s="115">
        <v>34</v>
      </c>
      <c r="Q11" s="103">
        <v>65.600000000000023</v>
      </c>
    </row>
    <row r="12" spans="1:17" x14ac:dyDescent="0.4">
      <c r="A12" s="53" t="s">
        <v>158</v>
      </c>
      <c r="B12" s="46">
        <v>11</v>
      </c>
      <c r="C12" s="40">
        <f t="shared" si="1"/>
        <v>0.12222222222222222</v>
      </c>
      <c r="E12" s="59" t="s">
        <v>70</v>
      </c>
      <c r="F12" s="56" t="s">
        <v>25</v>
      </c>
      <c r="G12" s="44">
        <v>12</v>
      </c>
      <c r="H12" s="129">
        <f>IF(B$17=0,0,G12/B$17)</f>
        <v>5.0632911392405063E-2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6.6516129032258045</v>
      </c>
      <c r="P12" s="116">
        <v>31</v>
      </c>
      <c r="Q12" s="104">
        <v>206.19999999999993</v>
      </c>
    </row>
    <row r="13" spans="1:17" x14ac:dyDescent="0.4">
      <c r="A13" s="54" t="s">
        <v>121</v>
      </c>
      <c r="B13" s="47">
        <v>191</v>
      </c>
      <c r="C13" s="42">
        <f>IF(B$3=0,0,B13/B$3)</f>
        <v>0.26490984743411927</v>
      </c>
      <c r="E13" s="59" t="s">
        <v>83</v>
      </c>
      <c r="F13" s="56" t="s">
        <v>38</v>
      </c>
      <c r="G13" s="44">
        <v>11</v>
      </c>
      <c r="H13" s="129">
        <f>IF(B$17=0,0,G13/B$17)</f>
        <v>4.6413502109704644E-2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165</v>
      </c>
      <c r="C14" s="37">
        <f>IF(B$3=0,0,B14/B$3)</f>
        <v>0.2288488210818308</v>
      </c>
      <c r="E14" s="59" t="s">
        <v>167</v>
      </c>
      <c r="F14" s="56" t="s">
        <v>168</v>
      </c>
      <c r="G14" s="44">
        <v>11</v>
      </c>
      <c r="H14" s="129">
        <f>IF(B$17=0,0,G14/B$17)</f>
        <v>4.6413502109704644E-2</v>
      </c>
      <c r="I14" s="90">
        <v>2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112</v>
      </c>
      <c r="C15" s="35">
        <f>IF(B$13=0,0,B15/B$13)</f>
        <v>0.58638743455497377</v>
      </c>
      <c r="E15" s="59" t="s">
        <v>86</v>
      </c>
      <c r="F15" s="56" t="s">
        <v>41</v>
      </c>
      <c r="G15" s="44">
        <v>10</v>
      </c>
      <c r="H15" s="129">
        <f>IF(B$17=0,0,G15/B$17)</f>
        <v>4.2194092827004218E-2</v>
      </c>
      <c r="I15" s="90">
        <v>7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78</v>
      </c>
      <c r="C16" s="35">
        <f>IF(B$14=0,0,B16/B$14)</f>
        <v>0.47272727272727272</v>
      </c>
      <c r="E16" s="59" t="s">
        <v>78</v>
      </c>
      <c r="F16" s="56" t="s">
        <v>33</v>
      </c>
      <c r="G16" s="44">
        <v>9</v>
      </c>
      <c r="H16" s="129">
        <f>IF(B$17=0,0,G16/B$17)</f>
        <v>3.7974683544303799E-2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237</v>
      </c>
      <c r="C17" s="35">
        <f>IF(B$3=0,0,B17/B$3)</f>
        <v>0.3287101248266297</v>
      </c>
      <c r="E17" s="59" t="s">
        <v>77</v>
      </c>
      <c r="F17" s="56" t="s">
        <v>32</v>
      </c>
      <c r="G17" s="44">
        <v>3</v>
      </c>
      <c r="H17" s="129">
        <f>IF(B$17=0,0,G17/B$17)</f>
        <v>1.2658227848101266E-2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15.38974358974359</v>
      </c>
      <c r="P17" s="115">
        <v>39</v>
      </c>
      <c r="Q17" s="103">
        <v>600.20000000000005</v>
      </c>
    </row>
    <row r="18" spans="1:17" x14ac:dyDescent="0.4">
      <c r="A18" s="51" t="s">
        <v>12</v>
      </c>
      <c r="B18" s="44">
        <v>103</v>
      </c>
      <c r="C18" s="37">
        <f>IF(B$17=0,0,B18/B$17)</f>
        <v>0.43459915611814348</v>
      </c>
      <c r="E18" s="59" t="s">
        <v>84</v>
      </c>
      <c r="F18" s="56" t="s">
        <v>39</v>
      </c>
      <c r="G18" s="44">
        <v>3</v>
      </c>
      <c r="H18" s="129">
        <f>IF(B$17=0,0,G18/B$17)</f>
        <v>1.2658227848101266E-2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9.9800000000000058</v>
      </c>
      <c r="P18" s="115">
        <v>30</v>
      </c>
      <c r="Q18" s="103">
        <v>299.40000000000015</v>
      </c>
    </row>
    <row r="19" spans="1:17" x14ac:dyDescent="0.4">
      <c r="A19" s="51" t="s">
        <v>11</v>
      </c>
      <c r="B19" s="44">
        <v>134</v>
      </c>
      <c r="C19" s="37">
        <f>IF(B$17=0,0,B19/B$17)</f>
        <v>0.56540084388185652</v>
      </c>
      <c r="E19" s="59" t="s">
        <v>75</v>
      </c>
      <c r="F19" s="56" t="s">
        <v>30</v>
      </c>
      <c r="G19" s="44">
        <v>2</v>
      </c>
      <c r="H19" s="129">
        <f>IF(B$17=0,0,G19/B$17)</f>
        <v>8.4388185654008432E-3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>IF(P19=0,0,Q19/P19)</f>
        <v>7.7327272727272742</v>
      </c>
      <c r="P19" s="115">
        <v>55</v>
      </c>
      <c r="Q19" s="103">
        <v>425.30000000000007</v>
      </c>
    </row>
    <row r="20" spans="1:17" x14ac:dyDescent="0.4">
      <c r="A20" s="51" t="s">
        <v>13</v>
      </c>
      <c r="B20" s="44">
        <v>100</v>
      </c>
      <c r="C20" s="37">
        <f>IF(B$3=0,0,B20/B$3)</f>
        <v>0.13869625520110956</v>
      </c>
      <c r="E20" s="59" t="s">
        <v>88</v>
      </c>
      <c r="F20" s="56" t="s">
        <v>43</v>
      </c>
      <c r="G20" s="44">
        <v>2</v>
      </c>
      <c r="H20" s="129">
        <f>IF(B$17=0,0,G20/B$17)</f>
        <v>8.4388185654008432E-3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92</v>
      </c>
      <c r="F21" s="56" t="s">
        <v>47</v>
      </c>
      <c r="G21" s="44">
        <v>2</v>
      </c>
      <c r="H21" s="129">
        <f>IF(B$17=0,0,G21/B$17)</f>
        <v>8.4388185654008432E-3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-12.905000000000001</v>
      </c>
      <c r="P21" s="115">
        <v>20</v>
      </c>
      <c r="Q21" s="103">
        <v>-258.10000000000002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1</v>
      </c>
      <c r="H22" s="129">
        <f>IF(B$17=0,0,G22/B$17)</f>
        <v>4.2194092827004216E-3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7735.4430379746836</v>
      </c>
      <c r="C23" s="39">
        <v>1833300</v>
      </c>
      <c r="E23" s="59" t="s">
        <v>79</v>
      </c>
      <c r="F23" s="56" t="s">
        <v>34</v>
      </c>
      <c r="G23" s="44">
        <v>1</v>
      </c>
      <c r="H23" s="129">
        <f>IF(B$17=0,0,G23/B$17)</f>
        <v>4.2194092827004216E-3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7696.8553459119494</v>
      </c>
      <c r="C24" s="137">
        <v>1223800</v>
      </c>
      <c r="E24" s="59" t="s">
        <v>81</v>
      </c>
      <c r="F24" s="56" t="s">
        <v>36</v>
      </c>
      <c r="G24" s="44">
        <v>1</v>
      </c>
      <c r="H24" s="129">
        <f>IF(B$17=0,0,G24/B$17)</f>
        <v>4.2194092827004216E-3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7814.1025641025644</v>
      </c>
      <c r="C25" s="137">
        <v>609500</v>
      </c>
      <c r="E25" s="59" t="s">
        <v>85</v>
      </c>
      <c r="F25" s="56" t="s">
        <v>40</v>
      </c>
      <c r="G25" s="44">
        <v>1</v>
      </c>
      <c r="H25" s="129">
        <f>IF(B$17=0,0,G25/B$17)</f>
        <v>4.2194092827004216E-3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-7715</v>
      </c>
      <c r="C26" s="137">
        <v>-771500</v>
      </c>
      <c r="E26" s="59" t="s">
        <v>90</v>
      </c>
      <c r="F26" s="56" t="s">
        <v>45</v>
      </c>
      <c r="G26" s="44">
        <v>1</v>
      </c>
      <c r="H26" s="129">
        <f>IF(B$17=0,0,G26/B$17)</f>
        <v>4.2194092827004216E-3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4.2194092827004216E-3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4.2194092827004216E-3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1.3869625520110957E-3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8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83</v>
      </c>
      <c r="C2" s="149"/>
      <c r="E2" s="58" t="s">
        <v>66</v>
      </c>
      <c r="F2" s="55" t="s">
        <v>22</v>
      </c>
      <c r="G2" s="43">
        <v>203</v>
      </c>
      <c r="H2" s="128">
        <f>IF(B$17=0,0,G2/B$17)</f>
        <v>0.9144144144144144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-1897.560975609756</v>
      </c>
      <c r="P2" s="114">
        <v>82</v>
      </c>
      <c r="Q2" s="98">
        <v>-155600</v>
      </c>
    </row>
    <row r="3" spans="1:17" x14ac:dyDescent="0.4">
      <c r="A3" s="51" t="s">
        <v>8</v>
      </c>
      <c r="B3" s="150">
        <v>707</v>
      </c>
      <c r="C3" s="151"/>
      <c r="E3" s="59" t="s">
        <v>72</v>
      </c>
      <c r="F3" s="56" t="s">
        <v>27</v>
      </c>
      <c r="G3" s="44">
        <v>119</v>
      </c>
      <c r="H3" s="129">
        <f>IF(B$17=0,0,G3/B$17)</f>
        <v>0.536036036036036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1463.75</v>
      </c>
      <c r="P3" s="115">
        <v>80</v>
      </c>
      <c r="Q3" s="99">
        <v>117100</v>
      </c>
    </row>
    <row r="4" spans="1:17" x14ac:dyDescent="0.4">
      <c r="A4" s="51" t="s">
        <v>6</v>
      </c>
      <c r="B4" s="152">
        <v>328.7999999999999</v>
      </c>
      <c r="C4" s="153"/>
      <c r="E4" s="59" t="s">
        <v>171</v>
      </c>
      <c r="F4" s="56" t="s">
        <v>172</v>
      </c>
      <c r="G4" s="44">
        <v>96</v>
      </c>
      <c r="H4" s="129">
        <f>IF(B$17=0,0,G4/B$17)</f>
        <v>0.43243243243243246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640.78947368421052</v>
      </c>
      <c r="P4" s="115">
        <v>76</v>
      </c>
      <c r="Q4" s="99">
        <v>48700</v>
      </c>
    </row>
    <row r="5" spans="1:17" x14ac:dyDescent="0.4">
      <c r="A5" s="51" t="s">
        <v>7</v>
      </c>
      <c r="B5" s="154">
        <f>IF(B$2=0,0,B$4/B$2)</f>
        <v>3.9614457831325289</v>
      </c>
      <c r="C5" s="155"/>
      <c r="E5" s="59" t="s">
        <v>64</v>
      </c>
      <c r="F5" s="56" t="s">
        <v>20</v>
      </c>
      <c r="G5" s="44">
        <v>90</v>
      </c>
      <c r="H5" s="129">
        <f>IF(B$17=0,0,G5/B$17)</f>
        <v>0.40540540540540543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2302.7777777777778</v>
      </c>
      <c r="P5" s="115">
        <v>72</v>
      </c>
      <c r="Q5" s="99">
        <v>165800</v>
      </c>
    </row>
    <row r="6" spans="1:17" x14ac:dyDescent="0.4">
      <c r="A6" s="51" t="s">
        <v>1</v>
      </c>
      <c r="B6" s="144">
        <f>IF(B$2=0,0,(B$7*1+B$8*2+B$9*3)/B$2)</f>
        <v>1.8915662650602409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0.27927927927927926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-35.294117647058826</v>
      </c>
      <c r="P6" s="115">
        <v>68</v>
      </c>
      <c r="Q6" s="99">
        <v>-2400</v>
      </c>
    </row>
    <row r="7" spans="1:17" x14ac:dyDescent="0.4">
      <c r="A7" s="51" t="s">
        <v>2</v>
      </c>
      <c r="B7" s="44">
        <v>33</v>
      </c>
      <c r="C7" s="37">
        <f t="shared" ref="C7:C12" si="1">IF(B$2=0,0,B7/B$2)</f>
        <v>0.39759036144578314</v>
      </c>
      <c r="E7" s="59" t="s">
        <v>67</v>
      </c>
      <c r="F7" s="56" t="s">
        <v>23</v>
      </c>
      <c r="G7" s="44">
        <v>52</v>
      </c>
      <c r="H7" s="129">
        <f>IF(B$17=0,0,G7/B$17)</f>
        <v>0.23423423423423423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1667.2413793103449</v>
      </c>
      <c r="P7" s="116">
        <v>58</v>
      </c>
      <c r="Q7" s="100">
        <v>96700</v>
      </c>
    </row>
    <row r="8" spans="1:17" x14ac:dyDescent="0.4">
      <c r="A8" s="51" t="s">
        <v>3</v>
      </c>
      <c r="B8" s="44">
        <v>26</v>
      </c>
      <c r="C8" s="37">
        <f t="shared" si="1"/>
        <v>0.31325301204819278</v>
      </c>
      <c r="E8" s="59" t="s">
        <v>69</v>
      </c>
      <c r="F8" s="56" t="s">
        <v>24</v>
      </c>
      <c r="G8" s="44">
        <v>28</v>
      </c>
      <c r="H8" s="129">
        <f>IF(B$17=0,0,G8/B$17)</f>
        <v>0.12612612612612611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0.28915662650602408</v>
      </c>
      <c r="E9" s="59" t="s">
        <v>89</v>
      </c>
      <c r="F9" s="56" t="s">
        <v>44</v>
      </c>
      <c r="G9" s="44">
        <v>26</v>
      </c>
      <c r="H9" s="129">
        <f>IF(B$17=0,0,G9/B$17)</f>
        <v>0.11711711711711711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0.13253012048192772</v>
      </c>
      <c r="E10" s="59" t="s">
        <v>65</v>
      </c>
      <c r="F10" s="56" t="s">
        <v>21</v>
      </c>
      <c r="G10" s="44">
        <v>21</v>
      </c>
      <c r="H10" s="129">
        <f>IF(B$17=0,0,G10/B$17)</f>
        <v>9.45945945945946E-2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6.4800000000000013</v>
      </c>
      <c r="P10" s="114">
        <v>20</v>
      </c>
      <c r="Q10" s="102">
        <v>129.60000000000002</v>
      </c>
    </row>
    <row r="11" spans="1:17" x14ac:dyDescent="0.4">
      <c r="A11" s="52" t="s">
        <v>138</v>
      </c>
      <c r="B11" s="45">
        <v>8</v>
      </c>
      <c r="C11" s="38">
        <f t="shared" si="1"/>
        <v>9.6385542168674704E-2</v>
      </c>
      <c r="E11" s="59" t="s">
        <v>71</v>
      </c>
      <c r="F11" s="56" t="s">
        <v>26</v>
      </c>
      <c r="G11" s="44">
        <v>20</v>
      </c>
      <c r="H11" s="129">
        <f>IF(B$17=0,0,G11/B$17)</f>
        <v>9.0090090090090086E-2</v>
      </c>
      <c r="I11" s="90">
        <v>4</v>
      </c>
      <c r="K11" s="36">
        <v>9</v>
      </c>
      <c r="L11" s="95">
        <v>-83.699999999999989</v>
      </c>
      <c r="N11" s="111" t="s">
        <v>163</v>
      </c>
      <c r="O11" s="121">
        <f>IF(P11=0,0,Q11/P11)</f>
        <v>5.541666666666667</v>
      </c>
      <c r="P11" s="115">
        <v>24</v>
      </c>
      <c r="Q11" s="103">
        <v>133</v>
      </c>
    </row>
    <row r="12" spans="1:17" x14ac:dyDescent="0.4">
      <c r="A12" s="53" t="s">
        <v>158</v>
      </c>
      <c r="B12" s="46">
        <v>17</v>
      </c>
      <c r="C12" s="40">
        <f t="shared" si="1"/>
        <v>0.20481927710843373</v>
      </c>
      <c r="E12" s="59" t="s">
        <v>70</v>
      </c>
      <c r="F12" s="56" t="s">
        <v>25</v>
      </c>
      <c r="G12" s="44">
        <v>18</v>
      </c>
      <c r="H12" s="129">
        <f>IF(B$17=0,0,G12/B$17)</f>
        <v>8.1081081081081086E-2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1.6974358974358965</v>
      </c>
      <c r="P12" s="116">
        <v>39</v>
      </c>
      <c r="Q12" s="104">
        <v>66.19999999999996</v>
      </c>
    </row>
    <row r="13" spans="1:17" x14ac:dyDescent="0.4">
      <c r="A13" s="54" t="s">
        <v>121</v>
      </c>
      <c r="B13" s="47">
        <v>162</v>
      </c>
      <c r="C13" s="42">
        <f>IF(B$3=0,0,B13/B$3)</f>
        <v>0.22913719943422914</v>
      </c>
      <c r="E13" s="59" t="s">
        <v>86</v>
      </c>
      <c r="F13" s="56" t="s">
        <v>41</v>
      </c>
      <c r="G13" s="44">
        <v>16</v>
      </c>
      <c r="H13" s="129">
        <f>IF(B$17=0,0,G13/B$17)</f>
        <v>7.2072072072072071E-2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215</v>
      </c>
      <c r="C14" s="37">
        <f>IF(B$3=0,0,B14/B$3)</f>
        <v>0.30410183875530411</v>
      </c>
      <c r="E14" s="59" t="s">
        <v>83</v>
      </c>
      <c r="F14" s="56" t="s">
        <v>38</v>
      </c>
      <c r="G14" s="44">
        <v>11</v>
      </c>
      <c r="H14" s="129">
        <f>IF(B$17=0,0,G14/B$17)</f>
        <v>4.954954954954955E-2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0.53703703703703709</v>
      </c>
      <c r="E15" s="59" t="s">
        <v>91</v>
      </c>
      <c r="F15" s="56" t="s">
        <v>46</v>
      </c>
      <c r="G15" s="44">
        <v>8</v>
      </c>
      <c r="H15" s="129">
        <f>IF(B$17=0,0,G15/B$17)</f>
        <v>3.6036036036036036E-2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81</v>
      </c>
      <c r="C16" s="35">
        <f>IF(B$14=0,0,B16/B$14)</f>
        <v>0.37674418604651161</v>
      </c>
      <c r="E16" s="59" t="s">
        <v>78</v>
      </c>
      <c r="F16" s="56" t="s">
        <v>33</v>
      </c>
      <c r="G16" s="44">
        <v>7</v>
      </c>
      <c r="H16" s="129">
        <f>IF(B$17=0,0,G16/B$17)</f>
        <v>3.1531531531531529E-2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 t="shared" si="2"/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222</v>
      </c>
      <c r="C17" s="35">
        <f>IF(B$3=0,0,B17/B$3)</f>
        <v>0.31400282885431402</v>
      </c>
      <c r="E17" s="59" t="s">
        <v>79</v>
      </c>
      <c r="F17" s="56" t="s">
        <v>34</v>
      </c>
      <c r="G17" s="44">
        <v>5</v>
      </c>
      <c r="H17" s="129">
        <f>IF(B$17=0,0,G17/B$17)</f>
        <v>2.2522522522522521E-2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87</v>
      </c>
      <c r="C18" s="37">
        <f>IF(B$17=0,0,B18/B$17)</f>
        <v>0.39189189189189189</v>
      </c>
      <c r="E18" s="59" t="s">
        <v>81</v>
      </c>
      <c r="F18" s="56" t="s">
        <v>36</v>
      </c>
      <c r="G18" s="44">
        <v>5</v>
      </c>
      <c r="H18" s="129">
        <f>IF(B$17=0,0,G18/B$17)</f>
        <v>2.2522522522522521E-2</v>
      </c>
      <c r="I18" s="90">
        <v>5</v>
      </c>
      <c r="K18" s="36">
        <v>16</v>
      </c>
      <c r="L18" s="95">
        <v>-187.3</v>
      </c>
      <c r="N18" s="111" t="s">
        <v>177</v>
      </c>
      <c r="O18" s="121">
        <f t="shared" si="2"/>
        <v>12.182608695652181</v>
      </c>
      <c r="P18" s="115">
        <v>23</v>
      </c>
      <c r="Q18" s="103">
        <v>280.20000000000016</v>
      </c>
    </row>
    <row r="19" spans="1:17" x14ac:dyDescent="0.4">
      <c r="A19" s="51" t="s">
        <v>11</v>
      </c>
      <c r="B19" s="44">
        <v>135</v>
      </c>
      <c r="C19" s="37">
        <f>IF(B$17=0,0,B19/B$17)</f>
        <v>0.60810810810810811</v>
      </c>
      <c r="E19" s="59" t="s">
        <v>74</v>
      </c>
      <c r="F19" s="56" t="s">
        <v>29</v>
      </c>
      <c r="G19" s="44">
        <v>2</v>
      </c>
      <c r="H19" s="129">
        <f>IF(B$17=0,0,G19/B$17)</f>
        <v>9.0090090090090089E-3</v>
      </c>
      <c r="I19" s="90">
        <v>3</v>
      </c>
      <c r="K19" s="36">
        <v>17</v>
      </c>
      <c r="L19" s="95">
        <v>-179.70000000000002</v>
      </c>
      <c r="N19" s="111" t="s">
        <v>179</v>
      </c>
      <c r="O19" s="121">
        <f t="shared" si="2"/>
        <v>10.948148148148144</v>
      </c>
      <c r="P19" s="115">
        <v>27</v>
      </c>
      <c r="Q19" s="103">
        <v>295.59999999999991</v>
      </c>
    </row>
    <row r="20" spans="1:17" x14ac:dyDescent="0.4">
      <c r="A20" s="51" t="s">
        <v>13</v>
      </c>
      <c r="B20" s="44">
        <v>138</v>
      </c>
      <c r="C20" s="37">
        <f>IF(B$3=0,0,B20/B$3)</f>
        <v>0.19519094766619519</v>
      </c>
      <c r="E20" s="59" t="s">
        <v>84</v>
      </c>
      <c r="F20" s="56" t="s">
        <v>39</v>
      </c>
      <c r="G20" s="44">
        <v>1</v>
      </c>
      <c r="H20" s="129">
        <f>IF(B$17=0,0,G20/B$17)</f>
        <v>4.5045045045045045E-3</v>
      </c>
      <c r="I20" s="90">
        <v>2</v>
      </c>
      <c r="K20" s="36">
        <v>18</v>
      </c>
      <c r="L20" s="95">
        <v>-112.90000000000002</v>
      </c>
      <c r="N20" s="111" t="s">
        <v>178</v>
      </c>
      <c r="O20" s="121">
        <f t="shared" si="2"/>
        <v>7.1481481481481532</v>
      </c>
      <c r="P20" s="115">
        <v>27</v>
      </c>
      <c r="Q20" s="103">
        <v>193.00000000000014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4.5045045045045045E-3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 t="shared" si="2"/>
        <v>4.1099999999999977</v>
      </c>
      <c r="P21" s="115">
        <v>20</v>
      </c>
      <c r="Q21" s="103">
        <v>82.19999999999996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95</v>
      </c>
      <c r="F22" s="56" t="s">
        <v>50</v>
      </c>
      <c r="G22" s="44">
        <v>1</v>
      </c>
      <c r="H22" s="129">
        <f>IF(B$17=0,0,G22/B$17)</f>
        <v>4.5045045045045045E-3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 t="shared" si="2"/>
        <v>-7.7327272727272733</v>
      </c>
      <c r="P22" s="115">
        <v>55</v>
      </c>
      <c r="Q22" s="103">
        <v>-425.3</v>
      </c>
    </row>
    <row r="23" spans="1:17" x14ac:dyDescent="0.4">
      <c r="A23" s="51" t="s">
        <v>5</v>
      </c>
      <c r="B23" s="48">
        <f>IF(B$17=0,0,C23/B$17)</f>
        <v>8703.6036036036039</v>
      </c>
      <c r="C23" s="39">
        <v>1932200</v>
      </c>
      <c r="E23" s="59" t="s">
        <v>167</v>
      </c>
      <c r="F23" s="56" t="s">
        <v>168</v>
      </c>
      <c r="G23" s="44">
        <v>1</v>
      </c>
      <c r="H23" s="129">
        <f>IF(B$17=0,0,G23/B$17)</f>
        <v>4.5045045045045045E-3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9032.6241134751781</v>
      </c>
      <c r="C24" s="137">
        <v>1273600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8130.8641975308637</v>
      </c>
      <c r="C25" s="137">
        <v>658600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-7707.246376811594</v>
      </c>
      <c r="C26" s="137">
        <v>-1063600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4.2432814710042432E-3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</sheetData>
  <sortState xmlns:xlrd2="http://schemas.microsoft.com/office/spreadsheetml/2017/richdata2" ref="E2:I8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5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</v>
      </c>
      <c r="C2" s="149"/>
      <c r="E2" s="58" t="s">
        <v>66</v>
      </c>
      <c r="F2" s="55" t="s">
        <v>22</v>
      </c>
      <c r="G2" s="43">
        <v>101</v>
      </c>
      <c r="H2" s="128">
        <f>IF(B$17=0,0,G2/B$17)</f>
        <v>0.74264705882352944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-512.5</v>
      </c>
      <c r="P2" s="114">
        <v>56</v>
      </c>
      <c r="Q2" s="98">
        <v>-28700</v>
      </c>
    </row>
    <row r="3" spans="1:17" x14ac:dyDescent="0.4">
      <c r="A3" s="51" t="s">
        <v>8</v>
      </c>
      <c r="B3" s="150">
        <v>480</v>
      </c>
      <c r="C3" s="151"/>
      <c r="E3" s="59" t="s">
        <v>64</v>
      </c>
      <c r="F3" s="56" t="s">
        <v>20</v>
      </c>
      <c r="G3" s="44">
        <v>81</v>
      </c>
      <c r="H3" s="129">
        <f>IF(B$17=0,0,G3/B$17)</f>
        <v>0.59558823529411764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-382.14285714285717</v>
      </c>
      <c r="P3" s="115">
        <v>56</v>
      </c>
      <c r="Q3" s="99">
        <v>-21400</v>
      </c>
    </row>
    <row r="4" spans="1:17" x14ac:dyDescent="0.4">
      <c r="A4" s="51" t="s">
        <v>6</v>
      </c>
      <c r="B4" s="152">
        <v>-376.49999999999994</v>
      </c>
      <c r="C4" s="153"/>
      <c r="E4" s="59" t="s">
        <v>72</v>
      </c>
      <c r="F4" s="56" t="s">
        <v>27</v>
      </c>
      <c r="G4" s="44">
        <v>69</v>
      </c>
      <c r="H4" s="129">
        <f>IF(B$17=0,0,G4/B$17)</f>
        <v>0.50735294117647056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1120.7547169811321</v>
      </c>
      <c r="P4" s="115">
        <v>53</v>
      </c>
      <c r="Q4" s="99">
        <v>59400</v>
      </c>
    </row>
    <row r="5" spans="1:17" x14ac:dyDescent="0.4">
      <c r="A5" s="51" t="s">
        <v>7</v>
      </c>
      <c r="B5" s="154">
        <f>IF(B$2=0,0,B$4/B$2)</f>
        <v>-6.6052631578947363</v>
      </c>
      <c r="C5" s="155"/>
      <c r="E5" s="59" t="s">
        <v>171</v>
      </c>
      <c r="F5" s="56" t="s">
        <v>172</v>
      </c>
      <c r="G5" s="44">
        <v>54</v>
      </c>
      <c r="H5" s="129">
        <f>IF(B$17=0,0,G5/B$17)</f>
        <v>0.39705882352941174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-1419.2307692307693</v>
      </c>
      <c r="P5" s="115">
        <v>52</v>
      </c>
      <c r="Q5" s="99">
        <v>-73800</v>
      </c>
    </row>
    <row r="6" spans="1:17" x14ac:dyDescent="0.4">
      <c r="A6" s="51" t="s">
        <v>1</v>
      </c>
      <c r="B6" s="144">
        <f>IF(B$2=0,0,(B$7*1+B$8*2+B$9*3)/B$2)</f>
        <v>2.1754385964912282</v>
      </c>
      <c r="C6" s="145"/>
      <c r="E6" s="59" t="s">
        <v>68</v>
      </c>
      <c r="F6" s="56" t="s">
        <v>12</v>
      </c>
      <c r="G6" s="44">
        <v>49</v>
      </c>
      <c r="H6" s="129">
        <f>IF(B$17=0,0,G6/B$17)</f>
        <v>0.36029411764705882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-3500</v>
      </c>
      <c r="P6" s="115">
        <v>50</v>
      </c>
      <c r="Q6" s="99">
        <v>-175000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0.21052631578947367</v>
      </c>
      <c r="E7" s="59" t="s">
        <v>67</v>
      </c>
      <c r="F7" s="56" t="s">
        <v>23</v>
      </c>
      <c r="G7" s="44">
        <v>45</v>
      </c>
      <c r="H7" s="129">
        <f>IF(B$17=0,0,G7/B$17)</f>
        <v>0.33088235294117646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-1368.1818181818182</v>
      </c>
      <c r="P7" s="116">
        <v>44</v>
      </c>
      <c r="Q7" s="100">
        <v>-60200</v>
      </c>
    </row>
    <row r="8" spans="1:17" x14ac:dyDescent="0.4">
      <c r="A8" s="51" t="s">
        <v>3</v>
      </c>
      <c r="B8" s="44">
        <v>23</v>
      </c>
      <c r="C8" s="37">
        <f t="shared" si="1"/>
        <v>0.40350877192982454</v>
      </c>
      <c r="E8" s="59" t="s">
        <v>70</v>
      </c>
      <c r="F8" s="56" t="s">
        <v>25</v>
      </c>
      <c r="G8" s="44">
        <v>22</v>
      </c>
      <c r="H8" s="129">
        <f>IF(B$17=0,0,G8/B$17)</f>
        <v>0.16176470588235295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0.38596491228070173</v>
      </c>
      <c r="E9" s="59" t="s">
        <v>69</v>
      </c>
      <c r="F9" s="56" t="s">
        <v>24</v>
      </c>
      <c r="G9" s="44">
        <v>20</v>
      </c>
      <c r="H9" s="129">
        <f>IF(B$17=0,0,G9/B$17)</f>
        <v>0.14705882352941177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7.0175438596491224E-2</v>
      </c>
      <c r="E10" s="59" t="s">
        <v>65</v>
      </c>
      <c r="F10" s="56" t="s">
        <v>21</v>
      </c>
      <c r="G10" s="44">
        <v>14</v>
      </c>
      <c r="H10" s="129">
        <f>IF(B$17=0,0,G10/B$17)</f>
        <v>0.10294117647058823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-1.6545454545454559</v>
      </c>
      <c r="P10" s="114">
        <v>22</v>
      </c>
      <c r="Q10" s="102">
        <v>-36.400000000000027</v>
      </c>
    </row>
    <row r="11" spans="1:17" x14ac:dyDescent="0.4">
      <c r="A11" s="52" t="s">
        <v>138</v>
      </c>
      <c r="B11" s="45">
        <v>2</v>
      </c>
      <c r="C11" s="38">
        <f t="shared" si="1"/>
        <v>3.5087719298245612E-2</v>
      </c>
      <c r="E11" s="59" t="s">
        <v>89</v>
      </c>
      <c r="F11" s="56" t="s">
        <v>44</v>
      </c>
      <c r="G11" s="44">
        <v>13</v>
      </c>
      <c r="H11" s="129">
        <f>IF(B$17=0,0,G11/B$17)</f>
        <v>9.5588235294117641E-2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-7.8368421052631581</v>
      </c>
      <c r="P11" s="115">
        <v>19</v>
      </c>
      <c r="Q11" s="103">
        <v>-148.9</v>
      </c>
    </row>
    <row r="12" spans="1:17" x14ac:dyDescent="0.4">
      <c r="A12" s="53" t="s">
        <v>158</v>
      </c>
      <c r="B12" s="46">
        <v>5</v>
      </c>
      <c r="C12" s="40">
        <f t="shared" si="1"/>
        <v>8.771929824561403E-2</v>
      </c>
      <c r="E12" s="59" t="s">
        <v>83</v>
      </c>
      <c r="F12" s="56" t="s">
        <v>38</v>
      </c>
      <c r="G12" s="44">
        <v>8</v>
      </c>
      <c r="H12" s="129">
        <f>IF(B$17=0,0,G12/B$17)</f>
        <v>5.8823529411764705E-2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-11.95</v>
      </c>
      <c r="P12" s="116">
        <v>16</v>
      </c>
      <c r="Q12" s="104">
        <v>-191.2</v>
      </c>
    </row>
    <row r="13" spans="1:17" x14ac:dyDescent="0.4">
      <c r="A13" s="54" t="s">
        <v>121</v>
      </c>
      <c r="B13" s="47">
        <v>137</v>
      </c>
      <c r="C13" s="42">
        <f>IF(B$3=0,0,B13/B$3)</f>
        <v>0.28541666666666665</v>
      </c>
      <c r="E13" s="59" t="s">
        <v>71</v>
      </c>
      <c r="F13" s="56" t="s">
        <v>26</v>
      </c>
      <c r="G13" s="44">
        <v>6</v>
      </c>
      <c r="H13" s="129">
        <f>IF(B$17=0,0,G13/B$17)</f>
        <v>4.4117647058823532E-2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88</v>
      </c>
      <c r="C14" s="37">
        <f>IF(B$3=0,0,B14/B$3)</f>
        <v>0.18333333333333332</v>
      </c>
      <c r="E14" s="59" t="s">
        <v>78</v>
      </c>
      <c r="F14" s="56" t="s">
        <v>33</v>
      </c>
      <c r="G14" s="44">
        <v>6</v>
      </c>
      <c r="H14" s="129">
        <f>IF(B$17=0,0,G14/B$17)</f>
        <v>4.4117647058823532E-2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84</v>
      </c>
      <c r="C15" s="35">
        <f>IF(B$13=0,0,B15/B$13)</f>
        <v>0.61313868613138689</v>
      </c>
      <c r="E15" s="59" t="s">
        <v>86</v>
      </c>
      <c r="F15" s="56" t="s">
        <v>41</v>
      </c>
      <c r="G15" s="44">
        <v>4</v>
      </c>
      <c r="H15" s="129">
        <f>IF(B$17=0,0,G15/B$17)</f>
        <v>2.9411764705882353E-2</v>
      </c>
      <c r="I15" s="90">
        <v>8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34</v>
      </c>
      <c r="C16" s="35">
        <f>IF(B$14=0,0,B16/B$14)</f>
        <v>0.38636363636363635</v>
      </c>
      <c r="E16" s="59" t="s">
        <v>81</v>
      </c>
      <c r="F16" s="56" t="s">
        <v>36</v>
      </c>
      <c r="G16" s="44">
        <v>3</v>
      </c>
      <c r="H16" s="129">
        <f>IF(B$17=0,0,G16/B$17)</f>
        <v>2.2058823529411766E-2</v>
      </c>
      <c r="I16" s="90">
        <v>6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136</v>
      </c>
      <c r="C17" s="35">
        <f>IF(B$3=0,0,B17/B$3)</f>
        <v>0.28333333333333333</v>
      </c>
      <c r="E17" s="59" t="s">
        <v>167</v>
      </c>
      <c r="F17" s="56" t="s">
        <v>168</v>
      </c>
      <c r="G17" s="44">
        <v>3</v>
      </c>
      <c r="H17" s="129">
        <f>IF(B$17=0,0,G17/B$17)</f>
        <v>2.2058823529411766E-2</v>
      </c>
      <c r="I17" s="90">
        <v>6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64</v>
      </c>
      <c r="C18" s="37">
        <f>IF(B$17=0,0,B18/B$17)</f>
        <v>0.47058823529411764</v>
      </c>
      <c r="E18" s="59" t="s">
        <v>75</v>
      </c>
      <c r="F18" s="56" t="s">
        <v>30</v>
      </c>
      <c r="G18" s="44">
        <v>2</v>
      </c>
      <c r="H18" s="129">
        <f>IF(B$17=0,0,G18/B$17)</f>
        <v>1.4705882352941176E-2</v>
      </c>
      <c r="I18" s="90">
        <v>2</v>
      </c>
      <c r="K18" s="36">
        <v>16</v>
      </c>
      <c r="L18" s="95">
        <v>-224.3</v>
      </c>
      <c r="N18" s="111" t="s">
        <v>127</v>
      </c>
      <c r="O18" s="121">
        <f t="shared" si="2"/>
        <v>-10.948148148148144</v>
      </c>
      <c r="P18" s="115">
        <v>27</v>
      </c>
      <c r="Q18" s="103">
        <v>-295.59999999999991</v>
      </c>
    </row>
    <row r="19" spans="1:17" x14ac:dyDescent="0.4">
      <c r="A19" s="51" t="s">
        <v>11</v>
      </c>
      <c r="B19" s="44">
        <v>72</v>
      </c>
      <c r="C19" s="37">
        <f>IF(B$17=0,0,B19/B$17)</f>
        <v>0.52941176470588236</v>
      </c>
      <c r="E19" s="59" t="s">
        <v>79</v>
      </c>
      <c r="F19" s="56" t="s">
        <v>34</v>
      </c>
      <c r="G19" s="44">
        <v>2</v>
      </c>
      <c r="H19" s="129">
        <f>IF(B$17=0,0,G19/B$17)</f>
        <v>1.4705882352941176E-2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2"/>
        <v>-12.288888888888891</v>
      </c>
      <c r="P19" s="115">
        <v>18</v>
      </c>
      <c r="Q19" s="103">
        <v>-221.20000000000005</v>
      </c>
    </row>
    <row r="20" spans="1:17" x14ac:dyDescent="0.4">
      <c r="A20" s="51" t="s">
        <v>13</v>
      </c>
      <c r="B20" s="44">
        <v>100</v>
      </c>
      <c r="C20" s="37">
        <f>IF(B$3=0,0,B20/B$3)</f>
        <v>0.20833333333333334</v>
      </c>
      <c r="E20" s="59" t="s">
        <v>91</v>
      </c>
      <c r="F20" s="56" t="s">
        <v>46</v>
      </c>
      <c r="G20" s="44">
        <v>1</v>
      </c>
      <c r="H20" s="129">
        <f>IF(B$17=0,0,G20/B$17)</f>
        <v>7.3529411764705881E-3</v>
      </c>
      <c r="I20" s="90">
        <v>5</v>
      </c>
      <c r="K20" s="36">
        <v>18</v>
      </c>
      <c r="L20" s="95">
        <v>-240</v>
      </c>
      <c r="N20" s="111" t="s">
        <v>177</v>
      </c>
      <c r="O20" s="121">
        <f t="shared" si="2"/>
        <v>-12.462499999999999</v>
      </c>
      <c r="P20" s="115">
        <v>8</v>
      </c>
      <c r="Q20" s="103">
        <v>-99.699999999999989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126</v>
      </c>
      <c r="O21" s="121">
        <f t="shared" si="2"/>
        <v>-15.389743589743594</v>
      </c>
      <c r="P21" s="115">
        <v>39</v>
      </c>
      <c r="Q21" s="103">
        <v>-600.20000000000016</v>
      </c>
    </row>
    <row r="22" spans="1:17" x14ac:dyDescent="0.4">
      <c r="A22" s="51" t="s">
        <v>170</v>
      </c>
      <c r="B22" s="44">
        <v>21</v>
      </c>
      <c r="C22" s="131">
        <v>1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8029.411764705882</v>
      </c>
      <c r="C23" s="39">
        <v>1092000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8585.2941176470595</v>
      </c>
      <c r="C24" s="137">
        <v>875700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6361.7647058823532</v>
      </c>
      <c r="C25" s="137">
        <v>216300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-7629</v>
      </c>
      <c r="C26" s="137">
        <v>-762900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4.1666666666666666E-3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</sheetData>
  <sortState xmlns:xlrd2="http://schemas.microsoft.com/office/spreadsheetml/2017/richdata2" ref="E2:I6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48</v>
      </c>
      <c r="C2" s="149"/>
      <c r="E2" s="58" t="s">
        <v>66</v>
      </c>
      <c r="F2" s="55" t="s">
        <v>22</v>
      </c>
      <c r="G2" s="43">
        <v>107</v>
      </c>
      <c r="H2" s="128">
        <f>IF(B$17=0,0,G2/B$17)</f>
        <v>0.93043478260869561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2889.5833333333335</v>
      </c>
      <c r="P2" s="114">
        <v>48</v>
      </c>
      <c r="Q2" s="98">
        <v>138700</v>
      </c>
    </row>
    <row r="3" spans="1:17" x14ac:dyDescent="0.4">
      <c r="A3" s="51" t="s">
        <v>8</v>
      </c>
      <c r="B3" s="150">
        <v>389</v>
      </c>
      <c r="C3" s="151"/>
      <c r="E3" s="59" t="s">
        <v>72</v>
      </c>
      <c r="F3" s="56" t="s">
        <v>27</v>
      </c>
      <c r="G3" s="44">
        <v>66</v>
      </c>
      <c r="H3" s="129">
        <f>IF(B$17=0,0,G3/B$17)</f>
        <v>0.57391304347826089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-2732.608695652174</v>
      </c>
      <c r="P3" s="115">
        <v>46</v>
      </c>
      <c r="Q3" s="99">
        <v>-125700</v>
      </c>
    </row>
    <row r="4" spans="1:17" x14ac:dyDescent="0.4">
      <c r="A4" s="51" t="s">
        <v>6</v>
      </c>
      <c r="B4" s="152">
        <v>269.00000000000006</v>
      </c>
      <c r="C4" s="153"/>
      <c r="E4" s="59" t="s">
        <v>64</v>
      </c>
      <c r="F4" s="56" t="s">
        <v>20</v>
      </c>
      <c r="G4" s="44">
        <v>59</v>
      </c>
      <c r="H4" s="129">
        <f>IF(B$17=0,0,G4/B$17)</f>
        <v>0.5130434782608696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2290.6976744186045</v>
      </c>
      <c r="P4" s="115">
        <v>43</v>
      </c>
      <c r="Q4" s="99">
        <v>98500</v>
      </c>
    </row>
    <row r="5" spans="1:17" x14ac:dyDescent="0.4">
      <c r="A5" s="51" t="s">
        <v>7</v>
      </c>
      <c r="B5" s="154">
        <f>IF(B$2=0,0,B$4/B$2)</f>
        <v>5.6041666666666679</v>
      </c>
      <c r="C5" s="155"/>
      <c r="E5" s="59" t="s">
        <v>67</v>
      </c>
      <c r="F5" s="56" t="s">
        <v>23</v>
      </c>
      <c r="G5" s="44">
        <v>52</v>
      </c>
      <c r="H5" s="129">
        <f>IF(B$17=0,0,G5/B$17)</f>
        <v>0.45217391304347826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3155</v>
      </c>
      <c r="P5" s="115">
        <v>40</v>
      </c>
      <c r="Q5" s="99">
        <v>126200</v>
      </c>
    </row>
    <row r="6" spans="1:17" x14ac:dyDescent="0.4">
      <c r="A6" s="51" t="s">
        <v>1</v>
      </c>
      <c r="B6" s="144">
        <f>IF(B$2=0,0,(B$7*1+B$8*2+B$9*3)/B$2)</f>
        <v>1.875</v>
      </c>
      <c r="C6" s="145"/>
      <c r="E6" s="59" t="s">
        <v>171</v>
      </c>
      <c r="F6" s="56" t="s">
        <v>172</v>
      </c>
      <c r="G6" s="44">
        <v>44</v>
      </c>
      <c r="H6" s="129">
        <f>IF(B$17=0,0,G6/B$17)</f>
        <v>0.38260869565217392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-905.40540540540542</v>
      </c>
      <c r="P6" s="115">
        <v>37</v>
      </c>
      <c r="Q6" s="99">
        <v>-33500</v>
      </c>
    </row>
    <row r="7" spans="1:17" x14ac:dyDescent="0.4">
      <c r="A7" s="51" t="s">
        <v>2</v>
      </c>
      <c r="B7" s="44">
        <v>21</v>
      </c>
      <c r="C7" s="37">
        <f t="shared" ref="C7:C12" si="1">IF(B$2=0,0,B7/B$2)</f>
        <v>0.4375</v>
      </c>
      <c r="E7" s="59" t="s">
        <v>68</v>
      </c>
      <c r="F7" s="56" t="s">
        <v>12</v>
      </c>
      <c r="G7" s="44">
        <v>42</v>
      </c>
      <c r="H7" s="129">
        <f>IF(B$17=0,0,G7/B$17)</f>
        <v>0.36521739130434783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-660</v>
      </c>
      <c r="P7" s="116">
        <v>30</v>
      </c>
      <c r="Q7" s="100">
        <v>-19800</v>
      </c>
    </row>
    <row r="8" spans="1:17" x14ac:dyDescent="0.4">
      <c r="A8" s="51" t="s">
        <v>3</v>
      </c>
      <c r="B8" s="44">
        <v>12</v>
      </c>
      <c r="C8" s="37">
        <f t="shared" si="1"/>
        <v>0.25</v>
      </c>
      <c r="E8" s="59" t="s">
        <v>89</v>
      </c>
      <c r="F8" s="56" t="s">
        <v>44</v>
      </c>
      <c r="G8" s="44">
        <v>27</v>
      </c>
      <c r="H8" s="129">
        <f>IF(B$17=0,0,G8/B$17)</f>
        <v>0.23478260869565218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0.3125</v>
      </c>
      <c r="E9" s="59" t="s">
        <v>69</v>
      </c>
      <c r="F9" s="56" t="s">
        <v>24</v>
      </c>
      <c r="G9" s="44">
        <v>25</v>
      </c>
      <c r="H9" s="129">
        <f>IF(B$17=0,0,G9/B$17)</f>
        <v>0.21739130434782608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0.10416666666666667</v>
      </c>
      <c r="E10" s="59" t="s">
        <v>65</v>
      </c>
      <c r="F10" s="56" t="s">
        <v>21</v>
      </c>
      <c r="G10" s="44">
        <v>14</v>
      </c>
      <c r="H10" s="129">
        <f>IF(B$17=0,0,G10/B$17)</f>
        <v>0.12173913043478261</v>
      </c>
      <c r="I10" s="90">
        <v>2</v>
      </c>
      <c r="K10" s="36">
        <v>8</v>
      </c>
      <c r="L10" s="95">
        <v>-110.19999999999999</v>
      </c>
      <c r="N10" s="110" t="s">
        <v>162</v>
      </c>
      <c r="O10" s="120">
        <f>IF(P10=0,0,Q10/P10)</f>
        <v>12.256250000000001</v>
      </c>
      <c r="P10" s="114">
        <v>16</v>
      </c>
      <c r="Q10" s="102">
        <v>196.10000000000002</v>
      </c>
    </row>
    <row r="11" spans="1:17" x14ac:dyDescent="0.4">
      <c r="A11" s="52" t="s">
        <v>138</v>
      </c>
      <c r="B11" s="45">
        <v>10</v>
      </c>
      <c r="C11" s="38">
        <f t="shared" si="1"/>
        <v>0.20833333333333334</v>
      </c>
      <c r="E11" s="59" t="s">
        <v>70</v>
      </c>
      <c r="F11" s="56" t="s">
        <v>25</v>
      </c>
      <c r="G11" s="44">
        <v>12</v>
      </c>
      <c r="H11" s="129">
        <f>IF(B$17=0,0,G11/B$17)</f>
        <v>0.10434782608695652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7.4849999999999994</v>
      </c>
      <c r="P11" s="115">
        <v>20</v>
      </c>
      <c r="Q11" s="103">
        <v>149.69999999999999</v>
      </c>
    </row>
    <row r="12" spans="1:17" x14ac:dyDescent="0.4">
      <c r="A12" s="53" t="s">
        <v>158</v>
      </c>
      <c r="B12" s="46">
        <v>4</v>
      </c>
      <c r="C12" s="40">
        <f t="shared" si="1"/>
        <v>8.3333333333333329E-2</v>
      </c>
      <c r="E12" s="59" t="s">
        <v>71</v>
      </c>
      <c r="F12" s="56" t="s">
        <v>26</v>
      </c>
      <c r="G12" s="44">
        <v>7</v>
      </c>
      <c r="H12" s="129">
        <f>IF(B$17=0,0,G12/B$17)</f>
        <v>6.0869565217391307E-2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-6.3999999999999995</v>
      </c>
      <c r="P12" s="116">
        <v>12</v>
      </c>
      <c r="Q12" s="104">
        <v>-76.8</v>
      </c>
    </row>
    <row r="13" spans="1:17" x14ac:dyDescent="0.4">
      <c r="A13" s="54" t="s">
        <v>121</v>
      </c>
      <c r="B13" s="47">
        <v>125</v>
      </c>
      <c r="C13" s="42">
        <f>IF(B$3=0,0,B13/B$3)</f>
        <v>0.32133676092544988</v>
      </c>
      <c r="E13" s="59" t="s">
        <v>167</v>
      </c>
      <c r="F13" s="56" t="s">
        <v>168</v>
      </c>
      <c r="G13" s="44">
        <v>7</v>
      </c>
      <c r="H13" s="129">
        <f>IF(B$17=0,0,G13/B$17)</f>
        <v>6.0869565217391307E-2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76</v>
      </c>
      <c r="C14" s="37">
        <f>IF(B$3=0,0,B14/B$3)</f>
        <v>0.19537275064267351</v>
      </c>
      <c r="E14" s="59" t="s">
        <v>83</v>
      </c>
      <c r="F14" s="56" t="s">
        <v>38</v>
      </c>
      <c r="G14" s="44">
        <v>6</v>
      </c>
      <c r="H14" s="129">
        <f>IF(B$17=0,0,G14/B$17)</f>
        <v>5.2173913043478258E-2</v>
      </c>
      <c r="I14" s="90">
        <v>7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66</v>
      </c>
      <c r="C15" s="35">
        <f>IF(B$13=0,0,B15/B$13)</f>
        <v>0.52800000000000002</v>
      </c>
      <c r="E15" s="59" t="s">
        <v>81</v>
      </c>
      <c r="F15" s="56" t="s">
        <v>36</v>
      </c>
      <c r="G15" s="44">
        <v>3</v>
      </c>
      <c r="H15" s="129">
        <f>IF(B$17=0,0,G15/B$17)</f>
        <v>2.6086956521739129E-2</v>
      </c>
      <c r="I15" s="90">
        <v>3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35</v>
      </c>
      <c r="C16" s="35">
        <f>IF(B$14=0,0,B16/B$14)</f>
        <v>0.46052631578947367</v>
      </c>
      <c r="E16" s="59" t="s">
        <v>86</v>
      </c>
      <c r="F16" s="56" t="s">
        <v>41</v>
      </c>
      <c r="G16" s="44">
        <v>3</v>
      </c>
      <c r="H16" s="129">
        <f>IF(B$17=0,0,G16/B$17)</f>
        <v>2.6086956521739129E-2</v>
      </c>
      <c r="I16" s="90">
        <v>9</v>
      </c>
      <c r="K16" s="36">
        <v>14</v>
      </c>
      <c r="L16" s="95">
        <v>-86.499999999999972</v>
      </c>
      <c r="N16" s="111" t="s">
        <v>166</v>
      </c>
      <c r="O16" s="121">
        <f>IF(P16=0,0,Q16/P16)</f>
        <v>29.560000000000002</v>
      </c>
      <c r="P16" s="115">
        <v>5</v>
      </c>
      <c r="Q16" s="103">
        <v>147.80000000000001</v>
      </c>
    </row>
    <row r="17" spans="1:17" x14ac:dyDescent="0.4">
      <c r="A17" s="50" t="s">
        <v>10</v>
      </c>
      <c r="B17" s="43">
        <f>B19+B18</f>
        <v>115</v>
      </c>
      <c r="C17" s="35">
        <f>IF(B$3=0,0,B17/B$3)</f>
        <v>0.29562982005141386</v>
      </c>
      <c r="E17" s="59" t="s">
        <v>92</v>
      </c>
      <c r="F17" s="56" t="s">
        <v>47</v>
      </c>
      <c r="G17" s="44">
        <v>3</v>
      </c>
      <c r="H17" s="129">
        <f>IF(B$17=0,0,G17/B$17)</f>
        <v>2.6086956521739129E-2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54</v>
      </c>
      <c r="C18" s="37">
        <f>IF(B$17=0,0,B18/B$17)</f>
        <v>0.46956521739130436</v>
      </c>
      <c r="E18" s="59" t="s">
        <v>91</v>
      </c>
      <c r="F18" s="56" t="s">
        <v>46</v>
      </c>
      <c r="G18" s="44">
        <v>2</v>
      </c>
      <c r="H18" s="129">
        <f>IF(B$17=0,0,G18/B$17)</f>
        <v>1.7391304347826087E-2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19.213043478260868</v>
      </c>
      <c r="P18" s="115">
        <v>23</v>
      </c>
      <c r="Q18" s="103">
        <v>441.9</v>
      </c>
    </row>
    <row r="19" spans="1:17" x14ac:dyDescent="0.4">
      <c r="A19" s="51" t="s">
        <v>11</v>
      </c>
      <c r="B19" s="44">
        <v>61</v>
      </c>
      <c r="C19" s="37">
        <f>IF(B$17=0,0,B19/B$17)</f>
        <v>0.5304347826086957</v>
      </c>
      <c r="E19" s="59" t="s">
        <v>75</v>
      </c>
      <c r="F19" s="56" t="s">
        <v>30</v>
      </c>
      <c r="G19" s="44">
        <v>1</v>
      </c>
      <c r="H19" s="129">
        <f>IF(B$17=0,0,G19/B$17)</f>
        <v>8.6956521739130436E-3</v>
      </c>
      <c r="I19" s="90">
        <v>4</v>
      </c>
      <c r="K19" s="36">
        <v>17</v>
      </c>
      <c r="L19" s="95">
        <v>-55.799999999999969</v>
      </c>
      <c r="N19" s="111" t="s">
        <v>126</v>
      </c>
      <c r="O19" s="121">
        <f>IF(P19=0,0,Q19/P19)</f>
        <v>12.904999999999998</v>
      </c>
      <c r="P19" s="115">
        <v>20</v>
      </c>
      <c r="Q19" s="103">
        <v>258.09999999999997</v>
      </c>
    </row>
    <row r="20" spans="1:17" x14ac:dyDescent="0.4">
      <c r="A20" s="51" t="s">
        <v>13</v>
      </c>
      <c r="B20" s="44">
        <v>61</v>
      </c>
      <c r="C20" s="37">
        <f>IF(B$3=0,0,B20/B$3)</f>
        <v>0.15681233933161953</v>
      </c>
      <c r="E20" s="59" t="s">
        <v>78</v>
      </c>
      <c r="F20" s="56" t="s">
        <v>33</v>
      </c>
      <c r="G20" s="44">
        <v>1</v>
      </c>
      <c r="H20" s="129">
        <f>IF(B$17=0,0,G20/B$17)</f>
        <v>8.6956521739130436E-3</v>
      </c>
      <c r="I20" s="90">
        <v>8</v>
      </c>
      <c r="K20" s="36">
        <v>18</v>
      </c>
      <c r="L20" s="95">
        <v>-24.999999999999968</v>
      </c>
      <c r="N20" s="111" t="s">
        <v>179</v>
      </c>
      <c r="O20" s="121">
        <f>IF(P20=0,0,Q20/P20)</f>
        <v>12.462499999999999</v>
      </c>
      <c r="P20" s="115">
        <v>8</v>
      </c>
      <c r="Q20" s="103">
        <v>99.699999999999989</v>
      </c>
    </row>
    <row r="21" spans="1:17" x14ac:dyDescent="0.4">
      <c r="A21" s="51" t="s">
        <v>169</v>
      </c>
      <c r="B21" s="44">
        <v>3</v>
      </c>
      <c r="C21" s="131">
        <v>3</v>
      </c>
      <c r="E21" s="59" t="s">
        <v>85</v>
      </c>
      <c r="F21" s="56" t="s">
        <v>40</v>
      </c>
      <c r="G21" s="44">
        <v>1</v>
      </c>
      <c r="H21" s="129">
        <f>IF(B$17=0,0,G21/B$17)</f>
        <v>8.6956521739130436E-3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>IF(P21=0,0,Q21/P21)</f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7</v>
      </c>
      <c r="E22" s="59" t="s">
        <v>90</v>
      </c>
      <c r="F22" s="56" t="s">
        <v>45</v>
      </c>
      <c r="G22" s="44">
        <v>1</v>
      </c>
      <c r="H22" s="129">
        <f>IF(B$17=0,0,G22/B$17)</f>
        <v>8.6956521739130436E-3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>IF(P22=0,0,Q22/P22)</f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10467.826086956522</v>
      </c>
      <c r="C23" s="39">
        <v>1203800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11551.25</v>
      </c>
      <c r="C24" s="137">
        <v>924100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7991.4285714285716</v>
      </c>
      <c r="C25" s="137">
        <v>279700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-8526.2295081967204</v>
      </c>
      <c r="C26" s="137">
        <v>-520100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7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68</v>
      </c>
      <c r="C2" s="149"/>
      <c r="E2" s="58" t="s">
        <v>66</v>
      </c>
      <c r="F2" s="55" t="s">
        <v>22</v>
      </c>
      <c r="G2" s="43">
        <v>124</v>
      </c>
      <c r="H2" s="128">
        <f>IF(B$17=0,0,G2/B$17)</f>
        <v>0.78980891719745228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1152.9411764705883</v>
      </c>
      <c r="P2" s="114">
        <v>68</v>
      </c>
      <c r="Q2" s="98">
        <v>78400</v>
      </c>
    </row>
    <row r="3" spans="1:17" x14ac:dyDescent="0.4">
      <c r="A3" s="51" t="s">
        <v>8</v>
      </c>
      <c r="B3" s="150">
        <v>552</v>
      </c>
      <c r="C3" s="151"/>
      <c r="E3" s="59" t="s">
        <v>72</v>
      </c>
      <c r="F3" s="56" t="s">
        <v>27</v>
      </c>
      <c r="G3" s="44">
        <v>102</v>
      </c>
      <c r="H3" s="129">
        <f>IF(B$17=0,0,G3/B$17)</f>
        <v>0.64968152866242035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1447.6923076923076</v>
      </c>
      <c r="P3" s="115">
        <v>65</v>
      </c>
      <c r="Q3" s="99">
        <v>94100</v>
      </c>
    </row>
    <row r="4" spans="1:17" x14ac:dyDescent="0.4">
      <c r="A4" s="51" t="s">
        <v>6</v>
      </c>
      <c r="B4" s="152">
        <v>-35.799999999999983</v>
      </c>
      <c r="C4" s="153"/>
      <c r="E4" s="59" t="s">
        <v>64</v>
      </c>
      <c r="F4" s="56" t="s">
        <v>20</v>
      </c>
      <c r="G4" s="44">
        <v>76</v>
      </c>
      <c r="H4" s="129">
        <f>IF(B$17=0,0,G4/B$17)</f>
        <v>0.48407643312101911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-1304.9180327868853</v>
      </c>
      <c r="P4" s="115">
        <v>61</v>
      </c>
      <c r="Q4" s="99">
        <v>-79600</v>
      </c>
    </row>
    <row r="5" spans="1:17" x14ac:dyDescent="0.4">
      <c r="A5" s="51" t="s">
        <v>7</v>
      </c>
      <c r="B5" s="154">
        <f>IF(B$2=0,0,B$4/B$2)</f>
        <v>-0.52647058823529391</v>
      </c>
      <c r="C5" s="155"/>
      <c r="E5" s="59" t="s">
        <v>171</v>
      </c>
      <c r="F5" s="56" t="s">
        <v>172</v>
      </c>
      <c r="G5" s="44">
        <v>70</v>
      </c>
      <c r="H5" s="129">
        <f>IF(B$17=0,0,G5/B$17)</f>
        <v>0.44585987261146498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425</v>
      </c>
      <c r="P5" s="115">
        <v>56</v>
      </c>
      <c r="Q5" s="99">
        <v>23800</v>
      </c>
    </row>
    <row r="6" spans="1:17" x14ac:dyDescent="0.4">
      <c r="A6" s="51" t="s">
        <v>1</v>
      </c>
      <c r="B6" s="144">
        <f>IF(B$2=0,0,(B$7*1+B$8*2+B$9*3)/B$2)</f>
        <v>2.0735294117647061</v>
      </c>
      <c r="C6" s="145"/>
      <c r="E6" s="59" t="s">
        <v>67</v>
      </c>
      <c r="F6" s="56" t="s">
        <v>23</v>
      </c>
      <c r="G6" s="44">
        <v>61</v>
      </c>
      <c r="H6" s="129">
        <f>IF(B$17=0,0,G6/B$17)</f>
        <v>0.38853503184713378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-872</v>
      </c>
      <c r="P6" s="115">
        <v>50</v>
      </c>
      <c r="Q6" s="99">
        <v>-43600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0.22058823529411764</v>
      </c>
      <c r="E7" s="59" t="s">
        <v>68</v>
      </c>
      <c r="F7" s="56" t="s">
        <v>12</v>
      </c>
      <c r="G7" s="44">
        <v>52</v>
      </c>
      <c r="H7" s="129">
        <f>IF(B$17=0,0,G7/B$17)</f>
        <v>0.33121019108280253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-1281.8181818181818</v>
      </c>
      <c r="P7" s="116">
        <v>44</v>
      </c>
      <c r="Q7" s="100">
        <v>-56400</v>
      </c>
    </row>
    <row r="8" spans="1:17" x14ac:dyDescent="0.4">
      <c r="A8" s="51" t="s">
        <v>3</v>
      </c>
      <c r="B8" s="44">
        <v>33</v>
      </c>
      <c r="C8" s="37">
        <f t="shared" si="1"/>
        <v>0.48529411764705882</v>
      </c>
      <c r="E8" s="59" t="s">
        <v>69</v>
      </c>
      <c r="F8" s="56" t="s">
        <v>24</v>
      </c>
      <c r="G8" s="44">
        <v>20</v>
      </c>
      <c r="H8" s="129">
        <f>IF(B$17=0,0,G8/B$17)</f>
        <v>0.12738853503184713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0.29411764705882354</v>
      </c>
      <c r="E9" s="59" t="s">
        <v>89</v>
      </c>
      <c r="F9" s="56" t="s">
        <v>44</v>
      </c>
      <c r="G9" s="44">
        <v>15</v>
      </c>
      <c r="H9" s="129">
        <f>IF(B$17=0,0,G9/B$17)</f>
        <v>9.5541401273885357E-2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7.3529411764705885E-2</v>
      </c>
      <c r="E10" s="59" t="s">
        <v>71</v>
      </c>
      <c r="F10" s="56" t="s">
        <v>26</v>
      </c>
      <c r="G10" s="44">
        <v>13</v>
      </c>
      <c r="H10" s="129">
        <f>IF(B$17=0,0,G10/B$17)</f>
        <v>8.2802547770700632E-2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2.1076923076923078</v>
      </c>
      <c r="P10" s="114">
        <v>26</v>
      </c>
      <c r="Q10" s="102">
        <v>54.800000000000004</v>
      </c>
    </row>
    <row r="11" spans="1:17" x14ac:dyDescent="0.4">
      <c r="A11" s="52" t="s">
        <v>138</v>
      </c>
      <c r="B11" s="45">
        <v>6</v>
      </c>
      <c r="C11" s="38">
        <f t="shared" si="1"/>
        <v>8.8235294117647065E-2</v>
      </c>
      <c r="E11" s="59" t="s">
        <v>70</v>
      </c>
      <c r="F11" s="56" t="s">
        <v>25</v>
      </c>
      <c r="G11" s="44">
        <v>12</v>
      </c>
      <c r="H11" s="129">
        <f>IF(B$17=0,0,G11/B$17)</f>
        <v>7.6433121019108277E-2</v>
      </c>
      <c r="I11" s="90">
        <v>8</v>
      </c>
      <c r="K11" s="36">
        <v>9</v>
      </c>
      <c r="L11" s="95">
        <v>-90.9</v>
      </c>
      <c r="N11" s="111" t="s">
        <v>163</v>
      </c>
      <c r="O11" s="121">
        <f>IF(P11=0,0,Q11/P11)</f>
        <v>2.3250000000000002</v>
      </c>
      <c r="P11" s="115">
        <v>20</v>
      </c>
      <c r="Q11" s="103">
        <v>46.5</v>
      </c>
    </row>
    <row r="12" spans="1:17" x14ac:dyDescent="0.4">
      <c r="A12" s="53" t="s">
        <v>158</v>
      </c>
      <c r="B12" s="46">
        <v>3</v>
      </c>
      <c r="C12" s="40">
        <f t="shared" si="1"/>
        <v>4.4117647058823532E-2</v>
      </c>
      <c r="E12" s="59" t="s">
        <v>65</v>
      </c>
      <c r="F12" s="56" t="s">
        <v>21</v>
      </c>
      <c r="G12" s="44">
        <v>11</v>
      </c>
      <c r="H12" s="129">
        <f>IF(B$17=0,0,G12/B$17)</f>
        <v>7.0063694267515922E-2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-6.2318181818181815</v>
      </c>
      <c r="P12" s="116">
        <v>22</v>
      </c>
      <c r="Q12" s="104">
        <v>-137.1</v>
      </c>
    </row>
    <row r="13" spans="1:17" x14ac:dyDescent="0.4">
      <c r="A13" s="54" t="s">
        <v>121</v>
      </c>
      <c r="B13" s="47">
        <v>140</v>
      </c>
      <c r="C13" s="42">
        <f>IF(B$3=0,0,B13/B$3)</f>
        <v>0.25362318840579712</v>
      </c>
      <c r="E13" s="59" t="s">
        <v>86</v>
      </c>
      <c r="F13" s="56" t="s">
        <v>41</v>
      </c>
      <c r="G13" s="44">
        <v>7</v>
      </c>
      <c r="H13" s="129">
        <f>IF(B$17=0,0,G13/B$17)</f>
        <v>4.4585987261146494E-2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140</v>
      </c>
      <c r="C14" s="37">
        <f>IF(B$3=0,0,B14/B$3)</f>
        <v>0.25362318840579712</v>
      </c>
      <c r="E14" s="59" t="s">
        <v>79</v>
      </c>
      <c r="F14" s="56" t="s">
        <v>34</v>
      </c>
      <c r="G14" s="44">
        <v>6</v>
      </c>
      <c r="H14" s="129">
        <f>IF(B$17=0,0,G14/B$17)</f>
        <v>3.8216560509554139E-2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81</v>
      </c>
      <c r="C15" s="35">
        <f>IF(B$13=0,0,B15/B$13)</f>
        <v>0.57857142857142863</v>
      </c>
      <c r="E15" s="59" t="s">
        <v>83</v>
      </c>
      <c r="F15" s="56" t="s">
        <v>38</v>
      </c>
      <c r="G15" s="44">
        <v>6</v>
      </c>
      <c r="H15" s="129">
        <f>IF(B$17=0,0,G15/B$17)</f>
        <v>3.8216560509554139E-2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56</v>
      </c>
      <c r="C16" s="35">
        <f>IF(B$14=0,0,B16/B$14)</f>
        <v>0.4</v>
      </c>
      <c r="E16" s="59" t="s">
        <v>167</v>
      </c>
      <c r="F16" s="56" t="s">
        <v>168</v>
      </c>
      <c r="G16" s="44">
        <v>4</v>
      </c>
      <c r="H16" s="129">
        <f>IF(B$17=0,0,G16/B$17)</f>
        <v>2.5477707006369428E-2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157</v>
      </c>
      <c r="C17" s="35">
        <f>IF(B$3=0,0,B17/B$3)</f>
        <v>0.28442028985507245</v>
      </c>
      <c r="E17" s="59" t="s">
        <v>73</v>
      </c>
      <c r="F17" s="56" t="s">
        <v>28</v>
      </c>
      <c r="G17" s="44">
        <v>3</v>
      </c>
      <c r="H17" s="129">
        <f>IF(B$17=0,0,G17/B$17)</f>
        <v>1.9108280254777069E-2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71</v>
      </c>
      <c r="C18" s="37">
        <f>IF(B$17=0,0,B18/B$17)</f>
        <v>0.45222929936305734</v>
      </c>
      <c r="E18" s="59" t="s">
        <v>78</v>
      </c>
      <c r="F18" s="56" t="s">
        <v>33</v>
      </c>
      <c r="G18" s="44">
        <v>3</v>
      </c>
      <c r="H18" s="129">
        <f>IF(B$17=0,0,G18/B$17)</f>
        <v>1.9108280254777069E-2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12.288888888888891</v>
      </c>
      <c r="P18" s="115">
        <v>18</v>
      </c>
      <c r="Q18" s="103">
        <v>221.20000000000005</v>
      </c>
    </row>
    <row r="19" spans="1:17" x14ac:dyDescent="0.4">
      <c r="A19" s="51" t="s">
        <v>11</v>
      </c>
      <c r="B19" s="44">
        <v>86</v>
      </c>
      <c r="C19" s="37">
        <f>IF(B$17=0,0,B19/B$17)</f>
        <v>0.54777070063694266</v>
      </c>
      <c r="E19" s="59" t="s">
        <v>81</v>
      </c>
      <c r="F19" s="56" t="s">
        <v>36</v>
      </c>
      <c r="G19" s="44">
        <v>1</v>
      </c>
      <c r="H19" s="129">
        <f>IF(B$17=0,0,G19/B$17)</f>
        <v>6.369426751592357E-3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>IF(P19=0,0,Q19/P19)</f>
        <v>0.68461538461538451</v>
      </c>
      <c r="P19" s="115">
        <v>13</v>
      </c>
      <c r="Q19" s="103">
        <v>8.8999999999999986</v>
      </c>
    </row>
    <row r="20" spans="1:17" x14ac:dyDescent="0.4">
      <c r="A20" s="51" t="s">
        <v>13</v>
      </c>
      <c r="B20" s="44">
        <v>69</v>
      </c>
      <c r="C20" s="37">
        <f>IF(B$3=0,0,B20/B$3)</f>
        <v>0.125</v>
      </c>
      <c r="E20" s="59" t="s">
        <v>85</v>
      </c>
      <c r="F20" s="56" t="s">
        <v>40</v>
      </c>
      <c r="G20" s="44">
        <v>1</v>
      </c>
      <c r="H20" s="129">
        <f>IF(B$17=0,0,G20/B$17)</f>
        <v>6.369426751592357E-3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>IF(P20=0,0,Q20/P20)</f>
        <v>-7.1481481481481479</v>
      </c>
      <c r="P20" s="115">
        <v>27</v>
      </c>
      <c r="Q20" s="103">
        <v>-193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87</v>
      </c>
      <c r="F21" s="56" t="s">
        <v>42</v>
      </c>
      <c r="G21" s="44">
        <v>1</v>
      </c>
      <c r="H21" s="129">
        <f>IF(B$17=0,0,G21/B$17)</f>
        <v>6.369426751592357E-3</v>
      </c>
      <c r="I21" s="90">
        <v>2</v>
      </c>
      <c r="K21" s="36">
        <v>19</v>
      </c>
      <c r="L21" s="95">
        <v>-56.399999999999991</v>
      </c>
      <c r="N21" s="111" t="s">
        <v>126</v>
      </c>
      <c r="O21" s="121">
        <f>IF(P21=0,0,Q21/P21)</f>
        <v>-9.9800000000000022</v>
      </c>
      <c r="P21" s="115">
        <v>30</v>
      </c>
      <c r="Q21" s="103">
        <v>-299.40000000000009</v>
      </c>
    </row>
    <row r="22" spans="1:17" x14ac:dyDescent="0.4">
      <c r="A22" s="51" t="s">
        <v>170</v>
      </c>
      <c r="B22" s="44">
        <v>44</v>
      </c>
      <c r="C22" s="131">
        <v>1</v>
      </c>
      <c r="E22" s="59" t="s">
        <v>88</v>
      </c>
      <c r="F22" s="56" t="s">
        <v>43</v>
      </c>
      <c r="G22" s="44">
        <v>1</v>
      </c>
      <c r="H22" s="129">
        <f>IF(B$17=0,0,G22/B$17)</f>
        <v>6.369426751592357E-3</v>
      </c>
      <c r="I22" s="90">
        <v>3</v>
      </c>
      <c r="K22" s="36">
        <v>20</v>
      </c>
      <c r="L22" s="95">
        <v>-93.199999999999989</v>
      </c>
      <c r="N22" s="111" t="s">
        <v>181</v>
      </c>
      <c r="O22" s="121">
        <f>IF(P22=0,0,Q22/P22)</f>
        <v>-15.5</v>
      </c>
      <c r="P22" s="115">
        <v>1</v>
      </c>
      <c r="Q22" s="103">
        <v>-15.5</v>
      </c>
    </row>
    <row r="23" spans="1:17" x14ac:dyDescent="0.4">
      <c r="A23" s="51" t="s">
        <v>5</v>
      </c>
      <c r="B23" s="48">
        <f>IF(B$17=0,0,C23/B$17)</f>
        <v>8428.6624203821648</v>
      </c>
      <c r="C23" s="39">
        <v>1323300</v>
      </c>
      <c r="E23" s="59" t="s">
        <v>91</v>
      </c>
      <c r="F23" s="56" t="s">
        <v>46</v>
      </c>
      <c r="G23" s="44">
        <v>1</v>
      </c>
      <c r="H23" s="129">
        <f>IF(B$17=0,0,G23/B$17)</f>
        <v>6.369426751592357E-3</v>
      </c>
      <c r="I23" s="90">
        <v>6</v>
      </c>
      <c r="K23" s="36">
        <v>21</v>
      </c>
      <c r="L23" s="95">
        <v>-123.69999999999999</v>
      </c>
      <c r="N23" s="111" t="s">
        <v>177</v>
      </c>
      <c r="O23" s="121">
        <f>IF(P23=0,0,Q23/P23)</f>
        <v>-19.213043478260868</v>
      </c>
      <c r="P23" s="115">
        <v>23</v>
      </c>
      <c r="Q23" s="103">
        <v>-441.9</v>
      </c>
    </row>
    <row r="24" spans="1:17" x14ac:dyDescent="0.4">
      <c r="A24" s="52" t="s">
        <v>216</v>
      </c>
      <c r="B24" s="136">
        <f>IF($B$17-B$16=0,0,C24/($B$17-B$16))</f>
        <v>9547.5247524752467</v>
      </c>
      <c r="C24" s="137">
        <v>964300</v>
      </c>
      <c r="E24" s="59" t="s">
        <v>101</v>
      </c>
      <c r="F24" s="56" t="s">
        <v>56</v>
      </c>
      <c r="G24" s="44">
        <v>1</v>
      </c>
      <c r="H24" s="129">
        <f>IF(B$17=0,0,G24/B$17)</f>
        <v>6.369426751592357E-3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6410.7142857142853</v>
      </c>
      <c r="C25" s="137">
        <v>359000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-8321.7391304347821</v>
      </c>
      <c r="C26" s="137">
        <v>-574200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3.6231884057971015E-3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7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3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14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0">
        <v>142</v>
      </c>
      <c r="C3" s="151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2">
        <v>49.900000000000006</v>
      </c>
      <c r="C4" s="153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4">
        <f>IF(B$2=0,0,B$4/B$2)</f>
        <v>3.5642857142857145</v>
      </c>
      <c r="C5" s="155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-2264.2857142857142</v>
      </c>
      <c r="P5" s="115">
        <v>14</v>
      </c>
      <c r="Q5" s="99">
        <v>-31700</v>
      </c>
    </row>
    <row r="6" spans="1:17" x14ac:dyDescent="0.4">
      <c r="A6" s="51" t="s">
        <v>1</v>
      </c>
      <c r="B6" s="144">
        <f>IF(B$2=0,0,(B$7*1+B$8*2+B$9*3)/B$2)</f>
        <v>1.9285714285714286</v>
      </c>
      <c r="C6" s="145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170</v>
      </c>
      <c r="P7" s="116">
        <v>10</v>
      </c>
      <c r="Q7" s="100">
        <v>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7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11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 t="shared" ref="O15:O22" si="2"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4</v>
      </c>
      <c r="K16" s="36">
        <v>14</v>
      </c>
      <c r="L16" s="95">
        <v>49.900000000000006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 t="shared" si="2"/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 t="shared" si="2"/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5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7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5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8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9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5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2019-10-28T09:30:23Z</dcterms:modified>
</cp:coreProperties>
</file>