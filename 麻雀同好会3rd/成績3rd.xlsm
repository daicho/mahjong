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96311DC-8DC4-45A6-A192-22D5F88EF7AD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1" i="6341" l="1"/>
  <c r="O17" i="6357"/>
  <c r="O19" i="6357"/>
  <c r="O22" i="6343"/>
  <c r="O23" i="6351" l="1"/>
  <c r="O15" i="6357"/>
  <c r="O20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7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19" i="6345"/>
  <c r="O21" i="6345" l="1"/>
  <c r="O22" i="6339"/>
  <c r="O25" i="6349"/>
  <c r="O17" i="6353"/>
  <c r="O15" i="6353"/>
  <c r="O21" i="6351"/>
  <c r="O15" i="6341" l="1"/>
  <c r="O20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9" i="6339" l="1"/>
  <c r="O20" i="6343"/>
  <c r="O18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8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1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2" i="6349"/>
  <c r="H6" i="6349"/>
  <c r="C38" i="6349"/>
  <c r="C18" i="6349"/>
  <c r="H42" i="6349"/>
  <c r="H45" i="6349"/>
  <c r="C21" i="6349"/>
  <c r="H35" i="6349"/>
  <c r="H4" i="6349"/>
  <c r="H2" i="6349"/>
  <c r="H10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19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7" i="6347"/>
  <c r="H8" i="6347"/>
  <c r="H28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3" i="6347"/>
  <c r="C32" i="6347"/>
  <c r="H37" i="6347"/>
  <c r="H40" i="6347"/>
  <c r="C40" i="6347"/>
  <c r="H44" i="6347"/>
  <c r="H48" i="6347"/>
  <c r="H5" i="6347"/>
  <c r="H10" i="6347"/>
  <c r="H23" i="6347"/>
  <c r="H21" i="6347"/>
  <c r="C17" i="6347"/>
  <c r="H18" i="6347"/>
  <c r="H25" i="6347"/>
  <c r="H26" i="6347"/>
  <c r="H39" i="6347"/>
  <c r="C42" i="6347"/>
  <c r="H16" i="6347"/>
  <c r="C15" i="6347"/>
  <c r="H20" i="6347"/>
  <c r="H4" i="6347"/>
  <c r="H2" i="6347"/>
  <c r="H12" i="6347"/>
  <c r="H3" i="6347"/>
  <c r="H29" i="6347"/>
  <c r="C18" i="6347"/>
  <c r="C21" i="6347"/>
  <c r="H22" i="6347"/>
  <c r="H35" i="6347"/>
  <c r="H38" i="6347"/>
  <c r="C38" i="6347"/>
  <c r="H42" i="6347"/>
  <c r="H45" i="6347"/>
  <c r="H49" i="6347"/>
  <c r="H52" i="6347"/>
  <c r="B23" i="6347"/>
  <c r="H19" i="6347"/>
  <c r="H30" i="6347"/>
  <c r="H31" i="6347"/>
  <c r="H32" i="6347"/>
  <c r="H13" i="6347"/>
  <c r="H9" i="6347"/>
  <c r="H34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1" i="6345"/>
  <c r="H9" i="6345"/>
  <c r="H30" i="6345"/>
  <c r="C20" i="6345"/>
  <c r="H37" i="6345"/>
  <c r="C40" i="6345"/>
  <c r="H48" i="6345"/>
  <c r="H33" i="6345"/>
  <c r="C32" i="6345"/>
  <c r="H42" i="6345"/>
  <c r="H5" i="6345"/>
  <c r="H20" i="6345"/>
  <c r="C18" i="6345"/>
  <c r="H15" i="6345"/>
  <c r="H35" i="6345"/>
  <c r="H39" i="6345"/>
  <c r="H44" i="6345"/>
  <c r="H7" i="6345"/>
  <c r="H25" i="6345"/>
  <c r="C21" i="6345"/>
  <c r="H28" i="6345"/>
  <c r="H49" i="6345"/>
  <c r="C15" i="6345"/>
  <c r="H24" i="6345"/>
  <c r="H4" i="6345"/>
  <c r="H2" i="6345"/>
  <c r="H11" i="6345"/>
  <c r="H3" i="6345"/>
  <c r="H26" i="6345"/>
  <c r="C19" i="6345"/>
  <c r="H23" i="6345"/>
  <c r="H18" i="6345"/>
  <c r="H36" i="6345"/>
  <c r="C38" i="6345"/>
  <c r="H45" i="6345"/>
  <c r="H52" i="6345"/>
  <c r="C36" i="6345"/>
  <c r="H40" i="6345"/>
  <c r="H43" i="6345"/>
  <c r="C44" i="6345"/>
  <c r="H50" i="6345"/>
  <c r="C17" i="6345"/>
  <c r="H17" i="6345"/>
  <c r="B22" i="6345"/>
  <c r="H34" i="6345"/>
  <c r="H27" i="6345"/>
  <c r="C34" i="6345"/>
  <c r="H38" i="6345"/>
  <c r="H41" i="6345"/>
  <c r="C42" i="6345"/>
  <c r="H46" i="6345"/>
  <c r="H12" i="6345"/>
  <c r="B23" i="6345"/>
  <c r="H16" i="6345"/>
  <c r="H31" i="6345"/>
  <c r="H32" i="6345"/>
  <c r="H22" i="6345"/>
  <c r="H14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2" i="6337"/>
  <c r="H11" i="6337"/>
  <c r="H27" i="6337"/>
  <c r="C14" i="6337"/>
  <c r="C14" i="6341"/>
  <c r="C15" i="6341"/>
  <c r="H6" i="6341"/>
  <c r="H21" i="6341"/>
  <c r="H8" i="6337"/>
  <c r="H9" i="6337"/>
  <c r="H22" i="6341"/>
  <c r="H16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5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2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8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9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3" i="6339"/>
  <c r="H12" i="6339"/>
  <c r="H8" i="6339"/>
  <c r="H24" i="6339"/>
  <c r="C33" i="6339"/>
  <c r="C35" i="6339"/>
  <c r="C37" i="6339"/>
  <c r="C39" i="6339"/>
  <c r="C41" i="6339"/>
  <c r="C43" i="6339"/>
  <c r="H47" i="6339"/>
  <c r="H25" i="6337"/>
  <c r="H5" i="6337"/>
  <c r="C19" i="6337"/>
  <c r="H34" i="6337"/>
  <c r="C36" i="6337"/>
  <c r="H39" i="6337"/>
  <c r="H42" i="6337"/>
  <c r="C44" i="6337"/>
  <c r="H49" i="6337"/>
  <c r="C17" i="6337"/>
  <c r="H14" i="6337"/>
  <c r="B22" i="6337"/>
  <c r="H20" i="6337"/>
  <c r="H21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22" i="6337"/>
  <c r="H7" i="6337"/>
  <c r="H26" i="6337"/>
  <c r="H16" i="6337"/>
  <c r="H6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19" i="6337"/>
  <c r="H28" i="6337"/>
  <c r="H29" i="6337"/>
  <c r="H24" i="6337"/>
  <c r="H15" i="6337"/>
  <c r="H13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4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3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<sst xmlns="http://schemas.openxmlformats.org/spreadsheetml/2006/main" count="3828" uniqueCount="296">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</sst>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全体!$K$2:$K$857</c:f>
              <c:numCache>
                <c:formatCode>General</c:formatCode>
                <c:ptCount val="8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</c:numCache>
            </c:numRef>
          </c:xVal>
          <c:yVal>
            <c:numRef>
              <c:f>全体!$L$2:$L$857</c:f>
              <c:numCache>
                <c:formatCode>\+0.0;\-0.0;\±0</c:formatCode>
                <c:ptCount val="85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-25.821596244131456</c:v>
                </c:pt>
                <c:pt idx="1">
                  <c:v>8.3333333333333339</c:v>
                </c:pt>
                <c:pt idx="2">
                  <c:v>-7.5757575757575761</c:v>
                </c:pt>
                <c:pt idx="3">
                  <c:v>10.75268817204301</c:v>
                </c:pt>
                <c:pt idx="4">
                  <c:v>2.9112081513828238</c:v>
                </c:pt>
                <c:pt idx="5">
                  <c:v>15.706806282722512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166</c:v>
                </c:pt>
                <c:pt idx="1">
                  <c:v>356</c:v>
                </c:pt>
                <c:pt idx="2">
                  <c:v>416</c:v>
                </c:pt>
                <c:pt idx="3">
                  <c:v>374</c:v>
                </c:pt>
                <c:pt idx="4">
                  <c:v>336</c:v>
                </c:pt>
                <c:pt idx="5">
                  <c:v>223</c:v>
                </c:pt>
                <c:pt idx="6">
                  <c:v>111</c:v>
                </c:pt>
                <c:pt idx="7">
                  <c:v>61</c:v>
                </c:pt>
                <c:pt idx="8">
                  <c:v>28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たかの!$L$2:$L$79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2266.2337662337663</c:v>
                </c:pt>
                <c:pt idx="1">
                  <c:v>-1848.6842105263158</c:v>
                </c:pt>
                <c:pt idx="2">
                  <c:v>-1671.2328767123288</c:v>
                </c:pt>
                <c:pt idx="3">
                  <c:v>-1089.7058823529412</c:v>
                </c:pt>
                <c:pt idx="4">
                  <c:v>-83.582089552238813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26</c:v>
                </c:pt>
                <c:pt idx="1">
                  <c:v>38</c:v>
                </c:pt>
                <c:pt idx="2">
                  <c:v>39</c:v>
                </c:pt>
                <c:pt idx="3">
                  <c:v>29</c:v>
                </c:pt>
                <c:pt idx="4">
                  <c:v>20</c:v>
                </c:pt>
                <c:pt idx="5">
                  <c:v>16</c:v>
                </c:pt>
                <c:pt idx="6">
                  <c:v>10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だいち!$K$2:$K$167</c:f>
              <c:numCache>
                <c:formatCode>General</c:formatCode>
                <c:ptCount val="1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</c:numCache>
            </c:numRef>
          </c:xVal>
          <c:yVal>
            <c:numRef>
              <c:f>だいち!$L$2:$L$167</c:f>
              <c:numCache>
                <c:formatCode>\+0.0;\-0.0;\±0</c:formatCode>
                <c:ptCount val="16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1425.6097560975609</c:v>
                </c:pt>
                <c:pt idx="1">
                  <c:v>998.75776397515529</c:v>
                </c:pt>
                <c:pt idx="2">
                  <c:v>1060</c:v>
                </c:pt>
                <c:pt idx="3">
                  <c:v>352.08333333333331</c:v>
                </c:pt>
                <c:pt idx="4">
                  <c:v>1814.9253731343283</c:v>
                </c:pt>
                <c:pt idx="5">
                  <c:v>1877.2727272727273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43</c:v>
                </c:pt>
                <c:pt idx="1">
                  <c:v>87</c:v>
                </c:pt>
                <c:pt idx="2">
                  <c:v>94</c:v>
                </c:pt>
                <c:pt idx="3">
                  <c:v>84</c:v>
                </c:pt>
                <c:pt idx="4">
                  <c:v>67</c:v>
                </c:pt>
                <c:pt idx="5">
                  <c:v>42</c:v>
                </c:pt>
                <c:pt idx="6">
                  <c:v>23</c:v>
                </c:pt>
                <c:pt idx="7">
                  <c:v>7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ただ!$L$2:$L$148</c:f>
              <c:numCache>
                <c:formatCode>\+0.0;\-0.0;\±0</c:formatCode>
                <c:ptCount val="14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-1480.6896551724137</c:v>
                </c:pt>
                <c:pt idx="1">
                  <c:v>1537.7622377622379</c:v>
                </c:pt>
                <c:pt idx="2">
                  <c:v>-462.87878787878788</c:v>
                </c:pt>
                <c:pt idx="3">
                  <c:v>231.2</c:v>
                </c:pt>
                <c:pt idx="4">
                  <c:v>-919.29824561403507</c:v>
                </c:pt>
                <c:pt idx="5">
                  <c:v>1273.9583333333333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28</c:v>
                </c:pt>
                <c:pt idx="1">
                  <c:v>62</c:v>
                </c:pt>
                <c:pt idx="2">
                  <c:v>78</c:v>
                </c:pt>
                <c:pt idx="3">
                  <c:v>77</c:v>
                </c:pt>
                <c:pt idx="4">
                  <c:v>55</c:v>
                </c:pt>
                <c:pt idx="5">
                  <c:v>40</c:v>
                </c:pt>
                <c:pt idx="6">
                  <c:v>12</c:v>
                </c:pt>
                <c:pt idx="7">
                  <c:v>8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りくと!$L$2:$L$97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-388.29787234042556</c:v>
                </c:pt>
                <c:pt idx="1">
                  <c:v>-554.25531914893622</c:v>
                </c:pt>
                <c:pt idx="2">
                  <c:v>462.5</c:v>
                </c:pt>
                <c:pt idx="3">
                  <c:v>-744.18604651162786</c:v>
                </c:pt>
                <c:pt idx="4">
                  <c:v>-3076.5432098765432</c:v>
                </c:pt>
                <c:pt idx="5">
                  <c:v>-1363.3802816901409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50</c:v>
                </c:pt>
                <c:pt idx="3">
                  <c:v>34</c:v>
                </c:pt>
                <c:pt idx="4">
                  <c:v>37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れんたろう!$L$2:$L$121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1522.6890756302521</c:v>
                </c:pt>
                <c:pt idx="1">
                  <c:v>-1570.9401709401709</c:v>
                </c:pt>
                <c:pt idx="2">
                  <c:v>190.65420560747663</c:v>
                </c:pt>
                <c:pt idx="3">
                  <c:v>2413.8613861386139</c:v>
                </c:pt>
                <c:pt idx="4">
                  <c:v>1038.4615384615386</c:v>
                </c:pt>
                <c:pt idx="5">
                  <c:v>542.25352112676057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39</c:v>
                </c:pt>
                <c:pt idx="3">
                  <c:v>53</c:v>
                </c:pt>
                <c:pt idx="4">
                  <c:v>64</c:v>
                </c:pt>
                <c:pt idx="5">
                  <c:v>35</c:v>
                </c:pt>
                <c:pt idx="6">
                  <c:v>21</c:v>
                </c:pt>
                <c:pt idx="7">
                  <c:v>19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まっつん!$L$2:$L$134</c:f>
              <c:numCache>
                <c:formatCode>\+0.0;\-0.0;\±0</c:formatCode>
                <c:ptCount val="13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-452.27272727272725</c:v>
                </c:pt>
                <c:pt idx="1">
                  <c:v>-170.54263565891472</c:v>
                </c:pt>
                <c:pt idx="2">
                  <c:v>264.22764227642278</c:v>
                </c:pt>
                <c:pt idx="3">
                  <c:v>159.82142857142858</c:v>
                </c:pt>
                <c:pt idx="4">
                  <c:v>19.801980198019802</c:v>
                </c:pt>
                <c:pt idx="5">
                  <c:v>-1194.1860465116279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18</c:v>
                </c:pt>
                <c:pt idx="1">
                  <c:v>54</c:v>
                </c:pt>
                <c:pt idx="2">
                  <c:v>63</c:v>
                </c:pt>
                <c:pt idx="3">
                  <c:v>55</c:v>
                </c:pt>
                <c:pt idx="4">
                  <c:v>43</c:v>
                </c:pt>
                <c:pt idx="5">
                  <c:v>33</c:v>
                </c:pt>
                <c:pt idx="6">
                  <c:v>14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-2363.9344262295081</c:v>
                </c:pt>
                <c:pt idx="1">
                  <c:v>718.03278688524586</c:v>
                </c:pt>
                <c:pt idx="2">
                  <c:v>-1137.9310344827586</c:v>
                </c:pt>
                <c:pt idx="3">
                  <c:v>-1678.8461538461538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20</c:v>
                </c:pt>
                <c:pt idx="4">
                  <c:v>18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のり2!$B$3:$B$64</c:f>
              <c:numCache>
                <c:formatCode>\+0.0;\-0.0;\±0</c:formatCode>
                <c:ptCount val="6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68434188608080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のり2!$C$3:$C$64</c:f>
              <c:numCache>
                <c:formatCode>\+0.0;\-0.0;\±0</c:formatCode>
                <c:ptCount val="62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  <c:pt idx="32">
                  <c:v>-16.418750000000003</c:v>
                </c:pt>
                <c:pt idx="33">
                  <c:v>-16.612121212121213</c:v>
                </c:pt>
                <c:pt idx="34">
                  <c:v>-15.644117647058826</c:v>
                </c:pt>
                <c:pt idx="35">
                  <c:v>-13.791428571428574</c:v>
                </c:pt>
                <c:pt idx="36">
                  <c:v>-13.833333333333336</c:v>
                </c:pt>
                <c:pt idx="37">
                  <c:v>-14.783783783783786</c:v>
                </c:pt>
                <c:pt idx="38">
                  <c:v>-15.002631578947373</c:v>
                </c:pt>
                <c:pt idx="39">
                  <c:v>-13.458974358974361</c:v>
                </c:pt>
                <c:pt idx="40">
                  <c:v>-14.342500000000001</c:v>
                </c:pt>
                <c:pt idx="41">
                  <c:v>-15.239024390243904</c:v>
                </c:pt>
                <c:pt idx="42">
                  <c:v>-14.400000000000002</c:v>
                </c:pt>
                <c:pt idx="43">
                  <c:v>-14.495348837209304</c:v>
                </c:pt>
                <c:pt idx="44">
                  <c:v>-13.365909090909092</c:v>
                </c:pt>
                <c:pt idx="45">
                  <c:v>-12.426666666666668</c:v>
                </c:pt>
                <c:pt idx="46">
                  <c:v>-12.084782608695654</c:v>
                </c:pt>
                <c:pt idx="47">
                  <c:v>-11.71489361702128</c:v>
                </c:pt>
                <c:pt idx="48">
                  <c:v>-11.35416666666667</c:v>
                </c:pt>
                <c:pt idx="49">
                  <c:v>-11.86326530612245</c:v>
                </c:pt>
                <c:pt idx="50">
                  <c:v>-11.586000000000002</c:v>
                </c:pt>
                <c:pt idx="51">
                  <c:v>-12.05294117647059</c:v>
                </c:pt>
                <c:pt idx="52">
                  <c:v>-11.598076923076924</c:v>
                </c:pt>
                <c:pt idx="53">
                  <c:v>-12.313207547169812</c:v>
                </c:pt>
                <c:pt idx="54">
                  <c:v>-11.6</c:v>
                </c:pt>
                <c:pt idx="55">
                  <c:v>-11.389090909090909</c:v>
                </c:pt>
                <c:pt idx="56">
                  <c:v>-11.071428571428571</c:v>
                </c:pt>
                <c:pt idx="57">
                  <c:v>-10.940350877192984</c:v>
                </c:pt>
                <c:pt idx="58">
                  <c:v>-10.589655172413794</c:v>
                </c:pt>
                <c:pt idx="59">
                  <c:v>-10.633898305084747</c:v>
                </c:pt>
                <c:pt idx="60">
                  <c:v>-10.936666666666667</c:v>
                </c:pt>
                <c:pt idx="61">
                  <c:v>-10.711475409836067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48353083135440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のり2!$D$3:$D$64</c:f>
              <c:numCache>
                <c:formatCode>0.00\ "位"</c:formatCode>
                <c:ptCount val="62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2.46875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2.3714285714285714</c:v>
                </c:pt>
                <c:pt idx="36">
                  <c:v>2.3888888888888888</c:v>
                </c:pt>
                <c:pt idx="37">
                  <c:v>2.4054054054054053</c:v>
                </c:pt>
                <c:pt idx="38">
                  <c:v>2.4210526315789473</c:v>
                </c:pt>
                <c:pt idx="39">
                  <c:v>2.3846153846153846</c:v>
                </c:pt>
                <c:pt idx="40">
                  <c:v>2.4</c:v>
                </c:pt>
                <c:pt idx="41">
                  <c:v>2.4146341463414633</c:v>
                </c:pt>
                <c:pt idx="42">
                  <c:v>2.3809523809523809</c:v>
                </c:pt>
                <c:pt idx="43">
                  <c:v>2.3720930232558142</c:v>
                </c:pt>
                <c:pt idx="44">
                  <c:v>2.3409090909090908</c:v>
                </c:pt>
                <c:pt idx="45">
                  <c:v>2.3111111111111109</c:v>
                </c:pt>
                <c:pt idx="46">
                  <c:v>2.3043478260869565</c:v>
                </c:pt>
                <c:pt idx="47">
                  <c:v>2.2978723404255321</c:v>
                </c:pt>
                <c:pt idx="48">
                  <c:v>2.2916666666666665</c:v>
                </c:pt>
                <c:pt idx="49">
                  <c:v>2.306122448979592</c:v>
                </c:pt>
                <c:pt idx="50">
                  <c:v>2.2999999999999998</c:v>
                </c:pt>
                <c:pt idx="51">
                  <c:v>2.3137254901960786</c:v>
                </c:pt>
                <c:pt idx="52">
                  <c:v>2.3076923076923075</c:v>
                </c:pt>
                <c:pt idx="53">
                  <c:v>2.3207547169811322</c:v>
                </c:pt>
                <c:pt idx="54">
                  <c:v>2.2962962962962963</c:v>
                </c:pt>
                <c:pt idx="55">
                  <c:v>2.290909090909091</c:v>
                </c:pt>
                <c:pt idx="56">
                  <c:v>2.2857142857142856</c:v>
                </c:pt>
                <c:pt idx="57">
                  <c:v>2.2807017543859649</c:v>
                </c:pt>
                <c:pt idx="58">
                  <c:v>2.2758620689655173</c:v>
                </c:pt>
                <c:pt idx="59">
                  <c:v>2.2881355932203391</c:v>
                </c:pt>
                <c:pt idx="60">
                  <c:v>2.2833333333333332</c:v>
                </c:pt>
                <c:pt idx="61">
                  <c:v>2.278688524590164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のり2!$E$3:$E$64</c:f>
              <c:numCache>
                <c:formatCode>0.0%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0.15384615384615385</c:v>
                </c:pt>
                <c:pt idx="40">
                  <c:v>0.15</c:v>
                </c:pt>
                <c:pt idx="41">
                  <c:v>0.14634146341463414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0.18181818181818182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のり2!$F$3:$F$64</c:f>
              <c:numCache>
                <c:formatCode>0.0%</c:formatCode>
                <c:ptCount val="6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  <c:pt idx="32">
                  <c:v>0.5625</c:v>
                </c:pt>
                <c:pt idx="33">
                  <c:v>0.54545454545454541</c:v>
                </c:pt>
                <c:pt idx="34">
                  <c:v>0.52941176470588236</c:v>
                </c:pt>
                <c:pt idx="35">
                  <c:v>0.51428571428571423</c:v>
                </c:pt>
                <c:pt idx="36">
                  <c:v>0.52777777777777779</c:v>
                </c:pt>
                <c:pt idx="37">
                  <c:v>0.54054054054054057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0.51111111111111107</c:v>
                </c:pt>
                <c:pt idx="46">
                  <c:v>0.5</c:v>
                </c:pt>
                <c:pt idx="47">
                  <c:v>0.48936170212765956</c:v>
                </c:pt>
                <c:pt idx="48">
                  <c:v>0.47916666666666669</c:v>
                </c:pt>
                <c:pt idx="49">
                  <c:v>0.48979591836734693</c:v>
                </c:pt>
                <c:pt idx="50">
                  <c:v>0.48</c:v>
                </c:pt>
                <c:pt idx="51">
                  <c:v>0.49019607843137253</c:v>
                </c:pt>
                <c:pt idx="52">
                  <c:v>0.48076923076923078</c:v>
                </c:pt>
                <c:pt idx="53">
                  <c:v>0.49056603773584906</c:v>
                </c:pt>
                <c:pt idx="54">
                  <c:v>0.48148148148148145</c:v>
                </c:pt>
                <c:pt idx="55">
                  <c:v>0.47272727272727272</c:v>
                </c:pt>
                <c:pt idx="56">
                  <c:v>0.4642857142857143</c:v>
                </c:pt>
                <c:pt idx="57">
                  <c:v>0.45614035087719296</c:v>
                </c:pt>
                <c:pt idx="58">
                  <c:v>0.44827586206896552</c:v>
                </c:pt>
                <c:pt idx="59">
                  <c:v>0.4576271186440678</c:v>
                </c:pt>
                <c:pt idx="60">
                  <c:v>0.45</c:v>
                </c:pt>
                <c:pt idx="61">
                  <c:v>0.44262295081967212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のり2!$G$3:$G$64</c:f>
              <c:numCache>
                <c:formatCode>0.0%</c:formatCode>
                <c:ptCount val="62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  <c:pt idx="32">
                  <c:v>0.2339622641509434</c:v>
                </c:pt>
                <c:pt idx="33">
                  <c:v>0.23247232472324722</c:v>
                </c:pt>
                <c:pt idx="34">
                  <c:v>0.23297491039426524</c:v>
                </c:pt>
                <c:pt idx="35">
                  <c:v>0.24742268041237114</c:v>
                </c:pt>
                <c:pt idx="36">
                  <c:v>0.24834437086092714</c:v>
                </c:pt>
                <c:pt idx="37">
                  <c:v>0.24675324675324675</c:v>
                </c:pt>
                <c:pt idx="38">
                  <c:v>0.24367088607594936</c:v>
                </c:pt>
                <c:pt idx="39">
                  <c:v>0.25</c:v>
                </c:pt>
                <c:pt idx="40">
                  <c:v>0.25076452599388377</c:v>
                </c:pt>
                <c:pt idx="41">
                  <c:v>0.24850299401197604</c:v>
                </c:pt>
                <c:pt idx="42">
                  <c:v>0.24927536231884059</c:v>
                </c:pt>
                <c:pt idx="43">
                  <c:v>0.24858757062146894</c:v>
                </c:pt>
                <c:pt idx="44">
                  <c:v>0.25138121546961328</c:v>
                </c:pt>
                <c:pt idx="45">
                  <c:v>0.25474254742547425</c:v>
                </c:pt>
                <c:pt idx="46">
                  <c:v>0.25661375661375663</c:v>
                </c:pt>
                <c:pt idx="47">
                  <c:v>0.25520833333333331</c:v>
                </c:pt>
                <c:pt idx="48">
                  <c:v>0.25384615384615383</c:v>
                </c:pt>
                <c:pt idx="49">
                  <c:v>0.24937027707808565</c:v>
                </c:pt>
                <c:pt idx="50">
                  <c:v>0.25062034739454092</c:v>
                </c:pt>
                <c:pt idx="51">
                  <c:v>0.25362318840579712</c:v>
                </c:pt>
                <c:pt idx="52">
                  <c:v>0.25476190476190474</c:v>
                </c:pt>
                <c:pt idx="53">
                  <c:v>0.25348837209302327</c:v>
                </c:pt>
                <c:pt idx="54">
                  <c:v>0.25733634311512416</c:v>
                </c:pt>
                <c:pt idx="55">
                  <c:v>0.25827814569536423</c:v>
                </c:pt>
                <c:pt idx="56">
                  <c:v>0.26030368763557482</c:v>
                </c:pt>
                <c:pt idx="57">
                  <c:v>0.2569593147751606</c:v>
                </c:pt>
                <c:pt idx="58">
                  <c:v>0.26096033402922758</c:v>
                </c:pt>
                <c:pt idx="59">
                  <c:v>0.26283367556468173</c:v>
                </c:pt>
                <c:pt idx="60">
                  <c:v>0.25858585858585859</c:v>
                </c:pt>
                <c:pt idx="61">
                  <c:v>0.26190476190476192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93088071348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のり2!$H$3:$H$64</c:f>
              <c:numCache>
                <c:formatCode>0.0%</c:formatCode>
                <c:ptCount val="62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  <c:pt idx="32">
                  <c:v>0.19245283018867926</c:v>
                </c:pt>
                <c:pt idx="33">
                  <c:v>0.1918819188191882</c:v>
                </c:pt>
                <c:pt idx="34">
                  <c:v>0.19354838709677419</c:v>
                </c:pt>
                <c:pt idx="35">
                  <c:v>0.18900343642611683</c:v>
                </c:pt>
                <c:pt idx="36">
                  <c:v>0.18874172185430463</c:v>
                </c:pt>
                <c:pt idx="37">
                  <c:v>0.18831168831168832</c:v>
                </c:pt>
                <c:pt idx="38">
                  <c:v>0.18354430379746836</c:v>
                </c:pt>
                <c:pt idx="39">
                  <c:v>0.17901234567901234</c:v>
                </c:pt>
                <c:pt idx="40">
                  <c:v>0.1834862385321101</c:v>
                </c:pt>
                <c:pt idx="41">
                  <c:v>0.18862275449101795</c:v>
                </c:pt>
                <c:pt idx="42">
                  <c:v>0.1855072463768116</c:v>
                </c:pt>
                <c:pt idx="43">
                  <c:v>0.1864406779661017</c:v>
                </c:pt>
                <c:pt idx="44">
                  <c:v>0.18508287292817679</c:v>
                </c:pt>
                <c:pt idx="45">
                  <c:v>0.18428184281842819</c:v>
                </c:pt>
                <c:pt idx="46">
                  <c:v>0.17989417989417988</c:v>
                </c:pt>
                <c:pt idx="47">
                  <c:v>0.1796875</c:v>
                </c:pt>
                <c:pt idx="48">
                  <c:v>0.18205128205128204</c:v>
                </c:pt>
                <c:pt idx="49">
                  <c:v>0.18387909319899245</c:v>
                </c:pt>
                <c:pt idx="50">
                  <c:v>0.18610421836228289</c:v>
                </c:pt>
                <c:pt idx="51">
                  <c:v>0.1859903381642512</c:v>
                </c:pt>
                <c:pt idx="52">
                  <c:v>0.18571428571428572</c:v>
                </c:pt>
                <c:pt idx="53">
                  <c:v>0.1883720930232558</c:v>
                </c:pt>
                <c:pt idx="54">
                  <c:v>0.18510158013544017</c:v>
                </c:pt>
                <c:pt idx="55">
                  <c:v>0.18101545253863136</c:v>
                </c:pt>
                <c:pt idx="56">
                  <c:v>0.1822125813449024</c:v>
                </c:pt>
                <c:pt idx="57">
                  <c:v>0.18201284796573874</c:v>
                </c:pt>
                <c:pt idx="58">
                  <c:v>0.1837160751565762</c:v>
                </c:pt>
                <c:pt idx="59">
                  <c:v>0.18275154004106775</c:v>
                </c:pt>
                <c:pt idx="60">
                  <c:v>0.18181818181818182</c:v>
                </c:pt>
                <c:pt idx="61">
                  <c:v>0.18055555555555555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37123745819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のり2!$I$3:$I$64</c:f>
              <c:numCache>
                <c:formatCode>0</c:formatCode>
                <c:ptCount val="62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  <c:pt idx="32">
                  <c:v>7783.8709677419356</c:v>
                </c:pt>
                <c:pt idx="33">
                  <c:v>7787.3015873015875</c:v>
                </c:pt>
                <c:pt idx="34">
                  <c:v>7912.3076923076924</c:v>
                </c:pt>
                <c:pt idx="35">
                  <c:v>7902.7777777777774</c:v>
                </c:pt>
                <c:pt idx="36">
                  <c:v>7877.333333333333</c:v>
                </c:pt>
                <c:pt idx="37">
                  <c:v>7810.5263157894733</c:v>
                </c:pt>
                <c:pt idx="38">
                  <c:v>7759.7402597402597</c:v>
                </c:pt>
                <c:pt idx="39">
                  <c:v>7792.5925925925922</c:v>
                </c:pt>
                <c:pt idx="40">
                  <c:v>7760.9756097560976</c:v>
                </c:pt>
                <c:pt idx="41">
                  <c:v>7730.1204819277109</c:v>
                </c:pt>
                <c:pt idx="42">
                  <c:v>7829.0697674418607</c:v>
                </c:pt>
                <c:pt idx="43">
                  <c:v>7706.818181818182</c:v>
                </c:pt>
                <c:pt idx="44">
                  <c:v>8059.3406593406589</c:v>
                </c:pt>
                <c:pt idx="45">
                  <c:v>8054.255319148936</c:v>
                </c:pt>
                <c:pt idx="46">
                  <c:v>7917.5257731958764</c:v>
                </c:pt>
                <c:pt idx="47">
                  <c:v>7959.1836734693879</c:v>
                </c:pt>
                <c:pt idx="48">
                  <c:v>8000</c:v>
                </c:pt>
                <c:pt idx="49">
                  <c:v>8000</c:v>
                </c:pt>
                <c:pt idx="50">
                  <c:v>8039.6039603960398</c:v>
                </c:pt>
                <c:pt idx="51">
                  <c:v>7925.7142857142853</c:v>
                </c:pt>
                <c:pt idx="52">
                  <c:v>7961.6822429906542</c:v>
                </c:pt>
                <c:pt idx="53">
                  <c:v>7900</c:v>
                </c:pt>
                <c:pt idx="54">
                  <c:v>7932.4561403508769</c:v>
                </c:pt>
                <c:pt idx="55">
                  <c:v>7968.3760683760684</c:v>
                </c:pt>
                <c:pt idx="56">
                  <c:v>8010</c:v>
                </c:pt>
                <c:pt idx="57">
                  <c:v>8010</c:v>
                </c:pt>
                <c:pt idx="58">
                  <c:v>8008.8</c:v>
                </c:pt>
                <c:pt idx="59">
                  <c:v>7987.5</c:v>
                </c:pt>
                <c:pt idx="60">
                  <c:v>7987.5</c:v>
                </c:pt>
                <c:pt idx="61">
                  <c:v>8013.636363636364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57.85241248817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のり2!$J$3:$J$64</c:f>
              <c:numCache>
                <c:formatCode>0</c:formatCode>
                <c:ptCount val="62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  <c:pt idx="32">
                  <c:v>-8121.5686274509808</c:v>
                </c:pt>
                <c:pt idx="33">
                  <c:v>-7984.6153846153848</c:v>
                </c:pt>
                <c:pt idx="34">
                  <c:v>-7881.4814814814818</c:v>
                </c:pt>
                <c:pt idx="35">
                  <c:v>-7883.636363636364</c:v>
                </c:pt>
                <c:pt idx="36">
                  <c:v>-7919.2982456140353</c:v>
                </c:pt>
                <c:pt idx="37">
                  <c:v>-7920.6896551724139</c:v>
                </c:pt>
                <c:pt idx="38">
                  <c:v>-7920.6896551724139</c:v>
                </c:pt>
                <c:pt idx="39">
                  <c:v>-7920.6896551724139</c:v>
                </c:pt>
                <c:pt idx="40">
                  <c:v>-8356.6666666666661</c:v>
                </c:pt>
                <c:pt idx="41">
                  <c:v>-8312.6984126984134</c:v>
                </c:pt>
                <c:pt idx="42">
                  <c:v>-8243.75</c:v>
                </c:pt>
                <c:pt idx="43">
                  <c:v>-8234.8484848484841</c:v>
                </c:pt>
                <c:pt idx="44">
                  <c:v>-8291.0447761194027</c:v>
                </c:pt>
                <c:pt idx="45">
                  <c:v>-8198.5294117647063</c:v>
                </c:pt>
                <c:pt idx="46">
                  <c:v>-8198.5294117647063</c:v>
                </c:pt>
                <c:pt idx="47">
                  <c:v>-8191.304347826087</c:v>
                </c:pt>
                <c:pt idx="48">
                  <c:v>-8015.4929577464791</c:v>
                </c:pt>
                <c:pt idx="49">
                  <c:v>-7902.7397260273974</c:v>
                </c:pt>
                <c:pt idx="50">
                  <c:v>-7921.333333333333</c:v>
                </c:pt>
                <c:pt idx="51">
                  <c:v>-8100</c:v>
                </c:pt>
                <c:pt idx="52">
                  <c:v>-8029.4871794871797</c:v>
                </c:pt>
                <c:pt idx="53">
                  <c:v>-8064.1975308641977</c:v>
                </c:pt>
                <c:pt idx="54">
                  <c:v>-8185.3658536585363</c:v>
                </c:pt>
                <c:pt idx="55">
                  <c:v>-8185.3658536585363</c:v>
                </c:pt>
                <c:pt idx="56">
                  <c:v>-8296.4285714285706</c:v>
                </c:pt>
                <c:pt idx="57">
                  <c:v>-8229.4117647058829</c:v>
                </c:pt>
                <c:pt idx="58">
                  <c:v>-8215.9090909090901</c:v>
                </c:pt>
                <c:pt idx="59">
                  <c:v>-8258.4269662921342</c:v>
                </c:pt>
                <c:pt idx="60">
                  <c:v>-8255.5555555555547</c:v>
                </c:pt>
                <c:pt idx="61">
                  <c:v>-8362.6373626373625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47.15025906735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のり2!$K$3:$K$64</c:f>
              <c:numCache>
                <c:formatCode>0.0%</c:formatCode>
                <c:ptCount val="6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0.2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0.18181818181818182</c:v>
                </c:pt>
                <c:pt idx="56">
                  <c:v>0.17857142857142858</c:v>
                </c:pt>
                <c:pt idx="57">
                  <c:v>0.17543859649122806</c:v>
                </c:pt>
                <c:pt idx="58">
                  <c:v>0.17241379310344829</c:v>
                </c:pt>
                <c:pt idx="59">
                  <c:v>0.16949152542372881</c:v>
                </c:pt>
                <c:pt idx="60">
                  <c:v>0.16666666666666666</c:v>
                </c:pt>
                <c:pt idx="61">
                  <c:v>0.16393442622950818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73684210526316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のり2!$L$3:$L$64</c:f>
              <c:numCache>
                <c:formatCode>0.0%</c:formatCode>
                <c:ptCount val="62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  <c:pt idx="32">
                  <c:v>0.2</c:v>
                </c:pt>
                <c:pt idx="33">
                  <c:v>0.19557195571955718</c:v>
                </c:pt>
                <c:pt idx="34">
                  <c:v>0.19354838709677419</c:v>
                </c:pt>
                <c:pt idx="35">
                  <c:v>0.19243986254295534</c:v>
                </c:pt>
                <c:pt idx="36">
                  <c:v>0.19205298013245034</c:v>
                </c:pt>
                <c:pt idx="37">
                  <c:v>0.19155844155844157</c:v>
                </c:pt>
                <c:pt idx="38">
                  <c:v>0.189873417721519</c:v>
                </c:pt>
                <c:pt idx="39">
                  <c:v>0.19135802469135801</c:v>
                </c:pt>
                <c:pt idx="40">
                  <c:v>0.19877675840978593</c:v>
                </c:pt>
                <c:pt idx="41">
                  <c:v>0.20658682634730538</c:v>
                </c:pt>
                <c:pt idx="42">
                  <c:v>0.21159420289855072</c:v>
                </c:pt>
                <c:pt idx="43">
                  <c:v>0.20903954802259886</c:v>
                </c:pt>
                <c:pt idx="44">
                  <c:v>0.20994475138121546</c:v>
                </c:pt>
                <c:pt idx="45">
                  <c:v>0.20867208672086721</c:v>
                </c:pt>
                <c:pt idx="46">
                  <c:v>0.20370370370370369</c:v>
                </c:pt>
                <c:pt idx="47">
                  <c:v>0.203125</c:v>
                </c:pt>
                <c:pt idx="48">
                  <c:v>0.2</c:v>
                </c:pt>
                <c:pt idx="49">
                  <c:v>0.20151133501259447</c:v>
                </c:pt>
                <c:pt idx="50">
                  <c:v>0.20595533498759305</c:v>
                </c:pt>
                <c:pt idx="51">
                  <c:v>0.20048309178743962</c:v>
                </c:pt>
                <c:pt idx="52">
                  <c:v>0.20714285714285716</c:v>
                </c:pt>
                <c:pt idx="53">
                  <c:v>0.21395348837209302</c:v>
                </c:pt>
                <c:pt idx="54">
                  <c:v>0.21670428893905191</c:v>
                </c:pt>
                <c:pt idx="55">
                  <c:v>0.21633554083885209</c:v>
                </c:pt>
                <c:pt idx="56">
                  <c:v>0.21908893709327548</c:v>
                </c:pt>
                <c:pt idx="57">
                  <c:v>0.21841541755888652</c:v>
                </c:pt>
                <c:pt idx="58">
                  <c:v>0.21711899791231734</c:v>
                </c:pt>
                <c:pt idx="59">
                  <c:v>0.2135523613963039</c:v>
                </c:pt>
                <c:pt idx="60">
                  <c:v>0.21010101010101009</c:v>
                </c:pt>
                <c:pt idx="61">
                  <c:v>0.20833333333333334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483835005574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のり2!$M$3:$M$64</c:f>
              <c:numCache>
                <c:formatCode>0.0%</c:formatCode>
                <c:ptCount val="62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  <c:pt idx="32">
                  <c:v>0.22264150943396227</c:v>
                </c:pt>
                <c:pt idx="33">
                  <c:v>0.22140221402214022</c:v>
                </c:pt>
                <c:pt idx="34">
                  <c:v>0.22222222222222221</c:v>
                </c:pt>
                <c:pt idx="35">
                  <c:v>0.22680412371134021</c:v>
                </c:pt>
                <c:pt idx="36">
                  <c:v>0.23178807947019867</c:v>
                </c:pt>
                <c:pt idx="37">
                  <c:v>0.22727272727272727</c:v>
                </c:pt>
                <c:pt idx="38">
                  <c:v>0.22468354430379747</c:v>
                </c:pt>
                <c:pt idx="39">
                  <c:v>0.22839506172839505</c:v>
                </c:pt>
                <c:pt idx="40">
                  <c:v>0.22629969418960244</c:v>
                </c:pt>
                <c:pt idx="41">
                  <c:v>0.22155688622754491</c:v>
                </c:pt>
                <c:pt idx="42">
                  <c:v>0.21739130434782608</c:v>
                </c:pt>
                <c:pt idx="43">
                  <c:v>0.2175141242937853</c:v>
                </c:pt>
                <c:pt idx="44">
                  <c:v>0.21546961325966851</c:v>
                </c:pt>
                <c:pt idx="45">
                  <c:v>0.21680216802168023</c:v>
                </c:pt>
                <c:pt idx="46">
                  <c:v>0.21693121693121692</c:v>
                </c:pt>
                <c:pt idx="47">
                  <c:v>0.21875</c:v>
                </c:pt>
                <c:pt idx="48">
                  <c:v>0.21794871794871795</c:v>
                </c:pt>
                <c:pt idx="49">
                  <c:v>0.21662468513853905</c:v>
                </c:pt>
                <c:pt idx="50">
                  <c:v>0.21588089330024815</c:v>
                </c:pt>
                <c:pt idx="51">
                  <c:v>0.22946859903381642</c:v>
                </c:pt>
                <c:pt idx="52">
                  <c:v>0.22619047619047619</c:v>
                </c:pt>
                <c:pt idx="53">
                  <c:v>0.2255813953488372</c:v>
                </c:pt>
                <c:pt idx="54">
                  <c:v>0.22573363431151242</c:v>
                </c:pt>
                <c:pt idx="55">
                  <c:v>0.22958057395143489</c:v>
                </c:pt>
                <c:pt idx="56">
                  <c:v>0.2299349240780911</c:v>
                </c:pt>
                <c:pt idx="57">
                  <c:v>0.23126338329764454</c:v>
                </c:pt>
                <c:pt idx="58">
                  <c:v>0.23173277661795408</c:v>
                </c:pt>
                <c:pt idx="59">
                  <c:v>0.23203285420944558</c:v>
                </c:pt>
                <c:pt idx="60">
                  <c:v>0.23030303030303031</c:v>
                </c:pt>
                <c:pt idx="61">
                  <c:v>0.23214285714285715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375696767001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のり2!$N$3:$N$64</c:f>
              <c:numCache>
                <c:formatCode>0.0%</c:formatCode>
                <c:ptCount val="62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  <c:pt idx="32">
                  <c:v>0.54716981132075471</c:v>
                </c:pt>
                <c:pt idx="33">
                  <c:v>0.54716981132075471</c:v>
                </c:pt>
                <c:pt idx="34">
                  <c:v>0.55555555555555558</c:v>
                </c:pt>
                <c:pt idx="35">
                  <c:v>0.5714285714285714</c:v>
                </c:pt>
                <c:pt idx="36">
                  <c:v>0.55172413793103448</c:v>
                </c:pt>
                <c:pt idx="37">
                  <c:v>0.5423728813559322</c:v>
                </c:pt>
                <c:pt idx="38">
                  <c:v>0.53333333333333333</c:v>
                </c:pt>
                <c:pt idx="39">
                  <c:v>0.54838709677419351</c:v>
                </c:pt>
                <c:pt idx="40">
                  <c:v>0.53846153846153844</c:v>
                </c:pt>
                <c:pt idx="41">
                  <c:v>0.52173913043478259</c:v>
                </c:pt>
                <c:pt idx="42">
                  <c:v>0.53424657534246578</c:v>
                </c:pt>
                <c:pt idx="43">
                  <c:v>0.54054054054054057</c:v>
                </c:pt>
                <c:pt idx="44">
                  <c:v>0.53947368421052633</c:v>
                </c:pt>
                <c:pt idx="45">
                  <c:v>0.54545454545454541</c:v>
                </c:pt>
                <c:pt idx="46">
                  <c:v>0.54545454545454541</c:v>
                </c:pt>
                <c:pt idx="47">
                  <c:v>0.55128205128205132</c:v>
                </c:pt>
                <c:pt idx="48">
                  <c:v>0.55128205128205132</c:v>
                </c:pt>
                <c:pt idx="49">
                  <c:v>0.53749999999999998</c:v>
                </c:pt>
                <c:pt idx="50">
                  <c:v>0.54216867469879515</c:v>
                </c:pt>
                <c:pt idx="51">
                  <c:v>0.54216867469879515</c:v>
                </c:pt>
                <c:pt idx="52">
                  <c:v>0.54022988505747127</c:v>
                </c:pt>
                <c:pt idx="53">
                  <c:v>0.53260869565217395</c:v>
                </c:pt>
                <c:pt idx="54">
                  <c:v>0.54166666666666663</c:v>
                </c:pt>
                <c:pt idx="55">
                  <c:v>0.54081632653061229</c:v>
                </c:pt>
                <c:pt idx="56">
                  <c:v>0.53465346534653468</c:v>
                </c:pt>
                <c:pt idx="57">
                  <c:v>0.52941176470588236</c:v>
                </c:pt>
                <c:pt idx="58">
                  <c:v>0.53846153846153844</c:v>
                </c:pt>
                <c:pt idx="59">
                  <c:v>0.53846153846153844</c:v>
                </c:pt>
                <c:pt idx="60">
                  <c:v>0.53846153846153844</c:v>
                </c:pt>
                <c:pt idx="61">
                  <c:v>0.54285714285714282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150632215502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のり2!$O$3:$O$64</c:f>
              <c:numCache>
                <c:formatCode>0.0%</c:formatCode>
                <c:ptCount val="62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  <c:pt idx="32">
                  <c:v>0.3728813559322034</c:v>
                </c:pt>
                <c:pt idx="33">
                  <c:v>0.36666666666666664</c:v>
                </c:pt>
                <c:pt idx="34">
                  <c:v>0.37096774193548387</c:v>
                </c:pt>
                <c:pt idx="35">
                  <c:v>0.37878787878787878</c:v>
                </c:pt>
                <c:pt idx="36">
                  <c:v>0.4</c:v>
                </c:pt>
                <c:pt idx="37">
                  <c:v>0.4</c:v>
                </c:pt>
                <c:pt idx="38">
                  <c:v>0.40845070422535212</c:v>
                </c:pt>
                <c:pt idx="39">
                  <c:v>0.41891891891891891</c:v>
                </c:pt>
                <c:pt idx="40">
                  <c:v>0.41891891891891891</c:v>
                </c:pt>
                <c:pt idx="41">
                  <c:v>0.41891891891891891</c:v>
                </c:pt>
                <c:pt idx="42">
                  <c:v>0.41333333333333333</c:v>
                </c:pt>
                <c:pt idx="43">
                  <c:v>0.41558441558441561</c:v>
                </c:pt>
                <c:pt idx="44">
                  <c:v>0.42307692307692307</c:v>
                </c:pt>
                <c:pt idx="45">
                  <c:v>0.4375</c:v>
                </c:pt>
                <c:pt idx="46">
                  <c:v>0.43902439024390244</c:v>
                </c:pt>
                <c:pt idx="47">
                  <c:v>0.42857142857142855</c:v>
                </c:pt>
                <c:pt idx="48">
                  <c:v>0.43529411764705883</c:v>
                </c:pt>
                <c:pt idx="49">
                  <c:v>0.43023255813953487</c:v>
                </c:pt>
                <c:pt idx="50">
                  <c:v>0.42528735632183906</c:v>
                </c:pt>
                <c:pt idx="51">
                  <c:v>0.43157894736842106</c:v>
                </c:pt>
                <c:pt idx="52">
                  <c:v>0.43157894736842106</c:v>
                </c:pt>
                <c:pt idx="53">
                  <c:v>0.42268041237113402</c:v>
                </c:pt>
                <c:pt idx="54">
                  <c:v>0.43</c:v>
                </c:pt>
                <c:pt idx="55">
                  <c:v>0.42307692307692307</c:v>
                </c:pt>
                <c:pt idx="56">
                  <c:v>0.42452830188679247</c:v>
                </c:pt>
                <c:pt idx="57">
                  <c:v>0.41666666666666669</c:v>
                </c:pt>
                <c:pt idx="58">
                  <c:v>0.42342342342342343</c:v>
                </c:pt>
                <c:pt idx="59">
                  <c:v>0.4247787610619469</c:v>
                </c:pt>
                <c:pt idx="60">
                  <c:v>0.42105263157894735</c:v>
                </c:pt>
                <c:pt idx="61">
                  <c:v>0.42735042735042733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2235722964763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のり2!$A$3:$A$64</c:f>
              <c:numCache>
                <c:formatCode>0\ "回"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のり2!$P$3:$P$64</c:f>
              <c:numCache>
                <c:formatCode>0.0%</c:formatCode>
                <c:ptCount val="62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  <c:pt idx="32">
                  <c:v>0.46774193548387094</c:v>
                </c:pt>
                <c:pt idx="33">
                  <c:v>0.46031746031746029</c:v>
                </c:pt>
                <c:pt idx="34">
                  <c:v>0.47692307692307695</c:v>
                </c:pt>
                <c:pt idx="35">
                  <c:v>0.45833333333333331</c:v>
                </c:pt>
                <c:pt idx="36">
                  <c:v>0.48</c:v>
                </c:pt>
                <c:pt idx="37">
                  <c:v>0.48684210526315791</c:v>
                </c:pt>
                <c:pt idx="38">
                  <c:v>0.48051948051948051</c:v>
                </c:pt>
                <c:pt idx="39">
                  <c:v>0.49382716049382713</c:v>
                </c:pt>
                <c:pt idx="40">
                  <c:v>0.48780487804878048</c:v>
                </c:pt>
                <c:pt idx="41">
                  <c:v>0.48192771084337349</c:v>
                </c:pt>
                <c:pt idx="42">
                  <c:v>0.47674418604651164</c:v>
                </c:pt>
                <c:pt idx="43">
                  <c:v>0.46590909090909088</c:v>
                </c:pt>
                <c:pt idx="44">
                  <c:v>0.45054945054945056</c:v>
                </c:pt>
                <c:pt idx="45">
                  <c:v>0.44680851063829785</c:v>
                </c:pt>
                <c:pt idx="46">
                  <c:v>0.45360824742268041</c:v>
                </c:pt>
                <c:pt idx="47">
                  <c:v>0.44897959183673469</c:v>
                </c:pt>
                <c:pt idx="48">
                  <c:v>0.44444444444444442</c:v>
                </c:pt>
                <c:pt idx="49">
                  <c:v>0.44444444444444442</c:v>
                </c:pt>
                <c:pt idx="50">
                  <c:v>0.44554455445544555</c:v>
                </c:pt>
                <c:pt idx="51">
                  <c:v>0.44761904761904764</c:v>
                </c:pt>
                <c:pt idx="52">
                  <c:v>0.44859813084112149</c:v>
                </c:pt>
                <c:pt idx="53">
                  <c:v>0.44954128440366975</c:v>
                </c:pt>
                <c:pt idx="54">
                  <c:v>0.45614035087719296</c:v>
                </c:pt>
                <c:pt idx="55">
                  <c:v>0.44444444444444442</c:v>
                </c:pt>
                <c:pt idx="56">
                  <c:v>0.45</c:v>
                </c:pt>
                <c:pt idx="57">
                  <c:v>0.45</c:v>
                </c:pt>
                <c:pt idx="58">
                  <c:v>0.44800000000000001</c:v>
                </c:pt>
                <c:pt idx="59">
                  <c:v>0.453125</c:v>
                </c:pt>
                <c:pt idx="60">
                  <c:v>0.453125</c:v>
                </c:pt>
                <c:pt idx="61">
                  <c:v>0.4621212121212121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6546830652790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89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8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8" x14ac:dyDescent="0.45">
      <c r="A82" s="28" t="s">
        <v>288</v>
      </c>
      <c r="B82" s="29">
        <v>43814.578449074077</v>
      </c>
      <c r="C82" s="28" t="s">
        <v>128</v>
      </c>
    </row>
    <row r="83" spans="1:8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8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8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8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8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8" x14ac:dyDescent="0.45">
      <c r="A88" s="28" t="s">
        <v>294</v>
      </c>
      <c r="B88" s="29">
        <v>43838.76290509259</v>
      </c>
      <c r="C88" s="28" t="s">
        <v>128</v>
      </c>
    </row>
    <row r="89" spans="1:8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855</v>
      </c>
    </row>
    <row r="2" spans="1:2" x14ac:dyDescent="0.45">
      <c r="A2" t="s">
        <v>161</v>
      </c>
      <c r="B2">
        <v>77</v>
      </c>
    </row>
    <row r="3" spans="1:2" x14ac:dyDescent="0.45">
      <c r="A3" t="s">
        <v>126</v>
      </c>
      <c r="B3">
        <v>165</v>
      </c>
    </row>
    <row r="4" spans="1:2" x14ac:dyDescent="0.45">
      <c r="A4" t="s">
        <v>127</v>
      </c>
      <c r="B4">
        <v>146</v>
      </c>
    </row>
    <row r="5" spans="1:2" x14ac:dyDescent="0.45">
      <c r="A5" t="s">
        <v>172</v>
      </c>
      <c r="B5">
        <v>95</v>
      </c>
    </row>
    <row r="6" spans="1:2" x14ac:dyDescent="0.45">
      <c r="A6" t="s">
        <v>170</v>
      </c>
      <c r="B6">
        <v>119</v>
      </c>
    </row>
    <row r="7" spans="1:2" x14ac:dyDescent="0.45">
      <c r="A7" t="s">
        <v>171</v>
      </c>
      <c r="B7">
        <v>132</v>
      </c>
    </row>
    <row r="8" spans="1:2" x14ac:dyDescent="0.45">
      <c r="A8" t="s">
        <v>197</v>
      </c>
      <c r="B8">
        <v>61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0.96564132628103316</v>
      </c>
      <c r="G2" s="167"/>
      <c r="H2" s="166">
        <v>0.83539738885471004</v>
      </c>
      <c r="I2" s="167"/>
      <c r="J2" s="166">
        <v>0.90215214339794281</v>
      </c>
      <c r="K2" s="167"/>
      <c r="L2" s="166">
        <v>0.48705811657905423</v>
      </c>
      <c r="M2" s="167"/>
      <c r="N2" s="166">
        <v>0.51401802397860019</v>
      </c>
      <c r="O2" s="167"/>
      <c r="P2" s="166">
        <v>0.52891373322863833</v>
      </c>
      <c r="Q2" s="167"/>
      <c r="R2" s="166">
        <v>0.26579125076063109</v>
      </c>
      <c r="S2" s="167"/>
      <c r="T2" s="166">
        <v>0.41587279153868778</v>
      </c>
      <c r="U2" s="167"/>
      <c r="V2" s="166">
        <v>0.48060050603056914</v>
      </c>
      <c r="W2" s="167"/>
      <c r="X2" s="166">
        <v>9.6396854205684692E-3</v>
      </c>
      <c r="Y2" s="167"/>
      <c r="Z2" s="166">
        <v>0.34742931817416051</v>
      </c>
      <c r="AA2" s="167"/>
      <c r="AB2" s="166">
        <v>-8.3745720598353088E-3</v>
      </c>
      <c r="AC2" s="167"/>
      <c r="AD2" s="166">
        <v>-3.4442524534904234E-2</v>
      </c>
      <c r="AE2" s="167"/>
      <c r="AF2" s="166">
        <v>0.84336801759105362</v>
      </c>
      <c r="AG2" s="167"/>
    </row>
    <row r="3" spans="1:33" x14ac:dyDescent="0.45">
      <c r="A3" s="70">
        <v>1</v>
      </c>
      <c r="B3" s="71" t="s">
        <v>126</v>
      </c>
      <c r="C3" s="72">
        <v>1432.4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10711.231884057972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672.80000000000041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0.24848484848484848</v>
      </c>
      <c r="L4" s="81" t="s">
        <v>281</v>
      </c>
      <c r="M4" s="84">
        <v>0.37681159420289856</v>
      </c>
      <c r="N4" s="81" t="s">
        <v>126</v>
      </c>
      <c r="O4" s="84">
        <v>0.13043478260869565</v>
      </c>
      <c r="P4" s="81" t="s">
        <v>281</v>
      </c>
      <c r="Q4" s="85">
        <v>9534.6153846153848</v>
      </c>
      <c r="R4" s="81" t="s">
        <v>171</v>
      </c>
      <c r="S4" s="85">
        <v>-7108.4967320261439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0.50724637681159424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8.6812121212121216</v>
      </c>
      <c r="F5" s="81" t="s">
        <v>126</v>
      </c>
      <c r="G5" s="82">
        <v>1.7878787878787878</v>
      </c>
      <c r="H5" s="81" t="s">
        <v>126</v>
      </c>
      <c r="I5" s="83">
        <v>0.46060606060606063</v>
      </c>
      <c r="J5" s="81" t="s">
        <v>170</v>
      </c>
      <c r="K5" s="83">
        <v>0.30252100840336132</v>
      </c>
      <c r="L5" s="81" t="s">
        <v>274</v>
      </c>
      <c r="M5" s="84">
        <v>0.3559322033898305</v>
      </c>
      <c r="N5" s="81" t="s">
        <v>171</v>
      </c>
      <c r="O5" s="84">
        <v>0.14179796107506951</v>
      </c>
      <c r="P5" s="81" t="s">
        <v>280</v>
      </c>
      <c r="Q5" s="85">
        <v>8512.5</v>
      </c>
      <c r="R5" s="81" t="s">
        <v>126</v>
      </c>
      <c r="S5" s="85">
        <v>-7553.1073446327682</v>
      </c>
      <c r="T5" s="81" t="s">
        <v>126</v>
      </c>
      <c r="U5" s="83">
        <v>4.2424242424242427E-2</v>
      </c>
      <c r="V5" s="81" t="s">
        <v>170</v>
      </c>
      <c r="W5" s="84">
        <v>0.31038026721479961</v>
      </c>
      <c r="X5" s="81" t="s">
        <v>127</v>
      </c>
      <c r="Y5" s="84">
        <v>0.29950900163666122</v>
      </c>
      <c r="Z5" s="81" t="s">
        <v>126</v>
      </c>
      <c r="AA5" s="84">
        <v>0.6033519553072626</v>
      </c>
      <c r="AB5" s="81" t="s">
        <v>126</v>
      </c>
      <c r="AC5" s="84">
        <v>0.49211356466876971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5.653781512605045</v>
      </c>
      <c r="F6" s="81" t="s">
        <v>170</v>
      </c>
      <c r="G6" s="82">
        <v>1.8823529411764706</v>
      </c>
      <c r="H6" s="81" t="s">
        <v>228</v>
      </c>
      <c r="I6" s="83">
        <v>0.42857142857142855</v>
      </c>
      <c r="J6" s="81" t="s">
        <v>127</v>
      </c>
      <c r="K6" s="83">
        <v>0.30821917808219179</v>
      </c>
      <c r="L6" s="81" t="s">
        <v>126</v>
      </c>
      <c r="M6" s="84">
        <v>0.34340456890198967</v>
      </c>
      <c r="N6" s="81" t="s">
        <v>161</v>
      </c>
      <c r="O6" s="84">
        <v>0.15350877192982457</v>
      </c>
      <c r="P6" s="81" t="s">
        <v>196</v>
      </c>
      <c r="Q6" s="85">
        <v>8385.7142857142862</v>
      </c>
      <c r="R6" s="81" t="s">
        <v>172</v>
      </c>
      <c r="S6" s="85">
        <v>-7591.7808219178078</v>
      </c>
      <c r="T6" s="81" t="s">
        <v>172</v>
      </c>
      <c r="U6" s="83">
        <v>7.3684210526315783E-2</v>
      </c>
      <c r="V6" s="81" t="s">
        <v>274</v>
      </c>
      <c r="W6" s="84">
        <v>0.30508474576271188</v>
      </c>
      <c r="X6" s="81" t="s">
        <v>161</v>
      </c>
      <c r="Y6" s="84">
        <v>0.25292397660818716</v>
      </c>
      <c r="Z6" s="81" t="s">
        <v>196</v>
      </c>
      <c r="AA6" s="84">
        <v>0.59677419354838712</v>
      </c>
      <c r="AB6" s="81" t="s">
        <v>281</v>
      </c>
      <c r="AC6" s="84">
        <v>0.45454545454545453</v>
      </c>
      <c r="AD6" s="81" t="s">
        <v>172</v>
      </c>
      <c r="AE6" s="84">
        <v>0.46846846846846846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21.799999999999812</v>
      </c>
      <c r="D7" s="81" t="s">
        <v>127</v>
      </c>
      <c r="E7" s="93">
        <v>0.14931506849314941</v>
      </c>
      <c r="F7" s="81" t="s">
        <v>127</v>
      </c>
      <c r="G7" s="82">
        <v>1.9657534246575343</v>
      </c>
      <c r="H7" s="81" t="s">
        <v>170</v>
      </c>
      <c r="I7" s="83">
        <v>0.42016806722689076</v>
      </c>
      <c r="J7" s="81" t="s">
        <v>171</v>
      </c>
      <c r="K7" s="83">
        <v>0.31818181818181818</v>
      </c>
      <c r="L7" s="81" t="s">
        <v>127</v>
      </c>
      <c r="M7" s="84">
        <v>0.30523731587561376</v>
      </c>
      <c r="N7" s="81" t="s">
        <v>141</v>
      </c>
      <c r="O7" s="84">
        <v>0.16137123745819398</v>
      </c>
      <c r="P7" s="81" t="s">
        <v>141</v>
      </c>
      <c r="Q7" s="85">
        <v>8357.8524124881733</v>
      </c>
      <c r="R7" s="81" t="s">
        <v>141</v>
      </c>
      <c r="S7" s="85">
        <v>-7747.1502590673572</v>
      </c>
      <c r="T7" s="81" t="s">
        <v>171</v>
      </c>
      <c r="U7" s="83">
        <v>7.575757575757576E-2</v>
      </c>
      <c r="V7" s="81" t="s">
        <v>172</v>
      </c>
      <c r="W7" s="84">
        <v>0.2767527675276753</v>
      </c>
      <c r="X7" s="81" t="s">
        <v>126</v>
      </c>
      <c r="Y7" s="84">
        <v>0.23360353721444363</v>
      </c>
      <c r="Z7" s="81" t="s">
        <v>170</v>
      </c>
      <c r="AA7" s="84">
        <v>0.55629139072847678</v>
      </c>
      <c r="AB7" s="81" t="s">
        <v>197</v>
      </c>
      <c r="AC7" s="84">
        <v>0.42735042735042733</v>
      </c>
      <c r="AD7" s="81" t="s">
        <v>197</v>
      </c>
      <c r="AE7" s="84">
        <v>0.4621212121212121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141</v>
      </c>
      <c r="C8" s="80">
        <v>-5.6843418860808015E-14</v>
      </c>
      <c r="D8" s="81" t="s">
        <v>141</v>
      </c>
      <c r="E8" s="93">
        <v>-6.6483530831354405E-17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0.29459308807134893</v>
      </c>
      <c r="N8" s="81" t="s">
        <v>170</v>
      </c>
      <c r="O8" s="84">
        <v>0.16855087358684481</v>
      </c>
      <c r="P8" s="81" t="s">
        <v>171</v>
      </c>
      <c r="Q8" s="85">
        <v>8234.0067340067344</v>
      </c>
      <c r="R8" s="81" t="s">
        <v>161</v>
      </c>
      <c r="S8" s="85">
        <v>-7880</v>
      </c>
      <c r="T8" s="81" t="s">
        <v>161</v>
      </c>
      <c r="U8" s="83">
        <v>7.792207792207792E-2</v>
      </c>
      <c r="V8" s="81" t="s">
        <v>203</v>
      </c>
      <c r="W8" s="84">
        <v>0.26666666666666666</v>
      </c>
      <c r="X8" s="81" t="s">
        <v>197</v>
      </c>
      <c r="Y8" s="84">
        <v>0.23214285714285715</v>
      </c>
      <c r="Z8" s="81" t="s">
        <v>141</v>
      </c>
      <c r="AA8" s="84">
        <v>0.55415063221550298</v>
      </c>
      <c r="AB8" s="81" t="s">
        <v>141</v>
      </c>
      <c r="AC8" s="84">
        <v>0.42223572296476308</v>
      </c>
      <c r="AD8" s="81" t="s">
        <v>281</v>
      </c>
      <c r="AE8" s="84">
        <v>0.46153846153846156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171</v>
      </c>
      <c r="E9" s="93">
        <v>-1.8045454545454545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170</v>
      </c>
      <c r="M9" s="84">
        <v>0.28365878725590954</v>
      </c>
      <c r="N9" s="81" t="s">
        <v>274</v>
      </c>
      <c r="O9" s="84">
        <v>0.16949152542372881</v>
      </c>
      <c r="P9" s="81" t="s">
        <v>127</v>
      </c>
      <c r="Q9" s="85">
        <v>8230.8310991957096</v>
      </c>
      <c r="R9" s="81" t="s">
        <v>170</v>
      </c>
      <c r="S9" s="85">
        <v>-7949.3902439024387</v>
      </c>
      <c r="T9" s="81" t="s">
        <v>141</v>
      </c>
      <c r="U9" s="83">
        <v>9.4736842105263161E-2</v>
      </c>
      <c r="V9" s="81" t="s">
        <v>171</v>
      </c>
      <c r="W9" s="84">
        <v>0.26413345690454126</v>
      </c>
      <c r="X9" s="81" t="s">
        <v>141</v>
      </c>
      <c r="Y9" s="84">
        <v>0.22937569676700112</v>
      </c>
      <c r="Z9" s="81" t="s">
        <v>171</v>
      </c>
      <c r="AA9" s="84">
        <v>0.54736842105263162</v>
      </c>
      <c r="AB9" s="81" t="s">
        <v>172</v>
      </c>
      <c r="AC9" s="84">
        <v>0.41509433962264153</v>
      </c>
      <c r="AD9" s="81" t="s">
        <v>141</v>
      </c>
      <c r="AE9" s="84">
        <v>0.44654683065279094</v>
      </c>
      <c r="AF9" s="81" t="s">
        <v>161</v>
      </c>
      <c r="AG9" s="88">
        <v>86900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0.34246575342465752</v>
      </c>
      <c r="J10" s="81" t="s">
        <v>172</v>
      </c>
      <c r="K10" s="83">
        <v>0.37894736842105264</v>
      </c>
      <c r="L10" s="81" t="s">
        <v>171</v>
      </c>
      <c r="M10" s="84">
        <v>0.27525486561631141</v>
      </c>
      <c r="N10" s="81" t="s">
        <v>196</v>
      </c>
      <c r="O10" s="84">
        <v>0.17499999999999999</v>
      </c>
      <c r="P10" s="81" t="s">
        <v>126</v>
      </c>
      <c r="Q10" s="85">
        <v>8144.6351931330473</v>
      </c>
      <c r="R10" s="81" t="s">
        <v>127</v>
      </c>
      <c r="S10" s="85">
        <v>-7970.8520179372199</v>
      </c>
      <c r="T10" s="81" t="s">
        <v>170</v>
      </c>
      <c r="U10" s="83">
        <v>0.10084033613445378</v>
      </c>
      <c r="V10" s="81" t="s">
        <v>126</v>
      </c>
      <c r="W10" s="84">
        <v>0.26381724392041267</v>
      </c>
      <c r="X10" s="81" t="s">
        <v>171</v>
      </c>
      <c r="Y10" s="84">
        <v>0.22613531047265986</v>
      </c>
      <c r="Z10" s="81" t="s">
        <v>197</v>
      </c>
      <c r="AA10" s="84">
        <v>0.54285714285714282</v>
      </c>
      <c r="AB10" s="81" t="s">
        <v>171</v>
      </c>
      <c r="AC10" s="84">
        <v>0.41393442622950821</v>
      </c>
      <c r="AD10" s="81" t="s">
        <v>171</v>
      </c>
      <c r="AE10" s="84">
        <v>0.44444444444444442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2.0909090909090908</v>
      </c>
      <c r="H11" s="81" t="s">
        <v>141</v>
      </c>
      <c r="I11" s="83">
        <v>0.33333333333333331</v>
      </c>
      <c r="J11" s="81" t="s">
        <v>274</v>
      </c>
      <c r="K11" s="83">
        <v>0.38461538461538464</v>
      </c>
      <c r="L11" s="81" t="s">
        <v>161</v>
      </c>
      <c r="M11" s="84">
        <v>0.27339181286549707</v>
      </c>
      <c r="N11" s="81" t="s">
        <v>172</v>
      </c>
      <c r="O11" s="84">
        <v>0.17958179581795819</v>
      </c>
      <c r="P11" s="81" t="s">
        <v>197</v>
      </c>
      <c r="Q11" s="85">
        <v>8013.636363636364</v>
      </c>
      <c r="R11" s="81" t="s">
        <v>280</v>
      </c>
      <c r="S11" s="85">
        <v>-7987.5</v>
      </c>
      <c r="T11" s="81" t="s">
        <v>196</v>
      </c>
      <c r="U11" s="83">
        <v>0.12</v>
      </c>
      <c r="V11" s="81" t="s">
        <v>196</v>
      </c>
      <c r="W11" s="84">
        <v>0.25833333333333336</v>
      </c>
      <c r="X11" s="81" t="s">
        <v>172</v>
      </c>
      <c r="Y11" s="84">
        <v>0.19557195571955718</v>
      </c>
      <c r="Z11" s="81" t="s">
        <v>172</v>
      </c>
      <c r="AA11" s="84">
        <v>0.54222222222222227</v>
      </c>
      <c r="AB11" s="81" t="s">
        <v>161</v>
      </c>
      <c r="AC11" s="84">
        <v>0.41040462427745666</v>
      </c>
      <c r="AD11" s="81" t="s">
        <v>126</v>
      </c>
      <c r="AE11" s="84">
        <v>0.42060085836909872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172</v>
      </c>
      <c r="E12" s="93">
        <v>-6.3073684210526313</v>
      </c>
      <c r="F12" s="81" t="s">
        <v>161</v>
      </c>
      <c r="G12" s="82">
        <v>2.1298701298701297</v>
      </c>
      <c r="H12" s="81" t="s">
        <v>161</v>
      </c>
      <c r="I12" s="83">
        <v>0.31168831168831168</v>
      </c>
      <c r="J12" s="81" t="s">
        <v>196</v>
      </c>
      <c r="K12" s="83">
        <v>0.4</v>
      </c>
      <c r="L12" s="81" t="s">
        <v>172</v>
      </c>
      <c r="M12" s="84">
        <v>0.27306273062730629</v>
      </c>
      <c r="N12" s="81" t="s">
        <v>197</v>
      </c>
      <c r="O12" s="84">
        <v>0.18055555555555555</v>
      </c>
      <c r="P12" s="81" t="s">
        <v>172</v>
      </c>
      <c r="Q12" s="85">
        <v>7830.6306306306305</v>
      </c>
      <c r="R12" s="81" t="s">
        <v>203</v>
      </c>
      <c r="S12" s="85">
        <v>-8000</v>
      </c>
      <c r="T12" s="81" t="s">
        <v>127</v>
      </c>
      <c r="U12" s="83">
        <v>0.12328767123287671</v>
      </c>
      <c r="V12" s="81" t="s">
        <v>141</v>
      </c>
      <c r="W12" s="84">
        <v>0.25348383500557414</v>
      </c>
      <c r="X12" s="81" t="s">
        <v>170</v>
      </c>
      <c r="Y12" s="84">
        <v>0.17985611510791366</v>
      </c>
      <c r="Z12" s="81" t="s">
        <v>228</v>
      </c>
      <c r="AA12" s="84">
        <v>0.53333333333333333</v>
      </c>
      <c r="AB12" s="81" t="s">
        <v>170</v>
      </c>
      <c r="AC12" s="84">
        <v>0.4</v>
      </c>
      <c r="AD12" s="81" t="s">
        <v>161</v>
      </c>
      <c r="AE12" s="84">
        <v>0.41711229946524064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-238.2</v>
      </c>
      <c r="D13" s="81" t="s">
        <v>161</v>
      </c>
      <c r="E13" s="93">
        <v>-6.3636363636363669</v>
      </c>
      <c r="F13" s="81" t="s">
        <v>228</v>
      </c>
      <c r="G13" s="82">
        <v>2.1428571428571428</v>
      </c>
      <c r="H13" s="81" t="s">
        <v>171</v>
      </c>
      <c r="I13" s="83">
        <v>0.22727272727272727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0.18248772504091654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0.16393442622950818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0.52040816326530615</v>
      </c>
      <c r="AB13" s="81" t="s">
        <v>127</v>
      </c>
      <c r="AC13" s="84">
        <v>0.38251366120218577</v>
      </c>
      <c r="AD13" s="81" t="s">
        <v>127</v>
      </c>
      <c r="AE13" s="84">
        <v>0.41554959785522788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-490.00000000000023</v>
      </c>
      <c r="D14" s="81" t="s">
        <v>197</v>
      </c>
      <c r="E14" s="93">
        <v>-10.711475409836067</v>
      </c>
      <c r="F14" s="81" t="s">
        <v>172</v>
      </c>
      <c r="G14" s="82">
        <v>2.1578947368421053</v>
      </c>
      <c r="H14" s="81" t="s">
        <v>172</v>
      </c>
      <c r="I14" s="83">
        <v>0.22105263157894736</v>
      </c>
      <c r="J14" s="81" t="s">
        <v>161</v>
      </c>
      <c r="K14" s="83">
        <v>0.44155844155844154</v>
      </c>
      <c r="L14" s="81" t="s">
        <v>197</v>
      </c>
      <c r="M14" s="84">
        <v>0.26190476190476192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-8362.6373626373625</v>
      </c>
      <c r="T14" s="81" t="s">
        <v>280</v>
      </c>
      <c r="U14" s="83">
        <v>0.2</v>
      </c>
      <c r="V14" s="81" t="s">
        <v>127</v>
      </c>
      <c r="W14" s="84">
        <v>0.23404255319148937</v>
      </c>
      <c r="X14" s="81" t="s">
        <v>196</v>
      </c>
      <c r="Y14" s="84">
        <v>0.15</v>
      </c>
      <c r="Z14" s="81" t="s">
        <v>127</v>
      </c>
      <c r="AA14" s="84">
        <v>0.50349650349650354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-599.19999999999993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0.44262295081967212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7100.5347593582892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0.20833333333333334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-653.40000000000009</v>
      </c>
      <c r="D16" s="81" t="s">
        <v>280</v>
      </c>
      <c r="E16" s="93">
        <v>-16.160000000000004</v>
      </c>
      <c r="F16" s="81" t="s">
        <v>197</v>
      </c>
      <c r="G16" s="82">
        <v>2.278688524590164</v>
      </c>
      <c r="H16" s="81" t="s">
        <v>197</v>
      </c>
      <c r="I16" s="83">
        <v>0.16393442622950818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0.14327485380116958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85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855</v>
      </c>
      <c r="C2" s="155"/>
      <c r="E2" s="58" t="s">
        <v>66</v>
      </c>
      <c r="F2" s="55" t="s">
        <v>22</v>
      </c>
      <c r="G2" s="43">
        <v>1601</v>
      </c>
      <c r="H2" s="128">
        <f>IF(B$15=0,0,G2/B$15)</f>
        <v>0.75733207190160834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-25.821596244131456</v>
      </c>
      <c r="P2" s="114">
        <v>852</v>
      </c>
      <c r="Q2" s="98">
        <v>-22000</v>
      </c>
    </row>
    <row r="3" spans="1:17" x14ac:dyDescent="0.45">
      <c r="A3" s="51" t="s">
        <v>8</v>
      </c>
      <c r="B3" s="156">
        <v>7176</v>
      </c>
      <c r="C3" s="157"/>
      <c r="E3" s="59" t="s">
        <v>72</v>
      </c>
      <c r="F3" s="56" t="s">
        <v>27</v>
      </c>
      <c r="G3" s="44">
        <v>1131</v>
      </c>
      <c r="H3" s="129">
        <f>IF(B$15=0,0,G3/B$15)</f>
        <v>0.53500473036896878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8.3333333333333339</v>
      </c>
      <c r="P3" s="115">
        <v>840</v>
      </c>
      <c r="Q3" s="99">
        <v>7000</v>
      </c>
    </row>
    <row r="4" spans="1:17" x14ac:dyDescent="0.45">
      <c r="A4" s="51" t="s">
        <v>6</v>
      </c>
      <c r="B4" s="158">
        <v>-5.6843418860808015E-14</v>
      </c>
      <c r="C4" s="159"/>
      <c r="E4" s="59" t="s">
        <v>64</v>
      </c>
      <c r="F4" s="56" t="s">
        <v>20</v>
      </c>
      <c r="G4" s="44">
        <v>972</v>
      </c>
      <c r="H4" s="129">
        <f>IF(B$15=0,0,G4/B$15)</f>
        <v>0.45979186376537368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-7.5757575757575761</v>
      </c>
      <c r="P4" s="115">
        <v>792</v>
      </c>
      <c r="Q4" s="99">
        <v>-6000</v>
      </c>
    </row>
    <row r="5" spans="1:17" x14ac:dyDescent="0.45">
      <c r="A5" s="51" t="s">
        <v>7</v>
      </c>
      <c r="B5" s="160">
        <f>IF(B$2=0,0,B$4/B$2)</f>
        <v>-6.6483530831354405E-17</v>
      </c>
      <c r="C5" s="161"/>
      <c r="E5" s="59" t="s">
        <v>166</v>
      </c>
      <c r="F5" s="56" t="s">
        <v>167</v>
      </c>
      <c r="G5" s="44">
        <v>817</v>
      </c>
      <c r="H5" s="129">
        <f>IF(B$15=0,0,G5/B$15)</f>
        <v>0.38647114474929045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10.75268817204301</v>
      </c>
      <c r="P5" s="115">
        <v>744</v>
      </c>
      <c r="Q5" s="99">
        <v>8000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658</v>
      </c>
      <c r="H6" s="129">
        <f>IF(B$15=0,0,G6/B$15)</f>
        <v>0.31125827814569534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2.9112081513828238</v>
      </c>
      <c r="P6" s="115">
        <v>687</v>
      </c>
      <c r="Q6" s="99">
        <v>2000</v>
      </c>
    </row>
    <row r="7" spans="1:17" x14ac:dyDescent="0.45">
      <c r="A7" s="51" t="s">
        <v>2</v>
      </c>
      <c r="B7" s="44">
        <v>285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599</v>
      </c>
      <c r="H7" s="129">
        <f>IF(B$15=0,0,G7/B$15)</f>
        <v>0.28334910122989593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15.706806282722512</v>
      </c>
      <c r="P7" s="116">
        <v>573</v>
      </c>
      <c r="Q7" s="100">
        <v>9000</v>
      </c>
    </row>
    <row r="8" spans="1:17" x14ac:dyDescent="0.45">
      <c r="A8" s="51" t="s">
        <v>3</v>
      </c>
      <c r="B8" s="44">
        <v>285</v>
      </c>
      <c r="C8" s="37">
        <f t="shared" si="1"/>
        <v>0.33333333333333331</v>
      </c>
      <c r="E8" s="59" t="s">
        <v>69</v>
      </c>
      <c r="F8" s="56" t="s">
        <v>24</v>
      </c>
      <c r="G8" s="44">
        <v>303</v>
      </c>
      <c r="H8" s="129">
        <f>IF(B$15=0,0,G8/B$15)</f>
        <v>0.14333017975402082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285</v>
      </c>
      <c r="C9" s="38">
        <f t="shared" si="1"/>
        <v>0.33333333333333331</v>
      </c>
      <c r="E9" s="59" t="s">
        <v>89</v>
      </c>
      <c r="F9" s="56" t="s">
        <v>44</v>
      </c>
      <c r="G9" s="44">
        <v>292</v>
      </c>
      <c r="H9" s="129">
        <f>IF(B$15=0,0,G9/B$15)</f>
        <v>0.13812677388836328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81</v>
      </c>
      <c r="C10" s="40">
        <f t="shared" si="1"/>
        <v>9.4736842105263161E-2</v>
      </c>
      <c r="E10" s="59" t="s">
        <v>65</v>
      </c>
      <c r="F10" s="56" t="s">
        <v>21</v>
      </c>
      <c r="G10" s="44">
        <v>226</v>
      </c>
      <c r="H10" s="129">
        <f>IF(B$15=0,0,G10/B$15)</f>
        <v>0.10690633869441817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-2.7880701754385968</v>
      </c>
      <c r="P10" s="114">
        <v>285</v>
      </c>
      <c r="Q10" s="102">
        <v>-794.60000000000014</v>
      </c>
    </row>
    <row r="11" spans="1:17" x14ac:dyDescent="0.45">
      <c r="A11" s="54" t="s">
        <v>121</v>
      </c>
      <c r="B11" s="47">
        <v>1819</v>
      </c>
      <c r="C11" s="42">
        <f>IF(B$3=0,0,B11/B$3)</f>
        <v>0.25348383500557414</v>
      </c>
      <c r="E11" s="59" t="s">
        <v>70</v>
      </c>
      <c r="F11" s="56" t="s">
        <v>25</v>
      </c>
      <c r="G11" s="44">
        <v>193</v>
      </c>
      <c r="H11" s="129">
        <f>IF(B$15=0,0,G11/B$15)</f>
        <v>9.1296121097445601E-2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0.51754385964912297</v>
      </c>
      <c r="P11" s="115">
        <v>285</v>
      </c>
      <c r="Q11" s="103">
        <v>147.50000000000006</v>
      </c>
    </row>
    <row r="12" spans="1:17" x14ac:dyDescent="0.45">
      <c r="A12" s="51" t="s">
        <v>118</v>
      </c>
      <c r="B12" s="44">
        <v>1646</v>
      </c>
      <c r="C12" s="37">
        <f>IF(B$3=0,0,B12/B$3)</f>
        <v>0.22937569676700112</v>
      </c>
      <c r="E12" s="59" t="s">
        <v>71</v>
      </c>
      <c r="F12" s="56" t="s">
        <v>26</v>
      </c>
      <c r="G12" s="44">
        <v>167</v>
      </c>
      <c r="H12" s="129">
        <f>IF(B$15=0,0,G12/B$15)</f>
        <v>7.8997161778618735E-2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2.2705263157894739</v>
      </c>
      <c r="P12" s="116">
        <v>285</v>
      </c>
      <c r="Q12" s="104">
        <v>647.1</v>
      </c>
    </row>
    <row r="13" spans="1:17" x14ac:dyDescent="0.45">
      <c r="A13" s="50" t="s">
        <v>123</v>
      </c>
      <c r="B13" s="43">
        <f>B19</f>
        <v>1008</v>
      </c>
      <c r="C13" s="35">
        <f>IF(B$11=0,0,B13/B$11)</f>
        <v>0.55415063221550298</v>
      </c>
      <c r="E13" s="59" t="s">
        <v>86</v>
      </c>
      <c r="F13" s="56" t="s">
        <v>41</v>
      </c>
      <c r="G13" s="44">
        <v>108</v>
      </c>
      <c r="H13" s="129">
        <f>IF(B$15=0,0,G13/B$15)</f>
        <v>5.1087984862819298E-2</v>
      </c>
      <c r="I13" s="90">
        <v>5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695</v>
      </c>
      <c r="C14" s="35">
        <f>IF(B$12=0,0,B14/B$12)</f>
        <v>0.42223572296476308</v>
      </c>
      <c r="E14" s="59" t="s">
        <v>83</v>
      </c>
      <c r="F14" s="56" t="s">
        <v>38</v>
      </c>
      <c r="G14" s="44">
        <v>107</v>
      </c>
      <c r="H14" s="129">
        <f>IF(B$15=0,0,G14/B$15)</f>
        <v>5.0614947965941341E-2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2114</v>
      </c>
      <c r="C15" s="35">
        <f>IF(B$3=0,0,B15/B$3)</f>
        <v>0.29459308807134893</v>
      </c>
      <c r="E15" s="59" t="s">
        <v>78</v>
      </c>
      <c r="F15" s="56" t="s">
        <v>33</v>
      </c>
      <c r="G15" s="44">
        <v>53</v>
      </c>
      <c r="H15" s="129">
        <f>IF(B$15=0,0,G15/B$15)</f>
        <v>2.5070955534531692E-2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1158</v>
      </c>
      <c r="C16" s="37">
        <f>IF(B$3=0,0,B16/B$3)</f>
        <v>0.16137123745819398</v>
      </c>
      <c r="E16" s="59" t="s">
        <v>162</v>
      </c>
      <c r="F16" s="56" t="s">
        <v>163</v>
      </c>
      <c r="G16" s="44">
        <v>47</v>
      </c>
      <c r="H16" s="129">
        <f>IF(B$15=0,0,G16/B$15)</f>
        <v>2.2232734153263954E-2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944</v>
      </c>
      <c r="C17" s="37">
        <f>IF(B$15=0,0,B17/B$15)</f>
        <v>0.44654683065279094</v>
      </c>
      <c r="E17" s="59" t="s">
        <v>81</v>
      </c>
      <c r="F17" s="56" t="s">
        <v>36</v>
      </c>
      <c r="G17" s="44">
        <v>46</v>
      </c>
      <c r="H17" s="129">
        <f>IF(B$15=0,0,G17/B$15)</f>
        <v>2.1759697256385997E-2</v>
      </c>
      <c r="I17" s="90">
        <v>4</v>
      </c>
      <c r="K17" s="36">
        <v>15</v>
      </c>
      <c r="L17" s="95">
        <v>0</v>
      </c>
      <c r="N17" s="111" t="s">
        <v>197</v>
      </c>
      <c r="O17" s="121">
        <f>IF(P17=0,0,Q17/P17)</f>
        <v>16.067213114754082</v>
      </c>
      <c r="P17" s="115">
        <v>122</v>
      </c>
      <c r="Q17" s="103">
        <v>1960.1999999999982</v>
      </c>
    </row>
    <row r="18" spans="1:17" x14ac:dyDescent="0.45">
      <c r="A18" s="51" t="s">
        <v>11</v>
      </c>
      <c r="B18" s="44">
        <v>1170</v>
      </c>
      <c r="C18" s="37">
        <f>IF(B$15=0,0,B18/B$15)</f>
        <v>0.55345316934720912</v>
      </c>
      <c r="E18" s="59" t="s">
        <v>91</v>
      </c>
      <c r="F18" s="56" t="s">
        <v>46</v>
      </c>
      <c r="G18" s="44">
        <v>31</v>
      </c>
      <c r="H18" s="129">
        <f>IF(B$15=0,0,G18/B$15)</f>
        <v>1.466414380321665E-2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9.4610526315789425</v>
      </c>
      <c r="P18" s="115">
        <v>190</v>
      </c>
      <c r="Q18" s="103">
        <v>1797.5999999999992</v>
      </c>
    </row>
    <row r="19" spans="1:17" x14ac:dyDescent="0.45">
      <c r="A19" s="51" t="s">
        <v>195</v>
      </c>
      <c r="B19" s="44">
        <v>1008</v>
      </c>
      <c r="C19" s="37">
        <f>IF(B$15=0,0,B19/B$15)</f>
        <v>0.47682119205298013</v>
      </c>
      <c r="E19" s="59" t="s">
        <v>79</v>
      </c>
      <c r="F19" s="56" t="s">
        <v>34</v>
      </c>
      <c r="G19" s="44">
        <v>30</v>
      </c>
      <c r="H19" s="129">
        <f>IF(B$15=0,0,G19/B$15)</f>
        <v>1.4191106906338695E-2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6.7676470588235231</v>
      </c>
      <c r="P19" s="115">
        <v>170</v>
      </c>
      <c r="Q19" s="103">
        <v>1150.4999999999989</v>
      </c>
    </row>
    <row r="20" spans="1:17" x14ac:dyDescent="0.45">
      <c r="A20" s="51" t="s">
        <v>193</v>
      </c>
      <c r="B20" s="44">
        <v>695</v>
      </c>
      <c r="C20" s="37">
        <f>IF(B$15=0,0,B20/B$15)</f>
        <v>0.32876064333017974</v>
      </c>
      <c r="E20" s="59" t="s">
        <v>75</v>
      </c>
      <c r="F20" s="56" t="s">
        <v>30</v>
      </c>
      <c r="G20" s="44">
        <v>16</v>
      </c>
      <c r="H20" s="129">
        <f>IF(B$15=0,0,G20/B$15)</f>
        <v>7.5685903500473037E-3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5">
      <c r="A21" s="51" t="s">
        <v>194</v>
      </c>
      <c r="B21" s="44">
        <v>411</v>
      </c>
      <c r="C21" s="37">
        <f>IF(B$15=0,0,B21/B$15)</f>
        <v>0.19441816461684011</v>
      </c>
      <c r="E21" s="59" t="s">
        <v>85</v>
      </c>
      <c r="F21" s="56" t="s">
        <v>40</v>
      </c>
      <c r="G21" s="44">
        <v>12</v>
      </c>
      <c r="H21" s="129">
        <f>IF(B$15=0,0,G21/B$15)</f>
        <v>5.6764427625354778E-3</v>
      </c>
      <c r="I21" s="90">
        <v>6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8357.8524124881733</v>
      </c>
      <c r="C22" s="39">
        <v>17668500</v>
      </c>
      <c r="E22" s="59" t="s">
        <v>92</v>
      </c>
      <c r="F22" s="56" t="s">
        <v>47</v>
      </c>
      <c r="G22" s="44">
        <v>11</v>
      </c>
      <c r="H22" s="129">
        <f>IF(B$15=0,0,G22/B$15)</f>
        <v>5.2034058656575217E-3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2.7068181818181825</v>
      </c>
      <c r="P22" s="115">
        <v>264</v>
      </c>
      <c r="Q22" s="103">
        <v>714.60000000000014</v>
      </c>
    </row>
    <row r="23" spans="1:17" x14ac:dyDescent="0.45">
      <c r="A23" s="52" t="s">
        <v>177</v>
      </c>
      <c r="B23" s="136">
        <f>IF($B$15-B$14=0,0,C23/($B$15-B$14))</f>
        <v>8995.3488372093016</v>
      </c>
      <c r="C23" s="137">
        <v>12764400</v>
      </c>
      <c r="E23" s="59" t="s">
        <v>73</v>
      </c>
      <c r="F23" s="56" t="s">
        <v>28</v>
      </c>
      <c r="G23" s="44">
        <v>8</v>
      </c>
      <c r="H23" s="129">
        <f>IF(B$15=0,0,G23/B$15)</f>
        <v>3.7842951750236518E-3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-0.22397260273973005</v>
      </c>
      <c r="P23" s="115">
        <v>292</v>
      </c>
      <c r="Q23" s="103">
        <v>-65.400000000001171</v>
      </c>
    </row>
    <row r="24" spans="1:17" x14ac:dyDescent="0.45">
      <c r="A24" s="52" t="s">
        <v>178</v>
      </c>
      <c r="B24" s="136">
        <f>IF(B$14=0,0,C24/B$14)</f>
        <v>7056.258992805755</v>
      </c>
      <c r="C24" s="137">
        <v>4904100</v>
      </c>
      <c r="E24" s="59" t="s">
        <v>74</v>
      </c>
      <c r="F24" s="56" t="s">
        <v>29</v>
      </c>
      <c r="G24" s="44">
        <v>8</v>
      </c>
      <c r="H24" s="129">
        <f>IF(B$15=0,0,G24/B$15)</f>
        <v>3.7842951750236518E-3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-8.4806722689075542</v>
      </c>
      <c r="P24" s="115">
        <v>238</v>
      </c>
      <c r="Q24" s="103">
        <v>-2018.399999999998</v>
      </c>
    </row>
    <row r="25" spans="1:17" x14ac:dyDescent="0.45">
      <c r="A25" s="52" t="s">
        <v>176</v>
      </c>
      <c r="B25" s="136">
        <f>IF(B$16=0,0,C25/B$16)</f>
        <v>-7747.1502590673572</v>
      </c>
      <c r="C25" s="137">
        <v>-8971200</v>
      </c>
      <c r="E25" s="59" t="s">
        <v>84</v>
      </c>
      <c r="F25" s="56" t="s">
        <v>39</v>
      </c>
      <c r="G25" s="44">
        <v>7</v>
      </c>
      <c r="H25" s="129">
        <f>IF(B$15=0,0,G25/B$15)</f>
        <v>3.3112582781456954E-3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-13.021818181818178</v>
      </c>
      <c r="P25" s="115">
        <v>330</v>
      </c>
      <c r="Q25" s="103">
        <v>-4297.1999999999989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6</v>
      </c>
      <c r="H26" s="129">
        <f>IF(B$15=0,0,G26/B$15)</f>
        <v>2.8382213812677389E-3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3</v>
      </c>
      <c r="E27" s="59" t="s">
        <v>88</v>
      </c>
      <c r="F27" s="56" t="s">
        <v>43</v>
      </c>
      <c r="G27" s="44">
        <v>5</v>
      </c>
      <c r="H27" s="129">
        <f>IF(B$15=0,0,G27/B$15)</f>
        <v>2.3651844843897824E-3</v>
      </c>
      <c r="I27" s="90">
        <v>4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1.8921475875118259E-3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1.8921475875118259E-3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20</v>
      </c>
      <c r="C30" s="40">
        <f>IF(B$3=0,0,B30/B$3)</f>
        <v>2.787068004459309E-3</v>
      </c>
      <c r="E30" s="59" t="s">
        <v>93</v>
      </c>
      <c r="F30" s="56" t="s">
        <v>48</v>
      </c>
      <c r="G30" s="44">
        <v>4</v>
      </c>
      <c r="H30" s="129">
        <f>IF(B$15=0,0,G30/B$15)</f>
        <v>1.8921475875118259E-3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1.8921475875118259E-3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166</v>
      </c>
      <c r="C32" s="141">
        <f>IF(B$15=0,0,B32/B$15)</f>
        <v>7.8524124881740778E-2</v>
      </c>
      <c r="E32" s="59" t="s">
        <v>97</v>
      </c>
      <c r="F32" s="56" t="s">
        <v>52</v>
      </c>
      <c r="G32" s="44">
        <v>1</v>
      </c>
      <c r="H32" s="129">
        <f>IF(B$15=0,0,G32/B$15)</f>
        <v>4.7303689687795648E-4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356</v>
      </c>
      <c r="C33" s="37">
        <f t="shared" ref="C33:C44" si="2">IF(B$15=0,0,B33/B$15)</f>
        <v>0.16840113528855249</v>
      </c>
      <c r="E33" s="59" t="s">
        <v>101</v>
      </c>
      <c r="F33" s="56" t="s">
        <v>56</v>
      </c>
      <c r="G33" s="44">
        <v>1</v>
      </c>
      <c r="H33" s="129">
        <f>IF(B$15=0,0,G33/B$15)</f>
        <v>4.7303689687795648E-4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416</v>
      </c>
      <c r="C34" s="37">
        <f>IF(B$15=0,0,B34/B$15)</f>
        <v>0.19678334910122991</v>
      </c>
      <c r="E34" s="59" t="s">
        <v>106</v>
      </c>
      <c r="F34" s="56" t="s">
        <v>113</v>
      </c>
      <c r="G34" s="44">
        <v>1</v>
      </c>
      <c r="H34" s="129">
        <f>IF(B$15=0,0,G34/B$15)</f>
        <v>4.7303689687795648E-4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374</v>
      </c>
      <c r="C35" s="37">
        <f t="shared" si="2"/>
        <v>0.17691579943235572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336</v>
      </c>
      <c r="C36" s="37">
        <f t="shared" si="2"/>
        <v>0.15894039735099338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223</v>
      </c>
      <c r="C37" s="37">
        <f t="shared" si="2"/>
        <v>0.10548722800378429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111</v>
      </c>
      <c r="C38" s="37">
        <f t="shared" si="2"/>
        <v>5.2507095553453169E-2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61</v>
      </c>
      <c r="C39" s="37">
        <f t="shared" si="2"/>
        <v>2.8855250709555344E-2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28</v>
      </c>
      <c r="C40" s="37">
        <f t="shared" si="2"/>
        <v>1.3245033112582781E-2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9</v>
      </c>
      <c r="C41" s="37">
        <f t="shared" si="2"/>
        <v>4.2573320719016088E-3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2.8382213812677389E-3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2.8382213812677389E-3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22</v>
      </c>
      <c r="C44" s="40">
        <f t="shared" si="2"/>
        <v>1.0406811731315043E-2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</sheetData>
  <sortState xmlns:xlrd2="http://schemas.microsoft.com/office/spreadsheetml/2017/richdata2" ref="E2:I85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79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77</v>
      </c>
      <c r="C2" s="155"/>
      <c r="E2" s="58" t="s">
        <v>66</v>
      </c>
      <c r="F2" s="55" t="s">
        <v>22</v>
      </c>
      <c r="G2" s="43">
        <v>139</v>
      </c>
      <c r="H2" s="128">
        <f>IF(B$15=0,0,G2/B$15)</f>
        <v>0.74331550802139035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2266.2337662337663</v>
      </c>
      <c r="P2" s="114">
        <v>77</v>
      </c>
      <c r="Q2" s="98">
        <v>174500</v>
      </c>
    </row>
    <row r="3" spans="1:17" x14ac:dyDescent="0.45">
      <c r="A3" s="51" t="s">
        <v>8</v>
      </c>
      <c r="B3" s="156">
        <v>684</v>
      </c>
      <c r="C3" s="157"/>
      <c r="E3" s="59" t="s">
        <v>72</v>
      </c>
      <c r="F3" s="56" t="s">
        <v>27</v>
      </c>
      <c r="G3" s="44">
        <v>102</v>
      </c>
      <c r="H3" s="129">
        <f>IF(B$15=0,0,G3/B$15)</f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-1848.6842105263158</v>
      </c>
      <c r="P3" s="115">
        <v>76</v>
      </c>
      <c r="Q3" s="99">
        <v>-140500</v>
      </c>
    </row>
    <row r="4" spans="1:17" x14ac:dyDescent="0.45">
      <c r="A4" s="51" t="s">
        <v>6</v>
      </c>
      <c r="B4" s="158">
        <v>-490.00000000000023</v>
      </c>
      <c r="C4" s="159"/>
      <c r="E4" s="59" t="s">
        <v>166</v>
      </c>
      <c r="F4" s="56" t="s">
        <v>167</v>
      </c>
      <c r="G4" s="44">
        <v>69</v>
      </c>
      <c r="H4" s="129">
        <f>IF(B$15=0,0,G4/B$15)</f>
        <v>0.36898395721925131</v>
      </c>
      <c r="I4" s="90">
        <v>9</v>
      </c>
      <c r="K4" s="36">
        <v>2</v>
      </c>
      <c r="L4" s="95">
        <v>19.899999999999999</v>
      </c>
      <c r="N4" s="111" t="s">
        <v>132</v>
      </c>
      <c r="O4" s="118">
        <f t="shared" si="0"/>
        <v>-1671.2328767123288</v>
      </c>
      <c r="P4" s="115">
        <v>73</v>
      </c>
      <c r="Q4" s="99">
        <v>-122000</v>
      </c>
    </row>
    <row r="5" spans="1:17" x14ac:dyDescent="0.45">
      <c r="A5" s="51" t="s">
        <v>7</v>
      </c>
      <c r="B5" s="160">
        <f>IF(B$2=0,0,B$4/B$2)</f>
        <v>-6.3636363636363669</v>
      </c>
      <c r="C5" s="161"/>
      <c r="E5" s="59" t="s">
        <v>68</v>
      </c>
      <c r="F5" s="56" t="s">
        <v>12</v>
      </c>
      <c r="G5" s="44">
        <v>50</v>
      </c>
      <c r="H5" s="129">
        <f>IF(B$15=0,0,G5/B$15)</f>
        <v>0.26737967914438504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-1089.7058823529412</v>
      </c>
      <c r="P5" s="115">
        <v>68</v>
      </c>
      <c r="Q5" s="99">
        <v>-74100</v>
      </c>
    </row>
    <row r="6" spans="1:17" x14ac:dyDescent="0.45">
      <c r="A6" s="51" t="s">
        <v>1</v>
      </c>
      <c r="B6" s="150">
        <f>IF(B$2=0,0,(B$7*1+B$8*2+B$9*3)/B$2)</f>
        <v>2.1298701298701297</v>
      </c>
      <c r="C6" s="151"/>
      <c r="E6" s="59" t="s">
        <v>64</v>
      </c>
      <c r="F6" s="56" t="s">
        <v>20</v>
      </c>
      <c r="G6" s="44">
        <v>49</v>
      </c>
      <c r="H6" s="129">
        <f>IF(B$15=0,0,G6/B$15)</f>
        <v>0.26203208556149732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-83.582089552238813</v>
      </c>
      <c r="P6" s="115">
        <v>67</v>
      </c>
      <c r="Q6" s="99">
        <v>-5600</v>
      </c>
    </row>
    <row r="7" spans="1:17" x14ac:dyDescent="0.45">
      <c r="A7" s="51" t="s">
        <v>2</v>
      </c>
      <c r="B7" s="44">
        <v>24</v>
      </c>
      <c r="C7" s="37">
        <f t="shared" ref="C7:C10" si="1">IF(B$2=0,0,B7/B$2)</f>
        <v>0.31168831168831168</v>
      </c>
      <c r="E7" s="59" t="s">
        <v>67</v>
      </c>
      <c r="F7" s="56" t="s">
        <v>23</v>
      </c>
      <c r="G7" s="44">
        <v>34</v>
      </c>
      <c r="H7" s="129">
        <f>IF(B$15=0,0,G7/B$15)</f>
        <v>0.18181818181818182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5">
      <c r="A8" s="51" t="s">
        <v>3</v>
      </c>
      <c r="B8" s="44">
        <v>19</v>
      </c>
      <c r="C8" s="37">
        <f t="shared" si="1"/>
        <v>0.24675324675324675</v>
      </c>
      <c r="E8" s="59" t="s">
        <v>69</v>
      </c>
      <c r="F8" s="56" t="s">
        <v>24</v>
      </c>
      <c r="G8" s="44">
        <v>32</v>
      </c>
      <c r="H8" s="129">
        <f>IF(B$15=0,0,G8/B$15)</f>
        <v>0.17112299465240641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0.44155844155844154</v>
      </c>
      <c r="E9" s="59" t="s">
        <v>71</v>
      </c>
      <c r="F9" s="56" t="s">
        <v>26</v>
      </c>
      <c r="G9" s="44">
        <v>22</v>
      </c>
      <c r="H9" s="129">
        <f>IF(B$15=0,0,G9/B$15)</f>
        <v>0.11764705882352941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7.792207792207792E-2</v>
      </c>
      <c r="E10" s="59" t="s">
        <v>70</v>
      </c>
      <c r="F10" s="56" t="s">
        <v>25</v>
      </c>
      <c r="G10" s="44">
        <v>21</v>
      </c>
      <c r="H10" s="129">
        <f>IF(B$15=0,0,G10/B$15)</f>
        <v>0.11229946524064172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5">
      <c r="A11" s="54" t="s">
        <v>121</v>
      </c>
      <c r="B11" s="47">
        <v>98</v>
      </c>
      <c r="C11" s="42">
        <f>IF(B$3=0,0,B11/B$3)</f>
        <v>0.14327485380116958</v>
      </c>
      <c r="E11" s="59" t="s">
        <v>83</v>
      </c>
      <c r="F11" s="56" t="s">
        <v>38</v>
      </c>
      <c r="G11" s="44">
        <v>16</v>
      </c>
      <c r="H11" s="129">
        <f>IF(B$15=0,0,G11/B$15)</f>
        <v>8.5561497326203204E-2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-8.160869565217391</v>
      </c>
      <c r="P11" s="115">
        <v>23</v>
      </c>
      <c r="Q11" s="103">
        <v>-187.7</v>
      </c>
    </row>
    <row r="12" spans="1:17" x14ac:dyDescent="0.45">
      <c r="A12" s="51" t="s">
        <v>118</v>
      </c>
      <c r="B12" s="44">
        <v>173</v>
      </c>
      <c r="C12" s="37">
        <f>IF(B$3=0,0,B12/B$3)</f>
        <v>0.25292397660818716</v>
      </c>
      <c r="E12" s="59" t="s">
        <v>65</v>
      </c>
      <c r="F12" s="56" t="s">
        <v>21</v>
      </c>
      <c r="G12" s="44">
        <v>12</v>
      </c>
      <c r="H12" s="129">
        <f>IF(B$15=0,0,G12/B$15)</f>
        <v>6.4171122994652413E-2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0.39629629629629665</v>
      </c>
      <c r="P12" s="116">
        <v>27</v>
      </c>
      <c r="Q12" s="104">
        <v>10.70000000000001</v>
      </c>
    </row>
    <row r="13" spans="1:17" x14ac:dyDescent="0.45">
      <c r="A13" s="50" t="s">
        <v>123</v>
      </c>
      <c r="B13" s="43">
        <f>B19</f>
        <v>51</v>
      </c>
      <c r="C13" s="35">
        <f>IF(B$11=0,0,B13/B$11)</f>
        <v>0.52040816326530615</v>
      </c>
      <c r="E13" s="59" t="s">
        <v>89</v>
      </c>
      <c r="F13" s="56" t="s">
        <v>44</v>
      </c>
      <c r="G13" s="44">
        <v>12</v>
      </c>
      <c r="H13" s="129">
        <f>IF(B$15=0,0,G13/B$15)</f>
        <v>6.4171122994652413E-2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71</v>
      </c>
      <c r="C14" s="35">
        <f>IF(B$12=0,0,B14/B$12)</f>
        <v>0.41040462427745666</v>
      </c>
      <c r="E14" s="59" t="s">
        <v>81</v>
      </c>
      <c r="F14" s="56" t="s">
        <v>36</v>
      </c>
      <c r="G14" s="44">
        <v>9</v>
      </c>
      <c r="H14" s="129">
        <f>IF(B$15=0,0,G14/B$15)</f>
        <v>4.8128342245989303E-2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187</v>
      </c>
      <c r="C15" s="35">
        <f>IF(B$3=0,0,B15/B$3)</f>
        <v>0.27339181286549707</v>
      </c>
      <c r="E15" s="59" t="s">
        <v>86</v>
      </c>
      <c r="F15" s="56" t="s">
        <v>41</v>
      </c>
      <c r="G15" s="44">
        <v>5</v>
      </c>
      <c r="H15" s="129">
        <f>IF(B$15=0,0,G15/B$15)</f>
        <v>2.6737967914438502E-2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105</v>
      </c>
      <c r="C16" s="37">
        <f>IF(B$3=0,0,B16/B$3)</f>
        <v>0.15350877192982457</v>
      </c>
      <c r="E16" s="59" t="s">
        <v>79</v>
      </c>
      <c r="F16" s="56" t="s">
        <v>34</v>
      </c>
      <c r="G16" s="44">
        <v>4</v>
      </c>
      <c r="H16" s="129">
        <f>IF(B$15=0,0,G16/B$15)</f>
        <v>2.1390374331550801E-2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>IF(P16=0,0,Q16/P16)</f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78</v>
      </c>
      <c r="C17" s="37">
        <f>IF(B$15=0,0,B17/B$15)</f>
        <v>0.41711229946524064</v>
      </c>
      <c r="E17" s="59" t="s">
        <v>91</v>
      </c>
      <c r="F17" s="56" t="s">
        <v>46</v>
      </c>
      <c r="G17" s="44">
        <v>3</v>
      </c>
      <c r="H17" s="129">
        <f>IF(B$15=0,0,G17/B$15)</f>
        <v>1.6042780748663103E-2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>IF(P17=0,0,Q17/P17)</f>
        <v>4.4185185185185185</v>
      </c>
      <c r="P17" s="115">
        <v>27</v>
      </c>
      <c r="Q17" s="103">
        <v>119.3</v>
      </c>
    </row>
    <row r="18" spans="1:17" x14ac:dyDescent="0.45">
      <c r="A18" s="51" t="s">
        <v>11</v>
      </c>
      <c r="B18" s="44">
        <v>109</v>
      </c>
      <c r="C18" s="37">
        <f>IF(B$15=0,0,B18/B$15)</f>
        <v>0.58288770053475936</v>
      </c>
      <c r="E18" s="59" t="s">
        <v>74</v>
      </c>
      <c r="F18" s="56" t="s">
        <v>29</v>
      </c>
      <c r="G18" s="44">
        <v>2</v>
      </c>
      <c r="H18" s="129">
        <f>IF(B$15=0,0,G18/B$15)</f>
        <v>1.06951871657754E-2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>IF(P18=0,0,Q18/P18)</f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51</v>
      </c>
      <c r="C19" s="37">
        <f>IF(B$15=0,0,B19/B$15)</f>
        <v>0.27272727272727271</v>
      </c>
      <c r="E19" s="59" t="s">
        <v>78</v>
      </c>
      <c r="F19" s="56" t="s">
        <v>33</v>
      </c>
      <c r="G19" s="44">
        <v>2</v>
      </c>
      <c r="H19" s="129">
        <f>IF(B$15=0,0,G19/B$15)</f>
        <v>1.06951871657754E-2</v>
      </c>
      <c r="I19" s="90">
        <v>8</v>
      </c>
      <c r="K19" s="36">
        <v>17</v>
      </c>
      <c r="L19" s="95">
        <v>-65.2</v>
      </c>
      <c r="N19" s="111" t="s">
        <v>127</v>
      </c>
      <c r="O19" s="121">
        <f>IF(P19=0,0,Q19/P19)</f>
        <v>-5.5300000000000011</v>
      </c>
      <c r="P19" s="115">
        <v>30</v>
      </c>
      <c r="Q19" s="103">
        <v>-165.90000000000003</v>
      </c>
    </row>
    <row r="20" spans="1:17" x14ac:dyDescent="0.45">
      <c r="A20" s="51" t="s">
        <v>193</v>
      </c>
      <c r="B20" s="44">
        <v>71</v>
      </c>
      <c r="C20" s="37">
        <f>IF(B$15=0,0,B20/B$15)</f>
        <v>0.37967914438502676</v>
      </c>
      <c r="E20" s="59" t="s">
        <v>88</v>
      </c>
      <c r="F20" s="56" t="s">
        <v>43</v>
      </c>
      <c r="G20" s="44">
        <v>2</v>
      </c>
      <c r="H20" s="129">
        <f>IF(B$15=0,0,G20/B$15)</f>
        <v>1.06951871657754E-2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>IF(P20=0,0,Q20/P20)</f>
        <v>-12.572222222222225</v>
      </c>
      <c r="P20" s="115">
        <v>36</v>
      </c>
      <c r="Q20" s="103">
        <v>-452.60000000000008</v>
      </c>
    </row>
    <row r="21" spans="1:17" x14ac:dyDescent="0.45">
      <c r="A21" s="51" t="s">
        <v>194</v>
      </c>
      <c r="B21" s="44">
        <v>65</v>
      </c>
      <c r="C21" s="37">
        <f>IF(B$15=0,0,B21/B$15)</f>
        <v>0.34759358288770054</v>
      </c>
      <c r="E21" s="59" t="s">
        <v>93</v>
      </c>
      <c r="F21" s="56" t="s">
        <v>48</v>
      </c>
      <c r="G21" s="44">
        <v>2</v>
      </c>
      <c r="H21" s="129">
        <f>IF(B$15=0,0,G21/B$15)</f>
        <v>1.06951871657754E-2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>IF(P21=0,0,Q21/P21)</f>
        <v>-26.718181818181815</v>
      </c>
      <c r="P21" s="115">
        <v>11</v>
      </c>
      <c r="Q21" s="103">
        <v>-293.89999999999998</v>
      </c>
    </row>
    <row r="22" spans="1:17" x14ac:dyDescent="0.45">
      <c r="A22" s="51" t="s">
        <v>5</v>
      </c>
      <c r="B22" s="48">
        <f>IF(B$15=0,0,C22/B$15)</f>
        <v>7100.5347593582892</v>
      </c>
      <c r="C22" s="39">
        <v>1327800</v>
      </c>
      <c r="E22" s="59" t="s">
        <v>75</v>
      </c>
      <c r="F22" s="56" t="s">
        <v>30</v>
      </c>
      <c r="G22" s="44">
        <v>1</v>
      </c>
      <c r="H22" s="129">
        <f>IF(B$15=0,0,G22/B$15)</f>
        <v>5.3475935828877002E-3</v>
      </c>
      <c r="I22" s="90">
        <v>8</v>
      </c>
      <c r="K22" s="36">
        <v>20</v>
      </c>
      <c r="L22" s="95">
        <v>-88.8</v>
      </c>
      <c r="N22" s="111" t="s">
        <v>170</v>
      </c>
      <c r="O22" s="121">
        <f>IF(P22=0,0,Q22/P22)</f>
        <v>-37.672727272727272</v>
      </c>
      <c r="P22" s="115">
        <v>22</v>
      </c>
      <c r="Q22" s="103">
        <v>-828.8</v>
      </c>
    </row>
    <row r="23" spans="1:17" x14ac:dyDescent="0.45">
      <c r="A23" s="52" t="s">
        <v>177</v>
      </c>
      <c r="B23" s="136">
        <f>IF($B$15-B$14=0,0,C23/($B$15-B$14))</f>
        <v>7621.5517241379312</v>
      </c>
      <c r="C23" s="137">
        <v>884100</v>
      </c>
      <c r="E23" s="59" t="s">
        <v>77</v>
      </c>
      <c r="F23" s="56" t="s">
        <v>32</v>
      </c>
      <c r="G23" s="44">
        <v>1</v>
      </c>
      <c r="H23" s="129">
        <f>IF(B$15=0,0,G23/B$15)</f>
        <v>5.3475935828877002E-3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>IF(P23=0,0,Q23/P23)</f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6249.2957746478869</v>
      </c>
      <c r="C24" s="137">
        <v>443700</v>
      </c>
      <c r="E24" s="59" t="s">
        <v>84</v>
      </c>
      <c r="F24" s="56" t="s">
        <v>39</v>
      </c>
      <c r="G24" s="44">
        <v>1</v>
      </c>
      <c r="H24" s="129">
        <f>IF(B$15=0,0,G24/B$15)</f>
        <v>5.3475935828877002E-3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-7880</v>
      </c>
      <c r="C25" s="137">
        <v>-827400</v>
      </c>
      <c r="E25" s="59" t="s">
        <v>87</v>
      </c>
      <c r="F25" s="56" t="s">
        <v>42</v>
      </c>
      <c r="G25" s="44">
        <v>1</v>
      </c>
      <c r="H25" s="129">
        <f>IF(B$15=0,0,G25/B$15)</f>
        <v>5.3475935828877002E-3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3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9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86900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2.9239766081871343E-3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26</v>
      </c>
      <c r="C32" s="141">
        <f>IF(B$15=0,0,B32/B$15)</f>
        <v>0.13903743315508021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38</v>
      </c>
      <c r="C33" s="37">
        <f t="shared" ref="C33:C44" si="2">IF(B$15=0,0,B33/B$15)</f>
        <v>0.20320855614973263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39</v>
      </c>
      <c r="C34" s="37">
        <f>IF(B$15=0,0,B34/B$15)</f>
        <v>0.20855614973262032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29</v>
      </c>
      <c r="C35" s="37">
        <f t="shared" si="2"/>
        <v>0.15508021390374332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20</v>
      </c>
      <c r="C36" s="37">
        <f t="shared" si="2"/>
        <v>0.10695187165775401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16</v>
      </c>
      <c r="C37" s="37">
        <f t="shared" si="2"/>
        <v>8.5561497326203204E-2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10</v>
      </c>
      <c r="C38" s="37">
        <f t="shared" si="2"/>
        <v>5.3475935828877004E-2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2"/>
        <v>3.2085561497326207E-2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2"/>
        <v>5.3475935828877002E-3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2"/>
        <v>1.06951871657754E-2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</sheetData>
  <sortState xmlns:xlrd2="http://schemas.microsoft.com/office/spreadsheetml/2017/richdata2" ref="E2:I8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6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165</v>
      </c>
      <c r="C2" s="155"/>
      <c r="E2" s="58" t="s">
        <v>66</v>
      </c>
      <c r="F2" s="55" t="s">
        <v>22</v>
      </c>
      <c r="G2" s="43">
        <v>312</v>
      </c>
      <c r="H2" s="128">
        <f>IF(B$15=0,0,G2/B$15)</f>
        <v>0.66952789699570814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1425.6097560975609</v>
      </c>
      <c r="P2" s="114">
        <v>164</v>
      </c>
      <c r="Q2" s="98">
        <v>233800</v>
      </c>
    </row>
    <row r="3" spans="1:17" x14ac:dyDescent="0.45">
      <c r="A3" s="51" t="s">
        <v>8</v>
      </c>
      <c r="B3" s="156">
        <v>1357</v>
      </c>
      <c r="C3" s="157"/>
      <c r="E3" s="59" t="s">
        <v>72</v>
      </c>
      <c r="F3" s="56" t="s">
        <v>27</v>
      </c>
      <c r="G3" s="44">
        <v>246</v>
      </c>
      <c r="H3" s="129">
        <f>IF(B$15=0,0,G3/B$15)</f>
        <v>0.52789699570815452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998.75776397515529</v>
      </c>
      <c r="P3" s="115">
        <v>161</v>
      </c>
      <c r="Q3" s="99">
        <v>160800</v>
      </c>
    </row>
    <row r="4" spans="1:17" x14ac:dyDescent="0.45">
      <c r="A4" s="51" t="s">
        <v>6</v>
      </c>
      <c r="B4" s="158">
        <v>1432.4</v>
      </c>
      <c r="C4" s="159"/>
      <c r="E4" s="59" t="s">
        <v>64</v>
      </c>
      <c r="F4" s="56" t="s">
        <v>20</v>
      </c>
      <c r="G4" s="44">
        <v>206</v>
      </c>
      <c r="H4" s="129">
        <f>IF(B$15=0,0,G4/B$15)</f>
        <v>0.44206008583690987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1060</v>
      </c>
      <c r="P4" s="115">
        <v>155</v>
      </c>
      <c r="Q4" s="99">
        <v>164300</v>
      </c>
    </row>
    <row r="5" spans="1:17" x14ac:dyDescent="0.45">
      <c r="A5" s="51" t="s">
        <v>7</v>
      </c>
      <c r="B5" s="160">
        <f>IF(B$2=0,0,B$4/B$2)</f>
        <v>8.6812121212121216</v>
      </c>
      <c r="C5" s="161"/>
      <c r="E5" s="59" t="s">
        <v>166</v>
      </c>
      <c r="F5" s="56" t="s">
        <v>167</v>
      </c>
      <c r="G5" s="44">
        <v>178</v>
      </c>
      <c r="H5" s="129">
        <f>IF(B$15=0,0,G5/B$15)</f>
        <v>0.38197424892703863</v>
      </c>
      <c r="I5" s="90">
        <v>7</v>
      </c>
      <c r="K5" s="36">
        <v>3</v>
      </c>
      <c r="L5" s="95">
        <v>40.400000000000006</v>
      </c>
      <c r="N5" s="111" t="s">
        <v>133</v>
      </c>
      <c r="O5" s="118">
        <f t="shared" si="0"/>
        <v>352.08333333333331</v>
      </c>
      <c r="P5" s="115">
        <v>144</v>
      </c>
      <c r="Q5" s="99">
        <v>50700</v>
      </c>
    </row>
    <row r="6" spans="1:17" x14ac:dyDescent="0.45">
      <c r="A6" s="51" t="s">
        <v>1</v>
      </c>
      <c r="B6" s="150">
        <f>IF(B$2=0,0,(B$7*1+B$8*2+B$9*3)/B$2)</f>
        <v>1.7878787878787878</v>
      </c>
      <c r="C6" s="151"/>
      <c r="E6" s="59" t="s">
        <v>68</v>
      </c>
      <c r="F6" s="56" t="s">
        <v>12</v>
      </c>
      <c r="G6" s="44">
        <v>128</v>
      </c>
      <c r="H6" s="129">
        <f>IF(B$15=0,0,G6/B$15)</f>
        <v>0.27467811158798283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1814.9253731343283</v>
      </c>
      <c r="P6" s="115">
        <v>134</v>
      </c>
      <c r="Q6" s="99">
        <v>243200</v>
      </c>
    </row>
    <row r="7" spans="1:17" x14ac:dyDescent="0.45">
      <c r="A7" s="51" t="s">
        <v>2</v>
      </c>
      <c r="B7" s="44">
        <v>76</v>
      </c>
      <c r="C7" s="37">
        <f t="shared" ref="C7:C10" si="1">IF(B$2=0,0,B7/B$2)</f>
        <v>0.46060606060606063</v>
      </c>
      <c r="E7" s="59" t="s">
        <v>67</v>
      </c>
      <c r="F7" s="56" t="s">
        <v>23</v>
      </c>
      <c r="G7" s="44">
        <v>113</v>
      </c>
      <c r="H7" s="129">
        <f>IF(B$15=0,0,G7/B$15)</f>
        <v>0.24248927038626608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1877.2727272727273</v>
      </c>
      <c r="P7" s="116">
        <v>110</v>
      </c>
      <c r="Q7" s="100">
        <v>206500</v>
      </c>
    </row>
    <row r="8" spans="1:17" x14ac:dyDescent="0.45">
      <c r="A8" s="51" t="s">
        <v>3</v>
      </c>
      <c r="B8" s="44">
        <v>48</v>
      </c>
      <c r="C8" s="37">
        <f t="shared" si="1"/>
        <v>0.29090909090909089</v>
      </c>
      <c r="E8" s="59" t="s">
        <v>89</v>
      </c>
      <c r="F8" s="56" t="s">
        <v>44</v>
      </c>
      <c r="G8" s="44">
        <v>68</v>
      </c>
      <c r="H8" s="129">
        <f>IF(B$15=0,0,G8/B$15)</f>
        <v>0.14592274678111589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0.24848484848484848</v>
      </c>
      <c r="E9" s="59" t="s">
        <v>69</v>
      </c>
      <c r="F9" s="56" t="s">
        <v>24</v>
      </c>
      <c r="G9" s="44">
        <v>59</v>
      </c>
      <c r="H9" s="129">
        <f>IF(B$15=0,0,G9/B$15)</f>
        <v>0.12660944206008584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4.2424242424242427E-2</v>
      </c>
      <c r="E10" s="59" t="s">
        <v>65</v>
      </c>
      <c r="F10" s="56" t="s">
        <v>21</v>
      </c>
      <c r="G10" s="44">
        <v>53</v>
      </c>
      <c r="H10" s="129">
        <f>IF(B$15=0,0,G10/B$15)</f>
        <v>0.11373390557939914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13.322916666666663</v>
      </c>
      <c r="P10" s="114">
        <v>48</v>
      </c>
      <c r="Q10" s="102">
        <v>639.49999999999977</v>
      </c>
    </row>
    <row r="11" spans="1:17" x14ac:dyDescent="0.45">
      <c r="A11" s="54" t="s">
        <v>121</v>
      </c>
      <c r="B11" s="47">
        <v>358</v>
      </c>
      <c r="C11" s="42">
        <f>IF(B$3=0,0,B11/B$3)</f>
        <v>0.26381724392041267</v>
      </c>
      <c r="E11" s="59" t="s">
        <v>71</v>
      </c>
      <c r="F11" s="56" t="s">
        <v>26</v>
      </c>
      <c r="G11" s="44">
        <v>33</v>
      </c>
      <c r="H11" s="129">
        <f>IF(B$15=0,0,G11/B$15)</f>
        <v>7.0815450643776826E-2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3.0399999999999991</v>
      </c>
      <c r="P11" s="115">
        <v>55</v>
      </c>
      <c r="Q11" s="103">
        <v>167.19999999999996</v>
      </c>
    </row>
    <row r="12" spans="1:17" x14ac:dyDescent="0.45">
      <c r="A12" s="51" t="s">
        <v>118</v>
      </c>
      <c r="B12" s="44">
        <v>317</v>
      </c>
      <c r="C12" s="37">
        <f>IF(B$3=0,0,B12/B$3)</f>
        <v>0.23360353721444363</v>
      </c>
      <c r="E12" s="59" t="s">
        <v>86</v>
      </c>
      <c r="F12" s="56" t="s">
        <v>41</v>
      </c>
      <c r="G12" s="44">
        <v>32</v>
      </c>
      <c r="H12" s="129">
        <f>IF(B$15=0,0,G12/B$15)</f>
        <v>6.8669527896995708E-2</v>
      </c>
      <c r="I12" s="90">
        <v>1</v>
      </c>
      <c r="K12" s="36">
        <v>10</v>
      </c>
      <c r="L12" s="95">
        <v>158.19999999999999</v>
      </c>
      <c r="N12" s="112" t="s">
        <v>159</v>
      </c>
      <c r="O12" s="122">
        <f>IF(P12=0,0,Q12/P12)</f>
        <v>10.091935483870966</v>
      </c>
      <c r="P12" s="116">
        <v>62</v>
      </c>
      <c r="Q12" s="104">
        <v>625.69999999999993</v>
      </c>
    </row>
    <row r="13" spans="1:17" x14ac:dyDescent="0.45">
      <c r="A13" s="50" t="s">
        <v>123</v>
      </c>
      <c r="B13" s="43">
        <f>B19</f>
        <v>216</v>
      </c>
      <c r="C13" s="35">
        <f>IF(B$11=0,0,B13/B$11)</f>
        <v>0.6033519553072626</v>
      </c>
      <c r="E13" s="59" t="s">
        <v>70</v>
      </c>
      <c r="F13" s="56" t="s">
        <v>25</v>
      </c>
      <c r="G13" s="44">
        <v>26</v>
      </c>
      <c r="H13" s="129">
        <f>IF(B$15=0,0,G13/B$15)</f>
        <v>5.5793991416309016E-2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156</v>
      </c>
      <c r="C14" s="35">
        <f>IF(B$12=0,0,B14/B$12)</f>
        <v>0.49211356466876971</v>
      </c>
      <c r="E14" s="59" t="s">
        <v>83</v>
      </c>
      <c r="F14" s="56" t="s">
        <v>38</v>
      </c>
      <c r="G14" s="44">
        <v>23</v>
      </c>
      <c r="H14" s="129">
        <f>IF(B$15=0,0,G14/B$15)</f>
        <v>4.9356223175965663E-2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466</v>
      </c>
      <c r="C15" s="35">
        <f>IF(B$3=0,0,B15/B$3)</f>
        <v>0.34340456890198967</v>
      </c>
      <c r="E15" s="59" t="s">
        <v>78</v>
      </c>
      <c r="F15" s="56" t="s">
        <v>33</v>
      </c>
      <c r="G15" s="44">
        <v>19</v>
      </c>
      <c r="H15" s="129">
        <f>IF(B$15=0,0,G15/B$15)</f>
        <v>4.07725321888412E-2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 t="shared" ref="O15:O23" si="2"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0.13043478260869565</v>
      </c>
      <c r="E16" s="59" t="s">
        <v>162</v>
      </c>
      <c r="F16" s="56" t="s">
        <v>163</v>
      </c>
      <c r="G16" s="44">
        <v>13</v>
      </c>
      <c r="H16" s="129">
        <f>IF(B$15=0,0,G16/B$15)</f>
        <v>2.7896995708154508E-2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 t="shared" si="2"/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196</v>
      </c>
      <c r="C17" s="37">
        <f>IF(B$15=0,0,B17/B$15)</f>
        <v>0.42060085836909872</v>
      </c>
      <c r="E17" s="59" t="s">
        <v>81</v>
      </c>
      <c r="F17" s="56" t="s">
        <v>36</v>
      </c>
      <c r="G17" s="44">
        <v>6</v>
      </c>
      <c r="H17" s="129">
        <f>IF(B$15=0,0,G17/B$15)</f>
        <v>1.2875536480686695E-2</v>
      </c>
      <c r="I17" s="90">
        <v>10</v>
      </c>
      <c r="K17" s="36">
        <v>15</v>
      </c>
      <c r="L17" s="95">
        <v>269.49999999999994</v>
      </c>
      <c r="N17" s="111" t="s">
        <v>197</v>
      </c>
      <c r="O17" s="121">
        <f t="shared" si="2"/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270</v>
      </c>
      <c r="C18" s="37">
        <f>IF(B$15=0,0,B18/B$15)</f>
        <v>0.57939914163090134</v>
      </c>
      <c r="E18" s="59" t="s">
        <v>75</v>
      </c>
      <c r="F18" s="56" t="s">
        <v>30</v>
      </c>
      <c r="G18" s="44">
        <v>5</v>
      </c>
      <c r="H18" s="129">
        <f>IF(B$15=0,0,G18/B$15)</f>
        <v>1.0729613733905579E-2</v>
      </c>
      <c r="I18" s="90">
        <v>4</v>
      </c>
      <c r="K18" s="36">
        <v>16</v>
      </c>
      <c r="L18" s="95">
        <v>323.69999999999993</v>
      </c>
      <c r="N18" s="111" t="s">
        <v>171</v>
      </c>
      <c r="O18" s="121">
        <f t="shared" si="2"/>
        <v>13.875</v>
      </c>
      <c r="P18" s="115">
        <v>60</v>
      </c>
      <c r="Q18" s="103">
        <v>832.5</v>
      </c>
    </row>
    <row r="19" spans="1:17" x14ac:dyDescent="0.45">
      <c r="A19" s="51" t="s">
        <v>195</v>
      </c>
      <c r="B19" s="44">
        <v>216</v>
      </c>
      <c r="C19" s="37">
        <f>IF(B$15=0,0,B19/B$15)</f>
        <v>0.46351931330472101</v>
      </c>
      <c r="E19" s="59" t="s">
        <v>91</v>
      </c>
      <c r="F19" s="56" t="s">
        <v>46</v>
      </c>
      <c r="G19" s="44">
        <v>5</v>
      </c>
      <c r="H19" s="129">
        <f>IF(B$15=0,0,G19/B$15)</f>
        <v>1.0729613733905579E-2</v>
      </c>
      <c r="I19" s="90">
        <v>7</v>
      </c>
      <c r="K19" s="36">
        <v>17</v>
      </c>
      <c r="L19" s="95">
        <v>359.09999999999991</v>
      </c>
      <c r="N19" s="111" t="s">
        <v>172</v>
      </c>
      <c r="O19" s="121">
        <f t="shared" si="2"/>
        <v>13.408474576271187</v>
      </c>
      <c r="P19" s="115">
        <v>59</v>
      </c>
      <c r="Q19" s="103">
        <v>791.1</v>
      </c>
    </row>
    <row r="20" spans="1:17" x14ac:dyDescent="0.45">
      <c r="A20" s="51" t="s">
        <v>193</v>
      </c>
      <c r="B20" s="44">
        <v>156</v>
      </c>
      <c r="C20" s="37">
        <f>IF(B$15=0,0,B20/B$15)</f>
        <v>0.33476394849785407</v>
      </c>
      <c r="E20" s="59" t="s">
        <v>79</v>
      </c>
      <c r="F20" s="56" t="s">
        <v>34</v>
      </c>
      <c r="G20" s="44">
        <v>4</v>
      </c>
      <c r="H20" s="129">
        <f>IF(B$15=0,0,G20/B$15)</f>
        <v>8.5836909871244635E-3</v>
      </c>
      <c r="I20" s="90">
        <v>8</v>
      </c>
      <c r="K20" s="36">
        <v>18</v>
      </c>
      <c r="L20" s="95">
        <v>352.39999999999992</v>
      </c>
      <c r="N20" s="111" t="s">
        <v>161</v>
      </c>
      <c r="O20" s="121">
        <f t="shared" si="2"/>
        <v>13.075675675675678</v>
      </c>
      <c r="P20" s="115">
        <v>37</v>
      </c>
      <c r="Q20" s="103">
        <v>483.80000000000007</v>
      </c>
    </row>
    <row r="21" spans="1:17" x14ac:dyDescent="0.45">
      <c r="A21" s="51" t="s">
        <v>194</v>
      </c>
      <c r="B21" s="44">
        <v>94</v>
      </c>
      <c r="C21" s="37">
        <f>IF(B$15=0,0,B21/B$15)</f>
        <v>0.20171673819742489</v>
      </c>
      <c r="E21" s="59" t="s">
        <v>85</v>
      </c>
      <c r="F21" s="56" t="s">
        <v>40</v>
      </c>
      <c r="G21" s="44">
        <v>4</v>
      </c>
      <c r="H21" s="129">
        <f>IF(B$15=0,0,G21/B$15)</f>
        <v>8.5836909871244635E-3</v>
      </c>
      <c r="I21" s="90">
        <v>4</v>
      </c>
      <c r="K21" s="36">
        <v>19</v>
      </c>
      <c r="L21" s="95">
        <v>383.19999999999993</v>
      </c>
      <c r="N21" s="111" t="s">
        <v>127</v>
      </c>
      <c r="O21" s="121">
        <f t="shared" si="2"/>
        <v>12.729896907216494</v>
      </c>
      <c r="P21" s="115">
        <v>97</v>
      </c>
      <c r="Q21" s="103">
        <v>1234.8</v>
      </c>
    </row>
    <row r="22" spans="1:17" x14ac:dyDescent="0.45">
      <c r="A22" s="51" t="s">
        <v>5</v>
      </c>
      <c r="B22" s="48">
        <f>IF(B$15=0,0,C22/B$15)</f>
        <v>8144.6351931330473</v>
      </c>
      <c r="C22" s="39">
        <v>3795400</v>
      </c>
      <c r="E22" s="59" t="s">
        <v>77</v>
      </c>
      <c r="F22" s="56" t="s">
        <v>32</v>
      </c>
      <c r="G22" s="44">
        <v>3</v>
      </c>
      <c r="H22" s="129">
        <f>IF(B$15=0,0,G22/B$15)</f>
        <v>6.4377682403433476E-3</v>
      </c>
      <c r="I22" s="90">
        <v>1</v>
      </c>
      <c r="K22" s="36">
        <v>20</v>
      </c>
      <c r="L22" s="95">
        <v>365.49999999999994</v>
      </c>
      <c r="N22" s="111" t="s">
        <v>170</v>
      </c>
      <c r="O22" s="121">
        <f t="shared" si="2"/>
        <v>1.1456521739130441</v>
      </c>
      <c r="P22" s="115">
        <v>46</v>
      </c>
      <c r="Q22" s="103">
        <v>52.700000000000031</v>
      </c>
    </row>
    <row r="23" spans="1:17" x14ac:dyDescent="0.45">
      <c r="A23" s="52" t="s">
        <v>177</v>
      </c>
      <c r="B23" s="136">
        <f>IF($B$15-B$14=0,0,C23/($B$15-B$14))</f>
        <v>8588.0645161290322</v>
      </c>
      <c r="C23" s="137">
        <v>2662300</v>
      </c>
      <c r="E23" s="59" t="s">
        <v>84</v>
      </c>
      <c r="F23" s="56" t="s">
        <v>39</v>
      </c>
      <c r="G23" s="44">
        <v>3</v>
      </c>
      <c r="H23" s="129">
        <f>IF(B$15=0,0,G23/B$15)</f>
        <v>6.4377682403433476E-3</v>
      </c>
      <c r="I23" s="90">
        <v>2</v>
      </c>
      <c r="K23" s="36">
        <v>21</v>
      </c>
      <c r="L23" s="95">
        <v>371.39999999999992</v>
      </c>
      <c r="N23" s="111" t="s">
        <v>203</v>
      </c>
      <c r="O23" s="121">
        <f t="shared" si="2"/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7263.4615384615381</v>
      </c>
      <c r="C24" s="137">
        <v>1133100</v>
      </c>
      <c r="E24" s="59" t="s">
        <v>92</v>
      </c>
      <c r="F24" s="56" t="s">
        <v>47</v>
      </c>
      <c r="G24" s="44">
        <v>3</v>
      </c>
      <c r="H24" s="129">
        <f>IF(B$15=0,0,G24/B$15)</f>
        <v>6.4377682403433476E-3</v>
      </c>
      <c r="I24" s="90">
        <v>4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-7553.1073446327682</v>
      </c>
      <c r="C25" s="137">
        <v>-1336900</v>
      </c>
      <c r="E25" s="59" t="s">
        <v>74</v>
      </c>
      <c r="F25" s="56" t="s">
        <v>29</v>
      </c>
      <c r="G25" s="44">
        <v>2</v>
      </c>
      <c r="H25" s="129">
        <f>IF(B$15=0,0,G25/B$15)</f>
        <v>4.2918454935622317E-3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4.2918454935622317E-3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1</v>
      </c>
      <c r="E27" s="59" t="s">
        <v>95</v>
      </c>
      <c r="F27" s="56" t="s">
        <v>50</v>
      </c>
      <c r="G27" s="44">
        <v>2</v>
      </c>
      <c r="H27" s="129">
        <f>IF(B$15=0,0,G27/B$15)</f>
        <v>4.2918454935622317E-3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2.1459227467811159E-3</v>
      </c>
      <c r="I28" s="90">
        <v>3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2.1459227467811159E-3</v>
      </c>
      <c r="I29" s="90">
        <v>1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7.3691967575534268E-4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5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43</v>
      </c>
      <c r="C32" s="141">
        <f>IF(B$15=0,0,B32/B$15)</f>
        <v>9.2274678111587988E-2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87</v>
      </c>
      <c r="C33" s="37">
        <f t="shared" ref="C33:C44" si="3">IF(B$15=0,0,B33/B$15)</f>
        <v>0.18669527896995708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94</v>
      </c>
      <c r="C34" s="37">
        <f>IF(B$15=0,0,B34/B$15)</f>
        <v>0.20171673819742489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84</v>
      </c>
      <c r="C35" s="37">
        <f t="shared" si="3"/>
        <v>0.18025751072961374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67</v>
      </c>
      <c r="C36" s="37">
        <f t="shared" si="3"/>
        <v>0.14377682403433475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42</v>
      </c>
      <c r="C37" s="37">
        <f t="shared" si="3"/>
        <v>9.012875536480687E-2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23</v>
      </c>
      <c r="C38" s="37">
        <f t="shared" si="3"/>
        <v>4.9356223175965663E-2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7</v>
      </c>
      <c r="C39" s="37">
        <f t="shared" si="3"/>
        <v>1.5021459227467811E-2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3"/>
        <v>2.1459227467811159E-2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3"/>
        <v>4.2918454935622317E-3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3"/>
        <v>2.1459227467811159E-3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6</v>
      </c>
      <c r="C44" s="40">
        <f t="shared" si="3"/>
        <v>1.2875536480686695E-2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</sheetData>
  <sortState xmlns:xlrd2="http://schemas.microsoft.com/office/spreadsheetml/2017/richdata2" ref="E2:I16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4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146</v>
      </c>
      <c r="C2" s="155"/>
      <c r="E2" s="58" t="s">
        <v>66</v>
      </c>
      <c r="F2" s="55" t="s">
        <v>22</v>
      </c>
      <c r="G2" s="43">
        <v>292</v>
      </c>
      <c r="H2" s="128">
        <f>IF(B$15=0,0,G2/B$15)</f>
        <v>0.78284182305630023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-1480.6896551724137</v>
      </c>
      <c r="P2" s="114">
        <v>145</v>
      </c>
      <c r="Q2" s="98">
        <v>-214700</v>
      </c>
    </row>
    <row r="3" spans="1:17" x14ac:dyDescent="0.45">
      <c r="A3" s="51" t="s">
        <v>8</v>
      </c>
      <c r="B3" s="156">
        <v>1222</v>
      </c>
      <c r="C3" s="157"/>
      <c r="E3" s="59" t="s">
        <v>72</v>
      </c>
      <c r="F3" s="56" t="s">
        <v>27</v>
      </c>
      <c r="G3" s="44">
        <v>207</v>
      </c>
      <c r="H3" s="129">
        <f>IF(B$15=0,0,G3/B$15)</f>
        <v>0.55495978552278824</v>
      </c>
      <c r="I3" s="90">
        <v>4</v>
      </c>
      <c r="K3" s="36">
        <v>1</v>
      </c>
      <c r="L3" s="95">
        <v>-45.6</v>
      </c>
      <c r="N3" s="111" t="s">
        <v>131</v>
      </c>
      <c r="O3" s="118">
        <f t="shared" si="0"/>
        <v>1537.7622377622379</v>
      </c>
      <c r="P3" s="115">
        <v>143</v>
      </c>
      <c r="Q3" s="99">
        <v>219900</v>
      </c>
    </row>
    <row r="4" spans="1:17" x14ac:dyDescent="0.45">
      <c r="A4" s="51" t="s">
        <v>6</v>
      </c>
      <c r="B4" s="158">
        <v>21.799999999999812</v>
      </c>
      <c r="C4" s="159"/>
      <c r="E4" s="59" t="s">
        <v>166</v>
      </c>
      <c r="F4" s="56" t="s">
        <v>167</v>
      </c>
      <c r="G4" s="44">
        <v>146</v>
      </c>
      <c r="H4" s="129">
        <f>IF(B$15=0,0,G4/B$15)</f>
        <v>0.39142091152815012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-462.87878787878788</v>
      </c>
      <c r="P4" s="115">
        <v>132</v>
      </c>
      <c r="Q4" s="99">
        <v>-61100</v>
      </c>
    </row>
    <row r="5" spans="1:17" x14ac:dyDescent="0.45">
      <c r="A5" s="51" t="s">
        <v>7</v>
      </c>
      <c r="B5" s="160">
        <f>IF(B$2=0,0,B$4/B$2)</f>
        <v>0.14931506849314941</v>
      </c>
      <c r="C5" s="161"/>
      <c r="E5" s="59" t="s">
        <v>64</v>
      </c>
      <c r="F5" s="56" t="s">
        <v>20</v>
      </c>
      <c r="G5" s="44">
        <v>144</v>
      </c>
      <c r="H5" s="129">
        <f>IF(B$15=0,0,G5/B$15)</f>
        <v>0.38605898123324395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231.2</v>
      </c>
      <c r="P5" s="115">
        <v>125</v>
      </c>
      <c r="Q5" s="99">
        <v>28900</v>
      </c>
    </row>
    <row r="6" spans="1:17" x14ac:dyDescent="0.45">
      <c r="A6" s="51" t="s">
        <v>1</v>
      </c>
      <c r="B6" s="150">
        <f>IF(B$2=0,0,(B$7*1+B$8*2+B$9*3)/B$2)</f>
        <v>1.9657534246575343</v>
      </c>
      <c r="C6" s="151"/>
      <c r="E6" s="59" t="s">
        <v>68</v>
      </c>
      <c r="F6" s="56" t="s">
        <v>12</v>
      </c>
      <c r="G6" s="44">
        <v>104</v>
      </c>
      <c r="H6" s="129">
        <f>IF(B$15=0,0,G6/B$15)</f>
        <v>0.27882037533512066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-919.29824561403507</v>
      </c>
      <c r="P6" s="115">
        <v>114</v>
      </c>
      <c r="Q6" s="99">
        <v>-104800</v>
      </c>
    </row>
    <row r="7" spans="1:17" x14ac:dyDescent="0.45">
      <c r="A7" s="51" t="s">
        <v>2</v>
      </c>
      <c r="B7" s="44">
        <v>50</v>
      </c>
      <c r="C7" s="37">
        <f t="shared" ref="C7:C10" si="1">IF(B$2=0,0,B7/B$2)</f>
        <v>0.34246575342465752</v>
      </c>
      <c r="E7" s="59" t="s">
        <v>67</v>
      </c>
      <c r="F7" s="56" t="s">
        <v>23</v>
      </c>
      <c r="G7" s="44">
        <v>80</v>
      </c>
      <c r="H7" s="129">
        <f>IF(B$15=0,0,G7/B$15)</f>
        <v>0.21447721179624665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1273.9583333333333</v>
      </c>
      <c r="P7" s="116">
        <v>96</v>
      </c>
      <c r="Q7" s="100">
        <v>122300</v>
      </c>
    </row>
    <row r="8" spans="1:17" x14ac:dyDescent="0.45">
      <c r="A8" s="51" t="s">
        <v>3</v>
      </c>
      <c r="B8" s="44">
        <v>51</v>
      </c>
      <c r="C8" s="37">
        <f t="shared" si="1"/>
        <v>0.34931506849315069</v>
      </c>
      <c r="E8" s="59" t="s">
        <v>69</v>
      </c>
      <c r="F8" s="56" t="s">
        <v>24</v>
      </c>
      <c r="G8" s="44">
        <v>46</v>
      </c>
      <c r="H8" s="129">
        <f>IF(B$15=0,0,G8/B$15)</f>
        <v>0.12332439678284182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0.30821917808219179</v>
      </c>
      <c r="E9" s="59" t="s">
        <v>89</v>
      </c>
      <c r="F9" s="56" t="s">
        <v>44</v>
      </c>
      <c r="G9" s="44">
        <v>42</v>
      </c>
      <c r="H9" s="129">
        <f>IF(B$15=0,0,G9/B$15)</f>
        <v>0.1126005361930295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0.12328767123287671</v>
      </c>
      <c r="E10" s="59" t="s">
        <v>70</v>
      </c>
      <c r="F10" s="56" t="s">
        <v>25</v>
      </c>
      <c r="G10" s="44">
        <v>36</v>
      </c>
      <c r="H10" s="129">
        <f>IF(B$15=0,0,G10/B$15)</f>
        <v>9.6514745308310987E-2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1.7976190476190479</v>
      </c>
      <c r="P10" s="114">
        <v>42</v>
      </c>
      <c r="Q10" s="102">
        <v>75.500000000000014</v>
      </c>
    </row>
    <row r="11" spans="1:17" x14ac:dyDescent="0.45">
      <c r="A11" s="54" t="s">
        <v>121</v>
      </c>
      <c r="B11" s="47">
        <v>286</v>
      </c>
      <c r="C11" s="42">
        <f>IF(B$3=0,0,B11/B$3)</f>
        <v>0.23404255319148937</v>
      </c>
      <c r="E11" s="59" t="s">
        <v>71</v>
      </c>
      <c r="F11" s="56" t="s">
        <v>26</v>
      </c>
      <c r="G11" s="44">
        <v>35</v>
      </c>
      <c r="H11" s="129">
        <f>IF(B$15=0,0,G11/B$15)</f>
        <v>9.3833780160857902E-2</v>
      </c>
      <c r="I11" s="90">
        <v>6</v>
      </c>
      <c r="K11" s="36">
        <v>9</v>
      </c>
      <c r="L11" s="95">
        <v>-83.699999999999989</v>
      </c>
      <c r="N11" s="111" t="s">
        <v>158</v>
      </c>
      <c r="O11" s="121">
        <f>IF(P11=0,0,Q11/P11)</f>
        <v>4.1333333333333346</v>
      </c>
      <c r="P11" s="115">
        <v>48</v>
      </c>
      <c r="Q11" s="103">
        <v>198.40000000000006</v>
      </c>
    </row>
    <row r="12" spans="1:17" x14ac:dyDescent="0.45">
      <c r="A12" s="51" t="s">
        <v>118</v>
      </c>
      <c r="B12" s="44">
        <v>366</v>
      </c>
      <c r="C12" s="37">
        <f>IF(B$3=0,0,B12/B$3)</f>
        <v>0.29950900163666122</v>
      </c>
      <c r="E12" s="59" t="s">
        <v>65</v>
      </c>
      <c r="F12" s="56" t="s">
        <v>21</v>
      </c>
      <c r="G12" s="44">
        <v>31</v>
      </c>
      <c r="H12" s="129">
        <f>IF(B$15=0,0,G12/B$15)</f>
        <v>8.3109919571045576E-2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-4.5017857142857149</v>
      </c>
      <c r="P12" s="116">
        <v>56</v>
      </c>
      <c r="Q12" s="104">
        <v>-252.10000000000005</v>
      </c>
    </row>
    <row r="13" spans="1:17" x14ac:dyDescent="0.45">
      <c r="A13" s="50" t="s">
        <v>123</v>
      </c>
      <c r="B13" s="43">
        <f>B19</f>
        <v>144</v>
      </c>
      <c r="C13" s="35">
        <f>IF(B$11=0,0,B13/B$11)</f>
        <v>0.50349650349650354</v>
      </c>
      <c r="E13" s="59" t="s">
        <v>86</v>
      </c>
      <c r="F13" s="56" t="s">
        <v>41</v>
      </c>
      <c r="G13" s="44">
        <v>24</v>
      </c>
      <c r="H13" s="129">
        <f>IF(B$15=0,0,G13/B$15)</f>
        <v>6.4343163538873996E-2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140</v>
      </c>
      <c r="C14" s="35">
        <f>IF(B$12=0,0,B14/B$12)</f>
        <v>0.38251366120218577</v>
      </c>
      <c r="E14" s="59" t="s">
        <v>83</v>
      </c>
      <c r="F14" s="56" t="s">
        <v>38</v>
      </c>
      <c r="G14" s="44">
        <v>19</v>
      </c>
      <c r="H14" s="129">
        <f>IF(B$15=0,0,G14/B$15)</f>
        <v>5.0938337801608578E-2</v>
      </c>
      <c r="I14" s="90">
        <v>6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373</v>
      </c>
      <c r="C15" s="35">
        <f>IF(B$3=0,0,B15/B$3)</f>
        <v>0.30523731587561376</v>
      </c>
      <c r="E15" s="59" t="s">
        <v>91</v>
      </c>
      <c r="F15" s="56" t="s">
        <v>46</v>
      </c>
      <c r="G15" s="44">
        <v>13</v>
      </c>
      <c r="H15" s="129">
        <f>IF(B$15=0,0,G15/B$15)</f>
        <v>3.4852546916890083E-2</v>
      </c>
      <c r="I15" s="90">
        <v>2</v>
      </c>
      <c r="K15" s="36">
        <v>13</v>
      </c>
      <c r="L15" s="95">
        <v>-86.8</v>
      </c>
      <c r="N15" s="110" t="s">
        <v>228</v>
      </c>
      <c r="O15" s="120">
        <f t="shared" ref="O15:O23" si="2"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223</v>
      </c>
      <c r="C16" s="37">
        <f>IF(B$3=0,0,B16/B$3)</f>
        <v>0.18248772504091654</v>
      </c>
      <c r="E16" s="59" t="s">
        <v>78</v>
      </c>
      <c r="F16" s="56" t="s">
        <v>33</v>
      </c>
      <c r="G16" s="44">
        <v>11</v>
      </c>
      <c r="H16" s="129">
        <f>IF(B$15=0,0,G16/B$15)</f>
        <v>2.9490616621983913E-2</v>
      </c>
      <c r="I16" s="90">
        <v>5</v>
      </c>
      <c r="K16" s="36">
        <v>14</v>
      </c>
      <c r="L16" s="95">
        <v>-138.4</v>
      </c>
      <c r="N16" s="111" t="s">
        <v>172</v>
      </c>
      <c r="O16" s="121">
        <f t="shared" si="2"/>
        <v>17.456249999999994</v>
      </c>
      <c r="P16" s="115">
        <v>48</v>
      </c>
      <c r="Q16" s="103">
        <v>837.89999999999964</v>
      </c>
    </row>
    <row r="17" spans="1:17" x14ac:dyDescent="0.45">
      <c r="A17" s="51" t="s">
        <v>12</v>
      </c>
      <c r="B17" s="44">
        <v>155</v>
      </c>
      <c r="C17" s="37">
        <f>IF(B$15=0,0,B17/B$15)</f>
        <v>0.41554959785522788</v>
      </c>
      <c r="E17" s="59" t="s">
        <v>81</v>
      </c>
      <c r="F17" s="56" t="s">
        <v>36</v>
      </c>
      <c r="G17" s="44">
        <v>8</v>
      </c>
      <c r="H17" s="129">
        <f>IF(B$15=0,0,G17/B$15)</f>
        <v>2.1447721179624665E-2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 t="shared" si="2"/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218</v>
      </c>
      <c r="C18" s="37">
        <f>IF(B$15=0,0,B18/B$15)</f>
        <v>0.58445040214477206</v>
      </c>
      <c r="E18" s="59" t="s">
        <v>79</v>
      </c>
      <c r="F18" s="56" t="s">
        <v>34</v>
      </c>
      <c r="G18" s="44">
        <v>7</v>
      </c>
      <c r="H18" s="129">
        <f>IF(B$15=0,0,G18/B$15)</f>
        <v>1.876675603217158E-2</v>
      </c>
      <c r="I18" s="90">
        <v>5</v>
      </c>
      <c r="K18" s="36">
        <v>16</v>
      </c>
      <c r="L18" s="95">
        <v>-187.3</v>
      </c>
      <c r="N18" s="111" t="s">
        <v>196</v>
      </c>
      <c r="O18" s="121">
        <f t="shared" si="2"/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144</v>
      </c>
      <c r="C19" s="37">
        <f>IF(B$15=0,0,B19/B$15)</f>
        <v>0.38605898123324395</v>
      </c>
      <c r="E19" s="59" t="s">
        <v>162</v>
      </c>
      <c r="F19" s="56" t="s">
        <v>163</v>
      </c>
      <c r="G19" s="44">
        <v>5</v>
      </c>
      <c r="H19" s="129">
        <f>IF(B$15=0,0,G19/B$15)</f>
        <v>1.3404825737265416E-2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 t="shared" si="2"/>
        <v>5.5299999999999994</v>
      </c>
      <c r="P19" s="115">
        <v>30</v>
      </c>
      <c r="Q19" s="103">
        <v>165.89999999999998</v>
      </c>
    </row>
    <row r="20" spans="1:17" x14ac:dyDescent="0.45">
      <c r="A20" s="51" t="s">
        <v>193</v>
      </c>
      <c r="B20" s="44">
        <v>140</v>
      </c>
      <c r="C20" s="37">
        <f>IF(B$15=0,0,B20/B$15)</f>
        <v>0.37533512064343161</v>
      </c>
      <c r="E20" s="59" t="s">
        <v>92</v>
      </c>
      <c r="F20" s="56" t="s">
        <v>47</v>
      </c>
      <c r="G20" s="44">
        <v>3</v>
      </c>
      <c r="H20" s="129">
        <f>IF(B$15=0,0,G20/B$15)</f>
        <v>8.0428954423592495E-3</v>
      </c>
      <c r="I20" s="90">
        <v>2</v>
      </c>
      <c r="K20" s="36">
        <v>18</v>
      </c>
      <c r="L20" s="95">
        <v>-112.90000000000002</v>
      </c>
      <c r="N20" s="111" t="s">
        <v>171</v>
      </c>
      <c r="O20" s="121">
        <f t="shared" si="2"/>
        <v>1.9895833333333348</v>
      </c>
      <c r="P20" s="115">
        <v>48</v>
      </c>
      <c r="Q20" s="103">
        <v>95.500000000000071</v>
      </c>
    </row>
    <row r="21" spans="1:17" x14ac:dyDescent="0.45">
      <c r="A21" s="51" t="s">
        <v>194</v>
      </c>
      <c r="B21" s="44">
        <v>89</v>
      </c>
      <c r="C21" s="37">
        <f>IF(B$15=0,0,B21/B$15)</f>
        <v>0.23860589812332439</v>
      </c>
      <c r="E21" s="59" t="s">
        <v>74</v>
      </c>
      <c r="F21" s="56" t="s">
        <v>29</v>
      </c>
      <c r="G21" s="44">
        <v>2</v>
      </c>
      <c r="H21" s="129">
        <f>IF(B$15=0,0,G21/B$15)</f>
        <v>5.3619302949061663E-3</v>
      </c>
      <c r="I21" s="90">
        <v>3</v>
      </c>
      <c r="K21" s="36">
        <v>19</v>
      </c>
      <c r="L21" s="95">
        <v>-162.40000000000003</v>
      </c>
      <c r="N21" s="111" t="s">
        <v>274</v>
      </c>
      <c r="O21" s="121">
        <f t="shared" si="2"/>
        <v>0.40000000000000036</v>
      </c>
      <c r="P21" s="115">
        <v>4</v>
      </c>
      <c r="Q21" s="103">
        <v>1.6000000000000014</v>
      </c>
    </row>
    <row r="22" spans="1:17" x14ac:dyDescent="0.45">
      <c r="A22" s="51" t="s">
        <v>5</v>
      </c>
      <c r="B22" s="48">
        <f>IF(B$15=0,0,C22/B$15)</f>
        <v>8230.8310991957096</v>
      </c>
      <c r="C22" s="39">
        <v>3070100</v>
      </c>
      <c r="E22" s="59" t="s">
        <v>75</v>
      </c>
      <c r="F22" s="56" t="s">
        <v>30</v>
      </c>
      <c r="G22" s="44">
        <v>2</v>
      </c>
      <c r="H22" s="129">
        <f>IF(B$15=0,0,G22/B$15)</f>
        <v>5.3619302949061663E-3</v>
      </c>
      <c r="I22" s="90">
        <v>7</v>
      </c>
      <c r="K22" s="36">
        <v>20</v>
      </c>
      <c r="L22" s="95">
        <v>-96.000000000000028</v>
      </c>
      <c r="N22" s="111" t="s">
        <v>170</v>
      </c>
      <c r="O22" s="121">
        <f t="shared" si="2"/>
        <v>-5.7181818181818134</v>
      </c>
      <c r="P22" s="115">
        <v>44</v>
      </c>
      <c r="Q22" s="103">
        <v>-251.5999999999998</v>
      </c>
    </row>
    <row r="23" spans="1:17" x14ac:dyDescent="0.45">
      <c r="A23" s="52" t="s">
        <v>177</v>
      </c>
      <c r="B23" s="136">
        <f>IF($B$15-B$14=0,0,C23/($B$15-B$14))</f>
        <v>8900.4291845493553</v>
      </c>
      <c r="C23" s="137">
        <v>2073800</v>
      </c>
      <c r="E23" s="59" t="s">
        <v>73</v>
      </c>
      <c r="F23" s="56" t="s">
        <v>28</v>
      </c>
      <c r="G23" s="44">
        <v>1</v>
      </c>
      <c r="H23" s="129">
        <f>IF(B$15=0,0,G23/B$15)</f>
        <v>2.6809651474530832E-3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 t="shared" si="2"/>
        <v>-12.729896907216494</v>
      </c>
      <c r="P23" s="115">
        <v>97</v>
      </c>
      <c r="Q23" s="103">
        <v>-1234.8</v>
      </c>
    </row>
    <row r="24" spans="1:17" x14ac:dyDescent="0.45">
      <c r="A24" s="52" t="s">
        <v>178</v>
      </c>
      <c r="B24" s="136">
        <f>IF(B$14=0,0,C24/B$14)</f>
        <v>7116.4285714285716</v>
      </c>
      <c r="C24" s="137">
        <v>996300</v>
      </c>
      <c r="E24" s="59" t="s">
        <v>77</v>
      </c>
      <c r="F24" s="56" t="s">
        <v>32</v>
      </c>
      <c r="G24" s="44">
        <v>1</v>
      </c>
      <c r="H24" s="129">
        <f>IF(B$15=0,0,G24/B$15)</f>
        <v>2.6809651474530832E-3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-7970.8520179372199</v>
      </c>
      <c r="C25" s="137">
        <v>-1777500</v>
      </c>
      <c r="E25" s="59" t="s">
        <v>84</v>
      </c>
      <c r="F25" s="56" t="s">
        <v>39</v>
      </c>
      <c r="G25" s="44">
        <v>1</v>
      </c>
      <c r="H25" s="129">
        <f>IF(B$15=0,0,G25/B$15)</f>
        <v>2.6809651474530832E-3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2.6809651474530832E-3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2</v>
      </c>
      <c r="E27" s="59" t="s">
        <v>95</v>
      </c>
      <c r="F27" s="56" t="s">
        <v>50</v>
      </c>
      <c r="G27" s="44">
        <v>1</v>
      </c>
      <c r="H27" s="129">
        <f>IF(B$15=0,0,G27/B$15)</f>
        <v>2.6809651474530832E-3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4.0916530278232409E-3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28</v>
      </c>
      <c r="C32" s="141">
        <f>IF(B$15=0,0,B32/B$15)</f>
        <v>7.5067024128686322E-2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62</v>
      </c>
      <c r="C33" s="37">
        <f t="shared" ref="C33:C44" si="3">IF(B$15=0,0,B33/B$15)</f>
        <v>0.16621983914209115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78</v>
      </c>
      <c r="C34" s="37">
        <f>IF(B$15=0,0,B34/B$15)</f>
        <v>0.20911528150134048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77</v>
      </c>
      <c r="C35" s="37">
        <f t="shared" si="3"/>
        <v>0.2064343163538874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55</v>
      </c>
      <c r="C36" s="37">
        <f t="shared" si="3"/>
        <v>0.14745308310991956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40</v>
      </c>
      <c r="C37" s="37">
        <f t="shared" si="3"/>
        <v>0.10723860589812333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12</v>
      </c>
      <c r="C38" s="37">
        <f t="shared" si="3"/>
        <v>3.2171581769436998E-2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8</v>
      </c>
      <c r="C39" s="37">
        <f t="shared" si="3"/>
        <v>2.1447721179624665E-2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3"/>
        <v>1.6085790884718499E-2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3"/>
        <v>2.6809651474530832E-3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3"/>
        <v>5.3619302949061663E-3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3"/>
        <v>1.0723860589812333E-2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</sheetData>
  <sortState xmlns:xlrd2="http://schemas.microsoft.com/office/spreadsheetml/2017/richdata2" ref="E2:I14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97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95</v>
      </c>
      <c r="C2" s="155"/>
      <c r="E2" s="58" t="s">
        <v>66</v>
      </c>
      <c r="F2" s="55" t="s">
        <v>22</v>
      </c>
      <c r="G2" s="43">
        <v>174</v>
      </c>
      <c r="H2" s="128">
        <f>IF(B$15=0,0,G2/B$15)</f>
        <v>0.78378378378378377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-388.29787234042556</v>
      </c>
      <c r="P2" s="114">
        <v>94</v>
      </c>
      <c r="Q2" s="98">
        <v>-36500</v>
      </c>
    </row>
    <row r="3" spans="1:17" x14ac:dyDescent="0.45">
      <c r="A3" s="51" t="s">
        <v>8</v>
      </c>
      <c r="B3" s="156">
        <v>813</v>
      </c>
      <c r="C3" s="157"/>
      <c r="E3" s="59" t="s">
        <v>64</v>
      </c>
      <c r="F3" s="56" t="s">
        <v>20</v>
      </c>
      <c r="G3" s="44">
        <v>123</v>
      </c>
      <c r="H3" s="129">
        <f>IF(B$15=0,0,G3/B$15)</f>
        <v>0.55405405405405406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-554.25531914893622</v>
      </c>
      <c r="P3" s="115">
        <v>94</v>
      </c>
      <c r="Q3" s="99">
        <v>-52100</v>
      </c>
    </row>
    <row r="4" spans="1:17" x14ac:dyDescent="0.45">
      <c r="A4" s="51" t="s">
        <v>6</v>
      </c>
      <c r="B4" s="158">
        <v>-599.19999999999993</v>
      </c>
      <c r="C4" s="159"/>
      <c r="E4" s="59" t="s">
        <v>72</v>
      </c>
      <c r="F4" s="56" t="s">
        <v>27</v>
      </c>
      <c r="G4" s="44">
        <v>110</v>
      </c>
      <c r="H4" s="129">
        <f>IF(B$15=0,0,G4/B$15)</f>
        <v>0.49549549549549549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462.5</v>
      </c>
      <c r="P4" s="115">
        <v>88</v>
      </c>
      <c r="Q4" s="99">
        <v>40700</v>
      </c>
    </row>
    <row r="5" spans="1:17" x14ac:dyDescent="0.45">
      <c r="A5" s="51" t="s">
        <v>7</v>
      </c>
      <c r="B5" s="160">
        <f>IF(B$2=0,0,B$4/B$2)</f>
        <v>-6.3073684210526313</v>
      </c>
      <c r="C5" s="161"/>
      <c r="E5" s="59" t="s">
        <v>166</v>
      </c>
      <c r="F5" s="56" t="s">
        <v>167</v>
      </c>
      <c r="G5" s="44">
        <v>94</v>
      </c>
      <c r="H5" s="129">
        <f>IF(B$15=0,0,G5/B$15)</f>
        <v>0.42342342342342343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-744.18604651162786</v>
      </c>
      <c r="P5" s="115">
        <v>86</v>
      </c>
      <c r="Q5" s="99">
        <v>-64000</v>
      </c>
    </row>
    <row r="6" spans="1:17" x14ac:dyDescent="0.45">
      <c r="A6" s="51" t="s">
        <v>1</v>
      </c>
      <c r="B6" s="150">
        <f>IF(B$2=0,0,(B$7*1+B$8*2+B$9*3)/B$2)</f>
        <v>2.1578947368421053</v>
      </c>
      <c r="C6" s="151"/>
      <c r="E6" s="59" t="s">
        <v>68</v>
      </c>
      <c r="F6" s="56" t="s">
        <v>12</v>
      </c>
      <c r="G6" s="44">
        <v>78</v>
      </c>
      <c r="H6" s="129">
        <f>IF(B$15=0,0,G6/B$15)</f>
        <v>0.35135135135135137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-3076.5432098765432</v>
      </c>
      <c r="P6" s="115">
        <v>81</v>
      </c>
      <c r="Q6" s="99">
        <v>-249200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0.22105263157894736</v>
      </c>
      <c r="E7" s="59" t="s">
        <v>67</v>
      </c>
      <c r="F7" s="56" t="s">
        <v>23</v>
      </c>
      <c r="G7" s="44">
        <v>68</v>
      </c>
      <c r="H7" s="129">
        <f>IF(B$15=0,0,G7/B$15)</f>
        <v>0.30630630630630629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-1363.3802816901409</v>
      </c>
      <c r="P7" s="116">
        <v>71</v>
      </c>
      <c r="Q7" s="100">
        <v>-96800</v>
      </c>
    </row>
    <row r="8" spans="1:17" x14ac:dyDescent="0.45">
      <c r="A8" s="51" t="s">
        <v>3</v>
      </c>
      <c r="B8" s="44">
        <v>38</v>
      </c>
      <c r="C8" s="37">
        <f t="shared" si="1"/>
        <v>0.4</v>
      </c>
      <c r="E8" s="59" t="s">
        <v>69</v>
      </c>
      <c r="F8" s="56" t="s">
        <v>24</v>
      </c>
      <c r="G8" s="44">
        <v>32</v>
      </c>
      <c r="H8" s="129">
        <f>IF(B$15=0,0,G8/B$15)</f>
        <v>0.14414414414414414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0.37894736842105264</v>
      </c>
      <c r="E9" s="59" t="s">
        <v>70</v>
      </c>
      <c r="F9" s="56" t="s">
        <v>25</v>
      </c>
      <c r="G9" s="44">
        <v>27</v>
      </c>
      <c r="H9" s="129">
        <f>IF(B$15=0,0,G9/B$15)</f>
        <v>0.12162162162162163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7.3684210526315783E-2</v>
      </c>
      <c r="E10" s="59" t="s">
        <v>65</v>
      </c>
      <c r="F10" s="56" t="s">
        <v>21</v>
      </c>
      <c r="G10" s="44">
        <v>26</v>
      </c>
      <c r="H10" s="129">
        <f>IF(B$15=0,0,G10/B$15)</f>
        <v>0.11711711711711711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-5.0026315789473701</v>
      </c>
      <c r="P10" s="114">
        <v>38</v>
      </c>
      <c r="Q10" s="102">
        <v>-190.10000000000008</v>
      </c>
    </row>
    <row r="11" spans="1:17" x14ac:dyDescent="0.45">
      <c r="A11" s="54" t="s">
        <v>121</v>
      </c>
      <c r="B11" s="47">
        <v>225</v>
      </c>
      <c r="C11" s="42">
        <f>IF(B$3=0,0,B11/B$3)</f>
        <v>0.2767527675276753</v>
      </c>
      <c r="E11" s="59" t="s">
        <v>89</v>
      </c>
      <c r="F11" s="56" t="s">
        <v>44</v>
      </c>
      <c r="G11" s="44">
        <v>25</v>
      </c>
      <c r="H11" s="129">
        <f>IF(B$15=0,0,G11/B$15)</f>
        <v>0.11261261261261261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-5.3035714285714306</v>
      </c>
      <c r="P11" s="115">
        <v>28</v>
      </c>
      <c r="Q11" s="103">
        <v>-148.50000000000006</v>
      </c>
    </row>
    <row r="12" spans="1:17" x14ac:dyDescent="0.45">
      <c r="A12" s="51" t="s">
        <v>118</v>
      </c>
      <c r="B12" s="44">
        <v>159</v>
      </c>
      <c r="C12" s="37">
        <f>IF(B$3=0,0,B12/B$3)</f>
        <v>0.19557195571955718</v>
      </c>
      <c r="E12" s="59" t="s">
        <v>83</v>
      </c>
      <c r="F12" s="56" t="s">
        <v>38</v>
      </c>
      <c r="G12" s="44">
        <v>13</v>
      </c>
      <c r="H12" s="129">
        <f>IF(B$15=0,0,G12/B$15)</f>
        <v>5.8558558558558557E-2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5">
      <c r="A13" s="50" t="s">
        <v>123</v>
      </c>
      <c r="B13" s="43">
        <f>B19</f>
        <v>122</v>
      </c>
      <c r="C13" s="35">
        <f>IF(B$11=0,0,B13/B$11)</f>
        <v>0.54222222222222227</v>
      </c>
      <c r="E13" s="59" t="s">
        <v>86</v>
      </c>
      <c r="F13" s="56" t="s">
        <v>41</v>
      </c>
      <c r="G13" s="44">
        <v>10</v>
      </c>
      <c r="H13" s="129">
        <f>IF(B$15=0,0,G13/B$15)</f>
        <v>4.5045045045045043E-2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0.41509433962264153</v>
      </c>
      <c r="E14" s="59" t="s">
        <v>71</v>
      </c>
      <c r="F14" s="56" t="s">
        <v>26</v>
      </c>
      <c r="G14" s="44">
        <v>9</v>
      </c>
      <c r="H14" s="129">
        <f>IF(B$15=0,0,G14/B$15)</f>
        <v>4.0540540540540543E-2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222</v>
      </c>
      <c r="C15" s="35">
        <f>IF(B$3=0,0,B15/B$3)</f>
        <v>0.27306273062730629</v>
      </c>
      <c r="E15" s="59" t="s">
        <v>78</v>
      </c>
      <c r="F15" s="56" t="s">
        <v>33</v>
      </c>
      <c r="G15" s="44">
        <v>7</v>
      </c>
      <c r="H15" s="129">
        <f>IF(B$15=0,0,G15/B$15)</f>
        <v>3.1531531531531529E-2</v>
      </c>
      <c r="I15" s="90">
        <v>4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146</v>
      </c>
      <c r="C16" s="37">
        <f>IF(B$3=0,0,B16/B$3)</f>
        <v>0.17958179581795819</v>
      </c>
      <c r="E16" s="59" t="s">
        <v>79</v>
      </c>
      <c r="F16" s="56" t="s">
        <v>34</v>
      </c>
      <c r="G16" s="44">
        <v>4</v>
      </c>
      <c r="H16" s="129">
        <f>IF(B$15=0,0,G16/B$15)</f>
        <v>1.8018018018018018E-2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104</v>
      </c>
      <c r="C17" s="37">
        <f>IF(B$15=0,0,B17/B$15)</f>
        <v>0.46846846846846846</v>
      </c>
      <c r="E17" s="59" t="s">
        <v>81</v>
      </c>
      <c r="F17" s="56" t="s">
        <v>36</v>
      </c>
      <c r="G17" s="44">
        <v>4</v>
      </c>
      <c r="H17" s="129">
        <f>IF(B$15=0,0,G17/B$15)</f>
        <v>1.8018018018018018E-2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118</v>
      </c>
      <c r="C18" s="37">
        <f>IF(B$15=0,0,B18/B$15)</f>
        <v>0.53153153153153154</v>
      </c>
      <c r="E18" s="59" t="s">
        <v>162</v>
      </c>
      <c r="F18" s="56" t="s">
        <v>163</v>
      </c>
      <c r="G18" s="44">
        <v>4</v>
      </c>
      <c r="H18" s="129">
        <f>IF(B$15=0,0,G18/B$15)</f>
        <v>1.8018018018018018E-2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122</v>
      </c>
      <c r="C19" s="37">
        <f>IF(B$15=0,0,B19/B$15)</f>
        <v>0.5495495495495496</v>
      </c>
      <c r="E19" s="59" t="s">
        <v>75</v>
      </c>
      <c r="F19" s="56" t="s">
        <v>30</v>
      </c>
      <c r="G19" s="44">
        <v>3</v>
      </c>
      <c r="H19" s="129">
        <f>IF(B$15=0,0,G19/B$15)</f>
        <v>1.3513513513513514E-2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-13.237499999999999</v>
      </c>
      <c r="P19" s="115">
        <v>24</v>
      </c>
      <c r="Q19" s="103">
        <v>-317.7</v>
      </c>
    </row>
    <row r="20" spans="1:17" x14ac:dyDescent="0.45">
      <c r="A20" s="51" t="s">
        <v>193</v>
      </c>
      <c r="B20" s="44">
        <v>66</v>
      </c>
      <c r="C20" s="37">
        <f>IF(B$15=0,0,B20/B$15)</f>
        <v>0.29729729729729731</v>
      </c>
      <c r="E20" s="59" t="s">
        <v>91</v>
      </c>
      <c r="F20" s="56" t="s">
        <v>46</v>
      </c>
      <c r="G20" s="44">
        <v>1</v>
      </c>
      <c r="H20" s="129">
        <f>IF(B$15=0,0,G20/B$15)</f>
        <v>4.5045045045045045E-3</v>
      </c>
      <c r="I20" s="90">
        <v>9</v>
      </c>
      <c r="K20" s="36">
        <v>18</v>
      </c>
      <c r="L20" s="95">
        <v>-240</v>
      </c>
      <c r="N20" s="111" t="s">
        <v>126</v>
      </c>
      <c r="O20" s="121">
        <f t="shared" si="2"/>
        <v>-13.408474576271189</v>
      </c>
      <c r="P20" s="115">
        <v>59</v>
      </c>
      <c r="Q20" s="103">
        <v>-791.10000000000014</v>
      </c>
    </row>
    <row r="21" spans="1:17" x14ac:dyDescent="0.45">
      <c r="A21" s="51" t="s">
        <v>194</v>
      </c>
      <c r="B21" s="44">
        <v>34</v>
      </c>
      <c r="C21" s="37">
        <f>IF(B$15=0,0,B21/B$15)</f>
        <v>0.15315315315315314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-17.456249999999994</v>
      </c>
      <c r="P21" s="115">
        <v>48</v>
      </c>
      <c r="Q21" s="103">
        <v>-837.89999999999964</v>
      </c>
    </row>
    <row r="22" spans="1:17" x14ac:dyDescent="0.45">
      <c r="A22" s="51" t="s">
        <v>5</v>
      </c>
      <c r="B22" s="48">
        <f>IF(B$15=0,0,C22/B$15)</f>
        <v>7830.6306306306305</v>
      </c>
      <c r="C22" s="39">
        <v>1738400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8491.0256410256407</v>
      </c>
      <c r="C23" s="137">
        <v>1324600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-7591.7808219178078</v>
      </c>
      <c r="C25" s="137">
        <v>-1108400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3.6900369003690036E-3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16</v>
      </c>
      <c r="C32" s="141">
        <f>IF(B$15=0,0,B32/B$15)</f>
        <v>7.2072072072072071E-2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0.17567567567567569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50</v>
      </c>
      <c r="C34" s="37">
        <f>IF(B$15=0,0,B34/B$15)</f>
        <v>0.22522522522522523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3"/>
        <v>0.15315315315315314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37</v>
      </c>
      <c r="C36" s="37">
        <f t="shared" si="3"/>
        <v>0.16666666666666666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0.1036036036036036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5.8558558558558557E-2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2.7027027027027029E-2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4.5045045045045045E-3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4.5045045045045045E-3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9.0090090090090089E-3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</sheetData>
  <sortState xmlns:xlrd2="http://schemas.microsoft.com/office/spreadsheetml/2017/richdata2" ref="E2:I9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2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119</v>
      </c>
      <c r="C2" s="155"/>
      <c r="E2" s="58" t="s">
        <v>66</v>
      </c>
      <c r="F2" s="55" t="s">
        <v>22</v>
      </c>
      <c r="G2" s="43">
        <v>245</v>
      </c>
      <c r="H2" s="128">
        <f>IF(B$15=0,0,G2/B$15)</f>
        <v>0.8876811594202898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1522.6890756302521</v>
      </c>
      <c r="P2" s="114">
        <v>119</v>
      </c>
      <c r="Q2" s="98">
        <v>181200</v>
      </c>
    </row>
    <row r="3" spans="1:17" x14ac:dyDescent="0.45">
      <c r="A3" s="51" t="s">
        <v>8</v>
      </c>
      <c r="B3" s="156">
        <v>973</v>
      </c>
      <c r="C3" s="157"/>
      <c r="E3" s="59" t="s">
        <v>72</v>
      </c>
      <c r="F3" s="56" t="s">
        <v>27</v>
      </c>
      <c r="G3" s="44">
        <v>151</v>
      </c>
      <c r="H3" s="129">
        <f>IF(B$15=0,0,G3/B$15)</f>
        <v>0.54710144927536231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-1570.9401709401709</v>
      </c>
      <c r="P3" s="115">
        <v>117</v>
      </c>
      <c r="Q3" s="99">
        <v>-183800</v>
      </c>
    </row>
    <row r="4" spans="1:17" x14ac:dyDescent="0.45">
      <c r="A4" s="51" t="s">
        <v>6</v>
      </c>
      <c r="B4" s="158">
        <v>672.80000000000041</v>
      </c>
      <c r="C4" s="159"/>
      <c r="E4" s="59" t="s">
        <v>64</v>
      </c>
      <c r="F4" s="56" t="s">
        <v>20</v>
      </c>
      <c r="G4" s="44">
        <v>150</v>
      </c>
      <c r="H4" s="129">
        <f>IF(B$15=0,0,G4/B$15)</f>
        <v>0.54347826086956519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190.65420560747663</v>
      </c>
      <c r="P4" s="115">
        <v>107</v>
      </c>
      <c r="Q4" s="99">
        <v>20400</v>
      </c>
    </row>
    <row r="5" spans="1:17" x14ac:dyDescent="0.45">
      <c r="A5" s="51" t="s">
        <v>7</v>
      </c>
      <c r="B5" s="160">
        <f>IF(B$2=0,0,B$4/B$2)</f>
        <v>5.653781512605045</v>
      </c>
      <c r="C5" s="161"/>
      <c r="E5" s="59" t="s">
        <v>67</v>
      </c>
      <c r="F5" s="56" t="s">
        <v>23</v>
      </c>
      <c r="G5" s="44">
        <v>112</v>
      </c>
      <c r="H5" s="129">
        <f>IF(B$15=0,0,G5/B$15)</f>
        <v>0.40579710144927539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2413.8613861386139</v>
      </c>
      <c r="P5" s="115">
        <v>101</v>
      </c>
      <c r="Q5" s="99">
        <v>243800</v>
      </c>
    </row>
    <row r="6" spans="1:17" x14ac:dyDescent="0.45">
      <c r="A6" s="51" t="s">
        <v>1</v>
      </c>
      <c r="B6" s="150">
        <f>IF(B$2=0,0,(B$7*1+B$8*2+B$9*3)/B$2)</f>
        <v>1.8823529411764706</v>
      </c>
      <c r="C6" s="151"/>
      <c r="E6" s="59" t="s">
        <v>68</v>
      </c>
      <c r="F6" s="56" t="s">
        <v>12</v>
      </c>
      <c r="G6" s="44">
        <v>110</v>
      </c>
      <c r="H6" s="129">
        <f>IF(B$15=0,0,G6/B$15)</f>
        <v>0.39855072463768115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1038.4615384615386</v>
      </c>
      <c r="P6" s="115">
        <v>91</v>
      </c>
      <c r="Q6" s="99">
        <v>94500</v>
      </c>
    </row>
    <row r="7" spans="1:17" x14ac:dyDescent="0.45">
      <c r="A7" s="51" t="s">
        <v>2</v>
      </c>
      <c r="B7" s="44">
        <v>50</v>
      </c>
      <c r="C7" s="37">
        <f t="shared" ref="C7:C10" si="1">IF(B$2=0,0,B7/B$2)</f>
        <v>0.42016806722689076</v>
      </c>
      <c r="E7" s="59" t="s">
        <v>166</v>
      </c>
      <c r="F7" s="56" t="s">
        <v>167</v>
      </c>
      <c r="G7" s="44">
        <v>100</v>
      </c>
      <c r="H7" s="129">
        <f>IF(B$15=0,0,G7/B$15)</f>
        <v>0.36231884057971014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542.25352112676057</v>
      </c>
      <c r="P7" s="116">
        <v>71</v>
      </c>
      <c r="Q7" s="100">
        <v>38500</v>
      </c>
    </row>
    <row r="8" spans="1:17" x14ac:dyDescent="0.45">
      <c r="A8" s="51" t="s">
        <v>3</v>
      </c>
      <c r="B8" s="44">
        <v>33</v>
      </c>
      <c r="C8" s="37">
        <f t="shared" si="1"/>
        <v>0.27731092436974791</v>
      </c>
      <c r="E8" s="59" t="s">
        <v>89</v>
      </c>
      <c r="F8" s="56" t="s">
        <v>44</v>
      </c>
      <c r="G8" s="44">
        <v>71</v>
      </c>
      <c r="H8" s="129">
        <f>IF(B$15=0,0,G8/B$15)</f>
        <v>0.25724637681159418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36</v>
      </c>
      <c r="C9" s="38">
        <f t="shared" si="1"/>
        <v>0.30252100840336132</v>
      </c>
      <c r="E9" s="59" t="s">
        <v>69</v>
      </c>
      <c r="F9" s="56" t="s">
        <v>24</v>
      </c>
      <c r="G9" s="44">
        <v>57</v>
      </c>
      <c r="H9" s="129">
        <f>IF(B$15=0,0,G9/B$15)</f>
        <v>0.20652173913043478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12</v>
      </c>
      <c r="C10" s="40">
        <f t="shared" si="1"/>
        <v>0.10084033613445378</v>
      </c>
      <c r="E10" s="59" t="s">
        <v>65</v>
      </c>
      <c r="F10" s="56" t="s">
        <v>21</v>
      </c>
      <c r="G10" s="44">
        <v>40</v>
      </c>
      <c r="H10" s="129">
        <f>IF(B$15=0,0,G10/B$15)</f>
        <v>0.14492753623188406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-3.6468749999999996</v>
      </c>
      <c r="P10" s="114">
        <v>32</v>
      </c>
      <c r="Q10" s="102">
        <v>-116.69999999999999</v>
      </c>
    </row>
    <row r="11" spans="1:17" x14ac:dyDescent="0.45">
      <c r="A11" s="54" t="s">
        <v>121</v>
      </c>
      <c r="B11" s="47">
        <v>302</v>
      </c>
      <c r="C11" s="42">
        <f>IF(B$3=0,0,B11/B$3)</f>
        <v>0.31038026721479961</v>
      </c>
      <c r="E11" s="59" t="s">
        <v>70</v>
      </c>
      <c r="F11" s="56" t="s">
        <v>25</v>
      </c>
      <c r="G11" s="44">
        <v>31</v>
      </c>
      <c r="H11" s="129">
        <f>IF(B$15=0,0,G11/B$15)</f>
        <v>0.11231884057971014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8.0829787234042545</v>
      </c>
      <c r="P11" s="115">
        <v>47</v>
      </c>
      <c r="Q11" s="103">
        <v>379.89999999999992</v>
      </c>
    </row>
    <row r="12" spans="1:17" x14ac:dyDescent="0.45">
      <c r="A12" s="51" t="s">
        <v>118</v>
      </c>
      <c r="B12" s="44">
        <v>175</v>
      </c>
      <c r="C12" s="37">
        <f>IF(B$3=0,0,B12/B$3)</f>
        <v>0.17985611510791366</v>
      </c>
      <c r="E12" s="59" t="s">
        <v>162</v>
      </c>
      <c r="F12" s="56" t="s">
        <v>163</v>
      </c>
      <c r="G12" s="44">
        <v>17</v>
      </c>
      <c r="H12" s="129">
        <f>IF(B$15=0,0,G12/B$15)</f>
        <v>6.1594202898550728E-2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10.24</v>
      </c>
      <c r="P12" s="116">
        <v>40</v>
      </c>
      <c r="Q12" s="104">
        <v>409.6</v>
      </c>
    </row>
    <row r="13" spans="1:17" x14ac:dyDescent="0.45">
      <c r="A13" s="50" t="s">
        <v>123</v>
      </c>
      <c r="B13" s="43">
        <f>B19</f>
        <v>168</v>
      </c>
      <c r="C13" s="35">
        <f>IF(B$11=0,0,B13/B$11)</f>
        <v>0.55629139072847678</v>
      </c>
      <c r="E13" s="59" t="s">
        <v>71</v>
      </c>
      <c r="F13" s="56" t="s">
        <v>26</v>
      </c>
      <c r="G13" s="44">
        <v>14</v>
      </c>
      <c r="H13" s="129">
        <f>IF(B$15=0,0,G13/B$15)</f>
        <v>5.0724637681159424E-2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70</v>
      </c>
      <c r="C14" s="35">
        <f>IF(B$12=0,0,B14/B$12)</f>
        <v>0.4</v>
      </c>
      <c r="E14" s="59" t="s">
        <v>86</v>
      </c>
      <c r="F14" s="56" t="s">
        <v>41</v>
      </c>
      <c r="G14" s="44">
        <v>10</v>
      </c>
      <c r="H14" s="129">
        <f>IF(B$15=0,0,G14/B$15)</f>
        <v>3.6231884057971016E-2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276</v>
      </c>
      <c r="C15" s="35">
        <f>IF(B$3=0,0,B15/B$3)</f>
        <v>0.28365878725590954</v>
      </c>
      <c r="E15" s="59" t="s">
        <v>83</v>
      </c>
      <c r="F15" s="56" t="s">
        <v>38</v>
      </c>
      <c r="G15" s="44">
        <v>9</v>
      </c>
      <c r="H15" s="129">
        <f>IF(B$15=0,0,G15/B$15)</f>
        <v>3.2608695652173912E-2</v>
      </c>
      <c r="I15" s="90">
        <v>11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164</v>
      </c>
      <c r="C16" s="37">
        <f>IF(B$3=0,0,B16/B$3)</f>
        <v>0.16855087358684481</v>
      </c>
      <c r="E16" s="59" t="s">
        <v>78</v>
      </c>
      <c r="F16" s="56" t="s">
        <v>33</v>
      </c>
      <c r="G16" s="44">
        <v>4</v>
      </c>
      <c r="H16" s="129">
        <f>IF(B$15=0,0,G16/B$15)</f>
        <v>1.4492753623188406E-2</v>
      </c>
      <c r="I16" s="90">
        <v>7</v>
      </c>
      <c r="K16" s="36">
        <v>14</v>
      </c>
      <c r="L16" s="95">
        <v>-86.499999999999972</v>
      </c>
      <c r="N16" s="111" t="s">
        <v>161</v>
      </c>
      <c r="O16" s="121">
        <f>IF(P16=0,0,Q16/P16)</f>
        <v>37.672727272727272</v>
      </c>
      <c r="P16" s="115">
        <v>22</v>
      </c>
      <c r="Q16" s="103">
        <v>828.8</v>
      </c>
    </row>
    <row r="17" spans="1:17" x14ac:dyDescent="0.45">
      <c r="A17" s="51" t="s">
        <v>12</v>
      </c>
      <c r="B17" s="44">
        <v>140</v>
      </c>
      <c r="C17" s="37">
        <f>IF(B$15=0,0,B17/B$15)</f>
        <v>0.50724637681159424</v>
      </c>
      <c r="E17" s="59" t="s">
        <v>81</v>
      </c>
      <c r="F17" s="56" t="s">
        <v>36</v>
      </c>
      <c r="G17" s="44">
        <v>4</v>
      </c>
      <c r="H17" s="129">
        <f>IF(B$15=0,0,G17/B$15)</f>
        <v>1.4492753623188406E-2</v>
      </c>
      <c r="I17" s="90">
        <v>9</v>
      </c>
      <c r="K17" s="36">
        <v>15</v>
      </c>
      <c r="L17" s="95">
        <v>-101.79999999999997</v>
      </c>
      <c r="N17" s="111" t="s">
        <v>197</v>
      </c>
      <c r="O17" s="121">
        <f>IF(P17=0,0,Q17/P17)</f>
        <v>13.014814814814816</v>
      </c>
      <c r="P17" s="115">
        <v>27</v>
      </c>
      <c r="Q17" s="103">
        <v>351.40000000000003</v>
      </c>
    </row>
    <row r="18" spans="1:17" x14ac:dyDescent="0.45">
      <c r="A18" s="51" t="s">
        <v>11</v>
      </c>
      <c r="B18" s="44">
        <v>136</v>
      </c>
      <c r="C18" s="37">
        <f>IF(B$15=0,0,B18/B$15)</f>
        <v>0.49275362318840582</v>
      </c>
      <c r="E18" s="59" t="s">
        <v>91</v>
      </c>
      <c r="F18" s="56" t="s">
        <v>46</v>
      </c>
      <c r="G18" s="44">
        <v>4</v>
      </c>
      <c r="H18" s="129">
        <f>IF(B$15=0,0,G18/B$15)</f>
        <v>1.4492753623188406E-2</v>
      </c>
      <c r="I18" s="90">
        <v>6</v>
      </c>
      <c r="K18" s="36">
        <v>16</v>
      </c>
      <c r="L18" s="95">
        <v>-63.099999999999966</v>
      </c>
      <c r="N18" s="111" t="s">
        <v>171</v>
      </c>
      <c r="O18" s="121">
        <f>IF(P18=0,0,Q18/P18)</f>
        <v>12.623728813559321</v>
      </c>
      <c r="P18" s="115">
        <v>59</v>
      </c>
      <c r="Q18" s="103">
        <v>744.8</v>
      </c>
    </row>
    <row r="19" spans="1:17" x14ac:dyDescent="0.45">
      <c r="A19" s="51" t="s">
        <v>195</v>
      </c>
      <c r="B19" s="44">
        <v>168</v>
      </c>
      <c r="C19" s="37">
        <f>IF(B$15=0,0,B19/B$15)</f>
        <v>0.60869565217391308</v>
      </c>
      <c r="E19" s="59" t="s">
        <v>92</v>
      </c>
      <c r="F19" s="56" t="s">
        <v>47</v>
      </c>
      <c r="G19" s="44">
        <v>4</v>
      </c>
      <c r="H19" s="129">
        <f>IF(B$15=0,0,G19/B$15)</f>
        <v>1.4492753623188406E-2</v>
      </c>
      <c r="I19" s="90">
        <v>1</v>
      </c>
      <c r="K19" s="36">
        <v>17</v>
      </c>
      <c r="L19" s="95">
        <v>-55.799999999999969</v>
      </c>
      <c r="N19" s="111" t="s">
        <v>127</v>
      </c>
      <c r="O19" s="121">
        <f>IF(P19=0,0,Q19/P19)</f>
        <v>5.7181818181818151</v>
      </c>
      <c r="P19" s="115">
        <v>44</v>
      </c>
      <c r="Q19" s="103">
        <v>251.59999999999988</v>
      </c>
    </row>
    <row r="20" spans="1:17" x14ac:dyDescent="0.45">
      <c r="A20" s="51" t="s">
        <v>193</v>
      </c>
      <c r="B20" s="44">
        <v>70</v>
      </c>
      <c r="C20" s="37">
        <f>IF(B$15=0,0,B20/B$15)</f>
        <v>0.25362318840579712</v>
      </c>
      <c r="E20" s="59" t="s">
        <v>73</v>
      </c>
      <c r="F20" s="56" t="s">
        <v>28</v>
      </c>
      <c r="G20" s="44">
        <v>2</v>
      </c>
      <c r="H20" s="129">
        <f>IF(B$15=0,0,G20/B$15)</f>
        <v>7.246376811594203E-3</v>
      </c>
      <c r="I20" s="90">
        <v>2</v>
      </c>
      <c r="K20" s="36">
        <v>18</v>
      </c>
      <c r="L20" s="95">
        <v>-24.999999999999968</v>
      </c>
      <c r="N20" s="111" t="s">
        <v>274</v>
      </c>
      <c r="O20" s="121">
        <f>IF(P20=0,0,Q20/P20)</f>
        <v>5.4749999999999988</v>
      </c>
      <c r="P20" s="115">
        <v>8</v>
      </c>
      <c r="Q20" s="103">
        <v>43.79999999999999</v>
      </c>
    </row>
    <row r="21" spans="1:17" x14ac:dyDescent="0.45">
      <c r="A21" s="51" t="s">
        <v>194</v>
      </c>
      <c r="B21" s="44">
        <v>38</v>
      </c>
      <c r="C21" s="37">
        <f>IF(B$15=0,0,B21/B$15)</f>
        <v>0.13768115942028986</v>
      </c>
      <c r="E21" s="59" t="s">
        <v>79</v>
      </c>
      <c r="F21" s="56" t="s">
        <v>34</v>
      </c>
      <c r="G21" s="44">
        <v>2</v>
      </c>
      <c r="H21" s="129">
        <f>IF(B$15=0,0,G21/B$15)</f>
        <v>7.246376811594203E-3</v>
      </c>
      <c r="I21" s="90">
        <v>9</v>
      </c>
      <c r="K21" s="36">
        <v>19</v>
      </c>
      <c r="L21" s="95">
        <v>-27.799999999999969</v>
      </c>
      <c r="N21" s="111" t="s">
        <v>126</v>
      </c>
      <c r="O21" s="121">
        <f>IF(P21=0,0,Q21/P21)</f>
        <v>-1.1456521739130461</v>
      </c>
      <c r="P21" s="115">
        <v>46</v>
      </c>
      <c r="Q21" s="103">
        <v>-52.700000000000117</v>
      </c>
    </row>
    <row r="22" spans="1:17" x14ac:dyDescent="0.45">
      <c r="A22" s="51" t="s">
        <v>5</v>
      </c>
      <c r="B22" s="48">
        <f>IF(B$15=0,0,C22/B$15)</f>
        <v>10711.231884057972</v>
      </c>
      <c r="C22" s="39">
        <v>2956300</v>
      </c>
      <c r="E22" s="59" t="s">
        <v>84</v>
      </c>
      <c r="F22" s="56" t="s">
        <v>39</v>
      </c>
      <c r="G22" s="44">
        <v>2</v>
      </c>
      <c r="H22" s="129">
        <f>IF(B$15=0,0,G22/B$15)</f>
        <v>7.246376811594203E-3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11368.446601941747</v>
      </c>
      <c r="C23" s="137">
        <v>2341900</v>
      </c>
      <c r="E23" s="59" t="s">
        <v>85</v>
      </c>
      <c r="F23" s="56" t="s">
        <v>40</v>
      </c>
      <c r="G23" s="44">
        <v>2</v>
      </c>
      <c r="H23" s="129">
        <f>IF(B$15=0,0,G23/B$15)</f>
        <v>7.246376811594203E-3</v>
      </c>
      <c r="I23" s="90">
        <v>5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8777.1428571428569</v>
      </c>
      <c r="C24" s="137">
        <v>614400</v>
      </c>
      <c r="E24" s="59" t="s">
        <v>90</v>
      </c>
      <c r="F24" s="56" t="s">
        <v>45</v>
      </c>
      <c r="G24" s="44">
        <v>2</v>
      </c>
      <c r="H24" s="129">
        <f>IF(B$15=0,0,G24/B$15)</f>
        <v>7.246376811594203E-3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-7949.3902439024387</v>
      </c>
      <c r="C25" s="137">
        <v>-1303700</v>
      </c>
      <c r="E25" s="59" t="s">
        <v>75</v>
      </c>
      <c r="F25" s="56" t="s">
        <v>30</v>
      </c>
      <c r="G25" s="44">
        <v>1</v>
      </c>
      <c r="H25" s="129">
        <f>IF(B$15=0,0,G25/B$15)</f>
        <v>3.6231884057971015E-3</v>
      </c>
      <c r="I25" s="90">
        <v>9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3.6231884057971015E-3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3</v>
      </c>
      <c r="E27" s="59" t="s">
        <v>93</v>
      </c>
      <c r="F27" s="56" t="s">
        <v>48</v>
      </c>
      <c r="G27" s="44">
        <v>1</v>
      </c>
      <c r="H27" s="129">
        <f>IF(B$15=0,0,G27/B$15)</f>
        <v>3.6231884057971015E-3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3.6231884057971015E-3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1</v>
      </c>
      <c r="C30" s="40">
        <f>IF(B$3=0,0,B30/B$3)</f>
        <v>1.0277492291880781E-3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7</v>
      </c>
      <c r="C32" s="141">
        <f>IF(B$15=0,0,B32/B$15)</f>
        <v>2.5362318840579712E-2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21</v>
      </c>
      <c r="C33" s="37">
        <f t="shared" ref="C33:C44" si="2">IF(B$15=0,0,B33/B$15)</f>
        <v>7.6086956521739135E-2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39</v>
      </c>
      <c r="C34" s="37">
        <f>IF(B$15=0,0,B34/B$15)</f>
        <v>0.14130434782608695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53</v>
      </c>
      <c r="C35" s="37">
        <f t="shared" si="2"/>
        <v>0.19202898550724637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64</v>
      </c>
      <c r="C36" s="37">
        <f t="shared" si="2"/>
        <v>0.2318840579710145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35</v>
      </c>
      <c r="C37" s="37">
        <f t="shared" si="2"/>
        <v>0.12681159420289856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21</v>
      </c>
      <c r="C38" s="37">
        <f t="shared" si="2"/>
        <v>7.6086956521739135E-2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19</v>
      </c>
      <c r="C39" s="37">
        <f t="shared" si="2"/>
        <v>6.8840579710144928E-2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2"/>
        <v>2.1739130434782608E-2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2</v>
      </c>
      <c r="C41" s="37">
        <f t="shared" si="2"/>
        <v>7.246376811594203E-3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2"/>
        <v>7.246376811594203E-3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3.6231884057971015E-3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6</v>
      </c>
      <c r="C44" s="40">
        <f t="shared" si="2"/>
        <v>2.1739130434782608E-2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</sheetData>
  <sortState xmlns:xlrd2="http://schemas.microsoft.com/office/spreadsheetml/2017/richdata2" ref="E2:I12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3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132</v>
      </c>
      <c r="C2" s="155"/>
      <c r="E2" s="58" t="s">
        <v>66</v>
      </c>
      <c r="F2" s="55" t="s">
        <v>22</v>
      </c>
      <c r="G2" s="43">
        <v>222</v>
      </c>
      <c r="H2" s="128">
        <f>IF(B$15=0,0,G2/B$15)</f>
        <v>0.74747474747474751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-452.27272727272725</v>
      </c>
      <c r="P2" s="114">
        <v>132</v>
      </c>
      <c r="Q2" s="98">
        <v>-59700</v>
      </c>
    </row>
    <row r="3" spans="1:17" x14ac:dyDescent="0.45">
      <c r="A3" s="51" t="s">
        <v>8</v>
      </c>
      <c r="B3" s="156">
        <v>1079</v>
      </c>
      <c r="C3" s="157"/>
      <c r="E3" s="59" t="s">
        <v>72</v>
      </c>
      <c r="F3" s="56" t="s">
        <v>27</v>
      </c>
      <c r="G3" s="44">
        <v>167</v>
      </c>
      <c r="H3" s="129">
        <f>IF(B$15=0,0,G3/B$15)</f>
        <v>0.56228956228956228</v>
      </c>
      <c r="I3" s="90">
        <v>3</v>
      </c>
      <c r="K3" s="36">
        <v>1</v>
      </c>
      <c r="L3" s="95">
        <v>46.9</v>
      </c>
      <c r="N3" s="111" t="s">
        <v>131</v>
      </c>
      <c r="O3" s="118">
        <f t="shared" si="0"/>
        <v>-170.54263565891472</v>
      </c>
      <c r="P3" s="115">
        <v>129</v>
      </c>
      <c r="Q3" s="99">
        <v>-22000</v>
      </c>
    </row>
    <row r="4" spans="1:17" x14ac:dyDescent="0.45">
      <c r="A4" s="51" t="s">
        <v>6</v>
      </c>
      <c r="B4" s="158">
        <v>-238.2</v>
      </c>
      <c r="C4" s="159"/>
      <c r="E4" s="59" t="s">
        <v>64</v>
      </c>
      <c r="F4" s="56" t="s">
        <v>20</v>
      </c>
      <c r="G4" s="44">
        <v>150</v>
      </c>
      <c r="H4" s="129">
        <f>IF(B$15=0,0,G4/B$15)</f>
        <v>0.50505050505050508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264.22764227642278</v>
      </c>
      <c r="P4" s="115">
        <v>123</v>
      </c>
      <c r="Q4" s="99">
        <v>32500</v>
      </c>
    </row>
    <row r="5" spans="1:17" x14ac:dyDescent="0.45">
      <c r="A5" s="51" t="s">
        <v>7</v>
      </c>
      <c r="B5" s="160">
        <f>IF(B$2=0,0,B$4/B$2)</f>
        <v>-1.8045454545454545</v>
      </c>
      <c r="C5" s="161"/>
      <c r="E5" s="59" t="s">
        <v>166</v>
      </c>
      <c r="F5" s="56" t="s">
        <v>167</v>
      </c>
      <c r="G5" s="44">
        <v>127</v>
      </c>
      <c r="H5" s="129">
        <f>IF(B$15=0,0,G5/B$15)</f>
        <v>0.42760942760942761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159.82142857142858</v>
      </c>
      <c r="P5" s="115">
        <v>112</v>
      </c>
      <c r="Q5" s="99">
        <v>17900</v>
      </c>
    </row>
    <row r="6" spans="1:17" x14ac:dyDescent="0.45">
      <c r="A6" s="51" t="s">
        <v>1</v>
      </c>
      <c r="B6" s="150">
        <f>IF(B$2=0,0,(B$7*1+B$8*2+B$9*3)/B$2)</f>
        <v>2.0909090909090908</v>
      </c>
      <c r="C6" s="151"/>
      <c r="E6" s="59" t="s">
        <v>67</v>
      </c>
      <c r="F6" s="56" t="s">
        <v>23</v>
      </c>
      <c r="G6" s="44">
        <v>105</v>
      </c>
      <c r="H6" s="129">
        <f>IF(B$15=0,0,G6/B$15)</f>
        <v>0.35353535353535354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19.801980198019802</v>
      </c>
      <c r="P6" s="115">
        <v>101</v>
      </c>
      <c r="Q6" s="99">
        <v>2000</v>
      </c>
    </row>
    <row r="7" spans="1:17" x14ac:dyDescent="0.45">
      <c r="A7" s="51" t="s">
        <v>2</v>
      </c>
      <c r="B7" s="44">
        <v>30</v>
      </c>
      <c r="C7" s="37">
        <f t="shared" ref="C7:C10" si="1">IF(B$2=0,0,B7/B$2)</f>
        <v>0.22727272727272727</v>
      </c>
      <c r="E7" s="59" t="s">
        <v>68</v>
      </c>
      <c r="F7" s="56" t="s">
        <v>12</v>
      </c>
      <c r="G7" s="44">
        <v>93</v>
      </c>
      <c r="H7" s="129">
        <f>IF(B$15=0,0,G7/B$15)</f>
        <v>0.31313131313131315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-1194.1860465116279</v>
      </c>
      <c r="P7" s="116">
        <v>86</v>
      </c>
      <c r="Q7" s="100">
        <v>-102700</v>
      </c>
    </row>
    <row r="8" spans="1:17" x14ac:dyDescent="0.45">
      <c r="A8" s="51" t="s">
        <v>3</v>
      </c>
      <c r="B8" s="44">
        <v>60</v>
      </c>
      <c r="C8" s="37">
        <f t="shared" si="1"/>
        <v>0.45454545454545453</v>
      </c>
      <c r="E8" s="59" t="s">
        <v>69</v>
      </c>
      <c r="F8" s="56" t="s">
        <v>24</v>
      </c>
      <c r="G8" s="44">
        <v>39</v>
      </c>
      <c r="H8" s="129">
        <f>IF(B$15=0,0,G8/B$15)</f>
        <v>0.13131313131313133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0.31818181818181818</v>
      </c>
      <c r="E9" s="59" t="s">
        <v>89</v>
      </c>
      <c r="F9" s="56" t="s">
        <v>44</v>
      </c>
      <c r="G9" s="44">
        <v>38</v>
      </c>
      <c r="H9" s="129">
        <f>IF(B$15=0,0,G9/B$15)</f>
        <v>0.12794612794612795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7.575757575757576E-2</v>
      </c>
      <c r="E10" s="59" t="s">
        <v>71</v>
      </c>
      <c r="F10" s="56" t="s">
        <v>26</v>
      </c>
      <c r="G10" s="44">
        <v>30</v>
      </c>
      <c r="H10" s="129">
        <f>IF(B$15=0,0,G10/B$15)</f>
        <v>0.10101010101010101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-2.6509090909090913</v>
      </c>
      <c r="P10" s="114">
        <v>55</v>
      </c>
      <c r="Q10" s="102">
        <v>-145.80000000000001</v>
      </c>
    </row>
    <row r="11" spans="1:17" x14ac:dyDescent="0.45">
      <c r="A11" s="54" t="s">
        <v>121</v>
      </c>
      <c r="B11" s="47">
        <v>285</v>
      </c>
      <c r="C11" s="42">
        <f>IF(B$3=0,0,B11/B$3)</f>
        <v>0.26413345690454126</v>
      </c>
      <c r="E11" s="59" t="s">
        <v>65</v>
      </c>
      <c r="F11" s="56" t="s">
        <v>21</v>
      </c>
      <c r="G11" s="44">
        <v>24</v>
      </c>
      <c r="H11" s="129">
        <f>IF(B$15=0,0,G11/B$15)</f>
        <v>8.0808080808080815E-2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-0.92926829268292621</v>
      </c>
      <c r="P11" s="115">
        <v>41</v>
      </c>
      <c r="Q11" s="103">
        <v>-38.099999999999973</v>
      </c>
    </row>
    <row r="12" spans="1:17" x14ac:dyDescent="0.45">
      <c r="A12" s="51" t="s">
        <v>118</v>
      </c>
      <c r="B12" s="44">
        <v>244</v>
      </c>
      <c r="C12" s="37">
        <f>IF(B$3=0,0,B12/B$3)</f>
        <v>0.22613531047265986</v>
      </c>
      <c r="E12" s="59" t="s">
        <v>70</v>
      </c>
      <c r="F12" s="56" t="s">
        <v>25</v>
      </c>
      <c r="G12" s="44">
        <v>23</v>
      </c>
      <c r="H12" s="129">
        <f>IF(B$15=0,0,G12/B$15)</f>
        <v>7.7441077441077436E-2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-1.5083333333333337</v>
      </c>
      <c r="P12" s="116">
        <v>36</v>
      </c>
      <c r="Q12" s="104">
        <v>-54.300000000000011</v>
      </c>
    </row>
    <row r="13" spans="1:17" x14ac:dyDescent="0.45">
      <c r="A13" s="50" t="s">
        <v>123</v>
      </c>
      <c r="B13" s="43">
        <f>B19</f>
        <v>156</v>
      </c>
      <c r="C13" s="35">
        <f>IF(B$11=0,0,B13/B$11)</f>
        <v>0.54736842105263162</v>
      </c>
      <c r="E13" s="59" t="s">
        <v>86</v>
      </c>
      <c r="F13" s="56" t="s">
        <v>41</v>
      </c>
      <c r="G13" s="44">
        <v>14</v>
      </c>
      <c r="H13" s="129">
        <f>IF(B$15=0,0,G13/B$15)</f>
        <v>4.7138047138047139E-2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101</v>
      </c>
      <c r="C14" s="35">
        <f>IF(B$12=0,0,B14/B$12)</f>
        <v>0.41393442622950821</v>
      </c>
      <c r="E14" s="59" t="s">
        <v>83</v>
      </c>
      <c r="F14" s="56" t="s">
        <v>38</v>
      </c>
      <c r="G14" s="44">
        <v>12</v>
      </c>
      <c r="H14" s="129">
        <f>IF(B$15=0,0,G14/B$15)</f>
        <v>4.0404040404040407E-2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297</v>
      </c>
      <c r="C15" s="35">
        <f>IF(B$3=0,0,B15/B$3)</f>
        <v>0.27525486561631141</v>
      </c>
      <c r="E15" s="59" t="s">
        <v>79</v>
      </c>
      <c r="F15" s="56" t="s">
        <v>34</v>
      </c>
      <c r="G15" s="44">
        <v>7</v>
      </c>
      <c r="H15" s="129">
        <f>IF(B$15=0,0,G15/B$15)</f>
        <v>2.3569023569023569E-2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153</v>
      </c>
      <c r="C16" s="37">
        <f>IF(B$3=0,0,B16/B$3)</f>
        <v>0.14179796107506951</v>
      </c>
      <c r="E16" s="59" t="s">
        <v>162</v>
      </c>
      <c r="F16" s="56" t="s">
        <v>163</v>
      </c>
      <c r="G16" s="44">
        <v>6</v>
      </c>
      <c r="H16" s="129">
        <f>IF(B$15=0,0,G16/B$15)</f>
        <v>2.0202020202020204E-2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132</v>
      </c>
      <c r="C17" s="37">
        <f>IF(B$15=0,0,B17/B$15)</f>
        <v>0.44444444444444442</v>
      </c>
      <c r="E17" s="59" t="s">
        <v>73</v>
      </c>
      <c r="F17" s="56" t="s">
        <v>28</v>
      </c>
      <c r="G17" s="44">
        <v>5</v>
      </c>
      <c r="H17" s="129">
        <f>IF(B$15=0,0,G17/B$15)</f>
        <v>1.6835016835016835E-2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165</v>
      </c>
      <c r="C18" s="37">
        <f>IF(B$15=0,0,B18/B$15)</f>
        <v>0.55555555555555558</v>
      </c>
      <c r="E18" s="59" t="s">
        <v>81</v>
      </c>
      <c r="F18" s="56" t="s">
        <v>36</v>
      </c>
      <c r="G18" s="44">
        <v>5</v>
      </c>
      <c r="H18" s="129">
        <f>IF(B$15=0,0,G18/B$15)</f>
        <v>1.6835016835016835E-2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 t="shared" si="2"/>
        <v>13.237500000000002</v>
      </c>
      <c r="P18" s="115">
        <v>24</v>
      </c>
      <c r="Q18" s="103">
        <v>317.70000000000005</v>
      </c>
    </row>
    <row r="19" spans="1:17" x14ac:dyDescent="0.45">
      <c r="A19" s="51" t="s">
        <v>195</v>
      </c>
      <c r="B19" s="44">
        <v>156</v>
      </c>
      <c r="C19" s="37">
        <f>IF(B$15=0,0,B19/B$15)</f>
        <v>0.5252525252525253</v>
      </c>
      <c r="E19" s="59" t="s">
        <v>78</v>
      </c>
      <c r="F19" s="56" t="s">
        <v>33</v>
      </c>
      <c r="G19" s="44">
        <v>3</v>
      </c>
      <c r="H19" s="129">
        <f>IF(B$15=0,0,G19/B$15)</f>
        <v>1.0101010101010102E-2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101</v>
      </c>
      <c r="C20" s="37">
        <f>IF(B$15=0,0,B20/B$15)</f>
        <v>0.34006734006734007</v>
      </c>
      <c r="E20" s="59" t="s">
        <v>85</v>
      </c>
      <c r="F20" s="56" t="s">
        <v>40</v>
      </c>
      <c r="G20" s="44">
        <v>3</v>
      </c>
      <c r="H20" s="129">
        <f>IF(B$15=0,0,G20/B$15)</f>
        <v>1.0101010101010102E-2</v>
      </c>
      <c r="I20" s="90">
        <v>3</v>
      </c>
      <c r="K20" s="36">
        <v>18</v>
      </c>
      <c r="L20" s="95">
        <v>-62.399999999999991</v>
      </c>
      <c r="N20" s="111" t="s">
        <v>280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40</v>
      </c>
      <c r="C21" s="37">
        <f>IF(B$15=0,0,B21/B$15)</f>
        <v>0.13468013468013468</v>
      </c>
      <c r="E21" s="59" t="s">
        <v>75</v>
      </c>
      <c r="F21" s="56" t="s">
        <v>30</v>
      </c>
      <c r="G21" s="44">
        <v>2</v>
      </c>
      <c r="H21" s="129">
        <f>IF(B$15=0,0,G21/B$15)</f>
        <v>6.7340067340067337E-3</v>
      </c>
      <c r="I21" s="90">
        <v>6</v>
      </c>
      <c r="K21" s="36">
        <v>19</v>
      </c>
      <c r="L21" s="95">
        <v>-56.399999999999991</v>
      </c>
      <c r="N21" s="111" t="s">
        <v>127</v>
      </c>
      <c r="O21" s="121">
        <f t="shared" si="2"/>
        <v>-1.9895833333333333</v>
      </c>
      <c r="P21" s="115">
        <v>48</v>
      </c>
      <c r="Q21" s="103">
        <v>-95.5</v>
      </c>
    </row>
    <row r="22" spans="1:17" x14ac:dyDescent="0.45">
      <c r="A22" s="51" t="s">
        <v>5</v>
      </c>
      <c r="B22" s="48">
        <f>IF(B$15=0,0,C22/B$15)</f>
        <v>8234.0067340067344</v>
      </c>
      <c r="C22" s="39">
        <v>2445500</v>
      </c>
      <c r="E22" s="59" t="s">
        <v>91</v>
      </c>
      <c r="F22" s="56" t="s">
        <v>46</v>
      </c>
      <c r="G22" s="44">
        <v>2</v>
      </c>
      <c r="H22" s="129">
        <f>IF(B$15=0,0,G22/B$15)</f>
        <v>6.7340067340067337E-3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 t="shared" si="2"/>
        <v>-2.876666666666666</v>
      </c>
      <c r="P22" s="115">
        <v>30</v>
      </c>
      <c r="Q22" s="103">
        <v>-86.299999999999983</v>
      </c>
    </row>
    <row r="23" spans="1:17" x14ac:dyDescent="0.45">
      <c r="A23" s="52" t="s">
        <v>177</v>
      </c>
      <c r="B23" s="136">
        <f>IF($B$15-B$14=0,0,C23/($B$15-B$14))</f>
        <v>9025</v>
      </c>
      <c r="C23" s="137">
        <v>1768900</v>
      </c>
      <c r="E23" s="59" t="s">
        <v>74</v>
      </c>
      <c r="F23" s="56" t="s">
        <v>29</v>
      </c>
      <c r="G23" s="44">
        <v>1</v>
      </c>
      <c r="H23" s="129">
        <f>IF(B$15=0,0,G23/B$15)</f>
        <v>3.3670033670033669E-3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 t="shared" si="2"/>
        <v>-12.623728813559321</v>
      </c>
      <c r="P23" s="115">
        <v>59</v>
      </c>
      <c r="Q23" s="103">
        <v>-744.8</v>
      </c>
    </row>
    <row r="24" spans="1:17" x14ac:dyDescent="0.45">
      <c r="A24" s="52" t="s">
        <v>178</v>
      </c>
      <c r="B24" s="136">
        <f>IF(B$14=0,0,C24/B$14)</f>
        <v>6699.0099009900987</v>
      </c>
      <c r="C24" s="137">
        <v>676600</v>
      </c>
      <c r="E24" s="59" t="s">
        <v>87</v>
      </c>
      <c r="F24" s="56" t="s">
        <v>42</v>
      </c>
      <c r="G24" s="44">
        <v>1</v>
      </c>
      <c r="H24" s="129">
        <f>IF(B$15=0,0,G24/B$15)</f>
        <v>3.3670033670033669E-3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 t="shared" si="2"/>
        <v>-13.875</v>
      </c>
      <c r="P24" s="115">
        <v>60</v>
      </c>
      <c r="Q24" s="103">
        <v>-832.5</v>
      </c>
    </row>
    <row r="25" spans="1:17" x14ac:dyDescent="0.45">
      <c r="A25" s="52" t="s">
        <v>176</v>
      </c>
      <c r="B25" s="136">
        <f>IF(B$16=0,0,C25/B$16)</f>
        <v>-7108.4967320261439</v>
      </c>
      <c r="C25" s="137">
        <v>-1087600</v>
      </c>
      <c r="E25" s="59" t="s">
        <v>88</v>
      </c>
      <c r="F25" s="56" t="s">
        <v>43</v>
      </c>
      <c r="G25" s="44">
        <v>1</v>
      </c>
      <c r="H25" s="129">
        <f>IF(B$15=0,0,G25/B$15)</f>
        <v>3.3670033670033669E-3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 t="shared" si="2"/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>IF(B$15=0,0,G26/B$15)</f>
        <v>3.3670033670033669E-3</v>
      </c>
      <c r="I26" s="90">
        <v>3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5</v>
      </c>
      <c r="E27" s="59" t="s">
        <v>101</v>
      </c>
      <c r="F27" s="56" t="s">
        <v>56</v>
      </c>
      <c r="G27" s="44">
        <v>1</v>
      </c>
      <c r="H27" s="129">
        <f>IF(B$15=0,0,G27/B$15)</f>
        <v>3.3670033670033669E-3</v>
      </c>
      <c r="I27" s="90">
        <v>1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77</v>
      </c>
      <c r="F29" s="56" t="s">
        <v>32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1.8535681186283596E-3</v>
      </c>
      <c r="E30" s="59" t="s">
        <v>80</v>
      </c>
      <c r="F30" s="56" t="s">
        <v>35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-61.29999999999999</v>
      </c>
    </row>
    <row r="31" spans="1:17" x14ac:dyDescent="0.45">
      <c r="E31" s="59" t="s">
        <v>82</v>
      </c>
      <c r="F31" s="56" t="s">
        <v>37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18</v>
      </c>
      <c r="C32" s="141">
        <f>IF(B$15=0,0,B32/B$15)</f>
        <v>6.0606060606060608E-2</v>
      </c>
      <c r="E32" s="59" t="s">
        <v>84</v>
      </c>
      <c r="F32" s="56" t="s">
        <v>39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54</v>
      </c>
      <c r="C33" s="37">
        <f t="shared" ref="C33:C44" si="3">IF(B$15=0,0,B33/B$15)</f>
        <v>0.18181818181818182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63</v>
      </c>
      <c r="C34" s="37">
        <f>IF(B$15=0,0,B34/B$15)</f>
        <v>0.21212121212121213</v>
      </c>
      <c r="E34" s="59" t="s">
        <v>92</v>
      </c>
      <c r="F34" s="56" t="s">
        <v>47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55</v>
      </c>
      <c r="C35" s="37">
        <f t="shared" si="3"/>
        <v>0.18518518518518517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43</v>
      </c>
      <c r="C36" s="37">
        <f t="shared" si="3"/>
        <v>0.14478114478114479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33</v>
      </c>
      <c r="C37" s="37">
        <f t="shared" si="3"/>
        <v>0.1111111111111111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14</v>
      </c>
      <c r="C38" s="37">
        <f t="shared" si="3"/>
        <v>4.7138047138047139E-2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3"/>
        <v>2.3569023569023569E-2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1.0101010101010102E-2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6.7340067340067337E-3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3.3670033670033669E-3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6.7340067340067337E-3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2</v>
      </c>
      <c r="C44" s="40">
        <f t="shared" si="3"/>
        <v>6.7340067340067337E-3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</sheetData>
  <sortState xmlns:xlrd2="http://schemas.microsoft.com/office/spreadsheetml/2017/richdata2" ref="E2:I13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61</v>
      </c>
      <c r="C2" s="155"/>
      <c r="E2" s="58" t="s">
        <v>66</v>
      </c>
      <c r="F2" s="55" t="s">
        <v>22</v>
      </c>
      <c r="G2" s="43">
        <v>87</v>
      </c>
      <c r="H2" s="128">
        <f>IF(B$15=0,0,G2/B$15)</f>
        <v>0.65909090909090906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-2363.9344262295081</v>
      </c>
      <c r="P2" s="114">
        <v>61</v>
      </c>
      <c r="Q2" s="98">
        <v>-144200</v>
      </c>
    </row>
    <row r="3" spans="1:17" x14ac:dyDescent="0.45">
      <c r="A3" s="51" t="s">
        <v>8</v>
      </c>
      <c r="B3" s="156">
        <v>504</v>
      </c>
      <c r="C3" s="157"/>
      <c r="E3" s="59" t="s">
        <v>72</v>
      </c>
      <c r="F3" s="56" t="s">
        <v>27</v>
      </c>
      <c r="G3" s="44">
        <v>86</v>
      </c>
      <c r="H3" s="129">
        <f>IF(B$15=0,0,G3/B$15)</f>
        <v>0.65151515151515149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718.03278688524586</v>
      </c>
      <c r="P3" s="115">
        <v>61</v>
      </c>
      <c r="Q3" s="99">
        <v>43800</v>
      </c>
    </row>
    <row r="4" spans="1:17" x14ac:dyDescent="0.45">
      <c r="A4" s="51" t="s">
        <v>6</v>
      </c>
      <c r="B4" s="158">
        <v>-653.40000000000009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0.41666666666666669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-1137.9310344827586</v>
      </c>
      <c r="P4" s="115">
        <v>58</v>
      </c>
      <c r="Q4" s="99">
        <v>-66000</v>
      </c>
    </row>
    <row r="5" spans="1:17" x14ac:dyDescent="0.45">
      <c r="A5" s="51" t="s">
        <v>7</v>
      </c>
      <c r="B5" s="160">
        <f>IF(B$2=0,0,B$4/B$2)</f>
        <v>-10.711475409836067</v>
      </c>
      <c r="C5" s="161"/>
      <c r="E5" s="59" t="s">
        <v>166</v>
      </c>
      <c r="F5" s="56" t="s">
        <v>167</v>
      </c>
      <c r="G5" s="44">
        <v>46</v>
      </c>
      <c r="H5" s="129">
        <f>IF(B$15=0,0,G5/B$15)</f>
        <v>0.34848484848484851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-1678.8461538461538</v>
      </c>
      <c r="P5" s="115">
        <v>52</v>
      </c>
      <c r="Q5" s="99">
        <v>-87300</v>
      </c>
    </row>
    <row r="6" spans="1:17" x14ac:dyDescent="0.45">
      <c r="A6" s="51" t="s">
        <v>1</v>
      </c>
      <c r="B6" s="150">
        <f>IF(B$2=0,0,(B$7*1+B$8*2+B$9*3)/B$2)</f>
        <v>2.278688524590164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0.27272727272727271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0.16393442622950818</v>
      </c>
      <c r="E7" s="59" t="s">
        <v>67</v>
      </c>
      <c r="F7" s="56" t="s">
        <v>23</v>
      </c>
      <c r="G7" s="44">
        <v>30</v>
      </c>
      <c r="H7" s="129">
        <f>IF(B$15=0,0,G7/B$15)</f>
        <v>0.22727272727272727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24</v>
      </c>
      <c r="C8" s="37">
        <f t="shared" si="1"/>
        <v>0.39344262295081966</v>
      </c>
      <c r="E8" s="59" t="s">
        <v>89</v>
      </c>
      <c r="F8" s="56" t="s">
        <v>44</v>
      </c>
      <c r="G8" s="44">
        <v>20</v>
      </c>
      <c r="H8" s="129">
        <f>IF(B$15=0,0,G8/B$15)</f>
        <v>0.15151515151515152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0.44262295081967212</v>
      </c>
      <c r="E9" s="59" t="s">
        <v>65</v>
      </c>
      <c r="F9" s="56" t="s">
        <v>21</v>
      </c>
      <c r="G9" s="44">
        <v>16</v>
      </c>
      <c r="H9" s="129">
        <f>IF(B$15=0,0,G9/B$15)</f>
        <v>0.12121212121212122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0.16393442622950818</v>
      </c>
      <c r="E10" s="59" t="s">
        <v>69</v>
      </c>
      <c r="F10" s="56" t="s">
        <v>24</v>
      </c>
      <c r="G10" s="44">
        <v>12</v>
      </c>
      <c r="H10" s="129">
        <f>IF(B$15=0,0,G10/B$15)</f>
        <v>9.0909090909090912E-2</v>
      </c>
      <c r="I10" s="90">
        <v>12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5">
      <c r="A11" s="54" t="s">
        <v>121</v>
      </c>
      <c r="B11" s="47">
        <v>105</v>
      </c>
      <c r="C11" s="42">
        <f>IF(B$3=0,0,B11/B$3)</f>
        <v>0.20833333333333334</v>
      </c>
      <c r="E11" s="59" t="s">
        <v>70</v>
      </c>
      <c r="F11" s="56" t="s">
        <v>25</v>
      </c>
      <c r="G11" s="44">
        <v>12</v>
      </c>
      <c r="H11" s="129">
        <f>IF(B$15=0,0,G11/B$15)</f>
        <v>9.0909090909090912E-2</v>
      </c>
      <c r="I11" s="90">
        <v>10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5">
      <c r="A12" s="51" t="s">
        <v>118</v>
      </c>
      <c r="B12" s="44">
        <v>117</v>
      </c>
      <c r="C12" s="37">
        <f>IF(B$3=0,0,B12/B$3)</f>
        <v>0.23214285714285715</v>
      </c>
      <c r="E12" s="59" t="s">
        <v>71</v>
      </c>
      <c r="F12" s="56" t="s">
        <v>26</v>
      </c>
      <c r="G12" s="44">
        <v>12</v>
      </c>
      <c r="H12" s="129">
        <f>IF(B$15=0,0,G12/B$15)</f>
        <v>9.0909090909090912E-2</v>
      </c>
      <c r="I12" s="90">
        <v>7</v>
      </c>
      <c r="K12" s="36">
        <v>10</v>
      </c>
      <c r="L12" s="95">
        <v>-151.1</v>
      </c>
      <c r="N12" s="112" t="s">
        <v>159</v>
      </c>
      <c r="O12" s="122">
        <f>IF(P12=0,0,Q12/P12)</f>
        <v>-6.7823529411764705</v>
      </c>
      <c r="P12" s="116">
        <v>17</v>
      </c>
      <c r="Q12" s="104">
        <v>-115.3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0.54285714285714282</v>
      </c>
      <c r="E13" s="59" t="s">
        <v>83</v>
      </c>
      <c r="F13" s="56" t="s">
        <v>38</v>
      </c>
      <c r="G13" s="44">
        <v>8</v>
      </c>
      <c r="H13" s="129">
        <f>IF(B$15=0,0,G13/B$15)</f>
        <v>6.0606060606060608E-2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50</v>
      </c>
      <c r="C14" s="35">
        <f>IF(B$12=0,0,B14/B$12)</f>
        <v>0.42735042735042733</v>
      </c>
      <c r="E14" s="59" t="s">
        <v>86</v>
      </c>
      <c r="F14" s="56" t="s">
        <v>41</v>
      </c>
      <c r="G14" s="44">
        <v>8</v>
      </c>
      <c r="H14" s="129">
        <f>IF(B$15=0,0,G14/B$15)</f>
        <v>6.0606060606060608E-2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132</v>
      </c>
      <c r="C15" s="35">
        <f>IF(B$3=0,0,B15/B$3)</f>
        <v>0.26190476190476192</v>
      </c>
      <c r="E15" s="59" t="s">
        <v>81</v>
      </c>
      <c r="F15" s="56" t="s">
        <v>36</v>
      </c>
      <c r="G15" s="44">
        <v>7</v>
      </c>
      <c r="H15" s="129">
        <f>IF(B$15=0,0,G15/B$15)</f>
        <v>5.3030303030303032E-2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>IF(P15=0,0,Q15/P15)</f>
        <v>10.27647058823529</v>
      </c>
      <c r="P15" s="114">
        <v>17</v>
      </c>
      <c r="Q15" s="102">
        <v>174.69999999999993</v>
      </c>
    </row>
    <row r="16" spans="1:17" x14ac:dyDescent="0.45">
      <c r="A16" s="51" t="s">
        <v>13</v>
      </c>
      <c r="B16" s="44">
        <v>91</v>
      </c>
      <c r="C16" s="37">
        <f>IF(B$3=0,0,B16/B$3)</f>
        <v>0.18055555555555555</v>
      </c>
      <c r="E16" s="59" t="s">
        <v>91</v>
      </c>
      <c r="F16" s="56" t="s">
        <v>46</v>
      </c>
      <c r="G16" s="44">
        <v>2</v>
      </c>
      <c r="H16" s="129">
        <f>IF(B$15=0,0,G16/B$15)</f>
        <v>1.5151515151515152E-2</v>
      </c>
      <c r="I16" s="90">
        <v>4</v>
      </c>
      <c r="K16" s="36">
        <v>14</v>
      </c>
      <c r="L16" s="95">
        <v>-266.90000000000003</v>
      </c>
      <c r="N16" s="111" t="s">
        <v>280</v>
      </c>
      <c r="O16" s="121">
        <f>IF(P16=0,0,Q16/P16)</f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61</v>
      </c>
      <c r="C17" s="37">
        <f>IF(B$15=0,0,B17/B$15)</f>
        <v>0.4621212121212121</v>
      </c>
      <c r="E17" s="59" t="s">
        <v>74</v>
      </c>
      <c r="F17" s="56" t="s">
        <v>29</v>
      </c>
      <c r="G17" s="44">
        <v>1</v>
      </c>
      <c r="H17" s="129">
        <f>IF(B$15=0,0,G17/B$15)</f>
        <v>7.575757575757576E-3</v>
      </c>
      <c r="I17" s="90">
        <v>2</v>
      </c>
      <c r="K17" s="36">
        <v>15</v>
      </c>
      <c r="L17" s="95">
        <v>-272.50000000000006</v>
      </c>
      <c r="N17" s="111" t="s">
        <v>274</v>
      </c>
      <c r="O17" s="121">
        <f>IF(P17=0,0,Q17/P17)</f>
        <v>-12.000000000000002</v>
      </c>
      <c r="P17" s="115">
        <v>1</v>
      </c>
      <c r="Q17" s="103">
        <v>-12.000000000000002</v>
      </c>
    </row>
    <row r="18" spans="1:17" x14ac:dyDescent="0.45">
      <c r="A18" s="51" t="s">
        <v>11</v>
      </c>
      <c r="B18" s="44">
        <v>71</v>
      </c>
      <c r="C18" s="37">
        <f>IF(B$15=0,0,B18/B$15)</f>
        <v>0.53787878787878785</v>
      </c>
      <c r="E18" s="59" t="s">
        <v>78</v>
      </c>
      <c r="F18" s="56" t="s">
        <v>33</v>
      </c>
      <c r="G18" s="44">
        <v>1</v>
      </c>
      <c r="H18" s="129">
        <f>IF(B$15=0,0,G18/B$15)</f>
        <v>7.575757575757576E-3</v>
      </c>
      <c r="I18" s="90">
        <v>10</v>
      </c>
      <c r="K18" s="36">
        <v>16</v>
      </c>
      <c r="L18" s="95">
        <v>-320.30000000000007</v>
      </c>
      <c r="N18" s="111" t="s">
        <v>170</v>
      </c>
      <c r="O18" s="121">
        <f>IF(P18=0,0,Q18/P18)</f>
        <v>-13.014814814814814</v>
      </c>
      <c r="P18" s="115">
        <v>27</v>
      </c>
      <c r="Q18" s="103">
        <v>-351.4</v>
      </c>
    </row>
    <row r="19" spans="1:17" x14ac:dyDescent="0.45">
      <c r="A19" s="51" t="s">
        <v>195</v>
      </c>
      <c r="B19" s="44">
        <v>57</v>
      </c>
      <c r="C19" s="37">
        <f>IF(B$15=0,0,B19/B$15)</f>
        <v>0.43181818181818182</v>
      </c>
      <c r="E19" s="59" t="s">
        <v>92</v>
      </c>
      <c r="F19" s="56" t="s">
        <v>47</v>
      </c>
      <c r="G19" s="44">
        <v>1</v>
      </c>
      <c r="H19" s="129">
        <f>IF(B$15=0,0,G19/B$15)</f>
        <v>7.575757575757576E-3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>IF(P19=0,0,Q19/P19)</f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50</v>
      </c>
      <c r="C20" s="37">
        <f>IF(B$15=0,0,B20/B$15)</f>
        <v>0.37878787878787878</v>
      </c>
      <c r="E20" s="59" t="s">
        <v>95</v>
      </c>
      <c r="F20" s="56" t="s">
        <v>50</v>
      </c>
      <c r="G20" s="44">
        <v>1</v>
      </c>
      <c r="H20" s="129">
        <f>IF(B$15=0,0,G20/B$15)</f>
        <v>7.575757575757576E-3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>IF(P20=0,0,Q20/P20)</f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25</v>
      </c>
      <c r="C21" s="37">
        <f>IF(B$15=0,0,B21/B$15)</f>
        <v>0.18939393939393939</v>
      </c>
      <c r="E21" s="59" t="s">
        <v>162</v>
      </c>
      <c r="F21" s="56" t="s">
        <v>163</v>
      </c>
      <c r="G21" s="44">
        <v>1</v>
      </c>
      <c r="H21" s="129">
        <f>IF(B$15=0,0,G21/B$15)</f>
        <v>7.575757575757576E-3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>IF(P21=0,0,Q21/P21)</f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8013.636363636364</v>
      </c>
      <c r="C22" s="39">
        <v>1057800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>IF(P22=0,0,Q22/P22)</f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8550</v>
      </c>
      <c r="C23" s="137">
        <v>701100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>IF(P23=0,0,Q23/P23)</f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7134</v>
      </c>
      <c r="C24" s="137">
        <v>356700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>IF(P24=0,0,Q24/P24)</f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-8362.6373626373625</v>
      </c>
      <c r="C25" s="137">
        <v>-761000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>IF(P25=0,0,Q25/P25)</f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1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5.9523809523809521E-3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9.0909090909090912E-2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2">IF(B$15=0,0,B33/B$15)</f>
        <v>0.19696969696969696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0.20454545454545456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20</v>
      </c>
      <c r="C35" s="37">
        <f t="shared" si="2"/>
        <v>0.15151515151515152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18</v>
      </c>
      <c r="C36" s="37">
        <f t="shared" si="2"/>
        <v>0.13636363636363635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2"/>
        <v>8.3333333333333329E-2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2"/>
        <v>7.575757575757576E-2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2"/>
        <v>3.787878787878788E-2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2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2"/>
        <v>7.575757575757576E-3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2"/>
        <v>1.5151515151515152E-2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</sheetData>
  <sortState xmlns:xlrd2="http://schemas.microsoft.com/office/spreadsheetml/2017/richdata2" ref="E2:I6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5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6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8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6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7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2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2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6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2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9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6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28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2020-01-08T15:32:33Z</dcterms:modified>
</cp:coreProperties>
</file>