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38A681F-AF08-412D-B769-8FDCDD8C2F78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0" i="5835" l="1"/>
  <c r="O16" i="5843"/>
  <c r="O15" i="5843" l="1"/>
  <c r="O19" i="5851"/>
  <c r="O15" i="5841" l="1"/>
  <c r="O20" i="5847"/>
  <c r="O16" i="5851" l="1"/>
  <c r="O22" i="5841"/>
  <c r="O21" i="5835" l="1"/>
  <c r="O16" i="5837"/>
  <c r="O15" i="5847"/>
  <c r="O19" i="5847"/>
  <c r="O19" i="5845" l="1"/>
  <c r="O18" i="5849"/>
  <c r="O16" i="5839" l="1"/>
  <c r="O17" i="5845"/>
  <c r="O21" i="5847"/>
  <c r="O17" i="5847"/>
  <c r="O15" i="5835" l="1"/>
  <c r="O17" i="5849"/>
  <c r="O19" i="5849"/>
  <c r="O17" i="5841"/>
  <c r="O19" i="5839" l="1"/>
  <c r="O21" i="5843"/>
  <c r="O20" i="5843" l="1"/>
  <c r="O21" i="5837"/>
  <c r="O23" i="5847"/>
  <c r="O17" i="5851"/>
  <c r="O15" i="5851"/>
  <c r="O21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1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20" i="5845"/>
  <c r="O22" i="5845"/>
  <c r="O16" i="5835"/>
  <c r="O18" i="5839"/>
  <c r="O16" i="5841"/>
  <c r="O20" i="5841"/>
  <c r="O19" i="5835"/>
  <c r="O17" i="5839"/>
  <c r="O15" i="5837"/>
  <c r="O20" i="5849"/>
  <c r="O22" i="5849"/>
  <c r="O22" i="5843" l="1"/>
  <c r="O17" i="5843"/>
  <c r="O15" i="5849"/>
  <c r="O16" i="5849"/>
  <c r="C29" i="5849"/>
  <c r="B26" i="5849"/>
  <c r="B25" i="5849"/>
  <c r="C20" i="5849"/>
  <c r="B17" i="5849"/>
  <c r="H6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0" i="5833"/>
  <c r="H4" i="5849" l="1"/>
  <c r="H13" i="5849"/>
  <c r="H39" i="5849"/>
  <c r="H22" i="5849"/>
  <c r="H9" i="5849"/>
  <c r="H15" i="5849"/>
  <c r="H40" i="5849"/>
  <c r="H11" i="5849"/>
  <c r="C17" i="5849"/>
  <c r="H42" i="5849"/>
  <c r="C19" i="5849"/>
  <c r="H46" i="5849"/>
  <c r="H31" i="5849"/>
  <c r="H47" i="5849"/>
  <c r="H16" i="5849"/>
  <c r="H32" i="5849"/>
  <c r="H48" i="5849"/>
  <c r="H5" i="5849"/>
  <c r="H8" i="5849"/>
  <c r="H14" i="5849"/>
  <c r="H50" i="5849"/>
  <c r="H2" i="5849"/>
  <c r="H17" i="5849"/>
  <c r="H7" i="5849"/>
  <c r="H24" i="5849"/>
  <c r="H34" i="5849"/>
  <c r="H3" i="5849"/>
  <c r="H10" i="5849"/>
  <c r="B24" i="5849"/>
  <c r="H38" i="5849"/>
  <c r="H52" i="5849"/>
  <c r="H27" i="5849"/>
  <c r="H19" i="5849"/>
  <c r="H33" i="5849"/>
  <c r="H41" i="5849"/>
  <c r="H49" i="5849"/>
  <c r="H25" i="5849"/>
  <c r="H28" i="5849"/>
  <c r="H29" i="5849"/>
  <c r="H35" i="5849"/>
  <c r="H43" i="5849"/>
  <c r="H51" i="5849"/>
  <c r="H21" i="5849"/>
  <c r="H23" i="5849"/>
  <c r="C18" i="5849"/>
  <c r="B23" i="5849"/>
  <c r="H12" i="5849"/>
  <c r="H36" i="5849"/>
  <c r="H44" i="5849"/>
  <c r="H20" i="5849"/>
  <c r="H26" i="5849"/>
  <c r="H18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19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19" i="5841"/>
  <c r="O18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2" i="5833"/>
  <c r="H44" i="5841" l="1"/>
  <c r="H21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0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2" i="5845"/>
  <c r="H3" i="5845"/>
  <c r="H14" i="5845"/>
  <c r="H23" i="5845"/>
  <c r="H2" i="5845"/>
  <c r="H8" i="5845"/>
  <c r="H19" i="5845"/>
  <c r="H28" i="5845"/>
  <c r="H24" i="5845"/>
  <c r="H51" i="5845"/>
  <c r="B24" i="5845"/>
  <c r="H36" i="5845"/>
  <c r="H52" i="5845"/>
  <c r="H47" i="5845"/>
  <c r="H30" i="5845"/>
  <c r="H22" i="5845"/>
  <c r="H34" i="5845"/>
  <c r="H25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1" i="5845"/>
  <c r="H29" i="5845"/>
  <c r="H21" i="5845"/>
  <c r="H32" i="5845"/>
  <c r="H38" i="5845"/>
  <c r="H45" i="5845"/>
  <c r="H19" i="5843"/>
  <c r="B23" i="5843"/>
  <c r="H2" i="5843"/>
  <c r="H44" i="5843"/>
  <c r="H17" i="5843"/>
  <c r="H11" i="5843"/>
  <c r="C18" i="5843"/>
  <c r="H48" i="5843"/>
  <c r="C17" i="5843"/>
  <c r="H5" i="5843"/>
  <c r="H12" i="5843"/>
  <c r="H8" i="5843"/>
  <c r="H4" i="5843"/>
  <c r="H3" i="5843"/>
  <c r="H29" i="5843"/>
  <c r="H36" i="5843"/>
  <c r="H26" i="5843"/>
  <c r="H40" i="5843"/>
  <c r="H22" i="5843"/>
  <c r="H23" i="5843"/>
  <c r="H37" i="5843"/>
  <c r="H45" i="5843"/>
  <c r="H7" i="5843"/>
  <c r="H27" i="5843"/>
  <c r="C19" i="5843"/>
  <c r="B24" i="5843"/>
  <c r="H38" i="5843"/>
  <c r="H46" i="5843"/>
  <c r="H52" i="5843"/>
  <c r="H10" i="5843"/>
  <c r="H6" i="5843"/>
  <c r="H13" i="5843"/>
  <c r="H25" i="5843"/>
  <c r="H15" i="5843"/>
  <c r="H16" i="5843"/>
  <c r="H18" i="5843"/>
  <c r="H39" i="5843"/>
  <c r="H47" i="5843"/>
  <c r="H30" i="5843"/>
  <c r="H32" i="5843"/>
  <c r="H24" i="5843"/>
  <c r="H41" i="5843"/>
  <c r="H49" i="5843"/>
  <c r="H9" i="5843"/>
  <c r="H20" i="5843"/>
  <c r="H14" i="5843"/>
  <c r="H34" i="5843"/>
  <c r="H42" i="5843"/>
  <c r="H50" i="5843"/>
  <c r="H28" i="5843"/>
  <c r="H31" i="5843"/>
  <c r="H33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4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5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8" i="5835"/>
  <c r="O17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7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2" i="5839"/>
  <c r="H40" i="5839"/>
  <c r="H48" i="5839"/>
  <c r="H31" i="5839"/>
  <c r="H41" i="5839"/>
  <c r="H9" i="5839"/>
  <c r="H20" i="5839"/>
  <c r="H50" i="5839"/>
  <c r="H18" i="5839"/>
  <c r="H21" i="5839"/>
  <c r="H32" i="5839"/>
  <c r="H23" i="5839"/>
  <c r="H43" i="5839"/>
  <c r="H51" i="5839"/>
  <c r="H29" i="5839"/>
  <c r="H34" i="5839"/>
  <c r="H49" i="5839"/>
  <c r="H14" i="5839"/>
  <c r="H35" i="5839"/>
  <c r="H42" i="5839"/>
  <c r="H7" i="5839"/>
  <c r="H25" i="5839"/>
  <c r="H26" i="5839"/>
  <c r="C18" i="5839"/>
  <c r="B23" i="5839"/>
  <c r="H8" i="5839"/>
  <c r="H36" i="5839"/>
  <c r="H44" i="5839"/>
  <c r="H20" i="5837"/>
  <c r="H4" i="5837"/>
  <c r="H27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4" i="5837"/>
  <c r="H26" i="5837"/>
  <c r="H14" i="5837"/>
  <c r="H22" i="5837"/>
  <c r="H39" i="5837"/>
  <c r="H47" i="5837"/>
  <c r="H16" i="5837"/>
  <c r="H23" i="5837"/>
  <c r="H40" i="5837"/>
  <c r="H48" i="5837"/>
  <c r="H33" i="5837"/>
  <c r="H34" i="5837"/>
  <c r="H49" i="5837"/>
  <c r="H8" i="5837"/>
  <c r="H19" i="5837"/>
  <c r="H13" i="5837"/>
  <c r="H35" i="5837"/>
  <c r="H25" i="5837"/>
  <c r="H18" i="5837"/>
  <c r="H21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9" i="5837"/>
  <c r="H36" i="5837"/>
  <c r="H44" i="5837"/>
  <c r="B24" i="5835"/>
  <c r="H20" i="5835"/>
  <c r="H12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0" i="5835"/>
  <c r="H26" i="5835"/>
  <c r="H4" i="5835"/>
  <c r="C17" i="5835"/>
  <c r="H6" i="5835"/>
  <c r="H5" i="5835"/>
  <c r="C19" i="5835"/>
  <c r="H32" i="5835"/>
  <c r="H52" i="5835"/>
  <c r="H18" i="5835"/>
  <c r="H14" i="5835"/>
  <c r="H15" i="5835"/>
  <c r="H16" i="5835"/>
  <c r="H38" i="5835"/>
  <c r="H46" i="5835"/>
  <c r="H33" i="5835"/>
  <c r="H41" i="5835"/>
  <c r="H49" i="5835"/>
  <c r="H30" i="5835"/>
  <c r="H48" i="5835"/>
  <c r="H19" i="5835"/>
  <c r="H11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7" i="5833"/>
  <c r="H13" i="5833"/>
  <c r="H3" i="5833"/>
  <c r="H8" i="5833"/>
  <c r="H15" i="5833"/>
  <c r="H2" i="5833"/>
  <c r="C17" i="5833"/>
  <c r="H22" i="5833"/>
  <c r="H19" i="5833"/>
  <c r="H41" i="5833"/>
  <c r="H20" i="5833"/>
  <c r="H48" i="5833"/>
  <c r="H24" i="5833"/>
  <c r="H28" i="5833"/>
  <c r="H43" i="5833"/>
  <c r="H51" i="5833"/>
  <c r="H7" i="5833"/>
  <c r="H25" i="5833"/>
  <c r="H33" i="5833"/>
  <c r="C18" i="5833"/>
  <c r="B23" i="5833"/>
  <c r="H9" i="5833"/>
  <c r="H37" i="5833"/>
  <c r="H44" i="5833"/>
  <c r="H16" i="5833"/>
  <c r="H4" i="5833"/>
  <c r="H11" i="5833"/>
  <c r="H34" i="5833"/>
  <c r="H23" i="5833"/>
  <c r="H30" i="5833"/>
  <c r="H38" i="5833"/>
  <c r="H45" i="5833"/>
  <c r="H5" i="5833"/>
  <c r="H26" i="5833"/>
  <c r="C19" i="5833"/>
  <c r="B24" i="5833"/>
  <c r="H39" i="5833"/>
  <c r="H46" i="5833"/>
  <c r="H52" i="5833"/>
  <c r="H10" i="5833"/>
  <c r="H6" i="5833"/>
  <c r="H12" i="5833"/>
  <c r="H21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<sst xmlns="http://schemas.openxmlformats.org/spreadsheetml/2006/main" count="2817" uniqueCount="238">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</sst>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全体!$K$2:$K$488</c:f>
              <c:numCache>
                <c:formatCode>General</c:formatCode>
                <c:ptCount val="4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</c:numCache>
            </c:numRef>
          </c:xVal>
          <c:yVal>
            <c:numRef>
              <c:f>全体!$L$2:$L$488</c:f>
              <c:numCache>
                <c:formatCode>\+0.0;\-0.0;\±0</c:formatCode>
                <c:ptCount val="48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-36.600000000000037</c:v>
                </c:pt>
                <c:pt idx="485">
                  <c:v>-49.000000000000036</c:v>
                </c:pt>
                <c:pt idx="486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-20.703933747412009</c:v>
                </c:pt>
                <c:pt idx="1">
                  <c:v>6.369426751592357</c:v>
                </c:pt>
                <c:pt idx="2">
                  <c:v>-17.777777777777779</c:v>
                </c:pt>
                <c:pt idx="3">
                  <c:v>14.084507042253522</c:v>
                </c:pt>
                <c:pt idx="4">
                  <c:v>10.025062656641603</c:v>
                </c:pt>
                <c:pt idx="5">
                  <c:v>14.880952380952381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1477.2727272727273</c:v>
                </c:pt>
                <c:pt idx="1">
                  <c:v>-646.51162790697674</c:v>
                </c:pt>
                <c:pt idx="2">
                  <c:v>-751.21951219512198</c:v>
                </c:pt>
                <c:pt idx="3">
                  <c:v>-1558.5365853658536</c:v>
                </c:pt>
                <c:pt idx="4">
                  <c:v>-85.365853658536579</c:v>
                </c:pt>
                <c:pt idx="5">
                  <c:v>-1571.4285714285713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だいち!$L$2:$L$99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838.54166666666663</c:v>
                </c:pt>
                <c:pt idx="1">
                  <c:v>-107.52688172043011</c:v>
                </c:pt>
                <c:pt idx="2">
                  <c:v>-69.230769230769226</c:v>
                </c:pt>
                <c:pt idx="3">
                  <c:v>-86.746987951807228</c:v>
                </c:pt>
                <c:pt idx="4">
                  <c:v>2272.1518987341774</c:v>
                </c:pt>
                <c:pt idx="5">
                  <c:v>3040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ただ!$L$2:$L$90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-1863.2183908045977</c:v>
                </c:pt>
                <c:pt idx="1">
                  <c:v>1677.6470588235295</c:v>
                </c:pt>
                <c:pt idx="2">
                  <c:v>383.95061728395063</c:v>
                </c:pt>
                <c:pt idx="3">
                  <c:v>2367.1052631578946</c:v>
                </c:pt>
                <c:pt idx="4">
                  <c:v>100</c:v>
                </c:pt>
                <c:pt idx="5">
                  <c:v>1586.6666666666667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りくと!$L$2:$L$63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-358.33333333333331</c:v>
                </c:pt>
                <c:pt idx="1">
                  <c:v>-550</c:v>
                </c:pt>
                <c:pt idx="2">
                  <c:v>735.08771929824559</c:v>
                </c:pt>
                <c:pt idx="3">
                  <c:v>-1635.7142857142858</c:v>
                </c:pt>
                <c:pt idx="4">
                  <c:v>-3603.7735849056603</c:v>
                </c:pt>
                <c:pt idx="5">
                  <c:v>-1310.6382978723404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れんたろう!$L$2:$L$58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2221.4285714285716</c:v>
                </c:pt>
                <c:pt idx="1">
                  <c:v>-2033.3333333333333</c:v>
                </c:pt>
                <c:pt idx="2">
                  <c:v>2124</c:v>
                </c:pt>
                <c:pt idx="3">
                  <c:v>2346.8085106382978</c:v>
                </c:pt>
                <c:pt idx="4">
                  <c:v>-1022.7272727272727</c:v>
                </c:pt>
                <c:pt idx="5">
                  <c:v>-388.88888888888891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-123.89999999999998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998.71794871794873</c:v>
                </c:pt>
                <c:pt idx="1">
                  <c:v>766.66666666666663</c:v>
                </c:pt>
                <c:pt idx="2">
                  <c:v>-1078.5714285714287</c:v>
                </c:pt>
                <c:pt idx="3">
                  <c:v>162.5</c:v>
                </c:pt>
                <c:pt idx="4">
                  <c:v>-581.0344827586207</c:v>
                </c:pt>
                <c:pt idx="5">
                  <c:v>-1202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-2504.5454545454545</c:v>
                </c:pt>
                <c:pt idx="1">
                  <c:v>-354.54545454545456</c:v>
                </c:pt>
                <c:pt idx="2">
                  <c:v>-385.71428571428572</c:v>
                </c:pt>
                <c:pt idx="3">
                  <c:v>-2123.8095238095239</c:v>
                </c:pt>
                <c:pt idx="4">
                  <c:v>5752.6315789473683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まっつん2!$B$3:$B$81</c:f>
              <c:numCache>
                <c:formatCode>\+0.0;\-0.0;\±0</c:formatCode>
                <c:ptCount val="7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-123.89999999999998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まっつん2!$C$3:$C$81</c:f>
              <c:numCache>
                <c:formatCode>\+0.0;\-0.0;\±0</c:formatCode>
                <c:ptCount val="79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-1.5884615384615381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31011045020679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まっつん2!$D$3:$D$81</c:f>
              <c:numCache>
                <c:formatCode>0.00\ "位"</c:formatCode>
                <c:ptCount val="79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まっつん2!$E$3:$E$81</c:f>
              <c:numCache>
                <c:formatCode>0.0%</c:formatCode>
                <c:ptCount val="7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まっつん2!$F$3:$F$81</c:f>
              <c:numCache>
                <c:formatCode>0.0%</c:formatCode>
                <c:ptCount val="7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まっつん2!$G$3:$G$81</c:f>
              <c:numCache>
                <c:formatCode>0.0%</c:formatCode>
                <c:ptCount val="79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0.28025477707006369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481563969314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まっつん2!$H$3:$H$81</c:f>
              <c:numCache>
                <c:formatCode>0.0%</c:formatCode>
                <c:ptCount val="79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0.13694267515923567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820836426627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まっつん2!$I$3:$I$81</c:f>
              <c:numCache>
                <c:formatCode>0</c:formatCode>
                <c:ptCount val="79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8336.931818181818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12.01680672268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まっつん2!$J$3:$J$81</c:f>
              <c:numCache>
                <c:formatCode>0</c:formatCode>
                <c:ptCount val="79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-8025.5813953488368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79.60725075528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まっつん2!$K$3:$K$81</c:f>
              <c:numCache>
                <c:formatCode>0.0%</c:formatCode>
                <c:ptCount val="7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53497942386831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まっつん2!$L$3:$L$81</c:f>
              <c:numCache>
                <c:formatCode>0.0%</c:formatCode>
                <c:ptCount val="7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053497942386831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まっつん2!$M$3:$M$81</c:f>
              <c:numCache>
                <c:formatCode>0.0%</c:formatCode>
                <c:ptCount val="79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0.25318471337579618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185597624350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まっつん2!$N$3:$N$81</c:f>
              <c:numCache>
                <c:formatCode>0.0%</c:formatCode>
                <c:ptCount val="79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0.23726114649681529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120762187577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まっつん2!$O$3:$O$81</c:f>
              <c:numCache>
                <c:formatCode>0.0%</c:formatCode>
                <c:ptCount val="79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0.55974842767295596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1819980217606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まっつん2!$P$3:$P$81</c:f>
              <c:numCache>
                <c:formatCode>0.0%</c:formatCode>
                <c:ptCount val="79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0.40268456375838924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51385927505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まっつん2!$A$3:$A$81</c:f>
              <c:numCache>
                <c:formatCode>0\ "回"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まっつん2!$Q$3:$Q$81</c:f>
              <c:numCache>
                <c:formatCode>0.0%</c:formatCode>
                <c:ptCount val="79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0.44886363636363635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815126050420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6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8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8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8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8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8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8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8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8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8" x14ac:dyDescent="0.4">
      <c r="A41" s="28" t="s">
        <v>232</v>
      </c>
      <c r="B41" s="29">
        <v>43766.037835648145</v>
      </c>
      <c r="C41" s="28" t="s">
        <v>128</v>
      </c>
    </row>
    <row r="42" spans="1:8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8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8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8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8" x14ac:dyDescent="0.4">
      <c r="A46" s="28" t="s">
        <v>237</v>
      </c>
      <c r="B46" s="29">
        <v>43770.815983796296</v>
      </c>
      <c r="C46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486</v>
      </c>
    </row>
    <row r="2" spans="1:2" x14ac:dyDescent="0.4">
      <c r="A2" t="s">
        <v>166</v>
      </c>
      <c r="B2">
        <v>44</v>
      </c>
    </row>
    <row r="3" spans="1:2" x14ac:dyDescent="0.4">
      <c r="A3" t="s">
        <v>126</v>
      </c>
      <c r="B3">
        <v>97</v>
      </c>
    </row>
    <row r="4" spans="1:2" x14ac:dyDescent="0.4">
      <c r="A4" t="s">
        <v>127</v>
      </c>
      <c r="B4">
        <v>88</v>
      </c>
    </row>
    <row r="5" spans="1:2" x14ac:dyDescent="0.4">
      <c r="A5" t="s">
        <v>179</v>
      </c>
      <c r="B5">
        <v>61</v>
      </c>
    </row>
    <row r="6" spans="1:2" x14ac:dyDescent="0.4">
      <c r="A6" t="s">
        <v>177</v>
      </c>
      <c r="B6">
        <v>56</v>
      </c>
    </row>
    <row r="7" spans="1:2" x14ac:dyDescent="0.4">
      <c r="A7" t="s">
        <v>178</v>
      </c>
      <c r="B7">
        <v>78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22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0.99115386721366106</v>
      </c>
      <c r="G2" s="157"/>
      <c r="H2" s="156">
        <v>0.92625578521406737</v>
      </c>
      <c r="I2" s="157"/>
      <c r="J2" s="156">
        <v>0.92901034884877665</v>
      </c>
      <c r="K2" s="157"/>
      <c r="L2" s="156">
        <v>0.90608126726131522</v>
      </c>
      <c r="M2" s="157"/>
      <c r="N2" s="156">
        <v>0.46182706310458038</v>
      </c>
      <c r="O2" s="157"/>
      <c r="P2" s="156">
        <v>0.38168281438777818</v>
      </c>
      <c r="Q2" s="157"/>
      <c r="R2" s="156">
        <v>-2.4160642044741033E-2</v>
      </c>
      <c r="S2" s="157"/>
      <c r="T2" s="156">
        <v>0.34236930709046792</v>
      </c>
      <c r="U2" s="157"/>
      <c r="V2" s="156">
        <v>0.72724153132499558</v>
      </c>
      <c r="W2" s="157"/>
      <c r="X2" s="156">
        <v>0.4551530179686919</v>
      </c>
      <c r="Y2" s="157"/>
      <c r="Z2" s="156">
        <v>0.18369423222430256</v>
      </c>
      <c r="AA2" s="157"/>
      <c r="AB2" s="156">
        <v>0.10832218619563773</v>
      </c>
      <c r="AC2" s="157"/>
      <c r="AD2" s="156">
        <v>0.51360047972666134</v>
      </c>
      <c r="AE2" s="157"/>
      <c r="AF2" s="156">
        <v>-0.22157046728694732</v>
      </c>
      <c r="AG2" s="157"/>
      <c r="AH2" s="156">
        <v>0.51627011972476611</v>
      </c>
      <c r="AI2" s="157"/>
    </row>
    <row r="3" spans="1:35" x14ac:dyDescent="0.4">
      <c r="A3" s="70">
        <v>1</v>
      </c>
      <c r="B3" s="71" t="s">
        <v>126</v>
      </c>
      <c r="C3" s="72">
        <v>687.8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10390.839694656488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0.19642857142857142</v>
      </c>
      <c r="X3" s="73" t="s">
        <v>177</v>
      </c>
      <c r="Y3" s="76">
        <v>0.32</v>
      </c>
      <c r="Z3" s="73" t="s">
        <v>195</v>
      </c>
      <c r="AA3" s="76">
        <v>0.35483870967741937</v>
      </c>
      <c r="AB3" s="73" t="s">
        <v>181</v>
      </c>
      <c r="AC3" s="76">
        <v>0.61111111111111116</v>
      </c>
      <c r="AD3" s="73" t="s">
        <v>222</v>
      </c>
      <c r="AE3" s="76">
        <v>1</v>
      </c>
      <c r="AF3" s="73" t="s">
        <v>181</v>
      </c>
      <c r="AG3" s="76">
        <v>0.54385964912280704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352.29999999999984</v>
      </c>
      <c r="D4" s="81" t="s">
        <v>126</v>
      </c>
      <c r="E4" s="93">
        <v>7.0907216494845358</v>
      </c>
      <c r="F4" s="81" t="s">
        <v>126</v>
      </c>
      <c r="G4" s="82">
        <v>1.7731958762886597</v>
      </c>
      <c r="H4" s="81" t="s">
        <v>126</v>
      </c>
      <c r="I4" s="83">
        <v>0.47422680412371132</v>
      </c>
      <c r="J4" s="81" t="s">
        <v>126</v>
      </c>
      <c r="K4" s="83">
        <v>0.24742268041237114</v>
      </c>
      <c r="L4" s="81" t="s">
        <v>126</v>
      </c>
      <c r="M4" s="84">
        <v>0.33674775928297057</v>
      </c>
      <c r="N4" s="81" t="s">
        <v>178</v>
      </c>
      <c r="O4" s="84">
        <v>0.13694267515923567</v>
      </c>
      <c r="P4" s="81" t="s">
        <v>127</v>
      </c>
      <c r="Q4" s="85">
        <v>8657.8059071729949</v>
      </c>
      <c r="R4" s="81" t="s">
        <v>181</v>
      </c>
      <c r="S4" s="85">
        <v>-7151.6129032258068</v>
      </c>
      <c r="T4" s="81" t="s">
        <v>222</v>
      </c>
      <c r="U4" s="83">
        <v>0</v>
      </c>
      <c r="V4" s="81" t="s">
        <v>195</v>
      </c>
      <c r="W4" s="83">
        <v>0.14285714285714285</v>
      </c>
      <c r="X4" s="81" t="s">
        <v>179</v>
      </c>
      <c r="Y4" s="84">
        <v>0.28488372093023256</v>
      </c>
      <c r="Z4" s="81" t="s">
        <v>222</v>
      </c>
      <c r="AA4" s="84">
        <v>0.33333333333333331</v>
      </c>
      <c r="AB4" s="81" t="s">
        <v>126</v>
      </c>
      <c r="AC4" s="84">
        <v>0.59523809523809523</v>
      </c>
      <c r="AD4" s="81" t="s">
        <v>126</v>
      </c>
      <c r="AE4" s="84">
        <v>0.48022598870056499</v>
      </c>
      <c r="AF4" s="81" t="s">
        <v>177</v>
      </c>
      <c r="AG4" s="84">
        <v>0.49618320610687022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246.70000000000007</v>
      </c>
      <c r="D5" s="81" t="s">
        <v>177</v>
      </c>
      <c r="E5" s="93">
        <v>4.4053571428571443</v>
      </c>
      <c r="F5" s="81" t="s">
        <v>127</v>
      </c>
      <c r="G5" s="82">
        <v>1.8977272727272727</v>
      </c>
      <c r="H5" s="81" t="s">
        <v>195</v>
      </c>
      <c r="I5" s="83">
        <v>0.42857142857142855</v>
      </c>
      <c r="J5" s="81" t="s">
        <v>178</v>
      </c>
      <c r="K5" s="83">
        <v>0.29487179487179488</v>
      </c>
      <c r="L5" s="81" t="s">
        <v>127</v>
      </c>
      <c r="M5" s="84">
        <v>0.31515957446808512</v>
      </c>
      <c r="N5" s="81" t="s">
        <v>126</v>
      </c>
      <c r="O5" s="84">
        <v>0.13700384122919335</v>
      </c>
      <c r="P5" s="81" t="s">
        <v>178</v>
      </c>
      <c r="Q5" s="85">
        <v>8336.931818181818</v>
      </c>
      <c r="R5" s="81" t="s">
        <v>179</v>
      </c>
      <c r="S5" s="85">
        <v>-7655.0458715596333</v>
      </c>
      <c r="T5" s="81" t="s">
        <v>126</v>
      </c>
      <c r="U5" s="83">
        <v>5.1546391752577317E-2</v>
      </c>
      <c r="V5" s="81" t="s">
        <v>127</v>
      </c>
      <c r="W5" s="83">
        <v>0.11363636363636363</v>
      </c>
      <c r="X5" s="81" t="s">
        <v>126</v>
      </c>
      <c r="Y5" s="84">
        <v>0.26888604353393086</v>
      </c>
      <c r="Z5" s="81" t="s">
        <v>127</v>
      </c>
      <c r="AA5" s="84">
        <v>0.30718085106382981</v>
      </c>
      <c r="AB5" s="81" t="s">
        <v>179</v>
      </c>
      <c r="AC5" s="84">
        <v>0.59183673469387754</v>
      </c>
      <c r="AD5" s="81" t="s">
        <v>177</v>
      </c>
      <c r="AE5" s="84">
        <v>0.45121951219512196</v>
      </c>
      <c r="AF5" s="81" t="s">
        <v>182</v>
      </c>
      <c r="AG5" s="84">
        <v>0.48275862068965519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4.0034090909090887</v>
      </c>
      <c r="F6" s="81" t="s">
        <v>177</v>
      </c>
      <c r="G6" s="82">
        <v>1.9107142857142858</v>
      </c>
      <c r="H6" s="81" t="s">
        <v>177</v>
      </c>
      <c r="I6" s="83">
        <v>0.4107142857142857</v>
      </c>
      <c r="J6" s="81" t="s">
        <v>127</v>
      </c>
      <c r="K6" s="83">
        <v>0.29545454545454547</v>
      </c>
      <c r="L6" s="81" t="s">
        <v>143</v>
      </c>
      <c r="M6" s="84">
        <v>0.29448156396931452</v>
      </c>
      <c r="N6" s="81" t="s">
        <v>166</v>
      </c>
      <c r="O6" s="84">
        <v>0.13838120104438642</v>
      </c>
      <c r="P6" s="81" t="s">
        <v>143</v>
      </c>
      <c r="Q6" s="85">
        <v>8312.0168067226896</v>
      </c>
      <c r="R6" s="81" t="s">
        <v>126</v>
      </c>
      <c r="S6" s="85">
        <v>-7726.1682242990655</v>
      </c>
      <c r="T6" s="81" t="s">
        <v>178</v>
      </c>
      <c r="U6" s="83">
        <v>7.6923076923076927E-2</v>
      </c>
      <c r="V6" s="81" t="s">
        <v>126</v>
      </c>
      <c r="W6" s="83">
        <v>9.2783505154639179E-2</v>
      </c>
      <c r="X6" s="81" t="s">
        <v>222</v>
      </c>
      <c r="Y6" s="84">
        <v>0.26666666666666666</v>
      </c>
      <c r="Z6" s="81" t="s">
        <v>178</v>
      </c>
      <c r="AA6" s="84">
        <v>0.23726114649681529</v>
      </c>
      <c r="AB6" s="81" t="s">
        <v>143</v>
      </c>
      <c r="AC6" s="84">
        <v>0.56181998021760637</v>
      </c>
      <c r="AD6" s="81" t="s">
        <v>143</v>
      </c>
      <c r="AE6" s="84">
        <v>0.4115138592750533</v>
      </c>
      <c r="AF6" s="81" t="s">
        <v>179</v>
      </c>
      <c r="AG6" s="84">
        <v>0.4513888888888889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143</v>
      </c>
      <c r="C7" s="80">
        <v>-3.5527136788005009E-14</v>
      </c>
      <c r="D7" s="81" t="s">
        <v>143</v>
      </c>
      <c r="E7" s="93">
        <v>-7.310110450206792E-17</v>
      </c>
      <c r="F7" s="81" t="s">
        <v>181</v>
      </c>
      <c r="G7" s="82">
        <v>2</v>
      </c>
      <c r="H7" s="81" t="s">
        <v>127</v>
      </c>
      <c r="I7" s="83">
        <v>0.39772727272727271</v>
      </c>
      <c r="J7" s="81" t="s">
        <v>177</v>
      </c>
      <c r="K7" s="83">
        <v>0.32142857142857145</v>
      </c>
      <c r="L7" s="81" t="s">
        <v>177</v>
      </c>
      <c r="M7" s="84">
        <v>0.2911111111111111</v>
      </c>
      <c r="N7" s="81" t="s">
        <v>181</v>
      </c>
      <c r="O7" s="84">
        <v>0.15196078431372548</v>
      </c>
      <c r="P7" s="81" t="s">
        <v>181</v>
      </c>
      <c r="Q7" s="85">
        <v>8115.7894736842109</v>
      </c>
      <c r="R7" s="81" t="s">
        <v>143</v>
      </c>
      <c r="S7" s="85">
        <v>-7779.6072507552872</v>
      </c>
      <c r="T7" s="81" t="s">
        <v>179</v>
      </c>
      <c r="U7" s="83">
        <v>8.1967213114754092E-2</v>
      </c>
      <c r="V7" s="81" t="s">
        <v>181</v>
      </c>
      <c r="W7" s="83">
        <v>9.0909090909090912E-2</v>
      </c>
      <c r="X7" s="81" t="s">
        <v>181</v>
      </c>
      <c r="Y7" s="84">
        <v>0.26470588235294118</v>
      </c>
      <c r="Z7" s="81" t="s">
        <v>143</v>
      </c>
      <c r="AA7" s="84">
        <v>0.23212076218757732</v>
      </c>
      <c r="AB7" s="81" t="s">
        <v>178</v>
      </c>
      <c r="AC7" s="84">
        <v>0.55974842767295596</v>
      </c>
      <c r="AD7" s="81" t="s">
        <v>178</v>
      </c>
      <c r="AE7" s="84">
        <v>0.40268456375838924</v>
      </c>
      <c r="AF7" s="81" t="s">
        <v>178</v>
      </c>
      <c r="AG7" s="84">
        <v>0.44886363636363635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181</v>
      </c>
      <c r="C8" s="80">
        <v>-13.5</v>
      </c>
      <c r="D8" s="81" t="s">
        <v>181</v>
      </c>
      <c r="E8" s="93">
        <v>-0.61363636363636365</v>
      </c>
      <c r="F8" s="81" t="s">
        <v>143</v>
      </c>
      <c r="G8" s="82">
        <v>2</v>
      </c>
      <c r="H8" s="81" t="s">
        <v>181</v>
      </c>
      <c r="I8" s="83">
        <v>0.36363636363636365</v>
      </c>
      <c r="J8" s="81" t="s">
        <v>143</v>
      </c>
      <c r="K8" s="83">
        <v>0.33333333333333331</v>
      </c>
      <c r="L8" s="81" t="s">
        <v>178</v>
      </c>
      <c r="M8" s="84">
        <v>0.28025477707006369</v>
      </c>
      <c r="N8" s="81" t="s">
        <v>177</v>
      </c>
      <c r="O8" s="84">
        <v>0.16222222222222221</v>
      </c>
      <c r="P8" s="81" t="s">
        <v>179</v>
      </c>
      <c r="Q8" s="85">
        <v>8055.5555555555557</v>
      </c>
      <c r="R8" s="81" t="s">
        <v>127</v>
      </c>
      <c r="S8" s="85">
        <v>-7837.7622377622374</v>
      </c>
      <c r="T8" s="81" t="s">
        <v>177</v>
      </c>
      <c r="U8" s="83">
        <v>8.9285714285714288E-2</v>
      </c>
      <c r="V8" s="81" t="s">
        <v>143</v>
      </c>
      <c r="W8" s="83">
        <v>9.0534979423868317E-2</v>
      </c>
      <c r="X8" s="81" t="s">
        <v>178</v>
      </c>
      <c r="Y8" s="84">
        <v>0.25318471337579618</v>
      </c>
      <c r="Z8" s="81" t="s">
        <v>166</v>
      </c>
      <c r="AA8" s="84">
        <v>0.22715404699738903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0.43781512605042017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178</v>
      </c>
      <c r="E9" s="93">
        <v>-1.5884615384615381</v>
      </c>
      <c r="F9" s="81" t="s">
        <v>166</v>
      </c>
      <c r="G9" s="82">
        <v>2.0681818181818183</v>
      </c>
      <c r="H9" s="81" t="s">
        <v>166</v>
      </c>
      <c r="I9" s="83">
        <v>0.34090909090909088</v>
      </c>
      <c r="J9" s="81" t="s">
        <v>181</v>
      </c>
      <c r="K9" s="83">
        <v>0.36363636363636365</v>
      </c>
      <c r="L9" s="81" t="s">
        <v>181</v>
      </c>
      <c r="M9" s="84">
        <v>0.27941176470588236</v>
      </c>
      <c r="N9" s="81" t="s">
        <v>143</v>
      </c>
      <c r="O9" s="84">
        <v>0.16382083642662706</v>
      </c>
      <c r="P9" s="81" t="s">
        <v>182</v>
      </c>
      <c r="Q9" s="85">
        <v>7901.7241379310344</v>
      </c>
      <c r="R9" s="81" t="s">
        <v>222</v>
      </c>
      <c r="S9" s="85">
        <v>-8000</v>
      </c>
      <c r="T9" s="81" t="s">
        <v>143</v>
      </c>
      <c r="U9" s="83">
        <v>9.0534979423868317E-2</v>
      </c>
      <c r="V9" s="81" t="s">
        <v>178</v>
      </c>
      <c r="W9" s="83">
        <v>7.6923076923076927E-2</v>
      </c>
      <c r="X9" s="81" t="s">
        <v>143</v>
      </c>
      <c r="Y9" s="84">
        <v>0.25018559762435039</v>
      </c>
      <c r="Z9" s="81" t="s">
        <v>126</v>
      </c>
      <c r="AA9" s="84">
        <v>0.2266325224071703</v>
      </c>
      <c r="AB9" s="81" t="s">
        <v>177</v>
      </c>
      <c r="AC9" s="84">
        <v>0.53472222222222221</v>
      </c>
      <c r="AD9" s="81" t="s">
        <v>179</v>
      </c>
      <c r="AE9" s="84">
        <v>0.38775510204081631</v>
      </c>
      <c r="AF9" s="81" t="s">
        <v>126</v>
      </c>
      <c r="AG9" s="84">
        <v>0.42965779467680609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178</v>
      </c>
      <c r="C10" s="80">
        <v>-123.89999999999998</v>
      </c>
      <c r="D10" s="81" t="s">
        <v>166</v>
      </c>
      <c r="E10" s="93">
        <v>-3.2750000000000012</v>
      </c>
      <c r="F10" s="81" t="s">
        <v>178</v>
      </c>
      <c r="G10" s="82">
        <v>2.0897435897435899</v>
      </c>
      <c r="H10" s="81" t="s">
        <v>143</v>
      </c>
      <c r="I10" s="83">
        <v>0.33333333333333331</v>
      </c>
      <c r="J10" s="81" t="s">
        <v>179</v>
      </c>
      <c r="K10" s="83">
        <v>0.39344262295081966</v>
      </c>
      <c r="L10" s="81" t="s">
        <v>179</v>
      </c>
      <c r="M10" s="84">
        <v>0.27906976744186046</v>
      </c>
      <c r="N10" s="81" t="s">
        <v>182</v>
      </c>
      <c r="O10" s="84">
        <v>0.188</v>
      </c>
      <c r="P10" s="81" t="s">
        <v>126</v>
      </c>
      <c r="Q10" s="85">
        <v>7768.0608365019016</v>
      </c>
      <c r="R10" s="81" t="s">
        <v>178</v>
      </c>
      <c r="S10" s="85">
        <v>-8025.5813953488368</v>
      </c>
      <c r="T10" s="81" t="s">
        <v>181</v>
      </c>
      <c r="U10" s="83">
        <v>9.0909090909090912E-2</v>
      </c>
      <c r="V10" s="81" t="s">
        <v>166</v>
      </c>
      <c r="W10" s="83">
        <v>4.5454545454545456E-2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0.38528138528138528</v>
      </c>
      <c r="AF10" s="81" t="s">
        <v>166</v>
      </c>
      <c r="AG10" s="84">
        <v>0.41176470588235292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-144.10000000000005</v>
      </c>
      <c r="D11" s="81" t="s">
        <v>179</v>
      </c>
      <c r="E11" s="93">
        <v>-7.4360655737704908</v>
      </c>
      <c r="F11" s="81" t="s">
        <v>195</v>
      </c>
      <c r="G11" s="82">
        <v>2.1428571428571428</v>
      </c>
      <c r="H11" s="81" t="s">
        <v>178</v>
      </c>
      <c r="I11" s="83">
        <v>0.20512820512820512</v>
      </c>
      <c r="J11" s="81" t="s">
        <v>166</v>
      </c>
      <c r="K11" s="83">
        <v>0.40909090909090912</v>
      </c>
      <c r="L11" s="81" t="s">
        <v>166</v>
      </c>
      <c r="M11" s="84">
        <v>0.26631853785900783</v>
      </c>
      <c r="N11" s="81" t="s">
        <v>127</v>
      </c>
      <c r="O11" s="84">
        <v>0.1901595744680851</v>
      </c>
      <c r="P11" s="81" t="s">
        <v>195</v>
      </c>
      <c r="Q11" s="85">
        <v>7473.333333333333</v>
      </c>
      <c r="R11" s="81" t="s">
        <v>182</v>
      </c>
      <c r="S11" s="85">
        <v>-8059.5744680851067</v>
      </c>
      <c r="T11" s="81" t="s">
        <v>127</v>
      </c>
      <c r="U11" s="83">
        <v>0.13636363636363635</v>
      </c>
      <c r="V11" s="81" t="s">
        <v>179</v>
      </c>
      <c r="W11" s="83">
        <v>3.2786885245901641E-2</v>
      </c>
      <c r="X11" s="81" t="s">
        <v>127</v>
      </c>
      <c r="Y11" s="84">
        <v>0.22739361702127658</v>
      </c>
      <c r="Z11" s="81" t="s">
        <v>179</v>
      </c>
      <c r="AA11" s="84">
        <v>0.18992248062015504</v>
      </c>
      <c r="AB11" s="81" t="s">
        <v>127</v>
      </c>
      <c r="AC11" s="84">
        <v>0.53216374269005851</v>
      </c>
      <c r="AD11" s="81" t="s">
        <v>181</v>
      </c>
      <c r="AE11" s="84">
        <v>0.375</v>
      </c>
      <c r="AF11" s="81" t="s">
        <v>127</v>
      </c>
      <c r="AG11" s="84">
        <v>0.38396624472573837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-453.59999999999997</v>
      </c>
      <c r="D12" s="81" t="s">
        <v>195</v>
      </c>
      <c r="E12" s="93">
        <v>-14.971428571428573</v>
      </c>
      <c r="F12" s="81" t="s">
        <v>179</v>
      </c>
      <c r="G12" s="82">
        <v>2.1967213114754101</v>
      </c>
      <c r="H12" s="81" t="s">
        <v>179</v>
      </c>
      <c r="I12" s="83">
        <v>0.19672131147540983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177</v>
      </c>
      <c r="S12" s="85">
        <v>-8239.7260273972606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177</v>
      </c>
      <c r="AA12" s="84">
        <v>0.18222222222222223</v>
      </c>
      <c r="AB12" s="81" t="s">
        <v>166</v>
      </c>
      <c r="AC12" s="84">
        <v>0.50847457627118642</v>
      </c>
      <c r="AD12" s="81" t="s">
        <v>166</v>
      </c>
      <c r="AE12" s="84">
        <v>0.36781609195402298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0.21124031007751937</v>
      </c>
      <c r="P13" s="81" t="s">
        <v>166</v>
      </c>
      <c r="Q13" s="85">
        <v>7090.1960784313724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0.15404699738903394</v>
      </c>
      <c r="Z13" s="81" t="s">
        <v>181</v>
      </c>
      <c r="AA13" s="84">
        <v>0.15686274509803921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8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486</v>
      </c>
      <c r="C2" s="149"/>
      <c r="E2" s="58" t="s">
        <v>66</v>
      </c>
      <c r="F2" s="55" t="s">
        <v>22</v>
      </c>
      <c r="G2" s="43">
        <v>928</v>
      </c>
      <c r="H2" s="128">
        <f>IF(B$17=0,0,G2/B$17)</f>
        <v>0.77983193277310925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-20.703933747412009</v>
      </c>
      <c r="P2" s="114">
        <v>483</v>
      </c>
      <c r="Q2" s="98">
        <v>-10000</v>
      </c>
    </row>
    <row r="3" spans="1:17" x14ac:dyDescent="0.4">
      <c r="A3" s="51" t="s">
        <v>8</v>
      </c>
      <c r="B3" s="150">
        <v>4041</v>
      </c>
      <c r="C3" s="151"/>
      <c r="E3" s="59" t="s">
        <v>72</v>
      </c>
      <c r="F3" s="56" t="s">
        <v>27</v>
      </c>
      <c r="G3" s="44">
        <v>646</v>
      </c>
      <c r="H3" s="129">
        <f>IF(B$17=0,0,G3/B$17)</f>
        <v>0.54285714285714282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6.369426751592357</v>
      </c>
      <c r="P3" s="115">
        <v>471</v>
      </c>
      <c r="Q3" s="99">
        <v>3000</v>
      </c>
    </row>
    <row r="4" spans="1:17" x14ac:dyDescent="0.4">
      <c r="A4" s="51" t="s">
        <v>6</v>
      </c>
      <c r="B4" s="152">
        <v>-3.5527136788005009E-14</v>
      </c>
      <c r="C4" s="153"/>
      <c r="E4" s="59" t="s">
        <v>64</v>
      </c>
      <c r="F4" s="56" t="s">
        <v>20</v>
      </c>
      <c r="G4" s="44">
        <v>545</v>
      </c>
      <c r="H4" s="129">
        <f>IF(B$17=0,0,G4/B$17)</f>
        <v>0.45798319327731091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-17.777777777777779</v>
      </c>
      <c r="P4" s="115">
        <v>450</v>
      </c>
      <c r="Q4" s="99">
        <v>-8000</v>
      </c>
    </row>
    <row r="5" spans="1:17" x14ac:dyDescent="0.4">
      <c r="A5" s="51" t="s">
        <v>7</v>
      </c>
      <c r="B5" s="154">
        <f>IF(B$2=0,0,B$4/B$2)</f>
        <v>-7.310110450206792E-17</v>
      </c>
      <c r="C5" s="155"/>
      <c r="E5" s="59" t="s">
        <v>171</v>
      </c>
      <c r="F5" s="56" t="s">
        <v>172</v>
      </c>
      <c r="G5" s="44">
        <v>469</v>
      </c>
      <c r="H5" s="129">
        <f>IF(B$17=0,0,G5/B$17)</f>
        <v>0.39411764705882352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14.084507042253522</v>
      </c>
      <c r="P5" s="115">
        <v>426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373</v>
      </c>
      <c r="H6" s="129">
        <f>IF(B$17=0,0,G6/B$17)</f>
        <v>0.3134453781512605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10.025062656641603</v>
      </c>
      <c r="P6" s="115">
        <v>399</v>
      </c>
      <c r="Q6" s="99">
        <v>4000</v>
      </c>
    </row>
    <row r="7" spans="1:17" x14ac:dyDescent="0.4">
      <c r="A7" s="51" t="s">
        <v>2</v>
      </c>
      <c r="B7" s="44">
        <v>162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343</v>
      </c>
      <c r="H7" s="129">
        <f>IF(B$17=0,0,G7/B$17)</f>
        <v>0.28823529411764703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14.880952380952381</v>
      </c>
      <c r="P7" s="116">
        <v>336</v>
      </c>
      <c r="Q7" s="100">
        <v>5000</v>
      </c>
    </row>
    <row r="8" spans="1:17" x14ac:dyDescent="0.4">
      <c r="A8" s="51" t="s">
        <v>3</v>
      </c>
      <c r="B8" s="44">
        <v>162</v>
      </c>
      <c r="C8" s="37">
        <f t="shared" si="1"/>
        <v>0.33333333333333331</v>
      </c>
      <c r="E8" s="59" t="s">
        <v>69</v>
      </c>
      <c r="F8" s="56" t="s">
        <v>24</v>
      </c>
      <c r="G8" s="44">
        <v>186</v>
      </c>
      <c r="H8" s="129">
        <f>IF(B$17=0,0,G8/B$17)</f>
        <v>0.15630252100840336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162</v>
      </c>
      <c r="C9" s="38">
        <f t="shared" si="1"/>
        <v>0.33333333333333331</v>
      </c>
      <c r="E9" s="59" t="s">
        <v>89</v>
      </c>
      <c r="F9" s="56" t="s">
        <v>44</v>
      </c>
      <c r="G9" s="44">
        <v>159</v>
      </c>
      <c r="H9" s="129">
        <f>IF(B$17=0,0,G9/B$17)</f>
        <v>0.13361344537815126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44</v>
      </c>
      <c r="C10" s="38">
        <f t="shared" si="1"/>
        <v>9.0534979423868317E-2</v>
      </c>
      <c r="E10" s="59" t="s">
        <v>65</v>
      </c>
      <c r="F10" s="56" t="s">
        <v>21</v>
      </c>
      <c r="G10" s="44">
        <v>120</v>
      </c>
      <c r="H10" s="129">
        <f>IF(B$17=0,0,G10/B$17)</f>
        <v>0.10084033613445378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-0.46666666666666701</v>
      </c>
      <c r="P10" s="114">
        <v>162</v>
      </c>
      <c r="Q10" s="102">
        <v>-75.600000000000051</v>
      </c>
    </row>
    <row r="11" spans="1:17" x14ac:dyDescent="0.4">
      <c r="A11" s="52" t="s">
        <v>138</v>
      </c>
      <c r="B11" s="45">
        <v>44</v>
      </c>
      <c r="C11" s="38">
        <f t="shared" si="1"/>
        <v>9.0534979423868317E-2</v>
      </c>
      <c r="E11" s="59" t="s">
        <v>70</v>
      </c>
      <c r="F11" s="56" t="s">
        <v>25</v>
      </c>
      <c r="G11" s="44">
        <v>112</v>
      </c>
      <c r="H11" s="129">
        <f>IF(B$17=0,0,G11/B$17)</f>
        <v>9.4117647058823528E-2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1.7043209876543208</v>
      </c>
      <c r="P11" s="115">
        <v>162</v>
      </c>
      <c r="Q11" s="103">
        <v>276.09999999999997</v>
      </c>
    </row>
    <row r="12" spans="1:17" x14ac:dyDescent="0.4">
      <c r="A12" s="53" t="s">
        <v>158</v>
      </c>
      <c r="B12" s="46">
        <v>49</v>
      </c>
      <c r="C12" s="40">
        <f t="shared" si="1"/>
        <v>0.10082304526748971</v>
      </c>
      <c r="E12" s="59" t="s">
        <v>71</v>
      </c>
      <c r="F12" s="56" t="s">
        <v>26</v>
      </c>
      <c r="G12" s="44">
        <v>93</v>
      </c>
      <c r="H12" s="129">
        <f>IF(B$17=0,0,G12/B$17)</f>
        <v>7.8151260504201681E-2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-1.2376543209876549</v>
      </c>
      <c r="P12" s="116">
        <v>162</v>
      </c>
      <c r="Q12" s="104">
        <v>-200.50000000000011</v>
      </c>
    </row>
    <row r="13" spans="1:17" x14ac:dyDescent="0.4">
      <c r="A13" s="54" t="s">
        <v>121</v>
      </c>
      <c r="B13" s="47">
        <v>1011</v>
      </c>
      <c r="C13" s="42">
        <f>IF(B$3=0,0,B13/B$3)</f>
        <v>0.25018559762435039</v>
      </c>
      <c r="E13" s="59" t="s">
        <v>83</v>
      </c>
      <c r="F13" s="56" t="s">
        <v>38</v>
      </c>
      <c r="G13" s="44">
        <v>66</v>
      </c>
      <c r="H13" s="129">
        <f>IF(B$17=0,0,G13/B$17)</f>
        <v>5.5462184873949577E-2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938</v>
      </c>
      <c r="C14" s="37">
        <f>IF(B$3=0,0,B14/B$3)</f>
        <v>0.23212076218757732</v>
      </c>
      <c r="E14" s="59" t="s">
        <v>86</v>
      </c>
      <c r="F14" s="56" t="s">
        <v>41</v>
      </c>
      <c r="G14" s="44">
        <v>55</v>
      </c>
      <c r="H14" s="129">
        <f>IF(B$17=0,0,G14/B$17)</f>
        <v>4.6218487394957986E-2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568</v>
      </c>
      <c r="C15" s="35">
        <f>IF(B$13=0,0,B15/B$13)</f>
        <v>0.56181998021760637</v>
      </c>
      <c r="E15" s="59" t="s">
        <v>78</v>
      </c>
      <c r="F15" s="56" t="s">
        <v>33</v>
      </c>
      <c r="G15" s="44">
        <v>30</v>
      </c>
      <c r="H15" s="129">
        <f>IF(B$17=0,0,G15/B$17)</f>
        <v>2.5210084033613446E-2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386</v>
      </c>
      <c r="C16" s="35">
        <f>IF(B$14=0,0,B16/B$14)</f>
        <v>0.4115138592750533</v>
      </c>
      <c r="E16" s="59" t="s">
        <v>167</v>
      </c>
      <c r="F16" s="56" t="s">
        <v>168</v>
      </c>
      <c r="G16" s="44">
        <v>28</v>
      </c>
      <c r="H16" s="129">
        <f>IF(B$17=0,0,G16/B$17)</f>
        <v>2.3529411764705882E-2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1190</v>
      </c>
      <c r="C17" s="35">
        <f>IF(B$3=0,0,B17/B$3)</f>
        <v>0.29448156396931452</v>
      </c>
      <c r="E17" s="59" t="s">
        <v>81</v>
      </c>
      <c r="F17" s="56" t="s">
        <v>36</v>
      </c>
      <c r="G17" s="44">
        <v>22</v>
      </c>
      <c r="H17" s="129">
        <f>IF(B$17=0,0,G17/B$17)</f>
        <v>1.8487394957983194E-2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11.154098360655739</v>
      </c>
      <c r="P17" s="115">
        <v>122</v>
      </c>
      <c r="Q17" s="103">
        <v>1360.8000000000002</v>
      </c>
    </row>
    <row r="18" spans="1:17" x14ac:dyDescent="0.4">
      <c r="A18" s="51" t="s">
        <v>12</v>
      </c>
      <c r="B18" s="44">
        <v>521</v>
      </c>
      <c r="C18" s="37">
        <f>IF(B$17=0,0,B18/B$17)</f>
        <v>0.43781512605042017</v>
      </c>
      <c r="E18" s="59" t="s">
        <v>91</v>
      </c>
      <c r="F18" s="56" t="s">
        <v>46</v>
      </c>
      <c r="G18" s="44">
        <v>17</v>
      </c>
      <c r="H18" s="129">
        <f>IF(B$17=0,0,G18/B$17)</f>
        <v>1.4285714285714285E-2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4.9124999999999979</v>
      </c>
      <c r="P18" s="115">
        <v>88</v>
      </c>
      <c r="Q18" s="103">
        <v>432.29999999999978</v>
      </c>
    </row>
    <row r="19" spans="1:17" x14ac:dyDescent="0.4">
      <c r="A19" s="51" t="s">
        <v>11</v>
      </c>
      <c r="B19" s="44">
        <v>669</v>
      </c>
      <c r="C19" s="37">
        <f>IF(B$17=0,0,B19/B$17)</f>
        <v>0.56218487394957983</v>
      </c>
      <c r="E19" s="59" t="s">
        <v>79</v>
      </c>
      <c r="F19" s="56" t="s">
        <v>34</v>
      </c>
      <c r="G19" s="44">
        <v>15</v>
      </c>
      <c r="H19" s="129">
        <f>IF(B$17=0,0,G19/B$17)</f>
        <v>1.2605042016806723E-2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2.3826923076923072</v>
      </c>
      <c r="P19" s="115">
        <v>156</v>
      </c>
      <c r="Q19" s="103">
        <v>371.69999999999993</v>
      </c>
    </row>
    <row r="20" spans="1:17" x14ac:dyDescent="0.4">
      <c r="A20" s="51" t="s">
        <v>13</v>
      </c>
      <c r="B20" s="44">
        <v>662</v>
      </c>
      <c r="C20" s="37">
        <f>IF(B$3=0,0,B20/B$3)</f>
        <v>0.16382083642662706</v>
      </c>
      <c r="E20" s="59" t="s">
        <v>75</v>
      </c>
      <c r="F20" s="56" t="s">
        <v>30</v>
      </c>
      <c r="G20" s="44">
        <v>8</v>
      </c>
      <c r="H20" s="129">
        <f>IF(B$17=0,0,G20/B$17)</f>
        <v>6.7226890756302525E-3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0.9204545454545453</v>
      </c>
      <c r="P20" s="115">
        <v>44</v>
      </c>
      <c r="Q20" s="103">
        <v>40.499999999999993</v>
      </c>
    </row>
    <row r="21" spans="1:17" x14ac:dyDescent="0.4">
      <c r="A21" s="51" t="s">
        <v>169</v>
      </c>
      <c r="B21" s="44">
        <v>7</v>
      </c>
      <c r="C21" s="131">
        <v>3</v>
      </c>
      <c r="E21" s="59" t="s">
        <v>74</v>
      </c>
      <c r="F21" s="56" t="s">
        <v>29</v>
      </c>
      <c r="G21" s="44">
        <v>6</v>
      </c>
      <c r="H21" s="129">
        <f>IF(B$17=0,0,G21/B$17)</f>
        <v>5.0420168067226894E-3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-6.0051136363636433</v>
      </c>
      <c r="P21" s="115">
        <v>176</v>
      </c>
      <c r="Q21" s="103">
        <v>-1056.9000000000012</v>
      </c>
    </row>
    <row r="22" spans="1:17" x14ac:dyDescent="0.4">
      <c r="A22" s="51" t="s">
        <v>170</v>
      </c>
      <c r="B22" s="44">
        <v>31</v>
      </c>
      <c r="C22" s="131">
        <v>17</v>
      </c>
      <c r="E22" s="59" t="s">
        <v>92</v>
      </c>
      <c r="F22" s="56" t="s">
        <v>47</v>
      </c>
      <c r="G22" s="44">
        <v>6</v>
      </c>
      <c r="H22" s="129">
        <f>IF(B$17=0,0,G22/B$17)</f>
        <v>5.0420168067226894E-3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-6.6080357142857133</v>
      </c>
      <c r="P22" s="115">
        <v>112</v>
      </c>
      <c r="Q22" s="103">
        <v>-740.09999999999991</v>
      </c>
    </row>
    <row r="23" spans="1:17" x14ac:dyDescent="0.4">
      <c r="A23" s="51" t="s">
        <v>5</v>
      </c>
      <c r="B23" s="48">
        <f>IF(B$17=0,0,C23/B$17)</f>
        <v>8312.0168067226896</v>
      </c>
      <c r="C23" s="39">
        <v>9891300</v>
      </c>
      <c r="E23" s="59" t="s">
        <v>85</v>
      </c>
      <c r="F23" s="56" t="s">
        <v>40</v>
      </c>
      <c r="G23" s="44">
        <v>5</v>
      </c>
      <c r="H23" s="129">
        <f>IF(B$17=0,0,G23/B$17)</f>
        <v>4.2016806722689074E-3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-10.636082474226798</v>
      </c>
      <c r="P23" s="115">
        <v>194</v>
      </c>
      <c r="Q23" s="103">
        <v>-2063.3999999999987</v>
      </c>
    </row>
    <row r="24" spans="1:17" x14ac:dyDescent="0.4">
      <c r="A24" s="52" t="s">
        <v>216</v>
      </c>
      <c r="B24" s="136">
        <f>IF($B$17-B$16=0,0,C24/($B$17-B$16))</f>
        <v>8761.194029850747</v>
      </c>
      <c r="C24" s="137">
        <v>7044000</v>
      </c>
      <c r="E24" s="59" t="s">
        <v>88</v>
      </c>
      <c r="F24" s="56" t="s">
        <v>43</v>
      </c>
      <c r="G24" s="44">
        <v>5</v>
      </c>
      <c r="H24" s="129">
        <f>IF(B$17=0,0,G24/B$17)</f>
        <v>4.2016806722689074E-3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7376.4248704663214</v>
      </c>
      <c r="C25" s="137">
        <v>2847300</v>
      </c>
      <c r="E25" s="59" t="s">
        <v>73</v>
      </c>
      <c r="F25" s="56" t="s">
        <v>28</v>
      </c>
      <c r="G25" s="44">
        <v>4</v>
      </c>
      <c r="H25" s="129">
        <f>IF(B$17=0,0,G25/B$17)</f>
        <v>3.3613445378151263E-3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-7779.6072507552872</v>
      </c>
      <c r="C26" s="137">
        <v>-5150100</v>
      </c>
      <c r="E26" s="59" t="s">
        <v>77</v>
      </c>
      <c r="F26" s="56" t="s">
        <v>32</v>
      </c>
      <c r="G26" s="44">
        <v>4</v>
      </c>
      <c r="H26" s="129">
        <f>IF(B$17=0,0,G26/B$17)</f>
        <v>3.3613445378151263E-3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3.3613445378151263E-3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2.5210084033613447E-3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13</v>
      </c>
      <c r="C29" s="40">
        <f>IF(B$3=0,0,B29/B$3)</f>
        <v>3.2170254887404106E-3</v>
      </c>
      <c r="E29" s="59" t="s">
        <v>87</v>
      </c>
      <c r="F29" s="56" t="s">
        <v>42</v>
      </c>
      <c r="G29" s="44">
        <v>2</v>
      </c>
      <c r="H29" s="129">
        <f>IF(B$17=0,0,G29/B$17)</f>
        <v>1.6806722689075631E-3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1.6806722689075631E-3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1.6806722689075631E-3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8.4033613445378156E-4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-36.600000000000037</v>
      </c>
    </row>
    <row r="487" spans="11:12" x14ac:dyDescent="0.4">
      <c r="K487" s="36">
        <v>485</v>
      </c>
      <c r="L487" s="95">
        <v>-49.000000000000036</v>
      </c>
    </row>
    <row r="488" spans="11:12" x14ac:dyDescent="0.4">
      <c r="K488" s="36">
        <v>486</v>
      </c>
      <c r="L488" s="95">
        <v>-3.5527136788005009E-14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44</v>
      </c>
      <c r="C2" s="149"/>
      <c r="E2" s="58" t="s">
        <v>66</v>
      </c>
      <c r="F2" s="55" t="s">
        <v>22</v>
      </c>
      <c r="G2" s="43">
        <v>68</v>
      </c>
      <c r="H2" s="128">
        <f>IF(B$17=0,0,G2/B$17)</f>
        <v>0.66666666666666663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1477.2727272727273</v>
      </c>
      <c r="P2" s="114">
        <v>44</v>
      </c>
      <c r="Q2" s="98">
        <v>65000</v>
      </c>
    </row>
    <row r="3" spans="1:17" x14ac:dyDescent="0.4">
      <c r="A3" s="51" t="s">
        <v>8</v>
      </c>
      <c r="B3" s="150">
        <v>383</v>
      </c>
      <c r="C3" s="151"/>
      <c r="E3" s="59" t="s">
        <v>72</v>
      </c>
      <c r="F3" s="56" t="s">
        <v>27</v>
      </c>
      <c r="G3" s="44">
        <v>51</v>
      </c>
      <c r="H3" s="129">
        <f>IF(B$17=0,0,G3/B$17)</f>
        <v>0.5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-646.51162790697674</v>
      </c>
      <c r="P3" s="115">
        <v>43</v>
      </c>
      <c r="Q3" s="99">
        <v>-27800</v>
      </c>
    </row>
    <row r="4" spans="1:17" x14ac:dyDescent="0.4">
      <c r="A4" s="51" t="s">
        <v>6</v>
      </c>
      <c r="B4" s="152">
        <v>-144.10000000000005</v>
      </c>
      <c r="C4" s="153"/>
      <c r="E4" s="59" t="s">
        <v>171</v>
      </c>
      <c r="F4" s="56" t="s">
        <v>172</v>
      </c>
      <c r="G4" s="44">
        <v>38</v>
      </c>
      <c r="H4" s="129">
        <f>IF(B$17=0,0,G4/B$17)</f>
        <v>0.37254901960784315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-751.21951219512198</v>
      </c>
      <c r="P4" s="115">
        <v>41</v>
      </c>
      <c r="Q4" s="99">
        <v>-30800</v>
      </c>
    </row>
    <row r="5" spans="1:17" x14ac:dyDescent="0.4">
      <c r="A5" s="51" t="s">
        <v>7</v>
      </c>
      <c r="B5" s="154">
        <f>IF(B$2=0,0,B$4/B$2)</f>
        <v>-3.2750000000000012</v>
      </c>
      <c r="C5" s="155"/>
      <c r="E5" s="59" t="s">
        <v>68</v>
      </c>
      <c r="F5" s="56" t="s">
        <v>12</v>
      </c>
      <c r="G5" s="44">
        <v>30</v>
      </c>
      <c r="H5" s="129">
        <f>IF(B$17=0,0,G5/B$17)</f>
        <v>0.29411764705882354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-1558.5365853658536</v>
      </c>
      <c r="P5" s="115">
        <v>41</v>
      </c>
      <c r="Q5" s="99">
        <v>-63900</v>
      </c>
    </row>
    <row r="6" spans="1:17" x14ac:dyDescent="0.4">
      <c r="A6" s="51" t="s">
        <v>1</v>
      </c>
      <c r="B6" s="144">
        <f>IF(B$2=0,0,(B$7*1+B$8*2+B$9*3)/B$2)</f>
        <v>2.0681818181818183</v>
      </c>
      <c r="C6" s="145"/>
      <c r="E6" s="59" t="s">
        <v>64</v>
      </c>
      <c r="F6" s="56" t="s">
        <v>20</v>
      </c>
      <c r="G6" s="44">
        <v>29</v>
      </c>
      <c r="H6" s="129">
        <f>IF(B$17=0,0,G6/B$17)</f>
        <v>0.28431372549019607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-85.365853658536579</v>
      </c>
      <c r="P6" s="115">
        <v>41</v>
      </c>
      <c r="Q6" s="99">
        <v>-3500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0.34090909090909088</v>
      </c>
      <c r="E7" s="59" t="s">
        <v>69</v>
      </c>
      <c r="F7" s="56" t="s">
        <v>24</v>
      </c>
      <c r="G7" s="44">
        <v>23</v>
      </c>
      <c r="H7" s="129">
        <f>IF(B$17=0,0,G7/B$17)</f>
        <v>0.22549019607843138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-1571.4285714285713</v>
      </c>
      <c r="P7" s="116">
        <v>35</v>
      </c>
      <c r="Q7" s="100">
        <v>-55000</v>
      </c>
    </row>
    <row r="8" spans="1:17" x14ac:dyDescent="0.4">
      <c r="A8" s="51" t="s">
        <v>3</v>
      </c>
      <c r="B8" s="44">
        <v>11</v>
      </c>
      <c r="C8" s="37">
        <f t="shared" si="1"/>
        <v>0.25</v>
      </c>
      <c r="E8" s="59" t="s">
        <v>70</v>
      </c>
      <c r="F8" s="56" t="s">
        <v>25</v>
      </c>
      <c r="G8" s="44">
        <v>17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0.40909090909090912</v>
      </c>
      <c r="E9" s="59" t="s">
        <v>67</v>
      </c>
      <c r="F9" s="56" t="s">
        <v>23</v>
      </c>
      <c r="G9" s="44">
        <v>12</v>
      </c>
      <c r="H9" s="129">
        <f>IF(B$17=0,0,G9/B$17)</f>
        <v>0.11764705882352941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10</v>
      </c>
      <c r="H10" s="129">
        <f>IF(B$17=0,0,G10/B$17)</f>
        <v>9.8039215686274508E-2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4.5454545454545456E-2</v>
      </c>
      <c r="E11" s="59" t="s">
        <v>83</v>
      </c>
      <c r="F11" s="56" t="s">
        <v>38</v>
      </c>
      <c r="G11" s="44">
        <v>9</v>
      </c>
      <c r="H11" s="129">
        <f>IF(B$17=0,0,G11/B$17)</f>
        <v>8.8235294117647065E-2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-5.4461538461538446</v>
      </c>
      <c r="P11" s="115">
        <v>13</v>
      </c>
      <c r="Q11" s="103">
        <v>-70.799999999999983</v>
      </c>
    </row>
    <row r="12" spans="1:17" x14ac:dyDescent="0.4">
      <c r="A12" s="53" t="s">
        <v>158</v>
      </c>
      <c r="B12" s="46">
        <v>7</v>
      </c>
      <c r="C12" s="40">
        <f t="shared" si="1"/>
        <v>0.15909090909090909</v>
      </c>
      <c r="E12" s="59" t="s">
        <v>65</v>
      </c>
      <c r="F12" s="56" t="s">
        <v>21</v>
      </c>
      <c r="G12" s="44">
        <v>8</v>
      </c>
      <c r="H12" s="129">
        <f>IF(B$17=0,0,G12/B$17)</f>
        <v>7.8431372549019607E-2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59</v>
      </c>
      <c r="C13" s="42">
        <f>IF(B$3=0,0,B13/B$3)</f>
        <v>0.15404699738903394</v>
      </c>
      <c r="E13" s="59" t="s">
        <v>89</v>
      </c>
      <c r="F13" s="56" t="s">
        <v>44</v>
      </c>
      <c r="G13" s="44">
        <v>7</v>
      </c>
      <c r="H13" s="129">
        <f>IF(B$17=0,0,G13/B$17)</f>
        <v>6.8627450980392163E-2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87</v>
      </c>
      <c r="C14" s="37">
        <f>IF(B$3=0,0,B14/B$3)</f>
        <v>0.22715404699738903</v>
      </c>
      <c r="E14" s="59" t="s">
        <v>81</v>
      </c>
      <c r="F14" s="56" t="s">
        <v>36</v>
      </c>
      <c r="G14" s="44">
        <v>4</v>
      </c>
      <c r="H14" s="129">
        <f>IF(B$17=0,0,G14/B$17)</f>
        <v>3.9215686274509803E-2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30</v>
      </c>
      <c r="C15" s="35">
        <f>IF(B$13=0,0,B15/B$13)</f>
        <v>0.50847457627118642</v>
      </c>
      <c r="E15" s="59" t="s">
        <v>86</v>
      </c>
      <c r="F15" s="56" t="s">
        <v>41</v>
      </c>
      <c r="G15" s="44">
        <v>3</v>
      </c>
      <c r="H15" s="129">
        <f>IF(B$17=0,0,G15/B$17)</f>
        <v>2.9411764705882353E-2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32</v>
      </c>
      <c r="C16" s="35">
        <f>IF(B$14=0,0,B16/B$14)</f>
        <v>0.36781609195402298</v>
      </c>
      <c r="E16" s="59" t="s">
        <v>91</v>
      </c>
      <c r="F16" s="56" t="s">
        <v>46</v>
      </c>
      <c r="G16" s="44">
        <v>3</v>
      </c>
      <c r="H16" s="129">
        <f>IF(B$17=0,0,G16/B$17)</f>
        <v>2.9411764705882353E-2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 t="shared" si="2"/>
        <v>0.50000000000000067</v>
      </c>
      <c r="P16" s="115">
        <v>15</v>
      </c>
      <c r="Q16" s="103">
        <v>7.5000000000000107</v>
      </c>
    </row>
    <row r="17" spans="1:17" x14ac:dyDescent="0.4">
      <c r="A17" s="50" t="s">
        <v>10</v>
      </c>
      <c r="B17" s="43">
        <f>B19+B18</f>
        <v>102</v>
      </c>
      <c r="C17" s="35">
        <f>IF(B$3=0,0,B17/B$3)</f>
        <v>0.26631853785900783</v>
      </c>
      <c r="E17" s="59" t="s">
        <v>88</v>
      </c>
      <c r="F17" s="56" t="s">
        <v>43</v>
      </c>
      <c r="G17" s="44">
        <v>2</v>
      </c>
      <c r="H17" s="129">
        <f>IF(B$17=0,0,G17/B$17)</f>
        <v>1.9607843137254902E-2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-1.1173913043478263</v>
      </c>
      <c r="P17" s="115">
        <v>23</v>
      </c>
      <c r="Q17" s="103">
        <v>-25.700000000000003</v>
      </c>
    </row>
    <row r="18" spans="1:17" x14ac:dyDescent="0.4">
      <c r="A18" s="51" t="s">
        <v>12</v>
      </c>
      <c r="B18" s="44">
        <v>42</v>
      </c>
      <c r="C18" s="37">
        <f>IF(B$17=0,0,B18/B$17)</f>
        <v>0.41176470588235292</v>
      </c>
      <c r="E18" s="59" t="s">
        <v>74</v>
      </c>
      <c r="F18" s="56" t="s">
        <v>29</v>
      </c>
      <c r="G18" s="44">
        <v>1</v>
      </c>
      <c r="H18" s="129">
        <f>IF(B$17=0,0,G18/B$17)</f>
        <v>9.8039215686274508E-3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2"/>
        <v>-4.1100000000000012</v>
      </c>
      <c r="P18" s="115">
        <v>20</v>
      </c>
      <c r="Q18" s="103">
        <v>-82.200000000000017</v>
      </c>
    </row>
    <row r="19" spans="1:17" x14ac:dyDescent="0.4">
      <c r="A19" s="51" t="s">
        <v>11</v>
      </c>
      <c r="B19" s="44">
        <v>60</v>
      </c>
      <c r="C19" s="37">
        <f>IF(B$17=0,0,B19/B$17)</f>
        <v>0.58823529411764708</v>
      </c>
      <c r="E19" s="59" t="s">
        <v>75</v>
      </c>
      <c r="F19" s="56" t="s">
        <v>30</v>
      </c>
      <c r="G19" s="44">
        <v>1</v>
      </c>
      <c r="H19" s="129">
        <f>IF(B$17=0,0,G19/B$17)</f>
        <v>9.8039215686274508E-3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0.13838120104438642</v>
      </c>
      <c r="E20" s="59" t="s">
        <v>77</v>
      </c>
      <c r="F20" s="56" t="s">
        <v>32</v>
      </c>
      <c r="G20" s="44">
        <v>1</v>
      </c>
      <c r="H20" s="129">
        <f>IF(B$17=0,0,G20/B$17)</f>
        <v>9.8039215686274508E-3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93</v>
      </c>
      <c r="F21" s="56" t="s">
        <v>48</v>
      </c>
      <c r="G21" s="44">
        <v>1</v>
      </c>
      <c r="H21" s="129">
        <f>IF(B$17=0,0,G21/B$17)</f>
        <v>9.8039215686274508E-3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30</v>
      </c>
      <c r="C22" s="131">
        <v>30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7090.1960784313724</v>
      </c>
      <c r="C23" s="39">
        <v>723200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7577.1428571428569</v>
      </c>
      <c r="C24" s="137">
        <v>530400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6025</v>
      </c>
      <c r="C25" s="137">
        <v>192800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5.2219321148825066E-3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97</v>
      </c>
      <c r="C2" s="149"/>
      <c r="E2" s="58" t="s">
        <v>66</v>
      </c>
      <c r="F2" s="55" t="s">
        <v>22</v>
      </c>
      <c r="G2" s="43">
        <v>180</v>
      </c>
      <c r="H2" s="128">
        <f>IF(B$17=0,0,G2/B$17)</f>
        <v>0.68441064638783267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838.54166666666663</v>
      </c>
      <c r="P2" s="114">
        <v>96</v>
      </c>
      <c r="Q2" s="98">
        <v>80500</v>
      </c>
    </row>
    <row r="3" spans="1:17" x14ac:dyDescent="0.4">
      <c r="A3" s="51" t="s">
        <v>8</v>
      </c>
      <c r="B3" s="150">
        <v>781</v>
      </c>
      <c r="C3" s="151"/>
      <c r="E3" s="59" t="s">
        <v>72</v>
      </c>
      <c r="F3" s="56" t="s">
        <v>27</v>
      </c>
      <c r="G3" s="44">
        <v>127</v>
      </c>
      <c r="H3" s="129">
        <f>IF(B$17=0,0,G3/B$17)</f>
        <v>0.4828897338403042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-107.52688172043011</v>
      </c>
      <c r="P3" s="115">
        <v>93</v>
      </c>
      <c r="Q3" s="99">
        <v>-10000</v>
      </c>
    </row>
    <row r="4" spans="1:17" x14ac:dyDescent="0.4">
      <c r="A4" s="51" t="s">
        <v>6</v>
      </c>
      <c r="B4" s="152">
        <v>687.8</v>
      </c>
      <c r="C4" s="153"/>
      <c r="E4" s="59" t="s">
        <v>64</v>
      </c>
      <c r="F4" s="56" t="s">
        <v>20</v>
      </c>
      <c r="G4" s="44">
        <v>117</v>
      </c>
      <c r="H4" s="129">
        <f>IF(B$17=0,0,G4/B$17)</f>
        <v>0.44486692015209123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-69.230769230769226</v>
      </c>
      <c r="P4" s="115">
        <v>91</v>
      </c>
      <c r="Q4" s="99">
        <v>-6300</v>
      </c>
    </row>
    <row r="5" spans="1:17" x14ac:dyDescent="0.4">
      <c r="A5" s="51" t="s">
        <v>7</v>
      </c>
      <c r="B5" s="154">
        <f>IF(B$2=0,0,B$4/B$2)</f>
        <v>7.0907216494845358</v>
      </c>
      <c r="C5" s="155"/>
      <c r="E5" s="59" t="s">
        <v>171</v>
      </c>
      <c r="F5" s="56" t="s">
        <v>172</v>
      </c>
      <c r="G5" s="44">
        <v>96</v>
      </c>
      <c r="H5" s="129">
        <f>IF(B$17=0,0,G5/B$17)</f>
        <v>0.36501901140684412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-86.746987951807228</v>
      </c>
      <c r="P5" s="115">
        <v>83</v>
      </c>
      <c r="Q5" s="99">
        <v>-7200</v>
      </c>
    </row>
    <row r="6" spans="1:17" x14ac:dyDescent="0.4">
      <c r="A6" s="51" t="s">
        <v>1</v>
      </c>
      <c r="B6" s="144">
        <f>IF(B$2=0,0,(B$7*1+B$8*2+B$9*3)/B$2)</f>
        <v>1.7731958762886597</v>
      </c>
      <c r="C6" s="145"/>
      <c r="E6" s="59" t="s">
        <v>68</v>
      </c>
      <c r="F6" s="56" t="s">
        <v>12</v>
      </c>
      <c r="G6" s="44">
        <v>77</v>
      </c>
      <c r="H6" s="129">
        <f>IF(B$17=0,0,G6/B$17)</f>
        <v>0.29277566539923955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2272.1518987341774</v>
      </c>
      <c r="P6" s="115">
        <v>79</v>
      </c>
      <c r="Q6" s="99">
        <v>179500</v>
      </c>
    </row>
    <row r="7" spans="1:17" x14ac:dyDescent="0.4">
      <c r="A7" s="51" t="s">
        <v>2</v>
      </c>
      <c r="B7" s="44">
        <v>46</v>
      </c>
      <c r="C7" s="37">
        <f t="shared" ref="C7:C12" si="1">IF(B$2=0,0,B7/B$2)</f>
        <v>0.47422680412371132</v>
      </c>
      <c r="E7" s="59" t="s">
        <v>67</v>
      </c>
      <c r="F7" s="56" t="s">
        <v>23</v>
      </c>
      <c r="G7" s="44">
        <v>67</v>
      </c>
      <c r="H7" s="129">
        <f>IF(B$17=0,0,G7/B$17)</f>
        <v>0.25475285171102663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3040</v>
      </c>
      <c r="P7" s="116">
        <v>65</v>
      </c>
      <c r="Q7" s="100">
        <v>197600</v>
      </c>
    </row>
    <row r="8" spans="1:17" x14ac:dyDescent="0.4">
      <c r="A8" s="51" t="s">
        <v>3</v>
      </c>
      <c r="B8" s="44">
        <v>27</v>
      </c>
      <c r="C8" s="37">
        <f t="shared" si="1"/>
        <v>0.27835051546391754</v>
      </c>
      <c r="E8" s="59" t="s">
        <v>69</v>
      </c>
      <c r="F8" s="56" t="s">
        <v>24</v>
      </c>
      <c r="G8" s="44">
        <v>45</v>
      </c>
      <c r="H8" s="129">
        <f>IF(B$17=0,0,G8/B$17)</f>
        <v>0.17110266159695817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0.24742268041237114</v>
      </c>
      <c r="E9" s="59" t="s">
        <v>89</v>
      </c>
      <c r="F9" s="56" t="s">
        <v>44</v>
      </c>
      <c r="G9" s="44">
        <v>42</v>
      </c>
      <c r="H9" s="129">
        <f>IF(B$17=0,0,G9/B$17)</f>
        <v>0.1596958174904943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5.1546391752577317E-2</v>
      </c>
      <c r="E10" s="59" t="s">
        <v>65</v>
      </c>
      <c r="F10" s="56" t="s">
        <v>21</v>
      </c>
      <c r="G10" s="44">
        <v>30</v>
      </c>
      <c r="H10" s="129">
        <f>IF(B$17=0,0,G10/B$17)</f>
        <v>0.11406844106463879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9.9962962962962951</v>
      </c>
      <c r="P10" s="114">
        <v>27</v>
      </c>
      <c r="Q10" s="102">
        <v>269.89999999999998</v>
      </c>
    </row>
    <row r="11" spans="1:17" x14ac:dyDescent="0.4">
      <c r="A11" s="52" t="s">
        <v>138</v>
      </c>
      <c r="B11" s="45">
        <v>9</v>
      </c>
      <c r="C11" s="38">
        <f t="shared" si="1"/>
        <v>9.2783505154639179E-2</v>
      </c>
      <c r="E11" s="59" t="s">
        <v>71</v>
      </c>
      <c r="F11" s="56" t="s">
        <v>26</v>
      </c>
      <c r="G11" s="44">
        <v>20</v>
      </c>
      <c r="H11" s="129">
        <f>IF(B$17=0,0,G11/B$17)</f>
        <v>7.6045627376425853E-2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2.6657142857142864</v>
      </c>
      <c r="P11" s="115">
        <v>35</v>
      </c>
      <c r="Q11" s="103">
        <v>93.300000000000026</v>
      </c>
    </row>
    <row r="12" spans="1:17" x14ac:dyDescent="0.4">
      <c r="A12" s="53" t="s">
        <v>158</v>
      </c>
      <c r="B12" s="46">
        <v>11</v>
      </c>
      <c r="C12" s="40">
        <f t="shared" si="1"/>
        <v>0.1134020618556701</v>
      </c>
      <c r="E12" s="59" t="s">
        <v>70</v>
      </c>
      <c r="F12" s="56" t="s">
        <v>25</v>
      </c>
      <c r="G12" s="44">
        <v>15</v>
      </c>
      <c r="H12" s="129">
        <f>IF(B$17=0,0,G12/B$17)</f>
        <v>5.7034220532319393E-2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9.274285714285714</v>
      </c>
      <c r="P12" s="116">
        <v>35</v>
      </c>
      <c r="Q12" s="104">
        <v>324.59999999999997</v>
      </c>
    </row>
    <row r="13" spans="1:17" x14ac:dyDescent="0.4">
      <c r="A13" s="54" t="s">
        <v>121</v>
      </c>
      <c r="B13" s="47">
        <v>210</v>
      </c>
      <c r="C13" s="42">
        <f>IF(B$3=0,0,B13/B$3)</f>
        <v>0.26888604353393086</v>
      </c>
      <c r="E13" s="59" t="s">
        <v>83</v>
      </c>
      <c r="F13" s="56" t="s">
        <v>38</v>
      </c>
      <c r="G13" s="44">
        <v>13</v>
      </c>
      <c r="H13" s="129">
        <f>IF(B$17=0,0,G13/B$17)</f>
        <v>4.9429657794676805E-2</v>
      </c>
      <c r="I13" s="90">
        <v>8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177</v>
      </c>
      <c r="C14" s="37">
        <f>IF(B$3=0,0,B14/B$3)</f>
        <v>0.2266325224071703</v>
      </c>
      <c r="E14" s="59" t="s">
        <v>86</v>
      </c>
      <c r="F14" s="56" t="s">
        <v>41</v>
      </c>
      <c r="G14" s="44">
        <v>12</v>
      </c>
      <c r="H14" s="129">
        <f>IF(B$17=0,0,G14/B$17)</f>
        <v>4.5627376425855515E-2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125</v>
      </c>
      <c r="C15" s="35">
        <f>IF(B$13=0,0,B15/B$13)</f>
        <v>0.59523809523809523</v>
      </c>
      <c r="E15" s="59" t="s">
        <v>167</v>
      </c>
      <c r="F15" s="56" t="s">
        <v>168</v>
      </c>
      <c r="G15" s="44">
        <v>11</v>
      </c>
      <c r="H15" s="129">
        <f>IF(B$17=0,0,G15/B$17)</f>
        <v>4.1825095057034217E-2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85</v>
      </c>
      <c r="C16" s="35">
        <f>IF(B$14=0,0,B16/B$14)</f>
        <v>0.48022598870056499</v>
      </c>
      <c r="E16" s="59" t="s">
        <v>78</v>
      </c>
      <c r="F16" s="56" t="s">
        <v>33</v>
      </c>
      <c r="G16" s="44">
        <v>9</v>
      </c>
      <c r="H16" s="129">
        <f>IF(B$17=0,0,G16/B$17)</f>
        <v>3.4220532319391636E-2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263</v>
      </c>
      <c r="C17" s="35">
        <f>IF(B$3=0,0,B17/B$3)</f>
        <v>0.33674775928297057</v>
      </c>
      <c r="E17" s="59" t="s">
        <v>77</v>
      </c>
      <c r="F17" s="56" t="s">
        <v>32</v>
      </c>
      <c r="G17" s="44">
        <v>3</v>
      </c>
      <c r="H17" s="129">
        <f>IF(B$17=0,0,G17/B$17)</f>
        <v>1.1406844106463879E-2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16.702439024390245</v>
      </c>
      <c r="P17" s="115">
        <v>41</v>
      </c>
      <c r="Q17" s="103">
        <v>684.80000000000007</v>
      </c>
    </row>
    <row r="18" spans="1:17" x14ac:dyDescent="0.4">
      <c r="A18" s="51" t="s">
        <v>12</v>
      </c>
      <c r="B18" s="44">
        <v>113</v>
      </c>
      <c r="C18" s="37">
        <f>IF(B$17=0,0,B18/B$17)</f>
        <v>0.42965779467680609</v>
      </c>
      <c r="E18" s="59" t="s">
        <v>84</v>
      </c>
      <c r="F18" s="56" t="s">
        <v>39</v>
      </c>
      <c r="G18" s="44">
        <v>3</v>
      </c>
      <c r="H18" s="129">
        <f>IF(B$17=0,0,G18/B$17)</f>
        <v>1.1406844106463879E-2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15.352941176470592</v>
      </c>
      <c r="P18" s="115">
        <v>34</v>
      </c>
      <c r="Q18" s="103">
        <v>522.00000000000011</v>
      </c>
    </row>
    <row r="19" spans="1:17" x14ac:dyDescent="0.4">
      <c r="A19" s="51" t="s">
        <v>11</v>
      </c>
      <c r="B19" s="44">
        <v>150</v>
      </c>
      <c r="C19" s="37">
        <f>IF(B$17=0,0,B19/B$17)</f>
        <v>0.57034220532319391</v>
      </c>
      <c r="E19" s="59" t="s">
        <v>75</v>
      </c>
      <c r="F19" s="56" t="s">
        <v>30</v>
      </c>
      <c r="G19" s="44">
        <v>2</v>
      </c>
      <c r="H19" s="129">
        <f>IF(B$17=0,0,G19/B$17)</f>
        <v>7.6045627376425855E-3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8.8568965517241391</v>
      </c>
      <c r="P19" s="115">
        <v>58</v>
      </c>
      <c r="Q19" s="103">
        <v>513.70000000000005</v>
      </c>
    </row>
    <row r="20" spans="1:17" x14ac:dyDescent="0.4">
      <c r="A20" s="51" t="s">
        <v>13</v>
      </c>
      <c r="B20" s="44">
        <v>107</v>
      </c>
      <c r="C20" s="37">
        <f>IF(B$3=0,0,B20/B$3)</f>
        <v>0.13700384122919335</v>
      </c>
      <c r="E20" s="59" t="s">
        <v>85</v>
      </c>
      <c r="F20" s="56" t="s">
        <v>40</v>
      </c>
      <c r="G20" s="44">
        <v>2</v>
      </c>
      <c r="H20" s="129">
        <f>IF(B$17=0,0,G20/B$17)</f>
        <v>7.6045627376425855E-3</v>
      </c>
      <c r="I20" s="90">
        <v>3</v>
      </c>
      <c r="K20" s="36">
        <v>18</v>
      </c>
      <c r="L20" s="95">
        <v>352.39999999999992</v>
      </c>
      <c r="N20" s="111" t="s">
        <v>166</v>
      </c>
      <c r="O20" s="121">
        <f>IF(P20=0,0,Q20/P20)</f>
        <v>1.117391304347825</v>
      </c>
      <c r="P20" s="115">
        <v>23</v>
      </c>
      <c r="Q20" s="103">
        <v>25.699999999999974</v>
      </c>
    </row>
    <row r="21" spans="1:17" x14ac:dyDescent="0.4">
      <c r="A21" s="51" t="s">
        <v>169</v>
      </c>
      <c r="B21" s="44">
        <v>5</v>
      </c>
      <c r="C21" s="131">
        <v>3</v>
      </c>
      <c r="E21" s="59" t="s">
        <v>88</v>
      </c>
      <c r="F21" s="56" t="s">
        <v>43</v>
      </c>
      <c r="G21" s="44">
        <v>2</v>
      </c>
      <c r="H21" s="129">
        <f>IF(B$17=0,0,G21/B$17)</f>
        <v>7.6045627376425855E-3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-5.7045454545454559</v>
      </c>
      <c r="P21" s="115">
        <v>22</v>
      </c>
      <c r="Q21" s="103">
        <v>-125.50000000000003</v>
      </c>
    </row>
    <row r="22" spans="1:17" x14ac:dyDescent="0.4">
      <c r="A22" s="51" t="s">
        <v>170</v>
      </c>
      <c r="B22" s="44">
        <v>31</v>
      </c>
      <c r="C22" s="131">
        <v>13</v>
      </c>
      <c r="E22" s="59" t="s">
        <v>91</v>
      </c>
      <c r="F22" s="56" t="s">
        <v>46</v>
      </c>
      <c r="G22" s="44">
        <v>2</v>
      </c>
      <c r="H22" s="129">
        <f>IF(B$17=0,0,G22/B$17)</f>
        <v>7.6045627376425855E-3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7768.0608365019016</v>
      </c>
      <c r="C23" s="39">
        <v>2043000</v>
      </c>
      <c r="E23" s="59" t="s">
        <v>92</v>
      </c>
      <c r="F23" s="56" t="s">
        <v>47</v>
      </c>
      <c r="G23" s="44">
        <v>2</v>
      </c>
      <c r="H23" s="129">
        <f>IF(B$17=0,0,G23/B$17)</f>
        <v>7.6045627376425855E-3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7682.5842696629215</v>
      </c>
      <c r="C24" s="137">
        <v>1367500</v>
      </c>
      <c r="E24" s="59" t="s">
        <v>74</v>
      </c>
      <c r="F24" s="56" t="s">
        <v>29</v>
      </c>
      <c r="G24" s="44">
        <v>1</v>
      </c>
      <c r="H24" s="129">
        <f>IF(B$17=0,0,G24/B$17)</f>
        <v>3.8022813688212928E-3</v>
      </c>
      <c r="I24" s="90">
        <v>6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7947.0588235294117</v>
      </c>
      <c r="C25" s="137">
        <v>675500</v>
      </c>
      <c r="E25" s="59" t="s">
        <v>79</v>
      </c>
      <c r="F25" s="56" t="s">
        <v>34</v>
      </c>
      <c r="G25" s="44">
        <v>1</v>
      </c>
      <c r="H25" s="129">
        <f>IF(B$17=0,0,G25/B$17)</f>
        <v>3.8022813688212928E-3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-7726.1682242990655</v>
      </c>
      <c r="C26" s="137">
        <v>-826700</v>
      </c>
      <c r="E26" s="59" t="s">
        <v>81</v>
      </c>
      <c r="F26" s="56" t="s">
        <v>36</v>
      </c>
      <c r="G26" s="44">
        <v>1</v>
      </c>
      <c r="H26" s="129">
        <f>IF(B$17=0,0,G26/B$17)</f>
        <v>3.8022813688212928E-3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3.8022813688212928E-3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3.8022813688212928E-3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1.2804097311139564E-3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687.8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9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88</v>
      </c>
      <c r="C2" s="149"/>
      <c r="E2" s="58" t="s">
        <v>66</v>
      </c>
      <c r="F2" s="55" t="s">
        <v>22</v>
      </c>
      <c r="G2" s="43">
        <v>215</v>
      </c>
      <c r="H2" s="128">
        <f>IF(B$17=0,0,G2/B$17)</f>
        <v>0.90717299578059074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-1863.2183908045977</v>
      </c>
      <c r="P2" s="114">
        <v>87</v>
      </c>
      <c r="Q2" s="98">
        <v>-162100</v>
      </c>
    </row>
    <row r="3" spans="1:17" x14ac:dyDescent="0.4">
      <c r="A3" s="51" t="s">
        <v>8</v>
      </c>
      <c r="B3" s="150">
        <v>752</v>
      </c>
      <c r="C3" s="151"/>
      <c r="E3" s="59" t="s">
        <v>72</v>
      </c>
      <c r="F3" s="56" t="s">
        <v>27</v>
      </c>
      <c r="G3" s="44">
        <v>138</v>
      </c>
      <c r="H3" s="129">
        <f>IF(B$17=0,0,G3/B$17)</f>
        <v>0.58227848101265822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1677.6470588235295</v>
      </c>
      <c r="P3" s="115">
        <v>85</v>
      </c>
      <c r="Q3" s="99">
        <v>142600</v>
      </c>
    </row>
    <row r="4" spans="1:17" x14ac:dyDescent="0.4">
      <c r="A4" s="51" t="s">
        <v>6</v>
      </c>
      <c r="B4" s="152">
        <v>352.29999999999984</v>
      </c>
      <c r="C4" s="153"/>
      <c r="E4" s="59" t="s">
        <v>171</v>
      </c>
      <c r="F4" s="56" t="s">
        <v>172</v>
      </c>
      <c r="G4" s="44">
        <v>102</v>
      </c>
      <c r="H4" s="129">
        <f>IF(B$17=0,0,G4/B$17)</f>
        <v>0.43037974683544306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383.95061728395063</v>
      </c>
      <c r="P4" s="115">
        <v>81</v>
      </c>
      <c r="Q4" s="99">
        <v>31100</v>
      </c>
    </row>
    <row r="5" spans="1:17" x14ac:dyDescent="0.4">
      <c r="A5" s="51" t="s">
        <v>7</v>
      </c>
      <c r="B5" s="154">
        <f>IF(B$2=0,0,B$4/B$2)</f>
        <v>4.0034090909090887</v>
      </c>
      <c r="C5" s="155"/>
      <c r="E5" s="59" t="s">
        <v>64</v>
      </c>
      <c r="F5" s="56" t="s">
        <v>20</v>
      </c>
      <c r="G5" s="44">
        <v>93</v>
      </c>
      <c r="H5" s="129">
        <f>IF(B$17=0,0,G5/B$17)</f>
        <v>0.39240506329113922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2367.1052631578946</v>
      </c>
      <c r="P5" s="115">
        <v>76</v>
      </c>
      <c r="Q5" s="99">
        <v>179900</v>
      </c>
    </row>
    <row r="6" spans="1:17" x14ac:dyDescent="0.4">
      <c r="A6" s="51" t="s">
        <v>1</v>
      </c>
      <c r="B6" s="144">
        <f>IF(B$2=0,0,(B$7*1+B$8*2+B$9*3)/B$2)</f>
        <v>1.8977272727272727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0.26160337552742619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100</v>
      </c>
      <c r="P6" s="115">
        <v>71</v>
      </c>
      <c r="Q6" s="99">
        <v>7100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0.39772727272727271</v>
      </c>
      <c r="E7" s="59" t="s">
        <v>67</v>
      </c>
      <c r="F7" s="56" t="s">
        <v>23</v>
      </c>
      <c r="G7" s="44">
        <v>52</v>
      </c>
      <c r="H7" s="129">
        <f>IF(B$17=0,0,G7/B$17)</f>
        <v>0.21940928270042195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1586.6666666666667</v>
      </c>
      <c r="P7" s="116">
        <v>60</v>
      </c>
      <c r="Q7" s="100">
        <v>95200</v>
      </c>
    </row>
    <row r="8" spans="1:17" x14ac:dyDescent="0.4">
      <c r="A8" s="51" t="s">
        <v>3</v>
      </c>
      <c r="B8" s="44">
        <v>27</v>
      </c>
      <c r="C8" s="37">
        <f t="shared" si="1"/>
        <v>0.30681818181818182</v>
      </c>
      <c r="E8" s="59" t="s">
        <v>89</v>
      </c>
      <c r="F8" s="56" t="s">
        <v>44</v>
      </c>
      <c r="G8" s="44">
        <v>31</v>
      </c>
      <c r="H8" s="129">
        <f>IF(B$17=0,0,G8/B$17)</f>
        <v>0.13080168776371309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0.29545454545454547</v>
      </c>
      <c r="E9" s="59" t="s">
        <v>69</v>
      </c>
      <c r="F9" s="56" t="s">
        <v>24</v>
      </c>
      <c r="G9" s="44">
        <v>29</v>
      </c>
      <c r="H9" s="129">
        <f>IF(B$17=0,0,G9/B$17)</f>
        <v>0.12236286919831224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12</v>
      </c>
      <c r="C10" s="38">
        <f t="shared" si="1"/>
        <v>0.13636363636363635</v>
      </c>
      <c r="E10" s="59" t="s">
        <v>65</v>
      </c>
      <c r="F10" s="56" t="s">
        <v>21</v>
      </c>
      <c r="G10" s="44">
        <v>21</v>
      </c>
      <c r="H10" s="129">
        <f>IF(B$17=0,0,G10/B$17)</f>
        <v>8.8607594936708861E-2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10</v>
      </c>
      <c r="C11" s="38">
        <f t="shared" si="1"/>
        <v>0.11363636363636363</v>
      </c>
      <c r="E11" s="59" t="s">
        <v>71</v>
      </c>
      <c r="F11" s="56" t="s">
        <v>26</v>
      </c>
      <c r="G11" s="44">
        <v>20</v>
      </c>
      <c r="H11" s="129">
        <f>IF(B$17=0,0,G11/B$17)</f>
        <v>8.4388185654008435E-2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8.5500000000000007</v>
      </c>
      <c r="P11" s="115">
        <v>26</v>
      </c>
      <c r="Q11" s="103">
        <v>222.3</v>
      </c>
    </row>
    <row r="12" spans="1:17" x14ac:dyDescent="0.4">
      <c r="A12" s="53" t="s">
        <v>158</v>
      </c>
      <c r="B12" s="46">
        <v>17</v>
      </c>
      <c r="C12" s="40">
        <f t="shared" si="1"/>
        <v>0.19318181818181818</v>
      </c>
      <c r="E12" s="59" t="s">
        <v>70</v>
      </c>
      <c r="F12" s="56" t="s">
        <v>25</v>
      </c>
      <c r="G12" s="44">
        <v>18</v>
      </c>
      <c r="H12" s="129">
        <f>IF(B$17=0,0,G12/B$17)</f>
        <v>7.5949367088607597E-2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9.5238095238084752E-3</v>
      </c>
      <c r="P12" s="116">
        <v>42</v>
      </c>
      <c r="Q12" s="104">
        <v>0.39999999999995595</v>
      </c>
    </row>
    <row r="13" spans="1:17" x14ac:dyDescent="0.4">
      <c r="A13" s="54" t="s">
        <v>121</v>
      </c>
      <c r="B13" s="47">
        <v>171</v>
      </c>
      <c r="C13" s="42">
        <f>IF(B$3=0,0,B13/B$3)</f>
        <v>0.22739361702127658</v>
      </c>
      <c r="E13" s="59" t="s">
        <v>86</v>
      </c>
      <c r="F13" s="56" t="s">
        <v>41</v>
      </c>
      <c r="G13" s="44">
        <v>17</v>
      </c>
      <c r="H13" s="129">
        <f>IF(B$17=0,0,G13/B$17)</f>
        <v>7.1729957805907171E-2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231</v>
      </c>
      <c r="C14" s="37">
        <f>IF(B$3=0,0,B14/B$3)</f>
        <v>0.30718085106382981</v>
      </c>
      <c r="E14" s="59" t="s">
        <v>83</v>
      </c>
      <c r="F14" s="56" t="s">
        <v>38</v>
      </c>
      <c r="G14" s="44">
        <v>13</v>
      </c>
      <c r="H14" s="129">
        <f>IF(B$17=0,0,G14/B$17)</f>
        <v>5.4852320675105488E-2</v>
      </c>
      <c r="I14" s="90">
        <v>7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91</v>
      </c>
      <c r="C15" s="35">
        <f>IF(B$13=0,0,B15/B$13)</f>
        <v>0.53216374269005851</v>
      </c>
      <c r="E15" s="59" t="s">
        <v>91</v>
      </c>
      <c r="F15" s="56" t="s">
        <v>46</v>
      </c>
      <c r="G15" s="44">
        <v>8</v>
      </c>
      <c r="H15" s="129">
        <f>IF(B$17=0,0,G15/B$17)</f>
        <v>3.3755274261603373E-2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89</v>
      </c>
      <c r="C16" s="35">
        <f>IF(B$14=0,0,B16/B$14)</f>
        <v>0.38528138528138528</v>
      </c>
      <c r="E16" s="59" t="s">
        <v>78</v>
      </c>
      <c r="F16" s="56" t="s">
        <v>33</v>
      </c>
      <c r="G16" s="44">
        <v>7</v>
      </c>
      <c r="H16" s="129">
        <f>IF(B$17=0,0,G16/B$17)</f>
        <v>2.9535864978902954E-2</v>
      </c>
      <c r="I16" s="90">
        <v>4</v>
      </c>
      <c r="K16" s="36">
        <v>14</v>
      </c>
      <c r="L16" s="95">
        <v>-138.4</v>
      </c>
      <c r="N16" s="111" t="s">
        <v>182</v>
      </c>
      <c r="O16" s="121">
        <f t="shared" si="2"/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237</v>
      </c>
      <c r="C17" s="35">
        <f>IF(B$3=0,0,B17/B$3)</f>
        <v>0.31515957446808512</v>
      </c>
      <c r="E17" s="59" t="s">
        <v>81</v>
      </c>
      <c r="F17" s="56" t="s">
        <v>36</v>
      </c>
      <c r="G17" s="44">
        <v>6</v>
      </c>
      <c r="H17" s="129">
        <f>IF(B$17=0,0,G17/B$17)</f>
        <v>2.5316455696202531E-2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91</v>
      </c>
      <c r="C18" s="37">
        <f>IF(B$17=0,0,B18/B$17)</f>
        <v>0.38396624472573837</v>
      </c>
      <c r="E18" s="59" t="s">
        <v>79</v>
      </c>
      <c r="F18" s="56" t="s">
        <v>34</v>
      </c>
      <c r="G18" s="44">
        <v>5</v>
      </c>
      <c r="H18" s="129">
        <f>IF(B$17=0,0,G18/B$17)</f>
        <v>2.1097046413502109E-2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 t="shared" si="2"/>
        <v>13.265517241379307</v>
      </c>
      <c r="P18" s="115">
        <v>29</v>
      </c>
      <c r="Q18" s="103">
        <v>384.69999999999987</v>
      </c>
    </row>
    <row r="19" spans="1:17" x14ac:dyDescent="0.4">
      <c r="A19" s="51" t="s">
        <v>11</v>
      </c>
      <c r="B19" s="44">
        <v>146</v>
      </c>
      <c r="C19" s="37">
        <f>IF(B$17=0,0,B19/B$17)</f>
        <v>0.61603375527426163</v>
      </c>
      <c r="E19" s="59" t="s">
        <v>74</v>
      </c>
      <c r="F19" s="56" t="s">
        <v>29</v>
      </c>
      <c r="G19" s="44">
        <v>2</v>
      </c>
      <c r="H19" s="129">
        <f>IF(B$17=0,0,G19/B$17)</f>
        <v>8.4388185654008432E-3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 t="shared" si="2"/>
        <v>12.182608695652181</v>
      </c>
      <c r="P19" s="115">
        <v>23</v>
      </c>
      <c r="Q19" s="103">
        <v>280.20000000000016</v>
      </c>
    </row>
    <row r="20" spans="1:17" x14ac:dyDescent="0.4">
      <c r="A20" s="51" t="s">
        <v>13</v>
      </c>
      <c r="B20" s="44">
        <v>143</v>
      </c>
      <c r="C20" s="37">
        <f>IF(B$3=0,0,B20/B$3)</f>
        <v>0.1901595744680851</v>
      </c>
      <c r="E20" s="59" t="s">
        <v>75</v>
      </c>
      <c r="F20" s="56" t="s">
        <v>30</v>
      </c>
      <c r="G20" s="44">
        <v>1</v>
      </c>
      <c r="H20" s="129">
        <f>IF(B$17=0,0,G20/B$17)</f>
        <v>4.2194092827004216E-3</v>
      </c>
      <c r="I20" s="90">
        <v>7</v>
      </c>
      <c r="K20" s="36">
        <v>18</v>
      </c>
      <c r="L20" s="95">
        <v>-112.90000000000002</v>
      </c>
      <c r="N20" s="111" t="s">
        <v>178</v>
      </c>
      <c r="O20" s="121">
        <f t="shared" si="2"/>
        <v>8.1034482758620729</v>
      </c>
      <c r="P20" s="115">
        <v>29</v>
      </c>
      <c r="Q20" s="103">
        <v>235.00000000000011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84</v>
      </c>
      <c r="F21" s="56" t="s">
        <v>39</v>
      </c>
      <c r="G21" s="44">
        <v>1</v>
      </c>
      <c r="H21" s="129">
        <f>IF(B$17=0,0,G21/B$17)</f>
        <v>4.2194092827004216E-3</v>
      </c>
      <c r="I21" s="90">
        <v>2</v>
      </c>
      <c r="K21" s="36">
        <v>19</v>
      </c>
      <c r="L21" s="95">
        <v>-162.40000000000003</v>
      </c>
      <c r="N21" s="111" t="s">
        <v>166</v>
      </c>
      <c r="O21" s="121">
        <f t="shared" si="2"/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30</v>
      </c>
      <c r="C22" s="131">
        <v>3</v>
      </c>
      <c r="E22" s="59" t="s">
        <v>92</v>
      </c>
      <c r="F22" s="56" t="s">
        <v>47</v>
      </c>
      <c r="G22" s="44">
        <v>1</v>
      </c>
      <c r="H22" s="129">
        <f>IF(B$17=0,0,G22/B$17)</f>
        <v>4.2194092827004216E-3</v>
      </c>
      <c r="I22" s="90">
        <v>4</v>
      </c>
      <c r="K22" s="36">
        <v>20</v>
      </c>
      <c r="L22" s="95">
        <v>-96.000000000000028</v>
      </c>
      <c r="N22" s="111" t="s">
        <v>126</v>
      </c>
      <c r="O22" s="121">
        <f t="shared" si="2"/>
        <v>-8.8568965517241391</v>
      </c>
      <c r="P22" s="115">
        <v>58</v>
      </c>
      <c r="Q22" s="103">
        <v>-513.70000000000005</v>
      </c>
    </row>
    <row r="23" spans="1:17" x14ac:dyDescent="0.4">
      <c r="A23" s="51" t="s">
        <v>5</v>
      </c>
      <c r="B23" s="48">
        <f>IF(B$17=0,0,C23/B$17)</f>
        <v>8657.8059071729949</v>
      </c>
      <c r="C23" s="39">
        <v>2051900</v>
      </c>
      <c r="E23" s="59" t="s">
        <v>95</v>
      </c>
      <c r="F23" s="56" t="s">
        <v>50</v>
      </c>
      <c r="G23" s="44">
        <v>1</v>
      </c>
      <c r="H23" s="129">
        <f>IF(B$17=0,0,G23/B$17)</f>
        <v>4.2194092827004216E-3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9002.7027027027034</v>
      </c>
      <c r="C24" s="137">
        <v>1332400</v>
      </c>
      <c r="E24" s="59" t="s">
        <v>167</v>
      </c>
      <c r="F24" s="56" t="s">
        <v>168</v>
      </c>
      <c r="G24" s="44">
        <v>1</v>
      </c>
      <c r="H24" s="129">
        <f>IF(B$17=0,0,G24/B$17)</f>
        <v>4.2194092827004216E-3</v>
      </c>
      <c r="I24" s="90">
        <v>7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8084.2696629213488</v>
      </c>
      <c r="C25" s="137">
        <v>719500</v>
      </c>
      <c r="E25" s="59" t="s">
        <v>73</v>
      </c>
      <c r="F25" s="56" t="s">
        <v>28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-7837.7622377622374</v>
      </c>
      <c r="C26" s="137">
        <v>-1120800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3.9893617021276593E-3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</sheetData>
  <sortState xmlns:xlrd2="http://schemas.microsoft.com/office/spreadsheetml/2017/richdata2" ref="E2:I91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6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61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-358.33333333333331</v>
      </c>
      <c r="P2" s="114">
        <v>60</v>
      </c>
      <c r="Q2" s="98">
        <v>-21500</v>
      </c>
    </row>
    <row r="3" spans="1:17" x14ac:dyDescent="0.4">
      <c r="A3" s="51" t="s">
        <v>8</v>
      </c>
      <c r="B3" s="150">
        <v>516</v>
      </c>
      <c r="C3" s="151"/>
      <c r="E3" s="59" t="s">
        <v>64</v>
      </c>
      <c r="F3" s="56" t="s">
        <v>20</v>
      </c>
      <c r="G3" s="44">
        <v>85</v>
      </c>
      <c r="H3" s="129">
        <f>IF(B$17=0,0,G3/B$17)</f>
        <v>0.59027777777777779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-550</v>
      </c>
      <c r="P3" s="115">
        <v>60</v>
      </c>
      <c r="Q3" s="99">
        <v>-33000</v>
      </c>
    </row>
    <row r="4" spans="1:17" x14ac:dyDescent="0.4">
      <c r="A4" s="51" t="s">
        <v>6</v>
      </c>
      <c r="B4" s="152">
        <v>-453.59999999999997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0.51388888888888884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735.08771929824559</v>
      </c>
      <c r="P4" s="115">
        <v>57</v>
      </c>
      <c r="Q4" s="99">
        <v>41900</v>
      </c>
    </row>
    <row r="5" spans="1:17" x14ac:dyDescent="0.4">
      <c r="A5" s="51" t="s">
        <v>7</v>
      </c>
      <c r="B5" s="154">
        <f>IF(B$2=0,0,B$4/B$2)</f>
        <v>-7.4360655737704908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0.39583333333333331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-1635.7142857142858</v>
      </c>
      <c r="P5" s="115">
        <v>56</v>
      </c>
      <c r="Q5" s="99">
        <v>-91600</v>
      </c>
    </row>
    <row r="6" spans="1:17" x14ac:dyDescent="0.4">
      <c r="A6" s="51" t="s">
        <v>1</v>
      </c>
      <c r="B6" s="144">
        <f>IF(B$2=0,0,(B$7*1+B$8*2+B$9*3)/B$2)</f>
        <v>2.1967213114754101</v>
      </c>
      <c r="C6" s="145"/>
      <c r="E6" s="59" t="s">
        <v>68</v>
      </c>
      <c r="F6" s="56" t="s">
        <v>12</v>
      </c>
      <c r="G6" s="44">
        <v>50</v>
      </c>
      <c r="H6" s="129">
        <f>IF(B$17=0,0,G6/B$17)</f>
        <v>0.34722222222222221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-3603.7735849056603</v>
      </c>
      <c r="P6" s="115">
        <v>53</v>
      </c>
      <c r="Q6" s="99">
        <v>-191000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0.19672131147540983</v>
      </c>
      <c r="E7" s="59" t="s">
        <v>67</v>
      </c>
      <c r="F7" s="56" t="s">
        <v>23</v>
      </c>
      <c r="G7" s="44">
        <v>45</v>
      </c>
      <c r="H7" s="129">
        <f>IF(B$17=0,0,G7/B$17)</f>
        <v>0.3125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-1310.6382978723404</v>
      </c>
      <c r="P7" s="116">
        <v>47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0.4098360655737705</v>
      </c>
      <c r="E8" s="59" t="s">
        <v>70</v>
      </c>
      <c r="F8" s="56" t="s">
        <v>25</v>
      </c>
      <c r="G8" s="44">
        <v>22</v>
      </c>
      <c r="H8" s="129">
        <f>IF(B$17=0,0,G8/B$17)</f>
        <v>0.15277777777777779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0.39344262295081966</v>
      </c>
      <c r="E9" s="59" t="s">
        <v>69</v>
      </c>
      <c r="F9" s="56" t="s">
        <v>24</v>
      </c>
      <c r="G9" s="44">
        <v>21</v>
      </c>
      <c r="H9" s="129">
        <f>IF(B$17=0,0,G9/B$17)</f>
        <v>0.14583333333333334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8.1967213114754092E-2</v>
      </c>
      <c r="E10" s="59" t="s">
        <v>65</v>
      </c>
      <c r="F10" s="56" t="s">
        <v>21</v>
      </c>
      <c r="G10" s="44">
        <v>16</v>
      </c>
      <c r="H10" s="129">
        <f>IF(B$17=0,0,G10/B$17)</f>
        <v>0.1111111111111111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3.2786885245901641E-2</v>
      </c>
      <c r="E11" s="59" t="s">
        <v>89</v>
      </c>
      <c r="F11" s="56" t="s">
        <v>44</v>
      </c>
      <c r="G11" s="44">
        <v>14</v>
      </c>
      <c r="H11" s="129">
        <f>IF(B$17=0,0,G11/B$17)</f>
        <v>9.7222222222222224E-2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8.1967213114754092E-2</v>
      </c>
      <c r="E12" s="59" t="s">
        <v>83</v>
      </c>
      <c r="F12" s="56" t="s">
        <v>38</v>
      </c>
      <c r="G12" s="44">
        <v>9</v>
      </c>
      <c r="H12" s="129">
        <f>IF(B$17=0,0,G12/B$17)</f>
        <v>6.25E-2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-14.158823529411764</v>
      </c>
      <c r="P12" s="116">
        <v>17</v>
      </c>
      <c r="Q12" s="104">
        <v>-240.7</v>
      </c>
    </row>
    <row r="13" spans="1:17" x14ac:dyDescent="0.4">
      <c r="A13" s="54" t="s">
        <v>121</v>
      </c>
      <c r="B13" s="47">
        <v>147</v>
      </c>
      <c r="C13" s="42">
        <f>IF(B$3=0,0,B13/B$3)</f>
        <v>0.28488372093023256</v>
      </c>
      <c r="E13" s="59" t="s">
        <v>71</v>
      </c>
      <c r="F13" s="56" t="s">
        <v>26</v>
      </c>
      <c r="G13" s="44">
        <v>7</v>
      </c>
      <c r="H13" s="129">
        <f>IF(B$17=0,0,G13/B$17)</f>
        <v>4.8611111111111112E-2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98</v>
      </c>
      <c r="C14" s="37">
        <f>IF(B$3=0,0,B14/B$3)</f>
        <v>0.18992248062015504</v>
      </c>
      <c r="E14" s="59" t="s">
        <v>78</v>
      </c>
      <c r="F14" s="56" t="s">
        <v>33</v>
      </c>
      <c r="G14" s="44">
        <v>6</v>
      </c>
      <c r="H14" s="129">
        <f>IF(B$17=0,0,G14/B$17)</f>
        <v>4.1666666666666664E-2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0.59183673469387754</v>
      </c>
      <c r="E15" s="59" t="s">
        <v>86</v>
      </c>
      <c r="F15" s="56" t="s">
        <v>41</v>
      </c>
      <c r="G15" s="44">
        <v>4</v>
      </c>
      <c r="H15" s="129">
        <f>IF(B$17=0,0,G15/B$17)</f>
        <v>2.7777777777777776E-2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0.38775510204081631</v>
      </c>
      <c r="E16" s="59" t="s">
        <v>81</v>
      </c>
      <c r="F16" s="56" t="s">
        <v>36</v>
      </c>
      <c r="G16" s="44">
        <v>3</v>
      </c>
      <c r="H16" s="129">
        <f>IF(B$17=0,0,G16/B$17)</f>
        <v>2.0833333333333332E-2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144</v>
      </c>
      <c r="C17" s="35">
        <f>IF(B$3=0,0,B17/B$3)</f>
        <v>0.27906976744186046</v>
      </c>
      <c r="E17" s="59" t="s">
        <v>167</v>
      </c>
      <c r="F17" s="56" t="s">
        <v>168</v>
      </c>
      <c r="G17" s="44">
        <v>3</v>
      </c>
      <c r="H17" s="129">
        <f>IF(B$17=0,0,G17/B$17)</f>
        <v>2.0833333333333332E-2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65</v>
      </c>
      <c r="C18" s="37">
        <f>IF(B$17=0,0,B18/B$17)</f>
        <v>0.4513888888888889</v>
      </c>
      <c r="E18" s="59" t="s">
        <v>75</v>
      </c>
      <c r="F18" s="56" t="s">
        <v>30</v>
      </c>
      <c r="G18" s="44">
        <v>2</v>
      </c>
      <c r="H18" s="129">
        <f>IF(B$17=0,0,G18/B$17)</f>
        <v>1.3888888888888888E-2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79</v>
      </c>
      <c r="C19" s="37">
        <f>IF(B$17=0,0,B19/B$17)</f>
        <v>0.54861111111111116</v>
      </c>
      <c r="E19" s="59" t="s">
        <v>79</v>
      </c>
      <c r="F19" s="56" t="s">
        <v>34</v>
      </c>
      <c r="G19" s="44">
        <v>2</v>
      </c>
      <c r="H19" s="129">
        <f>IF(B$17=0,0,G19/B$17)</f>
        <v>1.3888888888888888E-2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109</v>
      </c>
      <c r="C20" s="37">
        <f>IF(B$3=0,0,B20/B$3)</f>
        <v>0.21124031007751937</v>
      </c>
      <c r="E20" s="59" t="s">
        <v>91</v>
      </c>
      <c r="F20" s="56" t="s">
        <v>46</v>
      </c>
      <c r="G20" s="44">
        <v>1</v>
      </c>
      <c r="H20" s="129">
        <f>IF(B$17=0,0,G20/B$17)</f>
        <v>6.9444444444444441E-3</v>
      </c>
      <c r="I20" s="90">
        <v>6</v>
      </c>
      <c r="K20" s="36">
        <v>18</v>
      </c>
      <c r="L20" s="95">
        <v>-240</v>
      </c>
      <c r="N20" s="111" t="s">
        <v>127</v>
      </c>
      <c r="O20" s="121">
        <f t="shared" si="2"/>
        <v>-13.265517241379307</v>
      </c>
      <c r="P20" s="115">
        <v>29</v>
      </c>
      <c r="Q20" s="103">
        <v>-384.69999999999987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 t="shared" si="2"/>
        <v>-16.702439024390248</v>
      </c>
      <c r="P21" s="115">
        <v>41</v>
      </c>
      <c r="Q21" s="103">
        <v>-684.80000000000018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8055.5555555555557</v>
      </c>
      <c r="C23" s="39">
        <v>1160000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8575.4716981132078</v>
      </c>
      <c r="C24" s="137">
        <v>909000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-7655.0458715596333</v>
      </c>
      <c r="C26" s="137">
        <v>-834400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3.875968992248062E-3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</sheetData>
  <sortState xmlns:xlrd2="http://schemas.microsoft.com/office/spreadsheetml/2017/richdata2" ref="E2:I6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56</v>
      </c>
      <c r="C2" s="149"/>
      <c r="E2" s="58" t="s">
        <v>66</v>
      </c>
      <c r="F2" s="55" t="s">
        <v>22</v>
      </c>
      <c r="G2" s="43">
        <v>110</v>
      </c>
      <c r="H2" s="128">
        <f>IF(B$17=0,0,G2/B$17)</f>
        <v>0.83969465648854957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2221.4285714285716</v>
      </c>
      <c r="P2" s="114">
        <v>56</v>
      </c>
      <c r="Q2" s="98">
        <v>124400</v>
      </c>
    </row>
    <row r="3" spans="1:17" x14ac:dyDescent="0.4">
      <c r="A3" s="51" t="s">
        <v>8</v>
      </c>
      <c r="B3" s="150">
        <v>450</v>
      </c>
      <c r="C3" s="151"/>
      <c r="E3" s="59" t="s">
        <v>72</v>
      </c>
      <c r="F3" s="56" t="s">
        <v>27</v>
      </c>
      <c r="G3" s="44">
        <v>75</v>
      </c>
      <c r="H3" s="129">
        <f>IF(B$17=0,0,G3/B$17)</f>
        <v>0.5725190839694656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-2033.3333333333333</v>
      </c>
      <c r="P3" s="115">
        <v>54</v>
      </c>
      <c r="Q3" s="99">
        <v>-109800</v>
      </c>
    </row>
    <row r="4" spans="1:17" x14ac:dyDescent="0.4">
      <c r="A4" s="51" t="s">
        <v>6</v>
      </c>
      <c r="B4" s="152">
        <v>246.70000000000007</v>
      </c>
      <c r="C4" s="153"/>
      <c r="E4" s="59" t="s">
        <v>64</v>
      </c>
      <c r="F4" s="56" t="s">
        <v>20</v>
      </c>
      <c r="G4" s="44">
        <v>68</v>
      </c>
      <c r="H4" s="129">
        <f>IF(B$17=0,0,G4/B$17)</f>
        <v>0.51908396946564883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2124</v>
      </c>
      <c r="P4" s="115">
        <v>50</v>
      </c>
      <c r="Q4" s="99">
        <v>106200</v>
      </c>
    </row>
    <row r="5" spans="1:17" x14ac:dyDescent="0.4">
      <c r="A5" s="51" t="s">
        <v>7</v>
      </c>
      <c r="B5" s="154">
        <f>IF(B$2=0,0,B$4/B$2)</f>
        <v>4.4053571428571443</v>
      </c>
      <c r="C5" s="155"/>
      <c r="E5" s="59" t="s">
        <v>67</v>
      </c>
      <c r="F5" s="56" t="s">
        <v>23</v>
      </c>
      <c r="G5" s="44">
        <v>55</v>
      </c>
      <c r="H5" s="129">
        <f>IF(B$17=0,0,G5/B$17)</f>
        <v>0.41984732824427479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2346.8085106382978</v>
      </c>
      <c r="P5" s="115">
        <v>47</v>
      </c>
      <c r="Q5" s="99">
        <v>110300</v>
      </c>
    </row>
    <row r="6" spans="1:17" x14ac:dyDescent="0.4">
      <c r="A6" s="51" t="s">
        <v>1</v>
      </c>
      <c r="B6" s="144">
        <f>IF(B$2=0,0,(B$7*1+B$8*2+B$9*3)/B$2)</f>
        <v>1.9107142857142858</v>
      </c>
      <c r="C6" s="145"/>
      <c r="E6" s="59" t="s">
        <v>68</v>
      </c>
      <c r="F6" s="56" t="s">
        <v>12</v>
      </c>
      <c r="G6" s="44">
        <v>51</v>
      </c>
      <c r="H6" s="129">
        <f>IF(B$17=0,0,G6/B$17)</f>
        <v>0.38931297709923662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-1022.7272727272727</v>
      </c>
      <c r="P6" s="115">
        <v>44</v>
      </c>
      <c r="Q6" s="99">
        <v>-45000</v>
      </c>
    </row>
    <row r="7" spans="1:17" x14ac:dyDescent="0.4">
      <c r="A7" s="51" t="s">
        <v>2</v>
      </c>
      <c r="B7" s="44">
        <v>23</v>
      </c>
      <c r="C7" s="37">
        <f t="shared" ref="C7:C12" si="1">IF(B$2=0,0,B7/B$2)</f>
        <v>0.4107142857142857</v>
      </c>
      <c r="E7" s="59" t="s">
        <v>171</v>
      </c>
      <c r="F7" s="56" t="s">
        <v>172</v>
      </c>
      <c r="G7" s="44">
        <v>51</v>
      </c>
      <c r="H7" s="129">
        <f>IF(B$17=0,0,G7/B$17)</f>
        <v>0.38931297709923662</v>
      </c>
      <c r="I7" s="90">
        <v>5</v>
      </c>
      <c r="K7" s="36">
        <v>5</v>
      </c>
      <c r="L7" s="95">
        <v>-118.3</v>
      </c>
      <c r="N7" s="112" t="s">
        <v>135</v>
      </c>
      <c r="O7" s="119">
        <f t="shared" si="0"/>
        <v>-388.88888888888891</v>
      </c>
      <c r="P7" s="116">
        <v>36</v>
      </c>
      <c r="Q7" s="100">
        <v>-14000</v>
      </c>
    </row>
    <row r="8" spans="1:17" x14ac:dyDescent="0.4">
      <c r="A8" s="51" t="s">
        <v>3</v>
      </c>
      <c r="B8" s="44">
        <v>15</v>
      </c>
      <c r="C8" s="37">
        <f t="shared" si="1"/>
        <v>0.26785714285714285</v>
      </c>
      <c r="E8" s="59" t="s">
        <v>89</v>
      </c>
      <c r="F8" s="56" t="s">
        <v>44</v>
      </c>
      <c r="G8" s="44">
        <v>30</v>
      </c>
      <c r="H8" s="129">
        <f>IF(B$17=0,0,G8/B$17)</f>
        <v>0.22900763358778625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0.32142857142857145</v>
      </c>
      <c r="E9" s="59" t="s">
        <v>69</v>
      </c>
      <c r="F9" s="56" t="s">
        <v>24</v>
      </c>
      <c r="G9" s="44">
        <v>28</v>
      </c>
      <c r="H9" s="129">
        <f>IF(B$17=0,0,G9/B$17)</f>
        <v>0.21374045801526717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8.9285714285714288E-2</v>
      </c>
      <c r="E10" s="59" t="s">
        <v>65</v>
      </c>
      <c r="F10" s="56" t="s">
        <v>21</v>
      </c>
      <c r="G10" s="44">
        <v>15</v>
      </c>
      <c r="H10" s="129">
        <f>IF(B$17=0,0,G10/B$17)</f>
        <v>0.11450381679389313</v>
      </c>
      <c r="I10" s="90">
        <v>4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0.19642857142857142</v>
      </c>
      <c r="E11" s="59" t="s">
        <v>70</v>
      </c>
      <c r="F11" s="56" t="s">
        <v>25</v>
      </c>
      <c r="G11" s="44">
        <v>15</v>
      </c>
      <c r="H11" s="129">
        <f>IF(B$17=0,0,G11/B$17)</f>
        <v>0.11450381679389313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5</v>
      </c>
      <c r="C12" s="40">
        <f t="shared" si="1"/>
        <v>8.9285714285714288E-2</v>
      </c>
      <c r="E12" s="59" t="s">
        <v>167</v>
      </c>
      <c r="F12" s="56" t="s">
        <v>168</v>
      </c>
      <c r="G12" s="44">
        <v>8</v>
      </c>
      <c r="H12" s="129">
        <f>IF(B$17=0,0,G12/B$17)</f>
        <v>6.1068702290076333E-2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-6.2923076923076922</v>
      </c>
      <c r="P12" s="116">
        <v>13</v>
      </c>
      <c r="Q12" s="104">
        <v>-81.8</v>
      </c>
    </row>
    <row r="13" spans="1:17" x14ac:dyDescent="0.4">
      <c r="A13" s="54" t="s">
        <v>121</v>
      </c>
      <c r="B13" s="47">
        <v>144</v>
      </c>
      <c r="C13" s="42">
        <f>IF(B$3=0,0,B13/B$3)</f>
        <v>0.32</v>
      </c>
      <c r="E13" s="59" t="s">
        <v>71</v>
      </c>
      <c r="F13" s="56" t="s">
        <v>26</v>
      </c>
      <c r="G13" s="44">
        <v>7</v>
      </c>
      <c r="H13" s="129">
        <f>IF(B$17=0,0,G13/B$17)</f>
        <v>5.3435114503816793E-2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0.18222222222222223</v>
      </c>
      <c r="E14" s="59" t="s">
        <v>83</v>
      </c>
      <c r="F14" s="56" t="s">
        <v>38</v>
      </c>
      <c r="G14" s="44">
        <v>6</v>
      </c>
      <c r="H14" s="129">
        <f>IF(B$17=0,0,G14/B$17)</f>
        <v>4.5801526717557252E-2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77</v>
      </c>
      <c r="C15" s="35">
        <f>IF(B$13=0,0,B15/B$13)</f>
        <v>0.53472222222222221</v>
      </c>
      <c r="E15" s="59" t="s">
        <v>81</v>
      </c>
      <c r="F15" s="56" t="s">
        <v>36</v>
      </c>
      <c r="G15" s="44">
        <v>3</v>
      </c>
      <c r="H15" s="129">
        <f>IF(B$17=0,0,G15/B$17)</f>
        <v>2.2900763358778626E-2</v>
      </c>
      <c r="I15" s="90">
        <v>4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86</v>
      </c>
      <c r="F16" s="56" t="s">
        <v>41</v>
      </c>
      <c r="G16" s="44">
        <v>3</v>
      </c>
      <c r="H16" s="129">
        <f>IF(B$17=0,0,G16/B$17)</f>
        <v>2.2900763358778626E-2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>IF(P16=0,0,Q16/P16)</f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131</v>
      </c>
      <c r="C17" s="35">
        <f>IF(B$3=0,0,B17/B$3)</f>
        <v>0.2911111111111111</v>
      </c>
      <c r="E17" s="59" t="s">
        <v>92</v>
      </c>
      <c r="F17" s="56" t="s">
        <v>47</v>
      </c>
      <c r="G17" s="44">
        <v>3</v>
      </c>
      <c r="H17" s="129">
        <f>IF(B$17=0,0,G17/B$17)</f>
        <v>2.2900763358778626E-2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65</v>
      </c>
      <c r="C18" s="37">
        <f>IF(B$17=0,0,B18/B$17)</f>
        <v>0.49618320610687022</v>
      </c>
      <c r="E18" s="59" t="s">
        <v>91</v>
      </c>
      <c r="F18" s="56" t="s">
        <v>46</v>
      </c>
      <c r="G18" s="44">
        <v>2</v>
      </c>
      <c r="H18" s="129">
        <f>IF(B$17=0,0,G18/B$17)</f>
        <v>1.5267175572519083E-2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16.436666666666667</v>
      </c>
      <c r="P18" s="115">
        <v>30</v>
      </c>
      <c r="Q18" s="103">
        <v>493.1</v>
      </c>
    </row>
    <row r="19" spans="1:17" x14ac:dyDescent="0.4">
      <c r="A19" s="51" t="s">
        <v>11</v>
      </c>
      <c r="B19" s="44">
        <v>66</v>
      </c>
      <c r="C19" s="37">
        <f>IF(B$17=0,0,B19/B$17)</f>
        <v>0.50381679389312972</v>
      </c>
      <c r="E19" s="59" t="s">
        <v>73</v>
      </c>
      <c r="F19" s="56" t="s">
        <v>28</v>
      </c>
      <c r="G19" s="44">
        <v>1</v>
      </c>
      <c r="H19" s="129">
        <f>IF(B$17=0,0,G19/B$17)</f>
        <v>7.6335877862595417E-3</v>
      </c>
      <c r="I19" s="90">
        <v>2</v>
      </c>
      <c r="K19" s="36">
        <v>17</v>
      </c>
      <c r="L19" s="95">
        <v>-55.799999999999969</v>
      </c>
      <c r="N19" s="111" t="s">
        <v>179</v>
      </c>
      <c r="O19" s="121">
        <f>IF(P19=0,0,Q19/P19)</f>
        <v>6.6222222222222209</v>
      </c>
      <c r="P19" s="115">
        <v>9</v>
      </c>
      <c r="Q19" s="103">
        <v>59.599999999999987</v>
      </c>
    </row>
    <row r="20" spans="1:17" x14ac:dyDescent="0.4">
      <c r="A20" s="51" t="s">
        <v>13</v>
      </c>
      <c r="B20" s="44">
        <v>73</v>
      </c>
      <c r="C20" s="37">
        <f>IF(B$3=0,0,B20/B$3)</f>
        <v>0.16222222222222221</v>
      </c>
      <c r="E20" s="59" t="s">
        <v>75</v>
      </c>
      <c r="F20" s="56" t="s">
        <v>30</v>
      </c>
      <c r="G20" s="44">
        <v>1</v>
      </c>
      <c r="H20" s="129">
        <f>IF(B$17=0,0,G20/B$17)</f>
        <v>7.6335877862595417E-3</v>
      </c>
      <c r="I20" s="90">
        <v>4</v>
      </c>
      <c r="K20" s="36">
        <v>18</v>
      </c>
      <c r="L20" s="95">
        <v>-24.999999999999968</v>
      </c>
      <c r="N20" s="111" t="s">
        <v>126</v>
      </c>
      <c r="O20" s="121">
        <f>IF(P20=0,0,Q20/P20)</f>
        <v>5.7045454545454533</v>
      </c>
      <c r="P20" s="115">
        <v>22</v>
      </c>
      <c r="Q20" s="103">
        <v>125.49999999999997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7.6335877862595417E-3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6</v>
      </c>
      <c r="E22" s="59" t="s">
        <v>85</v>
      </c>
      <c r="F22" s="56" t="s">
        <v>40</v>
      </c>
      <c r="G22" s="44">
        <v>1</v>
      </c>
      <c r="H22" s="129">
        <f>IF(B$17=0,0,G22/B$17)</f>
        <v>7.6335877862595417E-3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10390.839694656488</v>
      </c>
      <c r="C23" s="39">
        <v>1361200</v>
      </c>
      <c r="E23" s="59" t="s">
        <v>90</v>
      </c>
      <c r="F23" s="56" t="s">
        <v>45</v>
      </c>
      <c r="G23" s="44">
        <v>1</v>
      </c>
      <c r="H23" s="129">
        <f>IF(B$17=0,0,G23/B$17)</f>
        <v>7.6335877862595417E-3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11341.489361702128</v>
      </c>
      <c r="C24" s="137">
        <v>1066100</v>
      </c>
      <c r="E24" s="59" t="s">
        <v>93</v>
      </c>
      <c r="F24" s="56" t="s">
        <v>48</v>
      </c>
      <c r="G24" s="44">
        <v>1</v>
      </c>
      <c r="H24" s="129">
        <f>IF(B$17=0,0,G24/B$17)</f>
        <v>7.6335877862595417E-3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-8239.7260273972606</v>
      </c>
      <c r="C26" s="137">
        <v>-601500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8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78</v>
      </c>
      <c r="C2" s="149"/>
      <c r="E2" s="58" t="s">
        <v>66</v>
      </c>
      <c r="F2" s="55" t="s">
        <v>22</v>
      </c>
      <c r="G2" s="43">
        <v>137</v>
      </c>
      <c r="H2" s="128">
        <f>IF(B$17=0,0,G2/B$17)</f>
        <v>0.77840909090909094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998.71794871794873</v>
      </c>
      <c r="P2" s="114">
        <v>78</v>
      </c>
      <c r="Q2" s="98">
        <v>77900</v>
      </c>
    </row>
    <row r="3" spans="1:17" x14ac:dyDescent="0.4">
      <c r="A3" s="51" t="s">
        <v>8</v>
      </c>
      <c r="B3" s="150">
        <v>628</v>
      </c>
      <c r="C3" s="151"/>
      <c r="E3" s="59" t="s">
        <v>72</v>
      </c>
      <c r="F3" s="56" t="s">
        <v>27</v>
      </c>
      <c r="G3" s="44">
        <v>112</v>
      </c>
      <c r="H3" s="129">
        <f>IF(B$17=0,0,G3/B$17)</f>
        <v>0.63636363636363635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766.66666666666663</v>
      </c>
      <c r="P3" s="115">
        <v>75</v>
      </c>
      <c r="Q3" s="99">
        <v>57500</v>
      </c>
    </row>
    <row r="4" spans="1:17" x14ac:dyDescent="0.4">
      <c r="A4" s="51" t="s">
        <v>6</v>
      </c>
      <c r="B4" s="152">
        <v>-123.89999999999998</v>
      </c>
      <c r="C4" s="153"/>
      <c r="E4" s="59" t="s">
        <v>64</v>
      </c>
      <c r="F4" s="56" t="s">
        <v>20</v>
      </c>
      <c r="G4" s="44">
        <v>85</v>
      </c>
      <c r="H4" s="129">
        <f>IF(B$17=0,0,G4/B$17)</f>
        <v>0.48295454545454547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-1078.5714285714287</v>
      </c>
      <c r="P4" s="115">
        <v>70</v>
      </c>
      <c r="Q4" s="99">
        <v>-75500</v>
      </c>
    </row>
    <row r="5" spans="1:17" x14ac:dyDescent="0.4">
      <c r="A5" s="51" t="s">
        <v>7</v>
      </c>
      <c r="B5" s="154">
        <f>IF(B$2=0,0,B$4/B$2)</f>
        <v>-1.5884615384615381</v>
      </c>
      <c r="C5" s="155"/>
      <c r="E5" s="59" t="s">
        <v>171</v>
      </c>
      <c r="F5" s="56" t="s">
        <v>172</v>
      </c>
      <c r="G5" s="44">
        <v>82</v>
      </c>
      <c r="H5" s="129">
        <f>IF(B$17=0,0,G5/B$17)</f>
        <v>0.46590909090909088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162.5</v>
      </c>
      <c r="P5" s="115">
        <v>64</v>
      </c>
      <c r="Q5" s="99">
        <v>10400</v>
      </c>
    </row>
    <row r="6" spans="1:17" x14ac:dyDescent="0.4">
      <c r="A6" s="51" t="s">
        <v>1</v>
      </c>
      <c r="B6" s="144">
        <f>IF(B$2=0,0,(B$7*1+B$8*2+B$9*3)/B$2)</f>
        <v>2.0897435897435899</v>
      </c>
      <c r="C6" s="145"/>
      <c r="E6" s="59" t="s">
        <v>67</v>
      </c>
      <c r="F6" s="56" t="s">
        <v>23</v>
      </c>
      <c r="G6" s="44">
        <v>70</v>
      </c>
      <c r="H6" s="129">
        <f>IF(B$17=0,0,G6/B$17)</f>
        <v>0.39772727272727271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-581.0344827586207</v>
      </c>
      <c r="P6" s="115">
        <v>58</v>
      </c>
      <c r="Q6" s="99">
        <v>-33700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0.20512820512820512</v>
      </c>
      <c r="E7" s="59" t="s">
        <v>68</v>
      </c>
      <c r="F7" s="56" t="s">
        <v>12</v>
      </c>
      <c r="G7" s="44">
        <v>58</v>
      </c>
      <c r="H7" s="129">
        <f>IF(B$17=0,0,G7/B$17)</f>
        <v>0.32954545454545453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-1202</v>
      </c>
      <c r="P7" s="116">
        <v>50</v>
      </c>
      <c r="Q7" s="100">
        <v>-60100</v>
      </c>
    </row>
    <row r="8" spans="1:17" x14ac:dyDescent="0.4">
      <c r="A8" s="51" t="s">
        <v>3</v>
      </c>
      <c r="B8" s="44">
        <v>39</v>
      </c>
      <c r="C8" s="37">
        <f t="shared" si="1"/>
        <v>0.5</v>
      </c>
      <c r="E8" s="59" t="s">
        <v>69</v>
      </c>
      <c r="F8" s="56" t="s">
        <v>24</v>
      </c>
      <c r="G8" s="44">
        <v>23</v>
      </c>
      <c r="H8" s="129">
        <f>IF(B$17=0,0,G8/B$17)</f>
        <v>0.13068181818181818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0.29487179487179488</v>
      </c>
      <c r="E9" s="59" t="s">
        <v>89</v>
      </c>
      <c r="F9" s="56" t="s">
        <v>44</v>
      </c>
      <c r="G9" s="44">
        <v>17</v>
      </c>
      <c r="H9" s="129">
        <f>IF(B$17=0,0,G9/B$17)</f>
        <v>9.6590909090909088E-2</v>
      </c>
      <c r="I9" s="90">
        <v>9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7.6923076923076927E-2</v>
      </c>
      <c r="E10" s="59" t="s">
        <v>71</v>
      </c>
      <c r="F10" s="56" t="s">
        <v>26</v>
      </c>
      <c r="G10" s="44">
        <v>15</v>
      </c>
      <c r="H10" s="129">
        <f>IF(B$17=0,0,G10/B$17)</f>
        <v>8.5227272727272721E-2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-2.1454545454545459</v>
      </c>
      <c r="P10" s="114">
        <v>33</v>
      </c>
      <c r="Q10" s="102">
        <v>-70.800000000000011</v>
      </c>
    </row>
    <row r="11" spans="1:17" x14ac:dyDescent="0.4">
      <c r="A11" s="52" t="s">
        <v>138</v>
      </c>
      <c r="B11" s="45">
        <v>6</v>
      </c>
      <c r="C11" s="38">
        <f t="shared" si="1"/>
        <v>7.6923076923076927E-2</v>
      </c>
      <c r="E11" s="59" t="s">
        <v>70</v>
      </c>
      <c r="F11" s="56" t="s">
        <v>25</v>
      </c>
      <c r="G11" s="44">
        <v>13</v>
      </c>
      <c r="H11" s="129">
        <f>IF(B$17=0,0,G11/B$17)</f>
        <v>7.3863636363636367E-2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3.9045454545454543</v>
      </c>
      <c r="P11" s="115">
        <v>22</v>
      </c>
      <c r="Q11" s="103">
        <v>85.899999999999991</v>
      </c>
    </row>
    <row r="12" spans="1:17" x14ac:dyDescent="0.4">
      <c r="A12" s="53" t="s">
        <v>158</v>
      </c>
      <c r="B12" s="46">
        <v>3</v>
      </c>
      <c r="C12" s="40">
        <f t="shared" si="1"/>
        <v>3.8461538461538464E-2</v>
      </c>
      <c r="E12" s="59" t="s">
        <v>65</v>
      </c>
      <c r="F12" s="56" t="s">
        <v>21</v>
      </c>
      <c r="G12" s="44">
        <v>12</v>
      </c>
      <c r="H12" s="129">
        <f>IF(B$17=0,0,G12/B$17)</f>
        <v>6.8181818181818177E-2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-6.0434782608695654</v>
      </c>
      <c r="P12" s="116">
        <v>23</v>
      </c>
      <c r="Q12" s="104">
        <v>-139</v>
      </c>
    </row>
    <row r="13" spans="1:17" x14ac:dyDescent="0.4">
      <c r="A13" s="54" t="s">
        <v>121</v>
      </c>
      <c r="B13" s="47">
        <v>159</v>
      </c>
      <c r="C13" s="42">
        <f>IF(B$3=0,0,B13/B$3)</f>
        <v>0.25318471337579618</v>
      </c>
      <c r="E13" s="59" t="s">
        <v>86</v>
      </c>
      <c r="F13" s="56" t="s">
        <v>41</v>
      </c>
      <c r="G13" s="44">
        <v>9</v>
      </c>
      <c r="H13" s="129">
        <f>IF(B$17=0,0,G13/B$17)</f>
        <v>5.113636363636364E-2</v>
      </c>
      <c r="I13" s="90">
        <v>4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149</v>
      </c>
      <c r="C14" s="37">
        <f>IF(B$3=0,0,B14/B$3)</f>
        <v>0.23726114649681529</v>
      </c>
      <c r="E14" s="59" t="s">
        <v>79</v>
      </c>
      <c r="F14" s="56" t="s">
        <v>34</v>
      </c>
      <c r="G14" s="44">
        <v>6</v>
      </c>
      <c r="H14" s="129">
        <f>IF(B$17=0,0,G14/B$17)</f>
        <v>3.4090909090909088E-2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89</v>
      </c>
      <c r="C15" s="35">
        <f>IF(B$13=0,0,B15/B$13)</f>
        <v>0.55974842767295596</v>
      </c>
      <c r="E15" s="59" t="s">
        <v>83</v>
      </c>
      <c r="F15" s="56" t="s">
        <v>38</v>
      </c>
      <c r="G15" s="44">
        <v>6</v>
      </c>
      <c r="H15" s="129">
        <f>IF(B$17=0,0,G15/B$17)</f>
        <v>3.4090909090909088E-2</v>
      </c>
      <c r="I15" s="90">
        <v>11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60</v>
      </c>
      <c r="C16" s="35">
        <f>IF(B$14=0,0,B16/B$14)</f>
        <v>0.40268456375838924</v>
      </c>
      <c r="E16" s="59" t="s">
        <v>167</v>
      </c>
      <c r="F16" s="56" t="s">
        <v>168</v>
      </c>
      <c r="G16" s="44">
        <v>4</v>
      </c>
      <c r="H16" s="129">
        <f>IF(B$17=0,0,G16/B$17)</f>
        <v>2.2727272727272728E-2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176</v>
      </c>
      <c r="C17" s="35">
        <f>IF(B$3=0,0,B17/B$3)</f>
        <v>0.28025477707006369</v>
      </c>
      <c r="E17" s="59" t="s">
        <v>73</v>
      </c>
      <c r="F17" s="56" t="s">
        <v>28</v>
      </c>
      <c r="G17" s="44">
        <v>3</v>
      </c>
      <c r="H17" s="129">
        <f>IF(B$17=0,0,G17/B$17)</f>
        <v>1.7045454545454544E-2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79</v>
      </c>
      <c r="C18" s="37">
        <f>IF(B$17=0,0,B18/B$17)</f>
        <v>0.44886363636363635</v>
      </c>
      <c r="E18" s="59" t="s">
        <v>78</v>
      </c>
      <c r="F18" s="56" t="s">
        <v>33</v>
      </c>
      <c r="G18" s="44">
        <v>3</v>
      </c>
      <c r="H18" s="129">
        <f>IF(B$17=0,0,G18/B$17)</f>
        <v>1.7045454545454544E-2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97</v>
      </c>
      <c r="C19" s="37">
        <f>IF(B$17=0,0,B19/B$17)</f>
        <v>0.55113636363636365</v>
      </c>
      <c r="E19" s="59" t="s">
        <v>81</v>
      </c>
      <c r="F19" s="56" t="s">
        <v>36</v>
      </c>
      <c r="G19" s="44">
        <v>2</v>
      </c>
      <c r="H19" s="129">
        <f>IF(B$17=0,0,G19/B$17)</f>
        <v>1.1363636363636364E-2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86</v>
      </c>
      <c r="C20" s="37">
        <f>IF(B$3=0,0,B20/B$3)</f>
        <v>0.13694267515923567</v>
      </c>
      <c r="E20" s="59" t="s">
        <v>74</v>
      </c>
      <c r="F20" s="56" t="s">
        <v>29</v>
      </c>
      <c r="G20" s="44">
        <v>1</v>
      </c>
      <c r="H20" s="129">
        <f>IF(B$17=0,0,G20/B$17)</f>
        <v>5.681818181818182E-3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-0.50000000000000044</v>
      </c>
      <c r="P20" s="115">
        <v>15</v>
      </c>
      <c r="Q20" s="103">
        <v>-7.5000000000000071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5.681818181818182E-3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-8.1034482758620694</v>
      </c>
      <c r="P21" s="115">
        <v>29</v>
      </c>
      <c r="Q21" s="103">
        <v>-235</v>
      </c>
    </row>
    <row r="22" spans="1:17" x14ac:dyDescent="0.4">
      <c r="A22" s="51" t="s">
        <v>170</v>
      </c>
      <c r="B22" s="44">
        <v>44</v>
      </c>
      <c r="C22" s="131">
        <v>0</v>
      </c>
      <c r="E22" s="59" t="s">
        <v>87</v>
      </c>
      <c r="F22" s="56" t="s">
        <v>42</v>
      </c>
      <c r="G22" s="44">
        <v>1</v>
      </c>
      <c r="H22" s="129">
        <f>IF(B$17=0,0,G22/B$17)</f>
        <v>5.681818181818182E-3</v>
      </c>
      <c r="I22" s="90">
        <v>2</v>
      </c>
      <c r="K22" s="36">
        <v>20</v>
      </c>
      <c r="L22" s="95">
        <v>-93.199999999999989</v>
      </c>
      <c r="N22" s="111" t="s">
        <v>126</v>
      </c>
      <c r="O22" s="121">
        <f>IF(P22=0,0,Q22/P22)</f>
        <v>-15.352941176470589</v>
      </c>
      <c r="P22" s="115">
        <v>34</v>
      </c>
      <c r="Q22" s="103">
        <v>-522</v>
      </c>
    </row>
    <row r="23" spans="1:17" x14ac:dyDescent="0.4">
      <c r="A23" s="51" t="s">
        <v>5</v>
      </c>
      <c r="B23" s="48">
        <f>IF(B$17=0,0,C23/B$17)</f>
        <v>8336.931818181818</v>
      </c>
      <c r="C23" s="39">
        <v>1467300</v>
      </c>
      <c r="E23" s="59" t="s">
        <v>88</v>
      </c>
      <c r="F23" s="56" t="s">
        <v>43</v>
      </c>
      <c r="G23" s="44">
        <v>1</v>
      </c>
      <c r="H23" s="129">
        <f>IF(B$17=0,0,G23/B$17)</f>
        <v>5.681818181818182E-3</v>
      </c>
      <c r="I23" s="90">
        <v>3</v>
      </c>
      <c r="K23" s="36">
        <v>21</v>
      </c>
      <c r="L23" s="95">
        <v>-123.69999999999999</v>
      </c>
      <c r="N23" s="111" t="s">
        <v>177</v>
      </c>
      <c r="O23" s="121">
        <f>IF(P23=0,0,Q23/P23)</f>
        <v>-16.436666666666667</v>
      </c>
      <c r="P23" s="115">
        <v>30</v>
      </c>
      <c r="Q23" s="103">
        <v>-493.1</v>
      </c>
    </row>
    <row r="24" spans="1:17" x14ac:dyDescent="0.4">
      <c r="A24" s="52" t="s">
        <v>216</v>
      </c>
      <c r="B24" s="136">
        <f>IF($B$17-B$16=0,0,C24/($B$17-B$16))</f>
        <v>9318.1034482758623</v>
      </c>
      <c r="C24" s="137">
        <v>1080900</v>
      </c>
      <c r="E24" s="59" t="s">
        <v>91</v>
      </c>
      <c r="F24" s="56" t="s">
        <v>46</v>
      </c>
      <c r="G24" s="44">
        <v>1</v>
      </c>
      <c r="H24" s="129">
        <f>IF(B$17=0,0,G24/B$17)</f>
        <v>5.681818181818182E-3</v>
      </c>
      <c r="I24" s="90">
        <v>7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6440</v>
      </c>
      <c r="C25" s="137">
        <v>386400</v>
      </c>
      <c r="E25" s="59" t="s">
        <v>101</v>
      </c>
      <c r="F25" s="56" t="s">
        <v>56</v>
      </c>
      <c r="G25" s="44">
        <v>1</v>
      </c>
      <c r="H25" s="129">
        <f>IF(B$17=0,0,G25/B$17)</f>
        <v>5.681818181818182E-3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-8025.5813953488368</v>
      </c>
      <c r="C26" s="137">
        <v>-690200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8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3.1847133757961785E-3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-123.89999999999998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8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22</v>
      </c>
      <c r="C2" s="149"/>
      <c r="E2" s="58" t="s">
        <v>66</v>
      </c>
      <c r="F2" s="55" t="s">
        <v>22</v>
      </c>
      <c r="G2" s="43">
        <v>56</v>
      </c>
      <c r="H2" s="128">
        <f>IF(B$17=0,0,G2/B$17)</f>
        <v>0.98245614035087714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-2504.5454545454545</v>
      </c>
      <c r="P2" s="114">
        <v>22</v>
      </c>
      <c r="Q2" s="98">
        <v>-55100</v>
      </c>
    </row>
    <row r="3" spans="1:17" x14ac:dyDescent="0.4">
      <c r="A3" s="51" t="s">
        <v>8</v>
      </c>
      <c r="B3" s="150">
        <v>204</v>
      </c>
      <c r="C3" s="151"/>
      <c r="E3" s="59" t="s">
        <v>64</v>
      </c>
      <c r="F3" s="56" t="s">
        <v>20</v>
      </c>
      <c r="G3" s="44">
        <v>33</v>
      </c>
      <c r="H3" s="129">
        <f>IF(B$17=0,0,G3/B$17)</f>
        <v>0.57894736842105265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-354.54545454545456</v>
      </c>
      <c r="P3" s="115">
        <v>22</v>
      </c>
      <c r="Q3" s="99">
        <v>-7800</v>
      </c>
    </row>
    <row r="4" spans="1:17" x14ac:dyDescent="0.4">
      <c r="A4" s="51" t="s">
        <v>6</v>
      </c>
      <c r="B4" s="152">
        <v>-13.5</v>
      </c>
      <c r="C4" s="153"/>
      <c r="E4" s="59" t="s">
        <v>68</v>
      </c>
      <c r="F4" s="56" t="s">
        <v>12</v>
      </c>
      <c r="G4" s="44">
        <v>23</v>
      </c>
      <c r="H4" s="129">
        <f>IF(B$17=0,0,G4/B$17)</f>
        <v>0.40350877192982454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-385.71428571428572</v>
      </c>
      <c r="P4" s="115">
        <v>21</v>
      </c>
      <c r="Q4" s="99">
        <v>-8100</v>
      </c>
    </row>
    <row r="5" spans="1:17" x14ac:dyDescent="0.4">
      <c r="A5" s="51" t="s">
        <v>7</v>
      </c>
      <c r="B5" s="154">
        <f>IF(B$2=0,0,B$4/B$2)</f>
        <v>-0.61363636363636365</v>
      </c>
      <c r="C5" s="155"/>
      <c r="E5" s="59" t="s">
        <v>72</v>
      </c>
      <c r="F5" s="56" t="s">
        <v>27</v>
      </c>
      <c r="G5" s="44">
        <v>21</v>
      </c>
      <c r="H5" s="129">
        <f>IF(B$17=0,0,G5/B$17)</f>
        <v>0.36842105263157893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-2123.8095238095239</v>
      </c>
      <c r="P5" s="115">
        <v>21</v>
      </c>
      <c r="Q5" s="99">
        <v>-44600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171</v>
      </c>
      <c r="F6" s="56" t="s">
        <v>172</v>
      </c>
      <c r="G6" s="44">
        <v>19</v>
      </c>
      <c r="H6" s="129">
        <f>IF(B$17=0,0,G6/B$17)</f>
        <v>0.33333333333333331</v>
      </c>
      <c r="I6" s="90">
        <v>8</v>
      </c>
      <c r="K6" s="36">
        <v>4</v>
      </c>
      <c r="L6" s="95">
        <v>115.5</v>
      </c>
      <c r="N6" s="111" t="s">
        <v>134</v>
      </c>
      <c r="O6" s="118">
        <f t="shared" si="0"/>
        <v>5752.6315789473683</v>
      </c>
      <c r="P6" s="115">
        <v>19</v>
      </c>
      <c r="Q6" s="99">
        <v>109300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0.36363636363636365</v>
      </c>
      <c r="E7" s="59" t="s">
        <v>67</v>
      </c>
      <c r="F7" s="56" t="s">
        <v>23</v>
      </c>
      <c r="G7" s="44">
        <v>14</v>
      </c>
      <c r="H7" s="129">
        <f>IF(B$17=0,0,G7/B$17)</f>
        <v>0.24561403508771928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0.27272727272727271</v>
      </c>
      <c r="E8" s="59" t="s">
        <v>69</v>
      </c>
      <c r="F8" s="56" t="s">
        <v>24</v>
      </c>
      <c r="G8" s="44">
        <v>12</v>
      </c>
      <c r="H8" s="129">
        <f>IF(B$17=0,0,G8/B$17)</f>
        <v>0.21052631578947367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0.36363636363636365</v>
      </c>
      <c r="E9" s="59" t="s">
        <v>65</v>
      </c>
      <c r="F9" s="56" t="s">
        <v>21</v>
      </c>
      <c r="G9" s="44">
        <v>8</v>
      </c>
      <c r="H9" s="129">
        <f>IF(B$17=0,0,G9/B$17)</f>
        <v>0.14035087719298245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9.0909090909090912E-2</v>
      </c>
      <c r="E10" s="59" t="s">
        <v>70</v>
      </c>
      <c r="F10" s="56" t="s">
        <v>25</v>
      </c>
      <c r="G10" s="44">
        <v>6</v>
      </c>
      <c r="H10" s="129">
        <f>IF(B$17=0,0,G10/B$17)</f>
        <v>0.10526315789473684</v>
      </c>
      <c r="I10" s="90">
        <v>5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2</v>
      </c>
      <c r="C11" s="38">
        <f t="shared" si="1"/>
        <v>9.0909090909090912E-2</v>
      </c>
      <c r="E11" s="59" t="s">
        <v>71</v>
      </c>
      <c r="F11" s="56" t="s">
        <v>26</v>
      </c>
      <c r="G11" s="44">
        <v>6</v>
      </c>
      <c r="H11" s="129">
        <f>IF(B$17=0,0,G11/B$17)</f>
        <v>0.10526315789473684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5</v>
      </c>
      <c r="H12" s="129">
        <f>IF(B$17=0,0,G12/B$17)</f>
        <v>8.771929824561403E-2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54</v>
      </c>
      <c r="C13" s="42">
        <f>IF(B$3=0,0,B13/B$3)</f>
        <v>0.26470588235294118</v>
      </c>
      <c r="E13" s="59" t="s">
        <v>78</v>
      </c>
      <c r="F13" s="56" t="s">
        <v>33</v>
      </c>
      <c r="G13" s="44">
        <v>3</v>
      </c>
      <c r="H13" s="129">
        <f>IF(B$17=0,0,G13/B$17)</f>
        <v>5.2631578947368418E-2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32</v>
      </c>
      <c r="C14" s="37">
        <f>IF(B$3=0,0,B14/B$3)</f>
        <v>0.15686274509803921</v>
      </c>
      <c r="E14" s="59" t="s">
        <v>83</v>
      </c>
      <c r="F14" s="56" t="s">
        <v>38</v>
      </c>
      <c r="G14" s="44">
        <v>2</v>
      </c>
      <c r="H14" s="129">
        <f>IF(B$17=0,0,G14/B$17)</f>
        <v>3.5087719298245612E-2</v>
      </c>
      <c r="I14" s="90">
        <v>10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0.61111111111111116</v>
      </c>
      <c r="E15" s="59" t="s">
        <v>86</v>
      </c>
      <c r="F15" s="56" t="s">
        <v>41</v>
      </c>
      <c r="G15" s="44">
        <v>2</v>
      </c>
      <c r="H15" s="129">
        <f>IF(B$17=0,0,G15/B$17)</f>
        <v>3.5087719298245612E-2</v>
      </c>
      <c r="I15" s="90">
        <v>7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12</v>
      </c>
      <c r="C16" s="35">
        <f>IF(B$14=0,0,B16/B$14)</f>
        <v>0.375</v>
      </c>
      <c r="E16" s="59" t="s">
        <v>75</v>
      </c>
      <c r="F16" s="56" t="s">
        <v>30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0.27941176470588236</v>
      </c>
      <c r="E17" s="59" t="s">
        <v>81</v>
      </c>
      <c r="F17" s="56" t="s">
        <v>36</v>
      </c>
      <c r="G17" s="44">
        <v>1</v>
      </c>
      <c r="H17" s="129">
        <f>IF(B$17=0,0,G17/B$17)</f>
        <v>1.7543859649122806E-2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31</v>
      </c>
      <c r="C18" s="37">
        <f>IF(B$17=0,0,B18/B$17)</f>
        <v>0.54385964912280704</v>
      </c>
      <c r="E18" s="59" t="s">
        <v>85</v>
      </c>
      <c r="F18" s="56" t="s">
        <v>40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26</v>
      </c>
      <c r="C19" s="37">
        <f>IF(B$17=0,0,B19/B$17)</f>
        <v>0.45614035087719296</v>
      </c>
      <c r="E19" s="59" t="s">
        <v>87</v>
      </c>
      <c r="F19" s="56" t="s">
        <v>42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31</v>
      </c>
      <c r="C20" s="37">
        <f>IF(B$3=0,0,B20/B$3)</f>
        <v>0.15196078431372548</v>
      </c>
      <c r="E20" s="59" t="s">
        <v>167</v>
      </c>
      <c r="F20" s="56" t="s">
        <v>168</v>
      </c>
      <c r="G20" s="44">
        <v>1</v>
      </c>
      <c r="H20" s="129">
        <f>IF(B$17=0,0,G20/B$17)</f>
        <v>1.7543859649122806E-2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8115.7894736842109</v>
      </c>
      <c r="C23" s="39">
        <v>462600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8384.4444444444453</v>
      </c>
      <c r="C24" s="137">
        <v>377300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</row>
    <row r="26" spans="1:17" x14ac:dyDescent="0.4">
      <c r="A26" s="52" t="s">
        <v>215</v>
      </c>
      <c r="B26" s="136">
        <f>IF(B$20=0,0,C26/B$20)</f>
        <v>-7151.6129032258068</v>
      </c>
      <c r="C26" s="137">
        <v>-221700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4.9019607843137254E-3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8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8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8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-123.89999999999998</v>
      </c>
      <c r="C81" s="62">
        <v>-1.5884615384615381</v>
      </c>
      <c r="D81" s="67">
        <v>2.0897435897435899</v>
      </c>
      <c r="E81" s="63">
        <v>0.20512820512820512</v>
      </c>
      <c r="F81" s="63">
        <v>0.29487179487179488</v>
      </c>
      <c r="G81" s="63">
        <v>0.28025477707006369</v>
      </c>
      <c r="H81" s="63">
        <v>0.13694267515923567</v>
      </c>
      <c r="I81" s="64">
        <v>8336.931818181818</v>
      </c>
      <c r="J81" s="64">
        <v>-8025.5813953488368</v>
      </c>
      <c r="K81" s="63">
        <v>7.6923076923076927E-2</v>
      </c>
      <c r="L81" s="63">
        <v>7.6923076923076927E-2</v>
      </c>
      <c r="M81" s="63">
        <v>0.25318471337579618</v>
      </c>
      <c r="N81" s="63">
        <v>0.23726114649681529</v>
      </c>
      <c r="O81" s="63">
        <v>0.55974842767295596</v>
      </c>
      <c r="P81" s="63">
        <v>0.40268456375838924</v>
      </c>
      <c r="Q81" s="63">
        <v>0.44886363636363635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9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10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687.8</v>
      </c>
      <c r="C100" s="62">
        <v>7.0907216494845358</v>
      </c>
      <c r="D100" s="67">
        <v>1.7731958762886597</v>
      </c>
      <c r="E100" s="63">
        <v>0.47422680412371132</v>
      </c>
      <c r="F100" s="63">
        <v>0.24742268041237114</v>
      </c>
      <c r="G100" s="63">
        <v>0.33674775928297057</v>
      </c>
      <c r="H100" s="63">
        <v>0.13700384122919335</v>
      </c>
      <c r="I100" s="64">
        <v>7768.0608365019016</v>
      </c>
      <c r="J100" s="64">
        <v>-7726.1682242990655</v>
      </c>
      <c r="K100" s="63">
        <v>5.1546391752577317E-2</v>
      </c>
      <c r="L100" s="63">
        <v>9.2783505154639179E-2</v>
      </c>
      <c r="M100" s="63">
        <v>0.26888604353393086</v>
      </c>
      <c r="N100" s="63">
        <v>0.2266325224071703</v>
      </c>
      <c r="O100" s="63">
        <v>0.59523809523809523</v>
      </c>
      <c r="P100" s="63">
        <v>0.48022598870056499</v>
      </c>
      <c r="Q100" s="63">
        <v>0.42965779467680609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6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0.29448156396931452</v>
      </c>
      <c r="H165" s="63">
        <v>0.16382083642662706</v>
      </c>
      <c r="I165" s="64">
        <v>8312.0168067226896</v>
      </c>
      <c r="J165" s="64">
        <v>-7779.6072507552872</v>
      </c>
      <c r="K165" s="63">
        <v>9.0534979423868317E-2</v>
      </c>
      <c r="L165" s="63">
        <v>9.0534979423868317E-2</v>
      </c>
      <c r="M165" s="63">
        <v>0.25018559762435039</v>
      </c>
      <c r="N165" s="63">
        <v>0.23212076218757732</v>
      </c>
      <c r="O165" s="63">
        <v>0.56181998021760637</v>
      </c>
      <c r="P165" s="63">
        <v>0.4115138592750533</v>
      </c>
      <c r="Q165" s="63">
        <v>0.43781512605042017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2019-11-01T10:38:29Z</dcterms:modified>
</cp:coreProperties>
</file>