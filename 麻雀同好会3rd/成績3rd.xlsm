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7CDB5A2-F18A-4AA9-8128-5FF05B581431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1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7" i="6349"/>
  <c r="O20" i="6335"/>
  <c r="C19" i="6357" l="1"/>
  <c r="H8" i="6357"/>
  <c r="H9" i="6357"/>
  <c r="H5" i="6357"/>
  <c r="H20" i="6357"/>
  <c r="H13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4" i="6357"/>
  <c r="C32" i="6357"/>
  <c r="H35" i="6357"/>
  <c r="H38" i="6357"/>
  <c r="C40" i="6357"/>
  <c r="H43" i="6357"/>
  <c r="H47" i="6357"/>
  <c r="H7" i="6357"/>
  <c r="H15" i="6357"/>
  <c r="H12" i="6357"/>
  <c r="H24" i="6357"/>
  <c r="H6" i="6357"/>
  <c r="C15" i="6357"/>
  <c r="H16" i="6357"/>
  <c r="H29" i="6357"/>
  <c r="H3" i="6357"/>
  <c r="H2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3" i="6349"/>
  <c r="O16" i="6353" l="1"/>
  <c r="O23" i="6343"/>
  <c r="O21" i="6337" l="1"/>
  <c r="O17" i="6339"/>
  <c r="O15" i="6349"/>
  <c r="O22" i="6349"/>
  <c r="O19" i="6347" l="1"/>
  <c r="O18" i="6351"/>
  <c r="O18" i="6341" l="1"/>
  <c r="O17" i="6347"/>
  <c r="O18" i="6349"/>
  <c r="O20" i="6349"/>
  <c r="O16" i="6337" l="1"/>
  <c r="O17" i="6351"/>
  <c r="O19" i="6351"/>
  <c r="O18" i="6343"/>
  <c r="O20" i="6341" l="1"/>
  <c r="O20" i="6345"/>
  <c r="O22" i="6345" l="1"/>
  <c r="O22" i="6339"/>
  <c r="O25" i="6349"/>
  <c r="O17" i="6353"/>
  <c r="O15" i="6353"/>
  <c r="O21" i="6351"/>
  <c r="O15" i="6341" l="1"/>
  <c r="O22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20" i="6343"/>
  <c r="O21" i="6339" l="1"/>
  <c r="O22" i="6347"/>
  <c r="O24" i="6347"/>
  <c r="O17" i="6337"/>
  <c r="O16" i="6341"/>
  <c r="O17" i="6343"/>
  <c r="O21" i="6343"/>
  <c r="O18" i="6337"/>
  <c r="O17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9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4" i="6349"/>
  <c r="H26" i="6349"/>
  <c r="H37" i="6349"/>
  <c r="H49" i="6349"/>
  <c r="H25" i="6349"/>
  <c r="C19" i="6349"/>
  <c r="H13" i="6349"/>
  <c r="H31" i="6349"/>
  <c r="H21" i="6349"/>
  <c r="C36" i="6349"/>
  <c r="H40" i="6349"/>
  <c r="H43" i="6349"/>
  <c r="C44" i="6349"/>
  <c r="H50" i="6349"/>
  <c r="C17" i="6349"/>
  <c r="H14" i="6349"/>
  <c r="B22" i="6349"/>
  <c r="H32" i="6349"/>
  <c r="H34" i="6349"/>
  <c r="C34" i="6349"/>
  <c r="H38" i="6349"/>
  <c r="H41" i="6349"/>
  <c r="C42" i="6349"/>
  <c r="H46" i="6349"/>
  <c r="H22" i="6349"/>
  <c r="H7" i="6349"/>
  <c r="H23" i="6349"/>
  <c r="C15" i="6349"/>
  <c r="H19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5" i="6349"/>
  <c r="H8" i="6349"/>
  <c r="H20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1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3" i="6335"/>
  <c r="O24" i="6335"/>
  <c r="C34" i="6343" l="1"/>
  <c r="C18" i="6343"/>
  <c r="C14" i="6345"/>
  <c r="C14" i="6343"/>
  <c r="H24" i="6343"/>
  <c r="H2" i="6343"/>
  <c r="H3" i="6343"/>
  <c r="H10" i="6343"/>
  <c r="H8" i="6343"/>
  <c r="H4" i="6343"/>
  <c r="C42" i="6343"/>
  <c r="C19" i="6343"/>
  <c r="H36" i="6343"/>
  <c r="H23" i="6343"/>
  <c r="H19" i="6343"/>
  <c r="H14" i="6343"/>
  <c r="C21" i="6343"/>
  <c r="H21" i="6343"/>
  <c r="C38" i="6343"/>
  <c r="H6" i="6343"/>
  <c r="H25" i="6343"/>
  <c r="H9" i="6343"/>
  <c r="H12" i="6343"/>
  <c r="H40" i="6343"/>
  <c r="C14" i="6347"/>
  <c r="H7" i="6347"/>
  <c r="H11" i="6347"/>
  <c r="H28" i="6347"/>
  <c r="H8" i="6347"/>
  <c r="H29" i="6347"/>
  <c r="C19" i="6347"/>
  <c r="H14" i="6347"/>
  <c r="H26" i="6347"/>
  <c r="H36" i="6347"/>
  <c r="C36" i="6347"/>
  <c r="H41" i="6347"/>
  <c r="H43" i="6347"/>
  <c r="C44" i="6347"/>
  <c r="H50" i="6347"/>
  <c r="B22" i="6347"/>
  <c r="C34" i="6347"/>
  <c r="H46" i="6347"/>
  <c r="H6" i="6347"/>
  <c r="H18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5" i="6347"/>
  <c r="H22" i="6347"/>
  <c r="C17" i="6347"/>
  <c r="H19" i="6347"/>
  <c r="H23" i="6347"/>
  <c r="H27" i="6347"/>
  <c r="H39" i="6347"/>
  <c r="C42" i="6347"/>
  <c r="H17" i="6347"/>
  <c r="C15" i="6347"/>
  <c r="H21" i="6347"/>
  <c r="H4" i="6347"/>
  <c r="H2" i="6347"/>
  <c r="H12" i="6347"/>
  <c r="H3" i="6347"/>
  <c r="H30" i="6347"/>
  <c r="C18" i="6347"/>
  <c r="C21" i="6347"/>
  <c r="H20" i="6347"/>
  <c r="H35" i="6347"/>
  <c r="H38" i="6347"/>
  <c r="C38" i="6347"/>
  <c r="H42" i="6347"/>
  <c r="H45" i="6347"/>
  <c r="H49" i="6347"/>
  <c r="H52" i="6347"/>
  <c r="B23" i="6347"/>
  <c r="H16" i="6347"/>
  <c r="H31" i="6347"/>
  <c r="H32" i="6347"/>
  <c r="H33" i="6347"/>
  <c r="H13" i="6347"/>
  <c r="H9" i="6347"/>
  <c r="H24" i="6347"/>
  <c r="C33" i="6347"/>
  <c r="C35" i="6347"/>
  <c r="C37" i="6347"/>
  <c r="C39" i="6347"/>
  <c r="C41" i="6347"/>
  <c r="C43" i="6347"/>
  <c r="H47" i="6347"/>
  <c r="H6" i="6345"/>
  <c r="H10" i="6345"/>
  <c r="H12" i="6345"/>
  <c r="H30" i="6345"/>
  <c r="H20" i="6345"/>
  <c r="H9" i="6345"/>
  <c r="H31" i="6345"/>
  <c r="C20" i="6345"/>
  <c r="H37" i="6345"/>
  <c r="C40" i="6345"/>
  <c r="H48" i="6345"/>
  <c r="H34" i="6345"/>
  <c r="C32" i="6345"/>
  <c r="H42" i="6345"/>
  <c r="H5" i="6345"/>
  <c r="H23" i="6345"/>
  <c r="C18" i="6345"/>
  <c r="H15" i="6345"/>
  <c r="H35" i="6345"/>
  <c r="H39" i="6345"/>
  <c r="H44" i="6345"/>
  <c r="H7" i="6345"/>
  <c r="H24" i="6345"/>
  <c r="C21" i="6345"/>
  <c r="H29" i="6345"/>
  <c r="H49" i="6345"/>
  <c r="C15" i="6345"/>
  <c r="H25" i="6345"/>
  <c r="H4" i="6345"/>
  <c r="H2" i="6345"/>
  <c r="H11" i="6345"/>
  <c r="H3" i="6345"/>
  <c r="H26" i="6345"/>
  <c r="C19" i="6345"/>
  <c r="H22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8" i="6345"/>
  <c r="B22" i="6345"/>
  <c r="H27" i="6345"/>
  <c r="H28" i="6345"/>
  <c r="C34" i="6345"/>
  <c r="H38" i="6345"/>
  <c r="H41" i="6345"/>
  <c r="C42" i="6345"/>
  <c r="H46" i="6345"/>
  <c r="H13" i="6345"/>
  <c r="B23" i="6345"/>
  <c r="H19" i="6345"/>
  <c r="H32" i="6345"/>
  <c r="H33" i="6345"/>
  <c r="H21" i="6345"/>
  <c r="H14" i="6345"/>
  <c r="H8" i="6345"/>
  <c r="H17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2" i="6343"/>
  <c r="B23" i="6343"/>
  <c r="C15" i="6343"/>
  <c r="H16" i="6343"/>
  <c r="C20" i="6343"/>
  <c r="H20" i="6343"/>
  <c r="H30" i="6343"/>
  <c r="H34" i="6343"/>
  <c r="H38" i="6343"/>
  <c r="H42" i="6343"/>
  <c r="H46" i="6343"/>
  <c r="H52" i="6343"/>
  <c r="H15" i="6343"/>
  <c r="H26" i="6343"/>
  <c r="H27" i="6343"/>
  <c r="H28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19" i="6339"/>
  <c r="O20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2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20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1" i="6339"/>
  <c r="C20" i="6339"/>
  <c r="H22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19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4" i="6335"/>
  <c r="H28" i="6335"/>
  <c r="H31" i="6335"/>
  <c r="C36" i="6335"/>
  <c r="H42" i="6335"/>
  <c r="H44" i="6335"/>
  <c r="C44" i="6335"/>
  <c r="H50" i="6335"/>
  <c r="H20" i="6335"/>
  <c r="C17" i="6335"/>
  <c r="H26" i="6335"/>
  <c r="H30" i="6335"/>
  <c r="H40" i="6335"/>
  <c r="H33" i="6335"/>
  <c r="H34" i="6335"/>
  <c r="H17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6" i="6335"/>
  <c r="C42" i="6335"/>
  <c r="H7" i="6335"/>
  <c r="H23" i="6335"/>
  <c r="H22" i="6335"/>
  <c r="H4" i="6335"/>
  <c r="H2" i="6335"/>
  <c r="H11" i="6335"/>
  <c r="H3" i="6335"/>
  <c r="H27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3" i="6335"/>
  <c r="H9" i="6335"/>
  <c r="H21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<sst xmlns="http://schemas.openxmlformats.org/spreadsheetml/2006/main" count="3882" uniqueCount="309">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</sst>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全体!$K$2:$K$980</c:f>
              <c:numCache>
                <c:formatCode>General</c:formatCode>
                <c:ptCount val="9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</c:numCache>
            </c:numRef>
          </c:xVal>
          <c:yVal>
            <c:numRef>
              <c:f>全体!$L$2:$L$980</c:f>
              <c:numCache>
                <c:formatCode>\+0.0;\-0.0;\±0</c:formatCode>
                <c:ptCount val="97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-27.692307692307693</c:v>
                </c:pt>
                <c:pt idx="1">
                  <c:v>7.291666666666667</c:v>
                </c:pt>
                <c:pt idx="2">
                  <c:v>-1.1037527593818985</c:v>
                </c:pt>
                <c:pt idx="3">
                  <c:v>-2.347417840375587</c:v>
                </c:pt>
                <c:pt idx="4">
                  <c:v>12.67427122940431</c:v>
                </c:pt>
                <c:pt idx="5">
                  <c:v>16.897081413210447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188</c:v>
                </c:pt>
                <c:pt idx="1">
                  <c:v>414</c:v>
                </c:pt>
                <c:pt idx="2">
                  <c:v>467</c:v>
                </c:pt>
                <c:pt idx="3">
                  <c:v>427</c:v>
                </c:pt>
                <c:pt idx="4">
                  <c:v>373</c:v>
                </c:pt>
                <c:pt idx="5">
                  <c:v>254</c:v>
                </c:pt>
                <c:pt idx="6">
                  <c:v>126</c:v>
                </c:pt>
                <c:pt idx="7">
                  <c:v>71</c:v>
                </c:pt>
                <c:pt idx="8">
                  <c:v>31</c:v>
                </c:pt>
                <c:pt idx="9">
                  <c:v>11</c:v>
                </c:pt>
                <c:pt idx="10">
                  <c:v>7</c:v>
                </c:pt>
                <c:pt idx="11">
                  <c:v>6</c:v>
                </c:pt>
                <c:pt idx="1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たかの!$L$2:$L$89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1810.344827586207</c:v>
                </c:pt>
                <c:pt idx="1">
                  <c:v>-1944.1860465116279</c:v>
                </c:pt>
                <c:pt idx="2">
                  <c:v>-1697.5903614457832</c:v>
                </c:pt>
                <c:pt idx="3">
                  <c:v>-1089.7435897435898</c:v>
                </c:pt>
                <c:pt idx="4">
                  <c:v>-235.52631578947367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44</c:v>
                </c:pt>
                <c:pt idx="2">
                  <c:v>43</c:v>
                </c:pt>
                <c:pt idx="3">
                  <c:v>37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だいち!$K$2:$K$198</c:f>
              <c:numCache>
                <c:formatCode>General</c:formatCode>
                <c:ptCount val="1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</c:numCache>
            </c:numRef>
          </c:xVal>
          <c:yVal>
            <c:numRef>
              <c:f>だいち!$L$2:$L$198</c:f>
              <c:numCache>
                <c:formatCode>\+0.0;\-0.0;\±0</c:formatCode>
                <c:ptCount val="19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1411.7948717948718</c:v>
                </c:pt>
                <c:pt idx="1">
                  <c:v>967.01570680628276</c:v>
                </c:pt>
                <c:pt idx="2">
                  <c:v>1334.2391304347825</c:v>
                </c:pt>
                <c:pt idx="3">
                  <c:v>212.86549707602339</c:v>
                </c:pt>
                <c:pt idx="4">
                  <c:v>1998.75</c:v>
                </c:pt>
                <c:pt idx="5">
                  <c:v>1886.2595419847328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53</c:v>
                </c:pt>
                <c:pt idx="1">
                  <c:v>103</c:v>
                </c:pt>
                <c:pt idx="2">
                  <c:v>110</c:v>
                </c:pt>
                <c:pt idx="3">
                  <c:v>98</c:v>
                </c:pt>
                <c:pt idx="4">
                  <c:v>79</c:v>
                </c:pt>
                <c:pt idx="5">
                  <c:v>53</c:v>
                </c:pt>
                <c:pt idx="6">
                  <c:v>25</c:v>
                </c:pt>
                <c:pt idx="7">
                  <c:v>11</c:v>
                </c:pt>
                <c:pt idx="8">
                  <c:v>10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ただ!$K$2:$K$175</c:f>
              <c:numCache>
                <c:formatCode>General</c:formatCode>
                <c:ptCount val="1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</c:numCache>
            </c:numRef>
          </c:xVal>
          <c:yVal>
            <c:numRef>
              <c:f>ただ!$L$2:$L$175</c:f>
              <c:numCache>
                <c:formatCode>\+0.0;\-0.0;\±0</c:formatCode>
                <c:ptCount val="17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-916.8604651162791</c:v>
                </c:pt>
                <c:pt idx="1">
                  <c:v>1283.5294117647059</c:v>
                </c:pt>
                <c:pt idx="2">
                  <c:v>-107.59493670886076</c:v>
                </c:pt>
                <c:pt idx="3">
                  <c:v>-9.3333333333333339</c:v>
                </c:pt>
                <c:pt idx="4">
                  <c:v>-1659.4202898550725</c:v>
                </c:pt>
                <c:pt idx="5">
                  <c:v>1237.391304347826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35</c:v>
                </c:pt>
                <c:pt idx="1">
                  <c:v>85</c:v>
                </c:pt>
                <c:pt idx="2">
                  <c:v>97</c:v>
                </c:pt>
                <c:pt idx="3">
                  <c:v>89</c:v>
                </c:pt>
                <c:pt idx="4">
                  <c:v>63</c:v>
                </c:pt>
                <c:pt idx="5">
                  <c:v>42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-637.37373737373741</c:v>
                </c:pt>
                <c:pt idx="1">
                  <c:v>-893.93939393939399</c:v>
                </c:pt>
                <c:pt idx="2">
                  <c:v>469.89247311827955</c:v>
                </c:pt>
                <c:pt idx="3">
                  <c:v>-779.12087912087907</c:v>
                </c:pt>
                <c:pt idx="4">
                  <c:v>-2894.1860465116279</c:v>
                </c:pt>
                <c:pt idx="5">
                  <c:v>-1877.3333333333333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35</c:v>
                </c:pt>
                <c:pt idx="4">
                  <c:v>39</c:v>
                </c:pt>
                <c:pt idx="5">
                  <c:v>23</c:v>
                </c:pt>
                <c:pt idx="6">
                  <c:v>14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れんたろう!$K$2:$K$146</c:f>
              <c:numCache>
                <c:formatCode>General</c:formatCode>
                <c:ptCount val="1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</c:numCache>
            </c:numRef>
          </c:xVal>
          <c:yVal>
            <c:numRef>
              <c:f>れんたろう!$L$2:$L$146</c:f>
              <c:numCache>
                <c:formatCode>\+0.0;\-0.0;\±0</c:formatCode>
                <c:ptCount val="14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1032.6388888888889</c:v>
                </c:pt>
                <c:pt idx="1">
                  <c:v>-1853.9007092198581</c:v>
                </c:pt>
                <c:pt idx="2">
                  <c:v>-755.03875968992247</c:v>
                </c:pt>
                <c:pt idx="3">
                  <c:v>2231.404958677686</c:v>
                </c:pt>
                <c:pt idx="4">
                  <c:v>1465.1376146788991</c:v>
                </c:pt>
                <c:pt idx="5">
                  <c:v>520.73170731707319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42</c:v>
                </c:pt>
                <c:pt idx="3">
                  <c:v>59</c:v>
                </c:pt>
                <c:pt idx="4">
                  <c:v>69</c:v>
                </c:pt>
                <c:pt idx="5">
                  <c:v>44</c:v>
                </c:pt>
                <c:pt idx="6">
                  <c:v>24</c:v>
                </c:pt>
                <c:pt idx="7">
                  <c:v>21</c:v>
                </c:pt>
                <c:pt idx="8">
                  <c:v>9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まっつん!$K$2:$K$154</c:f>
              <c:numCache>
                <c:formatCode>General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まっつん!$L$2:$L$154</c:f>
              <c:numCache>
                <c:formatCode>\+0.0;\-0.0;\±0</c:formatCode>
                <c:ptCount val="15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-182.23684210526315</c:v>
                </c:pt>
                <c:pt idx="1">
                  <c:v>486.48648648648651</c:v>
                </c:pt>
                <c:pt idx="2">
                  <c:v>132.85714285714286</c:v>
                </c:pt>
                <c:pt idx="3">
                  <c:v>307.8125</c:v>
                </c:pt>
                <c:pt idx="4">
                  <c:v>123.07692307692308</c:v>
                </c:pt>
                <c:pt idx="5">
                  <c:v>-922.22222222222217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63</c:v>
                </c:pt>
                <c:pt idx="2">
                  <c:v>67</c:v>
                </c:pt>
                <c:pt idx="3">
                  <c:v>64</c:v>
                </c:pt>
                <c:pt idx="4">
                  <c:v>49</c:v>
                </c:pt>
                <c:pt idx="5">
                  <c:v>40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のり!$L$2:$L$67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-2886.1538461538462</c:v>
                </c:pt>
                <c:pt idx="1">
                  <c:v>1089.2307692307693</c:v>
                </c:pt>
                <c:pt idx="2">
                  <c:v>-591.93548387096769</c:v>
                </c:pt>
                <c:pt idx="3">
                  <c:v>-1503.5714285714287</c:v>
                </c:pt>
                <c:pt idx="4">
                  <c:v>-1926.4150943396226</c:v>
                </c:pt>
                <c:pt idx="5">
                  <c:v>-2106.9767441860463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29</c:v>
                </c:pt>
                <c:pt idx="3">
                  <c:v>23</c:v>
                </c:pt>
                <c:pt idx="4">
                  <c:v>20</c:v>
                </c:pt>
                <c:pt idx="5">
                  <c:v>11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ともき!$L$2:$L$16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-3857.1428571428573</c:v>
                </c:pt>
                <c:pt idx="1">
                  <c:v>-578.57142857142856</c:v>
                </c:pt>
                <c:pt idx="2">
                  <c:v>-2921.4285714285716</c:v>
                </c:pt>
                <c:pt idx="3">
                  <c:v>692.85714285714289</c:v>
                </c:pt>
                <c:pt idx="4">
                  <c:v>-841.66666666666663</c:v>
                </c:pt>
                <c:pt idx="5">
                  <c:v>5020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7</c:v>
                </c:pt>
                <c:pt idx="3">
                  <c:v>9</c:v>
                </c:pt>
                <c:pt idx="4">
                  <c:v>6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まっつん2!$B$3:$B$155</c:f>
              <c:numCache>
                <c:formatCode>\+0.0;\-0.0;\±0</c:formatCode>
                <c:ptCount val="15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394884621840901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まっつん2!$C$3:$C$155</c:f>
              <c:numCache>
                <c:formatCode>\+0.0;\-0.0;\±0</c:formatCode>
                <c:ptCount val="153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  <c:pt idx="119">
                  <c:v>0.81176470588235305</c:v>
                </c:pt>
                <c:pt idx="120">
                  <c:v>0.55583333333333351</c:v>
                </c:pt>
                <c:pt idx="121">
                  <c:v>0.28264462809917368</c:v>
                </c:pt>
                <c:pt idx="122">
                  <c:v>8.1967213114766914E-4</c:v>
                </c:pt>
                <c:pt idx="123">
                  <c:v>-0.30081300813008116</c:v>
                </c:pt>
                <c:pt idx="124">
                  <c:v>-0.53951612903225787</c:v>
                </c:pt>
                <c:pt idx="125">
                  <c:v>-0.6791999999999998</c:v>
                </c:pt>
                <c:pt idx="126">
                  <c:v>-1.049206349206349</c:v>
                </c:pt>
                <c:pt idx="127">
                  <c:v>-1.0433070866141732</c:v>
                </c:pt>
                <c:pt idx="128">
                  <c:v>-1.41484375</c:v>
                </c:pt>
                <c:pt idx="129">
                  <c:v>-1.6302325581395347</c:v>
                </c:pt>
                <c:pt idx="130">
                  <c:v>-1.776153846153846</c:v>
                </c:pt>
                <c:pt idx="131">
                  <c:v>-1.8503816793893129</c:v>
                </c:pt>
                <c:pt idx="132">
                  <c:v>-1.8045454545454545</c:v>
                </c:pt>
                <c:pt idx="133">
                  <c:v>-1.7105263157894737</c:v>
                </c:pt>
                <c:pt idx="134">
                  <c:v>-1.4447761194029851</c:v>
                </c:pt>
                <c:pt idx="135">
                  <c:v>-1.5711111111111111</c:v>
                </c:pt>
                <c:pt idx="136">
                  <c:v>-1.3169117647058823</c:v>
                </c:pt>
                <c:pt idx="137">
                  <c:v>-1.1116788321167883</c:v>
                </c:pt>
                <c:pt idx="138">
                  <c:v>-1.1775362318840579</c:v>
                </c:pt>
                <c:pt idx="139">
                  <c:v>-1.0812949640287768</c:v>
                </c:pt>
                <c:pt idx="140">
                  <c:v>-0.69142857142857128</c:v>
                </c:pt>
                <c:pt idx="141">
                  <c:v>-0.75177304964538993</c:v>
                </c:pt>
                <c:pt idx="142">
                  <c:v>-1.0021126760563379</c:v>
                </c:pt>
                <c:pt idx="143">
                  <c:v>-0.98951048951048937</c:v>
                </c:pt>
                <c:pt idx="144">
                  <c:v>-0.67152777777777761</c:v>
                </c:pt>
                <c:pt idx="145">
                  <c:v>-0.27793103448275847</c:v>
                </c:pt>
                <c:pt idx="146">
                  <c:v>-0.19246575342465738</c:v>
                </c:pt>
                <c:pt idx="147">
                  <c:v>-0.44965986394557811</c:v>
                </c:pt>
                <c:pt idx="148">
                  <c:v>-0.36891891891891876</c:v>
                </c:pt>
                <c:pt idx="149">
                  <c:v>-0.72348993288590591</c:v>
                </c:pt>
                <c:pt idx="150">
                  <c:v>-0.77666666666666662</c:v>
                </c:pt>
                <c:pt idx="151">
                  <c:v>-0.73245033112582769</c:v>
                </c:pt>
                <c:pt idx="152">
                  <c:v>-0.40131578947368407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538736832148161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まっつん2!$D$3:$D$155</c:f>
              <c:numCache>
                <c:formatCode>0.00\ "位"</c:formatCode>
                <c:ptCount val="153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  <c:pt idx="119">
                  <c:v>2.0252100840336134</c:v>
                </c:pt>
                <c:pt idx="120">
                  <c:v>2.0333333333333332</c:v>
                </c:pt>
                <c:pt idx="121">
                  <c:v>2.0413223140495869</c:v>
                </c:pt>
                <c:pt idx="122">
                  <c:v>2.0491803278688523</c:v>
                </c:pt>
                <c:pt idx="123">
                  <c:v>2.0569105691056913</c:v>
                </c:pt>
                <c:pt idx="124">
                  <c:v>2.064516129032258</c:v>
                </c:pt>
                <c:pt idx="125">
                  <c:v>2.0720000000000001</c:v>
                </c:pt>
                <c:pt idx="126">
                  <c:v>2.0793650793650795</c:v>
                </c:pt>
                <c:pt idx="127">
                  <c:v>2.0787401574803148</c:v>
                </c:pt>
                <c:pt idx="128">
                  <c:v>2.0859375</c:v>
                </c:pt>
                <c:pt idx="129">
                  <c:v>2.0930232558139537</c:v>
                </c:pt>
                <c:pt idx="130">
                  <c:v>2.0923076923076924</c:v>
                </c:pt>
                <c:pt idx="131">
                  <c:v>2.0916030534351147</c:v>
                </c:pt>
                <c:pt idx="132">
                  <c:v>2.0909090909090908</c:v>
                </c:pt>
                <c:pt idx="133">
                  <c:v>2.0902255639097747</c:v>
                </c:pt>
                <c:pt idx="134">
                  <c:v>2.0820895522388061</c:v>
                </c:pt>
                <c:pt idx="135">
                  <c:v>2.0814814814814815</c:v>
                </c:pt>
                <c:pt idx="136">
                  <c:v>2.0735294117647061</c:v>
                </c:pt>
                <c:pt idx="137">
                  <c:v>2.0656934306569341</c:v>
                </c:pt>
                <c:pt idx="138">
                  <c:v>2.0652173913043477</c:v>
                </c:pt>
                <c:pt idx="139">
                  <c:v>2.0575539568345325</c:v>
                </c:pt>
                <c:pt idx="140">
                  <c:v>2.0499999999999998</c:v>
                </c:pt>
                <c:pt idx="141">
                  <c:v>2.0496453900709222</c:v>
                </c:pt>
                <c:pt idx="142">
                  <c:v>2.056338028169014</c:v>
                </c:pt>
                <c:pt idx="143">
                  <c:v>2.0559440559440558</c:v>
                </c:pt>
                <c:pt idx="144">
                  <c:v>2.0486111111111112</c:v>
                </c:pt>
                <c:pt idx="145">
                  <c:v>2.0413793103448277</c:v>
                </c:pt>
                <c:pt idx="146">
                  <c:v>2.0410958904109591</c:v>
                </c:pt>
                <c:pt idx="147">
                  <c:v>2.0476190476190474</c:v>
                </c:pt>
                <c:pt idx="148">
                  <c:v>2.0472972972972974</c:v>
                </c:pt>
                <c:pt idx="149">
                  <c:v>2.0536912751677852</c:v>
                </c:pt>
                <c:pt idx="150">
                  <c:v>2.0533333333333332</c:v>
                </c:pt>
                <c:pt idx="151">
                  <c:v>2.052980132450331</c:v>
                </c:pt>
                <c:pt idx="152">
                  <c:v>2.0460526315789473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まっつん2!$E$3:$E$155</c:f>
              <c:numCache>
                <c:formatCode>0.0%</c:formatCode>
                <c:ptCount val="15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  <c:pt idx="119">
                  <c:v>0.25210084033613445</c:v>
                </c:pt>
                <c:pt idx="120">
                  <c:v>0.25</c:v>
                </c:pt>
                <c:pt idx="121">
                  <c:v>0.24793388429752067</c:v>
                </c:pt>
                <c:pt idx="122">
                  <c:v>0.24590163934426229</c:v>
                </c:pt>
                <c:pt idx="123">
                  <c:v>0.24390243902439024</c:v>
                </c:pt>
                <c:pt idx="124">
                  <c:v>0.24193548387096775</c:v>
                </c:pt>
                <c:pt idx="125">
                  <c:v>0.24</c:v>
                </c:pt>
                <c:pt idx="126">
                  <c:v>0.23809523809523808</c:v>
                </c:pt>
                <c:pt idx="127">
                  <c:v>0.23622047244094488</c:v>
                </c:pt>
                <c:pt idx="128">
                  <c:v>0.234375</c:v>
                </c:pt>
                <c:pt idx="129">
                  <c:v>0.23255813953488372</c:v>
                </c:pt>
                <c:pt idx="130">
                  <c:v>0.23076923076923078</c:v>
                </c:pt>
                <c:pt idx="131">
                  <c:v>0.22900763358778625</c:v>
                </c:pt>
                <c:pt idx="132">
                  <c:v>0.22727272727272727</c:v>
                </c:pt>
                <c:pt idx="133">
                  <c:v>0.22556390977443608</c:v>
                </c:pt>
                <c:pt idx="134">
                  <c:v>0.23134328358208955</c:v>
                </c:pt>
                <c:pt idx="135">
                  <c:v>0.22962962962962963</c:v>
                </c:pt>
                <c:pt idx="136">
                  <c:v>0.23529411764705882</c:v>
                </c:pt>
                <c:pt idx="137">
                  <c:v>0.24087591240875914</c:v>
                </c:pt>
                <c:pt idx="138">
                  <c:v>0.2391304347826087</c:v>
                </c:pt>
                <c:pt idx="139">
                  <c:v>0.2446043165467626</c:v>
                </c:pt>
                <c:pt idx="140">
                  <c:v>0.25</c:v>
                </c:pt>
                <c:pt idx="141">
                  <c:v>0.24822695035460993</c:v>
                </c:pt>
                <c:pt idx="142">
                  <c:v>0.24647887323943662</c:v>
                </c:pt>
                <c:pt idx="143">
                  <c:v>0.24475524475524477</c:v>
                </c:pt>
                <c:pt idx="144">
                  <c:v>0.25</c:v>
                </c:pt>
                <c:pt idx="145">
                  <c:v>0.25517241379310346</c:v>
                </c:pt>
                <c:pt idx="146">
                  <c:v>0.25342465753424659</c:v>
                </c:pt>
                <c:pt idx="147">
                  <c:v>0.25170068027210885</c:v>
                </c:pt>
                <c:pt idx="148">
                  <c:v>0.25</c:v>
                </c:pt>
                <c:pt idx="149">
                  <c:v>0.24832214765100671</c:v>
                </c:pt>
                <c:pt idx="150">
                  <c:v>0.24666666666666667</c:v>
                </c:pt>
                <c:pt idx="151">
                  <c:v>0.24503311258278146</c:v>
                </c:pt>
                <c:pt idx="15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まっつん2!$F$3:$F$155</c:f>
              <c:numCache>
                <c:formatCode>0.0%</c:formatCode>
                <c:ptCount val="15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  <c:pt idx="119">
                  <c:v>0.27731092436974791</c:v>
                </c:pt>
                <c:pt idx="120">
                  <c:v>0.28333333333333333</c:v>
                </c:pt>
                <c:pt idx="121">
                  <c:v>0.28925619834710742</c:v>
                </c:pt>
                <c:pt idx="122">
                  <c:v>0.29508196721311475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0.32558139534883723</c:v>
                </c:pt>
                <c:pt idx="130">
                  <c:v>0.32307692307692309</c:v>
                </c:pt>
                <c:pt idx="131">
                  <c:v>0.32061068702290074</c:v>
                </c:pt>
                <c:pt idx="132">
                  <c:v>0.31818181818181818</c:v>
                </c:pt>
                <c:pt idx="133">
                  <c:v>0.31578947368421051</c:v>
                </c:pt>
                <c:pt idx="134">
                  <c:v>0.31343283582089554</c:v>
                </c:pt>
                <c:pt idx="135">
                  <c:v>0.31111111111111112</c:v>
                </c:pt>
                <c:pt idx="136">
                  <c:v>0.30882352941176472</c:v>
                </c:pt>
                <c:pt idx="137">
                  <c:v>0.30656934306569344</c:v>
                </c:pt>
                <c:pt idx="138">
                  <c:v>0.30434782608695654</c:v>
                </c:pt>
                <c:pt idx="139">
                  <c:v>0.30215827338129497</c:v>
                </c:pt>
                <c:pt idx="140">
                  <c:v>0.3</c:v>
                </c:pt>
                <c:pt idx="141">
                  <c:v>0.2978723404255319</c:v>
                </c:pt>
                <c:pt idx="142">
                  <c:v>0.30281690140845069</c:v>
                </c:pt>
                <c:pt idx="143">
                  <c:v>0.30069930069930068</c:v>
                </c:pt>
                <c:pt idx="144">
                  <c:v>0.2986111111111111</c:v>
                </c:pt>
                <c:pt idx="145">
                  <c:v>0.29655172413793102</c:v>
                </c:pt>
                <c:pt idx="146">
                  <c:v>0.29452054794520549</c:v>
                </c:pt>
                <c:pt idx="147">
                  <c:v>0.29931972789115646</c:v>
                </c:pt>
                <c:pt idx="148">
                  <c:v>0.29729729729729731</c:v>
                </c:pt>
                <c:pt idx="149">
                  <c:v>0.30201342281879195</c:v>
                </c:pt>
                <c:pt idx="150">
                  <c:v>0.3</c:v>
                </c:pt>
                <c:pt idx="151">
                  <c:v>0.29801324503311261</c:v>
                </c:pt>
                <c:pt idx="152">
                  <c:v>0.29605263157894735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まっつん2!$G$3:$G$155</c:f>
              <c:numCache>
                <c:formatCode>0.0%</c:formatCode>
                <c:ptCount val="153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  <c:pt idx="119">
                  <c:v>0.28838174273858919</c:v>
                </c:pt>
                <c:pt idx="120">
                  <c:v>0.28717948717948716</c:v>
                </c:pt>
                <c:pt idx="121">
                  <c:v>0.28629441624365481</c:v>
                </c:pt>
                <c:pt idx="122">
                  <c:v>0.28528225806451613</c:v>
                </c:pt>
                <c:pt idx="123">
                  <c:v>0.28243512974051899</c:v>
                </c:pt>
                <c:pt idx="124">
                  <c:v>0.28019801980198022</c:v>
                </c:pt>
                <c:pt idx="125">
                  <c:v>0.27952755905511811</c:v>
                </c:pt>
                <c:pt idx="126">
                  <c:v>0.27918287937743191</c:v>
                </c:pt>
                <c:pt idx="127">
                  <c:v>0.27895752895752896</c:v>
                </c:pt>
                <c:pt idx="128">
                  <c:v>0.27681992337164751</c:v>
                </c:pt>
                <c:pt idx="129">
                  <c:v>0.27619047619047621</c:v>
                </c:pt>
                <c:pt idx="130">
                  <c:v>0.27573182247403211</c:v>
                </c:pt>
                <c:pt idx="131">
                  <c:v>0.27450980392156865</c:v>
                </c:pt>
                <c:pt idx="132">
                  <c:v>0.27525486561631141</c:v>
                </c:pt>
                <c:pt idx="133">
                  <c:v>0.27532228360957645</c:v>
                </c:pt>
                <c:pt idx="134">
                  <c:v>0.2783882783882784</c:v>
                </c:pt>
                <c:pt idx="135">
                  <c:v>0.27636363636363637</c:v>
                </c:pt>
                <c:pt idx="136">
                  <c:v>0.2788808664259928</c:v>
                </c:pt>
                <c:pt idx="137">
                  <c:v>0.28071748878923769</c:v>
                </c:pt>
                <c:pt idx="138">
                  <c:v>0.27960819234194123</c:v>
                </c:pt>
                <c:pt idx="139">
                  <c:v>0.27939876215738285</c:v>
                </c:pt>
                <c:pt idx="140">
                  <c:v>0.27978817299205649</c:v>
                </c:pt>
                <c:pt idx="141">
                  <c:v>0.27982456140350875</c:v>
                </c:pt>
                <c:pt idx="142">
                  <c:v>0.2795138888888889</c:v>
                </c:pt>
                <c:pt idx="143">
                  <c:v>0.27906976744186046</c:v>
                </c:pt>
                <c:pt idx="144">
                  <c:v>0.28082191780821919</c:v>
                </c:pt>
                <c:pt idx="145">
                  <c:v>0.28194207836456558</c:v>
                </c:pt>
                <c:pt idx="146">
                  <c:v>0.28172588832487311</c:v>
                </c:pt>
                <c:pt idx="147">
                  <c:v>0.28067226890756303</c:v>
                </c:pt>
                <c:pt idx="148">
                  <c:v>0.28056951423785592</c:v>
                </c:pt>
                <c:pt idx="149">
                  <c:v>0.2793017456359102</c:v>
                </c:pt>
                <c:pt idx="150">
                  <c:v>0.27933884297520661</c:v>
                </c:pt>
                <c:pt idx="151">
                  <c:v>0.27937551355792933</c:v>
                </c:pt>
                <c:pt idx="152">
                  <c:v>0.27908868999186331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28094013955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まっつん2!$H$3:$H$155</c:f>
              <c:numCache>
                <c:formatCode>0.0%</c:formatCode>
                <c:ptCount val="153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  <c:pt idx="119">
                  <c:v>0.13278008298755187</c:v>
                </c:pt>
                <c:pt idx="120">
                  <c:v>0.13435897435897437</c:v>
                </c:pt>
                <c:pt idx="121">
                  <c:v>0.13604060913705585</c:v>
                </c:pt>
                <c:pt idx="122">
                  <c:v>0.13608870967741934</c:v>
                </c:pt>
                <c:pt idx="123">
                  <c:v>0.13672654690618763</c:v>
                </c:pt>
                <c:pt idx="124">
                  <c:v>0.13663366336633664</c:v>
                </c:pt>
                <c:pt idx="125">
                  <c:v>0.13681102362204725</c:v>
                </c:pt>
                <c:pt idx="126">
                  <c:v>0.13910505836575876</c:v>
                </c:pt>
                <c:pt idx="127">
                  <c:v>0.13996138996138996</c:v>
                </c:pt>
                <c:pt idx="128">
                  <c:v>0.1417624521072797</c:v>
                </c:pt>
                <c:pt idx="129">
                  <c:v>0.14190476190476189</c:v>
                </c:pt>
                <c:pt idx="130">
                  <c:v>0.14069877242681775</c:v>
                </c:pt>
                <c:pt idx="131">
                  <c:v>0.1419234360410831</c:v>
                </c:pt>
                <c:pt idx="132">
                  <c:v>0.14179796107506951</c:v>
                </c:pt>
                <c:pt idx="133">
                  <c:v>0.14088397790055249</c:v>
                </c:pt>
                <c:pt idx="134">
                  <c:v>0.14010989010989011</c:v>
                </c:pt>
                <c:pt idx="135">
                  <c:v>0.1390909090909091</c:v>
                </c:pt>
                <c:pt idx="136">
                  <c:v>0.13898916967509026</c:v>
                </c:pt>
                <c:pt idx="137">
                  <c:v>0.13901345291479822</c:v>
                </c:pt>
                <c:pt idx="138">
                  <c:v>0.13802315227070347</c:v>
                </c:pt>
                <c:pt idx="139">
                  <c:v>0.13881520778072501</c:v>
                </c:pt>
                <c:pt idx="140">
                  <c:v>0.13857016769638128</c:v>
                </c:pt>
                <c:pt idx="141">
                  <c:v>0.13859649122807016</c:v>
                </c:pt>
                <c:pt idx="142">
                  <c:v>0.1388888888888889</c:v>
                </c:pt>
                <c:pt idx="143">
                  <c:v>0.13953488372093023</c:v>
                </c:pt>
                <c:pt idx="144">
                  <c:v>0.1386986301369863</c:v>
                </c:pt>
                <c:pt idx="145">
                  <c:v>0.13798977853492334</c:v>
                </c:pt>
                <c:pt idx="146">
                  <c:v>0.13874788494077833</c:v>
                </c:pt>
                <c:pt idx="147">
                  <c:v>0.13781512605042018</c:v>
                </c:pt>
                <c:pt idx="148">
                  <c:v>0.13735343383584589</c:v>
                </c:pt>
                <c:pt idx="149">
                  <c:v>0.1396508728179551</c:v>
                </c:pt>
                <c:pt idx="150">
                  <c:v>0.13884297520661157</c:v>
                </c:pt>
                <c:pt idx="151">
                  <c:v>0.13968775677896467</c:v>
                </c:pt>
                <c:pt idx="152">
                  <c:v>0.13832384052074859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239931448157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まっつん2!$I$3:$I$155</c:f>
              <c:numCache>
                <c:formatCode>0</c:formatCode>
                <c:ptCount val="153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  <c:pt idx="119">
                  <c:v>8341.0071942446048</c:v>
                </c:pt>
                <c:pt idx="120">
                  <c:v>8314.2857142857138</c:v>
                </c:pt>
                <c:pt idx="121">
                  <c:v>8310.9929078014193</c:v>
                </c:pt>
                <c:pt idx="122">
                  <c:v>8295.4063604240291</c:v>
                </c:pt>
                <c:pt idx="123">
                  <c:v>8295.4063604240291</c:v>
                </c:pt>
                <c:pt idx="124">
                  <c:v>8295.4063604240291</c:v>
                </c:pt>
                <c:pt idx="125">
                  <c:v>8294.3661971830988</c:v>
                </c:pt>
                <c:pt idx="126">
                  <c:v>8252.6132404181189</c:v>
                </c:pt>
                <c:pt idx="127">
                  <c:v>8278.5467128027685</c:v>
                </c:pt>
                <c:pt idx="128">
                  <c:v>8278.5467128027685</c:v>
                </c:pt>
                <c:pt idx="129">
                  <c:v>8276.5517241379312</c:v>
                </c:pt>
                <c:pt idx="130">
                  <c:v>8255.1369863013697</c:v>
                </c:pt>
                <c:pt idx="131">
                  <c:v>8236.3945578231287</c:v>
                </c:pt>
                <c:pt idx="132">
                  <c:v>8234.0067340067344</c:v>
                </c:pt>
                <c:pt idx="133">
                  <c:v>8245.8193979933112</c:v>
                </c:pt>
                <c:pt idx="134">
                  <c:v>8185.5263157894733</c:v>
                </c:pt>
                <c:pt idx="135">
                  <c:v>8185.5263157894733</c:v>
                </c:pt>
                <c:pt idx="136">
                  <c:v>8178.9644012944982</c:v>
                </c:pt>
                <c:pt idx="137">
                  <c:v>8156.2300319488822</c:v>
                </c:pt>
                <c:pt idx="138">
                  <c:v>8147.1337579617839</c:v>
                </c:pt>
                <c:pt idx="139">
                  <c:v>8158.8607594936711</c:v>
                </c:pt>
                <c:pt idx="140">
                  <c:v>8284.5425867507893</c:v>
                </c:pt>
                <c:pt idx="141">
                  <c:v>8274.2946708463951</c:v>
                </c:pt>
                <c:pt idx="142">
                  <c:v>8240.9937888198765</c:v>
                </c:pt>
                <c:pt idx="143">
                  <c:v>8250.9259259259252</c:v>
                </c:pt>
                <c:pt idx="144">
                  <c:v>8271.0365853658532</c:v>
                </c:pt>
                <c:pt idx="145">
                  <c:v>8345.9214501510578</c:v>
                </c:pt>
                <c:pt idx="146">
                  <c:v>8336.3363363363369</c:v>
                </c:pt>
                <c:pt idx="147">
                  <c:v>8347.3053892215576</c:v>
                </c:pt>
                <c:pt idx="148">
                  <c:v>8358.2089552238813</c:v>
                </c:pt>
                <c:pt idx="149">
                  <c:v>8404.7619047619046</c:v>
                </c:pt>
                <c:pt idx="150">
                  <c:v>8396.7455621301779</c:v>
                </c:pt>
                <c:pt idx="151">
                  <c:v>8406.176470588236</c:v>
                </c:pt>
                <c:pt idx="152">
                  <c:v>8460.0583090379005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2.69326683291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まっつん2!$J$3:$J$155</c:f>
              <c:numCache>
                <c:formatCode>0</c:formatCode>
                <c:ptCount val="153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  <c:pt idx="119">
                  <c:v>-7268.75</c:v>
                </c:pt>
                <c:pt idx="120">
                  <c:v>-7283.2061068702287</c:v>
                </c:pt>
                <c:pt idx="121">
                  <c:v>-7288.8059701492539</c:v>
                </c:pt>
                <c:pt idx="122">
                  <c:v>-7273.333333333333</c:v>
                </c:pt>
                <c:pt idx="123">
                  <c:v>-7233.5766423357663</c:v>
                </c:pt>
                <c:pt idx="124">
                  <c:v>-7192.753623188406</c:v>
                </c:pt>
                <c:pt idx="125">
                  <c:v>-7198.5611510791368</c:v>
                </c:pt>
                <c:pt idx="126">
                  <c:v>-7162.9370629370633</c:v>
                </c:pt>
                <c:pt idx="127">
                  <c:v>-7157.2413793103451</c:v>
                </c:pt>
                <c:pt idx="128">
                  <c:v>-7159.4594594594591</c:v>
                </c:pt>
                <c:pt idx="129">
                  <c:v>-7191.9463087248323</c:v>
                </c:pt>
                <c:pt idx="130">
                  <c:v>-7191.9463087248323</c:v>
                </c:pt>
                <c:pt idx="131">
                  <c:v>-7076.3157894736842</c:v>
                </c:pt>
                <c:pt idx="132">
                  <c:v>-7108.4967320261439</c:v>
                </c:pt>
                <c:pt idx="133">
                  <c:v>-7108.4967320261439</c:v>
                </c:pt>
                <c:pt idx="134">
                  <c:v>-7108.4967320261439</c:v>
                </c:pt>
                <c:pt idx="135">
                  <c:v>-7108.4967320261439</c:v>
                </c:pt>
                <c:pt idx="136">
                  <c:v>-7140.2597402597403</c:v>
                </c:pt>
                <c:pt idx="137">
                  <c:v>-7102.5806451612907</c:v>
                </c:pt>
                <c:pt idx="138">
                  <c:v>-7102.5806451612907</c:v>
                </c:pt>
                <c:pt idx="139">
                  <c:v>-7075.7961783439487</c:v>
                </c:pt>
                <c:pt idx="140">
                  <c:v>-7075.7961783439487</c:v>
                </c:pt>
                <c:pt idx="141">
                  <c:v>-7106.9620253164558</c:v>
                </c:pt>
                <c:pt idx="142">
                  <c:v>-7051.875</c:v>
                </c:pt>
                <c:pt idx="143">
                  <c:v>-7036.4197530864194</c:v>
                </c:pt>
                <c:pt idx="144">
                  <c:v>-7036.4197530864194</c:v>
                </c:pt>
                <c:pt idx="145">
                  <c:v>-7036.4197530864194</c:v>
                </c:pt>
                <c:pt idx="146">
                  <c:v>-6992.0731707317073</c:v>
                </c:pt>
                <c:pt idx="147">
                  <c:v>-6992.0731707317073</c:v>
                </c:pt>
                <c:pt idx="148">
                  <c:v>-6992.0731707317073</c:v>
                </c:pt>
                <c:pt idx="149">
                  <c:v>-7115.4761904761908</c:v>
                </c:pt>
                <c:pt idx="150">
                  <c:v>-7115.4761904761908</c:v>
                </c:pt>
                <c:pt idx="151">
                  <c:v>-7117.6470588235297</c:v>
                </c:pt>
                <c:pt idx="152">
                  <c:v>-7117.6470588235297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39.19022154316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まっつん2!$K$3:$K$155</c:f>
              <c:numCache>
                <c:formatCode>0.0%</c:formatCode>
                <c:ptCount val="15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  <c:pt idx="119">
                  <c:v>6.7226890756302518E-2</c:v>
                </c:pt>
                <c:pt idx="120">
                  <c:v>6.6666666666666666E-2</c:v>
                </c:pt>
                <c:pt idx="121">
                  <c:v>6.6115702479338845E-2</c:v>
                </c:pt>
                <c:pt idx="122">
                  <c:v>6.5573770491803282E-2</c:v>
                </c:pt>
                <c:pt idx="123">
                  <c:v>6.5040650406504072E-2</c:v>
                </c:pt>
                <c:pt idx="124">
                  <c:v>6.4516129032258063E-2</c:v>
                </c:pt>
                <c:pt idx="125">
                  <c:v>6.4000000000000001E-2</c:v>
                </c:pt>
                <c:pt idx="126">
                  <c:v>7.1428571428571425E-2</c:v>
                </c:pt>
                <c:pt idx="127">
                  <c:v>7.0866141732283464E-2</c:v>
                </c:pt>
                <c:pt idx="128">
                  <c:v>7.8125E-2</c:v>
                </c:pt>
                <c:pt idx="129">
                  <c:v>7.7519379844961239E-2</c:v>
                </c:pt>
                <c:pt idx="130">
                  <c:v>7.6923076923076927E-2</c:v>
                </c:pt>
                <c:pt idx="131">
                  <c:v>7.6335877862595422E-2</c:v>
                </c:pt>
                <c:pt idx="132">
                  <c:v>7.575757575757576E-2</c:v>
                </c:pt>
                <c:pt idx="133">
                  <c:v>7.5187969924812026E-2</c:v>
                </c:pt>
                <c:pt idx="134">
                  <c:v>7.4626865671641784E-2</c:v>
                </c:pt>
                <c:pt idx="135">
                  <c:v>7.407407407407407E-2</c:v>
                </c:pt>
                <c:pt idx="136">
                  <c:v>7.3529411764705885E-2</c:v>
                </c:pt>
                <c:pt idx="137">
                  <c:v>7.2992700729927001E-2</c:v>
                </c:pt>
                <c:pt idx="138">
                  <c:v>7.2463768115942032E-2</c:v>
                </c:pt>
                <c:pt idx="139">
                  <c:v>7.1942446043165464E-2</c:v>
                </c:pt>
                <c:pt idx="140">
                  <c:v>7.1428571428571425E-2</c:v>
                </c:pt>
                <c:pt idx="141">
                  <c:v>7.0921985815602842E-2</c:v>
                </c:pt>
                <c:pt idx="142">
                  <c:v>7.0422535211267609E-2</c:v>
                </c:pt>
                <c:pt idx="143">
                  <c:v>6.9930069930069935E-2</c:v>
                </c:pt>
                <c:pt idx="144">
                  <c:v>6.9444444444444448E-2</c:v>
                </c:pt>
                <c:pt idx="145">
                  <c:v>6.8965517241379309E-2</c:v>
                </c:pt>
                <c:pt idx="146">
                  <c:v>6.8493150684931503E-2</c:v>
                </c:pt>
                <c:pt idx="147">
                  <c:v>6.8027210884353748E-2</c:v>
                </c:pt>
                <c:pt idx="148">
                  <c:v>6.7567567567567571E-2</c:v>
                </c:pt>
                <c:pt idx="149">
                  <c:v>7.3825503355704702E-2</c:v>
                </c:pt>
                <c:pt idx="150">
                  <c:v>7.3333333333333334E-2</c:v>
                </c:pt>
                <c:pt idx="151">
                  <c:v>7.2847682119205295E-2</c:v>
                </c:pt>
                <c:pt idx="152">
                  <c:v>7.2368421052631582E-2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04703476482617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まっつん2!$L$3:$L$155</c:f>
              <c:numCache>
                <c:formatCode>0.0%</c:formatCode>
                <c:ptCount val="153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  <c:pt idx="119">
                  <c:v>0.26763485477178423</c:v>
                </c:pt>
                <c:pt idx="120">
                  <c:v>0.26871794871794874</c:v>
                </c:pt>
                <c:pt idx="121">
                  <c:v>0.26802030456852793</c:v>
                </c:pt>
                <c:pt idx="122">
                  <c:v>0.26915322580645162</c:v>
                </c:pt>
                <c:pt idx="123">
                  <c:v>0.27045908183632733</c:v>
                </c:pt>
                <c:pt idx="124">
                  <c:v>0.26831683168316833</c:v>
                </c:pt>
                <c:pt idx="125">
                  <c:v>0.26771653543307089</c:v>
                </c:pt>
                <c:pt idx="126">
                  <c:v>0.26653696498054474</c:v>
                </c:pt>
                <c:pt idx="127">
                  <c:v>0.2673745173745174</c:v>
                </c:pt>
                <c:pt idx="128">
                  <c:v>0.26532567049808431</c:v>
                </c:pt>
                <c:pt idx="129">
                  <c:v>0.26476190476190475</c:v>
                </c:pt>
                <c:pt idx="130">
                  <c:v>0.26628895184135976</c:v>
                </c:pt>
                <c:pt idx="131">
                  <c:v>0.26610644257703081</c:v>
                </c:pt>
                <c:pt idx="132">
                  <c:v>0.26413345690454126</c:v>
                </c:pt>
                <c:pt idx="133">
                  <c:v>0.26427255985267034</c:v>
                </c:pt>
                <c:pt idx="134">
                  <c:v>0.26465201465201466</c:v>
                </c:pt>
                <c:pt idx="135">
                  <c:v>0.26363636363636361</c:v>
                </c:pt>
                <c:pt idx="136">
                  <c:v>0.26353790613718414</c:v>
                </c:pt>
                <c:pt idx="137">
                  <c:v>0.26457399103139012</c:v>
                </c:pt>
                <c:pt idx="138">
                  <c:v>0.26357969723953695</c:v>
                </c:pt>
                <c:pt idx="139">
                  <c:v>0.2625994694960212</c:v>
                </c:pt>
                <c:pt idx="140">
                  <c:v>0.26213592233009708</c:v>
                </c:pt>
                <c:pt idx="141">
                  <c:v>0.26315789473684209</c:v>
                </c:pt>
                <c:pt idx="142">
                  <c:v>0.26041666666666669</c:v>
                </c:pt>
                <c:pt idx="143">
                  <c:v>0.26012058570198104</c:v>
                </c:pt>
                <c:pt idx="144">
                  <c:v>0.26113013698630139</c:v>
                </c:pt>
                <c:pt idx="145">
                  <c:v>0.26064735945485518</c:v>
                </c:pt>
                <c:pt idx="146">
                  <c:v>0.25888324873096447</c:v>
                </c:pt>
                <c:pt idx="147">
                  <c:v>0.25798319327731095</c:v>
                </c:pt>
                <c:pt idx="148">
                  <c:v>0.25795644891122277</c:v>
                </c:pt>
                <c:pt idx="149">
                  <c:v>0.256857855361596</c:v>
                </c:pt>
                <c:pt idx="150">
                  <c:v>0.25702479338842976</c:v>
                </c:pt>
                <c:pt idx="151">
                  <c:v>0.2563681183237469</c:v>
                </c:pt>
                <c:pt idx="152">
                  <c:v>0.2563059397884459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581466519769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まっつん2!$M$3:$M$155</c:f>
              <c:numCache>
                <c:formatCode>0.0%</c:formatCode>
                <c:ptCount val="153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  <c:pt idx="119">
                  <c:v>0.22095435684647302</c:v>
                </c:pt>
                <c:pt idx="120">
                  <c:v>0.2194871794871795</c:v>
                </c:pt>
                <c:pt idx="121">
                  <c:v>0.22030456852791877</c:v>
                </c:pt>
                <c:pt idx="122">
                  <c:v>0.22076612903225806</c:v>
                </c:pt>
                <c:pt idx="123">
                  <c:v>0.21956087824351297</c:v>
                </c:pt>
                <c:pt idx="124">
                  <c:v>0.22079207920792079</c:v>
                </c:pt>
                <c:pt idx="125">
                  <c:v>0.22244094488188976</c:v>
                </c:pt>
                <c:pt idx="126">
                  <c:v>0.2227626459143969</c:v>
                </c:pt>
                <c:pt idx="127">
                  <c:v>0.22200772200772201</c:v>
                </c:pt>
                <c:pt idx="128">
                  <c:v>0.22318007662835249</c:v>
                </c:pt>
                <c:pt idx="129">
                  <c:v>0.22476190476190477</c:v>
                </c:pt>
                <c:pt idx="130">
                  <c:v>0.22379603399433429</c:v>
                </c:pt>
                <c:pt idx="131">
                  <c:v>0.2250233426704015</c:v>
                </c:pt>
                <c:pt idx="132">
                  <c:v>0.22613531047265986</c:v>
                </c:pt>
                <c:pt idx="133">
                  <c:v>0.22559852670349909</c:v>
                </c:pt>
                <c:pt idx="134">
                  <c:v>0.2271062271062271</c:v>
                </c:pt>
                <c:pt idx="135">
                  <c:v>0.22818181818181818</c:v>
                </c:pt>
                <c:pt idx="136">
                  <c:v>0.23104693140794225</c:v>
                </c:pt>
                <c:pt idx="137">
                  <c:v>0.23139013452914797</c:v>
                </c:pt>
                <c:pt idx="138">
                  <c:v>0.23063223508459482</c:v>
                </c:pt>
                <c:pt idx="139">
                  <c:v>0.23076923076923078</c:v>
                </c:pt>
                <c:pt idx="140">
                  <c:v>0.23036187113857018</c:v>
                </c:pt>
                <c:pt idx="141">
                  <c:v>0.22982456140350876</c:v>
                </c:pt>
                <c:pt idx="142">
                  <c:v>0.23177083333333334</c:v>
                </c:pt>
                <c:pt idx="143">
                  <c:v>0.23083548664944015</c:v>
                </c:pt>
                <c:pt idx="144">
                  <c:v>0.23202054794520549</c:v>
                </c:pt>
                <c:pt idx="145">
                  <c:v>0.23168654173764908</c:v>
                </c:pt>
                <c:pt idx="146">
                  <c:v>0.2326565143824027</c:v>
                </c:pt>
                <c:pt idx="147">
                  <c:v>0.23193277310924371</c:v>
                </c:pt>
                <c:pt idx="148">
                  <c:v>0.23115577889447236</c:v>
                </c:pt>
                <c:pt idx="149">
                  <c:v>0.23108894430590191</c:v>
                </c:pt>
                <c:pt idx="150">
                  <c:v>0.23057851239669422</c:v>
                </c:pt>
                <c:pt idx="151">
                  <c:v>0.23089564502875926</c:v>
                </c:pt>
                <c:pt idx="152">
                  <c:v>0.23026851098454026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974537887134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まっつん2!$N$3:$N$155</c:f>
              <c:numCache>
                <c:formatCode>0.0%</c:formatCode>
                <c:ptCount val="153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  <c:pt idx="119">
                  <c:v>0.56589147286821706</c:v>
                </c:pt>
                <c:pt idx="120">
                  <c:v>0.56106870229007633</c:v>
                </c:pt>
                <c:pt idx="121">
                  <c:v>0.56060606060606055</c:v>
                </c:pt>
                <c:pt idx="122">
                  <c:v>0.55805243445692887</c:v>
                </c:pt>
                <c:pt idx="123">
                  <c:v>0.54981549815498154</c:v>
                </c:pt>
                <c:pt idx="124">
                  <c:v>0.54981549815498154</c:v>
                </c:pt>
                <c:pt idx="125">
                  <c:v>0.54779411764705888</c:v>
                </c:pt>
                <c:pt idx="126">
                  <c:v>0.54744525547445255</c:v>
                </c:pt>
                <c:pt idx="127">
                  <c:v>0.54512635379061369</c:v>
                </c:pt>
                <c:pt idx="128">
                  <c:v>0.54512635379061369</c:v>
                </c:pt>
                <c:pt idx="129">
                  <c:v>0.5467625899280576</c:v>
                </c:pt>
                <c:pt idx="130">
                  <c:v>0.54609929078014185</c:v>
                </c:pt>
                <c:pt idx="131">
                  <c:v>0.54736842105263162</c:v>
                </c:pt>
                <c:pt idx="132">
                  <c:v>0.54736842105263162</c:v>
                </c:pt>
                <c:pt idx="133">
                  <c:v>0.54703832752613235</c:v>
                </c:pt>
                <c:pt idx="134">
                  <c:v>0.55017301038062283</c:v>
                </c:pt>
                <c:pt idx="135">
                  <c:v>0.5482758620689655</c:v>
                </c:pt>
                <c:pt idx="136">
                  <c:v>0.54794520547945202</c:v>
                </c:pt>
                <c:pt idx="137">
                  <c:v>0.54915254237288136</c:v>
                </c:pt>
                <c:pt idx="138">
                  <c:v>0.55067567567567566</c:v>
                </c:pt>
                <c:pt idx="139">
                  <c:v>0.55218855218855223</c:v>
                </c:pt>
                <c:pt idx="140">
                  <c:v>0.55218855218855223</c:v>
                </c:pt>
                <c:pt idx="141">
                  <c:v>0.55333333333333334</c:v>
                </c:pt>
                <c:pt idx="142">
                  <c:v>0.55333333333333334</c:v>
                </c:pt>
                <c:pt idx="143">
                  <c:v>0.55298013245033117</c:v>
                </c:pt>
                <c:pt idx="144">
                  <c:v>0.5540983606557377</c:v>
                </c:pt>
                <c:pt idx="145">
                  <c:v>0.55555555555555558</c:v>
                </c:pt>
                <c:pt idx="146">
                  <c:v>0.55555555555555558</c:v>
                </c:pt>
                <c:pt idx="147">
                  <c:v>0.55374592833876224</c:v>
                </c:pt>
                <c:pt idx="148">
                  <c:v>0.55519480519480524</c:v>
                </c:pt>
                <c:pt idx="149">
                  <c:v>0.55663430420711979</c:v>
                </c:pt>
                <c:pt idx="150">
                  <c:v>0.5562700964630225</c:v>
                </c:pt>
                <c:pt idx="151">
                  <c:v>0.55769230769230771</c:v>
                </c:pt>
                <c:pt idx="152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958475818270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まっつん2!$O$3:$O$155</c:f>
              <c:numCache>
                <c:formatCode>0.0%</c:formatCode>
                <c:ptCount val="153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  <c:pt idx="119">
                  <c:v>0.44131455399061031</c:v>
                </c:pt>
                <c:pt idx="120">
                  <c:v>0.44392523364485981</c:v>
                </c:pt>
                <c:pt idx="121">
                  <c:v>0.44239631336405533</c:v>
                </c:pt>
                <c:pt idx="122">
                  <c:v>0.43835616438356162</c:v>
                </c:pt>
                <c:pt idx="123">
                  <c:v>0.43636363636363634</c:v>
                </c:pt>
                <c:pt idx="124">
                  <c:v>0.43049327354260092</c:v>
                </c:pt>
                <c:pt idx="125">
                  <c:v>0.42920353982300885</c:v>
                </c:pt>
                <c:pt idx="126">
                  <c:v>0.43231441048034935</c:v>
                </c:pt>
                <c:pt idx="127">
                  <c:v>0.43043478260869567</c:v>
                </c:pt>
                <c:pt idx="128">
                  <c:v>0.42489270386266093</c:v>
                </c:pt>
                <c:pt idx="129">
                  <c:v>0.41949152542372881</c:v>
                </c:pt>
                <c:pt idx="130">
                  <c:v>0.41772151898734178</c:v>
                </c:pt>
                <c:pt idx="131">
                  <c:v>0.41078838174273857</c:v>
                </c:pt>
                <c:pt idx="132">
                  <c:v>0.41393442622950821</c:v>
                </c:pt>
                <c:pt idx="133">
                  <c:v>0.41632653061224489</c:v>
                </c:pt>
                <c:pt idx="134">
                  <c:v>0.42338709677419356</c:v>
                </c:pt>
                <c:pt idx="135">
                  <c:v>0.41832669322709165</c:v>
                </c:pt>
                <c:pt idx="136">
                  <c:v>0.42578125</c:v>
                </c:pt>
                <c:pt idx="137">
                  <c:v>0.43023255813953487</c:v>
                </c:pt>
                <c:pt idx="138">
                  <c:v>0.42857142857142855</c:v>
                </c:pt>
                <c:pt idx="139">
                  <c:v>0.42528735632183906</c:v>
                </c:pt>
                <c:pt idx="140">
                  <c:v>0.42528735632183906</c:v>
                </c:pt>
                <c:pt idx="141">
                  <c:v>0.42366412213740456</c:v>
                </c:pt>
                <c:pt idx="142">
                  <c:v>0.42322097378277151</c:v>
                </c:pt>
                <c:pt idx="143">
                  <c:v>0.42537313432835822</c:v>
                </c:pt>
                <c:pt idx="144">
                  <c:v>0.4280442804428044</c:v>
                </c:pt>
                <c:pt idx="145">
                  <c:v>0.43014705882352944</c:v>
                </c:pt>
                <c:pt idx="146">
                  <c:v>0.42545454545454547</c:v>
                </c:pt>
                <c:pt idx="147">
                  <c:v>0.42391304347826086</c:v>
                </c:pt>
                <c:pt idx="148">
                  <c:v>0.42391304347826086</c:v>
                </c:pt>
                <c:pt idx="149">
                  <c:v>0.42086330935251798</c:v>
                </c:pt>
                <c:pt idx="150">
                  <c:v>0.42293906810035842</c:v>
                </c:pt>
                <c:pt idx="151">
                  <c:v>0.42348754448398579</c:v>
                </c:pt>
                <c:pt idx="152">
                  <c:v>0.4204946996466431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997361477572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まっつん2!$A$3:$A$155</c:f>
              <c:numCache>
                <c:formatCode>0\ "回"</c:formatCode>
                <c:ptCount val="1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</c:numCache>
            </c:numRef>
          </c:xVal>
          <c:yVal>
            <c:numRef>
              <c:f>まっつん2!$P$3:$P$155</c:f>
              <c:numCache>
                <c:formatCode>0.0%</c:formatCode>
                <c:ptCount val="153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  <c:pt idx="119">
                  <c:v>0.4460431654676259</c:v>
                </c:pt>
                <c:pt idx="120">
                  <c:v>0.44642857142857145</c:v>
                </c:pt>
                <c:pt idx="121">
                  <c:v>0.44680851063829785</c:v>
                </c:pt>
                <c:pt idx="122">
                  <c:v>0.44522968197879859</c:v>
                </c:pt>
                <c:pt idx="123">
                  <c:v>0.44522968197879859</c:v>
                </c:pt>
                <c:pt idx="124">
                  <c:v>0.44522968197879859</c:v>
                </c:pt>
                <c:pt idx="125">
                  <c:v>0.44718309859154931</c:v>
                </c:pt>
                <c:pt idx="126">
                  <c:v>0.44599303135888502</c:v>
                </c:pt>
                <c:pt idx="127">
                  <c:v>0.44636678200692043</c:v>
                </c:pt>
                <c:pt idx="128">
                  <c:v>0.44636678200692043</c:v>
                </c:pt>
                <c:pt idx="129">
                  <c:v>0.44827586206896552</c:v>
                </c:pt>
                <c:pt idx="130">
                  <c:v>0.4452054794520548</c:v>
                </c:pt>
                <c:pt idx="131">
                  <c:v>0.445578231292517</c:v>
                </c:pt>
                <c:pt idx="132">
                  <c:v>0.44444444444444442</c:v>
                </c:pt>
                <c:pt idx="133">
                  <c:v>0.44481605351170567</c:v>
                </c:pt>
                <c:pt idx="134">
                  <c:v>0.44407894736842107</c:v>
                </c:pt>
                <c:pt idx="135">
                  <c:v>0.44407894736842107</c:v>
                </c:pt>
                <c:pt idx="136">
                  <c:v>0.44336569579288027</c:v>
                </c:pt>
                <c:pt idx="137">
                  <c:v>0.44089456869009586</c:v>
                </c:pt>
                <c:pt idx="138">
                  <c:v>0.4426751592356688</c:v>
                </c:pt>
                <c:pt idx="139">
                  <c:v>0.44303797468354428</c:v>
                </c:pt>
                <c:pt idx="140">
                  <c:v>0.44164037854889587</c:v>
                </c:pt>
                <c:pt idx="141">
                  <c:v>0.44200626959247646</c:v>
                </c:pt>
                <c:pt idx="142">
                  <c:v>0.44409937888198758</c:v>
                </c:pt>
                <c:pt idx="143">
                  <c:v>0.44753086419753085</c:v>
                </c:pt>
                <c:pt idx="144">
                  <c:v>0.44817073170731708</c:v>
                </c:pt>
                <c:pt idx="145">
                  <c:v>0.44712990936555891</c:v>
                </c:pt>
                <c:pt idx="146">
                  <c:v>0.44744744744744747</c:v>
                </c:pt>
                <c:pt idx="147">
                  <c:v>0.44610778443113774</c:v>
                </c:pt>
                <c:pt idx="148">
                  <c:v>0.44776119402985076</c:v>
                </c:pt>
                <c:pt idx="149">
                  <c:v>0.44642857142857145</c:v>
                </c:pt>
                <c:pt idx="150">
                  <c:v>0.44970414201183434</c:v>
                </c:pt>
                <c:pt idx="151">
                  <c:v>0.45294117647058824</c:v>
                </c:pt>
                <c:pt idx="152">
                  <c:v>0.45772594752186591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955943474646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2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303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304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305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306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307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308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978</v>
      </c>
    </row>
    <row r="2" spans="1:2" x14ac:dyDescent="0.45">
      <c r="A2" t="s">
        <v>161</v>
      </c>
      <c r="B2">
        <v>87</v>
      </c>
    </row>
    <row r="3" spans="1:2" x14ac:dyDescent="0.45">
      <c r="A3" t="s">
        <v>126</v>
      </c>
      <c r="B3">
        <v>196</v>
      </c>
    </row>
    <row r="4" spans="1:2" x14ac:dyDescent="0.45">
      <c r="A4" t="s">
        <v>127</v>
      </c>
      <c r="B4">
        <v>173</v>
      </c>
    </row>
    <row r="5" spans="1:2" x14ac:dyDescent="0.45">
      <c r="A5" t="s">
        <v>172</v>
      </c>
      <c r="B5">
        <v>100</v>
      </c>
    </row>
    <row r="6" spans="1:2" x14ac:dyDescent="0.45">
      <c r="A6" t="s">
        <v>170</v>
      </c>
      <c r="B6">
        <v>144</v>
      </c>
    </row>
    <row r="7" spans="1:2" x14ac:dyDescent="0.45">
      <c r="A7" t="s">
        <v>171</v>
      </c>
      <c r="B7">
        <v>152</v>
      </c>
    </row>
    <row r="8" spans="1:2" x14ac:dyDescent="0.45">
      <c r="A8" t="s">
        <v>197</v>
      </c>
      <c r="B8">
        <v>65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14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0.96768308041745632</v>
      </c>
      <c r="G2" s="163"/>
      <c r="H2" s="162">
        <v>0.86925691097293301</v>
      </c>
      <c r="I2" s="163"/>
      <c r="J2" s="162">
        <v>0.89746883426412505</v>
      </c>
      <c r="K2" s="163"/>
      <c r="L2" s="162">
        <v>0.52170400898746605</v>
      </c>
      <c r="M2" s="163"/>
      <c r="N2" s="162">
        <v>0.66473615120731433</v>
      </c>
      <c r="O2" s="163"/>
      <c r="P2" s="162">
        <v>0.44616776931858404</v>
      </c>
      <c r="Q2" s="163"/>
      <c r="R2" s="162">
        <v>0.10872038292926177</v>
      </c>
      <c r="S2" s="163"/>
      <c r="T2" s="162">
        <v>0.41534977565060582</v>
      </c>
      <c r="U2" s="163"/>
      <c r="V2" s="162">
        <v>0.42040061237626908</v>
      </c>
      <c r="W2" s="163"/>
      <c r="X2" s="162">
        <v>6.1125169261034437E-2</v>
      </c>
      <c r="Y2" s="163"/>
      <c r="Z2" s="162">
        <v>0.44753241456893778</v>
      </c>
      <c r="AA2" s="163"/>
      <c r="AB2" s="162">
        <v>-2.6832926245366897E-2</v>
      </c>
      <c r="AC2" s="163"/>
      <c r="AD2" s="162">
        <v>-5.1608080924895446E-2</v>
      </c>
      <c r="AE2" s="163"/>
      <c r="AF2" s="162">
        <v>0.86919370890728032</v>
      </c>
      <c r="AG2" s="163"/>
    </row>
    <row r="3" spans="1:33" x14ac:dyDescent="0.45">
      <c r="A3" s="70">
        <v>1</v>
      </c>
      <c r="B3" s="71" t="s">
        <v>126</v>
      </c>
      <c r="C3" s="72">
        <v>1834.0999999999997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11041.640378548896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480.90000000000055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0.23979591836734693</v>
      </c>
      <c r="L4" s="81" t="s">
        <v>281</v>
      </c>
      <c r="M4" s="84">
        <v>0.37681159420289856</v>
      </c>
      <c r="N4" s="81" t="s">
        <v>126</v>
      </c>
      <c r="O4" s="84">
        <v>0.12406947890818859</v>
      </c>
      <c r="P4" s="81" t="s">
        <v>281</v>
      </c>
      <c r="Q4" s="85">
        <v>9534.6153846153848</v>
      </c>
      <c r="R4" s="81" t="s">
        <v>171</v>
      </c>
      <c r="S4" s="85">
        <v>-7117.6470588235297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196</v>
      </c>
      <c r="AA4" s="84">
        <v>0.59677419354838712</v>
      </c>
      <c r="AB4" s="81" t="s">
        <v>274</v>
      </c>
      <c r="AC4" s="84">
        <v>0.75</v>
      </c>
      <c r="AD4" s="81" t="s">
        <v>274</v>
      </c>
      <c r="AE4" s="84">
        <v>0.52272727272727271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9.3576530612244877</v>
      </c>
      <c r="F5" s="81" t="s">
        <v>126</v>
      </c>
      <c r="G5" s="82">
        <v>1.7653061224489797</v>
      </c>
      <c r="H5" s="81" t="s">
        <v>126</v>
      </c>
      <c r="I5" s="83">
        <v>0.47448979591836737</v>
      </c>
      <c r="J5" s="81" t="s">
        <v>171</v>
      </c>
      <c r="K5" s="83">
        <v>0.29605263157894735</v>
      </c>
      <c r="L5" s="81" t="s">
        <v>274</v>
      </c>
      <c r="M5" s="84">
        <v>0.34920634920634919</v>
      </c>
      <c r="N5" s="81" t="s">
        <v>171</v>
      </c>
      <c r="O5" s="84">
        <v>0.13832384052074859</v>
      </c>
      <c r="P5" s="81" t="s">
        <v>280</v>
      </c>
      <c r="Q5" s="85">
        <v>8512.5</v>
      </c>
      <c r="R5" s="81" t="s">
        <v>161</v>
      </c>
      <c r="S5" s="85">
        <v>-7537.3015873015875</v>
      </c>
      <c r="T5" s="81" t="s">
        <v>126</v>
      </c>
      <c r="U5" s="83">
        <v>4.0816326530612242E-2</v>
      </c>
      <c r="V5" s="81" t="s">
        <v>274</v>
      </c>
      <c r="W5" s="84">
        <v>0.30952380952380953</v>
      </c>
      <c r="X5" s="81" t="s">
        <v>127</v>
      </c>
      <c r="Y5" s="84">
        <v>0.29881862404447534</v>
      </c>
      <c r="Z5" s="81" t="s">
        <v>274</v>
      </c>
      <c r="AA5" s="84">
        <v>0.58974358974358976</v>
      </c>
      <c r="AB5" s="81" t="s">
        <v>126</v>
      </c>
      <c r="AC5" s="84">
        <v>0.48556430446194226</v>
      </c>
      <c r="AD5" s="81" t="s">
        <v>170</v>
      </c>
      <c r="AE5" s="84">
        <v>0.51419558359621453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3.3395833333333371</v>
      </c>
      <c r="F6" s="81" t="s">
        <v>170</v>
      </c>
      <c r="G6" s="82">
        <v>1.9375</v>
      </c>
      <c r="H6" s="81" t="s">
        <v>228</v>
      </c>
      <c r="I6" s="83">
        <v>0.42857142857142855</v>
      </c>
      <c r="J6" s="81" t="s">
        <v>127</v>
      </c>
      <c r="K6" s="83">
        <v>0.32369942196531792</v>
      </c>
      <c r="L6" s="81" t="s">
        <v>126</v>
      </c>
      <c r="M6" s="84">
        <v>0.34429280397022333</v>
      </c>
      <c r="N6" s="81" t="s">
        <v>141</v>
      </c>
      <c r="O6" s="84">
        <v>0.16023993144815768</v>
      </c>
      <c r="P6" s="81" t="s">
        <v>171</v>
      </c>
      <c r="Q6" s="85">
        <v>8460.0583090379005</v>
      </c>
      <c r="R6" s="81" t="s">
        <v>172</v>
      </c>
      <c r="S6" s="85">
        <v>-7813.9240506329115</v>
      </c>
      <c r="T6" s="81" t="s">
        <v>171</v>
      </c>
      <c r="U6" s="83">
        <v>7.2368421052631582E-2</v>
      </c>
      <c r="V6" s="81" t="s">
        <v>170</v>
      </c>
      <c r="W6" s="84">
        <v>0.29820051413881749</v>
      </c>
      <c r="X6" s="81" t="s">
        <v>161</v>
      </c>
      <c r="Y6" s="84">
        <v>0.26336375488917863</v>
      </c>
      <c r="Z6" s="81" t="s">
        <v>126</v>
      </c>
      <c r="AA6" s="84">
        <v>0.58920187793427226</v>
      </c>
      <c r="AB6" s="81" t="s">
        <v>281</v>
      </c>
      <c r="AC6" s="84">
        <v>0.45454545454545453</v>
      </c>
      <c r="AD6" s="81" t="s">
        <v>172</v>
      </c>
      <c r="AE6" s="84">
        <v>0.46724890829694321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-6.3948846218409017E-14</v>
      </c>
      <c r="D7" s="81" t="s">
        <v>141</v>
      </c>
      <c r="E7" s="93">
        <v>-6.5387368321481617E-17</v>
      </c>
      <c r="F7" s="81" t="s">
        <v>127</v>
      </c>
      <c r="G7" s="82">
        <v>1.9884393063583814</v>
      </c>
      <c r="H7" s="81" t="s">
        <v>170</v>
      </c>
      <c r="I7" s="83">
        <v>0.3888888888888889</v>
      </c>
      <c r="J7" s="81" t="s">
        <v>170</v>
      </c>
      <c r="K7" s="83">
        <v>0.3263888888888889</v>
      </c>
      <c r="L7" s="81" t="s">
        <v>127</v>
      </c>
      <c r="M7" s="84">
        <v>0.31202223766504517</v>
      </c>
      <c r="N7" s="81" t="s">
        <v>161</v>
      </c>
      <c r="O7" s="84">
        <v>0.16427640156453716</v>
      </c>
      <c r="P7" s="81" t="s">
        <v>141</v>
      </c>
      <c r="Q7" s="85">
        <v>8422.6932668329173</v>
      </c>
      <c r="R7" s="81" t="s">
        <v>126</v>
      </c>
      <c r="S7" s="85">
        <v>-7822.5</v>
      </c>
      <c r="T7" s="81" t="s">
        <v>172</v>
      </c>
      <c r="U7" s="83">
        <v>0.08</v>
      </c>
      <c r="V7" s="81" t="s">
        <v>172</v>
      </c>
      <c r="W7" s="84">
        <v>0.27346465816917731</v>
      </c>
      <c r="X7" s="81" t="s">
        <v>126</v>
      </c>
      <c r="Y7" s="84">
        <v>0.23635235732009927</v>
      </c>
      <c r="Z7" s="81" t="s">
        <v>171</v>
      </c>
      <c r="AA7" s="84">
        <v>0.55555555555555558</v>
      </c>
      <c r="AB7" s="81" t="s">
        <v>197</v>
      </c>
      <c r="AC7" s="84">
        <v>0.43548387096774194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196</v>
      </c>
      <c r="C8" s="80">
        <v>-45.7</v>
      </c>
      <c r="D8" s="81" t="s">
        <v>171</v>
      </c>
      <c r="E8" s="93">
        <v>-0.40131578947368407</v>
      </c>
      <c r="F8" s="81" t="s">
        <v>274</v>
      </c>
      <c r="G8" s="82">
        <v>2</v>
      </c>
      <c r="H8" s="81" t="s">
        <v>196</v>
      </c>
      <c r="I8" s="83">
        <v>0.36</v>
      </c>
      <c r="J8" s="81" t="s">
        <v>141</v>
      </c>
      <c r="K8" s="83">
        <v>0.33333333333333331</v>
      </c>
      <c r="L8" s="81" t="s">
        <v>141</v>
      </c>
      <c r="M8" s="84">
        <v>0.29452809401395519</v>
      </c>
      <c r="N8" s="81" t="s">
        <v>274</v>
      </c>
      <c r="O8" s="84">
        <v>0.16666666666666666</v>
      </c>
      <c r="P8" s="81" t="s">
        <v>196</v>
      </c>
      <c r="Q8" s="85">
        <v>8385.7142857142862</v>
      </c>
      <c r="R8" s="81" t="s">
        <v>141</v>
      </c>
      <c r="S8" s="85">
        <v>-7839.1902215431628</v>
      </c>
      <c r="T8" s="81" t="s">
        <v>161</v>
      </c>
      <c r="U8" s="83">
        <v>8.0459770114942528E-2</v>
      </c>
      <c r="V8" s="81" t="s">
        <v>203</v>
      </c>
      <c r="W8" s="84">
        <v>0.26666666666666666</v>
      </c>
      <c r="X8" s="81" t="s">
        <v>141</v>
      </c>
      <c r="Y8" s="84">
        <v>0.23197453788713429</v>
      </c>
      <c r="Z8" s="81" t="s">
        <v>141</v>
      </c>
      <c r="AA8" s="84">
        <v>0.54958475818270636</v>
      </c>
      <c r="AB8" s="81" t="s">
        <v>171</v>
      </c>
      <c r="AC8" s="84">
        <v>0.4204946996466431</v>
      </c>
      <c r="AD8" s="81" t="s">
        <v>171</v>
      </c>
      <c r="AE8" s="84">
        <v>0.45772594752186591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274</v>
      </c>
      <c r="C9" s="80">
        <v>-55.5</v>
      </c>
      <c r="D9" s="81" t="s">
        <v>127</v>
      </c>
      <c r="E9" s="93">
        <v>-0.41271676300578153</v>
      </c>
      <c r="F9" s="81" t="s">
        <v>141</v>
      </c>
      <c r="G9" s="82">
        <v>2</v>
      </c>
      <c r="H9" s="81" t="s">
        <v>274</v>
      </c>
      <c r="I9" s="83">
        <v>0.35714285714285715</v>
      </c>
      <c r="J9" s="81" t="s">
        <v>274</v>
      </c>
      <c r="K9" s="83">
        <v>0.35714285714285715</v>
      </c>
      <c r="L9" s="81" t="s">
        <v>171</v>
      </c>
      <c r="M9" s="84">
        <v>0.27908868999186331</v>
      </c>
      <c r="N9" s="81" t="s">
        <v>170</v>
      </c>
      <c r="O9" s="84">
        <v>0.17395029991431019</v>
      </c>
      <c r="P9" s="81" t="s">
        <v>126</v>
      </c>
      <c r="Q9" s="85">
        <v>8254.0540540540533</v>
      </c>
      <c r="R9" s="81" t="s">
        <v>127</v>
      </c>
      <c r="S9" s="85">
        <v>-7970.3125</v>
      </c>
      <c r="T9" s="81" t="s">
        <v>141</v>
      </c>
      <c r="U9" s="83">
        <v>9.3047034764826175E-2</v>
      </c>
      <c r="V9" s="81" t="s">
        <v>126</v>
      </c>
      <c r="W9" s="84">
        <v>0.26426799007444168</v>
      </c>
      <c r="X9" s="81" t="s">
        <v>171</v>
      </c>
      <c r="Y9" s="84">
        <v>0.23026851098454026</v>
      </c>
      <c r="Z9" s="81" t="s">
        <v>170</v>
      </c>
      <c r="AA9" s="84">
        <v>0.54022988505747127</v>
      </c>
      <c r="AB9" s="81" t="s">
        <v>141</v>
      </c>
      <c r="AC9" s="84">
        <v>0.41899736147757255</v>
      </c>
      <c r="AD9" s="81" t="s">
        <v>197</v>
      </c>
      <c r="AE9" s="84">
        <v>0.45714285714285713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171</v>
      </c>
      <c r="C10" s="80">
        <v>-60.999999999999979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0.33526011560693642</v>
      </c>
      <c r="J10" s="81" t="s">
        <v>281</v>
      </c>
      <c r="K10" s="83">
        <v>0.375</v>
      </c>
      <c r="L10" s="81" t="s">
        <v>161</v>
      </c>
      <c r="M10" s="84">
        <v>0.27379400260756193</v>
      </c>
      <c r="N10" s="81" t="s">
        <v>196</v>
      </c>
      <c r="O10" s="84">
        <v>0.17499999999999999</v>
      </c>
      <c r="P10" s="81" t="s">
        <v>197</v>
      </c>
      <c r="Q10" s="85">
        <v>8176.4285714285716</v>
      </c>
      <c r="R10" s="81" t="s">
        <v>280</v>
      </c>
      <c r="S10" s="85">
        <v>-7987.5</v>
      </c>
      <c r="T10" s="81" t="s">
        <v>127</v>
      </c>
      <c r="U10" s="83">
        <v>0.10404624277456648</v>
      </c>
      <c r="V10" s="81" t="s">
        <v>196</v>
      </c>
      <c r="W10" s="84">
        <v>0.25833333333333336</v>
      </c>
      <c r="X10" s="81" t="s">
        <v>197</v>
      </c>
      <c r="Y10" s="84">
        <v>0.22962962962962963</v>
      </c>
      <c r="Z10" s="81" t="s">
        <v>172</v>
      </c>
      <c r="AA10" s="84">
        <v>0.53813559322033899</v>
      </c>
      <c r="AB10" s="81" t="s">
        <v>172</v>
      </c>
      <c r="AC10" s="84">
        <v>0.40606060606060607</v>
      </c>
      <c r="AD10" s="81" t="s">
        <v>141</v>
      </c>
      <c r="AE10" s="84">
        <v>0.45095594347464674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127</v>
      </c>
      <c r="C11" s="80">
        <v>-71.400000000000205</v>
      </c>
      <c r="D11" s="81" t="s">
        <v>274</v>
      </c>
      <c r="E11" s="93">
        <v>-3.9642857142857144</v>
      </c>
      <c r="F11" s="81" t="s">
        <v>171</v>
      </c>
      <c r="G11" s="82">
        <v>2.0460526315789473</v>
      </c>
      <c r="H11" s="81" t="s">
        <v>141</v>
      </c>
      <c r="I11" s="83">
        <v>0.33333333333333331</v>
      </c>
      <c r="J11" s="81" t="s">
        <v>172</v>
      </c>
      <c r="K11" s="83">
        <v>0.4</v>
      </c>
      <c r="L11" s="81" t="s">
        <v>170</v>
      </c>
      <c r="M11" s="84">
        <v>0.27163667523564694</v>
      </c>
      <c r="N11" s="81" t="s">
        <v>197</v>
      </c>
      <c r="O11" s="84">
        <v>0.17777777777777778</v>
      </c>
      <c r="P11" s="81" t="s">
        <v>127</v>
      </c>
      <c r="Q11" s="85">
        <v>7922.0489977728284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171</v>
      </c>
      <c r="W11" s="84">
        <v>0.2563059397884459</v>
      </c>
      <c r="X11" s="81" t="s">
        <v>172</v>
      </c>
      <c r="Y11" s="84">
        <v>0.19119351100811124</v>
      </c>
      <c r="Z11" s="81" t="s">
        <v>228</v>
      </c>
      <c r="AA11" s="84">
        <v>0.53333333333333333</v>
      </c>
      <c r="AB11" s="81" t="s">
        <v>161</v>
      </c>
      <c r="AC11" s="84">
        <v>0.40099009900990101</v>
      </c>
      <c r="AD11" s="81" t="s">
        <v>161</v>
      </c>
      <c r="AE11" s="84">
        <v>0.42857142857142855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280</v>
      </c>
      <c r="C12" s="80">
        <v>-80.800000000000011</v>
      </c>
      <c r="D12" s="81" t="s">
        <v>161</v>
      </c>
      <c r="E12" s="93">
        <v>-6.9758620689655206</v>
      </c>
      <c r="F12" s="81" t="s">
        <v>228</v>
      </c>
      <c r="G12" s="82">
        <v>2.1428571428571428</v>
      </c>
      <c r="H12" s="81" t="s">
        <v>161</v>
      </c>
      <c r="I12" s="83">
        <v>0.28735632183908044</v>
      </c>
      <c r="J12" s="81" t="s">
        <v>196</v>
      </c>
      <c r="K12" s="83">
        <v>0.4</v>
      </c>
      <c r="L12" s="81" t="s">
        <v>172</v>
      </c>
      <c r="M12" s="84">
        <v>0.26535341830822712</v>
      </c>
      <c r="N12" s="81" t="s">
        <v>127</v>
      </c>
      <c r="O12" s="84">
        <v>0.17790132036136205</v>
      </c>
      <c r="P12" s="81" t="s">
        <v>172</v>
      </c>
      <c r="Q12" s="85">
        <v>7835.8078602620089</v>
      </c>
      <c r="R12" s="81" t="s">
        <v>274</v>
      </c>
      <c r="S12" s="85">
        <v>-8195.2380952380954</v>
      </c>
      <c r="T12" s="81" t="s">
        <v>170</v>
      </c>
      <c r="U12" s="83">
        <v>0.125</v>
      </c>
      <c r="V12" s="81" t="s">
        <v>141</v>
      </c>
      <c r="W12" s="84">
        <v>0.25058146651976987</v>
      </c>
      <c r="X12" s="81" t="s">
        <v>170</v>
      </c>
      <c r="Y12" s="84">
        <v>0.18337617823479005</v>
      </c>
      <c r="Z12" s="81" t="s">
        <v>161</v>
      </c>
      <c r="AA12" s="84">
        <v>0.5321100917431193</v>
      </c>
      <c r="AB12" s="81" t="s">
        <v>127</v>
      </c>
      <c r="AC12" s="84">
        <v>0.38604651162790699</v>
      </c>
      <c r="AD12" s="81" t="s">
        <v>126</v>
      </c>
      <c r="AE12" s="84">
        <v>0.42522522522522521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172</v>
      </c>
      <c r="E13" s="93">
        <v>-7.5269999999999992</v>
      </c>
      <c r="F13" s="81" t="s">
        <v>161</v>
      </c>
      <c r="G13" s="82">
        <v>2.1609195402298851</v>
      </c>
      <c r="H13" s="81" t="s">
        <v>171</v>
      </c>
      <c r="I13" s="83">
        <v>0.25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0.18308227114716108</v>
      </c>
      <c r="P13" s="81" t="s">
        <v>228</v>
      </c>
      <c r="Q13" s="85">
        <v>7473.333333333333</v>
      </c>
      <c r="R13" s="81" t="s">
        <v>170</v>
      </c>
      <c r="S13" s="85">
        <v>-8272.9064039408859</v>
      </c>
      <c r="T13" s="81" t="s">
        <v>197</v>
      </c>
      <c r="U13" s="83">
        <v>0.15384615384615385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0.51754385964912286</v>
      </c>
      <c r="AB13" s="81" t="s">
        <v>170</v>
      </c>
      <c r="AC13" s="84">
        <v>0.37383177570093457</v>
      </c>
      <c r="AD13" s="81" t="s">
        <v>127</v>
      </c>
      <c r="AE13" s="84">
        <v>0.41870824053452116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-606.90000000000032</v>
      </c>
      <c r="D14" s="81" t="s">
        <v>197</v>
      </c>
      <c r="E14" s="93">
        <v>-10.290769230769232</v>
      </c>
      <c r="F14" s="81" t="s">
        <v>172</v>
      </c>
      <c r="G14" s="82">
        <v>2.19</v>
      </c>
      <c r="H14" s="81" t="s">
        <v>172</v>
      </c>
      <c r="I14" s="83">
        <v>0.21</v>
      </c>
      <c r="J14" s="81" t="s">
        <v>197</v>
      </c>
      <c r="K14" s="83">
        <v>0.43076923076923079</v>
      </c>
      <c r="L14" s="81" t="s">
        <v>197</v>
      </c>
      <c r="M14" s="84">
        <v>0.25925925925925924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-8397.9166666666661</v>
      </c>
      <c r="T14" s="81" t="s">
        <v>280</v>
      </c>
      <c r="U14" s="83">
        <v>0.2</v>
      </c>
      <c r="V14" s="81" t="s">
        <v>127</v>
      </c>
      <c r="W14" s="84">
        <v>0.23349548297428771</v>
      </c>
      <c r="X14" s="81" t="s">
        <v>196</v>
      </c>
      <c r="Y14" s="84">
        <v>0.15</v>
      </c>
      <c r="Z14" s="81" t="s">
        <v>127</v>
      </c>
      <c r="AA14" s="84">
        <v>0.51190476190476186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-668.90000000000009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0.44827586206896552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7096.666666666667</v>
      </c>
      <c r="R15" s="81" t="s">
        <v>281</v>
      </c>
      <c r="S15" s="85">
        <v>-8437.5</v>
      </c>
      <c r="T15" s="81" t="s">
        <v>274</v>
      </c>
      <c r="U15" s="83">
        <v>0.21428571428571427</v>
      </c>
      <c r="V15" s="81" t="s">
        <v>197</v>
      </c>
      <c r="W15" s="84">
        <v>0.21111111111111111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-752.69999999999993</v>
      </c>
      <c r="D16" s="81" t="s">
        <v>280</v>
      </c>
      <c r="E16" s="93">
        <v>-16.160000000000004</v>
      </c>
      <c r="F16" s="81" t="s">
        <v>197</v>
      </c>
      <c r="G16" s="82">
        <v>2.2615384615384615</v>
      </c>
      <c r="H16" s="81" t="s">
        <v>197</v>
      </c>
      <c r="I16" s="83">
        <v>0.16923076923076924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6534.090909090909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0.14211212516297261</v>
      </c>
      <c r="X16" s="81" t="s">
        <v>274</v>
      </c>
      <c r="Y16" s="84">
        <v>0.12698412698412698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8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978</v>
      </c>
      <c r="C2" s="155"/>
      <c r="E2" s="58" t="s">
        <v>66</v>
      </c>
      <c r="F2" s="55" t="s">
        <v>22</v>
      </c>
      <c r="G2" s="43">
        <v>1795</v>
      </c>
      <c r="H2" s="128">
        <f>IF(B$15=0,0,G2/B$15)</f>
        <v>0.74605153782211142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-27.692307692307693</v>
      </c>
      <c r="P2" s="114">
        <v>975</v>
      </c>
      <c r="Q2" s="98">
        <v>-27000</v>
      </c>
    </row>
    <row r="3" spans="1:17" x14ac:dyDescent="0.45">
      <c r="A3" s="51" t="s">
        <v>8</v>
      </c>
      <c r="B3" s="156">
        <v>8169</v>
      </c>
      <c r="C3" s="157"/>
      <c r="E3" s="59" t="s">
        <v>72</v>
      </c>
      <c r="F3" s="56" t="s">
        <v>27</v>
      </c>
      <c r="G3" s="44">
        <v>1304</v>
      </c>
      <c r="H3" s="129">
        <f>IF(B$15=0,0,G3/B$15)</f>
        <v>0.54197838736492099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7.291666666666667</v>
      </c>
      <c r="P3" s="115">
        <v>960</v>
      </c>
      <c r="Q3" s="99">
        <v>7000</v>
      </c>
    </row>
    <row r="4" spans="1:17" x14ac:dyDescent="0.45">
      <c r="A4" s="51" t="s">
        <v>6</v>
      </c>
      <c r="B4" s="158">
        <v>-6.3948846218409017E-14</v>
      </c>
      <c r="C4" s="159"/>
      <c r="E4" s="59" t="s">
        <v>64</v>
      </c>
      <c r="F4" s="56" t="s">
        <v>20</v>
      </c>
      <c r="G4" s="44">
        <v>1089</v>
      </c>
      <c r="H4" s="129">
        <f>IF(B$15=0,0,G4/B$15)</f>
        <v>0.45261845386533667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-1.1037527593818985</v>
      </c>
      <c r="P4" s="115">
        <v>906</v>
      </c>
      <c r="Q4" s="99">
        <v>-1000</v>
      </c>
    </row>
    <row r="5" spans="1:17" x14ac:dyDescent="0.45">
      <c r="A5" s="51" t="s">
        <v>7</v>
      </c>
      <c r="B5" s="160">
        <f>IF(B$2=0,0,B$4/B$2)</f>
        <v>-6.5387368321481617E-17</v>
      </c>
      <c r="C5" s="161"/>
      <c r="E5" s="59" t="s">
        <v>166</v>
      </c>
      <c r="F5" s="56" t="s">
        <v>167</v>
      </c>
      <c r="G5" s="44">
        <v>943</v>
      </c>
      <c r="H5" s="129">
        <f>IF(B$15=0,0,G5/B$15)</f>
        <v>0.39193682460515378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-2.347417840375587</v>
      </c>
      <c r="P5" s="115">
        <v>852</v>
      </c>
      <c r="Q5" s="99">
        <v>-2000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752</v>
      </c>
      <c r="H6" s="129">
        <f>IF(B$15=0,0,G6/B$15)</f>
        <v>0.31255195344970904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12.67427122940431</v>
      </c>
      <c r="P6" s="115">
        <v>789</v>
      </c>
      <c r="Q6" s="99">
        <v>10000</v>
      </c>
    </row>
    <row r="7" spans="1:17" x14ac:dyDescent="0.45">
      <c r="A7" s="51" t="s">
        <v>2</v>
      </c>
      <c r="B7" s="44">
        <v>326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667</v>
      </c>
      <c r="H7" s="129">
        <f>IF(B$15=0,0,G7/B$15)</f>
        <v>0.27722360764754778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16.897081413210447</v>
      </c>
      <c r="P7" s="116">
        <v>651</v>
      </c>
      <c r="Q7" s="100">
        <v>11000</v>
      </c>
    </row>
    <row r="8" spans="1:17" x14ac:dyDescent="0.45">
      <c r="A8" s="51" t="s">
        <v>3</v>
      </c>
      <c r="B8" s="44">
        <v>326</v>
      </c>
      <c r="C8" s="37">
        <f t="shared" si="1"/>
        <v>0.33333333333333331</v>
      </c>
      <c r="E8" s="59" t="s">
        <v>69</v>
      </c>
      <c r="F8" s="56" t="s">
        <v>24</v>
      </c>
      <c r="G8" s="44">
        <v>337</v>
      </c>
      <c r="H8" s="129">
        <f>IF(B$15=0,0,G8/B$15)</f>
        <v>0.1400665004156276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326</v>
      </c>
      <c r="C9" s="38">
        <f t="shared" si="1"/>
        <v>0.33333333333333331</v>
      </c>
      <c r="E9" s="59" t="s">
        <v>89</v>
      </c>
      <c r="F9" s="56" t="s">
        <v>44</v>
      </c>
      <c r="G9" s="44">
        <v>334</v>
      </c>
      <c r="H9" s="129">
        <f>IF(B$15=0,0,G9/B$15)</f>
        <v>0.13881961762261014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91</v>
      </c>
      <c r="C10" s="40">
        <f t="shared" si="1"/>
        <v>9.3047034764826175E-2</v>
      </c>
      <c r="E10" s="59" t="s">
        <v>65</v>
      </c>
      <c r="F10" s="56" t="s">
        <v>21</v>
      </c>
      <c r="G10" s="44">
        <v>250</v>
      </c>
      <c r="H10" s="129">
        <f>IF(B$15=0,0,G10/B$15)</f>
        <v>0.10390689941812137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-4.5638036809815947</v>
      </c>
      <c r="P10" s="114">
        <v>326</v>
      </c>
      <c r="Q10" s="102">
        <v>-1487.8</v>
      </c>
    </row>
    <row r="11" spans="1:17" x14ac:dyDescent="0.45">
      <c r="A11" s="54" t="s">
        <v>121</v>
      </c>
      <c r="B11" s="47">
        <v>2047</v>
      </c>
      <c r="C11" s="42">
        <f>IF(B$3=0,0,B11/B$3)</f>
        <v>0.25058146651976987</v>
      </c>
      <c r="E11" s="59" t="s">
        <v>70</v>
      </c>
      <c r="F11" s="56" t="s">
        <v>25</v>
      </c>
      <c r="G11" s="44">
        <v>224</v>
      </c>
      <c r="H11" s="129">
        <f>IF(B$15=0,0,G11/B$15)</f>
        <v>9.3100581878636748E-2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1.104907975460123</v>
      </c>
      <c r="P11" s="115">
        <v>326</v>
      </c>
      <c r="Q11" s="103">
        <v>360.2000000000001</v>
      </c>
    </row>
    <row r="12" spans="1:17" x14ac:dyDescent="0.45">
      <c r="A12" s="51" t="s">
        <v>118</v>
      </c>
      <c r="B12" s="44">
        <v>1895</v>
      </c>
      <c r="C12" s="37">
        <f>IF(B$3=0,0,B12/B$3)</f>
        <v>0.23197453788713429</v>
      </c>
      <c r="E12" s="59" t="s">
        <v>71</v>
      </c>
      <c r="F12" s="56" t="s">
        <v>26</v>
      </c>
      <c r="G12" s="44">
        <v>195</v>
      </c>
      <c r="H12" s="129">
        <f>IF(B$15=0,0,G12/B$15)</f>
        <v>8.1047381546134667E-2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3.4588957055214715</v>
      </c>
      <c r="P12" s="116">
        <v>326</v>
      </c>
      <c r="Q12" s="104">
        <v>1127.5999999999997</v>
      </c>
    </row>
    <row r="13" spans="1:17" x14ac:dyDescent="0.45">
      <c r="A13" s="50" t="s">
        <v>123</v>
      </c>
      <c r="B13" s="43">
        <f>B19</f>
        <v>1125</v>
      </c>
      <c r="C13" s="35">
        <f>IF(B$11=0,0,B13/B$11)</f>
        <v>0.54958475818270636</v>
      </c>
      <c r="E13" s="59" t="s">
        <v>86</v>
      </c>
      <c r="F13" s="56" t="s">
        <v>41</v>
      </c>
      <c r="G13" s="44">
        <v>120</v>
      </c>
      <c r="H13" s="129">
        <f>IF(B$15=0,0,G13/B$15)</f>
        <v>4.9875311720698257E-2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794</v>
      </c>
      <c r="C14" s="35">
        <f>IF(B$12=0,0,B14/B$12)</f>
        <v>0.41899736147757255</v>
      </c>
      <c r="E14" s="59" t="s">
        <v>83</v>
      </c>
      <c r="F14" s="56" t="s">
        <v>38</v>
      </c>
      <c r="G14" s="44">
        <v>118</v>
      </c>
      <c r="H14" s="129">
        <f>IF(B$15=0,0,G14/B$15)</f>
        <v>4.9044056525353284E-2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2406</v>
      </c>
      <c r="C15" s="35">
        <f>IF(B$3=0,0,B15/B$3)</f>
        <v>0.29452809401395519</v>
      </c>
      <c r="E15" s="59" t="s">
        <v>78</v>
      </c>
      <c r="F15" s="56" t="s">
        <v>33</v>
      </c>
      <c r="G15" s="44">
        <v>66</v>
      </c>
      <c r="H15" s="129">
        <f>IF(B$15=0,0,G15/B$15)</f>
        <v>2.7431421446384038E-2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1309</v>
      </c>
      <c r="C16" s="37">
        <f>IF(B$3=0,0,B16/B$3)</f>
        <v>0.16023993144815768</v>
      </c>
      <c r="E16" s="59" t="s">
        <v>81</v>
      </c>
      <c r="F16" s="56" t="s">
        <v>36</v>
      </c>
      <c r="G16" s="44">
        <v>53</v>
      </c>
      <c r="H16" s="129">
        <f>IF(B$15=0,0,G16/B$15)</f>
        <v>2.2028262676641729E-2</v>
      </c>
      <c r="I16" s="90">
        <v>5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1085</v>
      </c>
      <c r="C17" s="37">
        <f>IF(B$15=0,0,B17/B$15)</f>
        <v>0.45095594347464674</v>
      </c>
      <c r="E17" s="59" t="s">
        <v>162</v>
      </c>
      <c r="F17" s="56" t="s">
        <v>163</v>
      </c>
      <c r="G17" s="44">
        <v>49</v>
      </c>
      <c r="H17" s="129">
        <f>IF(B$15=0,0,G17/B$15)</f>
        <v>2.0365752285951787E-2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15.436153846153831</v>
      </c>
      <c r="P17" s="115">
        <v>130</v>
      </c>
      <c r="Q17" s="103">
        <v>2006.699999999998</v>
      </c>
    </row>
    <row r="18" spans="1:17" x14ac:dyDescent="0.45">
      <c r="A18" s="51" t="s">
        <v>11</v>
      </c>
      <c r="B18" s="44">
        <v>1321</v>
      </c>
      <c r="C18" s="37">
        <f>IF(B$15=0,0,B18/B$15)</f>
        <v>0.54904405652535326</v>
      </c>
      <c r="E18" s="59" t="s">
        <v>91</v>
      </c>
      <c r="F18" s="56" t="s">
        <v>46</v>
      </c>
      <c r="G18" s="44">
        <v>39</v>
      </c>
      <c r="H18" s="129">
        <f>IF(B$15=0,0,G18/B$15)</f>
        <v>1.6209476309226933E-2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11.290499999999994</v>
      </c>
      <c r="P18" s="115">
        <v>200</v>
      </c>
      <c r="Q18" s="103">
        <v>2258.099999999999</v>
      </c>
    </row>
    <row r="19" spans="1:17" x14ac:dyDescent="0.45">
      <c r="A19" s="51" t="s">
        <v>195</v>
      </c>
      <c r="B19" s="44">
        <v>1125</v>
      </c>
      <c r="C19" s="37">
        <f>IF(B$15=0,0,B19/B$15)</f>
        <v>0.46758104738154616</v>
      </c>
      <c r="E19" s="59" t="s">
        <v>79</v>
      </c>
      <c r="F19" s="56" t="s">
        <v>34</v>
      </c>
      <c r="G19" s="44">
        <v>35</v>
      </c>
      <c r="H19" s="129">
        <f>IF(B$15=0,0,G19/B$15)</f>
        <v>1.4546965918536992E-2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7.901052631578942</v>
      </c>
      <c r="P19" s="115">
        <v>190</v>
      </c>
      <c r="Q19" s="103">
        <v>1501.1999999999989</v>
      </c>
    </row>
    <row r="20" spans="1:17" x14ac:dyDescent="0.45">
      <c r="A20" s="51" t="s">
        <v>193</v>
      </c>
      <c r="B20" s="44">
        <v>794</v>
      </c>
      <c r="C20" s="37">
        <f>IF(B$15=0,0,B20/B$15)</f>
        <v>0.33000831255195345</v>
      </c>
      <c r="E20" s="59" t="s">
        <v>75</v>
      </c>
      <c r="F20" s="56" t="s">
        <v>30</v>
      </c>
      <c r="G20" s="44">
        <v>19</v>
      </c>
      <c r="H20" s="129">
        <f>IF(B$15=0,0,G20/B$15)</f>
        <v>7.8969243557772233E-3</v>
      </c>
      <c r="I20" s="90">
        <v>6</v>
      </c>
      <c r="K20" s="36">
        <v>18</v>
      </c>
      <c r="L20" s="95">
        <v>0</v>
      </c>
      <c r="N20" s="111" t="s">
        <v>274</v>
      </c>
      <c r="O20" s="121">
        <f>IF(P20=0,0,Q20/P20)</f>
        <v>5.9464285714285685</v>
      </c>
      <c r="P20" s="115">
        <v>28</v>
      </c>
      <c r="Q20" s="103">
        <v>166.49999999999991</v>
      </c>
    </row>
    <row r="21" spans="1:17" x14ac:dyDescent="0.45">
      <c r="A21" s="51" t="s">
        <v>194</v>
      </c>
      <c r="B21" s="44">
        <v>487</v>
      </c>
      <c r="C21" s="37">
        <f>IF(B$15=0,0,B21/B$15)</f>
        <v>0.20241064006650042</v>
      </c>
      <c r="E21" s="59" t="s">
        <v>92</v>
      </c>
      <c r="F21" s="56" t="s">
        <v>47</v>
      </c>
      <c r="G21" s="44">
        <v>18</v>
      </c>
      <c r="H21" s="129">
        <f>IF(B$15=0,0,G21/B$15)</f>
        <v>7.481296758104738E-3</v>
      </c>
      <c r="I21" s="90">
        <v>3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8422.6932668329173</v>
      </c>
      <c r="C22" s="39">
        <v>20265000</v>
      </c>
      <c r="E22" s="59" t="s">
        <v>85</v>
      </c>
      <c r="F22" s="56" t="s">
        <v>40</v>
      </c>
      <c r="G22" s="44">
        <v>14</v>
      </c>
      <c r="H22" s="129">
        <f>IF(B$15=0,0,G22/B$15)</f>
        <v>5.8187863674147968E-3</v>
      </c>
      <c r="I22" s="90">
        <v>6</v>
      </c>
      <c r="K22" s="36">
        <v>20</v>
      </c>
      <c r="L22" s="95">
        <v>-61.199999999999996</v>
      </c>
      <c r="N22" s="111" t="s">
        <v>127</v>
      </c>
      <c r="O22" s="121">
        <f>IF(P22=0,0,Q22/P22)</f>
        <v>0.61907514450866707</v>
      </c>
      <c r="P22" s="115">
        <v>346</v>
      </c>
      <c r="Q22" s="103">
        <v>214.19999999999882</v>
      </c>
    </row>
    <row r="23" spans="1:17" x14ac:dyDescent="0.45">
      <c r="A23" s="52" t="s">
        <v>177</v>
      </c>
      <c r="B23" s="136">
        <f>IF($B$15-B$14=0,0,C23/($B$15-B$14))</f>
        <v>9129.4044665012407</v>
      </c>
      <c r="C23" s="137">
        <v>14716600</v>
      </c>
      <c r="E23" s="59" t="s">
        <v>73</v>
      </c>
      <c r="F23" s="56" t="s">
        <v>28</v>
      </c>
      <c r="G23" s="44">
        <v>8</v>
      </c>
      <c r="H23" s="129">
        <f>IF(B$15=0,0,G23/B$15)</f>
        <v>3.3250207813798837E-3</v>
      </c>
      <c r="I23" s="90">
        <v>3</v>
      </c>
      <c r="K23" s="36">
        <v>21</v>
      </c>
      <c r="L23" s="95">
        <v>7.1054273576010019E-15</v>
      </c>
      <c r="N23" s="111" t="s">
        <v>171</v>
      </c>
      <c r="O23" s="121">
        <f>IF(P23=0,0,Q23/P23)</f>
        <v>0.60197368421052677</v>
      </c>
      <c r="P23" s="115">
        <v>304</v>
      </c>
      <c r="Q23" s="103">
        <v>183.00000000000014</v>
      </c>
    </row>
    <row r="24" spans="1:17" x14ac:dyDescent="0.45">
      <c r="A24" s="52" t="s">
        <v>178</v>
      </c>
      <c r="B24" s="136">
        <f>IF(B$14=0,0,C24/B$14)</f>
        <v>6987.9093198992441</v>
      </c>
      <c r="C24" s="137">
        <v>5548400</v>
      </c>
      <c r="E24" s="59" t="s">
        <v>74</v>
      </c>
      <c r="F24" s="56" t="s">
        <v>29</v>
      </c>
      <c r="G24" s="44">
        <v>8</v>
      </c>
      <c r="H24" s="129">
        <f>IF(B$15=0,0,G24/B$15)</f>
        <v>3.3250207813798837E-3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-5.0093749999999941</v>
      </c>
      <c r="P24" s="115">
        <v>288</v>
      </c>
      <c r="Q24" s="103">
        <v>-1442.6999999999982</v>
      </c>
    </row>
    <row r="25" spans="1:17" x14ac:dyDescent="0.45">
      <c r="A25" s="52" t="s">
        <v>176</v>
      </c>
      <c r="B25" s="136">
        <f>IF(B$16=0,0,C25/B$16)</f>
        <v>-7839.1902215431628</v>
      </c>
      <c r="C25" s="137">
        <v>-10261500</v>
      </c>
      <c r="E25" s="59" t="s">
        <v>84</v>
      </c>
      <c r="F25" s="56" t="s">
        <v>39</v>
      </c>
      <c r="G25" s="44">
        <v>8</v>
      </c>
      <c r="H25" s="129">
        <f>IF(B$15=0,0,G25/B$15)</f>
        <v>3.3250207813798837E-3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-14.036479591836736</v>
      </c>
      <c r="P25" s="115">
        <v>392</v>
      </c>
      <c r="Q25" s="103">
        <v>-5502.3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7</v>
      </c>
      <c r="H26" s="129">
        <f>IF(B$15=0,0,G26/B$15)</f>
        <v>2.9093931837073984E-3</v>
      </c>
      <c r="I26" s="90">
        <v>5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21</v>
      </c>
      <c r="E27" s="59" t="s">
        <v>77</v>
      </c>
      <c r="F27" s="56" t="s">
        <v>32</v>
      </c>
      <c r="G27" s="44">
        <v>6</v>
      </c>
      <c r="H27" s="129">
        <f>IF(B$15=0,0,G27/B$15)</f>
        <v>2.4937655860349127E-3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2.0781379883624274E-3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1.6625103906899418E-3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22</v>
      </c>
      <c r="C30" s="40">
        <f>IF(B$3=0,0,B30/B$3)</f>
        <v>2.6931080915656752E-3</v>
      </c>
      <c r="E30" s="59" t="s">
        <v>93</v>
      </c>
      <c r="F30" s="56" t="s">
        <v>48</v>
      </c>
      <c r="G30" s="44">
        <v>4</v>
      </c>
      <c r="H30" s="129">
        <f>IF(B$15=0,0,G30/B$15)</f>
        <v>1.6625103906899418E-3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1.6625103906899418E-3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188</v>
      </c>
      <c r="C32" s="141">
        <f>IF(B$15=0,0,B32/B$15)</f>
        <v>7.813798836242726E-2</v>
      </c>
      <c r="E32" s="59" t="s">
        <v>97</v>
      </c>
      <c r="F32" s="56" t="s">
        <v>52</v>
      </c>
      <c r="G32" s="44">
        <v>1</v>
      </c>
      <c r="H32" s="129">
        <f>IF(B$15=0,0,G32/B$15)</f>
        <v>4.1562759767248546E-4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414</v>
      </c>
      <c r="C33" s="37">
        <f t="shared" ref="C33:C44" si="2">IF(B$15=0,0,B33/B$15)</f>
        <v>0.17206982543640897</v>
      </c>
      <c r="E33" s="59" t="s">
        <v>101</v>
      </c>
      <c r="F33" s="56" t="s">
        <v>56</v>
      </c>
      <c r="G33" s="44">
        <v>1</v>
      </c>
      <c r="H33" s="129">
        <f>IF(B$15=0,0,G33/B$15)</f>
        <v>4.1562759767248546E-4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467</v>
      </c>
      <c r="C34" s="37">
        <f>IF(B$15=0,0,B34/B$15)</f>
        <v>0.19409808811305071</v>
      </c>
      <c r="E34" s="59" t="s">
        <v>106</v>
      </c>
      <c r="F34" s="56" t="s">
        <v>113</v>
      </c>
      <c r="G34" s="44">
        <v>1</v>
      </c>
      <c r="H34" s="129">
        <f>IF(B$15=0,0,G34/B$15)</f>
        <v>4.1562759767248546E-4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427</v>
      </c>
      <c r="C35" s="37">
        <f t="shared" si="2"/>
        <v>0.17747298420615129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373</v>
      </c>
      <c r="C36" s="37">
        <f t="shared" si="2"/>
        <v>0.15502909393183709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254</v>
      </c>
      <c r="C37" s="37">
        <f t="shared" si="2"/>
        <v>0.1055694098088113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126</v>
      </c>
      <c r="C38" s="37">
        <f t="shared" si="2"/>
        <v>5.2369077306733167E-2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71</v>
      </c>
      <c r="C39" s="37">
        <f t="shared" si="2"/>
        <v>2.9509559434746466E-2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31</v>
      </c>
      <c r="C40" s="37">
        <f t="shared" si="2"/>
        <v>1.2884455527847049E-2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11</v>
      </c>
      <c r="C41" s="37">
        <f t="shared" si="2"/>
        <v>4.57190357439734E-3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7</v>
      </c>
      <c r="C42" s="37">
        <f t="shared" si="2"/>
        <v>2.9093931837073984E-3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2.4937655860349127E-3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31</v>
      </c>
      <c r="C44" s="40">
        <f t="shared" si="2"/>
        <v>1.2884455527847049E-2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87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0.69047619047619047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1810.344827586207</v>
      </c>
      <c r="P2" s="114">
        <v>87</v>
      </c>
      <c r="Q2" s="98">
        <v>157500</v>
      </c>
    </row>
    <row r="3" spans="1:17" x14ac:dyDescent="0.45">
      <c r="A3" s="51" t="s">
        <v>8</v>
      </c>
      <c r="B3" s="156">
        <v>767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0.56666666666666665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-1944.1860465116279</v>
      </c>
      <c r="P3" s="115">
        <v>86</v>
      </c>
      <c r="Q3" s="99">
        <v>-167200</v>
      </c>
    </row>
    <row r="4" spans="1:17" x14ac:dyDescent="0.45">
      <c r="A4" s="51" t="s">
        <v>6</v>
      </c>
      <c r="B4" s="158">
        <v>-606.90000000000032</v>
      </c>
      <c r="C4" s="159"/>
      <c r="E4" s="59" t="s">
        <v>166</v>
      </c>
      <c r="F4" s="56" t="s">
        <v>167</v>
      </c>
      <c r="G4" s="44">
        <v>73</v>
      </c>
      <c r="H4" s="129">
        <f>IF(B$15=0,0,G4/B$15)</f>
        <v>0.34761904761904761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-1697.5903614457832</v>
      </c>
      <c r="P4" s="115">
        <v>83</v>
      </c>
      <c r="Q4" s="99">
        <v>-140900</v>
      </c>
    </row>
    <row r="5" spans="1:17" x14ac:dyDescent="0.45">
      <c r="A5" s="51" t="s">
        <v>7</v>
      </c>
      <c r="B5" s="160">
        <f>IF(B$2=0,0,B$4/B$2)</f>
        <v>-6.9758620689655206</v>
      </c>
      <c r="C5" s="161"/>
      <c r="E5" s="59" t="s">
        <v>64</v>
      </c>
      <c r="F5" s="56" t="s">
        <v>20</v>
      </c>
      <c r="G5" s="44">
        <v>57</v>
      </c>
      <c r="H5" s="129">
        <f>IF(B$15=0,0,G5/B$15)</f>
        <v>0.27142857142857141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-1089.7435897435898</v>
      </c>
      <c r="P5" s="115">
        <v>78</v>
      </c>
      <c r="Q5" s="99">
        <v>-85000</v>
      </c>
    </row>
    <row r="6" spans="1:17" x14ac:dyDescent="0.45">
      <c r="A6" s="51" t="s">
        <v>1</v>
      </c>
      <c r="B6" s="150">
        <f>IF(B$2=0,0,(B$7*1+B$8*2+B$9*3)/B$2)</f>
        <v>2.1609195402298851</v>
      </c>
      <c r="C6" s="151"/>
      <c r="E6" s="59" t="s">
        <v>68</v>
      </c>
      <c r="F6" s="56" t="s">
        <v>12</v>
      </c>
      <c r="G6" s="44">
        <v>57</v>
      </c>
      <c r="H6" s="129">
        <f>IF(B$15=0,0,G6/B$15)</f>
        <v>0.27142857142857141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-235.52631578947367</v>
      </c>
      <c r="P6" s="115">
        <v>76</v>
      </c>
      <c r="Q6" s="99">
        <v>-17900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0.28735632183908044</v>
      </c>
      <c r="E7" s="59" t="s">
        <v>67</v>
      </c>
      <c r="F7" s="56" t="s">
        <v>23</v>
      </c>
      <c r="G7" s="44">
        <v>38</v>
      </c>
      <c r="H7" s="129">
        <f>IF(B$15=0,0,G7/B$15)</f>
        <v>0.18095238095238095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23</v>
      </c>
      <c r="C8" s="37">
        <f t="shared" si="1"/>
        <v>0.26436781609195403</v>
      </c>
      <c r="E8" s="59" t="s">
        <v>69</v>
      </c>
      <c r="F8" s="56" t="s">
        <v>24</v>
      </c>
      <c r="G8" s="44">
        <v>35</v>
      </c>
      <c r="H8" s="129">
        <f>IF(B$15=0,0,G8/B$15)</f>
        <v>0.16666666666666666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0.44827586206896552</v>
      </c>
      <c r="E9" s="59" t="s">
        <v>71</v>
      </c>
      <c r="F9" s="56" t="s">
        <v>26</v>
      </c>
      <c r="G9" s="44">
        <v>27</v>
      </c>
      <c r="H9" s="129">
        <f>IF(B$15=0,0,G9/B$15)</f>
        <v>0.12857142857142856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8.0459770114942528E-2</v>
      </c>
      <c r="E10" s="59" t="s">
        <v>70</v>
      </c>
      <c r="F10" s="56" t="s">
        <v>25</v>
      </c>
      <c r="G10" s="44">
        <v>24</v>
      </c>
      <c r="H10" s="129">
        <f>IF(B$15=0,0,G10/B$15)</f>
        <v>0.11428571428571428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-13.446666666666665</v>
      </c>
      <c r="P10" s="114">
        <v>30</v>
      </c>
      <c r="Q10" s="102">
        <v>-403.4</v>
      </c>
    </row>
    <row r="11" spans="1:17" x14ac:dyDescent="0.45">
      <c r="A11" s="54" t="s">
        <v>121</v>
      </c>
      <c r="B11" s="47">
        <v>109</v>
      </c>
      <c r="C11" s="42">
        <f>IF(B$3=0,0,B11/B$3)</f>
        <v>0.14211212516297261</v>
      </c>
      <c r="E11" s="59" t="s">
        <v>83</v>
      </c>
      <c r="F11" s="56" t="s">
        <v>38</v>
      </c>
      <c r="G11" s="44">
        <v>19</v>
      </c>
      <c r="H11" s="129">
        <f>IF(B$15=0,0,G11/B$15)</f>
        <v>9.0476190476190474E-2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202</v>
      </c>
      <c r="C12" s="37">
        <f>IF(B$3=0,0,B12/B$3)</f>
        <v>0.26336375488917863</v>
      </c>
      <c r="E12" s="59" t="s">
        <v>89</v>
      </c>
      <c r="F12" s="56" t="s">
        <v>44</v>
      </c>
      <c r="G12" s="44">
        <v>14</v>
      </c>
      <c r="H12" s="129">
        <f>IF(B$15=0,0,G12/B$15)</f>
        <v>6.6666666666666666E-2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58</v>
      </c>
      <c r="C13" s="35">
        <f>IF(B$11=0,0,B13/B$11)</f>
        <v>0.5321100917431193</v>
      </c>
      <c r="E13" s="59" t="s">
        <v>65</v>
      </c>
      <c r="F13" s="56" t="s">
        <v>21</v>
      </c>
      <c r="G13" s="44">
        <v>13</v>
      </c>
      <c r="H13" s="129">
        <f>IF(B$15=0,0,G13/B$15)</f>
        <v>6.1904761904761907E-2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0.40099009900990101</v>
      </c>
      <c r="E14" s="59" t="s">
        <v>81</v>
      </c>
      <c r="F14" s="56" t="s">
        <v>36</v>
      </c>
      <c r="G14" s="44">
        <v>9</v>
      </c>
      <c r="H14" s="129">
        <f>IF(B$15=0,0,G14/B$15)</f>
        <v>4.2857142857142858E-2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210</v>
      </c>
      <c r="C15" s="35">
        <f>IF(B$3=0,0,B15/B$3)</f>
        <v>0.27379400260756193</v>
      </c>
      <c r="E15" s="59" t="s">
        <v>86</v>
      </c>
      <c r="F15" s="56" t="s">
        <v>41</v>
      </c>
      <c r="G15" s="44">
        <v>7</v>
      </c>
      <c r="H15" s="129">
        <f>IF(B$15=0,0,G15/B$15)</f>
        <v>3.3333333333333333E-2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126</v>
      </c>
      <c r="C16" s="37">
        <f>IF(B$3=0,0,B16/B$3)</f>
        <v>0.16427640156453716</v>
      </c>
      <c r="E16" s="59" t="s">
        <v>79</v>
      </c>
      <c r="F16" s="56" t="s">
        <v>34</v>
      </c>
      <c r="G16" s="44">
        <v>5</v>
      </c>
      <c r="H16" s="129">
        <f>IF(B$15=0,0,G16/B$15)</f>
        <v>2.3809523809523808E-2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90</v>
      </c>
      <c r="C17" s="37">
        <f>IF(B$15=0,0,B17/B$15)</f>
        <v>0.42857142857142855</v>
      </c>
      <c r="E17" s="59" t="s">
        <v>91</v>
      </c>
      <c r="F17" s="56" t="s">
        <v>46</v>
      </c>
      <c r="G17" s="44">
        <v>4</v>
      </c>
      <c r="H17" s="129">
        <f>IF(B$15=0,0,G17/B$15)</f>
        <v>1.9047619047619049E-2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 t="shared" si="2"/>
        <v>-0.73448275862068968</v>
      </c>
      <c r="P17" s="115">
        <v>29</v>
      </c>
      <c r="Q17" s="103">
        <v>-21.3</v>
      </c>
    </row>
    <row r="18" spans="1:17" x14ac:dyDescent="0.45">
      <c r="A18" s="51" t="s">
        <v>11</v>
      </c>
      <c r="B18" s="44">
        <v>120</v>
      </c>
      <c r="C18" s="37">
        <f>IF(B$15=0,0,B18/B$15)</f>
        <v>0.5714285714285714</v>
      </c>
      <c r="E18" s="59" t="s">
        <v>74</v>
      </c>
      <c r="F18" s="56" t="s">
        <v>29</v>
      </c>
      <c r="G18" s="44">
        <v>2</v>
      </c>
      <c r="H18" s="129">
        <f>IF(B$15=0,0,G18/B$15)</f>
        <v>9.5238095238095247E-3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58</v>
      </c>
      <c r="C19" s="37">
        <f>IF(B$15=0,0,B19/B$15)</f>
        <v>0.27619047619047621</v>
      </c>
      <c r="E19" s="59" t="s">
        <v>75</v>
      </c>
      <c r="F19" s="56" t="s">
        <v>30</v>
      </c>
      <c r="G19" s="44">
        <v>2</v>
      </c>
      <c r="H19" s="129">
        <f>IF(B$15=0,0,G19/B$15)</f>
        <v>9.5238095238095247E-3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81</v>
      </c>
      <c r="C20" s="37">
        <f>IF(B$15=0,0,B20/B$15)</f>
        <v>0.38571428571428573</v>
      </c>
      <c r="E20" s="59" t="s">
        <v>78</v>
      </c>
      <c r="F20" s="56" t="s">
        <v>33</v>
      </c>
      <c r="G20" s="44">
        <v>2</v>
      </c>
      <c r="H20" s="129">
        <f>IF(B$15=0,0,G20/B$15)</f>
        <v>9.5238095238095247E-3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 t="shared" si="2"/>
        <v>-14.360000000000005</v>
      </c>
      <c r="P20" s="115">
        <v>40</v>
      </c>
      <c r="Q20" s="103">
        <v>-574.4000000000002</v>
      </c>
    </row>
    <row r="21" spans="1:17" x14ac:dyDescent="0.45">
      <c r="A21" s="51" t="s">
        <v>194</v>
      </c>
      <c r="B21" s="44">
        <v>71</v>
      </c>
      <c r="C21" s="37">
        <f>IF(B$15=0,0,B21/B$15)</f>
        <v>0.33809523809523812</v>
      </c>
      <c r="E21" s="59" t="s">
        <v>88</v>
      </c>
      <c r="F21" s="56" t="s">
        <v>43</v>
      </c>
      <c r="G21" s="44">
        <v>2</v>
      </c>
      <c r="H21" s="129">
        <f>IF(B$15=0,0,G21/B$15)</f>
        <v>9.5238095238095247E-3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7096.666666666667</v>
      </c>
      <c r="C22" s="39">
        <v>1490300</v>
      </c>
      <c r="E22" s="59" t="s">
        <v>93</v>
      </c>
      <c r="F22" s="56" t="s">
        <v>48</v>
      </c>
      <c r="G22" s="44">
        <v>2</v>
      </c>
      <c r="H22" s="129">
        <f>IF(B$15=0,0,G22/B$15)</f>
        <v>9.5238095238095247E-3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-26.54137931034483</v>
      </c>
      <c r="P22" s="115">
        <v>29</v>
      </c>
      <c r="Q22" s="103">
        <v>-769.7</v>
      </c>
    </row>
    <row r="23" spans="1:17" x14ac:dyDescent="0.45">
      <c r="A23" s="52" t="s">
        <v>177</v>
      </c>
      <c r="B23" s="136">
        <f>IF($B$15-B$14=0,0,C23/($B$15-B$14))</f>
        <v>7605.426356589147</v>
      </c>
      <c r="C23" s="137">
        <v>981100</v>
      </c>
      <c r="E23" s="59" t="s">
        <v>77</v>
      </c>
      <c r="F23" s="56" t="s">
        <v>32</v>
      </c>
      <c r="G23" s="44">
        <v>1</v>
      </c>
      <c r="H23" s="129">
        <f>IF(B$15=0,0,G23/B$15)</f>
        <v>4.7619047619047623E-3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6286.4197530864194</v>
      </c>
      <c r="C24" s="137">
        <v>509200</v>
      </c>
      <c r="E24" s="59" t="s">
        <v>84</v>
      </c>
      <c r="F24" s="56" t="s">
        <v>39</v>
      </c>
      <c r="G24" s="44">
        <v>1</v>
      </c>
      <c r="H24" s="129">
        <f>IF(B$15=0,0,G24/B$15)</f>
        <v>4.7619047619047623E-3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-7537.3015873015875</v>
      </c>
      <c r="C25" s="137">
        <v>-949700</v>
      </c>
      <c r="E25" s="59" t="s">
        <v>87</v>
      </c>
      <c r="F25" s="56" t="s">
        <v>42</v>
      </c>
      <c r="G25" s="44">
        <v>1</v>
      </c>
      <c r="H25" s="129">
        <f>IF(B$15=0,0,G25/B$15)</f>
        <v>4.7619047619047623E-3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4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2.6075619295958278E-3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0.12857142857142856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44</v>
      </c>
      <c r="C33" s="37">
        <f t="shared" ref="C33:C44" si="3">IF(B$15=0,0,B33/B$15)</f>
        <v>0.20952380952380953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43</v>
      </c>
      <c r="C34" s="37">
        <f>IF(B$15=0,0,B34/B$15)</f>
        <v>0.20476190476190476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37</v>
      </c>
      <c r="C35" s="37">
        <f t="shared" si="3"/>
        <v>0.1761904761904762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0.10476190476190476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3"/>
        <v>8.0952380952380956E-2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5.2380952380952382E-2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2.8571428571428571E-2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4.7619047619047623E-3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9.5238095238095247E-3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</sheetData>
  <sortState xmlns:xlrd2="http://schemas.microsoft.com/office/spreadsheetml/2017/richdata2" ref="E2:I9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9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196</v>
      </c>
      <c r="C2" s="155"/>
      <c r="E2" s="58" t="s">
        <v>66</v>
      </c>
      <c r="F2" s="55" t="s">
        <v>22</v>
      </c>
      <c r="G2" s="43">
        <v>373</v>
      </c>
      <c r="H2" s="128">
        <f>IF(B$15=0,0,G2/B$15)</f>
        <v>0.67207207207207209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1411.7948717948718</v>
      </c>
      <c r="P2" s="114">
        <v>195</v>
      </c>
      <c r="Q2" s="98">
        <v>275300</v>
      </c>
    </row>
    <row r="3" spans="1:17" x14ac:dyDescent="0.45">
      <c r="A3" s="51" t="s">
        <v>8</v>
      </c>
      <c r="B3" s="156">
        <v>1612</v>
      </c>
      <c r="C3" s="157"/>
      <c r="E3" s="59" t="s">
        <v>72</v>
      </c>
      <c r="F3" s="56" t="s">
        <v>27</v>
      </c>
      <c r="G3" s="44">
        <v>294</v>
      </c>
      <c r="H3" s="129">
        <f>IF(B$15=0,0,G3/B$15)</f>
        <v>0.52972972972972976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967.01570680628276</v>
      </c>
      <c r="P3" s="115">
        <v>191</v>
      </c>
      <c r="Q3" s="99">
        <v>184700</v>
      </c>
    </row>
    <row r="4" spans="1:17" x14ac:dyDescent="0.45">
      <c r="A4" s="51" t="s">
        <v>6</v>
      </c>
      <c r="B4" s="158">
        <v>1834.0999999999997</v>
      </c>
      <c r="C4" s="159"/>
      <c r="E4" s="59" t="s">
        <v>64</v>
      </c>
      <c r="F4" s="56" t="s">
        <v>20</v>
      </c>
      <c r="G4" s="44">
        <v>239</v>
      </c>
      <c r="H4" s="129">
        <f>IF(B$15=0,0,G4/B$15)</f>
        <v>0.43063063063063062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1334.2391304347825</v>
      </c>
      <c r="P4" s="115">
        <v>184</v>
      </c>
      <c r="Q4" s="99">
        <v>245500</v>
      </c>
    </row>
    <row r="5" spans="1:17" x14ac:dyDescent="0.45">
      <c r="A5" s="51" t="s">
        <v>7</v>
      </c>
      <c r="B5" s="160">
        <f>IF(B$2=0,0,B$4/B$2)</f>
        <v>9.3576530612244877</v>
      </c>
      <c r="C5" s="161"/>
      <c r="E5" s="59" t="s">
        <v>166</v>
      </c>
      <c r="F5" s="56" t="s">
        <v>167</v>
      </c>
      <c r="G5" s="44">
        <v>214</v>
      </c>
      <c r="H5" s="129">
        <f>IF(B$15=0,0,G5/B$15)</f>
        <v>0.38558558558558559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212.86549707602339</v>
      </c>
      <c r="P5" s="115">
        <v>171</v>
      </c>
      <c r="Q5" s="99">
        <v>36400</v>
      </c>
    </row>
    <row r="6" spans="1:17" x14ac:dyDescent="0.45">
      <c r="A6" s="51" t="s">
        <v>1</v>
      </c>
      <c r="B6" s="150">
        <f>IF(B$2=0,0,(B$7*1+B$8*2+B$9*3)/B$2)</f>
        <v>1.7653061224489797</v>
      </c>
      <c r="C6" s="151"/>
      <c r="E6" s="59" t="s">
        <v>68</v>
      </c>
      <c r="F6" s="56" t="s">
        <v>12</v>
      </c>
      <c r="G6" s="44">
        <v>156</v>
      </c>
      <c r="H6" s="129">
        <f>IF(B$15=0,0,G6/B$15)</f>
        <v>0.2810810810810811</v>
      </c>
      <c r="I6" s="90">
        <v>9</v>
      </c>
      <c r="K6" s="36">
        <v>4</v>
      </c>
      <c r="L6" s="95">
        <v>101.60000000000001</v>
      </c>
      <c r="N6" s="111" t="s">
        <v>134</v>
      </c>
      <c r="O6" s="118">
        <f t="shared" si="0"/>
        <v>1998.75</v>
      </c>
      <c r="P6" s="115">
        <v>160</v>
      </c>
      <c r="Q6" s="99">
        <v>319800</v>
      </c>
    </row>
    <row r="7" spans="1:17" x14ac:dyDescent="0.45">
      <c r="A7" s="51" t="s">
        <v>2</v>
      </c>
      <c r="B7" s="44">
        <v>93</v>
      </c>
      <c r="C7" s="37">
        <f t="shared" ref="C7:C10" si="1">IF(B$2=0,0,B7/B$2)</f>
        <v>0.47448979591836737</v>
      </c>
      <c r="E7" s="59" t="s">
        <v>67</v>
      </c>
      <c r="F7" s="56" t="s">
        <v>23</v>
      </c>
      <c r="G7" s="44">
        <v>133</v>
      </c>
      <c r="H7" s="129">
        <f>IF(B$15=0,0,G7/B$15)</f>
        <v>0.23963963963963963</v>
      </c>
      <c r="I7" s="90">
        <v>11</v>
      </c>
      <c r="K7" s="36">
        <v>5</v>
      </c>
      <c r="L7" s="95">
        <v>99.9</v>
      </c>
      <c r="N7" s="112" t="s">
        <v>135</v>
      </c>
      <c r="O7" s="119">
        <f t="shared" si="0"/>
        <v>1886.2595419847328</v>
      </c>
      <c r="P7" s="116">
        <v>131</v>
      </c>
      <c r="Q7" s="100">
        <v>247100</v>
      </c>
    </row>
    <row r="8" spans="1:17" x14ac:dyDescent="0.45">
      <c r="A8" s="51" t="s">
        <v>3</v>
      </c>
      <c r="B8" s="44">
        <v>56</v>
      </c>
      <c r="C8" s="37">
        <f t="shared" si="1"/>
        <v>0.2857142857142857</v>
      </c>
      <c r="E8" s="59" t="s">
        <v>89</v>
      </c>
      <c r="F8" s="56" t="s">
        <v>44</v>
      </c>
      <c r="G8" s="44">
        <v>82</v>
      </c>
      <c r="H8" s="129">
        <f>IF(B$15=0,0,G8/B$15)</f>
        <v>0.14774774774774774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0.23979591836734693</v>
      </c>
      <c r="E9" s="59" t="s">
        <v>69</v>
      </c>
      <c r="F9" s="56" t="s">
        <v>24</v>
      </c>
      <c r="G9" s="44">
        <v>69</v>
      </c>
      <c r="H9" s="129">
        <f>IF(B$15=0,0,G9/B$15)</f>
        <v>0.12432432432432433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4.0816326530612242E-2</v>
      </c>
      <c r="E10" s="59" t="s">
        <v>65</v>
      </c>
      <c r="F10" s="56" t="s">
        <v>21</v>
      </c>
      <c r="G10" s="44">
        <v>61</v>
      </c>
      <c r="H10" s="129">
        <f>IF(B$15=0,0,G10/B$15)</f>
        <v>0.10990990990990991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12.021052631578947</v>
      </c>
      <c r="P10" s="114">
        <v>57</v>
      </c>
      <c r="Q10" s="102">
        <v>685.19999999999993</v>
      </c>
    </row>
    <row r="11" spans="1:17" x14ac:dyDescent="0.45">
      <c r="A11" s="54" t="s">
        <v>121</v>
      </c>
      <c r="B11" s="47">
        <v>426</v>
      </c>
      <c r="C11" s="42">
        <f>IF(B$3=0,0,B11/B$3)</f>
        <v>0.26426799007444168</v>
      </c>
      <c r="E11" s="59" t="s">
        <v>71</v>
      </c>
      <c r="F11" s="56" t="s">
        <v>26</v>
      </c>
      <c r="G11" s="44">
        <v>40</v>
      </c>
      <c r="H11" s="129">
        <f>IF(B$15=0,0,G11/B$15)</f>
        <v>7.2072072072072071E-2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4.6238805970149253</v>
      </c>
      <c r="P11" s="115">
        <v>67</v>
      </c>
      <c r="Q11" s="103">
        <v>309.8</v>
      </c>
    </row>
    <row r="12" spans="1:17" x14ac:dyDescent="0.45">
      <c r="A12" s="51" t="s">
        <v>118</v>
      </c>
      <c r="B12" s="44">
        <v>381</v>
      </c>
      <c r="C12" s="37">
        <f>IF(B$3=0,0,B12/B$3)</f>
        <v>0.23635235732009927</v>
      </c>
      <c r="E12" s="59" t="s">
        <v>86</v>
      </c>
      <c r="F12" s="56" t="s">
        <v>41</v>
      </c>
      <c r="G12" s="44">
        <v>36</v>
      </c>
      <c r="H12" s="129">
        <f>IF(B$15=0,0,G12/B$15)</f>
        <v>6.4864864864864868E-2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11.654166666666663</v>
      </c>
      <c r="P12" s="116">
        <v>72</v>
      </c>
      <c r="Q12" s="104">
        <v>839.0999999999998</v>
      </c>
    </row>
    <row r="13" spans="1:17" x14ac:dyDescent="0.45">
      <c r="A13" s="50" t="s">
        <v>123</v>
      </c>
      <c r="B13" s="43">
        <f>B19</f>
        <v>251</v>
      </c>
      <c r="C13" s="35">
        <f>IF(B$11=0,0,B13/B$11)</f>
        <v>0.58920187793427226</v>
      </c>
      <c r="E13" s="59" t="s">
        <v>70</v>
      </c>
      <c r="F13" s="56" t="s">
        <v>25</v>
      </c>
      <c r="G13" s="44">
        <v>34</v>
      </c>
      <c r="H13" s="129">
        <f>IF(B$15=0,0,G13/B$15)</f>
        <v>6.126126126126126E-2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185</v>
      </c>
      <c r="C14" s="35">
        <f>IF(B$12=0,0,B14/B$12)</f>
        <v>0.48556430446194226</v>
      </c>
      <c r="E14" s="59" t="s">
        <v>83</v>
      </c>
      <c r="F14" s="56" t="s">
        <v>38</v>
      </c>
      <c r="G14" s="44">
        <v>25</v>
      </c>
      <c r="H14" s="129">
        <f>IF(B$15=0,0,G14/B$15)</f>
        <v>4.5045045045045043E-2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555</v>
      </c>
      <c r="C15" s="35">
        <f>IF(B$3=0,0,B15/B$3)</f>
        <v>0.34429280397022333</v>
      </c>
      <c r="E15" s="59" t="s">
        <v>78</v>
      </c>
      <c r="F15" s="56" t="s">
        <v>33</v>
      </c>
      <c r="G15" s="44">
        <v>21</v>
      </c>
      <c r="H15" s="129">
        <f>IF(B$15=0,0,G15/B$15)</f>
        <v>3.783783783783784E-2</v>
      </c>
      <c r="I15" s="90">
        <v>4</v>
      </c>
      <c r="K15" s="36">
        <v>13</v>
      </c>
      <c r="L15" s="95">
        <v>206.39999999999998</v>
      </c>
      <c r="N15" s="110" t="s">
        <v>274</v>
      </c>
      <c r="O15" s="120">
        <f>IF(P15=0,0,Q15/P15)</f>
        <v>47.224999999999994</v>
      </c>
      <c r="P15" s="114">
        <v>4</v>
      </c>
      <c r="Q15" s="102">
        <v>188.89999999999998</v>
      </c>
    </row>
    <row r="16" spans="1:17" x14ac:dyDescent="0.45">
      <c r="A16" s="51" t="s">
        <v>13</v>
      </c>
      <c r="B16" s="44">
        <v>200</v>
      </c>
      <c r="C16" s="37">
        <f>IF(B$3=0,0,B16/B$3)</f>
        <v>0.12406947890818859</v>
      </c>
      <c r="E16" s="59" t="s">
        <v>162</v>
      </c>
      <c r="F16" s="56" t="s">
        <v>163</v>
      </c>
      <c r="G16" s="44">
        <v>15</v>
      </c>
      <c r="H16" s="129">
        <f>IF(B$15=0,0,G16/B$15)</f>
        <v>2.7027027027027029E-2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236</v>
      </c>
      <c r="C17" s="37">
        <f>IF(B$15=0,0,B17/B$15)</f>
        <v>0.42522522522522521</v>
      </c>
      <c r="E17" s="59" t="s">
        <v>81</v>
      </c>
      <c r="F17" s="56" t="s">
        <v>36</v>
      </c>
      <c r="G17" s="44">
        <v>9</v>
      </c>
      <c r="H17" s="129">
        <f>IF(B$15=0,0,G17/B$15)</f>
        <v>1.6216216216216217E-2</v>
      </c>
      <c r="I17" s="90">
        <v>7</v>
      </c>
      <c r="K17" s="36">
        <v>15</v>
      </c>
      <c r="L17" s="95">
        <v>269.49999999999994</v>
      </c>
      <c r="N17" s="111" t="s">
        <v>197</v>
      </c>
      <c r="O17" s="121">
        <f>IF(P17=0,0,Q17/P17)</f>
        <v>24.157142857142862</v>
      </c>
      <c r="P17" s="115">
        <v>21</v>
      </c>
      <c r="Q17" s="103">
        <v>507.30000000000007</v>
      </c>
    </row>
    <row r="18" spans="1:17" x14ac:dyDescent="0.45">
      <c r="A18" s="51" t="s">
        <v>11</v>
      </c>
      <c r="B18" s="44">
        <v>319</v>
      </c>
      <c r="C18" s="37">
        <f>IF(B$15=0,0,B18/B$15)</f>
        <v>0.57477477477477479</v>
      </c>
      <c r="E18" s="59" t="s">
        <v>91</v>
      </c>
      <c r="F18" s="56" t="s">
        <v>46</v>
      </c>
      <c r="G18" s="44">
        <v>6</v>
      </c>
      <c r="H18" s="129">
        <f>IF(B$15=0,0,G18/B$15)</f>
        <v>1.0810810810810811E-2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15.762499999999999</v>
      </c>
      <c r="P18" s="115">
        <v>64</v>
      </c>
      <c r="Q18" s="103">
        <v>1008.8</v>
      </c>
    </row>
    <row r="19" spans="1:17" x14ac:dyDescent="0.45">
      <c r="A19" s="51" t="s">
        <v>195</v>
      </c>
      <c r="B19" s="44">
        <v>251</v>
      </c>
      <c r="C19" s="37">
        <f>IF(B$15=0,0,B19/B$15)</f>
        <v>0.45225225225225224</v>
      </c>
      <c r="E19" s="59" t="s">
        <v>92</v>
      </c>
      <c r="F19" s="56" t="s">
        <v>47</v>
      </c>
      <c r="G19" s="44">
        <v>6</v>
      </c>
      <c r="H19" s="129">
        <f>IF(B$15=0,0,G19/B$15)</f>
        <v>1.0810810810810811E-2</v>
      </c>
      <c r="I19" s="90">
        <v>2</v>
      </c>
      <c r="K19" s="36">
        <v>17</v>
      </c>
      <c r="L19" s="95">
        <v>359.09999999999991</v>
      </c>
      <c r="N19" s="111" t="s">
        <v>161</v>
      </c>
      <c r="O19" s="121">
        <f>IF(P19=0,0,Q19/P19)</f>
        <v>14.770731707317074</v>
      </c>
      <c r="P19" s="115">
        <v>41</v>
      </c>
      <c r="Q19" s="103">
        <v>605.6</v>
      </c>
    </row>
    <row r="20" spans="1:17" x14ac:dyDescent="0.45">
      <c r="A20" s="51" t="s">
        <v>193</v>
      </c>
      <c r="B20" s="44">
        <v>185</v>
      </c>
      <c r="C20" s="37">
        <f>IF(B$15=0,0,B20/B$15)</f>
        <v>0.33333333333333331</v>
      </c>
      <c r="E20" s="59" t="s">
        <v>75</v>
      </c>
      <c r="F20" s="56" t="s">
        <v>30</v>
      </c>
      <c r="G20" s="44">
        <v>5</v>
      </c>
      <c r="H20" s="129">
        <f>IF(B$15=0,0,G20/B$15)</f>
        <v>9.0090090090090089E-3</v>
      </c>
      <c r="I20" s="90">
        <v>5</v>
      </c>
      <c r="K20" s="36">
        <v>18</v>
      </c>
      <c r="L20" s="95">
        <v>352.39999999999992</v>
      </c>
      <c r="N20" s="111" t="s">
        <v>127</v>
      </c>
      <c r="O20" s="121">
        <f>IF(P20=0,0,Q20/P20)</f>
        <v>13.412173913043482</v>
      </c>
      <c r="P20" s="115">
        <v>115</v>
      </c>
      <c r="Q20" s="103">
        <v>1542.4000000000003</v>
      </c>
    </row>
    <row r="21" spans="1:17" x14ac:dyDescent="0.45">
      <c r="A21" s="51" t="s">
        <v>194</v>
      </c>
      <c r="B21" s="44">
        <v>119</v>
      </c>
      <c r="C21" s="37">
        <f>IF(B$15=0,0,B21/B$15)</f>
        <v>0.21441441441441442</v>
      </c>
      <c r="E21" s="59" t="s">
        <v>79</v>
      </c>
      <c r="F21" s="56" t="s">
        <v>34</v>
      </c>
      <c r="G21" s="44">
        <v>4</v>
      </c>
      <c r="H21" s="129">
        <f>IF(B$15=0,0,G21/B$15)</f>
        <v>7.2072072072072073E-3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13.400000000000002</v>
      </c>
      <c r="P21" s="115">
        <v>75</v>
      </c>
      <c r="Q21" s="103">
        <v>1005.0000000000001</v>
      </c>
    </row>
    <row r="22" spans="1:17" x14ac:dyDescent="0.45">
      <c r="A22" s="51" t="s">
        <v>5</v>
      </c>
      <c r="B22" s="48">
        <f>IF(B$15=0,0,C22/B$15)</f>
        <v>8254.0540540540533</v>
      </c>
      <c r="C22" s="39">
        <v>4581000</v>
      </c>
      <c r="E22" s="59" t="s">
        <v>85</v>
      </c>
      <c r="F22" s="56" t="s">
        <v>40</v>
      </c>
      <c r="G22" s="44">
        <v>4</v>
      </c>
      <c r="H22" s="129">
        <f>IF(B$15=0,0,G22/B$15)</f>
        <v>7.2072072072072073E-3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6.3095238095238093</v>
      </c>
      <c r="P22" s="115">
        <v>63</v>
      </c>
      <c r="Q22" s="103">
        <v>397.5</v>
      </c>
    </row>
    <row r="23" spans="1:17" x14ac:dyDescent="0.45">
      <c r="A23" s="52" t="s">
        <v>177</v>
      </c>
      <c r="B23" s="136">
        <f>IF($B$15-B$14=0,0,C23/($B$15-B$14))</f>
        <v>8864.0540540540533</v>
      </c>
      <c r="C23" s="137">
        <v>3279700</v>
      </c>
      <c r="E23" s="59" t="s">
        <v>77</v>
      </c>
      <c r="F23" s="56" t="s">
        <v>32</v>
      </c>
      <c r="G23" s="44">
        <v>3</v>
      </c>
      <c r="H23" s="129">
        <f>IF(B$15=0,0,G23/B$15)</f>
        <v>5.4054054054054057E-3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7034.0540540540542</v>
      </c>
      <c r="C24" s="137">
        <v>1301300</v>
      </c>
      <c r="E24" s="59" t="s">
        <v>84</v>
      </c>
      <c r="F24" s="56" t="s">
        <v>39</v>
      </c>
      <c r="G24" s="44">
        <v>3</v>
      </c>
      <c r="H24" s="129">
        <f>IF(B$15=0,0,G24/B$15)</f>
        <v>5.4054054054054057E-3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-7822.5</v>
      </c>
      <c r="C25" s="137">
        <v>-1564500</v>
      </c>
      <c r="E25" s="59" t="s">
        <v>74</v>
      </c>
      <c r="F25" s="56" t="s">
        <v>29</v>
      </c>
      <c r="G25" s="44">
        <v>2</v>
      </c>
      <c r="H25" s="129">
        <f>IF(B$15=0,0,G25/B$15)</f>
        <v>3.6036036036036037E-3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3.6036036036036037E-3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9</v>
      </c>
      <c r="E27" s="59" t="s">
        <v>95</v>
      </c>
      <c r="F27" s="56" t="s">
        <v>50</v>
      </c>
      <c r="G27" s="44">
        <v>2</v>
      </c>
      <c r="H27" s="129">
        <f>IF(B$15=0,0,G27/B$15)</f>
        <v>3.6036036036036037E-3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1.8018018018018018E-3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1.8018018018018018E-3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1.2406947890818859E-3</v>
      </c>
      <c r="E30" s="59" t="s">
        <v>106</v>
      </c>
      <c r="F30" s="56" t="s">
        <v>113</v>
      </c>
      <c r="G30" s="44">
        <v>1</v>
      </c>
      <c r="H30" s="129">
        <f>IF(B$15=0,0,G30/B$15)</f>
        <v>1.8018018018018018E-3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53</v>
      </c>
      <c r="C32" s="141">
        <f>IF(B$15=0,0,B32/B$15)</f>
        <v>9.5495495495495492E-2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103</v>
      </c>
      <c r="C33" s="37">
        <f t="shared" ref="C33:C44" si="2">IF(B$15=0,0,B33/B$15)</f>
        <v>0.18558558558558558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110</v>
      </c>
      <c r="C34" s="37">
        <f>IF(B$15=0,0,B34/B$15)</f>
        <v>0.1981981981981982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98</v>
      </c>
      <c r="C35" s="37">
        <f t="shared" si="2"/>
        <v>0.17657657657657658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79</v>
      </c>
      <c r="C36" s="37">
        <f t="shared" si="2"/>
        <v>0.14234234234234233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53</v>
      </c>
      <c r="C37" s="37">
        <f t="shared" si="2"/>
        <v>9.5495495495495492E-2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25</v>
      </c>
      <c r="C38" s="37">
        <f t="shared" si="2"/>
        <v>4.5045045045045043E-2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11</v>
      </c>
      <c r="C39" s="37">
        <f t="shared" si="2"/>
        <v>1.9819819819819819E-2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1.8018018018018018E-2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5.4054054054054057E-3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1.8018018018018018E-3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1.6216216216216217E-2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7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173</v>
      </c>
      <c r="C2" s="155"/>
      <c r="E2" s="58" t="s">
        <v>66</v>
      </c>
      <c r="F2" s="55" t="s">
        <v>22</v>
      </c>
      <c r="G2" s="43">
        <v>333</v>
      </c>
      <c r="H2" s="128">
        <f>IF(B$15=0,0,G2/B$15)</f>
        <v>0.74164810690423166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-916.8604651162791</v>
      </c>
      <c r="P2" s="114">
        <v>172</v>
      </c>
      <c r="Q2" s="98">
        <v>-157700</v>
      </c>
    </row>
    <row r="3" spans="1:17" x14ac:dyDescent="0.45">
      <c r="A3" s="51" t="s">
        <v>8</v>
      </c>
      <c r="B3" s="156">
        <v>1439</v>
      </c>
      <c r="C3" s="157"/>
      <c r="E3" s="59" t="s">
        <v>72</v>
      </c>
      <c r="F3" s="56" t="s">
        <v>27</v>
      </c>
      <c r="G3" s="44">
        <v>256</v>
      </c>
      <c r="H3" s="129">
        <f>IF(B$15=0,0,G3/B$15)</f>
        <v>0.57015590200445432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1283.5294117647059</v>
      </c>
      <c r="P3" s="115">
        <v>170</v>
      </c>
      <c r="Q3" s="99">
        <v>218200</v>
      </c>
    </row>
    <row r="4" spans="1:17" x14ac:dyDescent="0.45">
      <c r="A4" s="51" t="s">
        <v>6</v>
      </c>
      <c r="B4" s="158">
        <v>-71.400000000000205</v>
      </c>
      <c r="C4" s="159"/>
      <c r="E4" s="59" t="s">
        <v>166</v>
      </c>
      <c r="F4" s="56" t="s">
        <v>167</v>
      </c>
      <c r="G4" s="44">
        <v>184</v>
      </c>
      <c r="H4" s="129">
        <f>IF(B$15=0,0,G4/B$15)</f>
        <v>0.40979955456570155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-107.59493670886076</v>
      </c>
      <c r="P4" s="115">
        <v>158</v>
      </c>
      <c r="Q4" s="99">
        <v>-17000</v>
      </c>
    </row>
    <row r="5" spans="1:17" x14ac:dyDescent="0.45">
      <c r="A5" s="51" t="s">
        <v>7</v>
      </c>
      <c r="B5" s="160">
        <f>IF(B$2=0,0,B$4/B$2)</f>
        <v>-0.41271676300578153</v>
      </c>
      <c r="C5" s="161"/>
      <c r="E5" s="59" t="s">
        <v>64</v>
      </c>
      <c r="F5" s="56" t="s">
        <v>20</v>
      </c>
      <c r="G5" s="44">
        <v>172</v>
      </c>
      <c r="H5" s="129">
        <f>IF(B$15=0,0,G5/B$15)</f>
        <v>0.38307349665924278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-9.3333333333333339</v>
      </c>
      <c r="P5" s="115">
        <v>150</v>
      </c>
      <c r="Q5" s="99">
        <v>-1400</v>
      </c>
    </row>
    <row r="6" spans="1:17" x14ac:dyDescent="0.45">
      <c r="A6" s="51" t="s">
        <v>1</v>
      </c>
      <c r="B6" s="150">
        <f>IF(B$2=0,0,(B$7*1+B$8*2+B$9*3)/B$2)</f>
        <v>1.9884393063583814</v>
      </c>
      <c r="C6" s="151"/>
      <c r="E6" s="59" t="s">
        <v>68</v>
      </c>
      <c r="F6" s="56" t="s">
        <v>12</v>
      </c>
      <c r="G6" s="44">
        <v>125</v>
      </c>
      <c r="H6" s="129">
        <f>IF(B$15=0,0,G6/B$15)</f>
        <v>0.27839643652561247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-1659.4202898550725</v>
      </c>
      <c r="P6" s="115">
        <v>138</v>
      </c>
      <c r="Q6" s="99">
        <v>-229000</v>
      </c>
    </row>
    <row r="7" spans="1:17" x14ac:dyDescent="0.45">
      <c r="A7" s="51" t="s">
        <v>2</v>
      </c>
      <c r="B7" s="44">
        <v>58</v>
      </c>
      <c r="C7" s="37">
        <f t="shared" ref="C7:C10" si="1">IF(B$2=0,0,B7/B$2)</f>
        <v>0.33526011560693642</v>
      </c>
      <c r="E7" s="59" t="s">
        <v>67</v>
      </c>
      <c r="F7" s="56" t="s">
        <v>23</v>
      </c>
      <c r="G7" s="44">
        <v>94</v>
      </c>
      <c r="H7" s="129">
        <f>IF(B$15=0,0,G7/B$15)</f>
        <v>0.20935412026726058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1237.391304347826</v>
      </c>
      <c r="P7" s="116">
        <v>115</v>
      </c>
      <c r="Q7" s="100">
        <v>142300</v>
      </c>
    </row>
    <row r="8" spans="1:17" x14ac:dyDescent="0.45">
      <c r="A8" s="51" t="s">
        <v>3</v>
      </c>
      <c r="B8" s="44">
        <v>59</v>
      </c>
      <c r="C8" s="37">
        <f t="shared" si="1"/>
        <v>0.34104046242774566</v>
      </c>
      <c r="E8" s="59" t="s">
        <v>69</v>
      </c>
      <c r="F8" s="56" t="s">
        <v>24</v>
      </c>
      <c r="G8" s="44">
        <v>49</v>
      </c>
      <c r="H8" s="129">
        <f>IF(B$15=0,0,G8/B$15)</f>
        <v>0.10913140311804009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56</v>
      </c>
      <c r="C9" s="38">
        <f t="shared" si="1"/>
        <v>0.32369942196531792</v>
      </c>
      <c r="E9" s="59" t="s">
        <v>89</v>
      </c>
      <c r="F9" s="56" t="s">
        <v>44</v>
      </c>
      <c r="G9" s="44">
        <v>47</v>
      </c>
      <c r="H9" s="129">
        <f>IF(B$15=0,0,G9/B$15)</f>
        <v>0.10467706013363029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0.10404624277456648</v>
      </c>
      <c r="E10" s="59" t="s">
        <v>70</v>
      </c>
      <c r="F10" s="56" t="s">
        <v>25</v>
      </c>
      <c r="G10" s="44">
        <v>44</v>
      </c>
      <c r="H10" s="129">
        <f>IF(B$15=0,0,G10/B$15)</f>
        <v>9.7995545657015584E-2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-1.115384615384615</v>
      </c>
      <c r="P10" s="114">
        <v>52</v>
      </c>
      <c r="Q10" s="102">
        <v>-57.999999999999979</v>
      </c>
    </row>
    <row r="11" spans="1:17" x14ac:dyDescent="0.45">
      <c r="A11" s="54" t="s">
        <v>121</v>
      </c>
      <c r="B11" s="47">
        <v>336</v>
      </c>
      <c r="C11" s="42">
        <f>IF(B$3=0,0,B11/B$3)</f>
        <v>0.23349548297428771</v>
      </c>
      <c r="E11" s="59" t="s">
        <v>71</v>
      </c>
      <c r="F11" s="56" t="s">
        <v>26</v>
      </c>
      <c r="G11" s="44">
        <v>40</v>
      </c>
      <c r="H11" s="129">
        <f>IF(B$15=0,0,G11/B$15)</f>
        <v>8.9086859688195991E-2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2.9418181818181837</v>
      </c>
      <c r="P11" s="115">
        <v>55</v>
      </c>
      <c r="Q11" s="103">
        <v>161.8000000000001</v>
      </c>
    </row>
    <row r="12" spans="1:17" x14ac:dyDescent="0.45">
      <c r="A12" s="51" t="s">
        <v>118</v>
      </c>
      <c r="B12" s="44">
        <v>430</v>
      </c>
      <c r="C12" s="37">
        <f>IF(B$3=0,0,B12/B$3)</f>
        <v>0.29881862404447534</v>
      </c>
      <c r="E12" s="59" t="s">
        <v>65</v>
      </c>
      <c r="F12" s="56" t="s">
        <v>21</v>
      </c>
      <c r="G12" s="44">
        <v>34</v>
      </c>
      <c r="H12" s="129">
        <f>IF(B$15=0,0,G12/B$15)</f>
        <v>7.5723830734966593E-2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-2.6545454545454548</v>
      </c>
      <c r="P12" s="116">
        <v>66</v>
      </c>
      <c r="Q12" s="104">
        <v>-175.20000000000002</v>
      </c>
    </row>
    <row r="13" spans="1:17" x14ac:dyDescent="0.45">
      <c r="A13" s="50" t="s">
        <v>123</v>
      </c>
      <c r="B13" s="43">
        <f>B19</f>
        <v>172</v>
      </c>
      <c r="C13" s="35">
        <f>IF(B$11=0,0,B13/B$11)</f>
        <v>0.51190476190476186</v>
      </c>
      <c r="E13" s="59" t="s">
        <v>86</v>
      </c>
      <c r="F13" s="56" t="s">
        <v>41</v>
      </c>
      <c r="G13" s="44">
        <v>25</v>
      </c>
      <c r="H13" s="129">
        <f>IF(B$15=0,0,G13/B$15)</f>
        <v>5.5679287305122498E-2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166</v>
      </c>
      <c r="C14" s="35">
        <f>IF(B$12=0,0,B14/B$12)</f>
        <v>0.38604651162790699</v>
      </c>
      <c r="E14" s="59" t="s">
        <v>83</v>
      </c>
      <c r="F14" s="56" t="s">
        <v>38</v>
      </c>
      <c r="G14" s="44">
        <v>21</v>
      </c>
      <c r="H14" s="129">
        <f>IF(B$15=0,0,G14/B$15)</f>
        <v>4.6770601336302897E-2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449</v>
      </c>
      <c r="C15" s="35">
        <f>IF(B$3=0,0,B15/B$3)</f>
        <v>0.31202223766504517</v>
      </c>
      <c r="E15" s="59" t="s">
        <v>78</v>
      </c>
      <c r="F15" s="56" t="s">
        <v>33</v>
      </c>
      <c r="G15" s="44">
        <v>18</v>
      </c>
      <c r="H15" s="129">
        <f>IF(B$15=0,0,G15/B$15)</f>
        <v>4.0089086859688199E-2</v>
      </c>
      <c r="I15" s="90">
        <v>3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256</v>
      </c>
      <c r="C16" s="37">
        <f>IF(B$3=0,0,B16/B$3)</f>
        <v>0.17790132036136205</v>
      </c>
      <c r="E16" s="59" t="s">
        <v>91</v>
      </c>
      <c r="F16" s="56" t="s">
        <v>46</v>
      </c>
      <c r="G16" s="44">
        <v>14</v>
      </c>
      <c r="H16" s="129">
        <f>IF(B$15=0,0,G16/B$15)</f>
        <v>3.1180400890868598E-2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18.434693877551016</v>
      </c>
      <c r="P16" s="115">
        <v>49</v>
      </c>
      <c r="Q16" s="103">
        <v>903.29999999999973</v>
      </c>
    </row>
    <row r="17" spans="1:17" x14ac:dyDescent="0.45">
      <c r="A17" s="51" t="s">
        <v>12</v>
      </c>
      <c r="B17" s="44">
        <v>188</v>
      </c>
      <c r="C17" s="37">
        <f>IF(B$15=0,0,B17/B$15)</f>
        <v>0.41870824053452116</v>
      </c>
      <c r="E17" s="59" t="s">
        <v>81</v>
      </c>
      <c r="F17" s="56" t="s">
        <v>36</v>
      </c>
      <c r="G17" s="44">
        <v>10</v>
      </c>
      <c r="H17" s="129">
        <f>IF(B$15=0,0,G17/B$15)</f>
        <v>2.2271714922048998E-2</v>
      </c>
      <c r="I17" s="90">
        <v>4</v>
      </c>
      <c r="K17" s="36">
        <v>15</v>
      </c>
      <c r="L17" s="95">
        <v>-144.30000000000001</v>
      </c>
      <c r="N17" s="111" t="s">
        <v>196</v>
      </c>
      <c r="O17" s="121">
        <f>IF(P17=0,0,Q17/P17)</f>
        <v>13.5</v>
      </c>
      <c r="P17" s="115">
        <v>5</v>
      </c>
      <c r="Q17" s="103">
        <v>67.5</v>
      </c>
    </row>
    <row r="18" spans="1:17" x14ac:dyDescent="0.45">
      <c r="A18" s="51" t="s">
        <v>11</v>
      </c>
      <c r="B18" s="44">
        <v>261</v>
      </c>
      <c r="C18" s="37">
        <f>IF(B$15=0,0,B18/B$15)</f>
        <v>0.58129175946547884</v>
      </c>
      <c r="E18" s="59" t="s">
        <v>79</v>
      </c>
      <c r="F18" s="56" t="s">
        <v>34</v>
      </c>
      <c r="G18" s="44">
        <v>8</v>
      </c>
      <c r="H18" s="129">
        <f>IF(B$15=0,0,G18/B$15)</f>
        <v>1.7817371937639197E-2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172</v>
      </c>
      <c r="C19" s="37">
        <f>IF(B$15=0,0,B19/B$15)</f>
        <v>0.38307349665924278</v>
      </c>
      <c r="E19" s="59" t="s">
        <v>162</v>
      </c>
      <c r="F19" s="56" t="s">
        <v>163</v>
      </c>
      <c r="G19" s="44">
        <v>5</v>
      </c>
      <c r="H19" s="129">
        <f>IF(B$15=0,0,G19/B$15)</f>
        <v>1.1135857461024499E-2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166</v>
      </c>
      <c r="C20" s="37">
        <f>IF(B$15=0,0,B20/B$15)</f>
        <v>0.36971046770601335</v>
      </c>
      <c r="E20" s="59" t="s">
        <v>92</v>
      </c>
      <c r="F20" s="56" t="s">
        <v>47</v>
      </c>
      <c r="G20" s="44">
        <v>3</v>
      </c>
      <c r="H20" s="129">
        <f>IF(B$15=0,0,G20/B$15)</f>
        <v>6.6815144766146995E-3</v>
      </c>
      <c r="I20" s="90">
        <v>5</v>
      </c>
      <c r="K20" s="36">
        <v>18</v>
      </c>
      <c r="L20" s="95">
        <v>-112.90000000000002</v>
      </c>
      <c r="N20" s="111" t="s">
        <v>170</v>
      </c>
      <c r="O20" s="121">
        <f>IF(P20=0,0,Q20/P20)</f>
        <v>-2.0999999999999965</v>
      </c>
      <c r="P20" s="115">
        <v>57</v>
      </c>
      <c r="Q20" s="103">
        <v>-119.6999999999998</v>
      </c>
    </row>
    <row r="21" spans="1:17" x14ac:dyDescent="0.45">
      <c r="A21" s="51" t="s">
        <v>194</v>
      </c>
      <c r="B21" s="44">
        <v>111</v>
      </c>
      <c r="C21" s="37">
        <f>IF(B$15=0,0,B21/B$15)</f>
        <v>0.24721603563474387</v>
      </c>
      <c r="E21" s="59" t="s">
        <v>74</v>
      </c>
      <c r="F21" s="56" t="s">
        <v>29</v>
      </c>
      <c r="G21" s="44">
        <v>2</v>
      </c>
      <c r="H21" s="129">
        <f>IF(B$15=0,0,G21/B$15)</f>
        <v>4.4543429844097994E-3</v>
      </c>
      <c r="I21" s="90">
        <v>3</v>
      </c>
      <c r="K21" s="36">
        <v>19</v>
      </c>
      <c r="L21" s="95">
        <v>-162.40000000000003</v>
      </c>
      <c r="N21" s="111" t="s">
        <v>274</v>
      </c>
      <c r="O21" s="121">
        <f>IF(P21=0,0,Q21/P21)</f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7922.0489977728284</v>
      </c>
      <c r="C22" s="39">
        <v>3557000</v>
      </c>
      <c r="E22" s="59" t="s">
        <v>75</v>
      </c>
      <c r="F22" s="56" t="s">
        <v>30</v>
      </c>
      <c r="G22" s="44">
        <v>2</v>
      </c>
      <c r="H22" s="129">
        <f>IF(B$15=0,0,G22/B$15)</f>
        <v>4.4543429844097994E-3</v>
      </c>
      <c r="I22" s="90">
        <v>9</v>
      </c>
      <c r="K22" s="36">
        <v>20</v>
      </c>
      <c r="L22" s="95">
        <v>-96.000000000000028</v>
      </c>
      <c r="N22" s="111" t="s">
        <v>171</v>
      </c>
      <c r="O22" s="121">
        <f>IF(P22=0,0,Q22/P22)</f>
        <v>-4.1816666666666658</v>
      </c>
      <c r="P22" s="115">
        <v>60</v>
      </c>
      <c r="Q22" s="103">
        <v>-250.89999999999992</v>
      </c>
    </row>
    <row r="23" spans="1:17" x14ac:dyDescent="0.45">
      <c r="A23" s="52" t="s">
        <v>177</v>
      </c>
      <c r="B23" s="136">
        <f>IF($B$15-B$14=0,0,C23/($B$15-B$14))</f>
        <v>8544.1696113074213</v>
      </c>
      <c r="C23" s="137">
        <v>2418000</v>
      </c>
      <c r="E23" s="59" t="s">
        <v>73</v>
      </c>
      <c r="F23" s="56" t="s">
        <v>28</v>
      </c>
      <c r="G23" s="44">
        <v>1</v>
      </c>
      <c r="H23" s="129">
        <f>IF(B$15=0,0,G23/B$15)</f>
        <v>2.2271714922048997E-3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-13.412173913043482</v>
      </c>
      <c r="P23" s="115">
        <v>115</v>
      </c>
      <c r="Q23" s="103">
        <v>-1542.4000000000003</v>
      </c>
    </row>
    <row r="24" spans="1:17" x14ac:dyDescent="0.45">
      <c r="A24" s="52" t="s">
        <v>178</v>
      </c>
      <c r="B24" s="136">
        <f>IF(B$14=0,0,C24/B$14)</f>
        <v>6861.4457831325299</v>
      </c>
      <c r="C24" s="137">
        <v>1139000</v>
      </c>
      <c r="E24" s="59" t="s">
        <v>77</v>
      </c>
      <c r="F24" s="56" t="s">
        <v>32</v>
      </c>
      <c r="G24" s="44">
        <v>1</v>
      </c>
      <c r="H24" s="129">
        <f>IF(B$15=0,0,G24/B$15)</f>
        <v>2.2271714922048997E-3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-7970.3125</v>
      </c>
      <c r="C25" s="137">
        <v>-2040400</v>
      </c>
      <c r="E25" s="59" t="s">
        <v>84</v>
      </c>
      <c r="F25" s="56" t="s">
        <v>39</v>
      </c>
      <c r="G25" s="44">
        <v>1</v>
      </c>
      <c r="H25" s="129">
        <f>IF(B$15=0,0,G25/B$15)</f>
        <v>2.2271714922048997E-3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2.2271714922048997E-3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12</v>
      </c>
      <c r="E27" s="59" t="s">
        <v>95</v>
      </c>
      <c r="F27" s="56" t="s">
        <v>50</v>
      </c>
      <c r="G27" s="44">
        <v>1</v>
      </c>
      <c r="H27" s="129">
        <f>IF(B$15=0,0,G27/B$15)</f>
        <v>2.2271714922048997E-3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3.4746351633078527E-3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35</v>
      </c>
      <c r="C32" s="141">
        <f>IF(B$15=0,0,B32/B$15)</f>
        <v>7.7951002227171495E-2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85</v>
      </c>
      <c r="C33" s="37">
        <f t="shared" ref="C33:C44" si="2">IF(B$15=0,0,B33/B$15)</f>
        <v>0.18930957683741648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97</v>
      </c>
      <c r="C34" s="37">
        <f>IF(B$15=0,0,B34/B$15)</f>
        <v>0.21603563474387527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89</v>
      </c>
      <c r="C35" s="37">
        <f t="shared" si="2"/>
        <v>0.19821826280623608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63</v>
      </c>
      <c r="C36" s="37">
        <f t="shared" si="2"/>
        <v>0.14031180400890869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42</v>
      </c>
      <c r="C37" s="37">
        <f t="shared" si="2"/>
        <v>9.3541202672605794E-2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3.34075723830735E-2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2.0044543429844099E-2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1.3363028953229399E-2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2.2271714922048997E-3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6.6815144766146995E-3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8.9086859688195987E-3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176</v>
      </c>
      <c r="H2" s="128">
        <f>IF(B$15=0,0,G2/B$15)</f>
        <v>0.76855895196506552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-637.37373737373741</v>
      </c>
      <c r="P2" s="114">
        <v>99</v>
      </c>
      <c r="Q2" s="98">
        <v>-63100</v>
      </c>
    </row>
    <row r="3" spans="1:17" x14ac:dyDescent="0.45">
      <c r="A3" s="51" t="s">
        <v>8</v>
      </c>
      <c r="B3" s="156">
        <v>863</v>
      </c>
      <c r="C3" s="157"/>
      <c r="E3" s="59" t="s">
        <v>64</v>
      </c>
      <c r="F3" s="56" t="s">
        <v>20</v>
      </c>
      <c r="G3" s="44">
        <v>127</v>
      </c>
      <c r="H3" s="129">
        <f>IF(B$15=0,0,G3/B$15)</f>
        <v>0.55458515283842791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-893.93939393939399</v>
      </c>
      <c r="P3" s="115">
        <v>99</v>
      </c>
      <c r="Q3" s="99">
        <v>-88500</v>
      </c>
    </row>
    <row r="4" spans="1:17" x14ac:dyDescent="0.45">
      <c r="A4" s="51" t="s">
        <v>6</v>
      </c>
      <c r="B4" s="158">
        <v>-752.69999999999993</v>
      </c>
      <c r="C4" s="159"/>
      <c r="E4" s="59" t="s">
        <v>72</v>
      </c>
      <c r="F4" s="56" t="s">
        <v>27</v>
      </c>
      <c r="G4" s="44">
        <v>114</v>
      </c>
      <c r="H4" s="129">
        <f>IF(B$15=0,0,G4/B$15)</f>
        <v>0.49781659388646288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469.89247311827955</v>
      </c>
      <c r="P4" s="115">
        <v>93</v>
      </c>
      <c r="Q4" s="99">
        <v>43700</v>
      </c>
    </row>
    <row r="5" spans="1:17" x14ac:dyDescent="0.45">
      <c r="A5" s="51" t="s">
        <v>7</v>
      </c>
      <c r="B5" s="160">
        <f>IF(B$2=0,0,B$4/B$2)</f>
        <v>-7.5269999999999992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0.41921397379912662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-779.12087912087907</v>
      </c>
      <c r="P5" s="115">
        <v>91</v>
      </c>
      <c r="Q5" s="99">
        <v>-70900</v>
      </c>
    </row>
    <row r="6" spans="1:17" x14ac:dyDescent="0.45">
      <c r="A6" s="51" t="s">
        <v>1</v>
      </c>
      <c r="B6" s="150">
        <f>IF(B$2=0,0,(B$7*1+B$8*2+B$9*3)/B$2)</f>
        <v>2.19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0.34934497816593885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-2894.1860465116279</v>
      </c>
      <c r="P6" s="115">
        <v>86</v>
      </c>
      <c r="Q6" s="99">
        <v>-248900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</v>
      </c>
      <c r="E7" s="59" t="s">
        <v>67</v>
      </c>
      <c r="F7" s="56" t="s">
        <v>23</v>
      </c>
      <c r="G7" s="44">
        <v>70</v>
      </c>
      <c r="H7" s="129">
        <f>IF(B$15=0,0,G7/B$15)</f>
        <v>0.3056768558951965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-1877.3333333333333</v>
      </c>
      <c r="P7" s="116">
        <v>75</v>
      </c>
      <c r="Q7" s="100">
        <v>-140800</v>
      </c>
    </row>
    <row r="8" spans="1:17" x14ac:dyDescent="0.45">
      <c r="A8" s="51" t="s">
        <v>3</v>
      </c>
      <c r="B8" s="44">
        <v>39</v>
      </c>
      <c r="C8" s="37">
        <f t="shared" si="1"/>
        <v>0.39</v>
      </c>
      <c r="E8" s="59" t="s">
        <v>69</v>
      </c>
      <c r="F8" s="56" t="s">
        <v>24</v>
      </c>
      <c r="G8" s="44">
        <v>33</v>
      </c>
      <c r="H8" s="129">
        <f>IF(B$15=0,0,G8/B$15)</f>
        <v>0.14410480349344978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0.4</v>
      </c>
      <c r="E9" s="59" t="s">
        <v>65</v>
      </c>
      <c r="F9" s="56" t="s">
        <v>21</v>
      </c>
      <c r="G9" s="44">
        <v>28</v>
      </c>
      <c r="H9" s="129">
        <f>IF(B$15=0,0,G9/B$15)</f>
        <v>0.1222707423580786</v>
      </c>
      <c r="I9" s="90">
        <v>7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0.08</v>
      </c>
      <c r="E10" s="59" t="s">
        <v>70</v>
      </c>
      <c r="F10" s="56" t="s">
        <v>25</v>
      </c>
      <c r="G10" s="44">
        <v>28</v>
      </c>
      <c r="H10" s="129">
        <f>IF(B$15=0,0,G10/B$15)</f>
        <v>0.1222707423580786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-6.9425000000000026</v>
      </c>
      <c r="P10" s="114">
        <v>40</v>
      </c>
      <c r="Q10" s="102">
        <v>-277.7000000000001</v>
      </c>
    </row>
    <row r="11" spans="1:17" x14ac:dyDescent="0.45">
      <c r="A11" s="54" t="s">
        <v>121</v>
      </c>
      <c r="B11" s="47">
        <v>236</v>
      </c>
      <c r="C11" s="42">
        <f>IF(B$3=0,0,B11/B$3)</f>
        <v>0.27346465816917731</v>
      </c>
      <c r="E11" s="59" t="s">
        <v>89</v>
      </c>
      <c r="F11" s="56" t="s">
        <v>44</v>
      </c>
      <c r="G11" s="44">
        <v>26</v>
      </c>
      <c r="H11" s="129">
        <f>IF(B$15=0,0,G11/B$15)</f>
        <v>0.11353711790393013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165</v>
      </c>
      <c r="C12" s="37">
        <f>IF(B$3=0,0,B12/B$3)</f>
        <v>0.19119351100811124</v>
      </c>
      <c r="E12" s="59" t="s">
        <v>83</v>
      </c>
      <c r="F12" s="56" t="s">
        <v>38</v>
      </c>
      <c r="G12" s="44">
        <v>14</v>
      </c>
      <c r="H12" s="129">
        <f>IF(B$15=0,0,G12/B$15)</f>
        <v>6.1135371179039298E-2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127</v>
      </c>
      <c r="C13" s="35">
        <f>IF(B$11=0,0,B13/B$11)</f>
        <v>0.53813559322033899</v>
      </c>
      <c r="E13" s="59" t="s">
        <v>86</v>
      </c>
      <c r="F13" s="56" t="s">
        <v>41</v>
      </c>
      <c r="G13" s="44">
        <v>10</v>
      </c>
      <c r="H13" s="129">
        <f>IF(B$15=0,0,G13/B$15)</f>
        <v>4.3668122270742356E-2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71</v>
      </c>
      <c r="F14" s="56" t="s">
        <v>26</v>
      </c>
      <c r="G14" s="44">
        <v>9</v>
      </c>
      <c r="H14" s="129">
        <f>IF(B$15=0,0,G14/B$15)</f>
        <v>3.9301310043668124E-2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229</v>
      </c>
      <c r="C15" s="35">
        <f>IF(B$3=0,0,B15/B$3)</f>
        <v>0.26535341830822712</v>
      </c>
      <c r="E15" s="59" t="s">
        <v>78</v>
      </c>
      <c r="F15" s="56" t="s">
        <v>33</v>
      </c>
      <c r="G15" s="44">
        <v>8</v>
      </c>
      <c r="H15" s="129">
        <f>IF(B$15=0,0,G15/B$15)</f>
        <v>3.4934497816593885E-2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158</v>
      </c>
      <c r="C16" s="37">
        <f>IF(B$3=0,0,B16/B$3)</f>
        <v>0.18308227114716108</v>
      </c>
      <c r="E16" s="59" t="s">
        <v>79</v>
      </c>
      <c r="F16" s="56" t="s">
        <v>34</v>
      </c>
      <c r="G16" s="44">
        <v>4</v>
      </c>
      <c r="H16" s="129">
        <f>IF(B$15=0,0,G16/B$15)</f>
        <v>1.7467248908296942E-2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107</v>
      </c>
      <c r="C17" s="37">
        <f>IF(B$15=0,0,B17/B$15)</f>
        <v>0.46724890829694321</v>
      </c>
      <c r="E17" s="59" t="s">
        <v>81</v>
      </c>
      <c r="F17" s="56" t="s">
        <v>36</v>
      </c>
      <c r="G17" s="44">
        <v>4</v>
      </c>
      <c r="H17" s="129">
        <f>IF(B$15=0,0,G17/B$15)</f>
        <v>1.7467248908296942E-2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0.53275109170305679</v>
      </c>
      <c r="E18" s="59" t="s">
        <v>162</v>
      </c>
      <c r="F18" s="56" t="s">
        <v>163</v>
      </c>
      <c r="G18" s="44">
        <v>4</v>
      </c>
      <c r="H18" s="129">
        <f>IF(B$15=0,0,G18/B$15)</f>
        <v>1.7467248908296942E-2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127</v>
      </c>
      <c r="C19" s="37">
        <f>IF(B$15=0,0,B19/B$15)</f>
        <v>0.55458515283842791</v>
      </c>
      <c r="E19" s="59" t="s">
        <v>75</v>
      </c>
      <c r="F19" s="56" t="s">
        <v>30</v>
      </c>
      <c r="G19" s="44">
        <v>3</v>
      </c>
      <c r="H19" s="129">
        <f>IF(B$15=0,0,G19/B$15)</f>
        <v>1.3100436681222707E-2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0.29257641921397382</v>
      </c>
      <c r="E20" s="59" t="s">
        <v>85</v>
      </c>
      <c r="F20" s="56" t="s">
        <v>40</v>
      </c>
      <c r="G20" s="44">
        <v>1</v>
      </c>
      <c r="H20" s="129">
        <f>IF(B$15=0,0,G20/B$15)</f>
        <v>4.3668122270742356E-3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-15.762500000000001</v>
      </c>
      <c r="P20" s="115">
        <v>64</v>
      </c>
      <c r="Q20" s="103">
        <v>-1008.8000000000001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0.15283842794759825</v>
      </c>
      <c r="E21" s="59" t="s">
        <v>91</v>
      </c>
      <c r="F21" s="56" t="s">
        <v>46</v>
      </c>
      <c r="G21" s="44">
        <v>1</v>
      </c>
      <c r="H21" s="129">
        <f>IF(B$15=0,0,G21/B$15)</f>
        <v>4.3668122270742356E-3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7835.8078602620089</v>
      </c>
      <c r="C22" s="39">
        <v>1794400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8448.1481481481478</v>
      </c>
      <c r="C23" s="137">
        <v>1368600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-7813.9240506329115</v>
      </c>
      <c r="C25" s="137">
        <v>-1234600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3.4762456546929316E-3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7.4235807860262015E-2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0.1703056768558952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0.22707423580786026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35</v>
      </c>
      <c r="C35" s="37">
        <f t="shared" si="3"/>
        <v>0.15283842794759825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3"/>
        <v>0.1703056768558952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0.10043668122270742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6.1135371179039298E-2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2.6200873362445413E-2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4.3668122270742356E-3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4.3668122270742356E-3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8.7336244541484712E-3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4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144</v>
      </c>
      <c r="C2" s="155"/>
      <c r="E2" s="58" t="s">
        <v>66</v>
      </c>
      <c r="F2" s="55" t="s">
        <v>22</v>
      </c>
      <c r="G2" s="43">
        <v>287</v>
      </c>
      <c r="H2" s="128">
        <f>IF(B$15=0,0,G2/B$15)</f>
        <v>0.90536277602523663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1032.6388888888889</v>
      </c>
      <c r="P2" s="114">
        <v>144</v>
      </c>
      <c r="Q2" s="98">
        <v>148700</v>
      </c>
    </row>
    <row r="3" spans="1:17" x14ac:dyDescent="0.45">
      <c r="A3" s="51" t="s">
        <v>8</v>
      </c>
      <c r="B3" s="156">
        <v>1167</v>
      </c>
      <c r="C3" s="157"/>
      <c r="E3" s="59" t="s">
        <v>72</v>
      </c>
      <c r="F3" s="56" t="s">
        <v>27</v>
      </c>
      <c r="G3" s="44">
        <v>174</v>
      </c>
      <c r="H3" s="129">
        <f>IF(B$15=0,0,G3/B$15)</f>
        <v>0.54889589905362779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-1853.9007092198581</v>
      </c>
      <c r="P3" s="115">
        <v>141</v>
      </c>
      <c r="Q3" s="99">
        <v>-261400</v>
      </c>
    </row>
    <row r="4" spans="1:17" x14ac:dyDescent="0.45">
      <c r="A4" s="51" t="s">
        <v>6</v>
      </c>
      <c r="B4" s="158">
        <v>480.90000000000055</v>
      </c>
      <c r="C4" s="159"/>
      <c r="E4" s="59" t="s">
        <v>64</v>
      </c>
      <c r="F4" s="56" t="s">
        <v>20</v>
      </c>
      <c r="G4" s="44">
        <v>173</v>
      </c>
      <c r="H4" s="129">
        <f>IF(B$15=0,0,G4/B$15)</f>
        <v>0.5457413249211357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-755.03875968992247</v>
      </c>
      <c r="P4" s="115">
        <v>129</v>
      </c>
      <c r="Q4" s="99">
        <v>-97400</v>
      </c>
    </row>
    <row r="5" spans="1:17" x14ac:dyDescent="0.45">
      <c r="A5" s="51" t="s">
        <v>7</v>
      </c>
      <c r="B5" s="160">
        <f>IF(B$2=0,0,B$4/B$2)</f>
        <v>3.3395833333333371</v>
      </c>
      <c r="C5" s="161"/>
      <c r="E5" s="59" t="s">
        <v>67</v>
      </c>
      <c r="F5" s="56" t="s">
        <v>23</v>
      </c>
      <c r="G5" s="44">
        <v>126</v>
      </c>
      <c r="H5" s="129">
        <f>IF(B$15=0,0,G5/B$15)</f>
        <v>0.39747634069400634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2231.404958677686</v>
      </c>
      <c r="P5" s="115">
        <v>121</v>
      </c>
      <c r="Q5" s="99">
        <v>270000</v>
      </c>
    </row>
    <row r="6" spans="1:17" x14ac:dyDescent="0.45">
      <c r="A6" s="51" t="s">
        <v>1</v>
      </c>
      <c r="B6" s="150">
        <f>IF(B$2=0,0,(B$7*1+B$8*2+B$9*3)/B$2)</f>
        <v>1.9375</v>
      </c>
      <c r="C6" s="151"/>
      <c r="E6" s="59" t="s">
        <v>68</v>
      </c>
      <c r="F6" s="56" t="s">
        <v>12</v>
      </c>
      <c r="G6" s="44">
        <v>125</v>
      </c>
      <c r="H6" s="129">
        <f>IF(B$15=0,0,G6/B$15)</f>
        <v>0.39432176656151419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1465.1376146788991</v>
      </c>
      <c r="P6" s="115">
        <v>109</v>
      </c>
      <c r="Q6" s="99">
        <v>159700</v>
      </c>
    </row>
    <row r="7" spans="1:17" x14ac:dyDescent="0.45">
      <c r="A7" s="51" t="s">
        <v>2</v>
      </c>
      <c r="B7" s="44">
        <v>56</v>
      </c>
      <c r="C7" s="37">
        <f t="shared" ref="C7:C10" si="1">IF(B$2=0,0,B7/B$2)</f>
        <v>0.3888888888888889</v>
      </c>
      <c r="E7" s="59" t="s">
        <v>166</v>
      </c>
      <c r="F7" s="56" t="s">
        <v>167</v>
      </c>
      <c r="G7" s="44">
        <v>118</v>
      </c>
      <c r="H7" s="129">
        <f>IF(B$15=0,0,G7/B$15)</f>
        <v>0.37223974763406942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520.73170731707319</v>
      </c>
      <c r="P7" s="116">
        <v>82</v>
      </c>
      <c r="Q7" s="100">
        <v>42700</v>
      </c>
    </row>
    <row r="8" spans="1:17" x14ac:dyDescent="0.45">
      <c r="A8" s="51" t="s">
        <v>3</v>
      </c>
      <c r="B8" s="44">
        <v>41</v>
      </c>
      <c r="C8" s="37">
        <f t="shared" si="1"/>
        <v>0.28472222222222221</v>
      </c>
      <c r="E8" s="59" t="s">
        <v>89</v>
      </c>
      <c r="F8" s="56" t="s">
        <v>44</v>
      </c>
      <c r="G8" s="44">
        <v>80</v>
      </c>
      <c r="H8" s="129">
        <f>IF(B$15=0,0,G8/B$15)</f>
        <v>0.25236593059936907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0.3263888888888889</v>
      </c>
      <c r="E9" s="59" t="s">
        <v>69</v>
      </c>
      <c r="F9" s="56" t="s">
        <v>24</v>
      </c>
      <c r="G9" s="44">
        <v>67</v>
      </c>
      <c r="H9" s="129">
        <f>IF(B$15=0,0,G9/B$15)</f>
        <v>0.2113564668769716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0.125</v>
      </c>
      <c r="E10" s="59" t="s">
        <v>65</v>
      </c>
      <c r="F10" s="56" t="s">
        <v>21</v>
      </c>
      <c r="G10" s="44">
        <v>46</v>
      </c>
      <c r="H10" s="129">
        <f>IF(B$15=0,0,G10/B$15)</f>
        <v>0.14511041009463724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-10.75609756097561</v>
      </c>
      <c r="P10" s="114">
        <v>41</v>
      </c>
      <c r="Q10" s="102">
        <v>-441</v>
      </c>
    </row>
    <row r="11" spans="1:17" x14ac:dyDescent="0.45">
      <c r="A11" s="54" t="s">
        <v>121</v>
      </c>
      <c r="B11" s="47">
        <v>348</v>
      </c>
      <c r="C11" s="42">
        <f>IF(B$3=0,0,B11/B$3)</f>
        <v>0.29820051413881749</v>
      </c>
      <c r="E11" s="59" t="s">
        <v>70</v>
      </c>
      <c r="F11" s="56" t="s">
        <v>25</v>
      </c>
      <c r="G11" s="44">
        <v>40</v>
      </c>
      <c r="H11" s="129">
        <f>IF(B$15=0,0,G11/B$15)</f>
        <v>0.12618296529968454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7.038888888888887</v>
      </c>
      <c r="P11" s="115">
        <v>54</v>
      </c>
      <c r="Q11" s="103">
        <v>380.09999999999991</v>
      </c>
    </row>
    <row r="12" spans="1:17" x14ac:dyDescent="0.45">
      <c r="A12" s="51" t="s">
        <v>118</v>
      </c>
      <c r="B12" s="44">
        <v>214</v>
      </c>
      <c r="C12" s="37">
        <f>IF(B$3=0,0,B12/B$3)</f>
        <v>0.18337617823479005</v>
      </c>
      <c r="E12" s="59" t="s">
        <v>71</v>
      </c>
      <c r="F12" s="56" t="s">
        <v>26</v>
      </c>
      <c r="G12" s="44">
        <v>19</v>
      </c>
      <c r="H12" s="129">
        <f>IF(B$15=0,0,G12/B$15)</f>
        <v>5.993690851735016E-2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11.057142857142859</v>
      </c>
      <c r="P12" s="116">
        <v>49</v>
      </c>
      <c r="Q12" s="104">
        <v>541.80000000000007</v>
      </c>
    </row>
    <row r="13" spans="1:17" x14ac:dyDescent="0.45">
      <c r="A13" s="50" t="s">
        <v>123</v>
      </c>
      <c r="B13" s="43">
        <f>B19</f>
        <v>188</v>
      </c>
      <c r="C13" s="35">
        <f>IF(B$11=0,0,B13/B$11)</f>
        <v>0.54022988505747127</v>
      </c>
      <c r="E13" s="59" t="s">
        <v>162</v>
      </c>
      <c r="F13" s="56" t="s">
        <v>163</v>
      </c>
      <c r="G13" s="44">
        <v>17</v>
      </c>
      <c r="H13" s="129">
        <f>IF(B$15=0,0,G13/B$15)</f>
        <v>5.362776025236593E-2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80</v>
      </c>
      <c r="C14" s="35">
        <f>IF(B$12=0,0,B14/B$12)</f>
        <v>0.37383177570093457</v>
      </c>
      <c r="E14" s="59" t="s">
        <v>86</v>
      </c>
      <c r="F14" s="56" t="s">
        <v>41</v>
      </c>
      <c r="G14" s="44">
        <v>12</v>
      </c>
      <c r="H14" s="129">
        <f>IF(B$15=0,0,G14/B$15)</f>
        <v>3.7854889589905363E-2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317</v>
      </c>
      <c r="C15" s="35">
        <f>IF(B$3=0,0,B15/B$3)</f>
        <v>0.27163667523564694</v>
      </c>
      <c r="E15" s="59" t="s">
        <v>83</v>
      </c>
      <c r="F15" s="56" t="s">
        <v>38</v>
      </c>
      <c r="G15" s="44">
        <v>10</v>
      </c>
      <c r="H15" s="129">
        <f>IF(B$15=0,0,G15/B$15)</f>
        <v>3.1545741324921134E-2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203</v>
      </c>
      <c r="C16" s="37">
        <f>IF(B$3=0,0,B16/B$3)</f>
        <v>0.17395029991431019</v>
      </c>
      <c r="E16" s="59" t="s">
        <v>91</v>
      </c>
      <c r="F16" s="56" t="s">
        <v>46</v>
      </c>
      <c r="G16" s="44">
        <v>7</v>
      </c>
      <c r="H16" s="129">
        <f>IF(B$15=0,0,G16/B$15)</f>
        <v>2.2082018927444796E-2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26.54137931034483</v>
      </c>
      <c r="P16" s="115">
        <v>29</v>
      </c>
      <c r="Q16" s="103">
        <v>769.7</v>
      </c>
    </row>
    <row r="17" spans="1:17" x14ac:dyDescent="0.45">
      <c r="A17" s="51" t="s">
        <v>12</v>
      </c>
      <c r="B17" s="44">
        <v>163</v>
      </c>
      <c r="C17" s="37">
        <f>IF(B$15=0,0,B17/B$15)</f>
        <v>0.51419558359621453</v>
      </c>
      <c r="E17" s="59" t="s">
        <v>92</v>
      </c>
      <c r="F17" s="56" t="s">
        <v>47</v>
      </c>
      <c r="G17" s="44">
        <v>6</v>
      </c>
      <c r="H17" s="129">
        <f>IF(B$15=0,0,G17/B$15)</f>
        <v>1.8927444794952682E-2</v>
      </c>
      <c r="I17" s="90">
        <v>1</v>
      </c>
      <c r="K17" s="36">
        <v>15</v>
      </c>
      <c r="L17" s="95">
        <v>-101.79999999999997</v>
      </c>
      <c r="N17" s="111" t="s">
        <v>197</v>
      </c>
      <c r="O17" s="121">
        <f>IF(P17=0,0,Q17/P17)</f>
        <v>12.110344827586209</v>
      </c>
      <c r="P17" s="115">
        <v>29</v>
      </c>
      <c r="Q17" s="103">
        <v>351.20000000000005</v>
      </c>
    </row>
    <row r="18" spans="1:17" x14ac:dyDescent="0.45">
      <c r="A18" s="51" t="s">
        <v>11</v>
      </c>
      <c r="B18" s="44">
        <v>154</v>
      </c>
      <c r="C18" s="37">
        <f>IF(B$15=0,0,B18/B$15)</f>
        <v>0.48580441640378547</v>
      </c>
      <c r="E18" s="59" t="s">
        <v>81</v>
      </c>
      <c r="F18" s="56" t="s">
        <v>36</v>
      </c>
      <c r="G18" s="44">
        <v>5</v>
      </c>
      <c r="H18" s="129">
        <f>IF(B$15=0,0,G18/B$15)</f>
        <v>1.5772870662460567E-2</v>
      </c>
      <c r="I18" s="90">
        <v>9</v>
      </c>
      <c r="K18" s="36">
        <v>16</v>
      </c>
      <c r="L18" s="95">
        <v>-63.099999999999966</v>
      </c>
      <c r="N18" s="111" t="s">
        <v>171</v>
      </c>
      <c r="O18" s="121">
        <f>IF(P18=0,0,Q18/P18)</f>
        <v>9.0794117647058812</v>
      </c>
      <c r="P18" s="115">
        <v>68</v>
      </c>
      <c r="Q18" s="103">
        <v>617.4</v>
      </c>
    </row>
    <row r="19" spans="1:17" x14ac:dyDescent="0.45">
      <c r="A19" s="51" t="s">
        <v>195</v>
      </c>
      <c r="B19" s="44">
        <v>188</v>
      </c>
      <c r="C19" s="37">
        <f>IF(B$15=0,0,B19/B$15)</f>
        <v>0.59305993690851733</v>
      </c>
      <c r="E19" s="59" t="s">
        <v>78</v>
      </c>
      <c r="F19" s="56" t="s">
        <v>33</v>
      </c>
      <c r="G19" s="44">
        <v>4</v>
      </c>
      <c r="H19" s="129">
        <f>IF(B$15=0,0,G19/B$15)</f>
        <v>1.2618296529968454E-2</v>
      </c>
      <c r="I19" s="90">
        <v>8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80</v>
      </c>
      <c r="C20" s="37">
        <f>IF(B$15=0,0,B20/B$15)</f>
        <v>0.25236593059936907</v>
      </c>
      <c r="E20" s="59" t="s">
        <v>79</v>
      </c>
      <c r="F20" s="56" t="s">
        <v>34</v>
      </c>
      <c r="G20" s="44">
        <v>4</v>
      </c>
      <c r="H20" s="129">
        <f>IF(B$15=0,0,G20/B$15)</f>
        <v>1.2618296529968454E-2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2.0999999999999988</v>
      </c>
      <c r="P20" s="115">
        <v>57</v>
      </c>
      <c r="Q20" s="103">
        <v>119.69999999999992</v>
      </c>
    </row>
    <row r="21" spans="1:17" x14ac:dyDescent="0.45">
      <c r="A21" s="51" t="s">
        <v>194</v>
      </c>
      <c r="B21" s="44">
        <v>49</v>
      </c>
      <c r="C21" s="37">
        <f>IF(B$15=0,0,B21/B$15)</f>
        <v>0.15457413249211358</v>
      </c>
      <c r="E21" s="59" t="s">
        <v>84</v>
      </c>
      <c r="F21" s="56" t="s">
        <v>39</v>
      </c>
      <c r="G21" s="44">
        <v>3</v>
      </c>
      <c r="H21" s="129">
        <f>IF(B$15=0,0,G21/B$15)</f>
        <v>9.4637223974763408E-3</v>
      </c>
      <c r="I21" s="90">
        <v>1</v>
      </c>
      <c r="K21" s="36">
        <v>19</v>
      </c>
      <c r="L21" s="95">
        <v>-27.799999999999969</v>
      </c>
      <c r="N21" s="111" t="s">
        <v>172</v>
      </c>
      <c r="O21" s="121">
        <f>IF(P21=0,0,Q21/P21)</f>
        <v>-2.9208333333333338</v>
      </c>
      <c r="P21" s="115">
        <v>24</v>
      </c>
      <c r="Q21" s="103">
        <v>-70.100000000000009</v>
      </c>
    </row>
    <row r="22" spans="1:17" x14ac:dyDescent="0.45">
      <c r="A22" s="51" t="s">
        <v>5</v>
      </c>
      <c r="B22" s="48">
        <f>IF(B$15=0,0,C22/B$15)</f>
        <v>11041.640378548896</v>
      </c>
      <c r="C22" s="39">
        <v>3500200</v>
      </c>
      <c r="E22" s="59" t="s">
        <v>85</v>
      </c>
      <c r="F22" s="56" t="s">
        <v>40</v>
      </c>
      <c r="G22" s="44">
        <v>3</v>
      </c>
      <c r="H22" s="129">
        <f>IF(B$15=0,0,G22/B$15)</f>
        <v>9.4637223974763408E-3</v>
      </c>
      <c r="I22" s="90">
        <v>3</v>
      </c>
      <c r="K22" s="36">
        <v>20</v>
      </c>
      <c r="L22" s="95">
        <v>-50.39999999999997</v>
      </c>
      <c r="N22" s="111" t="s">
        <v>126</v>
      </c>
      <c r="O22" s="121">
        <f>IF(P22=0,0,Q22/P22)</f>
        <v>-6.3095238095238111</v>
      </c>
      <c r="P22" s="115">
        <v>63</v>
      </c>
      <c r="Q22" s="103">
        <v>-397.50000000000011</v>
      </c>
    </row>
    <row r="23" spans="1:17" x14ac:dyDescent="0.45">
      <c r="A23" s="52" t="s">
        <v>177</v>
      </c>
      <c r="B23" s="136">
        <f>IF($B$15-B$14=0,0,C23/($B$15-B$14))</f>
        <v>11680.590717299578</v>
      </c>
      <c r="C23" s="137">
        <v>2768300</v>
      </c>
      <c r="E23" s="59" t="s">
        <v>73</v>
      </c>
      <c r="F23" s="56" t="s">
        <v>28</v>
      </c>
      <c r="G23" s="44">
        <v>2</v>
      </c>
      <c r="H23" s="129">
        <f>IF(B$15=0,0,G23/B$15)</f>
        <v>6.3091482649842269E-3</v>
      </c>
      <c r="I23" s="90">
        <v>2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9148.75</v>
      </c>
      <c r="C24" s="137">
        <v>731900</v>
      </c>
      <c r="E24" s="59" t="s">
        <v>75</v>
      </c>
      <c r="F24" s="56" t="s">
        <v>30</v>
      </c>
      <c r="G24" s="44">
        <v>2</v>
      </c>
      <c r="H24" s="129">
        <f>IF(B$15=0,0,G24/B$15)</f>
        <v>6.3091482649842269E-3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-8272.9064039408859</v>
      </c>
      <c r="C25" s="137">
        <v>-1679400</v>
      </c>
      <c r="E25" s="59" t="s">
        <v>90</v>
      </c>
      <c r="F25" s="56" t="s">
        <v>45</v>
      </c>
      <c r="G25" s="44">
        <v>2</v>
      </c>
      <c r="H25" s="129">
        <f>IF(B$15=0,0,G25/B$15)</f>
        <v>6.3091482649842269E-3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3.1545741324921135E-3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1</v>
      </c>
      <c r="E27" s="59" t="s">
        <v>88</v>
      </c>
      <c r="F27" s="56" t="s">
        <v>43</v>
      </c>
      <c r="G27" s="44">
        <v>1</v>
      </c>
      <c r="H27" s="129">
        <f>IF(B$15=0,0,G27/B$15)</f>
        <v>3.1545741324921135E-3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3.1545741324921135E-3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97</v>
      </c>
      <c r="F29" s="56" t="s">
        <v>52</v>
      </c>
      <c r="G29" s="44">
        <v>1</v>
      </c>
      <c r="H29" s="129">
        <f>IF(B$15=0,0,G29/B$15)</f>
        <v>3.1545741324921135E-3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1.7137960582690661E-3</v>
      </c>
      <c r="E30" s="59" t="s">
        <v>74</v>
      </c>
      <c r="F30" s="56" t="s">
        <v>29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-10.999999999999972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2.5236593059936908E-2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25</v>
      </c>
      <c r="C33" s="37">
        <f t="shared" ref="C33:C44" si="2">IF(B$15=0,0,B33/B$15)</f>
        <v>7.8864353312302835E-2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42</v>
      </c>
      <c r="C34" s="37">
        <f>IF(B$15=0,0,B34/B$15)</f>
        <v>0.13249211356466878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7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59</v>
      </c>
      <c r="C35" s="37">
        <f t="shared" si="2"/>
        <v>0.18611987381703471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69</v>
      </c>
      <c r="C36" s="37">
        <f t="shared" si="2"/>
        <v>0.21766561514195584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44</v>
      </c>
      <c r="C37" s="37">
        <f t="shared" si="2"/>
        <v>0.13880126182965299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24</v>
      </c>
      <c r="C38" s="37">
        <f t="shared" si="2"/>
        <v>7.5709779179810727E-2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21</v>
      </c>
      <c r="C39" s="37">
        <f t="shared" si="2"/>
        <v>6.6246056782334389E-2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9</v>
      </c>
      <c r="C40" s="37">
        <f t="shared" si="2"/>
        <v>2.8391167192429023E-2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9.4637223974763408E-3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6.3091482649842269E-3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3.1545741324921135E-3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10</v>
      </c>
      <c r="C44" s="40">
        <f t="shared" si="2"/>
        <v>3.1545741324921134E-2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</sheetData>
  <sortState xmlns:xlrd2="http://schemas.microsoft.com/office/spreadsheetml/2017/richdata2" ref="E2:I147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5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152</v>
      </c>
      <c r="C2" s="155"/>
      <c r="E2" s="58" t="s">
        <v>66</v>
      </c>
      <c r="F2" s="55" t="s">
        <v>22</v>
      </c>
      <c r="G2" s="43">
        <v>252</v>
      </c>
      <c r="H2" s="128">
        <f>IF(B$15=0,0,G2/B$15)</f>
        <v>0.73469387755102045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-182.23684210526315</v>
      </c>
      <c r="P2" s="114">
        <v>152</v>
      </c>
      <c r="Q2" s="98">
        <v>-27700</v>
      </c>
    </row>
    <row r="3" spans="1:17" x14ac:dyDescent="0.45">
      <c r="A3" s="51" t="s">
        <v>8</v>
      </c>
      <c r="B3" s="156">
        <v>1229</v>
      </c>
      <c r="C3" s="157"/>
      <c r="E3" s="59" t="s">
        <v>72</v>
      </c>
      <c r="F3" s="56" t="s">
        <v>27</v>
      </c>
      <c r="G3" s="44">
        <v>192</v>
      </c>
      <c r="H3" s="129">
        <f>IF(B$15=0,0,G3/B$15)</f>
        <v>0.55976676384839652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486.48648648648651</v>
      </c>
      <c r="P3" s="115">
        <v>148</v>
      </c>
      <c r="Q3" s="99">
        <v>72000</v>
      </c>
    </row>
    <row r="4" spans="1:17" x14ac:dyDescent="0.45">
      <c r="A4" s="51" t="s">
        <v>6</v>
      </c>
      <c r="B4" s="158">
        <v>-60.999999999999979</v>
      </c>
      <c r="C4" s="159"/>
      <c r="E4" s="59" t="s">
        <v>64</v>
      </c>
      <c r="F4" s="56" t="s">
        <v>20</v>
      </c>
      <c r="G4" s="44">
        <v>169</v>
      </c>
      <c r="H4" s="129">
        <f>IF(B$15=0,0,G4/B$15)</f>
        <v>0.49271137026239065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132.85714285714286</v>
      </c>
      <c r="P4" s="115">
        <v>140</v>
      </c>
      <c r="Q4" s="99">
        <v>18600</v>
      </c>
    </row>
    <row r="5" spans="1:17" x14ac:dyDescent="0.45">
      <c r="A5" s="51" t="s">
        <v>7</v>
      </c>
      <c r="B5" s="160">
        <f>IF(B$2=0,0,B$4/B$2)</f>
        <v>-0.40131578947368407</v>
      </c>
      <c r="C5" s="161"/>
      <c r="E5" s="59" t="s">
        <v>166</v>
      </c>
      <c r="F5" s="56" t="s">
        <v>167</v>
      </c>
      <c r="G5" s="44">
        <v>153</v>
      </c>
      <c r="H5" s="129">
        <f>IF(B$15=0,0,G5/B$15)</f>
        <v>0.44606413994169097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307.8125</v>
      </c>
      <c r="P5" s="115">
        <v>128</v>
      </c>
      <c r="Q5" s="99">
        <v>39400</v>
      </c>
    </row>
    <row r="6" spans="1:17" x14ac:dyDescent="0.45">
      <c r="A6" s="51" t="s">
        <v>1</v>
      </c>
      <c r="B6" s="150">
        <f>IF(B$2=0,0,(B$7*1+B$8*2+B$9*3)/B$2)</f>
        <v>2.0460526315789473</v>
      </c>
      <c r="C6" s="151"/>
      <c r="E6" s="59" t="s">
        <v>67</v>
      </c>
      <c r="F6" s="56" t="s">
        <v>23</v>
      </c>
      <c r="G6" s="44">
        <v>114</v>
      </c>
      <c r="H6" s="129">
        <f>IF(B$15=0,0,G6/B$15)</f>
        <v>0.33236151603498543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123.07692307692308</v>
      </c>
      <c r="P6" s="115">
        <v>117</v>
      </c>
      <c r="Q6" s="99">
        <v>14400</v>
      </c>
    </row>
    <row r="7" spans="1:17" x14ac:dyDescent="0.45">
      <c r="A7" s="51" t="s">
        <v>2</v>
      </c>
      <c r="B7" s="44">
        <v>38</v>
      </c>
      <c r="C7" s="37">
        <f t="shared" ref="C7:C10" si="1">IF(B$2=0,0,B7/B$2)</f>
        <v>0.25</v>
      </c>
      <c r="E7" s="59" t="s">
        <v>68</v>
      </c>
      <c r="F7" s="56" t="s">
        <v>12</v>
      </c>
      <c r="G7" s="44">
        <v>111</v>
      </c>
      <c r="H7" s="129">
        <f>IF(B$15=0,0,G7/B$15)</f>
        <v>0.32361516034985421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-922.22222222222217</v>
      </c>
      <c r="P7" s="116">
        <v>99</v>
      </c>
      <c r="Q7" s="100">
        <v>-91300</v>
      </c>
    </row>
    <row r="8" spans="1:17" x14ac:dyDescent="0.45">
      <c r="A8" s="51" t="s">
        <v>3</v>
      </c>
      <c r="B8" s="44">
        <v>69</v>
      </c>
      <c r="C8" s="37">
        <f t="shared" si="1"/>
        <v>0.45394736842105265</v>
      </c>
      <c r="E8" s="59" t="s">
        <v>69</v>
      </c>
      <c r="F8" s="56" t="s">
        <v>24</v>
      </c>
      <c r="G8" s="44">
        <v>46</v>
      </c>
      <c r="H8" s="129">
        <f>IF(B$15=0,0,G8/B$15)</f>
        <v>0.13411078717201166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45</v>
      </c>
      <c r="C9" s="38">
        <f t="shared" si="1"/>
        <v>0.29605263157894735</v>
      </c>
      <c r="E9" s="59" t="s">
        <v>89</v>
      </c>
      <c r="F9" s="56" t="s">
        <v>44</v>
      </c>
      <c r="G9" s="44">
        <v>46</v>
      </c>
      <c r="H9" s="129">
        <f>IF(B$15=0,0,G9/B$15)</f>
        <v>0.13411078717201166</v>
      </c>
      <c r="I9" s="90">
        <v>7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7.2368421052631582E-2</v>
      </c>
      <c r="E10" s="59" t="s">
        <v>71</v>
      </c>
      <c r="F10" s="56" t="s">
        <v>26</v>
      </c>
      <c r="G10" s="44">
        <v>35</v>
      </c>
      <c r="H10" s="129">
        <f>IF(B$15=0,0,G10/B$15)</f>
        <v>0.10204081632653061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-3.432786885245902</v>
      </c>
      <c r="P10" s="114">
        <v>61</v>
      </c>
      <c r="Q10" s="102">
        <v>-209.40000000000003</v>
      </c>
    </row>
    <row r="11" spans="1:17" x14ac:dyDescent="0.45">
      <c r="A11" s="54" t="s">
        <v>121</v>
      </c>
      <c r="B11" s="47">
        <v>315</v>
      </c>
      <c r="C11" s="42">
        <f>IF(B$3=0,0,B11/B$3)</f>
        <v>0.2563059397884459</v>
      </c>
      <c r="E11" s="59" t="s">
        <v>65</v>
      </c>
      <c r="F11" s="56" t="s">
        <v>21</v>
      </c>
      <c r="G11" s="44">
        <v>28</v>
      </c>
      <c r="H11" s="129">
        <f>IF(B$15=0,0,G11/B$15)</f>
        <v>8.1632653061224483E-2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1.5145833333333341</v>
      </c>
      <c r="P11" s="115">
        <v>48</v>
      </c>
      <c r="Q11" s="103">
        <v>72.700000000000031</v>
      </c>
    </row>
    <row r="12" spans="1:17" x14ac:dyDescent="0.45">
      <c r="A12" s="51" t="s">
        <v>118</v>
      </c>
      <c r="B12" s="44">
        <v>283</v>
      </c>
      <c r="C12" s="37">
        <f>IF(B$3=0,0,B12/B$3)</f>
        <v>0.23026851098454026</v>
      </c>
      <c r="E12" s="59" t="s">
        <v>70</v>
      </c>
      <c r="F12" s="56" t="s">
        <v>25</v>
      </c>
      <c r="G12" s="44">
        <v>25</v>
      </c>
      <c r="H12" s="129">
        <f>IF(B$15=0,0,G12/B$15)</f>
        <v>7.2886297376093298E-2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1.7604651162790694</v>
      </c>
      <c r="P12" s="116">
        <v>43</v>
      </c>
      <c r="Q12" s="104">
        <v>75.699999999999989</v>
      </c>
    </row>
    <row r="13" spans="1:17" x14ac:dyDescent="0.45">
      <c r="A13" s="50" t="s">
        <v>123</v>
      </c>
      <c r="B13" s="43">
        <f>B19</f>
        <v>175</v>
      </c>
      <c r="C13" s="35">
        <f>IF(B$11=0,0,B13/B$11)</f>
        <v>0.55555555555555558</v>
      </c>
      <c r="E13" s="59" t="s">
        <v>86</v>
      </c>
      <c r="F13" s="56" t="s">
        <v>41</v>
      </c>
      <c r="G13" s="44">
        <v>17</v>
      </c>
      <c r="H13" s="129">
        <f>IF(B$15=0,0,G13/B$15)</f>
        <v>4.9562682215743441E-2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119</v>
      </c>
      <c r="C14" s="35">
        <f>IF(B$12=0,0,B14/B$12)</f>
        <v>0.4204946996466431</v>
      </c>
      <c r="E14" s="59" t="s">
        <v>83</v>
      </c>
      <c r="F14" s="56" t="s">
        <v>38</v>
      </c>
      <c r="G14" s="44">
        <v>13</v>
      </c>
      <c r="H14" s="129">
        <f>IF(B$15=0,0,G14/B$15)</f>
        <v>3.7900874635568516E-2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343</v>
      </c>
      <c r="C15" s="35">
        <f>IF(B$3=0,0,B15/B$3)</f>
        <v>0.27908868999186331</v>
      </c>
      <c r="E15" s="59" t="s">
        <v>79</v>
      </c>
      <c r="F15" s="56" t="s">
        <v>34</v>
      </c>
      <c r="G15" s="44">
        <v>7</v>
      </c>
      <c r="H15" s="129">
        <f>IF(B$15=0,0,G15/B$15)</f>
        <v>2.0408163265306121E-2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170</v>
      </c>
      <c r="C16" s="37">
        <f>IF(B$3=0,0,B16/B$3)</f>
        <v>0.13832384052074859</v>
      </c>
      <c r="E16" s="59" t="s">
        <v>78</v>
      </c>
      <c r="F16" s="56" t="s">
        <v>33</v>
      </c>
      <c r="G16" s="44">
        <v>6</v>
      </c>
      <c r="H16" s="129">
        <f>IF(B$15=0,0,G16/B$15)</f>
        <v>1.7492711370262391E-2</v>
      </c>
      <c r="I16" s="90">
        <v>7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157</v>
      </c>
      <c r="C17" s="37">
        <f>IF(B$15=0,0,B17/B$15)</f>
        <v>0.45772594752186591</v>
      </c>
      <c r="E17" s="59" t="s">
        <v>162</v>
      </c>
      <c r="F17" s="56" t="s">
        <v>163</v>
      </c>
      <c r="G17" s="44">
        <v>6</v>
      </c>
      <c r="H17" s="129">
        <f>IF(B$15=0,0,G17/B$15)</f>
        <v>1.7492711370262391E-2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186</v>
      </c>
      <c r="C18" s="37">
        <f>IF(B$15=0,0,B18/B$15)</f>
        <v>0.54227405247813409</v>
      </c>
      <c r="E18" s="59" t="s">
        <v>73</v>
      </c>
      <c r="F18" s="56" t="s">
        <v>28</v>
      </c>
      <c r="G18" s="44">
        <v>5</v>
      </c>
      <c r="H18" s="129">
        <f>IF(B$15=0,0,G18/B$15)</f>
        <v>1.4577259475218658E-2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175</v>
      </c>
      <c r="C19" s="37">
        <f>IF(B$15=0,0,B19/B$15)</f>
        <v>0.51020408163265307</v>
      </c>
      <c r="E19" s="59" t="s">
        <v>81</v>
      </c>
      <c r="F19" s="56" t="s">
        <v>36</v>
      </c>
      <c r="G19" s="44">
        <v>5</v>
      </c>
      <c r="H19" s="129">
        <f>IF(B$15=0,0,G19/B$15)</f>
        <v>1.4577259475218658E-2</v>
      </c>
      <c r="I19" s="90">
        <v>10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119</v>
      </c>
      <c r="C20" s="37">
        <f>IF(B$15=0,0,B20/B$15)</f>
        <v>0.34693877551020408</v>
      </c>
      <c r="E20" s="59" t="s">
        <v>91</v>
      </c>
      <c r="F20" s="56" t="s">
        <v>46</v>
      </c>
      <c r="G20" s="44">
        <v>4</v>
      </c>
      <c r="H20" s="129">
        <f>IF(B$15=0,0,G20/B$15)</f>
        <v>1.1661807580174927E-2</v>
      </c>
      <c r="I20" s="90">
        <v>7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49</v>
      </c>
      <c r="C21" s="37">
        <f>IF(B$15=0,0,B21/B$15)</f>
        <v>0.14285714285714285</v>
      </c>
      <c r="E21" s="59" t="s">
        <v>85</v>
      </c>
      <c r="F21" s="56" t="s">
        <v>40</v>
      </c>
      <c r="G21" s="44">
        <v>3</v>
      </c>
      <c r="H21" s="129">
        <f>IF(B$15=0,0,G21/B$15)</f>
        <v>8.7463556851311956E-3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4.1816666666666666</v>
      </c>
      <c r="P21" s="115">
        <v>60</v>
      </c>
      <c r="Q21" s="103">
        <v>250.89999999999998</v>
      </c>
    </row>
    <row r="22" spans="1:17" x14ac:dyDescent="0.45">
      <c r="A22" s="51" t="s">
        <v>5</v>
      </c>
      <c r="B22" s="48">
        <f>IF(B$15=0,0,C22/B$15)</f>
        <v>8460.0583090379005</v>
      </c>
      <c r="C22" s="39">
        <v>2901800</v>
      </c>
      <c r="E22" s="59" t="s">
        <v>75</v>
      </c>
      <c r="F22" s="56" t="s">
        <v>30</v>
      </c>
      <c r="G22" s="44">
        <v>2</v>
      </c>
      <c r="H22" s="129">
        <f>IF(B$15=0,0,G22/B$15)</f>
        <v>5.8309037900874635E-3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>IF(P22=0,0,Q22/P22)</f>
        <v>1.6968750000000004</v>
      </c>
      <c r="P22" s="115">
        <v>32</v>
      </c>
      <c r="Q22" s="103">
        <v>54.300000000000011</v>
      </c>
    </row>
    <row r="23" spans="1:17" x14ac:dyDescent="0.45">
      <c r="A23" s="52" t="s">
        <v>177</v>
      </c>
      <c r="B23" s="136">
        <f>IF($B$15-B$14=0,0,C23/($B$15-B$14))</f>
        <v>9501.7857142857138</v>
      </c>
      <c r="C23" s="137">
        <v>2128400</v>
      </c>
      <c r="E23" s="59" t="s">
        <v>88</v>
      </c>
      <c r="F23" s="56" t="s">
        <v>43</v>
      </c>
      <c r="G23" s="44">
        <v>2</v>
      </c>
      <c r="H23" s="129">
        <f>IF(B$15=0,0,G23/B$15)</f>
        <v>5.8309037900874635E-3</v>
      </c>
      <c r="I23" s="90">
        <v>2</v>
      </c>
      <c r="K23" s="36">
        <v>21</v>
      </c>
      <c r="L23" s="95">
        <v>-123.69999999999999</v>
      </c>
      <c r="N23" s="111" t="s">
        <v>170</v>
      </c>
      <c r="O23" s="121">
        <f>IF(P23=0,0,Q23/P23)</f>
        <v>-9.0794117647058812</v>
      </c>
      <c r="P23" s="115">
        <v>68</v>
      </c>
      <c r="Q23" s="103">
        <v>-617.4</v>
      </c>
    </row>
    <row r="24" spans="1:17" x14ac:dyDescent="0.45">
      <c r="A24" s="52" t="s">
        <v>178</v>
      </c>
      <c r="B24" s="136">
        <f>IF(B$14=0,0,C24/B$14)</f>
        <v>6499.1596638655465</v>
      </c>
      <c r="C24" s="137">
        <v>773400</v>
      </c>
      <c r="E24" s="59" t="s">
        <v>92</v>
      </c>
      <c r="F24" s="56" t="s">
        <v>47</v>
      </c>
      <c r="G24" s="44">
        <v>2</v>
      </c>
      <c r="H24" s="129">
        <f>IF(B$15=0,0,G24/B$15)</f>
        <v>5.8309037900874635E-3</v>
      </c>
      <c r="I24" s="90">
        <v>6</v>
      </c>
      <c r="K24" s="36">
        <v>22</v>
      </c>
      <c r="L24" s="95">
        <v>-66.999999999999986</v>
      </c>
      <c r="N24" s="111" t="s">
        <v>126</v>
      </c>
      <c r="O24" s="121">
        <f>IF(P24=0,0,Q24/P24)</f>
        <v>-13.400000000000004</v>
      </c>
      <c r="P24" s="115">
        <v>75</v>
      </c>
      <c r="Q24" s="103">
        <v>-1005.0000000000002</v>
      </c>
    </row>
    <row r="25" spans="1:17" x14ac:dyDescent="0.45">
      <c r="A25" s="52" t="s">
        <v>176</v>
      </c>
      <c r="B25" s="136">
        <f>IF(B$16=0,0,C25/B$16)</f>
        <v>-7117.6470588235297</v>
      </c>
      <c r="C25" s="137">
        <v>-1210000</v>
      </c>
      <c r="E25" s="59" t="s">
        <v>74</v>
      </c>
      <c r="F25" s="56" t="s">
        <v>29</v>
      </c>
      <c r="G25" s="44">
        <v>1</v>
      </c>
      <c r="H25" s="129">
        <f>IF(B$15=0,0,G25/B$15)</f>
        <v>2.9154518950437317E-3</v>
      </c>
      <c r="I25" s="90">
        <v>6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87</v>
      </c>
      <c r="F26" s="56" t="s">
        <v>42</v>
      </c>
      <c r="G26" s="44">
        <v>1</v>
      </c>
      <c r="H26" s="129">
        <f>IF(B$15=0,0,G26/B$15)</f>
        <v>2.9154518950437317E-3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16</v>
      </c>
      <c r="E27" s="59" t="s">
        <v>93</v>
      </c>
      <c r="F27" s="56" t="s">
        <v>48</v>
      </c>
      <c r="G27" s="44">
        <v>1</v>
      </c>
      <c r="H27" s="129">
        <f>IF(B$15=0,0,G27/B$15)</f>
        <v>2.9154518950437317E-3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2.9154518950437317E-3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1.6273393002441008E-3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5.8309037900874633E-2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63</v>
      </c>
      <c r="C33" s="37">
        <f t="shared" ref="C33:C44" si="2">IF(B$15=0,0,B33/B$15)</f>
        <v>0.18367346938775511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67</v>
      </c>
      <c r="C34" s="37">
        <f>IF(B$15=0,0,B34/B$15)</f>
        <v>0.19533527696793002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64</v>
      </c>
      <c r="C35" s="37">
        <f t="shared" si="2"/>
        <v>0.18658892128279883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2"/>
        <v>0.14285714285714285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40</v>
      </c>
      <c r="C37" s="37">
        <f t="shared" si="2"/>
        <v>0.11661807580174927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2"/>
        <v>5.5393586005830907E-2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2"/>
        <v>2.6239067055393587E-2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8.7463556851311956E-3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5.8309037900874635E-3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2.9154518950437317E-3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5.8309037900874635E-3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4</v>
      </c>
      <c r="C44" s="40">
        <f t="shared" si="2"/>
        <v>1.1661807580174927E-2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65</v>
      </c>
      <c r="C2" s="155"/>
      <c r="E2" s="58" t="s">
        <v>66</v>
      </c>
      <c r="F2" s="55" t="s">
        <v>22</v>
      </c>
      <c r="G2" s="43">
        <v>96</v>
      </c>
      <c r="H2" s="128">
        <f>IF(B$15=0,0,G2/B$15)</f>
        <v>0.68571428571428572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-2886.1538461538462</v>
      </c>
      <c r="P2" s="114">
        <v>65</v>
      </c>
      <c r="Q2" s="98">
        <v>-187600</v>
      </c>
    </row>
    <row r="3" spans="1:17" x14ac:dyDescent="0.45">
      <c r="A3" s="51" t="s">
        <v>8</v>
      </c>
      <c r="B3" s="156">
        <v>540</v>
      </c>
      <c r="C3" s="157"/>
      <c r="E3" s="59" t="s">
        <v>72</v>
      </c>
      <c r="F3" s="56" t="s">
        <v>27</v>
      </c>
      <c r="G3" s="44">
        <v>92</v>
      </c>
      <c r="H3" s="129">
        <f>IF(B$15=0,0,G3/B$15)</f>
        <v>0.65714285714285714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1089.2307692307693</v>
      </c>
      <c r="P3" s="115">
        <v>65</v>
      </c>
      <c r="Q3" s="99">
        <v>70800</v>
      </c>
    </row>
    <row r="4" spans="1:17" x14ac:dyDescent="0.45">
      <c r="A4" s="51" t="s">
        <v>6</v>
      </c>
      <c r="B4" s="158">
        <v>-668.90000000000009</v>
      </c>
      <c r="C4" s="159"/>
      <c r="E4" s="59" t="s">
        <v>64</v>
      </c>
      <c r="F4" s="56" t="s">
        <v>20</v>
      </c>
      <c r="G4" s="44">
        <v>56</v>
      </c>
      <c r="H4" s="129">
        <f>IF(B$15=0,0,G4/B$15)</f>
        <v>0.4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-591.93548387096769</v>
      </c>
      <c r="P4" s="115">
        <v>62</v>
      </c>
      <c r="Q4" s="99">
        <v>-36700</v>
      </c>
    </row>
    <row r="5" spans="1:17" x14ac:dyDescent="0.45">
      <c r="A5" s="51" t="s">
        <v>7</v>
      </c>
      <c r="B5" s="160">
        <f>IF(B$2=0,0,B$4/B$2)</f>
        <v>-10.290769230769232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0.33571428571428569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-1503.5714285714287</v>
      </c>
      <c r="P5" s="115">
        <v>56</v>
      </c>
      <c r="Q5" s="99">
        <v>-84200</v>
      </c>
    </row>
    <row r="6" spans="1:17" x14ac:dyDescent="0.45">
      <c r="A6" s="51" t="s">
        <v>1</v>
      </c>
      <c r="B6" s="150">
        <f>IF(B$2=0,0,(B$7*1+B$8*2+B$9*3)/B$2)</f>
        <v>2.2615384615384615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0.27142857142857141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-1926.4150943396226</v>
      </c>
      <c r="P6" s="115">
        <v>53</v>
      </c>
      <c r="Q6" s="99">
        <v>-102100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0.16923076923076924</v>
      </c>
      <c r="E7" s="59" t="s">
        <v>67</v>
      </c>
      <c r="F7" s="56" t="s">
        <v>23</v>
      </c>
      <c r="G7" s="44">
        <v>34</v>
      </c>
      <c r="H7" s="129">
        <f>IF(B$15=0,0,G7/B$15)</f>
        <v>0.24285714285714285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-2106.9767441860463</v>
      </c>
      <c r="P7" s="116">
        <v>43</v>
      </c>
      <c r="Q7" s="100">
        <v>-90600</v>
      </c>
    </row>
    <row r="8" spans="1:17" x14ac:dyDescent="0.45">
      <c r="A8" s="51" t="s">
        <v>3</v>
      </c>
      <c r="B8" s="44">
        <v>26</v>
      </c>
      <c r="C8" s="37">
        <f t="shared" si="1"/>
        <v>0.4</v>
      </c>
      <c r="E8" s="59" t="s">
        <v>89</v>
      </c>
      <c r="F8" s="56" t="s">
        <v>44</v>
      </c>
      <c r="G8" s="44">
        <v>23</v>
      </c>
      <c r="H8" s="129">
        <f>IF(B$15=0,0,G8/B$15)</f>
        <v>0.16428571428571428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28</v>
      </c>
      <c r="C9" s="38">
        <f t="shared" si="1"/>
        <v>0.43076923076923079</v>
      </c>
      <c r="E9" s="59" t="s">
        <v>65</v>
      </c>
      <c r="F9" s="56" t="s">
        <v>21</v>
      </c>
      <c r="G9" s="44">
        <v>16</v>
      </c>
      <c r="H9" s="129">
        <f>IF(B$15=0,0,G9/B$15)</f>
        <v>0.11428571428571428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0.15384615384615385</v>
      </c>
      <c r="E10" s="59" t="s">
        <v>71</v>
      </c>
      <c r="F10" s="56" t="s">
        <v>26</v>
      </c>
      <c r="G10" s="44">
        <v>13</v>
      </c>
      <c r="H10" s="129">
        <f>IF(B$15=0,0,G10/B$15)</f>
        <v>9.285714285714286E-2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-18.792857142857141</v>
      </c>
      <c r="P10" s="114">
        <v>28</v>
      </c>
      <c r="Q10" s="102">
        <v>-526.19999999999993</v>
      </c>
    </row>
    <row r="11" spans="1:17" x14ac:dyDescent="0.45">
      <c r="A11" s="54" t="s">
        <v>121</v>
      </c>
      <c r="B11" s="47">
        <v>114</v>
      </c>
      <c r="C11" s="42">
        <f>IF(B$3=0,0,B11/B$3)</f>
        <v>0.21111111111111111</v>
      </c>
      <c r="E11" s="59" t="s">
        <v>69</v>
      </c>
      <c r="F11" s="56" t="s">
        <v>24</v>
      </c>
      <c r="G11" s="44">
        <v>12</v>
      </c>
      <c r="H11" s="129">
        <f>IF(B$15=0,0,G11/B$15)</f>
        <v>8.5714285714285715E-2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-0.81052631578947321</v>
      </c>
      <c r="P11" s="115">
        <v>19</v>
      </c>
      <c r="Q11" s="103">
        <v>-15.399999999999991</v>
      </c>
    </row>
    <row r="12" spans="1:17" x14ac:dyDescent="0.45">
      <c r="A12" s="51" t="s">
        <v>118</v>
      </c>
      <c r="B12" s="44">
        <v>124</v>
      </c>
      <c r="C12" s="37">
        <f>IF(B$3=0,0,B12/B$3)</f>
        <v>0.22962962962962963</v>
      </c>
      <c r="E12" s="59" t="s">
        <v>70</v>
      </c>
      <c r="F12" s="56" t="s">
        <v>25</v>
      </c>
      <c r="G12" s="44">
        <v>12</v>
      </c>
      <c r="H12" s="129">
        <f>IF(B$15=0,0,G12/B$15)</f>
        <v>8.5714285714285715E-2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0.51754385964912286</v>
      </c>
      <c r="E13" s="59" t="s">
        <v>83</v>
      </c>
      <c r="F13" s="56" t="s">
        <v>38</v>
      </c>
      <c r="G13" s="44">
        <v>9</v>
      </c>
      <c r="H13" s="129">
        <f>IF(B$15=0,0,G13/B$15)</f>
        <v>6.4285714285714279E-2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</v>
      </c>
      <c r="C14" s="35">
        <f>IF(B$12=0,0,B14/B$12)</f>
        <v>0.43548387096774194</v>
      </c>
      <c r="E14" s="59" t="s">
        <v>81</v>
      </c>
      <c r="F14" s="56" t="s">
        <v>36</v>
      </c>
      <c r="G14" s="44">
        <v>8</v>
      </c>
      <c r="H14" s="129">
        <f>IF(B$15=0,0,G14/B$15)</f>
        <v>5.7142857142857141E-2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140</v>
      </c>
      <c r="C15" s="35">
        <f>IF(B$3=0,0,B15/B$3)</f>
        <v>0.25925925925925924</v>
      </c>
      <c r="E15" s="59" t="s">
        <v>86</v>
      </c>
      <c r="F15" s="56" t="s">
        <v>41</v>
      </c>
      <c r="G15" s="44">
        <v>8</v>
      </c>
      <c r="H15" s="129">
        <f>IF(B$15=0,0,G15/B$15)</f>
        <v>5.7142857142857141E-2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96</v>
      </c>
      <c r="C16" s="37">
        <f>IF(B$3=0,0,B16/B$3)</f>
        <v>0.17777777777777778</v>
      </c>
      <c r="E16" s="59" t="s">
        <v>91</v>
      </c>
      <c r="F16" s="56" t="s">
        <v>46</v>
      </c>
      <c r="G16" s="44">
        <v>2</v>
      </c>
      <c r="H16" s="129">
        <f>IF(B$15=0,0,G16/B$15)</f>
        <v>1.4285714285714285E-2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64</v>
      </c>
      <c r="C17" s="37">
        <f>IF(B$15=0,0,B17/B$15)</f>
        <v>0.45714285714285713</v>
      </c>
      <c r="E17" s="59" t="s">
        <v>74</v>
      </c>
      <c r="F17" s="56" t="s">
        <v>29</v>
      </c>
      <c r="G17" s="44">
        <v>1</v>
      </c>
      <c r="H17" s="129">
        <f>IF(B$15=0,0,G17/B$15)</f>
        <v>7.1428571428571426E-3</v>
      </c>
      <c r="I17" s="90">
        <v>2</v>
      </c>
      <c r="K17" s="36">
        <v>15</v>
      </c>
      <c r="L17" s="95">
        <v>-272.50000000000006</v>
      </c>
      <c r="N17" s="111" t="s">
        <v>274</v>
      </c>
      <c r="O17" s="121">
        <f t="shared" si="2"/>
        <v>-12.000000000000002</v>
      </c>
      <c r="P17" s="115">
        <v>1</v>
      </c>
      <c r="Q17" s="103">
        <v>-12.000000000000002</v>
      </c>
    </row>
    <row r="18" spans="1:17" x14ac:dyDescent="0.45">
      <c r="A18" s="51" t="s">
        <v>11</v>
      </c>
      <c r="B18" s="44">
        <v>76</v>
      </c>
      <c r="C18" s="37">
        <f>IF(B$15=0,0,B18/B$15)</f>
        <v>0.54285714285714282</v>
      </c>
      <c r="E18" s="59" t="s">
        <v>78</v>
      </c>
      <c r="F18" s="56" t="s">
        <v>33</v>
      </c>
      <c r="G18" s="44">
        <v>1</v>
      </c>
      <c r="H18" s="129">
        <f>IF(B$15=0,0,G18/B$15)</f>
        <v>7.1428571428571426E-3</v>
      </c>
      <c r="I18" s="90">
        <v>10</v>
      </c>
      <c r="K18" s="36">
        <v>16</v>
      </c>
      <c r="L18" s="95">
        <v>-320.30000000000007</v>
      </c>
      <c r="N18" s="111" t="s">
        <v>127</v>
      </c>
      <c r="O18" s="121">
        <f t="shared" si="2"/>
        <v>-12.000000000000002</v>
      </c>
      <c r="P18" s="115">
        <v>17</v>
      </c>
      <c r="Q18" s="103">
        <v>-204.00000000000003</v>
      </c>
    </row>
    <row r="19" spans="1:17" x14ac:dyDescent="0.45">
      <c r="A19" s="51" t="s">
        <v>195</v>
      </c>
      <c r="B19" s="44">
        <v>59</v>
      </c>
      <c r="C19" s="37">
        <f>IF(B$15=0,0,B19/B$15)</f>
        <v>0.42142857142857143</v>
      </c>
      <c r="E19" s="59" t="s">
        <v>79</v>
      </c>
      <c r="F19" s="56" t="s">
        <v>34</v>
      </c>
      <c r="G19" s="44">
        <v>1</v>
      </c>
      <c r="H19" s="129">
        <f>IF(B$15=0,0,G19/B$15)</f>
        <v>7.1428571428571426E-3</v>
      </c>
      <c r="I19" s="90">
        <v>10</v>
      </c>
      <c r="K19" s="36">
        <v>17</v>
      </c>
      <c r="L19" s="95">
        <v>-352.60000000000008</v>
      </c>
      <c r="N19" s="111" t="s">
        <v>170</v>
      </c>
      <c r="O19" s="121">
        <f t="shared" si="2"/>
        <v>-12.110344827586207</v>
      </c>
      <c r="P19" s="115">
        <v>29</v>
      </c>
      <c r="Q19" s="103">
        <v>-351.2</v>
      </c>
    </row>
    <row r="20" spans="1:17" x14ac:dyDescent="0.45">
      <c r="A20" s="51" t="s">
        <v>193</v>
      </c>
      <c r="B20" s="44">
        <v>54</v>
      </c>
      <c r="C20" s="37">
        <f>IF(B$15=0,0,B20/B$15)</f>
        <v>0.38571428571428573</v>
      </c>
      <c r="E20" s="59" t="s">
        <v>92</v>
      </c>
      <c r="F20" s="56" t="s">
        <v>47</v>
      </c>
      <c r="G20" s="44">
        <v>1</v>
      </c>
      <c r="H20" s="129">
        <f>IF(B$15=0,0,G20/B$15)</f>
        <v>7.1428571428571426E-3</v>
      </c>
      <c r="I20" s="90">
        <v>4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27</v>
      </c>
      <c r="C21" s="37">
        <f>IF(B$15=0,0,B21/B$15)</f>
        <v>0.19285714285714287</v>
      </c>
      <c r="E21" s="59" t="s">
        <v>95</v>
      </c>
      <c r="F21" s="56" t="s">
        <v>50</v>
      </c>
      <c r="G21" s="44">
        <v>1</v>
      </c>
      <c r="H21" s="129">
        <f>IF(B$15=0,0,G21/B$15)</f>
        <v>7.1428571428571426E-3</v>
      </c>
      <c r="I21" s="90">
        <v>1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8176.4285714285716</v>
      </c>
      <c r="C22" s="39">
        <v>1144700</v>
      </c>
      <c r="E22" s="59" t="s">
        <v>162</v>
      </c>
      <c r="F22" s="56" t="s">
        <v>163</v>
      </c>
      <c r="G22" s="44">
        <v>1</v>
      </c>
      <c r="H22" s="129">
        <f>IF(B$15=0,0,G22/B$15)</f>
        <v>7.1428571428571426E-3</v>
      </c>
      <c r="I22" s="90">
        <v>8</v>
      </c>
      <c r="K22" s="36">
        <v>20</v>
      </c>
      <c r="L22" s="95">
        <v>-428.10000000000008</v>
      </c>
      <c r="N22" s="111" t="s">
        <v>126</v>
      </c>
      <c r="O22" s="121">
        <f t="shared" si="2"/>
        <v>-24.157142857142865</v>
      </c>
      <c r="P22" s="115">
        <v>21</v>
      </c>
      <c r="Q22" s="103">
        <v>-507.30000000000018</v>
      </c>
    </row>
    <row r="23" spans="1:17" x14ac:dyDescent="0.45">
      <c r="A23" s="52" t="s">
        <v>177</v>
      </c>
      <c r="B23" s="136">
        <f>IF($B$15-B$14=0,0,C23/($B$15-B$14))</f>
        <v>8753.4883720930229</v>
      </c>
      <c r="C23" s="137">
        <v>752800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172</v>
      </c>
      <c r="O23" s="121">
        <f t="shared" si="2"/>
        <v>-24.274999999999999</v>
      </c>
      <c r="P23" s="115">
        <v>4</v>
      </c>
      <c r="Q23" s="103">
        <v>-97.1</v>
      </c>
    </row>
    <row r="24" spans="1:17" x14ac:dyDescent="0.45">
      <c r="A24" s="52" t="s">
        <v>178</v>
      </c>
      <c r="B24" s="136">
        <f>IF(B$14=0,0,C24/B$14)</f>
        <v>7257.4074074074078</v>
      </c>
      <c r="C24" s="137">
        <v>391900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-8397.9166666666661</v>
      </c>
      <c r="C25" s="137">
        <v>-806200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5.5555555555555558E-3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8.5714285714285715E-2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0.18571428571428572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29</v>
      </c>
      <c r="C34" s="37">
        <f>IF(B$15=0,0,B34/B$15)</f>
        <v>0.20714285714285716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23</v>
      </c>
      <c r="C35" s="37">
        <f t="shared" si="3"/>
        <v>0.16428571428571428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20</v>
      </c>
      <c r="C36" s="37">
        <f t="shared" si="3"/>
        <v>0.14285714285714285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7.857142857142857E-2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7.1428571428571425E-2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3"/>
        <v>4.2857142857142858E-2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7.1428571428571426E-3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</v>
      </c>
      <c r="C2" s="155"/>
      <c r="E2" s="58" t="s">
        <v>66</v>
      </c>
      <c r="F2" s="55" t="s">
        <v>22</v>
      </c>
      <c r="G2" s="43">
        <v>25</v>
      </c>
      <c r="H2" s="128">
        <f>IF(B$15=0,0,G2/B$15)</f>
        <v>0.56818181818181823</v>
      </c>
      <c r="I2" s="89">
        <v>13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-3857.1428571428573</v>
      </c>
      <c r="P2" s="114">
        <v>14</v>
      </c>
      <c r="Q2" s="98">
        <v>-54000</v>
      </c>
    </row>
    <row r="3" spans="1:17" x14ac:dyDescent="0.45">
      <c r="A3" s="51" t="s">
        <v>8</v>
      </c>
      <c r="B3" s="156">
        <v>126</v>
      </c>
      <c r="C3" s="157"/>
      <c r="E3" s="59" t="s">
        <v>64</v>
      </c>
      <c r="F3" s="56" t="s">
        <v>20</v>
      </c>
      <c r="G3" s="44">
        <v>24</v>
      </c>
      <c r="H3" s="129">
        <f>IF(B$15=0,0,G3/B$15)</f>
        <v>0.54545454545454541</v>
      </c>
      <c r="I3" s="90">
        <v>6</v>
      </c>
      <c r="K3" s="36">
        <v>1</v>
      </c>
      <c r="L3" s="95">
        <v>17.600000000000001</v>
      </c>
      <c r="N3" s="111" t="s">
        <v>131</v>
      </c>
      <c r="O3" s="118">
        <f t="shared" si="0"/>
        <v>-578.57142857142856</v>
      </c>
      <c r="P3" s="115">
        <v>14</v>
      </c>
      <c r="Q3" s="99">
        <v>-8100</v>
      </c>
    </row>
    <row r="4" spans="1:17" x14ac:dyDescent="0.45">
      <c r="A4" s="51" t="s">
        <v>6</v>
      </c>
      <c r="B4" s="158">
        <v>-55.5</v>
      </c>
      <c r="C4" s="159"/>
      <c r="E4" s="59" t="s">
        <v>72</v>
      </c>
      <c r="F4" s="56" t="s">
        <v>27</v>
      </c>
      <c r="G4" s="44">
        <v>21</v>
      </c>
      <c r="H4" s="129">
        <f>IF(B$15=0,0,G4/B$15)</f>
        <v>0.47727272727272729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-2921.4285714285716</v>
      </c>
      <c r="P4" s="115">
        <v>14</v>
      </c>
      <c r="Q4" s="99">
        <v>-40900</v>
      </c>
    </row>
    <row r="5" spans="1:17" x14ac:dyDescent="0.45">
      <c r="A5" s="51" t="s">
        <v>7</v>
      </c>
      <c r="B5" s="160">
        <f>IF(B$2=0,0,B$4/B$2)</f>
        <v>-3.9642857142857144</v>
      </c>
      <c r="C5" s="161"/>
      <c r="E5" s="59" t="s">
        <v>68</v>
      </c>
      <c r="F5" s="56" t="s">
        <v>12</v>
      </c>
      <c r="G5" s="44">
        <v>17</v>
      </c>
      <c r="H5" s="129">
        <f>IF(B$15=0,0,G5/B$15)</f>
        <v>0.38636363636363635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692.85714285714289</v>
      </c>
      <c r="P5" s="115">
        <v>14</v>
      </c>
      <c r="Q5" s="99">
        <v>9700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14</v>
      </c>
      <c r="H6" s="129">
        <f>IF(B$15=0,0,G6/B$15)</f>
        <v>0.31818181818181818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-841.66666666666663</v>
      </c>
      <c r="P6" s="115">
        <v>12</v>
      </c>
      <c r="Q6" s="99">
        <v>-10100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0.35714285714285715</v>
      </c>
      <c r="E7" s="59" t="s">
        <v>166</v>
      </c>
      <c r="F7" s="56" t="s">
        <v>167</v>
      </c>
      <c r="G7" s="44">
        <v>12</v>
      </c>
      <c r="H7" s="129">
        <f>IF(B$15=0,0,G7/B$15)</f>
        <v>0.27272727272727271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5020</v>
      </c>
      <c r="P7" s="116">
        <v>10</v>
      </c>
      <c r="Q7" s="100">
        <v>50200</v>
      </c>
    </row>
    <row r="8" spans="1:17" x14ac:dyDescent="0.45">
      <c r="A8" s="51" t="s">
        <v>3</v>
      </c>
      <c r="B8" s="44">
        <v>4</v>
      </c>
      <c r="C8" s="37">
        <f t="shared" si="1"/>
        <v>0.2857142857142857</v>
      </c>
      <c r="E8" s="59" t="s">
        <v>65</v>
      </c>
      <c r="F8" s="56" t="s">
        <v>21</v>
      </c>
      <c r="G8" s="44">
        <v>7</v>
      </c>
      <c r="H8" s="129">
        <f>IF(B$15=0,0,G8/B$15)</f>
        <v>0.15909090909090909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0.35714285714285715</v>
      </c>
      <c r="E9" s="59" t="s">
        <v>69</v>
      </c>
      <c r="F9" s="56" t="s">
        <v>24</v>
      </c>
      <c r="G9" s="44">
        <v>5</v>
      </c>
      <c r="H9" s="129">
        <f>IF(B$15=0,0,G9/B$15)</f>
        <v>0.11363636363636363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0.21428571428571427</v>
      </c>
      <c r="E10" s="59" t="s">
        <v>70</v>
      </c>
      <c r="F10" s="56" t="s">
        <v>25</v>
      </c>
      <c r="G10" s="44">
        <v>4</v>
      </c>
      <c r="H10" s="129">
        <f>IF(B$15=0,0,G10/B$15)</f>
        <v>9.0909090909090912E-2</v>
      </c>
      <c r="I10" s="90">
        <v>9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39</v>
      </c>
      <c r="C11" s="42">
        <f>IF(B$3=0,0,B11/B$3)</f>
        <v>0.30952380952380953</v>
      </c>
      <c r="E11" s="59" t="s">
        <v>89</v>
      </c>
      <c r="F11" s="56" t="s">
        <v>44</v>
      </c>
      <c r="G11" s="44">
        <v>3</v>
      </c>
      <c r="H11" s="129">
        <f>IF(B$15=0,0,G11/B$15)</f>
        <v>6.8181818181818177E-2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0.25714285714285773</v>
      </c>
      <c r="P11" s="115">
        <v>7</v>
      </c>
      <c r="Q11" s="103">
        <v>1.8000000000000043</v>
      </c>
    </row>
    <row r="12" spans="1:17" x14ac:dyDescent="0.45">
      <c r="A12" s="51" t="s">
        <v>118</v>
      </c>
      <c r="B12" s="44">
        <v>16</v>
      </c>
      <c r="C12" s="37">
        <f>IF(B$3=0,0,B12/B$3)</f>
        <v>0.12698412698412698</v>
      </c>
      <c r="E12" s="59" t="s">
        <v>75</v>
      </c>
      <c r="F12" s="56" t="s">
        <v>30</v>
      </c>
      <c r="G12" s="44">
        <v>2</v>
      </c>
      <c r="H12" s="129">
        <f>IF(B$15=0,0,G12/B$15)</f>
        <v>4.5454545454545456E-2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23</v>
      </c>
      <c r="C13" s="35">
        <f>IF(B$11=0,0,B13/B$11)</f>
        <v>0.58974358974358976</v>
      </c>
      <c r="E13" s="59" t="s">
        <v>83</v>
      </c>
      <c r="F13" s="56" t="s">
        <v>38</v>
      </c>
      <c r="G13" s="44">
        <v>2</v>
      </c>
      <c r="H13" s="129">
        <f>IF(B$15=0,0,G13/B$15)</f>
        <v>4.5454545454545456E-2</v>
      </c>
      <c r="I13" s="90">
        <v>8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0.75</v>
      </c>
      <c r="E14" s="59" t="s">
        <v>85</v>
      </c>
      <c r="F14" s="56" t="s">
        <v>40</v>
      </c>
      <c r="G14" s="44">
        <v>2</v>
      </c>
      <c r="H14" s="129">
        <f>IF(B$15=0,0,G14/B$15)</f>
        <v>4.5454545454545456E-2</v>
      </c>
      <c r="I14" s="90">
        <v>1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44</v>
      </c>
      <c r="C15" s="35">
        <f>IF(B$3=0,0,B15/B$3)</f>
        <v>0.34920634920634919</v>
      </c>
      <c r="E15" s="59" t="s">
        <v>71</v>
      </c>
      <c r="F15" s="56" t="s">
        <v>26</v>
      </c>
      <c r="G15" s="44">
        <v>1</v>
      </c>
      <c r="H15" s="129">
        <f>IF(B$15=0,0,G15/B$15)</f>
        <v>2.2727272727272728E-2</v>
      </c>
      <c r="I15" s="90">
        <v>13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21</v>
      </c>
      <c r="C16" s="37">
        <f>IF(B$3=0,0,B16/B$3)</f>
        <v>0.16666666666666666</v>
      </c>
      <c r="E16" s="59" t="s">
        <v>79</v>
      </c>
      <c r="F16" s="56" t="s">
        <v>34</v>
      </c>
      <c r="G16" s="44">
        <v>1</v>
      </c>
      <c r="H16" s="129">
        <f>IF(B$15=0,0,G16/B$15)</f>
        <v>2.2727272727272728E-2</v>
      </c>
      <c r="I16" s="90">
        <v>3</v>
      </c>
      <c r="K16" s="36">
        <v>14</v>
      </c>
      <c r="L16" s="95">
        <v>-55.5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23</v>
      </c>
      <c r="C17" s="37">
        <f>IF(B$15=0,0,B17/B$15)</f>
        <v>0.52272727272727271</v>
      </c>
      <c r="E17" s="59" t="s">
        <v>86</v>
      </c>
      <c r="F17" s="56" t="s">
        <v>41</v>
      </c>
      <c r="G17" s="44">
        <v>1</v>
      </c>
      <c r="H17" s="129">
        <f>IF(B$15=0,0,G17/B$15)</f>
        <v>2.2727272727272728E-2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0.47727272727272729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23</v>
      </c>
      <c r="C19" s="37">
        <f>IF(B$15=0,0,B19/B$15)</f>
        <v>0.52272727272727271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12</v>
      </c>
      <c r="C20" s="37">
        <f>IF(B$15=0,0,B20/B$15)</f>
        <v>0.27272727272727271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0.20454545454545456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-47.224999999999994</v>
      </c>
      <c r="P21" s="115">
        <v>4</v>
      </c>
      <c r="Q21" s="103">
        <v>-188.89999999999998</v>
      </c>
    </row>
    <row r="22" spans="1:17" x14ac:dyDescent="0.45">
      <c r="A22" s="51" t="s">
        <v>5</v>
      </c>
      <c r="B22" s="48">
        <f>IF(B$15=0,0,C22/B$15)</f>
        <v>6534.090909090909</v>
      </c>
      <c r="C22" s="39">
        <v>287500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7140.625</v>
      </c>
      <c r="C23" s="137">
        <v>228500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4916.666666666667</v>
      </c>
      <c r="C24" s="137">
        <v>59000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-8195.2380952380954</v>
      </c>
      <c r="C25" s="137">
        <v>-172100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1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6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7.9365079365079361E-3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5</v>
      </c>
      <c r="C32" s="141">
        <f>IF(B$15=0,0,B32/B$15)</f>
        <v>0.11363636363636363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0.27272727272727271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7</v>
      </c>
      <c r="C34" s="37">
        <f>IF(B$15=0,0,B34/B$15)</f>
        <v>0.15909090909090909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0.20454545454545456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0.13636363636363635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3"/>
        <v>4.5454545454545456E-2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4.5454545454545456E-2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2.2727272727272728E-2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5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4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7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9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9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2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2020-01-27T15:30:08Z</dcterms:modified>
</cp:coreProperties>
</file>