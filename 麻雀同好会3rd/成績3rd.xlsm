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5F215D3-B3B6-4003-8ACB-8F7B4D9628F2}" xr6:coauthVersionLast="41" xr6:coauthVersionMax="41" xr10:uidLastSave="{00000000-0000-0000-0000-000000000000}"/>
  <bookViews>
    <workbookView xWindow="6015" yWindow="2850" windowWidth="21600" windowHeight="11505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6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21" i="5869"/>
  <c r="O19" i="5867" l="1"/>
  <c r="O18" i="5871"/>
  <c r="O16" i="5861" l="1"/>
  <c r="O17" i="5867"/>
  <c r="O19" i="5869"/>
  <c r="O17" i="5869"/>
  <c r="O15" i="5857" l="1"/>
  <c r="O17" i="5871"/>
  <c r="O19" i="5871"/>
  <c r="O17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2" i="5867"/>
  <c r="O17" i="5857"/>
  <c r="O18" i="5861"/>
  <c r="O16" i="5863"/>
  <c r="O19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8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1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10" i="5869"/>
  <c r="H39" i="5869"/>
  <c r="B23" i="5869"/>
  <c r="H43" i="5869"/>
  <c r="H47" i="5869"/>
  <c r="H21" i="5869"/>
  <c r="H6" i="5869"/>
  <c r="C17" i="5869"/>
  <c r="H32" i="5869"/>
  <c r="H2" i="5869"/>
  <c r="H19" i="5869"/>
  <c r="C18" i="5869"/>
  <c r="H35" i="5869"/>
  <c r="H51" i="5869"/>
  <c r="H24" i="5869"/>
  <c r="H25" i="5869"/>
  <c r="H27" i="5869"/>
  <c r="H28" i="5869"/>
  <c r="H30" i="5869"/>
  <c r="H33" i="5869"/>
  <c r="H36" i="5869"/>
  <c r="H40" i="5869"/>
  <c r="H44" i="5869"/>
  <c r="H48" i="5869"/>
  <c r="H5" i="5869"/>
  <c r="H12" i="5869"/>
  <c r="H20" i="5869"/>
  <c r="H22" i="5869"/>
  <c r="C19" i="5869"/>
  <c r="H13" i="5869"/>
  <c r="B24" i="5869"/>
  <c r="H34" i="5869"/>
  <c r="H37" i="5869"/>
  <c r="H41" i="5869"/>
  <c r="H45" i="5869"/>
  <c r="H49" i="5869"/>
  <c r="H52" i="5869"/>
  <c r="H9" i="5869"/>
  <c r="H7" i="5869"/>
  <c r="H11" i="5869"/>
  <c r="H16" i="5869"/>
  <c r="H23" i="5869"/>
  <c r="H15" i="5869"/>
  <c r="H26" i="5869"/>
  <c r="H14" i="5869"/>
  <c r="H29" i="5869"/>
  <c r="H31" i="5869"/>
  <c r="H18" i="5869"/>
  <c r="H38" i="5869"/>
  <c r="H42" i="5869"/>
  <c r="H46" i="5869"/>
  <c r="O23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7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20" i="5863"/>
  <c r="O18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19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9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10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6" i="5865"/>
  <c r="H26" i="5865"/>
  <c r="C18" i="5865"/>
  <c r="B23" i="5865"/>
  <c r="H46" i="5865"/>
  <c r="H52" i="5865"/>
  <c r="H28" i="5865"/>
  <c r="H10" i="5865"/>
  <c r="H13" i="5865"/>
  <c r="H5" i="5865"/>
  <c r="H19" i="5865"/>
  <c r="H27" i="5865"/>
  <c r="H21" i="5865"/>
  <c r="C19" i="5865"/>
  <c r="B24" i="5865"/>
  <c r="H35" i="5865"/>
  <c r="H50" i="5865"/>
  <c r="H29" i="5865"/>
  <c r="H16" i="5865"/>
  <c r="H32" i="5865"/>
  <c r="H15" i="5865"/>
  <c r="H34" i="5865"/>
  <c r="H18" i="5865"/>
  <c r="H36" i="5865"/>
  <c r="H39" i="5865"/>
  <c r="H43" i="5865"/>
  <c r="H47" i="5865"/>
  <c r="H51" i="5865"/>
  <c r="H9" i="5865"/>
  <c r="H17" i="5865"/>
  <c r="H37" i="5865"/>
  <c r="H40" i="5865"/>
  <c r="H44" i="5865"/>
  <c r="H48" i="5865"/>
  <c r="H12" i="5865"/>
  <c r="H30" i="5865"/>
  <c r="H31" i="5865"/>
  <c r="H22" i="5865"/>
  <c r="H33" i="5865"/>
  <c r="H23" i="5865"/>
  <c r="H24" i="5865"/>
  <c r="H25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8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0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6" i="5857"/>
  <c r="H11" i="5861"/>
  <c r="C17" i="5861"/>
  <c r="H28" i="5861"/>
  <c r="H33" i="5861"/>
  <c r="H49" i="5861"/>
  <c r="B24" i="5861"/>
  <c r="H38" i="5861"/>
  <c r="H46" i="5861"/>
  <c r="H52" i="5861"/>
  <c r="H10" i="5861"/>
  <c r="H6" i="5861"/>
  <c r="H12" i="5861"/>
  <c r="H20" i="5861"/>
  <c r="H18" i="5861"/>
  <c r="H17" i="5861"/>
  <c r="H23" i="5861"/>
  <c r="H13" i="5861"/>
  <c r="H32" i="5861"/>
  <c r="H16" i="5861"/>
  <c r="H25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2" i="5861"/>
  <c r="C19" i="5861"/>
  <c r="H14" i="5861"/>
  <c r="H35" i="5861"/>
  <c r="H42" i="5861"/>
  <c r="H50" i="5861"/>
  <c r="H7" i="5861"/>
  <c r="H26" i="5861"/>
  <c r="H27" i="5861"/>
  <c r="H15" i="5861"/>
  <c r="C18" i="5861"/>
  <c r="B23" i="5861"/>
  <c r="H8" i="5861"/>
  <c r="H24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4" i="5859"/>
  <c r="H41" i="5859"/>
  <c r="H2" i="5859"/>
  <c r="H13" i="5859"/>
  <c r="H3" i="5859"/>
  <c r="H26" i="5859"/>
  <c r="H23" i="5859"/>
  <c r="H19" i="5859"/>
  <c r="H20" i="5859"/>
  <c r="C17" i="5859"/>
  <c r="H12" i="5859"/>
  <c r="H9" i="5859"/>
  <c r="H28" i="5859"/>
  <c r="H47" i="5859"/>
  <c r="B24" i="5859"/>
  <c r="H44" i="5859"/>
  <c r="H8" i="5859"/>
  <c r="H17" i="5859"/>
  <c r="H10" i="5859"/>
  <c r="H6" i="5859"/>
  <c r="H11" i="5859"/>
  <c r="H25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2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8" i="5857"/>
  <c r="H9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5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6" i="5855"/>
  <c r="C18" i="5855"/>
  <c r="H39" i="5855"/>
  <c r="H16" i="5855"/>
  <c r="H36" i="5855"/>
  <c r="H37" i="5855"/>
  <c r="H24" i="5855"/>
  <c r="H30" i="5855"/>
  <c r="H31" i="5855"/>
  <c r="H28" i="5855"/>
  <c r="H32" i="5855"/>
  <c r="H33" i="5855"/>
  <c r="H46" i="5855"/>
  <c r="H49" i="5855"/>
  <c r="H5" i="5855"/>
  <c r="H8" i="5855"/>
  <c r="H20" i="5855"/>
  <c r="H23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5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<sst xmlns="http://schemas.openxmlformats.org/spreadsheetml/2006/main" count="2839" uniqueCount="243">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</sst>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全体!$K$2:$K$539</c:f>
              <c:numCache>
                <c:formatCode>General</c:formatCode>
                <c:ptCount val="5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</c:numCache>
            </c:numRef>
          </c:xVal>
          <c:yVal>
            <c:numRef>
              <c:f>全体!$L$2:$L$539</c:f>
              <c:numCache>
                <c:formatCode>\+0.0;\-0.0;\±0</c:formatCode>
                <c:ptCount val="53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-20.599250936329589</c:v>
                </c:pt>
                <c:pt idx="1">
                  <c:v>5.7471264367816088</c:v>
                </c:pt>
                <c:pt idx="2">
                  <c:v>-14.141414141414142</c:v>
                </c:pt>
                <c:pt idx="3">
                  <c:v>12.820512820512821</c:v>
                </c:pt>
                <c:pt idx="4">
                  <c:v>9.2592592592592595</c:v>
                </c:pt>
                <c:pt idx="5">
                  <c:v>13.774104683195592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たかの!$L$2:$L$49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1610.6382978723404</c:v>
                </c:pt>
                <c:pt idx="1">
                  <c:v>-902.17391304347825</c:v>
                </c:pt>
                <c:pt idx="2">
                  <c:v>-1393.1818181818182</c:v>
                </c:pt>
                <c:pt idx="3">
                  <c:v>-1323.2558139534883</c:v>
                </c:pt>
                <c:pt idx="4">
                  <c:v>353.48837209302326</c:v>
                </c:pt>
                <c:pt idx="5">
                  <c:v>-2164.864864864865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だいち!$L$2:$L$115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1375.8928571428571</c:v>
                </c:pt>
                <c:pt idx="1">
                  <c:v>496.33027522935782</c:v>
                </c:pt>
                <c:pt idx="2">
                  <c:v>753.33333333333337</c:v>
                </c:pt>
                <c:pt idx="3">
                  <c:v>448.95833333333331</c:v>
                </c:pt>
                <c:pt idx="4">
                  <c:v>2360.674157303371</c:v>
                </c:pt>
                <c:pt idx="5">
                  <c:v>3035.6164383561645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ただ!$L$2:$L$104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-1956.4356435643565</c:v>
                </c:pt>
                <c:pt idx="1">
                  <c:v>1178.7878787878788</c:v>
                </c:pt>
                <c:pt idx="2">
                  <c:v>260.21505376344084</c:v>
                </c:pt>
                <c:pt idx="3">
                  <c:v>666.66666666666663</c:v>
                </c:pt>
                <c:pt idx="4">
                  <c:v>-1180</c:v>
                </c:pt>
                <c:pt idx="5">
                  <c:v>1248.5294117647059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-391.93548387096774</c:v>
                </c:pt>
                <c:pt idx="1">
                  <c:v>-941.93548387096769</c:v>
                </c:pt>
                <c:pt idx="2">
                  <c:v>756.89655172413791</c:v>
                </c:pt>
                <c:pt idx="3">
                  <c:v>-1361.4035087719299</c:v>
                </c:pt>
                <c:pt idx="4">
                  <c:v>-3379.6296296296296</c:v>
                </c:pt>
                <c:pt idx="5">
                  <c:v>-1283.3333333333333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れんたろう!$L$2:$L$60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-2180.3571428571427</c:v>
                </c:pt>
                <c:pt idx="2">
                  <c:v>1734.6153846153845</c:v>
                </c:pt>
                <c:pt idx="3">
                  <c:v>3738</c:v>
                </c:pt>
                <c:pt idx="4">
                  <c:v>-810.86956521739125</c:v>
                </c:pt>
                <c:pt idx="5">
                  <c:v>-300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555.68181818181813</c:v>
                </c:pt>
                <c:pt idx="1">
                  <c:v>747.05882352941171</c:v>
                </c:pt>
                <c:pt idx="2">
                  <c:v>-1032.9113924050632</c:v>
                </c:pt>
                <c:pt idx="3">
                  <c:v>-145.20547945205479</c:v>
                </c:pt>
                <c:pt idx="4">
                  <c:v>-275</c:v>
                </c:pt>
                <c:pt idx="5">
                  <c:v>-828.57142857142856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のり!$L$2:$L$36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-2729.4117647058824</c:v>
                </c:pt>
                <c:pt idx="1">
                  <c:v>220.58823529411765</c:v>
                </c:pt>
                <c:pt idx="2">
                  <c:v>-2411.7647058823532</c:v>
                </c:pt>
                <c:pt idx="3">
                  <c:v>-2556.25</c:v>
                </c:pt>
                <c:pt idx="4">
                  <c:v>-1103.2258064516129</c:v>
                </c:pt>
                <c:pt idx="5">
                  <c:v>-3744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ぱぱ!$L$2:$L$25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-3173.913043478261</c:v>
                </c:pt>
                <c:pt idx="1">
                  <c:v>-582.60869565217388</c:v>
                </c:pt>
                <c:pt idx="2">
                  <c:v>1086.3636363636363</c:v>
                </c:pt>
                <c:pt idx="3">
                  <c:v>-2318.181818181818</c:v>
                </c:pt>
                <c:pt idx="4">
                  <c:v>5950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まっつん2!$B$3:$B$91</c:f>
              <c:numCache>
                <c:formatCode>\+0.0;\-0.0;\±0</c:formatCode>
                <c:ptCount val="8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950795411990839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まっつん2!$C$3:$C$91</c:f>
              <c:numCache>
                <c:formatCode>\+0.0;\-0.0;\±0</c:formatCode>
                <c:ptCount val="89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108155570203135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まっつん2!$D$3:$D$91</c:f>
              <c:numCache>
                <c:formatCode>0.00\ "位"</c:formatCode>
                <c:ptCount val="89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まっつん2!$E$3:$E$91</c:f>
              <c:numCache>
                <c:formatCode>0.0%</c:formatCode>
                <c:ptCount val="8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まっつん2!$F$3:$F$91</c:f>
              <c:numCache>
                <c:formatCode>0.0%</c:formatCode>
                <c:ptCount val="8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まっつん2!$G$3:$G$91</c:f>
              <c:numCache>
                <c:formatCode>0.0%</c:formatCode>
                <c:ptCount val="89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699011680143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まっつん2!$H$3:$H$91</c:f>
              <c:numCache>
                <c:formatCode>0.0%</c:formatCode>
                <c:ptCount val="89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74663072776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まっつん2!$I$3:$I$91</c:f>
              <c:numCache>
                <c:formatCode>0</c:formatCode>
                <c:ptCount val="89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13.414634146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まっつん2!$J$3:$J$91</c:f>
              <c:numCache>
                <c:formatCode>0</c:formatCode>
                <c:ptCount val="89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13.71742112482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まっつん2!$K$3:$K$91</c:f>
              <c:numCache>
                <c:formatCode>0.0%</c:formatCode>
                <c:ptCount val="8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97206703910614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まっつん2!$L$3:$L$91</c:f>
              <c:numCache>
                <c:formatCode>0.0%</c:formatCode>
                <c:ptCount val="8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  <c:pt idx="87">
                  <c:v>6.8965517241379309E-2</c:v>
                </c:pt>
                <c:pt idx="88">
                  <c:v>6.8181818181818177E-2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97206703910614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まっつん2!$M$3:$M$91</c:f>
              <c:numCache>
                <c:formatCode>0.0%</c:formatCode>
                <c:ptCount val="89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593890386343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まっつん2!$N$3:$N$91</c:f>
              <c:numCache>
                <c:formatCode>0.0%</c:formatCode>
                <c:ptCount val="89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23360287511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まっつん2!$O$3:$O$91</c:f>
              <c:numCache>
                <c:formatCode>0.0%</c:formatCode>
                <c:ptCount val="89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9787422497785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まっつん2!$P$3:$P$91</c:f>
              <c:numCache>
                <c:formatCode>0.0%</c:formatCode>
                <c:ptCount val="89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804878048780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まっつん2!$Q$3:$Q$91</c:f>
              <c:numCache>
                <c:formatCode>0.0%</c:formatCode>
                <c:ptCount val="89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024390243902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43735.329293981478</v>
      </c>
      <c r="C3" s="28" t="s">
        <v>128</v>
      </c>
    </row>
    <row r="4" spans="1:12" x14ac:dyDescent="0.4">
      <c r="A4" s="28" t="s">
        <v>180</v>
      </c>
      <c r="B4" s="29">
        <v>43735.329201388886</v>
      </c>
      <c r="C4" s="28" t="s">
        <v>128</v>
      </c>
    </row>
    <row r="5" spans="1:12" x14ac:dyDescent="0.4">
      <c r="A5" s="28" t="s">
        <v>183</v>
      </c>
      <c r="B5" s="29">
        <v>43737.872604166667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43737.872604166667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43737.873645833337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43739.760312500002</v>
      </c>
      <c r="C8" s="28" t="s">
        <v>128</v>
      </c>
    </row>
    <row r="9" spans="1:12" x14ac:dyDescent="0.4">
      <c r="A9" s="28" t="s">
        <v>194</v>
      </c>
      <c r="B9" s="29">
        <v>43739.760069444441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43742.090381944443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43742.090381944443</v>
      </c>
      <c r="C11" s="28" t="s">
        <v>128</v>
      </c>
    </row>
    <row r="12" spans="1:12" x14ac:dyDescent="0.4">
      <c r="A12" s="28" t="s">
        <v>199</v>
      </c>
      <c r="B12" s="29">
        <v>43742.090381944443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43745.602835648147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43745.602847222224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43745.024594907409</v>
      </c>
      <c r="C18" s="28" t="s">
        <v>128</v>
      </c>
    </row>
    <row r="19" spans="1:12" x14ac:dyDescent="0.4">
      <c r="A19" s="28" t="s">
        <v>206</v>
      </c>
      <c r="B19" s="29">
        <v>43748.026620370372</v>
      </c>
      <c r="C19" s="28" t="s">
        <v>128</v>
      </c>
    </row>
    <row r="20" spans="1:12" x14ac:dyDescent="0.4">
      <c r="A20" s="28" t="s">
        <v>207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43748.026620370372</v>
      </c>
      <c r="C21" s="28" t="s">
        <v>128</v>
      </c>
    </row>
    <row r="22" spans="1:12" x14ac:dyDescent="0.4">
      <c r="A22" s="28" t="s">
        <v>209</v>
      </c>
      <c r="B22" s="29">
        <v>43748.026620370372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43748.026620370372</v>
      </c>
      <c r="C23" s="28" t="s">
        <v>128</v>
      </c>
    </row>
    <row r="24" spans="1:12" x14ac:dyDescent="0.4">
      <c r="A24" s="28" t="s">
        <v>211</v>
      </c>
      <c r="B24" s="29">
        <v>43751.127928240741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43751.127928240741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43752.484606481485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43753.081296296295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43755.626284722224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43755.626284722224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43756.406157407408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43758.084374999999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43758.955601851849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43758.955601851849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43763.053819444445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43763.053819444445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43763.053819444445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43763.053819444445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43764.184340277781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43765.985891203702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43765.985891203702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43771.434791666667</v>
      </c>
      <c r="C41" s="28" t="s">
        <v>128</v>
      </c>
    </row>
    <row r="42" spans="1:9" x14ac:dyDescent="0.4">
      <c r="A42" s="28" t="s">
        <v>233</v>
      </c>
      <c r="B42" s="29">
        <v>43771.434791666667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43771.434791666667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43771.434791666667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43771.434791666667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43771.434791666667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43771.434791666667</v>
      </c>
      <c r="C47" s="28" t="s">
        <v>128</v>
      </c>
    </row>
    <row r="48" spans="1:9" x14ac:dyDescent="0.4">
      <c r="A48" s="28" t="s">
        <v>239</v>
      </c>
      <c r="B48" s="29">
        <v>43771.757430555554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7" x14ac:dyDescent="0.4">
      <c r="A49" s="28" t="s">
        <v>240</v>
      </c>
      <c r="B49" s="29">
        <v>43773.988738425927</v>
      </c>
      <c r="C49" s="28" t="s">
        <v>128</v>
      </c>
      <c r="D49" s="28" t="s">
        <v>129</v>
      </c>
    </row>
    <row r="50" spans="1:7" x14ac:dyDescent="0.4">
      <c r="A50" s="28" t="s">
        <v>241</v>
      </c>
      <c r="B50" s="29">
        <v>43773.988738425927</v>
      </c>
      <c r="C50" s="28" t="s">
        <v>128</v>
      </c>
    </row>
    <row r="51" spans="1:7" x14ac:dyDescent="0.4">
      <c r="A51" s="28" t="s">
        <v>242</v>
      </c>
      <c r="B51" s="29">
        <v>43775.353136574071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537</v>
      </c>
    </row>
    <row r="2" spans="1:2" x14ac:dyDescent="0.4">
      <c r="A2" t="s">
        <v>166</v>
      </c>
      <c r="B2">
        <v>47</v>
      </c>
    </row>
    <row r="3" spans="1:2" x14ac:dyDescent="0.4">
      <c r="A3" t="s">
        <v>126</v>
      </c>
      <c r="B3">
        <v>113</v>
      </c>
    </row>
    <row r="4" spans="1:2" x14ac:dyDescent="0.4">
      <c r="A4" t="s">
        <v>127</v>
      </c>
      <c r="B4">
        <v>102</v>
      </c>
    </row>
    <row r="5" spans="1:2" x14ac:dyDescent="0.4">
      <c r="A5" t="s">
        <v>179</v>
      </c>
      <c r="B5">
        <v>63</v>
      </c>
    </row>
    <row r="6" spans="1:2" x14ac:dyDescent="0.4">
      <c r="A6" t="s">
        <v>177</v>
      </c>
      <c r="B6">
        <v>58</v>
      </c>
    </row>
    <row r="7" spans="1:2" x14ac:dyDescent="0.4">
      <c r="A7" t="s">
        <v>178</v>
      </c>
      <c r="B7">
        <v>88</v>
      </c>
    </row>
    <row r="8" spans="1:2" x14ac:dyDescent="0.4">
      <c r="A8" t="s">
        <v>182</v>
      </c>
      <c r="B8">
        <v>34</v>
      </c>
    </row>
    <row r="9" spans="1:2" x14ac:dyDescent="0.4">
      <c r="A9" t="s">
        <v>181</v>
      </c>
      <c r="B9">
        <v>23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0.99569188339310422</v>
      </c>
      <c r="G2" s="161"/>
      <c r="H2" s="160">
        <v>0.91819918728043537</v>
      </c>
      <c r="I2" s="161"/>
      <c r="J2" s="160">
        <v>0.91209497888578661</v>
      </c>
      <c r="K2" s="161"/>
      <c r="L2" s="160">
        <v>0.89903478847466978</v>
      </c>
      <c r="M2" s="161"/>
      <c r="N2" s="160">
        <v>0.62415820652651</v>
      </c>
      <c r="O2" s="161"/>
      <c r="P2" s="160">
        <v>0.48084356041218113</v>
      </c>
      <c r="Q2" s="161"/>
      <c r="R2" s="160">
        <v>-0.10112393050847211</v>
      </c>
      <c r="S2" s="161"/>
      <c r="T2" s="160">
        <v>0.58002025898114495</v>
      </c>
      <c r="U2" s="161"/>
      <c r="V2" s="160">
        <v>0.82587756773070309</v>
      </c>
      <c r="W2" s="161"/>
      <c r="X2" s="160">
        <v>0.5255496081368316</v>
      </c>
      <c r="Y2" s="161"/>
      <c r="Z2" s="160">
        <v>-9.3358176191937398E-2</v>
      </c>
      <c r="AA2" s="161"/>
      <c r="AB2" s="160">
        <v>0.24952028651462135</v>
      </c>
      <c r="AC2" s="161"/>
      <c r="AD2" s="160">
        <v>0.67918867202921784</v>
      </c>
      <c r="AE2" s="161"/>
      <c r="AF2" s="160">
        <v>-2.531053312025423E-2</v>
      </c>
      <c r="AG2" s="161"/>
      <c r="AH2" s="160">
        <v>0.74157280236420953</v>
      </c>
      <c r="AI2" s="161"/>
    </row>
    <row r="3" spans="1:35" x14ac:dyDescent="0.4">
      <c r="A3" s="70">
        <v>1</v>
      </c>
      <c r="B3" s="71" t="s">
        <v>126</v>
      </c>
      <c r="C3" s="72">
        <v>1038.3999999999999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10410.144927536232</v>
      </c>
      <c r="R3" s="73" t="s">
        <v>166</v>
      </c>
      <c r="S3" s="77">
        <v>-6840.9836065573772</v>
      </c>
      <c r="T3" s="73" t="s">
        <v>222</v>
      </c>
      <c r="U3" s="75">
        <v>0</v>
      </c>
      <c r="V3" s="73" t="s">
        <v>177</v>
      </c>
      <c r="W3" s="75">
        <v>0.18965517241379309</v>
      </c>
      <c r="X3" s="73" t="s">
        <v>177</v>
      </c>
      <c r="Y3" s="76">
        <v>0.32258064516129031</v>
      </c>
      <c r="Z3" s="73" t="s">
        <v>195</v>
      </c>
      <c r="AA3" s="76">
        <v>0.35483870967741937</v>
      </c>
      <c r="AB3" s="73" t="s">
        <v>126</v>
      </c>
      <c r="AC3" s="76">
        <v>0.60655737704918034</v>
      </c>
      <c r="AD3" s="73" t="s">
        <v>222</v>
      </c>
      <c r="AE3" s="76">
        <v>1</v>
      </c>
      <c r="AF3" s="73" t="s">
        <v>181</v>
      </c>
      <c r="AG3" s="76">
        <v>0.55737704918032782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308.80000000000007</v>
      </c>
      <c r="D4" s="81" t="s">
        <v>126</v>
      </c>
      <c r="E4" s="93">
        <v>9.18938053097345</v>
      </c>
      <c r="F4" s="81" t="s">
        <v>126</v>
      </c>
      <c r="G4" s="82">
        <v>1.7787610619469028</v>
      </c>
      <c r="H4" s="81" t="s">
        <v>126</v>
      </c>
      <c r="I4" s="83">
        <v>0.46902654867256638</v>
      </c>
      <c r="J4" s="81" t="s">
        <v>126</v>
      </c>
      <c r="K4" s="83">
        <v>0.24778761061946902</v>
      </c>
      <c r="L4" s="81" t="s">
        <v>126</v>
      </c>
      <c r="M4" s="84">
        <v>0.34357848518111966</v>
      </c>
      <c r="N4" s="81" t="s">
        <v>126</v>
      </c>
      <c r="O4" s="84">
        <v>0.12733260153677278</v>
      </c>
      <c r="P4" s="81" t="s">
        <v>127</v>
      </c>
      <c r="Q4" s="85">
        <v>8584.765625</v>
      </c>
      <c r="R4" s="81" t="s">
        <v>181</v>
      </c>
      <c r="S4" s="85">
        <v>-7058.8235294117649</v>
      </c>
      <c r="T4" s="81" t="s">
        <v>166</v>
      </c>
      <c r="U4" s="83">
        <v>2.1276595744680851E-2</v>
      </c>
      <c r="V4" s="81" t="s">
        <v>195</v>
      </c>
      <c r="W4" s="83">
        <v>0.14285714285714285</v>
      </c>
      <c r="X4" s="81" t="s">
        <v>179</v>
      </c>
      <c r="Y4" s="84">
        <v>0.29166666666666669</v>
      </c>
      <c r="Z4" s="81" t="s">
        <v>222</v>
      </c>
      <c r="AA4" s="84">
        <v>0.33333333333333331</v>
      </c>
      <c r="AB4" s="81" t="s">
        <v>181</v>
      </c>
      <c r="AC4" s="84">
        <v>0.59322033898305082</v>
      </c>
      <c r="AD4" s="81" t="s">
        <v>126</v>
      </c>
      <c r="AE4" s="84">
        <v>0.48529411764705882</v>
      </c>
      <c r="AF4" s="81" t="s">
        <v>177</v>
      </c>
      <c r="AG4" s="84">
        <v>0.48550724637681159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181</v>
      </c>
      <c r="C5" s="80">
        <v>27.299999999999997</v>
      </c>
      <c r="D5" s="81" t="s">
        <v>177</v>
      </c>
      <c r="E5" s="93">
        <v>5.3241379310344836</v>
      </c>
      <c r="F5" s="81" t="s">
        <v>177</v>
      </c>
      <c r="G5" s="82">
        <v>1.8793103448275863</v>
      </c>
      <c r="H5" s="81" t="s">
        <v>177</v>
      </c>
      <c r="I5" s="83">
        <v>0.43103448275862066</v>
      </c>
      <c r="J5" s="81" t="s">
        <v>178</v>
      </c>
      <c r="K5" s="83">
        <v>0.27272727272727271</v>
      </c>
      <c r="L5" s="81" t="s">
        <v>127</v>
      </c>
      <c r="M5" s="84">
        <v>0.29906542056074764</v>
      </c>
      <c r="N5" s="81" t="s">
        <v>178</v>
      </c>
      <c r="O5" s="84">
        <v>0.1337126600284495</v>
      </c>
      <c r="P5" s="81" t="s">
        <v>143</v>
      </c>
      <c r="Q5" s="85">
        <v>8413.414634146342</v>
      </c>
      <c r="R5" s="81" t="s">
        <v>179</v>
      </c>
      <c r="S5" s="85">
        <v>-7611.818181818182</v>
      </c>
      <c r="T5" s="81" t="s">
        <v>126</v>
      </c>
      <c r="U5" s="83">
        <v>4.4247787610619468E-2</v>
      </c>
      <c r="V5" s="81" t="s">
        <v>126</v>
      </c>
      <c r="W5" s="83">
        <v>0.13274336283185842</v>
      </c>
      <c r="X5" s="81" t="s">
        <v>181</v>
      </c>
      <c r="Y5" s="84">
        <v>0.26940639269406391</v>
      </c>
      <c r="Z5" s="81" t="s">
        <v>127</v>
      </c>
      <c r="AA5" s="84">
        <v>0.30373831775700932</v>
      </c>
      <c r="AB5" s="81" t="s">
        <v>179</v>
      </c>
      <c r="AC5" s="84">
        <v>0.58441558441558439</v>
      </c>
      <c r="AD5" s="81" t="s">
        <v>177</v>
      </c>
      <c r="AE5" s="84">
        <v>0.45121951219512196</v>
      </c>
      <c r="AF5" s="81" t="s">
        <v>182</v>
      </c>
      <c r="AG5" s="84">
        <v>0.47692307692307695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181</v>
      </c>
      <c r="E6" s="93">
        <v>1.1869565217391302</v>
      </c>
      <c r="F6" s="81" t="s">
        <v>181</v>
      </c>
      <c r="G6" s="82">
        <v>1.9565217391304348</v>
      </c>
      <c r="H6" s="81" t="s">
        <v>195</v>
      </c>
      <c r="I6" s="83">
        <v>0.42857142857142855</v>
      </c>
      <c r="J6" s="81" t="s">
        <v>177</v>
      </c>
      <c r="K6" s="83">
        <v>0.31034482758620691</v>
      </c>
      <c r="L6" s="81" t="s">
        <v>177</v>
      </c>
      <c r="M6" s="84">
        <v>0.29677419354838708</v>
      </c>
      <c r="N6" s="81" t="s">
        <v>166</v>
      </c>
      <c r="O6" s="84">
        <v>0.14734299516908211</v>
      </c>
      <c r="P6" s="81" t="s">
        <v>181</v>
      </c>
      <c r="Q6" s="85">
        <v>8398.3606557377043</v>
      </c>
      <c r="R6" s="81" t="s">
        <v>126</v>
      </c>
      <c r="S6" s="85">
        <v>-7766.3793103448279</v>
      </c>
      <c r="T6" s="81" t="s">
        <v>178</v>
      </c>
      <c r="U6" s="83">
        <v>7.9545454545454544E-2</v>
      </c>
      <c r="V6" s="81" t="s">
        <v>181</v>
      </c>
      <c r="W6" s="83">
        <v>0.13043478260869565</v>
      </c>
      <c r="X6" s="81" t="s">
        <v>126</v>
      </c>
      <c r="Y6" s="84">
        <v>0.26783754116355651</v>
      </c>
      <c r="Z6" s="81" t="s">
        <v>166</v>
      </c>
      <c r="AA6" s="84">
        <v>0.23429951690821257</v>
      </c>
      <c r="AB6" s="81" t="s">
        <v>178</v>
      </c>
      <c r="AC6" s="84">
        <v>0.56216216216216219</v>
      </c>
      <c r="AD6" s="81" t="s">
        <v>178</v>
      </c>
      <c r="AE6" s="84">
        <v>0.41249999999999998</v>
      </c>
      <c r="AF6" s="81" t="s">
        <v>179</v>
      </c>
      <c r="AG6" s="84">
        <v>0.45270270270270269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-5.9507954119908391E-14</v>
      </c>
      <c r="D7" s="81" t="s">
        <v>143</v>
      </c>
      <c r="E7" s="93">
        <v>-1.1081555702031357E-16</v>
      </c>
      <c r="F7" s="81" t="s">
        <v>127</v>
      </c>
      <c r="G7" s="82">
        <v>1.9901960784313726</v>
      </c>
      <c r="H7" s="81" t="s">
        <v>181</v>
      </c>
      <c r="I7" s="83">
        <v>0.39130434782608697</v>
      </c>
      <c r="J7" s="81" t="s">
        <v>127</v>
      </c>
      <c r="K7" s="83">
        <v>0.33333333333333331</v>
      </c>
      <c r="L7" s="81" t="s">
        <v>143</v>
      </c>
      <c r="M7" s="84">
        <v>0.29469901168014373</v>
      </c>
      <c r="N7" s="81" t="s">
        <v>181</v>
      </c>
      <c r="O7" s="84">
        <v>0.15525114155251141</v>
      </c>
      <c r="P7" s="81" t="s">
        <v>178</v>
      </c>
      <c r="Q7" s="85">
        <v>8317.5879396984928</v>
      </c>
      <c r="R7" s="81" t="s">
        <v>143</v>
      </c>
      <c r="S7" s="85">
        <v>-7813.7174211248284</v>
      </c>
      <c r="T7" s="81" t="s">
        <v>177</v>
      </c>
      <c r="U7" s="83">
        <v>8.6206896551724144E-2</v>
      </c>
      <c r="V7" s="81" t="s">
        <v>127</v>
      </c>
      <c r="W7" s="83">
        <v>9.8039215686274508E-2</v>
      </c>
      <c r="X7" s="81" t="s">
        <v>222</v>
      </c>
      <c r="Y7" s="84">
        <v>0.26666666666666666</v>
      </c>
      <c r="Z7" s="81" t="s">
        <v>143</v>
      </c>
      <c r="AA7" s="84">
        <v>0.2302336028751123</v>
      </c>
      <c r="AB7" s="81" t="s">
        <v>143</v>
      </c>
      <c r="AC7" s="84">
        <v>0.55978742249778568</v>
      </c>
      <c r="AD7" s="81" t="s">
        <v>143</v>
      </c>
      <c r="AE7" s="84">
        <v>0.40780487804878046</v>
      </c>
      <c r="AF7" s="81" t="s">
        <v>178</v>
      </c>
      <c r="AG7" s="84">
        <v>0.44221105527638194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127</v>
      </c>
      <c r="C8" s="80">
        <v>-56.500000000000213</v>
      </c>
      <c r="D8" s="81" t="s">
        <v>127</v>
      </c>
      <c r="E8" s="93">
        <v>-0.55392156862745312</v>
      </c>
      <c r="F8" s="81" t="s">
        <v>143</v>
      </c>
      <c r="G8" s="82">
        <v>2</v>
      </c>
      <c r="H8" s="81" t="s">
        <v>127</v>
      </c>
      <c r="I8" s="83">
        <v>0.34313725490196079</v>
      </c>
      <c r="J8" s="81" t="s">
        <v>143</v>
      </c>
      <c r="K8" s="83">
        <v>0.33333333333333331</v>
      </c>
      <c r="L8" s="81" t="s">
        <v>178</v>
      </c>
      <c r="M8" s="84">
        <v>0.28307254623044098</v>
      </c>
      <c r="N8" s="81" t="s">
        <v>143</v>
      </c>
      <c r="O8" s="84">
        <v>0.1637466307277628</v>
      </c>
      <c r="P8" s="81" t="s">
        <v>126</v>
      </c>
      <c r="Q8" s="85">
        <v>8231.3099041533551</v>
      </c>
      <c r="R8" s="81" t="s">
        <v>182</v>
      </c>
      <c r="S8" s="85">
        <v>-7881.4814814814818</v>
      </c>
      <c r="T8" s="81" t="s">
        <v>181</v>
      </c>
      <c r="U8" s="83">
        <v>8.6956521739130432E-2</v>
      </c>
      <c r="V8" s="81" t="s">
        <v>143</v>
      </c>
      <c r="W8" s="83">
        <v>9.4972067039106142E-2</v>
      </c>
      <c r="X8" s="81" t="s">
        <v>178</v>
      </c>
      <c r="Y8" s="84">
        <v>0.26315789473684209</v>
      </c>
      <c r="Z8" s="81" t="s">
        <v>178</v>
      </c>
      <c r="AA8" s="84">
        <v>0.22759601706970128</v>
      </c>
      <c r="AB8" s="81" t="s">
        <v>182</v>
      </c>
      <c r="AC8" s="84">
        <v>0.55555555555555558</v>
      </c>
      <c r="AD8" s="81" t="s">
        <v>179</v>
      </c>
      <c r="AE8" s="84">
        <v>0.38383838383838381</v>
      </c>
      <c r="AF8" s="81" t="s">
        <v>143</v>
      </c>
      <c r="AG8" s="84">
        <v>0.43902439024390244</v>
      </c>
      <c r="AH8" s="81" t="s">
        <v>166</v>
      </c>
      <c r="AI8" s="88">
        <v>86900</v>
      </c>
    </row>
    <row r="9" spans="1:35" x14ac:dyDescent="0.4">
      <c r="A9" s="78">
        <v>7</v>
      </c>
      <c r="B9" s="79" t="s">
        <v>178</v>
      </c>
      <c r="C9" s="80">
        <v>-63.20000000000001</v>
      </c>
      <c r="D9" s="81" t="s">
        <v>178</v>
      </c>
      <c r="E9" s="93">
        <v>-0.71818181818181825</v>
      </c>
      <c r="F9" s="81" t="s">
        <v>178</v>
      </c>
      <c r="G9" s="82">
        <v>2.0454545454545454</v>
      </c>
      <c r="H9" s="81" t="s">
        <v>166</v>
      </c>
      <c r="I9" s="83">
        <v>0.34042553191489361</v>
      </c>
      <c r="J9" s="81" t="s">
        <v>181</v>
      </c>
      <c r="K9" s="83">
        <v>0.34782608695652173</v>
      </c>
      <c r="L9" s="81" t="s">
        <v>179</v>
      </c>
      <c r="M9" s="84">
        <v>0.28030303030303028</v>
      </c>
      <c r="N9" s="81" t="s">
        <v>177</v>
      </c>
      <c r="O9" s="84">
        <v>0.16559139784946236</v>
      </c>
      <c r="P9" s="81" t="s">
        <v>179</v>
      </c>
      <c r="Q9" s="85">
        <v>8081.0810810810808</v>
      </c>
      <c r="R9" s="81" t="s">
        <v>178</v>
      </c>
      <c r="S9" s="85">
        <v>-7886.1702127659573</v>
      </c>
      <c r="T9" s="81" t="s">
        <v>143</v>
      </c>
      <c r="U9" s="83">
        <v>9.4972067039106142E-2</v>
      </c>
      <c r="V9" s="81" t="s">
        <v>178</v>
      </c>
      <c r="W9" s="83">
        <v>6.8181818181818177E-2</v>
      </c>
      <c r="X9" s="81" t="s">
        <v>143</v>
      </c>
      <c r="Y9" s="84">
        <v>0.25359389038634322</v>
      </c>
      <c r="Z9" s="81" t="s">
        <v>126</v>
      </c>
      <c r="AA9" s="84">
        <v>0.2239297475301866</v>
      </c>
      <c r="AB9" s="81" t="s">
        <v>177</v>
      </c>
      <c r="AC9" s="84">
        <v>0.54666666666666663</v>
      </c>
      <c r="AD9" s="81" t="s">
        <v>166</v>
      </c>
      <c r="AE9" s="84">
        <v>0.37113402061855671</v>
      </c>
      <c r="AF9" s="81" t="s">
        <v>126</v>
      </c>
      <c r="AG9" s="84">
        <v>0.43130990415335463</v>
      </c>
      <c r="AH9" s="81" t="s">
        <v>178</v>
      </c>
      <c r="AI9" s="88">
        <v>86500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-3.9787234042553203</v>
      </c>
      <c r="F10" s="81" t="s">
        <v>166</v>
      </c>
      <c r="G10" s="82">
        <v>2.0851063829787235</v>
      </c>
      <c r="H10" s="81" t="s">
        <v>143</v>
      </c>
      <c r="I10" s="83">
        <v>0.33333333333333331</v>
      </c>
      <c r="J10" s="81" t="s">
        <v>179</v>
      </c>
      <c r="K10" s="83">
        <v>0.3968253968253968</v>
      </c>
      <c r="L10" s="81" t="s">
        <v>181</v>
      </c>
      <c r="M10" s="84">
        <v>0.27853881278538811</v>
      </c>
      <c r="N10" s="81" t="s">
        <v>182</v>
      </c>
      <c r="O10" s="84">
        <v>0.19354838709677419</v>
      </c>
      <c r="P10" s="81" t="s">
        <v>182</v>
      </c>
      <c r="Q10" s="85">
        <v>7912.3076923076924</v>
      </c>
      <c r="R10" s="81" t="s">
        <v>222</v>
      </c>
      <c r="S10" s="85">
        <v>-8000</v>
      </c>
      <c r="T10" s="81" t="s">
        <v>179</v>
      </c>
      <c r="U10" s="83">
        <v>9.5238095238095233E-2</v>
      </c>
      <c r="V10" s="81" t="s">
        <v>166</v>
      </c>
      <c r="W10" s="83">
        <v>4.2553191489361701E-2</v>
      </c>
      <c r="X10" s="81" t="s">
        <v>195</v>
      </c>
      <c r="Y10" s="84">
        <v>0.24193548387096775</v>
      </c>
      <c r="Z10" s="81" t="s">
        <v>182</v>
      </c>
      <c r="AA10" s="84">
        <v>0.22222222222222221</v>
      </c>
      <c r="AB10" s="81" t="s">
        <v>195</v>
      </c>
      <c r="AC10" s="84">
        <v>0.53333333333333333</v>
      </c>
      <c r="AD10" s="81" t="s">
        <v>182</v>
      </c>
      <c r="AE10" s="84">
        <v>0.37096774193548387</v>
      </c>
      <c r="AF10" s="81" t="s">
        <v>166</v>
      </c>
      <c r="AG10" s="84">
        <v>0.42727272727272725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-187.00000000000006</v>
      </c>
      <c r="D11" s="81" t="s">
        <v>179</v>
      </c>
      <c r="E11" s="93">
        <v>-7.2587301587301578</v>
      </c>
      <c r="F11" s="81" t="s">
        <v>195</v>
      </c>
      <c r="G11" s="82">
        <v>2.1428571428571428</v>
      </c>
      <c r="H11" s="81" t="s">
        <v>178</v>
      </c>
      <c r="I11" s="83">
        <v>0.22727272727272727</v>
      </c>
      <c r="J11" s="81" t="s">
        <v>166</v>
      </c>
      <c r="K11" s="83">
        <v>0.42553191489361702</v>
      </c>
      <c r="L11" s="81" t="s">
        <v>166</v>
      </c>
      <c r="M11" s="84">
        <v>0.26570048309178745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177</v>
      </c>
      <c r="S11" s="85">
        <v>-8136.363636363636</v>
      </c>
      <c r="T11" s="81" t="s">
        <v>127</v>
      </c>
      <c r="U11" s="83">
        <v>0.14705882352941177</v>
      </c>
      <c r="V11" s="81" t="s">
        <v>179</v>
      </c>
      <c r="W11" s="83">
        <v>3.1746031746031744E-2</v>
      </c>
      <c r="X11" s="81" t="s">
        <v>127</v>
      </c>
      <c r="Y11" s="84">
        <v>0.23481308411214954</v>
      </c>
      <c r="Z11" s="81" t="s">
        <v>179</v>
      </c>
      <c r="AA11" s="84">
        <v>0.1875</v>
      </c>
      <c r="AB11" s="81" t="s">
        <v>127</v>
      </c>
      <c r="AC11" s="84">
        <v>0.5074626865671642</v>
      </c>
      <c r="AD11" s="81" t="s">
        <v>127</v>
      </c>
      <c r="AE11" s="84">
        <v>0.36923076923076925</v>
      </c>
      <c r="AF11" s="81" t="s">
        <v>127</v>
      </c>
      <c r="AG11" s="84">
        <v>0.390625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-457.29999999999995</v>
      </c>
      <c r="D12" s="81" t="s">
        <v>195</v>
      </c>
      <c r="E12" s="93">
        <v>-14.971428571428573</v>
      </c>
      <c r="F12" s="81" t="s">
        <v>179</v>
      </c>
      <c r="G12" s="82">
        <v>2.1904761904761907</v>
      </c>
      <c r="H12" s="81" t="s">
        <v>179</v>
      </c>
      <c r="I12" s="83">
        <v>0.20634920634920634</v>
      </c>
      <c r="J12" s="81" t="s">
        <v>182</v>
      </c>
      <c r="K12" s="83">
        <v>0.52941176470588236</v>
      </c>
      <c r="L12" s="81" t="s">
        <v>195</v>
      </c>
      <c r="M12" s="84">
        <v>0.24193548387096775</v>
      </c>
      <c r="N12" s="81" t="s">
        <v>127</v>
      </c>
      <c r="O12" s="84">
        <v>0.19859813084112149</v>
      </c>
      <c r="P12" s="81" t="s">
        <v>222</v>
      </c>
      <c r="Q12" s="85">
        <v>7385.7142857142853</v>
      </c>
      <c r="R12" s="81" t="s">
        <v>127</v>
      </c>
      <c r="S12" s="85">
        <v>-8178.8235294117649</v>
      </c>
      <c r="T12" s="81" t="s">
        <v>182</v>
      </c>
      <c r="U12" s="83">
        <v>0.17647058823529413</v>
      </c>
      <c r="V12" s="81" t="s">
        <v>182</v>
      </c>
      <c r="W12" s="83">
        <v>2.9411764705882353E-2</v>
      </c>
      <c r="X12" s="81" t="s">
        <v>182</v>
      </c>
      <c r="Y12" s="84">
        <v>0.19354838709677419</v>
      </c>
      <c r="Z12" s="81" t="s">
        <v>177</v>
      </c>
      <c r="AA12" s="84">
        <v>0.17634408602150536</v>
      </c>
      <c r="AB12" s="81" t="s">
        <v>222</v>
      </c>
      <c r="AC12" s="84">
        <v>0.5</v>
      </c>
      <c r="AD12" s="81" t="s">
        <v>181</v>
      </c>
      <c r="AE12" s="84">
        <v>0.35294117647058826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-531.90000000000009</v>
      </c>
      <c r="D13" s="81" t="s">
        <v>182</v>
      </c>
      <c r="E13" s="93">
        <v>-15.644117647058826</v>
      </c>
      <c r="F13" s="81" t="s">
        <v>182</v>
      </c>
      <c r="G13" s="82">
        <v>2.4117647058823528</v>
      </c>
      <c r="H13" s="81" t="s">
        <v>182</v>
      </c>
      <c r="I13" s="83">
        <v>0.11764705882352941</v>
      </c>
      <c r="J13" s="81" t="s">
        <v>195</v>
      </c>
      <c r="K13" s="83">
        <v>0.5714285714285714</v>
      </c>
      <c r="L13" s="81" t="s">
        <v>182</v>
      </c>
      <c r="M13" s="84">
        <v>0.23297491039426524</v>
      </c>
      <c r="N13" s="81" t="s">
        <v>179</v>
      </c>
      <c r="O13" s="84">
        <v>0.20833333333333334</v>
      </c>
      <c r="P13" s="81" t="s">
        <v>166</v>
      </c>
      <c r="Q13" s="85">
        <v>7146.363636363636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0.15217391304347827</v>
      </c>
      <c r="Z13" s="81" t="s">
        <v>181</v>
      </c>
      <c r="AA13" s="84">
        <v>0.15525114155251141</v>
      </c>
      <c r="AB13" s="81" t="s">
        <v>166</v>
      </c>
      <c r="AC13" s="84">
        <v>0.49206349206349204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3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537</v>
      </c>
      <c r="C2" s="149"/>
      <c r="E2" s="58" t="s">
        <v>66</v>
      </c>
      <c r="F2" s="55" t="s">
        <v>22</v>
      </c>
      <c r="G2" s="43">
        <v>1017</v>
      </c>
      <c r="H2" s="128">
        <f>IF(B$17=0,0,G2/B$17)</f>
        <v>0.77515243902439024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-20.599250936329589</v>
      </c>
      <c r="P2" s="114">
        <v>534</v>
      </c>
      <c r="Q2" s="98">
        <v>-11000</v>
      </c>
    </row>
    <row r="3" spans="1:17" x14ac:dyDescent="0.4">
      <c r="A3" s="51" t="s">
        <v>8</v>
      </c>
      <c r="B3" s="150">
        <v>4452</v>
      </c>
      <c r="C3" s="151"/>
      <c r="E3" s="59" t="s">
        <v>72</v>
      </c>
      <c r="F3" s="56" t="s">
        <v>27</v>
      </c>
      <c r="G3" s="44">
        <v>697</v>
      </c>
      <c r="H3" s="129">
        <f>IF(B$17=0,0,G3/B$17)</f>
        <v>0.53125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5.7471264367816088</v>
      </c>
      <c r="P3" s="115">
        <v>522</v>
      </c>
      <c r="Q3" s="99">
        <v>3000</v>
      </c>
    </row>
    <row r="4" spans="1:17" x14ac:dyDescent="0.4">
      <c r="A4" s="51" t="s">
        <v>6</v>
      </c>
      <c r="B4" s="152">
        <v>-5.9507954119908391E-14</v>
      </c>
      <c r="C4" s="153"/>
      <c r="E4" s="59" t="s">
        <v>64</v>
      </c>
      <c r="F4" s="56" t="s">
        <v>20</v>
      </c>
      <c r="G4" s="44">
        <v>603</v>
      </c>
      <c r="H4" s="129">
        <f>IF(B$17=0,0,G4/B$17)</f>
        <v>0.45960365853658536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-14.141414141414142</v>
      </c>
      <c r="P4" s="115">
        <v>495</v>
      </c>
      <c r="Q4" s="99">
        <v>-7000</v>
      </c>
    </row>
    <row r="5" spans="1:17" x14ac:dyDescent="0.4">
      <c r="A5" s="51" t="s">
        <v>7</v>
      </c>
      <c r="B5" s="154">
        <f>IF(B$2=0,0,B$4/B$2)</f>
        <v>-1.1081555702031357E-16</v>
      </c>
      <c r="C5" s="155"/>
      <c r="E5" s="59" t="s">
        <v>171</v>
      </c>
      <c r="F5" s="56" t="s">
        <v>172</v>
      </c>
      <c r="G5" s="44">
        <v>525</v>
      </c>
      <c r="H5" s="129">
        <f>IF(B$17=0,0,G5/B$17)</f>
        <v>0.40015243902439024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12.820512820512821</v>
      </c>
      <c r="P5" s="115">
        <v>468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413</v>
      </c>
      <c r="H6" s="129">
        <f>IF(B$17=0,0,G6/B$17)</f>
        <v>0.31478658536585363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9.2592592592592595</v>
      </c>
      <c r="P6" s="115">
        <v>432</v>
      </c>
      <c r="Q6" s="99">
        <v>4000</v>
      </c>
    </row>
    <row r="7" spans="1:17" x14ac:dyDescent="0.4">
      <c r="A7" s="51" t="s">
        <v>2</v>
      </c>
      <c r="B7" s="44">
        <v>179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367</v>
      </c>
      <c r="H7" s="129">
        <f>IF(B$17=0,0,G7/B$17)</f>
        <v>0.27972560975609756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13.774104683195592</v>
      </c>
      <c r="P7" s="116">
        <v>363</v>
      </c>
      <c r="Q7" s="100">
        <v>5000</v>
      </c>
    </row>
    <row r="8" spans="1:17" x14ac:dyDescent="0.4">
      <c r="A8" s="51" t="s">
        <v>3</v>
      </c>
      <c r="B8" s="44">
        <v>179</v>
      </c>
      <c r="C8" s="37">
        <f t="shared" si="1"/>
        <v>0.33333333333333331</v>
      </c>
      <c r="E8" s="59" t="s">
        <v>69</v>
      </c>
      <c r="F8" s="56" t="s">
        <v>24</v>
      </c>
      <c r="G8" s="44">
        <v>202</v>
      </c>
      <c r="H8" s="129">
        <f>IF(B$17=0,0,G8/B$17)</f>
        <v>0.15396341463414634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179</v>
      </c>
      <c r="C9" s="38">
        <f t="shared" si="1"/>
        <v>0.33333333333333331</v>
      </c>
      <c r="E9" s="59" t="s">
        <v>89</v>
      </c>
      <c r="F9" s="56" t="s">
        <v>44</v>
      </c>
      <c r="G9" s="44">
        <v>170</v>
      </c>
      <c r="H9" s="129">
        <f>IF(B$17=0,0,G9/B$17)</f>
        <v>0.12957317073170732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51</v>
      </c>
      <c r="C10" s="38">
        <f t="shared" si="1"/>
        <v>9.4972067039106142E-2</v>
      </c>
      <c r="E10" s="59" t="s">
        <v>65</v>
      </c>
      <c r="F10" s="56" t="s">
        <v>21</v>
      </c>
      <c r="G10" s="44">
        <v>134</v>
      </c>
      <c r="H10" s="129">
        <f>IF(B$17=0,0,G10/B$17)</f>
        <v>0.10213414634146341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-0.72905027932960931</v>
      </c>
      <c r="P10" s="114">
        <v>179</v>
      </c>
      <c r="Q10" s="102">
        <v>-130.50000000000006</v>
      </c>
    </row>
    <row r="11" spans="1:17" x14ac:dyDescent="0.4">
      <c r="A11" s="52" t="s">
        <v>138</v>
      </c>
      <c r="B11" s="45">
        <v>51</v>
      </c>
      <c r="C11" s="38">
        <f t="shared" si="1"/>
        <v>9.4972067039106142E-2</v>
      </c>
      <c r="E11" s="59" t="s">
        <v>70</v>
      </c>
      <c r="F11" s="56" t="s">
        <v>25</v>
      </c>
      <c r="G11" s="44">
        <v>126</v>
      </c>
      <c r="H11" s="129">
        <f>IF(B$17=0,0,G11/B$17)</f>
        <v>9.6036585365853661E-2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1.41340782122905</v>
      </c>
      <c r="P11" s="115">
        <v>179</v>
      </c>
      <c r="Q11" s="103">
        <v>252.99999999999994</v>
      </c>
    </row>
    <row r="12" spans="1:17" x14ac:dyDescent="0.4">
      <c r="A12" s="53" t="s">
        <v>158</v>
      </c>
      <c r="B12" s="46">
        <v>55</v>
      </c>
      <c r="C12" s="40">
        <f t="shared" si="1"/>
        <v>0.10242085661080075</v>
      </c>
      <c r="E12" s="59" t="s">
        <v>71</v>
      </c>
      <c r="F12" s="56" t="s">
        <v>26</v>
      </c>
      <c r="G12" s="44">
        <v>103</v>
      </c>
      <c r="H12" s="129">
        <f>IF(B$17=0,0,G12/B$17)</f>
        <v>7.850609756097561E-2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-0.68435754189944209</v>
      </c>
      <c r="P12" s="116">
        <v>179</v>
      </c>
      <c r="Q12" s="104">
        <v>-122.50000000000014</v>
      </c>
    </row>
    <row r="13" spans="1:17" x14ac:dyDescent="0.4">
      <c r="A13" s="54" t="s">
        <v>121</v>
      </c>
      <c r="B13" s="47">
        <v>1129</v>
      </c>
      <c r="C13" s="42">
        <f>IF(B$3=0,0,B13/B$3)</f>
        <v>0.25359389038634322</v>
      </c>
      <c r="E13" s="59" t="s">
        <v>83</v>
      </c>
      <c r="F13" s="56" t="s">
        <v>38</v>
      </c>
      <c r="G13" s="44">
        <v>71</v>
      </c>
      <c r="H13" s="129">
        <f>IF(B$17=0,0,G13/B$17)</f>
        <v>5.4115853658536585E-2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1025</v>
      </c>
      <c r="C14" s="37">
        <f>IF(B$3=0,0,B14/B$3)</f>
        <v>0.2302336028751123</v>
      </c>
      <c r="E14" s="59" t="s">
        <v>86</v>
      </c>
      <c r="F14" s="56" t="s">
        <v>41</v>
      </c>
      <c r="G14" s="44">
        <v>66</v>
      </c>
      <c r="H14" s="129">
        <f>IF(B$17=0,0,G14/B$17)</f>
        <v>5.0304878048780491E-2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632</v>
      </c>
      <c r="C15" s="35">
        <f>IF(B$13=0,0,B15/B$13)</f>
        <v>0.55978742249778568</v>
      </c>
      <c r="E15" s="59" t="s">
        <v>78</v>
      </c>
      <c r="F15" s="56" t="s">
        <v>33</v>
      </c>
      <c r="G15" s="44">
        <v>35</v>
      </c>
      <c r="H15" s="129">
        <f>IF(B$17=0,0,G15/B$17)</f>
        <v>2.6676829268292682E-2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23.46617647058822</v>
      </c>
      <c r="P15" s="114">
        <v>68</v>
      </c>
      <c r="Q15" s="102">
        <v>1595.6999999999989</v>
      </c>
    </row>
    <row r="16" spans="1:17" x14ac:dyDescent="0.4">
      <c r="A16" s="50" t="s">
        <v>124</v>
      </c>
      <c r="B16" s="43">
        <v>418</v>
      </c>
      <c r="C16" s="35">
        <f>IF(B$14=0,0,B16/B$14)</f>
        <v>0.40780487804878046</v>
      </c>
      <c r="E16" s="59" t="s">
        <v>167</v>
      </c>
      <c r="F16" s="56" t="s">
        <v>168</v>
      </c>
      <c r="G16" s="44">
        <v>32</v>
      </c>
      <c r="H16" s="129">
        <f>IF(B$17=0,0,G16/B$17)</f>
        <v>2.4390243902439025E-2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1312</v>
      </c>
      <c r="C17" s="35">
        <f>IF(B$3=0,0,B17/B$3)</f>
        <v>0.29469901168014373</v>
      </c>
      <c r="E17" s="59" t="s">
        <v>81</v>
      </c>
      <c r="F17" s="56" t="s">
        <v>36</v>
      </c>
      <c r="G17" s="44">
        <v>22</v>
      </c>
      <c r="H17" s="129">
        <f>IF(B$17=0,0,G17/B$17)</f>
        <v>1.676829268292683E-2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10.888095238095239</v>
      </c>
      <c r="P17" s="115">
        <v>126</v>
      </c>
      <c r="Q17" s="103">
        <v>1371.9</v>
      </c>
    </row>
    <row r="18" spans="1:17" x14ac:dyDescent="0.4">
      <c r="A18" s="51" t="s">
        <v>12</v>
      </c>
      <c r="B18" s="44">
        <v>576</v>
      </c>
      <c r="C18" s="37">
        <f>IF(B$17=0,0,B18/B$17)</f>
        <v>0.43902439024390244</v>
      </c>
      <c r="E18" s="59" t="s">
        <v>91</v>
      </c>
      <c r="F18" s="56" t="s">
        <v>46</v>
      </c>
      <c r="G18" s="44">
        <v>17</v>
      </c>
      <c r="H18" s="129">
        <f>IF(B$17=0,0,G18/B$17)</f>
        <v>1.2957317073170731E-2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5.9680851063829765</v>
      </c>
      <c r="P18" s="115">
        <v>94</v>
      </c>
      <c r="Q18" s="103">
        <v>560.99999999999977</v>
      </c>
    </row>
    <row r="19" spans="1:17" x14ac:dyDescent="0.4">
      <c r="A19" s="51" t="s">
        <v>11</v>
      </c>
      <c r="B19" s="44">
        <v>736</v>
      </c>
      <c r="C19" s="37">
        <f>IF(B$17=0,0,B19/B$17)</f>
        <v>0.56097560975609762</v>
      </c>
      <c r="E19" s="59" t="s">
        <v>79</v>
      </c>
      <c r="F19" s="56" t="s">
        <v>34</v>
      </c>
      <c r="G19" s="44">
        <v>16</v>
      </c>
      <c r="H19" s="129">
        <f>IF(B$17=0,0,G19/B$17)</f>
        <v>1.2195121951219513E-2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1.0772727272727265</v>
      </c>
      <c r="P19" s="115">
        <v>176</v>
      </c>
      <c r="Q19" s="103">
        <v>189.59999999999985</v>
      </c>
    </row>
    <row r="20" spans="1:17" x14ac:dyDescent="0.4">
      <c r="A20" s="51" t="s">
        <v>13</v>
      </c>
      <c r="B20" s="44">
        <v>729</v>
      </c>
      <c r="C20" s="37">
        <f>IF(B$3=0,0,B20/B$3)</f>
        <v>0.1637466307277628</v>
      </c>
      <c r="E20" s="59" t="s">
        <v>75</v>
      </c>
      <c r="F20" s="56" t="s">
        <v>30</v>
      </c>
      <c r="G20" s="44">
        <v>9</v>
      </c>
      <c r="H20" s="129">
        <f>IF(B$17=0,0,G20/B$17)</f>
        <v>6.8597560975609756E-3</v>
      </c>
      <c r="I20" s="90">
        <v>5</v>
      </c>
      <c r="K20" s="36">
        <v>18</v>
      </c>
      <c r="L20" s="95">
        <v>0</v>
      </c>
      <c r="N20" s="111" t="s">
        <v>127</v>
      </c>
      <c r="O20" s="121">
        <f>IF(P20=0,0,Q20/P20)</f>
        <v>0.8308823529411703</v>
      </c>
      <c r="P20" s="115">
        <v>204</v>
      </c>
      <c r="Q20" s="103">
        <v>169.49999999999875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7</v>
      </c>
      <c r="H21" s="129">
        <f>IF(B$17=0,0,G21/B$17)</f>
        <v>5.335365853658537E-3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-1.7804347826086957</v>
      </c>
      <c r="P21" s="115">
        <v>46</v>
      </c>
      <c r="Q21" s="103">
        <v>-81.900000000000006</v>
      </c>
    </row>
    <row r="22" spans="1:17" x14ac:dyDescent="0.4">
      <c r="A22" s="51" t="s">
        <v>170</v>
      </c>
      <c r="B22" s="44">
        <v>31</v>
      </c>
      <c r="C22" s="131">
        <v>10</v>
      </c>
      <c r="E22" s="59" t="s">
        <v>74</v>
      </c>
      <c r="F22" s="56" t="s">
        <v>29</v>
      </c>
      <c r="G22" s="44">
        <v>6</v>
      </c>
      <c r="H22" s="129">
        <f>IF(B$17=0,0,G22/B$17)</f>
        <v>4.5731707317073168E-3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-7.9862068965517237</v>
      </c>
      <c r="P22" s="115">
        <v>116</v>
      </c>
      <c r="Q22" s="103">
        <v>-926.4</v>
      </c>
    </row>
    <row r="23" spans="1:17" x14ac:dyDescent="0.4">
      <c r="A23" s="51" t="s">
        <v>5</v>
      </c>
      <c r="B23" s="48">
        <f>IF(B$17=0,0,C23/B$17)</f>
        <v>8413.414634146342</v>
      </c>
      <c r="C23" s="39">
        <v>11038400</v>
      </c>
      <c r="E23" s="59" t="s">
        <v>77</v>
      </c>
      <c r="F23" s="56" t="s">
        <v>32</v>
      </c>
      <c r="G23" s="44">
        <v>5</v>
      </c>
      <c r="H23" s="129">
        <f>IF(B$17=0,0,G23/B$17)</f>
        <v>3.8109756097560975E-3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-13.784070796460174</v>
      </c>
      <c r="P23" s="115">
        <v>226</v>
      </c>
      <c r="Q23" s="103">
        <v>-3115.1999999999994</v>
      </c>
    </row>
    <row r="24" spans="1:17" x14ac:dyDescent="0.4">
      <c r="A24" s="52" t="s">
        <v>216</v>
      </c>
      <c r="B24" s="136">
        <f>IF($B$17-B$16=0,0,C24/($B$17-B$16))</f>
        <v>8906.5995525727067</v>
      </c>
      <c r="C24" s="137">
        <v>7962500</v>
      </c>
      <c r="E24" s="59" t="s">
        <v>85</v>
      </c>
      <c r="F24" s="56" t="s">
        <v>40</v>
      </c>
      <c r="G24" s="44">
        <v>5</v>
      </c>
      <c r="H24" s="129">
        <f>IF(B$17=0,0,G24/B$17)</f>
        <v>3.8109756097560975E-3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7358.6124401913876</v>
      </c>
      <c r="C25" s="137">
        <v>3075900</v>
      </c>
      <c r="E25" s="59" t="s">
        <v>88</v>
      </c>
      <c r="F25" s="56" t="s">
        <v>43</v>
      </c>
      <c r="G25" s="44">
        <v>5</v>
      </c>
      <c r="H25" s="129">
        <f>IF(B$17=0,0,G25/B$17)</f>
        <v>3.8109756097560975E-3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-7813.7174211248284</v>
      </c>
      <c r="C26" s="137">
        <v>-5696200</v>
      </c>
      <c r="E26" s="59" t="s">
        <v>73</v>
      </c>
      <c r="F26" s="56" t="s">
        <v>28</v>
      </c>
      <c r="G26" s="44">
        <v>4</v>
      </c>
      <c r="H26" s="129">
        <f>IF(B$17=0,0,G26/B$17)</f>
        <v>3.0487804878048782E-3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3.0487804878048782E-3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2.2865853658536584E-3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3.1446540880503146E-3</v>
      </c>
      <c r="E29" s="59" t="s">
        <v>95</v>
      </c>
      <c r="F29" s="56" t="s">
        <v>50</v>
      </c>
      <c r="G29" s="44">
        <v>3</v>
      </c>
      <c r="H29" s="129">
        <f>IF(B$17=0,0,G29/B$17)</f>
        <v>2.2865853658536584E-3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1.5243902439024391E-3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1.5243902439024391E-3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7.6219512195121954E-4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7.6219512195121954E-4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7.6219512195121954E-4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47</v>
      </c>
      <c r="C2" s="149"/>
      <c r="E2" s="58" t="s">
        <v>66</v>
      </c>
      <c r="F2" s="55" t="s">
        <v>22</v>
      </c>
      <c r="G2" s="43">
        <v>76</v>
      </c>
      <c r="H2" s="128">
        <f>IF(B$17=0,0,G2/B$17)</f>
        <v>0.69090909090909092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1610.6382978723404</v>
      </c>
      <c r="P2" s="114">
        <v>47</v>
      </c>
      <c r="Q2" s="98">
        <v>75700</v>
      </c>
    </row>
    <row r="3" spans="1:17" x14ac:dyDescent="0.4">
      <c r="A3" s="51" t="s">
        <v>8</v>
      </c>
      <c r="B3" s="150">
        <v>414</v>
      </c>
      <c r="C3" s="151"/>
      <c r="E3" s="59" t="s">
        <v>72</v>
      </c>
      <c r="F3" s="56" t="s">
        <v>27</v>
      </c>
      <c r="G3" s="44">
        <v>57</v>
      </c>
      <c r="H3" s="129">
        <f>IF(B$17=0,0,G3/B$17)</f>
        <v>0.51818181818181819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-902.17391304347825</v>
      </c>
      <c r="P3" s="115">
        <v>46</v>
      </c>
      <c r="Q3" s="99">
        <v>-41500</v>
      </c>
    </row>
    <row r="4" spans="1:17" x14ac:dyDescent="0.4">
      <c r="A4" s="51" t="s">
        <v>6</v>
      </c>
      <c r="B4" s="152">
        <v>-187.00000000000006</v>
      </c>
      <c r="C4" s="153"/>
      <c r="E4" s="59" t="s">
        <v>171</v>
      </c>
      <c r="F4" s="56" t="s">
        <v>172</v>
      </c>
      <c r="G4" s="44">
        <v>43</v>
      </c>
      <c r="H4" s="129">
        <f>IF(B$17=0,0,G4/B$17)</f>
        <v>0.39090909090909093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-1393.1818181818182</v>
      </c>
      <c r="P4" s="115">
        <v>44</v>
      </c>
      <c r="Q4" s="99">
        <v>-61300</v>
      </c>
    </row>
    <row r="5" spans="1:17" x14ac:dyDescent="0.4">
      <c r="A5" s="51" t="s">
        <v>7</v>
      </c>
      <c r="B5" s="154">
        <f>IF(B$2=0,0,B$4/B$2)</f>
        <v>-3.9787234042553203</v>
      </c>
      <c r="C5" s="155"/>
      <c r="E5" s="59" t="s">
        <v>68</v>
      </c>
      <c r="F5" s="56" t="s">
        <v>12</v>
      </c>
      <c r="G5" s="44">
        <v>32</v>
      </c>
      <c r="H5" s="129">
        <f>IF(B$17=0,0,G5/B$17)</f>
        <v>0.29090909090909089</v>
      </c>
      <c r="I5" s="90">
        <v>8</v>
      </c>
      <c r="K5" s="36">
        <v>3</v>
      </c>
      <c r="L5" s="95">
        <v>-8.3000000000000007</v>
      </c>
      <c r="N5" s="111" t="s">
        <v>133</v>
      </c>
      <c r="O5" s="118">
        <f t="shared" si="0"/>
        <v>-1323.2558139534883</v>
      </c>
      <c r="P5" s="115">
        <v>43</v>
      </c>
      <c r="Q5" s="99">
        <v>-56900</v>
      </c>
    </row>
    <row r="6" spans="1:17" x14ac:dyDescent="0.4">
      <c r="A6" s="51" t="s">
        <v>1</v>
      </c>
      <c r="B6" s="144">
        <f>IF(B$2=0,0,(B$7*1+B$8*2+B$9*3)/B$2)</f>
        <v>2.0851063829787235</v>
      </c>
      <c r="C6" s="145"/>
      <c r="E6" s="59" t="s">
        <v>64</v>
      </c>
      <c r="F6" s="56" t="s">
        <v>20</v>
      </c>
      <c r="G6" s="44">
        <v>30</v>
      </c>
      <c r="H6" s="129">
        <f>IF(B$17=0,0,G6/B$17)</f>
        <v>0.27272727272727271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353.48837209302326</v>
      </c>
      <c r="P6" s="115">
        <v>43</v>
      </c>
      <c r="Q6" s="99">
        <v>15200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0.34042553191489361</v>
      </c>
      <c r="E7" s="59" t="s">
        <v>69</v>
      </c>
      <c r="F7" s="56" t="s">
        <v>24</v>
      </c>
      <c r="G7" s="44">
        <v>24</v>
      </c>
      <c r="H7" s="129">
        <f>IF(B$17=0,0,G7/B$17)</f>
        <v>0.21818181818181817</v>
      </c>
      <c r="I7" s="90">
        <v>2</v>
      </c>
      <c r="K7" s="36">
        <v>5</v>
      </c>
      <c r="L7" s="95">
        <v>-55.8</v>
      </c>
      <c r="N7" s="112" t="s">
        <v>135</v>
      </c>
      <c r="O7" s="119">
        <f t="shared" si="0"/>
        <v>-2164.864864864865</v>
      </c>
      <c r="P7" s="116">
        <v>37</v>
      </c>
      <c r="Q7" s="100">
        <v>-80100</v>
      </c>
    </row>
    <row r="8" spans="1:17" x14ac:dyDescent="0.4">
      <c r="A8" s="51" t="s">
        <v>3</v>
      </c>
      <c r="B8" s="44">
        <v>11</v>
      </c>
      <c r="C8" s="37">
        <f t="shared" si="1"/>
        <v>0.23404255319148937</v>
      </c>
      <c r="E8" s="59" t="s">
        <v>70</v>
      </c>
      <c r="F8" s="56" t="s">
        <v>25</v>
      </c>
      <c r="G8" s="44">
        <v>17</v>
      </c>
      <c r="H8" s="129">
        <f>IF(B$17=0,0,G8/B$17)</f>
        <v>0.15454545454545454</v>
      </c>
      <c r="I8" s="90">
        <v>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0.42553191489361702</v>
      </c>
      <c r="E9" s="59" t="s">
        <v>67</v>
      </c>
      <c r="F9" s="56" t="s">
        <v>23</v>
      </c>
      <c r="G9" s="44">
        <v>15</v>
      </c>
      <c r="H9" s="129">
        <f>IF(B$17=0,0,G9/B$17)</f>
        <v>0.13636363636363635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2.1276595744680851E-2</v>
      </c>
      <c r="E10" s="59" t="s">
        <v>71</v>
      </c>
      <c r="F10" s="56" t="s">
        <v>26</v>
      </c>
      <c r="G10" s="44">
        <v>11</v>
      </c>
      <c r="H10" s="129">
        <f>IF(B$17=0,0,G10/B$17)</f>
        <v>0.1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-6.9249999999999989</v>
      </c>
      <c r="P10" s="114">
        <v>16</v>
      </c>
      <c r="Q10" s="102">
        <v>-110.79999999999998</v>
      </c>
    </row>
    <row r="11" spans="1:17" x14ac:dyDescent="0.4">
      <c r="A11" s="52" t="s">
        <v>138</v>
      </c>
      <c r="B11" s="45">
        <v>2</v>
      </c>
      <c r="C11" s="38">
        <f t="shared" si="1"/>
        <v>4.2553191489361701E-2</v>
      </c>
      <c r="E11" s="59" t="s">
        <v>83</v>
      </c>
      <c r="F11" s="56" t="s">
        <v>38</v>
      </c>
      <c r="G11" s="44">
        <v>10</v>
      </c>
      <c r="H11" s="129">
        <f>IF(B$17=0,0,G11/B$17)</f>
        <v>9.0909090909090912E-2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-1.7142857142857133</v>
      </c>
      <c r="P11" s="115">
        <v>14</v>
      </c>
      <c r="Q11" s="103">
        <v>-23.999999999999986</v>
      </c>
    </row>
    <row r="12" spans="1:17" x14ac:dyDescent="0.4">
      <c r="A12" s="53" t="s">
        <v>158</v>
      </c>
      <c r="B12" s="46">
        <v>7</v>
      </c>
      <c r="C12" s="40">
        <f t="shared" si="1"/>
        <v>0.14893617021276595</v>
      </c>
      <c r="E12" s="59" t="s">
        <v>65</v>
      </c>
      <c r="F12" s="56" t="s">
        <v>21</v>
      </c>
      <c r="G12" s="44">
        <v>8</v>
      </c>
      <c r="H12" s="129">
        <f>IF(B$17=0,0,G12/B$17)</f>
        <v>7.2727272727272724E-2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63</v>
      </c>
      <c r="C13" s="42">
        <f>IF(B$3=0,0,B13/B$3)</f>
        <v>0.15217391304347827</v>
      </c>
      <c r="E13" s="59" t="s">
        <v>89</v>
      </c>
      <c r="F13" s="56" t="s">
        <v>44</v>
      </c>
      <c r="G13" s="44">
        <v>7</v>
      </c>
      <c r="H13" s="129">
        <f>IF(B$17=0,0,G13/B$17)</f>
        <v>6.363636363636363E-2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97</v>
      </c>
      <c r="C14" s="37">
        <f>IF(B$3=0,0,B14/B$3)</f>
        <v>0.23429951690821257</v>
      </c>
      <c r="E14" s="59" t="s">
        <v>81</v>
      </c>
      <c r="F14" s="56" t="s">
        <v>36</v>
      </c>
      <c r="G14" s="44">
        <v>4</v>
      </c>
      <c r="H14" s="129">
        <f>IF(B$17=0,0,G14/B$17)</f>
        <v>3.6363636363636362E-2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</v>
      </c>
      <c r="C15" s="35">
        <f>IF(B$13=0,0,B15/B$13)</f>
        <v>0.49206349206349204</v>
      </c>
      <c r="E15" s="59" t="s">
        <v>86</v>
      </c>
      <c r="F15" s="56" t="s">
        <v>41</v>
      </c>
      <c r="G15" s="44">
        <v>3</v>
      </c>
      <c r="H15" s="129">
        <f>IF(B$17=0,0,G15/B$17)</f>
        <v>2.7272727272727271E-2</v>
      </c>
      <c r="I15" s="90">
        <v>9</v>
      </c>
      <c r="K15" s="36">
        <v>13</v>
      </c>
      <c r="L15" s="95">
        <v>-66.2</v>
      </c>
      <c r="N15" s="110" t="s">
        <v>181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36</v>
      </c>
      <c r="C16" s="35">
        <f>IF(B$14=0,0,B16/B$14)</f>
        <v>0.37113402061855671</v>
      </c>
      <c r="E16" s="59" t="s">
        <v>91</v>
      </c>
      <c r="F16" s="56" t="s">
        <v>46</v>
      </c>
      <c r="G16" s="44">
        <v>3</v>
      </c>
      <c r="H16" s="129">
        <f>IF(B$17=0,0,G16/B$17)</f>
        <v>2.7272727272727271E-2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>IF(P16=0,0,Q16/P16)</f>
        <v>-0.24285714285714377</v>
      </c>
      <c r="P16" s="115">
        <v>21</v>
      </c>
      <c r="Q16" s="103">
        <v>-5.1000000000000192</v>
      </c>
    </row>
    <row r="17" spans="1:17" x14ac:dyDescent="0.4">
      <c r="A17" s="50" t="s">
        <v>10</v>
      </c>
      <c r="B17" s="43">
        <f>B19+B18</f>
        <v>110</v>
      </c>
      <c r="C17" s="35">
        <f>IF(B$3=0,0,B17/B$3)</f>
        <v>0.26570048309178745</v>
      </c>
      <c r="E17" s="59" t="s">
        <v>88</v>
      </c>
      <c r="F17" s="56" t="s">
        <v>43</v>
      </c>
      <c r="G17" s="44">
        <v>2</v>
      </c>
      <c r="H17" s="129">
        <f>IF(B$17=0,0,G17/B$17)</f>
        <v>1.8181818181818181E-2</v>
      </c>
      <c r="I17" s="90">
        <v>1</v>
      </c>
      <c r="K17" s="36">
        <v>15</v>
      </c>
      <c r="L17" s="95">
        <v>-65.2</v>
      </c>
      <c r="N17" s="111" t="s">
        <v>178</v>
      </c>
      <c r="O17" s="121">
        <f>IF(P17=0,0,Q17/P17)</f>
        <v>-4.7411764705882362</v>
      </c>
      <c r="P17" s="115">
        <v>17</v>
      </c>
      <c r="Q17" s="103">
        <v>-80.600000000000009</v>
      </c>
    </row>
    <row r="18" spans="1:17" x14ac:dyDescent="0.4">
      <c r="A18" s="51" t="s">
        <v>12</v>
      </c>
      <c r="B18" s="44">
        <v>47</v>
      </c>
      <c r="C18" s="37">
        <f>IF(B$17=0,0,B18/B$17)</f>
        <v>0.42727272727272725</v>
      </c>
      <c r="E18" s="59" t="s">
        <v>74</v>
      </c>
      <c r="F18" s="56" t="s">
        <v>29</v>
      </c>
      <c r="G18" s="44">
        <v>1</v>
      </c>
      <c r="H18" s="129">
        <f>IF(B$17=0,0,G18/B$17)</f>
        <v>9.0909090909090905E-3</v>
      </c>
      <c r="I18" s="90">
        <v>2</v>
      </c>
      <c r="K18" s="36">
        <v>16</v>
      </c>
      <c r="L18" s="95">
        <v>-70.600000000000009</v>
      </c>
      <c r="N18" s="111" t="s">
        <v>126</v>
      </c>
      <c r="O18" s="121">
        <f>IF(P18=0,0,Q18/P18)</f>
        <v>-5.5153846153846153</v>
      </c>
      <c r="P18" s="115">
        <v>26</v>
      </c>
      <c r="Q18" s="103">
        <v>-143.4</v>
      </c>
    </row>
    <row r="19" spans="1:17" x14ac:dyDescent="0.4">
      <c r="A19" s="51" t="s">
        <v>11</v>
      </c>
      <c r="B19" s="44">
        <v>63</v>
      </c>
      <c r="C19" s="37">
        <f>IF(B$17=0,0,B19/B$17)</f>
        <v>0.57272727272727275</v>
      </c>
      <c r="E19" s="59" t="s">
        <v>75</v>
      </c>
      <c r="F19" s="56" t="s">
        <v>30</v>
      </c>
      <c r="G19" s="44">
        <v>1</v>
      </c>
      <c r="H19" s="129">
        <f>IF(B$17=0,0,G19/B$17)</f>
        <v>9.0909090909090905E-3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61</v>
      </c>
      <c r="C20" s="37">
        <f>IF(B$3=0,0,B20/B$3)</f>
        <v>0.14734299516908211</v>
      </c>
      <c r="E20" s="59" t="s">
        <v>77</v>
      </c>
      <c r="F20" s="56" t="s">
        <v>32</v>
      </c>
      <c r="G20" s="44">
        <v>1</v>
      </c>
      <c r="H20" s="129">
        <f>IF(B$17=0,0,G20/B$17)</f>
        <v>9.0909090909090905E-3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>IF(P20=0,0,Q20/P20)</f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9.0909090909090905E-3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>IF(P21=0,0,Q21/P21)</f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32</v>
      </c>
      <c r="C22" s="131">
        <v>1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7146.363636363636</v>
      </c>
      <c r="C23" s="39">
        <v>786100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7493.2432432432433</v>
      </c>
      <c r="C24" s="137">
        <v>554500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6433.333333333333</v>
      </c>
      <c r="C25" s="137">
        <v>231600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-6840.9836065573772</v>
      </c>
      <c r="C26" s="137">
        <v>-417300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4.830917874396135E-3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1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113</v>
      </c>
      <c r="C2" s="149"/>
      <c r="E2" s="58" t="s">
        <v>66</v>
      </c>
      <c r="F2" s="55" t="s">
        <v>22</v>
      </c>
      <c r="G2" s="43">
        <v>209</v>
      </c>
      <c r="H2" s="128">
        <f>IF(B$17=0,0,G2/B$17)</f>
        <v>0.66773162939297126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1375.8928571428571</v>
      </c>
      <c r="P2" s="114">
        <v>112</v>
      </c>
      <c r="Q2" s="98">
        <v>154100</v>
      </c>
    </row>
    <row r="3" spans="1:17" x14ac:dyDescent="0.4">
      <c r="A3" s="51" t="s">
        <v>8</v>
      </c>
      <c r="B3" s="150">
        <v>911</v>
      </c>
      <c r="C3" s="151"/>
      <c r="E3" s="59" t="s">
        <v>72</v>
      </c>
      <c r="F3" s="56" t="s">
        <v>27</v>
      </c>
      <c r="G3" s="44">
        <v>152</v>
      </c>
      <c r="H3" s="129">
        <f>IF(B$17=0,0,G3/B$17)</f>
        <v>0.48562300319488816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496.33027522935782</v>
      </c>
      <c r="P3" s="115">
        <v>109</v>
      </c>
      <c r="Q3" s="99">
        <v>54100</v>
      </c>
    </row>
    <row r="4" spans="1:17" x14ac:dyDescent="0.4">
      <c r="A4" s="51" t="s">
        <v>6</v>
      </c>
      <c r="B4" s="152">
        <v>1038.3999999999999</v>
      </c>
      <c r="C4" s="153"/>
      <c r="E4" s="59" t="s">
        <v>64</v>
      </c>
      <c r="F4" s="56" t="s">
        <v>20</v>
      </c>
      <c r="G4" s="44">
        <v>139</v>
      </c>
      <c r="H4" s="129">
        <f>IF(B$17=0,0,G4/B$17)</f>
        <v>0.44408945686900958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753.33333333333337</v>
      </c>
      <c r="P4" s="115">
        <v>105</v>
      </c>
      <c r="Q4" s="99">
        <v>79100</v>
      </c>
    </row>
    <row r="5" spans="1:17" x14ac:dyDescent="0.4">
      <c r="A5" s="51" t="s">
        <v>7</v>
      </c>
      <c r="B5" s="154">
        <f>IF(B$2=0,0,B$4/B$2)</f>
        <v>9.18938053097345</v>
      </c>
      <c r="C5" s="155"/>
      <c r="E5" s="59" t="s">
        <v>171</v>
      </c>
      <c r="F5" s="56" t="s">
        <v>172</v>
      </c>
      <c r="G5" s="44">
        <v>122</v>
      </c>
      <c r="H5" s="129">
        <f>IF(B$17=0,0,G5/B$17)</f>
        <v>0.38977635782747605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448.95833333333331</v>
      </c>
      <c r="P5" s="115">
        <v>96</v>
      </c>
      <c r="Q5" s="99">
        <v>43100</v>
      </c>
    </row>
    <row r="6" spans="1:17" x14ac:dyDescent="0.4">
      <c r="A6" s="51" t="s">
        <v>1</v>
      </c>
      <c r="B6" s="144">
        <f>IF(B$2=0,0,(B$7*1+B$8*2+B$9*3)/B$2)</f>
        <v>1.7787610619469028</v>
      </c>
      <c r="C6" s="145"/>
      <c r="E6" s="59" t="s">
        <v>68</v>
      </c>
      <c r="F6" s="56" t="s">
        <v>12</v>
      </c>
      <c r="G6" s="44">
        <v>93</v>
      </c>
      <c r="H6" s="129">
        <f>IF(B$17=0,0,G6/B$17)</f>
        <v>0.29712460063897761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2360.674157303371</v>
      </c>
      <c r="P6" s="115">
        <v>89</v>
      </c>
      <c r="Q6" s="99">
        <v>210100</v>
      </c>
    </row>
    <row r="7" spans="1:17" x14ac:dyDescent="0.4">
      <c r="A7" s="51" t="s">
        <v>2</v>
      </c>
      <c r="B7" s="44">
        <v>53</v>
      </c>
      <c r="C7" s="37">
        <f t="shared" ref="C7:C12" si="1">IF(B$2=0,0,B7/B$2)</f>
        <v>0.46902654867256638</v>
      </c>
      <c r="E7" s="59" t="s">
        <v>67</v>
      </c>
      <c r="F7" s="56" t="s">
        <v>23</v>
      </c>
      <c r="G7" s="44">
        <v>75</v>
      </c>
      <c r="H7" s="129">
        <f>IF(B$17=0,0,G7/B$17)</f>
        <v>0.23961661341853036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3035.6164383561645</v>
      </c>
      <c r="P7" s="116">
        <v>73</v>
      </c>
      <c r="Q7" s="100">
        <v>221600</v>
      </c>
    </row>
    <row r="8" spans="1:17" x14ac:dyDescent="0.4">
      <c r="A8" s="51" t="s">
        <v>3</v>
      </c>
      <c r="B8" s="44">
        <v>32</v>
      </c>
      <c r="C8" s="37">
        <f t="shared" si="1"/>
        <v>0.2831858407079646</v>
      </c>
      <c r="E8" s="59" t="s">
        <v>69</v>
      </c>
      <c r="F8" s="56" t="s">
        <v>24</v>
      </c>
      <c r="G8" s="44">
        <v>49</v>
      </c>
      <c r="H8" s="129">
        <f>IF(B$17=0,0,G8/B$17)</f>
        <v>0.15654952076677317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0.24778761061946902</v>
      </c>
      <c r="E9" s="59" t="s">
        <v>89</v>
      </c>
      <c r="F9" s="56" t="s">
        <v>44</v>
      </c>
      <c r="G9" s="44">
        <v>47</v>
      </c>
      <c r="H9" s="129">
        <f>IF(B$17=0,0,G9/B$17)</f>
        <v>0.15015974440894569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4.4247787610619468E-2</v>
      </c>
      <c r="E10" s="59" t="s">
        <v>65</v>
      </c>
      <c r="F10" s="56" t="s">
        <v>21</v>
      </c>
      <c r="G10" s="44">
        <v>35</v>
      </c>
      <c r="H10" s="129">
        <f>IF(B$17=0,0,G10/B$17)</f>
        <v>0.11182108626198083</v>
      </c>
      <c r="I10" s="90">
        <v>5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0.13274336283185842</v>
      </c>
      <c r="E11" s="59" t="s">
        <v>71</v>
      </c>
      <c r="F11" s="56" t="s">
        <v>26</v>
      </c>
      <c r="G11" s="44">
        <v>23</v>
      </c>
      <c r="H11" s="129">
        <f>IF(B$17=0,0,G11/B$17)</f>
        <v>7.3482428115015971E-2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5.4317073170731716</v>
      </c>
      <c r="P11" s="115">
        <v>41</v>
      </c>
      <c r="Q11" s="103">
        <v>222.70000000000002</v>
      </c>
    </row>
    <row r="12" spans="1:17" x14ac:dyDescent="0.4">
      <c r="A12" s="53" t="s">
        <v>158</v>
      </c>
      <c r="B12" s="46">
        <v>13</v>
      </c>
      <c r="C12" s="40">
        <f t="shared" si="1"/>
        <v>0.11504424778761062</v>
      </c>
      <c r="E12" s="59" t="s">
        <v>86</v>
      </c>
      <c r="F12" s="56" t="s">
        <v>41</v>
      </c>
      <c r="G12" s="44">
        <v>18</v>
      </c>
      <c r="H12" s="129">
        <f>IF(B$17=0,0,G12/B$17)</f>
        <v>5.7507987220447282E-2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11.134210526315787</v>
      </c>
      <c r="P12" s="116">
        <v>38</v>
      </c>
      <c r="Q12" s="104">
        <v>423.09999999999991</v>
      </c>
    </row>
    <row r="13" spans="1:17" x14ac:dyDescent="0.4">
      <c r="A13" s="54" t="s">
        <v>121</v>
      </c>
      <c r="B13" s="47">
        <v>244</v>
      </c>
      <c r="C13" s="42">
        <f>IF(B$3=0,0,B13/B$3)</f>
        <v>0.26783754116355651</v>
      </c>
      <c r="E13" s="59" t="s">
        <v>70</v>
      </c>
      <c r="F13" s="56" t="s">
        <v>25</v>
      </c>
      <c r="G13" s="44">
        <v>17</v>
      </c>
      <c r="H13" s="129">
        <f>IF(B$17=0,0,G13/B$17)</f>
        <v>5.4313099041533544E-2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204</v>
      </c>
      <c r="C14" s="37">
        <f>IF(B$3=0,0,B14/B$3)</f>
        <v>0.2239297475301866</v>
      </c>
      <c r="E14" s="59" t="s">
        <v>83</v>
      </c>
      <c r="F14" s="56" t="s">
        <v>38</v>
      </c>
      <c r="G14" s="44">
        <v>14</v>
      </c>
      <c r="H14" s="129">
        <f>IF(B$17=0,0,G14/B$17)</f>
        <v>4.472843450479233E-2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148</v>
      </c>
      <c r="C15" s="35">
        <f>IF(B$13=0,0,B15/B$13)</f>
        <v>0.60655737704918034</v>
      </c>
      <c r="E15" s="59" t="s">
        <v>78</v>
      </c>
      <c r="F15" s="56" t="s">
        <v>33</v>
      </c>
      <c r="G15" s="44">
        <v>13</v>
      </c>
      <c r="H15" s="129">
        <f>IF(B$17=0,0,G15/B$17)</f>
        <v>4.1533546325878593E-2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41.585714285714289</v>
      </c>
      <c r="P15" s="114">
        <v>7</v>
      </c>
      <c r="Q15" s="102">
        <v>291.10000000000002</v>
      </c>
    </row>
    <row r="16" spans="1:17" x14ac:dyDescent="0.4">
      <c r="A16" s="50" t="s">
        <v>124</v>
      </c>
      <c r="B16" s="43">
        <v>99</v>
      </c>
      <c r="C16" s="35">
        <f>IF(B$14=0,0,B16/B$14)</f>
        <v>0.48529411764705882</v>
      </c>
      <c r="E16" s="59" t="s">
        <v>167</v>
      </c>
      <c r="F16" s="56" t="s">
        <v>168</v>
      </c>
      <c r="G16" s="44">
        <v>12</v>
      </c>
      <c r="H16" s="129">
        <f>IF(B$17=0,0,G16/B$17)</f>
        <v>3.8338658146964855E-2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28.291666666666661</v>
      </c>
      <c r="P16" s="115">
        <v>12</v>
      </c>
      <c r="Q16" s="103">
        <v>339.49999999999994</v>
      </c>
    </row>
    <row r="17" spans="1:17" x14ac:dyDescent="0.4">
      <c r="A17" s="50" t="s">
        <v>10</v>
      </c>
      <c r="B17" s="43">
        <f>B19+B18</f>
        <v>313</v>
      </c>
      <c r="C17" s="35">
        <f>IF(B$3=0,0,B17/B$3)</f>
        <v>0.34357848518111966</v>
      </c>
      <c r="E17" s="59" t="s">
        <v>77</v>
      </c>
      <c r="F17" s="56" t="s">
        <v>32</v>
      </c>
      <c r="G17" s="44">
        <v>3</v>
      </c>
      <c r="H17" s="129">
        <f>IF(B$17=0,0,G17/B$17)</f>
        <v>9.5846645367412137E-3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16.932558139534887</v>
      </c>
      <c r="P17" s="115">
        <v>43</v>
      </c>
      <c r="Q17" s="103">
        <v>728.10000000000014</v>
      </c>
    </row>
    <row r="18" spans="1:17" x14ac:dyDescent="0.4">
      <c r="A18" s="51" t="s">
        <v>12</v>
      </c>
      <c r="B18" s="44">
        <v>135</v>
      </c>
      <c r="C18" s="37">
        <f>IF(B$17=0,0,B18/B$17)</f>
        <v>0.43130990415335463</v>
      </c>
      <c r="E18" s="59" t="s">
        <v>84</v>
      </c>
      <c r="F18" s="56" t="s">
        <v>39</v>
      </c>
      <c r="G18" s="44">
        <v>3</v>
      </c>
      <c r="H18" s="129">
        <f>IF(B$17=0,0,G18/B$17)</f>
        <v>9.5846645367412137E-3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16.583720930232563</v>
      </c>
      <c r="P18" s="115">
        <v>43</v>
      </c>
      <c r="Q18" s="103">
        <v>713.10000000000014</v>
      </c>
    </row>
    <row r="19" spans="1:17" x14ac:dyDescent="0.4">
      <c r="A19" s="51" t="s">
        <v>11</v>
      </c>
      <c r="B19" s="44">
        <v>178</v>
      </c>
      <c r="C19" s="37">
        <f>IF(B$17=0,0,B19/B$17)</f>
        <v>0.56869009584664532</v>
      </c>
      <c r="E19" s="59" t="s">
        <v>92</v>
      </c>
      <c r="F19" s="56" t="s">
        <v>47</v>
      </c>
      <c r="G19" s="44">
        <v>3</v>
      </c>
      <c r="H19" s="129">
        <f>IF(B$17=0,0,G19/B$17)</f>
        <v>9.5846645367412137E-3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16.008450704225346</v>
      </c>
      <c r="P19" s="115">
        <v>71</v>
      </c>
      <c r="Q19" s="103">
        <v>1136.5999999999997</v>
      </c>
    </row>
    <row r="20" spans="1:17" x14ac:dyDescent="0.4">
      <c r="A20" s="51" t="s">
        <v>13</v>
      </c>
      <c r="B20" s="44">
        <v>116</v>
      </c>
      <c r="C20" s="37">
        <f>IF(B$3=0,0,B20/B$3)</f>
        <v>0.12733260153677278</v>
      </c>
      <c r="E20" s="59" t="s">
        <v>75</v>
      </c>
      <c r="F20" s="56" t="s">
        <v>30</v>
      </c>
      <c r="G20" s="44">
        <v>2</v>
      </c>
      <c r="H20" s="129">
        <f>IF(B$17=0,0,G20/B$17)</f>
        <v>6.3897763578274758E-3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5.5153846153846144</v>
      </c>
      <c r="P20" s="115">
        <v>26</v>
      </c>
      <c r="Q20" s="103">
        <v>143.39999999999998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79</v>
      </c>
      <c r="F21" s="56" t="s">
        <v>34</v>
      </c>
      <c r="G21" s="44">
        <v>2</v>
      </c>
      <c r="H21" s="129">
        <f>IF(B$17=0,0,G21/B$17)</f>
        <v>6.3897763578274758E-3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>IF(P21=0,0,Q21/P21)</f>
        <v>-7.2217391304347833</v>
      </c>
      <c r="P21" s="115">
        <v>23</v>
      </c>
      <c r="Q21" s="103">
        <v>-166.10000000000002</v>
      </c>
    </row>
    <row r="22" spans="1:17" x14ac:dyDescent="0.4">
      <c r="A22" s="51" t="s">
        <v>170</v>
      </c>
      <c r="B22" s="44">
        <v>43</v>
      </c>
      <c r="C22" s="131">
        <v>7</v>
      </c>
      <c r="E22" s="59" t="s">
        <v>85</v>
      </c>
      <c r="F22" s="56" t="s">
        <v>40</v>
      </c>
      <c r="G22" s="44">
        <v>2</v>
      </c>
      <c r="H22" s="129">
        <f>IF(B$17=0,0,G22/B$17)</f>
        <v>6.3897763578274758E-3</v>
      </c>
      <c r="I22" s="90">
        <v>3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8231.3099041533551</v>
      </c>
      <c r="C23" s="39">
        <v>2576400</v>
      </c>
      <c r="E23" s="59" t="s">
        <v>88</v>
      </c>
      <c r="F23" s="56" t="s">
        <v>43</v>
      </c>
      <c r="G23" s="44">
        <v>2</v>
      </c>
      <c r="H23" s="129">
        <f>IF(B$17=0,0,G23/B$17)</f>
        <v>6.3897763578274758E-3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8351.8691588785041</v>
      </c>
      <c r="C24" s="137">
        <v>1787300</v>
      </c>
      <c r="E24" s="59" t="s">
        <v>91</v>
      </c>
      <c r="F24" s="56" t="s">
        <v>46</v>
      </c>
      <c r="G24" s="44">
        <v>2</v>
      </c>
      <c r="H24" s="129">
        <f>IF(B$17=0,0,G24/B$17)</f>
        <v>6.3897763578274758E-3</v>
      </c>
      <c r="I24" s="90">
        <v>6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7970.7070707070707</v>
      </c>
      <c r="C25" s="137">
        <v>789100</v>
      </c>
      <c r="E25" s="59" t="s">
        <v>74</v>
      </c>
      <c r="F25" s="56" t="s">
        <v>29</v>
      </c>
      <c r="G25" s="44">
        <v>1</v>
      </c>
      <c r="H25" s="129">
        <f>IF(B$17=0,0,G25/B$17)</f>
        <v>3.1948881789137379E-3</v>
      </c>
      <c r="I25" s="90">
        <v>6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-7766.3793103448279</v>
      </c>
      <c r="C26" s="137">
        <v>-900900</v>
      </c>
      <c r="E26" s="59" t="s">
        <v>81</v>
      </c>
      <c r="F26" s="56" t="s">
        <v>36</v>
      </c>
      <c r="G26" s="44">
        <v>1</v>
      </c>
      <c r="H26" s="129">
        <f>IF(B$17=0,0,G26/B$17)</f>
        <v>3.1948881789137379E-3</v>
      </c>
      <c r="I26" s="90">
        <v>9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3.1948881789137379E-3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3.1948881789137379E-3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1.0976948408342481E-3</v>
      </c>
      <c r="E29" s="59" t="s">
        <v>106</v>
      </c>
      <c r="F29" s="56" t="s">
        <v>113</v>
      </c>
      <c r="G29" s="44">
        <v>1</v>
      </c>
      <c r="H29" s="129">
        <f>IF(B$17=0,0,G29/B$17)</f>
        <v>3.1948881789137379E-3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0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102</v>
      </c>
      <c r="C2" s="149"/>
      <c r="E2" s="58" t="s">
        <v>66</v>
      </c>
      <c r="F2" s="55" t="s">
        <v>22</v>
      </c>
      <c r="G2" s="43">
        <v>232</v>
      </c>
      <c r="H2" s="128">
        <f>IF(B$17=0,0,G2/B$17)</f>
        <v>0.90625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-1956.4356435643565</v>
      </c>
      <c r="P2" s="114">
        <v>101</v>
      </c>
      <c r="Q2" s="98">
        <v>-197600</v>
      </c>
    </row>
    <row r="3" spans="1:17" x14ac:dyDescent="0.4">
      <c r="A3" s="51" t="s">
        <v>8</v>
      </c>
      <c r="B3" s="150">
        <v>856</v>
      </c>
      <c r="C3" s="151"/>
      <c r="E3" s="59" t="s">
        <v>72</v>
      </c>
      <c r="F3" s="56" t="s">
        <v>27</v>
      </c>
      <c r="G3" s="44">
        <v>149</v>
      </c>
      <c r="H3" s="129">
        <f>IF(B$17=0,0,G3/B$17)</f>
        <v>0.58203125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1178.7878787878788</v>
      </c>
      <c r="P3" s="115">
        <v>99</v>
      </c>
      <c r="Q3" s="99">
        <v>116700</v>
      </c>
    </row>
    <row r="4" spans="1:17" x14ac:dyDescent="0.4">
      <c r="A4" s="51" t="s">
        <v>6</v>
      </c>
      <c r="B4" s="152">
        <v>-56.500000000000213</v>
      </c>
      <c r="C4" s="153"/>
      <c r="E4" s="59" t="s">
        <v>171</v>
      </c>
      <c r="F4" s="56" t="s">
        <v>172</v>
      </c>
      <c r="G4" s="44">
        <v>107</v>
      </c>
      <c r="H4" s="129">
        <f>IF(B$17=0,0,G4/B$17)</f>
        <v>0.41796875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260.21505376344084</v>
      </c>
      <c r="P4" s="115">
        <v>93</v>
      </c>
      <c r="Q4" s="99">
        <v>24200</v>
      </c>
    </row>
    <row r="5" spans="1:17" x14ac:dyDescent="0.4">
      <c r="A5" s="51" t="s">
        <v>7</v>
      </c>
      <c r="B5" s="154">
        <f>IF(B$2=0,0,B$4/B$2)</f>
        <v>-0.55392156862745312</v>
      </c>
      <c r="C5" s="155"/>
      <c r="E5" s="59" t="s">
        <v>64</v>
      </c>
      <c r="F5" s="56" t="s">
        <v>20</v>
      </c>
      <c r="G5" s="44">
        <v>101</v>
      </c>
      <c r="H5" s="129">
        <f>IF(B$17=0,0,G5/B$17)</f>
        <v>0.39453125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666.66666666666663</v>
      </c>
      <c r="P5" s="115">
        <v>87</v>
      </c>
      <c r="Q5" s="99">
        <v>58000</v>
      </c>
    </row>
    <row r="6" spans="1:17" x14ac:dyDescent="0.4">
      <c r="A6" s="51" t="s">
        <v>1</v>
      </c>
      <c r="B6" s="144">
        <f>IF(B$2=0,0,(B$7*1+B$8*2+B$9*3)/B$2)</f>
        <v>1.9901960784313726</v>
      </c>
      <c r="C6" s="145"/>
      <c r="E6" s="59" t="s">
        <v>68</v>
      </c>
      <c r="F6" s="56" t="s">
        <v>12</v>
      </c>
      <c r="G6" s="44">
        <v>70</v>
      </c>
      <c r="H6" s="129">
        <f>IF(B$17=0,0,G6/B$17)</f>
        <v>0.2734375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-1180</v>
      </c>
      <c r="P6" s="115">
        <v>80</v>
      </c>
      <c r="Q6" s="99">
        <v>-94400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0.34313725490196079</v>
      </c>
      <c r="E7" s="59" t="s">
        <v>67</v>
      </c>
      <c r="F7" s="56" t="s">
        <v>23</v>
      </c>
      <c r="G7" s="44">
        <v>53</v>
      </c>
      <c r="H7" s="129">
        <f>IF(B$17=0,0,G7/B$17)</f>
        <v>0.20703125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1248.5294117647059</v>
      </c>
      <c r="P7" s="116">
        <v>68</v>
      </c>
      <c r="Q7" s="100">
        <v>84900</v>
      </c>
    </row>
    <row r="8" spans="1:17" x14ac:dyDescent="0.4">
      <c r="A8" s="51" t="s">
        <v>3</v>
      </c>
      <c r="B8" s="44">
        <v>33</v>
      </c>
      <c r="C8" s="37">
        <f t="shared" si="1"/>
        <v>0.3235294117647059</v>
      </c>
      <c r="E8" s="59" t="s">
        <v>89</v>
      </c>
      <c r="F8" s="56" t="s">
        <v>44</v>
      </c>
      <c r="G8" s="44">
        <v>32</v>
      </c>
      <c r="H8" s="129">
        <f>IF(B$17=0,0,G8/B$17)</f>
        <v>0.125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0.33333333333333331</v>
      </c>
      <c r="E9" s="59" t="s">
        <v>69</v>
      </c>
      <c r="F9" s="56" t="s">
        <v>24</v>
      </c>
      <c r="G9" s="44">
        <v>30</v>
      </c>
      <c r="H9" s="129">
        <f>IF(B$17=0,0,G9/B$17)</f>
        <v>0.1171875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0.14705882352941177</v>
      </c>
      <c r="E10" s="59" t="s">
        <v>65</v>
      </c>
      <c r="F10" s="56" t="s">
        <v>21</v>
      </c>
      <c r="G10" s="44">
        <v>25</v>
      </c>
      <c r="H10" s="129">
        <f>IF(B$17=0,0,G10/B$17)</f>
        <v>9.765625E-2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1.2375000000000009</v>
      </c>
      <c r="P10" s="114">
        <v>24</v>
      </c>
      <c r="Q10" s="102">
        <v>29.700000000000024</v>
      </c>
    </row>
    <row r="11" spans="1:17" x14ac:dyDescent="0.4">
      <c r="A11" s="52" t="s">
        <v>138</v>
      </c>
      <c r="B11" s="45">
        <v>10</v>
      </c>
      <c r="C11" s="38">
        <f t="shared" si="1"/>
        <v>9.8039215686274508E-2</v>
      </c>
      <c r="E11" s="59" t="s">
        <v>70</v>
      </c>
      <c r="F11" s="56" t="s">
        <v>25</v>
      </c>
      <c r="G11" s="44">
        <v>22</v>
      </c>
      <c r="H11" s="129">
        <f>IF(B$17=0,0,G11/B$17)</f>
        <v>8.59375E-2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3.8645161290322592</v>
      </c>
      <c r="P11" s="115">
        <v>31</v>
      </c>
      <c r="Q11" s="103">
        <v>119.80000000000004</v>
      </c>
    </row>
    <row r="12" spans="1:17" x14ac:dyDescent="0.4">
      <c r="A12" s="53" t="s">
        <v>158</v>
      </c>
      <c r="B12" s="46">
        <v>17</v>
      </c>
      <c r="C12" s="40">
        <f t="shared" si="1"/>
        <v>0.16666666666666666</v>
      </c>
      <c r="E12" s="59" t="s">
        <v>71</v>
      </c>
      <c r="F12" s="56" t="s">
        <v>26</v>
      </c>
      <c r="G12" s="44">
        <v>22</v>
      </c>
      <c r="H12" s="129">
        <f>IF(B$17=0,0,G12/B$17)</f>
        <v>8.59375E-2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201</v>
      </c>
      <c r="C13" s="42">
        <f>IF(B$3=0,0,B13/B$3)</f>
        <v>0.23481308411214954</v>
      </c>
      <c r="E13" s="59" t="s">
        <v>86</v>
      </c>
      <c r="F13" s="56" t="s">
        <v>41</v>
      </c>
      <c r="G13" s="44">
        <v>18</v>
      </c>
      <c r="H13" s="129">
        <f>IF(B$17=0,0,G13/B$17)</f>
        <v>7.03125E-2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260</v>
      </c>
      <c r="C14" s="37">
        <f>IF(B$3=0,0,B14/B$3)</f>
        <v>0.30373831775700932</v>
      </c>
      <c r="E14" s="59" t="s">
        <v>83</v>
      </c>
      <c r="F14" s="56" t="s">
        <v>38</v>
      </c>
      <c r="G14" s="44">
        <v>15</v>
      </c>
      <c r="H14" s="129">
        <f>IF(B$17=0,0,G14/B$17)</f>
        <v>5.859375E-2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102</v>
      </c>
      <c r="C15" s="35">
        <f>IF(B$13=0,0,B15/B$13)</f>
        <v>0.5074626865671642</v>
      </c>
      <c r="E15" s="59" t="s">
        <v>78</v>
      </c>
      <c r="F15" s="56" t="s">
        <v>33</v>
      </c>
      <c r="G15" s="44">
        <v>8</v>
      </c>
      <c r="H15" s="129">
        <f>IF(B$17=0,0,G15/B$17)</f>
        <v>3.125E-2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96</v>
      </c>
      <c r="C16" s="35">
        <f>IF(B$14=0,0,B16/B$14)</f>
        <v>0.36923076923076925</v>
      </c>
      <c r="E16" s="59" t="s">
        <v>91</v>
      </c>
      <c r="F16" s="56" t="s">
        <v>46</v>
      </c>
      <c r="G16" s="44">
        <v>8</v>
      </c>
      <c r="H16" s="129">
        <f>IF(B$17=0,0,G16/B$17)</f>
        <v>3.125E-2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 t="shared" si="2"/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256</v>
      </c>
      <c r="C17" s="35">
        <f>IF(B$3=0,0,B17/B$3)</f>
        <v>0.29906542056074764</v>
      </c>
      <c r="E17" s="59" t="s">
        <v>81</v>
      </c>
      <c r="F17" s="56" t="s">
        <v>36</v>
      </c>
      <c r="G17" s="44">
        <v>6</v>
      </c>
      <c r="H17" s="129">
        <f>IF(B$17=0,0,G17/B$17)</f>
        <v>2.34375E-2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100</v>
      </c>
      <c r="C18" s="37">
        <f>IF(B$17=0,0,B18/B$17)</f>
        <v>0.390625</v>
      </c>
      <c r="E18" s="59" t="s">
        <v>79</v>
      </c>
      <c r="F18" s="56" t="s">
        <v>34</v>
      </c>
      <c r="G18" s="44">
        <v>5</v>
      </c>
      <c r="H18" s="129">
        <f>IF(B$17=0,0,G18/B$17)</f>
        <v>1.953125E-2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 t="shared" si="2"/>
        <v>11.37096774193548</v>
      </c>
      <c r="P18" s="115">
        <v>31</v>
      </c>
      <c r="Q18" s="103">
        <v>352.49999999999989</v>
      </c>
    </row>
    <row r="19" spans="1:17" x14ac:dyDescent="0.4">
      <c r="A19" s="51" t="s">
        <v>11</v>
      </c>
      <c r="B19" s="44">
        <v>156</v>
      </c>
      <c r="C19" s="37">
        <f>IF(B$17=0,0,B19/B$17)</f>
        <v>0.609375</v>
      </c>
      <c r="E19" s="59" t="s">
        <v>167</v>
      </c>
      <c r="F19" s="56" t="s">
        <v>168</v>
      </c>
      <c r="G19" s="44">
        <v>3</v>
      </c>
      <c r="H19" s="129">
        <f>IF(B$17=0,0,G19/B$17)</f>
        <v>1.171875E-2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 t="shared" si="2"/>
        <v>7.6400000000000068</v>
      </c>
      <c r="P19" s="115">
        <v>25</v>
      </c>
      <c r="Q19" s="103">
        <v>191.00000000000017</v>
      </c>
    </row>
    <row r="20" spans="1:17" x14ac:dyDescent="0.4">
      <c r="A20" s="51" t="s">
        <v>13</v>
      </c>
      <c r="B20" s="44">
        <v>170</v>
      </c>
      <c r="C20" s="37">
        <f>IF(B$3=0,0,B20/B$3)</f>
        <v>0.19859813084112149</v>
      </c>
      <c r="E20" s="59" t="s">
        <v>74</v>
      </c>
      <c r="F20" s="56" t="s">
        <v>29</v>
      </c>
      <c r="G20" s="44">
        <v>2</v>
      </c>
      <c r="H20" s="129">
        <f>IF(B$17=0,0,G20/B$17)</f>
        <v>7.8125E-3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 t="shared" si="2"/>
        <v>0.24285714285714124</v>
      </c>
      <c r="P20" s="115">
        <v>21</v>
      </c>
      <c r="Q20" s="103">
        <v>5.0999999999999659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3.90625E-3</v>
      </c>
      <c r="I21" s="90">
        <v>8</v>
      </c>
      <c r="K21" s="36">
        <v>19</v>
      </c>
      <c r="L21" s="95">
        <v>-162.40000000000003</v>
      </c>
      <c r="N21" s="111" t="s">
        <v>178</v>
      </c>
      <c r="O21" s="121">
        <f t="shared" si="2"/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3</v>
      </c>
      <c r="E22" s="59" t="s">
        <v>77</v>
      </c>
      <c r="F22" s="56" t="s">
        <v>32</v>
      </c>
      <c r="G22" s="44">
        <v>1</v>
      </c>
      <c r="H22" s="129">
        <f>IF(B$17=0,0,G22/B$17)</f>
        <v>3.90625E-3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 t="shared" si="2"/>
        <v>-16.008450704225346</v>
      </c>
      <c r="P22" s="115">
        <v>71</v>
      </c>
      <c r="Q22" s="103">
        <v>-1136.5999999999997</v>
      </c>
    </row>
    <row r="23" spans="1:17" x14ac:dyDescent="0.4">
      <c r="A23" s="51" t="s">
        <v>5</v>
      </c>
      <c r="B23" s="48">
        <f>IF(B$17=0,0,C23/B$17)</f>
        <v>8584.765625</v>
      </c>
      <c r="C23" s="39">
        <v>2197700</v>
      </c>
      <c r="E23" s="59" t="s">
        <v>84</v>
      </c>
      <c r="F23" s="56" t="s">
        <v>39</v>
      </c>
      <c r="G23" s="44">
        <v>1</v>
      </c>
      <c r="H23" s="129">
        <f>IF(B$17=0,0,G23/B$17)</f>
        <v>3.90625E-3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8998.125</v>
      </c>
      <c r="C24" s="137">
        <v>1439700</v>
      </c>
      <c r="E24" s="59" t="s">
        <v>92</v>
      </c>
      <c r="F24" s="56" t="s">
        <v>47</v>
      </c>
      <c r="G24" s="44">
        <v>1</v>
      </c>
      <c r="H24" s="129">
        <f>IF(B$17=0,0,G24/B$17)</f>
        <v>3.90625E-3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7895.833333333333</v>
      </c>
      <c r="C25" s="137">
        <v>758000</v>
      </c>
      <c r="E25" s="59" t="s">
        <v>95</v>
      </c>
      <c r="F25" s="56" t="s">
        <v>50</v>
      </c>
      <c r="G25" s="44">
        <v>1</v>
      </c>
      <c r="H25" s="129">
        <f>IF(B$17=0,0,G25/B$17)</f>
        <v>3.90625E-3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-8178.8235294117649</v>
      </c>
      <c r="C26" s="137">
        <v>-1390400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3.5046728971962616E-3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</sheetData>
  <sortState xmlns:xlrd2="http://schemas.microsoft.com/office/spreadsheetml/2017/richdata2" ref="E2:I105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63</v>
      </c>
      <c r="C2" s="149"/>
      <c r="E2" s="58" t="s">
        <v>66</v>
      </c>
      <c r="F2" s="55" t="s">
        <v>22</v>
      </c>
      <c r="G2" s="43">
        <v>114</v>
      </c>
      <c r="H2" s="128">
        <f>IF(B$17=0,0,G2/B$17)</f>
        <v>0.77027027027027029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-391.93548387096774</v>
      </c>
      <c r="P2" s="114">
        <v>62</v>
      </c>
      <c r="Q2" s="98">
        <v>-24300</v>
      </c>
    </row>
    <row r="3" spans="1:17" x14ac:dyDescent="0.4">
      <c r="A3" s="51" t="s">
        <v>8</v>
      </c>
      <c r="B3" s="150">
        <v>528</v>
      </c>
      <c r="C3" s="151"/>
      <c r="E3" s="59" t="s">
        <v>64</v>
      </c>
      <c r="F3" s="56" t="s">
        <v>20</v>
      </c>
      <c r="G3" s="44">
        <v>88</v>
      </c>
      <c r="H3" s="129">
        <f>IF(B$17=0,0,G3/B$17)</f>
        <v>0.59459459459459463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-941.93548387096769</v>
      </c>
      <c r="P3" s="115">
        <v>62</v>
      </c>
      <c r="Q3" s="99">
        <v>-58400</v>
      </c>
    </row>
    <row r="4" spans="1:17" x14ac:dyDescent="0.4">
      <c r="A4" s="51" t="s">
        <v>6</v>
      </c>
      <c r="B4" s="152">
        <v>-457.29999999999995</v>
      </c>
      <c r="C4" s="153"/>
      <c r="E4" s="59" t="s">
        <v>72</v>
      </c>
      <c r="F4" s="56" t="s">
        <v>27</v>
      </c>
      <c r="G4" s="44">
        <v>74</v>
      </c>
      <c r="H4" s="129">
        <f>IF(B$17=0,0,G4/B$17)</f>
        <v>0.5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756.89655172413791</v>
      </c>
      <c r="P4" s="115">
        <v>58</v>
      </c>
      <c r="Q4" s="99">
        <v>43900</v>
      </c>
    </row>
    <row r="5" spans="1:17" x14ac:dyDescent="0.4">
      <c r="A5" s="51" t="s">
        <v>7</v>
      </c>
      <c r="B5" s="154">
        <f>IF(B$2=0,0,B$4/B$2)</f>
        <v>-7.2587301587301578</v>
      </c>
      <c r="C5" s="155"/>
      <c r="E5" s="59" t="s">
        <v>171</v>
      </c>
      <c r="F5" s="56" t="s">
        <v>172</v>
      </c>
      <c r="G5" s="44">
        <v>60</v>
      </c>
      <c r="H5" s="129">
        <f>IF(B$17=0,0,G5/B$17)</f>
        <v>0.40540540540540543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-1361.4035087719299</v>
      </c>
      <c r="P5" s="115">
        <v>57</v>
      </c>
      <c r="Q5" s="99">
        <v>-77600</v>
      </c>
    </row>
    <row r="6" spans="1:17" x14ac:dyDescent="0.4">
      <c r="A6" s="51" t="s">
        <v>1</v>
      </c>
      <c r="B6" s="144">
        <f>IF(B$2=0,0,(B$7*1+B$8*2+B$9*3)/B$2)</f>
        <v>2.1904761904761907</v>
      </c>
      <c r="C6" s="145"/>
      <c r="E6" s="59" t="s">
        <v>68</v>
      </c>
      <c r="F6" s="56" t="s">
        <v>12</v>
      </c>
      <c r="G6" s="44">
        <v>52</v>
      </c>
      <c r="H6" s="129">
        <f>IF(B$17=0,0,G6/B$17)</f>
        <v>0.35135135135135137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-3379.6296296296296</v>
      </c>
      <c r="P6" s="115">
        <v>54</v>
      </c>
      <c r="Q6" s="99">
        <v>-182500</v>
      </c>
    </row>
    <row r="7" spans="1:17" x14ac:dyDescent="0.4">
      <c r="A7" s="51" t="s">
        <v>2</v>
      </c>
      <c r="B7" s="44">
        <v>13</v>
      </c>
      <c r="C7" s="37">
        <f t="shared" ref="C7:C12" si="1">IF(B$2=0,0,B7/B$2)</f>
        <v>0.20634920634920634</v>
      </c>
      <c r="E7" s="59" t="s">
        <v>67</v>
      </c>
      <c r="F7" s="56" t="s">
        <v>23</v>
      </c>
      <c r="G7" s="44">
        <v>46</v>
      </c>
      <c r="H7" s="129">
        <f>IF(B$17=0,0,G7/B$17)</f>
        <v>0.3108108108108108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-1283.3333333333333</v>
      </c>
      <c r="P7" s="116">
        <v>48</v>
      </c>
      <c r="Q7" s="100">
        <v>-61600</v>
      </c>
    </row>
    <row r="8" spans="1:17" x14ac:dyDescent="0.4">
      <c r="A8" s="51" t="s">
        <v>3</v>
      </c>
      <c r="B8" s="44">
        <v>25</v>
      </c>
      <c r="C8" s="37">
        <f t="shared" si="1"/>
        <v>0.3968253968253968</v>
      </c>
      <c r="E8" s="59" t="s">
        <v>70</v>
      </c>
      <c r="F8" s="56" t="s">
        <v>25</v>
      </c>
      <c r="G8" s="44">
        <v>24</v>
      </c>
      <c r="H8" s="129">
        <f>IF(B$17=0,0,G8/B$17)</f>
        <v>0.16216216216216217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0.3968253968253968</v>
      </c>
      <c r="E9" s="59" t="s">
        <v>69</v>
      </c>
      <c r="F9" s="56" t="s">
        <v>24</v>
      </c>
      <c r="G9" s="44">
        <v>22</v>
      </c>
      <c r="H9" s="129">
        <f>IF(B$17=0,0,G9/B$17)</f>
        <v>0.14864864864864866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9.5238095238095233E-2</v>
      </c>
      <c r="E10" s="59" t="s">
        <v>65</v>
      </c>
      <c r="F10" s="56" t="s">
        <v>21</v>
      </c>
      <c r="G10" s="44">
        <v>17</v>
      </c>
      <c r="H10" s="129">
        <f>IF(B$17=0,0,G10/B$17)</f>
        <v>0.11486486486486487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-2.7916666666666679</v>
      </c>
      <c r="P10" s="114">
        <v>24</v>
      </c>
      <c r="Q10" s="102">
        <v>-67.000000000000028</v>
      </c>
    </row>
    <row r="11" spans="1:17" x14ac:dyDescent="0.4">
      <c r="A11" s="52" t="s">
        <v>138</v>
      </c>
      <c r="B11" s="45">
        <v>2</v>
      </c>
      <c r="C11" s="38">
        <f t="shared" si="1"/>
        <v>3.1746031746031744E-2</v>
      </c>
      <c r="E11" s="59" t="s">
        <v>89</v>
      </c>
      <c r="F11" s="56" t="s">
        <v>44</v>
      </c>
      <c r="G11" s="44">
        <v>14</v>
      </c>
      <c r="H11" s="129">
        <f>IF(B$17=0,0,G11/B$17)</f>
        <v>9.45945945945946E-2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7.9365079365079361E-2</v>
      </c>
      <c r="E12" s="59" t="s">
        <v>83</v>
      </c>
      <c r="F12" s="56" t="s">
        <v>38</v>
      </c>
      <c r="G12" s="44">
        <v>9</v>
      </c>
      <c r="H12" s="129">
        <f>IF(B$17=0,0,G12/B$17)</f>
        <v>6.0810810810810814E-2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-12.86315789473684</v>
      </c>
      <c r="P12" s="116">
        <v>19</v>
      </c>
      <c r="Q12" s="104">
        <v>-244.39999999999998</v>
      </c>
    </row>
    <row r="13" spans="1:17" x14ac:dyDescent="0.4">
      <c r="A13" s="54" t="s">
        <v>121</v>
      </c>
      <c r="B13" s="47">
        <v>154</v>
      </c>
      <c r="C13" s="42">
        <f>IF(B$3=0,0,B13/B$3)</f>
        <v>0.29166666666666669</v>
      </c>
      <c r="E13" s="59" t="s">
        <v>71</v>
      </c>
      <c r="F13" s="56" t="s">
        <v>26</v>
      </c>
      <c r="G13" s="44">
        <v>7</v>
      </c>
      <c r="H13" s="129">
        <f>IF(B$17=0,0,G13/B$17)</f>
        <v>4.72972972972973E-2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99</v>
      </c>
      <c r="C14" s="37">
        <f>IF(B$3=0,0,B14/B$3)</f>
        <v>0.1875</v>
      </c>
      <c r="E14" s="59" t="s">
        <v>78</v>
      </c>
      <c r="F14" s="56" t="s">
        <v>33</v>
      </c>
      <c r="G14" s="44">
        <v>6</v>
      </c>
      <c r="H14" s="129">
        <f>IF(B$17=0,0,G14/B$17)</f>
        <v>4.0540540540540543E-2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90</v>
      </c>
      <c r="C15" s="35">
        <f>IF(B$13=0,0,B15/B$13)</f>
        <v>0.58441558441558439</v>
      </c>
      <c r="E15" s="59" t="s">
        <v>86</v>
      </c>
      <c r="F15" s="56" t="s">
        <v>41</v>
      </c>
      <c r="G15" s="44">
        <v>4</v>
      </c>
      <c r="H15" s="129">
        <f>IF(B$17=0,0,G15/B$17)</f>
        <v>2.7027027027027029E-2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38</v>
      </c>
      <c r="C16" s="35">
        <f>IF(B$14=0,0,B16/B$14)</f>
        <v>0.38383838383838381</v>
      </c>
      <c r="E16" s="59" t="s">
        <v>81</v>
      </c>
      <c r="F16" s="56" t="s">
        <v>36</v>
      </c>
      <c r="G16" s="44">
        <v>3</v>
      </c>
      <c r="H16" s="129">
        <f>IF(B$17=0,0,G16/B$17)</f>
        <v>2.0270270270270271E-2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148</v>
      </c>
      <c r="C17" s="35">
        <f>IF(B$3=0,0,B17/B$3)</f>
        <v>0.28030303030303028</v>
      </c>
      <c r="E17" s="59" t="s">
        <v>167</v>
      </c>
      <c r="F17" s="56" t="s">
        <v>168</v>
      </c>
      <c r="G17" s="44">
        <v>3</v>
      </c>
      <c r="H17" s="129">
        <f>IF(B$17=0,0,G17/B$17)</f>
        <v>2.0270270270270271E-2</v>
      </c>
      <c r="I17" s="90">
        <v>4</v>
      </c>
      <c r="K17" s="36">
        <v>15</v>
      </c>
      <c r="L17" s="95">
        <v>-221.5</v>
      </c>
      <c r="N17" s="111" t="s">
        <v>181</v>
      </c>
      <c r="O17" s="121">
        <f t="shared" si="2"/>
        <v>-5.2999999999999989</v>
      </c>
      <c r="P17" s="115">
        <v>9</v>
      </c>
      <c r="Q17" s="103">
        <v>-47.699999999999989</v>
      </c>
    </row>
    <row r="18" spans="1:17" x14ac:dyDescent="0.4">
      <c r="A18" s="51" t="s">
        <v>12</v>
      </c>
      <c r="B18" s="44">
        <v>67</v>
      </c>
      <c r="C18" s="37">
        <f>IF(B$17=0,0,B18/B$17)</f>
        <v>0.45270270270270269</v>
      </c>
      <c r="E18" s="59" t="s">
        <v>75</v>
      </c>
      <c r="F18" s="56" t="s">
        <v>30</v>
      </c>
      <c r="G18" s="44">
        <v>2</v>
      </c>
      <c r="H18" s="129">
        <f>IF(B$17=0,0,G18/B$17)</f>
        <v>1.3513513513513514E-2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 t="shared" si="2"/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81</v>
      </c>
      <c r="C19" s="37">
        <f>IF(B$17=0,0,B19/B$17)</f>
        <v>0.54729729729729726</v>
      </c>
      <c r="E19" s="59" t="s">
        <v>79</v>
      </c>
      <c r="F19" s="56" t="s">
        <v>34</v>
      </c>
      <c r="G19" s="44">
        <v>2</v>
      </c>
      <c r="H19" s="129">
        <f>IF(B$17=0,0,G19/B$17)</f>
        <v>1.3513513513513514E-2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 t="shared" si="2"/>
        <v>-11.37096774193548</v>
      </c>
      <c r="P19" s="115">
        <v>31</v>
      </c>
      <c r="Q19" s="103">
        <v>-352.49999999999989</v>
      </c>
    </row>
    <row r="20" spans="1:17" x14ac:dyDescent="0.4">
      <c r="A20" s="51" t="s">
        <v>13</v>
      </c>
      <c r="B20" s="44">
        <v>110</v>
      </c>
      <c r="C20" s="37">
        <f>IF(B$3=0,0,B20/B$3)</f>
        <v>0.20833333333333334</v>
      </c>
      <c r="E20" s="59" t="s">
        <v>91</v>
      </c>
      <c r="F20" s="56" t="s">
        <v>46</v>
      </c>
      <c r="G20" s="44">
        <v>1</v>
      </c>
      <c r="H20" s="129">
        <f>IF(B$17=0,0,G20/B$17)</f>
        <v>6.7567567567567571E-3</v>
      </c>
      <c r="I20" s="90">
        <v>5</v>
      </c>
      <c r="K20" s="36">
        <v>18</v>
      </c>
      <c r="L20" s="95">
        <v>-240</v>
      </c>
      <c r="N20" s="111" t="s">
        <v>178</v>
      </c>
      <c r="O20" s="121">
        <f t="shared" si="2"/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-16.932558139534891</v>
      </c>
      <c r="P21" s="115">
        <v>43</v>
      </c>
      <c r="Q21" s="103">
        <v>-728.10000000000025</v>
      </c>
    </row>
    <row r="22" spans="1:17" x14ac:dyDescent="0.4">
      <c r="A22" s="51" t="s">
        <v>170</v>
      </c>
      <c r="B22" s="44">
        <v>21</v>
      </c>
      <c r="C22" s="131">
        <v>10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8081.0810810810808</v>
      </c>
      <c r="C23" s="39">
        <v>1196000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8590.9090909090901</v>
      </c>
      <c r="C24" s="137">
        <v>945000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6605.2631578947367</v>
      </c>
      <c r="C25" s="137">
        <v>251000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-7611.818181818182</v>
      </c>
      <c r="C26" s="137">
        <v>-837300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5.681818181818182E-3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</sheetData>
  <sortState xmlns:xlrd2="http://schemas.microsoft.com/office/spreadsheetml/2017/richdata2" ref="E2:I6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6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58</v>
      </c>
      <c r="C2" s="149"/>
      <c r="E2" s="58" t="s">
        <v>66</v>
      </c>
      <c r="F2" s="55" t="s">
        <v>22</v>
      </c>
      <c r="G2" s="43">
        <v>113</v>
      </c>
      <c r="H2" s="128">
        <f>IF(B$17=0,0,G2/B$17)</f>
        <v>0.8188405797101449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2300</v>
      </c>
      <c r="P2" s="114">
        <v>58</v>
      </c>
      <c r="Q2" s="98">
        <v>133400</v>
      </c>
    </row>
    <row r="3" spans="1:17" x14ac:dyDescent="0.4">
      <c r="A3" s="51" t="s">
        <v>8</v>
      </c>
      <c r="B3" s="150">
        <v>465</v>
      </c>
      <c r="C3" s="151"/>
      <c r="E3" s="59" t="s">
        <v>72</v>
      </c>
      <c r="F3" s="56" t="s">
        <v>27</v>
      </c>
      <c r="G3" s="44">
        <v>77</v>
      </c>
      <c r="H3" s="129">
        <f>IF(B$17=0,0,G3/B$17)</f>
        <v>0.55797101449275366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-2180.3571428571427</v>
      </c>
      <c r="P3" s="115">
        <v>56</v>
      </c>
      <c r="Q3" s="99">
        <v>-122100</v>
      </c>
    </row>
    <row r="4" spans="1:17" x14ac:dyDescent="0.4">
      <c r="A4" s="51" t="s">
        <v>6</v>
      </c>
      <c r="B4" s="152">
        <v>308.80000000000007</v>
      </c>
      <c r="C4" s="153"/>
      <c r="E4" s="59" t="s">
        <v>64</v>
      </c>
      <c r="F4" s="56" t="s">
        <v>20</v>
      </c>
      <c r="G4" s="44">
        <v>72</v>
      </c>
      <c r="H4" s="129">
        <f>IF(B$17=0,0,G4/B$17)</f>
        <v>0.52173913043478259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1734.6153846153845</v>
      </c>
      <c r="P4" s="115">
        <v>52</v>
      </c>
      <c r="Q4" s="99">
        <v>90200</v>
      </c>
    </row>
    <row r="5" spans="1:17" x14ac:dyDescent="0.4">
      <c r="A5" s="51" t="s">
        <v>7</v>
      </c>
      <c r="B5" s="154">
        <f>IF(B$2=0,0,B$4/B$2)</f>
        <v>5.3241379310344836</v>
      </c>
      <c r="C5" s="155"/>
      <c r="E5" s="59" t="s">
        <v>67</v>
      </c>
      <c r="F5" s="56" t="s">
        <v>23</v>
      </c>
      <c r="G5" s="44">
        <v>59</v>
      </c>
      <c r="H5" s="129">
        <f>IF(B$17=0,0,G5/B$17)</f>
        <v>0.42753623188405798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3738</v>
      </c>
      <c r="P5" s="115">
        <v>50</v>
      </c>
      <c r="Q5" s="99">
        <v>186900</v>
      </c>
    </row>
    <row r="6" spans="1:17" x14ac:dyDescent="0.4">
      <c r="A6" s="51" t="s">
        <v>1</v>
      </c>
      <c r="B6" s="144">
        <f>IF(B$2=0,0,(B$7*1+B$8*2+B$9*3)/B$2)</f>
        <v>1.8793103448275863</v>
      </c>
      <c r="C6" s="145"/>
      <c r="E6" s="59" t="s">
        <v>68</v>
      </c>
      <c r="F6" s="56" t="s">
        <v>12</v>
      </c>
      <c r="G6" s="44">
        <v>52</v>
      </c>
      <c r="H6" s="129">
        <f>IF(B$17=0,0,G6/B$17)</f>
        <v>0.37681159420289856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-810.86956521739125</v>
      </c>
      <c r="P6" s="115">
        <v>46</v>
      </c>
      <c r="Q6" s="99">
        <v>-37300</v>
      </c>
    </row>
    <row r="7" spans="1:17" x14ac:dyDescent="0.4">
      <c r="A7" s="51" t="s">
        <v>2</v>
      </c>
      <c r="B7" s="44">
        <v>25</v>
      </c>
      <c r="C7" s="37">
        <f t="shared" ref="C7:C12" si="1">IF(B$2=0,0,B7/B$2)</f>
        <v>0.43103448275862066</v>
      </c>
      <c r="E7" s="59" t="s">
        <v>171</v>
      </c>
      <c r="F7" s="56" t="s">
        <v>172</v>
      </c>
      <c r="G7" s="44">
        <v>52</v>
      </c>
      <c r="H7" s="129">
        <f>IF(B$17=0,0,G7/B$17)</f>
        <v>0.37681159420289856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-300</v>
      </c>
      <c r="P7" s="116">
        <v>37</v>
      </c>
      <c r="Q7" s="100">
        <v>-11100</v>
      </c>
    </row>
    <row r="8" spans="1:17" x14ac:dyDescent="0.4">
      <c r="A8" s="51" t="s">
        <v>3</v>
      </c>
      <c r="B8" s="44">
        <v>15</v>
      </c>
      <c r="C8" s="37">
        <f t="shared" si="1"/>
        <v>0.25862068965517243</v>
      </c>
      <c r="E8" s="59" t="s">
        <v>69</v>
      </c>
      <c r="F8" s="56" t="s">
        <v>24</v>
      </c>
      <c r="G8" s="44">
        <v>31</v>
      </c>
      <c r="H8" s="129">
        <f>IF(B$17=0,0,G8/B$17)</f>
        <v>0.22463768115942029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0.31034482758620691</v>
      </c>
      <c r="E9" s="59" t="s">
        <v>89</v>
      </c>
      <c r="F9" s="56" t="s">
        <v>44</v>
      </c>
      <c r="G9" s="44">
        <v>30</v>
      </c>
      <c r="H9" s="129">
        <f>IF(B$17=0,0,G9/B$17)</f>
        <v>0.21739130434782608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8.6206896551724144E-2</v>
      </c>
      <c r="E10" s="59" t="s">
        <v>65</v>
      </c>
      <c r="F10" s="56" t="s">
        <v>21</v>
      </c>
      <c r="G10" s="44">
        <v>17</v>
      </c>
      <c r="H10" s="129">
        <f>IF(B$17=0,0,G10/B$17)</f>
        <v>0.12318840579710146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0.18965517241379309</v>
      </c>
      <c r="E11" s="59" t="s">
        <v>70</v>
      </c>
      <c r="F11" s="56" t="s">
        <v>25</v>
      </c>
      <c r="G11" s="44">
        <v>15</v>
      </c>
      <c r="H11" s="129">
        <f>IF(B$17=0,0,G11/B$17)</f>
        <v>0.10869565217391304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6.5192307692307683</v>
      </c>
      <c r="P11" s="115">
        <v>26</v>
      </c>
      <c r="Q11" s="103">
        <v>169.49999999999997</v>
      </c>
    </row>
    <row r="12" spans="1:17" x14ac:dyDescent="0.4">
      <c r="A12" s="53" t="s">
        <v>158</v>
      </c>
      <c r="B12" s="46">
        <v>6</v>
      </c>
      <c r="C12" s="40">
        <f t="shared" si="1"/>
        <v>0.10344827586206896</v>
      </c>
      <c r="E12" s="59" t="s">
        <v>167</v>
      </c>
      <c r="F12" s="56" t="s">
        <v>168</v>
      </c>
      <c r="G12" s="44">
        <v>9</v>
      </c>
      <c r="H12" s="129">
        <f>IF(B$17=0,0,G12/B$17)</f>
        <v>6.5217391304347824E-2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-1.313333333333333</v>
      </c>
      <c r="P12" s="116">
        <v>15</v>
      </c>
      <c r="Q12" s="104">
        <v>-19.699999999999996</v>
      </c>
    </row>
    <row r="13" spans="1:17" x14ac:dyDescent="0.4">
      <c r="A13" s="54" t="s">
        <v>121</v>
      </c>
      <c r="B13" s="47">
        <v>150</v>
      </c>
      <c r="C13" s="42">
        <f>IF(B$3=0,0,B13/B$3)</f>
        <v>0.32258064516129031</v>
      </c>
      <c r="E13" s="59" t="s">
        <v>71</v>
      </c>
      <c r="F13" s="56" t="s">
        <v>26</v>
      </c>
      <c r="G13" s="44">
        <v>7</v>
      </c>
      <c r="H13" s="129">
        <f>IF(B$17=0,0,G13/B$17)</f>
        <v>5.0724637681159424E-2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82</v>
      </c>
      <c r="C14" s="37">
        <f>IF(B$3=0,0,B14/B$3)</f>
        <v>0.17634408602150536</v>
      </c>
      <c r="E14" s="59" t="s">
        <v>83</v>
      </c>
      <c r="F14" s="56" t="s">
        <v>38</v>
      </c>
      <c r="G14" s="44">
        <v>6</v>
      </c>
      <c r="H14" s="129">
        <f>IF(B$17=0,0,G14/B$17)</f>
        <v>4.3478260869565216E-2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82</v>
      </c>
      <c r="C15" s="35">
        <f>IF(B$13=0,0,B15/B$13)</f>
        <v>0.54666666666666663</v>
      </c>
      <c r="E15" s="59" t="s">
        <v>86</v>
      </c>
      <c r="F15" s="56" t="s">
        <v>41</v>
      </c>
      <c r="G15" s="44">
        <v>4</v>
      </c>
      <c r="H15" s="129">
        <f>IF(B$17=0,0,G15/B$17)</f>
        <v>2.8985507246376812E-2</v>
      </c>
      <c r="I15" s="90">
        <v>8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0.45121951219512196</v>
      </c>
      <c r="E16" s="59" t="s">
        <v>81</v>
      </c>
      <c r="F16" s="56" t="s">
        <v>36</v>
      </c>
      <c r="G16" s="44">
        <v>3</v>
      </c>
      <c r="H16" s="129">
        <f>IF(B$17=0,0,G16/B$17)</f>
        <v>2.1739130434782608E-2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 t="shared" si="2"/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138</v>
      </c>
      <c r="C17" s="35">
        <f>IF(B$3=0,0,B17/B$3)</f>
        <v>0.29677419354838708</v>
      </c>
      <c r="E17" s="59" t="s">
        <v>92</v>
      </c>
      <c r="F17" s="56" t="s">
        <v>47</v>
      </c>
      <c r="G17" s="44">
        <v>3</v>
      </c>
      <c r="H17" s="129">
        <f>IF(B$17=0,0,G17/B$17)</f>
        <v>2.1739130434782608E-2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67</v>
      </c>
      <c r="C18" s="37">
        <f>IF(B$17=0,0,B18/B$17)</f>
        <v>0.48550724637681159</v>
      </c>
      <c r="E18" s="59" t="s">
        <v>91</v>
      </c>
      <c r="F18" s="56" t="s">
        <v>46</v>
      </c>
      <c r="G18" s="44">
        <v>2</v>
      </c>
      <c r="H18" s="129">
        <f>IF(B$17=0,0,G18/B$17)</f>
        <v>1.4492753623188406E-2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17.729032258064517</v>
      </c>
      <c r="P18" s="115">
        <v>31</v>
      </c>
      <c r="Q18" s="103">
        <v>549.6</v>
      </c>
    </row>
    <row r="19" spans="1:17" x14ac:dyDescent="0.4">
      <c r="A19" s="51" t="s">
        <v>11</v>
      </c>
      <c r="B19" s="44">
        <v>71</v>
      </c>
      <c r="C19" s="37">
        <f>IF(B$17=0,0,B19/B$17)</f>
        <v>0.51449275362318836</v>
      </c>
      <c r="E19" s="59" t="s">
        <v>73</v>
      </c>
      <c r="F19" s="56" t="s">
        <v>28</v>
      </c>
      <c r="G19" s="44">
        <v>1</v>
      </c>
      <c r="H19" s="129">
        <f>IF(B$17=0,0,G19/B$17)</f>
        <v>7.246376811594203E-3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7.2217391304347816</v>
      </c>
      <c r="P19" s="115">
        <v>23</v>
      </c>
      <c r="Q19" s="103">
        <v>166.09999999999997</v>
      </c>
    </row>
    <row r="20" spans="1:17" x14ac:dyDescent="0.4">
      <c r="A20" s="51" t="s">
        <v>13</v>
      </c>
      <c r="B20" s="44">
        <v>77</v>
      </c>
      <c r="C20" s="37">
        <f>IF(B$3=0,0,B20/B$3)</f>
        <v>0.16559139784946236</v>
      </c>
      <c r="E20" s="59" t="s">
        <v>75</v>
      </c>
      <c r="F20" s="56" t="s">
        <v>30</v>
      </c>
      <c r="G20" s="44">
        <v>1</v>
      </c>
      <c r="H20" s="129">
        <f>IF(B$17=0,0,G20/B$17)</f>
        <v>7.246376811594203E-3</v>
      </c>
      <c r="I20" s="90">
        <v>4</v>
      </c>
      <c r="K20" s="36">
        <v>18</v>
      </c>
      <c r="L20" s="95">
        <v>-24.999999999999968</v>
      </c>
      <c r="N20" s="111" t="s">
        <v>179</v>
      </c>
      <c r="O20" s="121">
        <f t="shared" si="2"/>
        <v>6.6222222222222209</v>
      </c>
      <c r="P20" s="115">
        <v>9</v>
      </c>
      <c r="Q20" s="103">
        <v>59.599999999999987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78</v>
      </c>
      <c r="F21" s="56" t="s">
        <v>33</v>
      </c>
      <c r="G21" s="44">
        <v>1</v>
      </c>
      <c r="H21" s="129">
        <f>IF(B$17=0,0,G21/B$17)</f>
        <v>7.246376811594203E-3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-7.6400000000000032</v>
      </c>
      <c r="P21" s="115">
        <v>25</v>
      </c>
      <c r="Q21" s="103">
        <v>-191.00000000000009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85</v>
      </c>
      <c r="F22" s="56" t="s">
        <v>40</v>
      </c>
      <c r="G22" s="44">
        <v>1</v>
      </c>
      <c r="H22" s="129">
        <f>IF(B$17=0,0,G22/B$17)</f>
        <v>7.246376811594203E-3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10410.144927536232</v>
      </c>
      <c r="C23" s="39">
        <v>1436600</v>
      </c>
      <c r="E23" s="59" t="s">
        <v>90</v>
      </c>
      <c r="F23" s="56" t="s">
        <v>45</v>
      </c>
      <c r="G23" s="44">
        <v>1</v>
      </c>
      <c r="H23" s="129">
        <f>IF(B$17=0,0,G23/B$17)</f>
        <v>7.246376811594203E-3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11301.980198019803</v>
      </c>
      <c r="C24" s="137">
        <v>1141500</v>
      </c>
      <c r="E24" s="59" t="s">
        <v>93</v>
      </c>
      <c r="F24" s="56" t="s">
        <v>48</v>
      </c>
      <c r="G24" s="44">
        <v>1</v>
      </c>
      <c r="H24" s="129">
        <f>IF(B$17=0,0,G24/B$17)</f>
        <v>7.246376811594203E-3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97</v>
      </c>
      <c r="F25" s="56" t="s">
        <v>52</v>
      </c>
      <c r="G25" s="44">
        <v>1</v>
      </c>
      <c r="H25" s="129">
        <f>IF(B$17=0,0,G25/B$17)</f>
        <v>7.246376811594203E-3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-8136.363636363636</v>
      </c>
      <c r="C26" s="137">
        <v>-626500</v>
      </c>
      <c r="E26" s="59" t="s">
        <v>74</v>
      </c>
      <c r="F26" s="56" t="s">
        <v>29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79</v>
      </c>
      <c r="F29" s="56" t="s">
        <v>34</v>
      </c>
      <c r="G29" s="44">
        <v>0</v>
      </c>
      <c r="H29" s="129">
        <f>IF(B$17=0,0,G29/B$17)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</sheetData>
  <sortState xmlns:xlrd2="http://schemas.microsoft.com/office/spreadsheetml/2017/richdata2" ref="E2:I61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88</v>
      </c>
      <c r="C2" s="149"/>
      <c r="E2" s="58" t="s">
        <v>66</v>
      </c>
      <c r="F2" s="55" t="s">
        <v>22</v>
      </c>
      <c r="G2" s="43">
        <v>149</v>
      </c>
      <c r="H2" s="128">
        <f>IF(B$17=0,0,G2/B$17)</f>
        <v>0.74874371859296485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555.68181818181813</v>
      </c>
      <c r="P2" s="114">
        <v>88</v>
      </c>
      <c r="Q2" s="98">
        <v>48900</v>
      </c>
    </row>
    <row r="3" spans="1:17" x14ac:dyDescent="0.4">
      <c r="A3" s="51" t="s">
        <v>8</v>
      </c>
      <c r="B3" s="150">
        <v>703</v>
      </c>
      <c r="C3" s="151"/>
      <c r="E3" s="59" t="s">
        <v>72</v>
      </c>
      <c r="F3" s="56" t="s">
        <v>27</v>
      </c>
      <c r="G3" s="44">
        <v>118</v>
      </c>
      <c r="H3" s="129">
        <f>IF(B$17=0,0,G3/B$17)</f>
        <v>0.59296482412060303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747.05882352941171</v>
      </c>
      <c r="P3" s="115">
        <v>85</v>
      </c>
      <c r="Q3" s="99">
        <v>63500</v>
      </c>
    </row>
    <row r="4" spans="1:17" x14ac:dyDescent="0.4">
      <c r="A4" s="51" t="s">
        <v>6</v>
      </c>
      <c r="B4" s="152">
        <v>-63.20000000000001</v>
      </c>
      <c r="C4" s="153"/>
      <c r="E4" s="59" t="s">
        <v>64</v>
      </c>
      <c r="F4" s="56" t="s">
        <v>20</v>
      </c>
      <c r="G4" s="44">
        <v>99</v>
      </c>
      <c r="H4" s="129">
        <f>IF(B$17=0,0,G4/B$17)</f>
        <v>0.49748743718592964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-1032.9113924050632</v>
      </c>
      <c r="P4" s="115">
        <v>79</v>
      </c>
      <c r="Q4" s="99">
        <v>-81600</v>
      </c>
    </row>
    <row r="5" spans="1:17" x14ac:dyDescent="0.4">
      <c r="A5" s="51" t="s">
        <v>7</v>
      </c>
      <c r="B5" s="154">
        <f>IF(B$2=0,0,B$4/B$2)</f>
        <v>-0.71818181818181825</v>
      </c>
      <c r="C5" s="155"/>
      <c r="E5" s="59" t="s">
        <v>171</v>
      </c>
      <c r="F5" s="56" t="s">
        <v>172</v>
      </c>
      <c r="G5" s="44">
        <v>91</v>
      </c>
      <c r="H5" s="129">
        <f>IF(B$17=0,0,G5/B$17)</f>
        <v>0.457286432160804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-145.20547945205479</v>
      </c>
      <c r="P5" s="115">
        <v>73</v>
      </c>
      <c r="Q5" s="99">
        <v>-10600</v>
      </c>
    </row>
    <row r="6" spans="1:17" x14ac:dyDescent="0.4">
      <c r="A6" s="51" t="s">
        <v>1</v>
      </c>
      <c r="B6" s="144">
        <f>IF(B$2=0,0,(B$7*1+B$8*2+B$9*3)/B$2)</f>
        <v>2.0454545454545454</v>
      </c>
      <c r="C6" s="145"/>
      <c r="E6" s="59" t="s">
        <v>67</v>
      </c>
      <c r="F6" s="56" t="s">
        <v>23</v>
      </c>
      <c r="G6" s="44">
        <v>76</v>
      </c>
      <c r="H6" s="129">
        <f>IF(B$17=0,0,G6/B$17)</f>
        <v>0.38190954773869346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-275</v>
      </c>
      <c r="P6" s="115">
        <v>64</v>
      </c>
      <c r="Q6" s="99">
        <v>-17600</v>
      </c>
    </row>
    <row r="7" spans="1:17" x14ac:dyDescent="0.4">
      <c r="A7" s="51" t="s">
        <v>2</v>
      </c>
      <c r="B7" s="44">
        <v>20</v>
      </c>
      <c r="C7" s="37">
        <f t="shared" ref="C7:C12" si="1">IF(B$2=0,0,B7/B$2)</f>
        <v>0.22727272727272727</v>
      </c>
      <c r="E7" s="59" t="s">
        <v>68</v>
      </c>
      <c r="F7" s="56" t="s">
        <v>12</v>
      </c>
      <c r="G7" s="44">
        <v>64</v>
      </c>
      <c r="H7" s="129">
        <f>IF(B$17=0,0,G7/B$17)</f>
        <v>0.32160804020100503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-828.57142857142856</v>
      </c>
      <c r="P7" s="116">
        <v>56</v>
      </c>
      <c r="Q7" s="100">
        <v>-46400</v>
      </c>
    </row>
    <row r="8" spans="1:17" x14ac:dyDescent="0.4">
      <c r="A8" s="51" t="s">
        <v>3</v>
      </c>
      <c r="B8" s="44">
        <v>44</v>
      </c>
      <c r="C8" s="37">
        <f t="shared" si="1"/>
        <v>0.5</v>
      </c>
      <c r="E8" s="59" t="s">
        <v>69</v>
      </c>
      <c r="F8" s="56" t="s">
        <v>24</v>
      </c>
      <c r="G8" s="44">
        <v>26</v>
      </c>
      <c r="H8" s="129">
        <f>IF(B$17=0,0,G8/B$17)</f>
        <v>0.1306532663316583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0.27272727272727271</v>
      </c>
      <c r="E9" s="59" t="s">
        <v>89</v>
      </c>
      <c r="F9" s="56" t="s">
        <v>44</v>
      </c>
      <c r="G9" s="44">
        <v>20</v>
      </c>
      <c r="H9" s="129">
        <f>IF(B$17=0,0,G9/B$17)</f>
        <v>0.10050251256281408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7.9545454545454544E-2</v>
      </c>
      <c r="E10" s="59" t="s">
        <v>71</v>
      </c>
      <c r="F10" s="56" t="s">
        <v>26</v>
      </c>
      <c r="G10" s="44">
        <v>18</v>
      </c>
      <c r="H10" s="129">
        <f>IF(B$17=0,0,G10/B$17)</f>
        <v>9.0452261306532666E-2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-1.0000000000000004</v>
      </c>
      <c r="P10" s="114">
        <v>36</v>
      </c>
      <c r="Q10" s="102">
        <v>-36.000000000000014</v>
      </c>
    </row>
    <row r="11" spans="1:17" x14ac:dyDescent="0.4">
      <c r="A11" s="52" t="s">
        <v>138</v>
      </c>
      <c r="B11" s="45">
        <v>6</v>
      </c>
      <c r="C11" s="38">
        <f t="shared" si="1"/>
        <v>6.8181818181818177E-2</v>
      </c>
      <c r="E11" s="59" t="s">
        <v>70</v>
      </c>
      <c r="F11" s="56" t="s">
        <v>25</v>
      </c>
      <c r="G11" s="44">
        <v>16</v>
      </c>
      <c r="H11" s="129">
        <f>IF(B$17=0,0,G11/B$17)</f>
        <v>8.0402010050251257E-2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1.592307692307692</v>
      </c>
      <c r="P11" s="115">
        <v>26</v>
      </c>
      <c r="Q11" s="103">
        <v>41.399999999999991</v>
      </c>
    </row>
    <row r="12" spans="1:17" x14ac:dyDescent="0.4">
      <c r="A12" s="53" t="s">
        <v>158</v>
      </c>
      <c r="B12" s="46">
        <v>5</v>
      </c>
      <c r="C12" s="40">
        <f t="shared" si="1"/>
        <v>5.6818181818181816E-2</v>
      </c>
      <c r="E12" s="59" t="s">
        <v>65</v>
      </c>
      <c r="F12" s="56" t="s">
        <v>21</v>
      </c>
      <c r="G12" s="44">
        <v>14</v>
      </c>
      <c r="H12" s="129">
        <f>IF(B$17=0,0,G12/B$17)</f>
        <v>7.0351758793969849E-2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185</v>
      </c>
      <c r="C13" s="42">
        <f>IF(B$3=0,0,B13/B$3)</f>
        <v>0.26315789473684209</v>
      </c>
      <c r="E13" s="59" t="s">
        <v>86</v>
      </c>
      <c r="F13" s="56" t="s">
        <v>41</v>
      </c>
      <c r="G13" s="44">
        <v>10</v>
      </c>
      <c r="H13" s="129">
        <f>IF(B$17=0,0,G13/B$17)</f>
        <v>5.0251256281407038E-2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160</v>
      </c>
      <c r="C14" s="37">
        <f>IF(B$3=0,0,B14/B$3)</f>
        <v>0.22759601706970128</v>
      </c>
      <c r="E14" s="59" t="s">
        <v>83</v>
      </c>
      <c r="F14" s="56" t="s">
        <v>38</v>
      </c>
      <c r="G14" s="44">
        <v>7</v>
      </c>
      <c r="H14" s="129">
        <f>IF(B$17=0,0,G14/B$17)</f>
        <v>3.5175879396984924E-2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104</v>
      </c>
      <c r="C15" s="35">
        <f>IF(B$13=0,0,B15/B$13)</f>
        <v>0.56216216216216219</v>
      </c>
      <c r="E15" s="59" t="s">
        <v>79</v>
      </c>
      <c r="F15" s="56" t="s">
        <v>34</v>
      </c>
      <c r="G15" s="44">
        <v>6</v>
      </c>
      <c r="H15" s="129">
        <f>IF(B$17=0,0,G15/B$17)</f>
        <v>3.015075376884422E-2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66</v>
      </c>
      <c r="C16" s="35">
        <f>IF(B$14=0,0,B16/B$14)</f>
        <v>0.41249999999999998</v>
      </c>
      <c r="E16" s="59" t="s">
        <v>167</v>
      </c>
      <c r="F16" s="56" t="s">
        <v>168</v>
      </c>
      <c r="G16" s="44">
        <v>4</v>
      </c>
      <c r="H16" s="129">
        <f>IF(B$17=0,0,G16/B$17)</f>
        <v>2.0100502512562814E-2</v>
      </c>
      <c r="I16" s="90">
        <v>5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199</v>
      </c>
      <c r="C17" s="35">
        <f>IF(B$3=0,0,B17/B$3)</f>
        <v>0.28307254623044098</v>
      </c>
      <c r="E17" s="59" t="s">
        <v>73</v>
      </c>
      <c r="F17" s="56" t="s">
        <v>28</v>
      </c>
      <c r="G17" s="44">
        <v>3</v>
      </c>
      <c r="H17" s="129">
        <f>IF(B$17=0,0,G17/B$17)</f>
        <v>1.507537688442211E-2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88</v>
      </c>
      <c r="C18" s="37">
        <f>IF(B$17=0,0,B18/B$17)</f>
        <v>0.44221105527638194</v>
      </c>
      <c r="E18" s="59" t="s">
        <v>78</v>
      </c>
      <c r="F18" s="56" t="s">
        <v>33</v>
      </c>
      <c r="G18" s="44">
        <v>3</v>
      </c>
      <c r="H18" s="129">
        <f>IF(B$17=0,0,G18/B$17)</f>
        <v>1.507537688442211E-2</v>
      </c>
      <c r="I18" s="90">
        <v>7</v>
      </c>
      <c r="K18" s="36">
        <v>16</v>
      </c>
      <c r="L18" s="95">
        <v>-35.599999999999987</v>
      </c>
      <c r="N18" s="111" t="s">
        <v>179</v>
      </c>
      <c r="O18" s="121">
        <f>IF(P18=0,0,Q18/P18)</f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111</v>
      </c>
      <c r="C19" s="37">
        <f>IF(B$17=0,0,B19/B$17)</f>
        <v>0.55778894472361806</v>
      </c>
      <c r="E19" s="59" t="s">
        <v>81</v>
      </c>
      <c r="F19" s="56" t="s">
        <v>36</v>
      </c>
      <c r="G19" s="44">
        <v>2</v>
      </c>
      <c r="H19" s="129">
        <f>IF(B$17=0,0,G19/B$17)</f>
        <v>1.0050251256281407E-2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94</v>
      </c>
      <c r="C20" s="37">
        <f>IF(B$3=0,0,B20/B$3)</f>
        <v>0.1337126600284495</v>
      </c>
      <c r="E20" s="59" t="s">
        <v>74</v>
      </c>
      <c r="F20" s="56" t="s">
        <v>29</v>
      </c>
      <c r="G20" s="44">
        <v>1</v>
      </c>
      <c r="H20" s="129">
        <f>IF(B$17=0,0,G20/B$17)</f>
        <v>5.0251256281407036E-3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>IF(P20=0,0,Q20/P20)</f>
        <v>4.7411764705882353</v>
      </c>
      <c r="P20" s="115">
        <v>17</v>
      </c>
      <c r="Q20" s="103">
        <v>80.599999999999994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75</v>
      </c>
      <c r="F21" s="56" t="s">
        <v>30</v>
      </c>
      <c r="G21" s="44">
        <v>1</v>
      </c>
      <c r="H21" s="129">
        <f>IF(B$17=0,0,G21/B$17)</f>
        <v>5.0251256281407036E-3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>IF(P21=0,0,Q21/P21)</f>
        <v>2.8810810810810819</v>
      </c>
      <c r="P21" s="115">
        <v>37</v>
      </c>
      <c r="Q21" s="103">
        <v>106.60000000000002</v>
      </c>
    </row>
    <row r="22" spans="1:17" x14ac:dyDescent="0.4">
      <c r="A22" s="51" t="s">
        <v>170</v>
      </c>
      <c r="B22" s="44">
        <v>44</v>
      </c>
      <c r="C22" s="131">
        <v>10</v>
      </c>
      <c r="E22" s="59" t="s">
        <v>85</v>
      </c>
      <c r="F22" s="56" t="s">
        <v>40</v>
      </c>
      <c r="G22" s="44">
        <v>1</v>
      </c>
      <c r="H22" s="129">
        <f>IF(B$17=0,0,G22/B$17)</f>
        <v>5.0251256281407036E-3</v>
      </c>
      <c r="I22" s="90">
        <v>4</v>
      </c>
      <c r="K22" s="36">
        <v>20</v>
      </c>
      <c r="L22" s="95">
        <v>-93.199999999999989</v>
      </c>
      <c r="N22" s="111" t="s">
        <v>126</v>
      </c>
      <c r="O22" s="121">
        <f>IF(P22=0,0,Q22/P22)</f>
        <v>-16.583720930232563</v>
      </c>
      <c r="P22" s="115">
        <v>43</v>
      </c>
      <c r="Q22" s="103">
        <v>-713.10000000000014</v>
      </c>
    </row>
    <row r="23" spans="1:17" x14ac:dyDescent="0.4">
      <c r="A23" s="51" t="s">
        <v>5</v>
      </c>
      <c r="B23" s="48">
        <f>IF(B$17=0,0,C23/B$17)</f>
        <v>8317.5879396984928</v>
      </c>
      <c r="C23" s="39">
        <v>1655200</v>
      </c>
      <c r="E23" s="59" t="s">
        <v>87</v>
      </c>
      <c r="F23" s="56" t="s">
        <v>42</v>
      </c>
      <c r="G23" s="44">
        <v>1</v>
      </c>
      <c r="H23" s="129">
        <f>IF(B$17=0,0,G23/B$17)</f>
        <v>5.0251256281407036E-3</v>
      </c>
      <c r="I23" s="90">
        <v>2</v>
      </c>
      <c r="K23" s="36">
        <v>21</v>
      </c>
      <c r="L23" s="95">
        <v>-123.69999999999999</v>
      </c>
      <c r="N23" s="111" t="s">
        <v>177</v>
      </c>
      <c r="O23" s="121">
        <f>IF(P23=0,0,Q23/P23)</f>
        <v>-17.729032258064517</v>
      </c>
      <c r="P23" s="115">
        <v>31</v>
      </c>
      <c r="Q23" s="103">
        <v>-549.6</v>
      </c>
    </row>
    <row r="24" spans="1:17" x14ac:dyDescent="0.4">
      <c r="A24" s="52" t="s">
        <v>216</v>
      </c>
      <c r="B24" s="136">
        <f>IF($B$17-B$16=0,0,C24/($B$17-B$16))</f>
        <v>9314.2857142857138</v>
      </c>
      <c r="C24" s="137">
        <v>1238800</v>
      </c>
      <c r="E24" s="59" t="s">
        <v>88</v>
      </c>
      <c r="F24" s="56" t="s">
        <v>43</v>
      </c>
      <c r="G24" s="44">
        <v>1</v>
      </c>
      <c r="H24" s="129">
        <f>IF(B$17=0,0,G24/B$17)</f>
        <v>5.0251256281407036E-3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6309.090909090909</v>
      </c>
      <c r="C25" s="137">
        <v>416400</v>
      </c>
      <c r="E25" s="59" t="s">
        <v>91</v>
      </c>
      <c r="F25" s="56" t="s">
        <v>46</v>
      </c>
      <c r="G25" s="44">
        <v>1</v>
      </c>
      <c r="H25" s="129">
        <f>IF(B$17=0,0,G25/B$17)</f>
        <v>5.0251256281407036E-3</v>
      </c>
      <c r="I25" s="90">
        <v>7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-7886.1702127659573</v>
      </c>
      <c r="C26" s="137">
        <v>-741300</v>
      </c>
      <c r="E26" s="59" t="s">
        <v>93</v>
      </c>
      <c r="F26" s="56" t="s">
        <v>48</v>
      </c>
      <c r="G26" s="44">
        <v>1</v>
      </c>
      <c r="H26" s="129">
        <f>IF(B$17=0,0,G26/B$17)</f>
        <v>5.0251256281407036E-3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5.0251256281407036E-3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2.8449502133712661E-3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34</v>
      </c>
      <c r="C2" s="149"/>
      <c r="E2" s="58" t="s">
        <v>66</v>
      </c>
      <c r="F2" s="55" t="s">
        <v>22</v>
      </c>
      <c r="G2" s="43">
        <v>48</v>
      </c>
      <c r="H2" s="128">
        <f>IF(B$17=0,0,G2/B$17)</f>
        <v>0.7384615384615385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-2729.4117647058824</v>
      </c>
      <c r="P2" s="114">
        <v>34</v>
      </c>
      <c r="Q2" s="98">
        <v>-92800</v>
      </c>
    </row>
    <row r="3" spans="1:17" x14ac:dyDescent="0.4">
      <c r="A3" s="51" t="s">
        <v>8</v>
      </c>
      <c r="B3" s="150">
        <v>279</v>
      </c>
      <c r="C3" s="151"/>
      <c r="E3" s="59" t="s">
        <v>72</v>
      </c>
      <c r="F3" s="56" t="s">
        <v>27</v>
      </c>
      <c r="G3" s="44">
        <v>35</v>
      </c>
      <c r="H3" s="129">
        <f>IF(B$17=0,0,G3/B$17)</f>
        <v>0.53846153846153844</v>
      </c>
      <c r="I3" s="90">
        <v>5</v>
      </c>
      <c r="K3" s="36">
        <v>1</v>
      </c>
      <c r="L3" s="95">
        <v>-12</v>
      </c>
      <c r="N3" s="111" t="s">
        <v>131</v>
      </c>
      <c r="O3" s="118">
        <f t="shared" si="0"/>
        <v>220.58823529411765</v>
      </c>
      <c r="P3" s="115">
        <v>34</v>
      </c>
      <c r="Q3" s="99">
        <v>7500</v>
      </c>
    </row>
    <row r="4" spans="1:17" x14ac:dyDescent="0.4">
      <c r="A4" s="51" t="s">
        <v>6</v>
      </c>
      <c r="B4" s="152">
        <v>-531.90000000000009</v>
      </c>
      <c r="C4" s="153"/>
      <c r="E4" s="59" t="s">
        <v>64</v>
      </c>
      <c r="F4" s="56" t="s">
        <v>20</v>
      </c>
      <c r="G4" s="44">
        <v>29</v>
      </c>
      <c r="H4" s="129">
        <f>IF(B$17=0,0,G4/B$17)</f>
        <v>0.44615384615384618</v>
      </c>
      <c r="I4" s="90">
        <v>7</v>
      </c>
      <c r="K4" s="36">
        <v>2</v>
      </c>
      <c r="L4" s="95">
        <v>-40.6</v>
      </c>
      <c r="N4" s="111" t="s">
        <v>132</v>
      </c>
      <c r="O4" s="118">
        <f t="shared" si="0"/>
        <v>-2411.7647058823532</v>
      </c>
      <c r="P4" s="115">
        <v>34</v>
      </c>
      <c r="Q4" s="99">
        <v>-82000</v>
      </c>
    </row>
    <row r="5" spans="1:17" x14ac:dyDescent="0.4">
      <c r="A5" s="51" t="s">
        <v>7</v>
      </c>
      <c r="B5" s="154">
        <f>IF(B$2=0,0,B$4/B$2)</f>
        <v>-15.644117647058826</v>
      </c>
      <c r="C5" s="155"/>
      <c r="E5" s="59" t="s">
        <v>171</v>
      </c>
      <c r="F5" s="56" t="s">
        <v>172</v>
      </c>
      <c r="G5" s="44">
        <v>20</v>
      </c>
      <c r="H5" s="129">
        <f>IF(B$17=0,0,G5/B$17)</f>
        <v>0.30769230769230771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-2556.25</v>
      </c>
      <c r="P5" s="115">
        <v>32</v>
      </c>
      <c r="Q5" s="99">
        <v>-81800</v>
      </c>
    </row>
    <row r="6" spans="1:17" x14ac:dyDescent="0.4">
      <c r="A6" s="51" t="s">
        <v>1</v>
      </c>
      <c r="B6" s="144">
        <f>IF(B$2=0,0,(B$7*1+B$8*2+B$9*3)/B$2)</f>
        <v>2.4117647058823528</v>
      </c>
      <c r="C6" s="145"/>
      <c r="E6" s="59" t="s">
        <v>67</v>
      </c>
      <c r="F6" s="56" t="s">
        <v>23</v>
      </c>
      <c r="G6" s="44">
        <v>19</v>
      </c>
      <c r="H6" s="129">
        <f>IF(B$17=0,0,G6/B$17)</f>
        <v>0.29230769230769232</v>
      </c>
      <c r="I6" s="90">
        <v>6</v>
      </c>
      <c r="K6" s="36">
        <v>4</v>
      </c>
      <c r="L6" s="95">
        <v>-80.5</v>
      </c>
      <c r="N6" s="111" t="s">
        <v>134</v>
      </c>
      <c r="O6" s="118">
        <f t="shared" si="0"/>
        <v>-1103.2258064516129</v>
      </c>
      <c r="P6" s="115">
        <v>31</v>
      </c>
      <c r="Q6" s="99">
        <v>-34200</v>
      </c>
    </row>
    <row r="7" spans="1:17" x14ac:dyDescent="0.4">
      <c r="A7" s="51" t="s">
        <v>2</v>
      </c>
      <c r="B7" s="44">
        <v>4</v>
      </c>
      <c r="C7" s="37">
        <f t="shared" ref="C7:C12" si="1">IF(B$2=0,0,B7/B$2)</f>
        <v>0.11764705882352941</v>
      </c>
      <c r="E7" s="59" t="s">
        <v>68</v>
      </c>
      <c r="F7" s="56" t="s">
        <v>12</v>
      </c>
      <c r="G7" s="44">
        <v>19</v>
      </c>
      <c r="H7" s="129">
        <f>IF(B$17=0,0,G7/B$17)</f>
        <v>0.29230769230769232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-3744</v>
      </c>
      <c r="P7" s="116">
        <v>25</v>
      </c>
      <c r="Q7" s="100">
        <v>-93600</v>
      </c>
    </row>
    <row r="8" spans="1:17" x14ac:dyDescent="0.4">
      <c r="A8" s="51" t="s">
        <v>3</v>
      </c>
      <c r="B8" s="44">
        <v>12</v>
      </c>
      <c r="C8" s="37">
        <f t="shared" si="1"/>
        <v>0.35294117647058826</v>
      </c>
      <c r="E8" s="59" t="s">
        <v>89</v>
      </c>
      <c r="F8" s="56" t="s">
        <v>44</v>
      </c>
      <c r="G8" s="44">
        <v>10</v>
      </c>
      <c r="H8" s="129">
        <f>IF(B$17=0,0,G8/B$17)</f>
        <v>0.15384615384615385</v>
      </c>
      <c r="I8" s="90">
        <v>3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0.52941176470588236</v>
      </c>
      <c r="E9" s="59" t="s">
        <v>65</v>
      </c>
      <c r="F9" s="56" t="s">
        <v>21</v>
      </c>
      <c r="G9" s="44">
        <v>7</v>
      </c>
      <c r="H9" s="129">
        <f>IF(B$17=0,0,G9/B$17)</f>
        <v>0.1076923076923077</v>
      </c>
      <c r="I9" s="90">
        <v>6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0.17647058823529413</v>
      </c>
      <c r="E10" s="59" t="s">
        <v>70</v>
      </c>
      <c r="F10" s="56" t="s">
        <v>25</v>
      </c>
      <c r="G10" s="44">
        <v>7</v>
      </c>
      <c r="H10" s="129">
        <f>IF(B$17=0,0,G10/B$17)</f>
        <v>0.1076923076923077</v>
      </c>
      <c r="I10" s="90">
        <v>5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2.9411764705882353E-2</v>
      </c>
      <c r="E11" s="59" t="s">
        <v>71</v>
      </c>
      <c r="F11" s="56" t="s">
        <v>26</v>
      </c>
      <c r="G11" s="44">
        <v>7</v>
      </c>
      <c r="H11" s="129">
        <f>IF(B$17=0,0,G11/B$17)</f>
        <v>0.1076923076923077</v>
      </c>
      <c r="I11" s="90">
        <v>2</v>
      </c>
      <c r="K11" s="36">
        <v>9</v>
      </c>
      <c r="L11" s="95">
        <v>-150.6</v>
      </c>
      <c r="N11" s="111" t="s">
        <v>163</v>
      </c>
      <c r="O11" s="121">
        <f>IF(P11=0,0,Q11/P11)</f>
        <v>-12.288888888888888</v>
      </c>
      <c r="P11" s="115">
        <v>9</v>
      </c>
      <c r="Q11" s="103">
        <v>-110.6</v>
      </c>
    </row>
    <row r="12" spans="1:17" x14ac:dyDescent="0.4">
      <c r="A12" s="53" t="s">
        <v>158</v>
      </c>
      <c r="B12" s="46">
        <v>1</v>
      </c>
      <c r="C12" s="40">
        <f t="shared" si="1"/>
        <v>2.9411764705882353E-2</v>
      </c>
      <c r="E12" s="59" t="s">
        <v>69</v>
      </c>
      <c r="F12" s="56" t="s">
        <v>24</v>
      </c>
      <c r="G12" s="44">
        <v>6</v>
      </c>
      <c r="H12" s="129">
        <f>IF(B$17=0,0,G12/B$17)</f>
        <v>9.2307692307692313E-2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0.21428571428571455</v>
      </c>
      <c r="P12" s="116">
        <v>7</v>
      </c>
      <c r="Q12" s="104">
        <v>1.5000000000000018</v>
      </c>
    </row>
    <row r="13" spans="1:17" x14ac:dyDescent="0.4">
      <c r="A13" s="54" t="s">
        <v>121</v>
      </c>
      <c r="B13" s="47">
        <v>54</v>
      </c>
      <c r="C13" s="42">
        <f>IF(B$3=0,0,B13/B$3)</f>
        <v>0.19354838709677419</v>
      </c>
      <c r="E13" s="59" t="s">
        <v>83</v>
      </c>
      <c r="F13" s="56" t="s">
        <v>38</v>
      </c>
      <c r="G13" s="44">
        <v>5</v>
      </c>
      <c r="H13" s="129">
        <f>IF(B$17=0,0,G13/B$17)</f>
        <v>7.6923076923076927E-2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62</v>
      </c>
      <c r="C14" s="37">
        <f>IF(B$3=0,0,B14/B$3)</f>
        <v>0.22222222222222221</v>
      </c>
      <c r="E14" s="59" t="s">
        <v>86</v>
      </c>
      <c r="F14" s="56" t="s">
        <v>41</v>
      </c>
      <c r="G14" s="44">
        <v>5</v>
      </c>
      <c r="H14" s="129">
        <f>IF(B$17=0,0,G14/B$17)</f>
        <v>7.6923076923076927E-2</v>
      </c>
      <c r="I14" s="90">
        <v>1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30</v>
      </c>
      <c r="C15" s="35">
        <f>IF(B$13=0,0,B15/B$13)</f>
        <v>0.55555555555555558</v>
      </c>
      <c r="E15" s="59" t="s">
        <v>81</v>
      </c>
      <c r="F15" s="56" t="s">
        <v>36</v>
      </c>
      <c r="G15" s="44">
        <v>2</v>
      </c>
      <c r="H15" s="129">
        <f>IF(B$17=0,0,G15/B$17)</f>
        <v>3.0769230769230771E-2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23</v>
      </c>
      <c r="C16" s="35">
        <f>IF(B$14=0,0,B16/B$14)</f>
        <v>0.37096774193548387</v>
      </c>
      <c r="E16" s="59" t="s">
        <v>74</v>
      </c>
      <c r="F16" s="56" t="s">
        <v>29</v>
      </c>
      <c r="G16" s="44">
        <v>1</v>
      </c>
      <c r="H16" s="129">
        <f>IF(B$17=0,0,G16/B$17)</f>
        <v>1.5384615384615385E-2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65</v>
      </c>
      <c r="C17" s="35">
        <f>IF(B$3=0,0,B17/B$3)</f>
        <v>0.23297491039426524</v>
      </c>
      <c r="E17" s="59" t="s">
        <v>78</v>
      </c>
      <c r="F17" s="56" t="s">
        <v>33</v>
      </c>
      <c r="G17" s="44">
        <v>1</v>
      </c>
      <c r="H17" s="129">
        <f>IF(B$17=0,0,G17/B$17)</f>
        <v>1.5384615384615385E-2</v>
      </c>
      <c r="I17" s="90">
        <v>6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31</v>
      </c>
      <c r="C18" s="37">
        <f>IF(B$17=0,0,B18/B$17)</f>
        <v>0.47692307692307695</v>
      </c>
      <c r="E18" s="59" t="s">
        <v>95</v>
      </c>
      <c r="F18" s="56" t="s">
        <v>50</v>
      </c>
      <c r="G18" s="44">
        <v>1</v>
      </c>
      <c r="H18" s="129">
        <f>IF(B$17=0,0,G18/B$17)</f>
        <v>1.5384615384615385E-2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34</v>
      </c>
      <c r="C19" s="37">
        <f>IF(B$17=0,0,B19/B$17)</f>
        <v>0.52307692307692311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127</v>
      </c>
      <c r="O19" s="121">
        <f t="shared" si="2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54</v>
      </c>
      <c r="C20" s="37">
        <f>IF(B$3=0,0,B20/B$3)</f>
        <v>0.19354838709677419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9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126</v>
      </c>
      <c r="O21" s="121">
        <f t="shared" si="2"/>
        <v>-28.291666666666668</v>
      </c>
      <c r="P21" s="115">
        <v>12</v>
      </c>
      <c r="Q21" s="103">
        <v>-339.5</v>
      </c>
    </row>
    <row r="22" spans="1:17" x14ac:dyDescent="0.4">
      <c r="A22" s="51" t="s">
        <v>170</v>
      </c>
      <c r="B22" s="44">
        <v>16</v>
      </c>
      <c r="C22" s="131">
        <v>0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-428.10000000000008</v>
      </c>
      <c r="N22" s="111" t="s">
        <v>181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7912.3076923076924</v>
      </c>
      <c r="C23" s="39">
        <v>514300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8142.8571428571431</v>
      </c>
      <c r="C24" s="137">
        <v>342000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7491.304347826087</v>
      </c>
      <c r="C25" s="137">
        <v>172300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-7881.4814814814818</v>
      </c>
      <c r="C26" s="137">
        <v>-425600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3.5842293906810036E-3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23</v>
      </c>
      <c r="C2" s="149"/>
      <c r="E2" s="58" t="s">
        <v>66</v>
      </c>
      <c r="F2" s="55" t="s">
        <v>22</v>
      </c>
      <c r="G2" s="43">
        <v>62</v>
      </c>
      <c r="H2" s="128">
        <f>IF(B$17=0,0,G2/B$17)</f>
        <v>1.0163934426229508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-3173.913043478261</v>
      </c>
      <c r="P2" s="114">
        <v>23</v>
      </c>
      <c r="Q2" s="98">
        <v>-73000</v>
      </c>
    </row>
    <row r="3" spans="1:17" x14ac:dyDescent="0.4">
      <c r="A3" s="51" t="s">
        <v>8</v>
      </c>
      <c r="B3" s="150">
        <v>219</v>
      </c>
      <c r="C3" s="151"/>
      <c r="E3" s="59" t="s">
        <v>64</v>
      </c>
      <c r="F3" s="56" t="s">
        <v>20</v>
      </c>
      <c r="G3" s="44">
        <v>35</v>
      </c>
      <c r="H3" s="129">
        <f>IF(B$17=0,0,G3/B$17)</f>
        <v>0.57377049180327866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-582.60869565217388</v>
      </c>
      <c r="P3" s="115">
        <v>23</v>
      </c>
      <c r="Q3" s="99">
        <v>-13400</v>
      </c>
    </row>
    <row r="4" spans="1:17" x14ac:dyDescent="0.4">
      <c r="A4" s="51" t="s">
        <v>6</v>
      </c>
      <c r="B4" s="152">
        <v>27.299999999999997</v>
      </c>
      <c r="C4" s="153"/>
      <c r="E4" s="59" t="s">
        <v>68</v>
      </c>
      <c r="F4" s="56" t="s">
        <v>12</v>
      </c>
      <c r="G4" s="44">
        <v>26</v>
      </c>
      <c r="H4" s="129">
        <f>IF(B$17=0,0,G4/B$17)</f>
        <v>0.42622950819672129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1086.3636363636363</v>
      </c>
      <c r="P4" s="115">
        <v>22</v>
      </c>
      <c r="Q4" s="99">
        <v>23900</v>
      </c>
    </row>
    <row r="5" spans="1:17" x14ac:dyDescent="0.4">
      <c r="A5" s="51" t="s">
        <v>7</v>
      </c>
      <c r="B5" s="154">
        <f>IF(B$2=0,0,B$4/B$2)</f>
        <v>1.1869565217391302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0.39344262295081966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-2318.181818181818</v>
      </c>
      <c r="P5" s="115">
        <v>22</v>
      </c>
      <c r="Q5" s="99">
        <v>-51000</v>
      </c>
    </row>
    <row r="6" spans="1:17" x14ac:dyDescent="0.4">
      <c r="A6" s="51" t="s">
        <v>1</v>
      </c>
      <c r="B6" s="144">
        <f>IF(B$2=0,0,(B$7*1+B$8*2+B$9*3)/B$2)</f>
        <v>1.9565217391304348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0.34426229508196721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5950</v>
      </c>
      <c r="P6" s="115">
        <v>20</v>
      </c>
      <c r="Q6" s="99">
        <v>119000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0.39130434782608697</v>
      </c>
      <c r="E7" s="59" t="s">
        <v>67</v>
      </c>
      <c r="F7" s="56" t="s">
        <v>23</v>
      </c>
      <c r="G7" s="44">
        <v>14</v>
      </c>
      <c r="H7" s="129">
        <f>IF(B$17=0,0,G7/B$17)</f>
        <v>0.22950819672131148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0.2608695652173913</v>
      </c>
      <c r="E8" s="59" t="s">
        <v>69</v>
      </c>
      <c r="F8" s="56" t="s">
        <v>24</v>
      </c>
      <c r="G8" s="44">
        <v>13</v>
      </c>
      <c r="H8" s="129">
        <f>IF(B$17=0,0,G8/B$17)</f>
        <v>0.21311475409836064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0.34782608695652173</v>
      </c>
      <c r="E9" s="59" t="s">
        <v>65</v>
      </c>
      <c r="F9" s="56" t="s">
        <v>21</v>
      </c>
      <c r="G9" s="44">
        <v>8</v>
      </c>
      <c r="H9" s="129">
        <f>IF(B$17=0,0,G9/B$17)</f>
        <v>0.13114754098360656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8.6956521739130432E-2</v>
      </c>
      <c r="E10" s="59" t="s">
        <v>70</v>
      </c>
      <c r="F10" s="56" t="s">
        <v>25</v>
      </c>
      <c r="G10" s="44">
        <v>6</v>
      </c>
      <c r="H10" s="129">
        <f>IF(B$17=0,0,G10/B$17)</f>
        <v>9.8360655737704916E-2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3</v>
      </c>
      <c r="C11" s="38">
        <f t="shared" si="1"/>
        <v>0.13043478260869565</v>
      </c>
      <c r="E11" s="59" t="s">
        <v>71</v>
      </c>
      <c r="F11" s="56" t="s">
        <v>26</v>
      </c>
      <c r="G11" s="44">
        <v>6</v>
      </c>
      <c r="H11" s="129">
        <f>IF(B$17=0,0,G11/B$17)</f>
        <v>9.8360655737704916E-2</v>
      </c>
      <c r="I11" s="90">
        <v>4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4.3478260869565216E-2</v>
      </c>
      <c r="E12" s="59" t="s">
        <v>89</v>
      </c>
      <c r="F12" s="56" t="s">
        <v>44</v>
      </c>
      <c r="G12" s="44">
        <v>5</v>
      </c>
      <c r="H12" s="129">
        <f>IF(B$17=0,0,G12/B$17)</f>
        <v>8.1967213114754092E-2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59</v>
      </c>
      <c r="C13" s="42">
        <f>IF(B$3=0,0,B13/B$3)</f>
        <v>0.26940639269406391</v>
      </c>
      <c r="E13" s="59" t="s">
        <v>78</v>
      </c>
      <c r="F13" s="56" t="s">
        <v>33</v>
      </c>
      <c r="G13" s="44">
        <v>3</v>
      </c>
      <c r="H13" s="129">
        <f>IF(B$17=0,0,G13/B$17)</f>
        <v>4.9180327868852458E-2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34</v>
      </c>
      <c r="C14" s="37">
        <f>IF(B$3=0,0,B14/B$3)</f>
        <v>0.15525114155251141</v>
      </c>
      <c r="E14" s="59" t="s">
        <v>86</v>
      </c>
      <c r="F14" s="56" t="s">
        <v>41</v>
      </c>
      <c r="G14" s="44">
        <v>3</v>
      </c>
      <c r="H14" s="129">
        <f>IF(B$17=0,0,G14/B$17)</f>
        <v>4.9180327868852458E-2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0.59322033898305082</v>
      </c>
      <c r="E15" s="59" t="s">
        <v>83</v>
      </c>
      <c r="F15" s="56" t="s">
        <v>38</v>
      </c>
      <c r="G15" s="44">
        <v>2</v>
      </c>
      <c r="H15" s="129">
        <f>IF(B$17=0,0,G15/B$17)</f>
        <v>3.2786885245901641E-2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0.35294117647058826</v>
      </c>
      <c r="E16" s="59" t="s">
        <v>75</v>
      </c>
      <c r="F16" s="56" t="s">
        <v>30</v>
      </c>
      <c r="G16" s="44">
        <v>1</v>
      </c>
      <c r="H16" s="129">
        <f>IF(B$17=0,0,G16/B$17)</f>
        <v>1.6393442622950821E-2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61</v>
      </c>
      <c r="C17" s="35">
        <f>IF(B$3=0,0,B17/B$3)</f>
        <v>0.27853881278538811</v>
      </c>
      <c r="E17" s="59" t="s">
        <v>81</v>
      </c>
      <c r="F17" s="56" t="s">
        <v>36</v>
      </c>
      <c r="G17" s="44">
        <v>1</v>
      </c>
      <c r="H17" s="129">
        <f>IF(B$17=0,0,G17/B$17)</f>
        <v>1.6393442622950821E-2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34</v>
      </c>
      <c r="C18" s="37">
        <f>IF(B$17=0,0,B18/B$17)</f>
        <v>0.55737704918032782</v>
      </c>
      <c r="E18" s="59" t="s">
        <v>85</v>
      </c>
      <c r="F18" s="56" t="s">
        <v>40</v>
      </c>
      <c r="G18" s="44">
        <v>1</v>
      </c>
      <c r="H18" s="129">
        <f>IF(B$17=0,0,G18/B$17)</f>
        <v>1.6393442622950821E-2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0.44262295081967212</v>
      </c>
      <c r="E19" s="59" t="s">
        <v>87</v>
      </c>
      <c r="F19" s="56" t="s">
        <v>42</v>
      </c>
      <c r="G19" s="44">
        <v>1</v>
      </c>
      <c r="H19" s="129">
        <f>IF(B$17=0,0,G19/B$17)</f>
        <v>1.6393442622950821E-2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34</v>
      </c>
      <c r="C20" s="37">
        <f>IF(B$3=0,0,B20/B$3)</f>
        <v>0.15525114155251141</v>
      </c>
      <c r="E20" s="59" t="s">
        <v>167</v>
      </c>
      <c r="F20" s="56" t="s">
        <v>168</v>
      </c>
      <c r="G20" s="44">
        <v>1</v>
      </c>
      <c r="H20" s="129">
        <f>IF(B$17=0,0,G20/B$17)</f>
        <v>1.6393442622950821E-2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2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-41.585714285714289</v>
      </c>
      <c r="P22" s="115">
        <v>7</v>
      </c>
      <c r="Q22" s="103">
        <v>-291.10000000000002</v>
      </c>
    </row>
    <row r="23" spans="1:17" x14ac:dyDescent="0.4">
      <c r="A23" s="51" t="s">
        <v>5</v>
      </c>
      <c r="B23" s="48">
        <f>IF(B$17=0,0,C23/B$17)</f>
        <v>8398.3606557377043</v>
      </c>
      <c r="C23" s="39">
        <v>512300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8714.2857142857138</v>
      </c>
      <c r="C24" s="137">
        <v>427000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-7058.8235294117649</v>
      </c>
      <c r="C26" s="137">
        <v>-240000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4.5662100456621002E-3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3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0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1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8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2019-11-05T23:29:47Z</dcterms:modified>
</cp:coreProperties>
</file>