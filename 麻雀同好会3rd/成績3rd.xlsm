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DC234C7-0EC0-4012-A1CA-D910B8AF2E8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5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8" i="5859" l="1"/>
  <c r="O21" i="5863"/>
  <c r="O17" i="5859" l="1"/>
  <c r="O20" i="5867"/>
  <c r="O22" i="5867"/>
  <c r="O17" i="5857"/>
  <c r="O18" i="5861"/>
  <c r="O16" i="5863"/>
  <c r="O19" i="5863"/>
  <c r="O19" i="5857"/>
  <c r="O17" i="5861"/>
  <c r="O15" i="5859"/>
  <c r="O20" i="5871"/>
  <c r="O22" i="5871"/>
  <c r="O22" i="5865" l="1"/>
  <c r="O18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6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1" i="5869"/>
  <c r="H6" i="5869"/>
  <c r="H10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7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0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<sst xmlns="http://schemas.openxmlformats.org/spreadsheetml/2006/main" count="2847" uniqueCount="246">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</sst>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全体!$K$2:$K$554</c:f>
              <c:numCache>
                <c:formatCode>General</c:formatCode>
                <c:ptCount val="5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</c:numCache>
            </c:numRef>
          </c:xVal>
          <c:yVal>
            <c:numRef>
              <c:f>全体!$L$2:$L$554</c:f>
              <c:numCache>
                <c:formatCode>\+0.0;\-0.0;\±0</c:formatCode>
                <c:ptCount val="55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-21.857923497267759</c:v>
                </c:pt>
                <c:pt idx="1">
                  <c:v>7.4487895716945998</c:v>
                </c:pt>
                <c:pt idx="2">
                  <c:v>-13.725490196078431</c:v>
                </c:pt>
                <c:pt idx="3">
                  <c:v>10.351966873706004</c:v>
                </c:pt>
                <c:pt idx="4">
                  <c:v>11.185682326621924</c:v>
                </c:pt>
                <c:pt idx="5">
                  <c:v>13.440860215053764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1382.3529411764705</c:v>
                </c:pt>
                <c:pt idx="1">
                  <c:v>-948</c:v>
                </c:pt>
                <c:pt idx="2">
                  <c:v>-1997.9166666666667</c:v>
                </c:pt>
                <c:pt idx="3">
                  <c:v>-1374.4680851063829</c:v>
                </c:pt>
                <c:pt idx="4">
                  <c:v>-121.27659574468085</c:v>
                </c:pt>
                <c:pt idx="5">
                  <c:v>-1772.5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だいち!$L$2:$L$118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1386.0869565217392</c:v>
                </c:pt>
                <c:pt idx="1">
                  <c:v>663.39285714285711</c:v>
                </c:pt>
                <c:pt idx="2">
                  <c:v>932.40740740740739</c:v>
                </c:pt>
                <c:pt idx="3">
                  <c:v>376.76767676767679</c:v>
                </c:pt>
                <c:pt idx="4">
                  <c:v>2045.6521739130435</c:v>
                </c:pt>
                <c:pt idx="5">
                  <c:v>2761.3333333333335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-1833.3333333333333</c:v>
                </c:pt>
                <c:pt idx="1">
                  <c:v>1167</c:v>
                </c:pt>
                <c:pt idx="2">
                  <c:v>289.36170212765956</c:v>
                </c:pt>
                <c:pt idx="3">
                  <c:v>618.18181818181813</c:v>
                </c:pt>
                <c:pt idx="4">
                  <c:v>-1153.0864197530864</c:v>
                </c:pt>
                <c:pt idx="5">
                  <c:v>1288.4057971014493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-115.87301587301587</c:v>
                </c:pt>
                <c:pt idx="1">
                  <c:v>-988.88888888888891</c:v>
                </c:pt>
                <c:pt idx="2">
                  <c:v>947.45762711864404</c:v>
                </c:pt>
                <c:pt idx="3">
                  <c:v>-1389.655172413793</c:v>
                </c:pt>
                <c:pt idx="4">
                  <c:v>-3281.818181818182</c:v>
                </c:pt>
                <c:pt idx="5">
                  <c:v>-1214.2857142857142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れんたろう!$L$2:$L$63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1696.7213114754099</c:v>
                </c:pt>
                <c:pt idx="1">
                  <c:v>-2205.0847457627119</c:v>
                </c:pt>
                <c:pt idx="2">
                  <c:v>1009.0909090909091</c:v>
                </c:pt>
                <c:pt idx="3">
                  <c:v>3832.0754716981132</c:v>
                </c:pt>
                <c:pt idx="4">
                  <c:v>1110.204081632653</c:v>
                </c:pt>
                <c:pt idx="5">
                  <c:v>-313.15789473684208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538.20224719101122</c:v>
                </c:pt>
                <c:pt idx="1">
                  <c:v>738.37209302325584</c:v>
                </c:pt>
                <c:pt idx="2">
                  <c:v>-1130</c:v>
                </c:pt>
                <c:pt idx="3">
                  <c:v>-208.1081081081081</c:v>
                </c:pt>
                <c:pt idx="4">
                  <c:v>-760</c:v>
                </c:pt>
                <c:pt idx="5">
                  <c:v>-828.57142857142856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-2516.6666666666665</c:v>
                </c:pt>
                <c:pt idx="1">
                  <c:v>169.44444444444446</c:v>
                </c:pt>
                <c:pt idx="2">
                  <c:v>-1125</c:v>
                </c:pt>
                <c:pt idx="3">
                  <c:v>-2179.4117647058824</c:v>
                </c:pt>
                <c:pt idx="4">
                  <c:v>-1615.1515151515152</c:v>
                </c:pt>
                <c:pt idx="5">
                  <c:v>-3600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のり2!$B$3:$B$39</c:f>
              <c:numCache>
                <c:formatCode>\+0.0;\-0.0;\±0</c:formatCode>
                <c:ptCount val="3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のり2!$C$3:$C$39</c:f>
              <c:numCache>
                <c:formatCode>\+0.0;\-0.0;\±0</c:formatCode>
                <c:ptCount val="37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010505707102720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のり2!$D$3:$D$39</c:f>
              <c:numCache>
                <c:formatCode>0.00\ "位"</c:formatCode>
                <c:ptCount val="37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のり2!$E$3:$E$39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のり2!$F$3:$F$39</c:f>
              <c:numCache>
                <c:formatCode>0.0%</c:formatCode>
                <c:ptCount val="3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のり2!$G$3:$G$39</c:f>
              <c:numCache>
                <c:formatCode>0.0%</c:formatCode>
                <c:ptCount val="37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638996973627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のり2!$H$3:$H$39</c:f>
              <c:numCache>
                <c:formatCode>0.0%</c:formatCode>
                <c:ptCount val="37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28880242109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のり2!$I$3:$I$39</c:f>
              <c:numCache>
                <c:formatCode>0</c:formatCode>
                <c:ptCount val="37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8.4446074834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のり2!$J$3:$J$39</c:f>
              <c:numCache>
                <c:formatCode>0</c:formatCode>
                <c:ptCount val="37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0.13157894736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のり2!$K$3:$K$39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202898550724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のり2!$L$3:$L$39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202898550724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のり2!$M$3:$M$39</c:f>
              <c:numCache>
                <c:formatCode>0.0%</c:formatCode>
                <c:ptCount val="37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70211846087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のり2!$N$3:$N$39</c:f>
              <c:numCache>
                <c:formatCode>0.0%</c:formatCode>
                <c:ptCount val="37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78815391266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のり2!$O$3:$O$39</c:f>
              <c:numCache>
                <c:formatCode>0.0%</c:formatCode>
                <c:ptCount val="37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59709153122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のり2!$P$3:$P$39</c:f>
              <c:numCache>
                <c:formatCode>0.0%</c:formatCode>
                <c:ptCount val="37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15992474129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のり2!$Q$3:$Q$39</c:f>
              <c:numCache>
                <c:formatCode>0.0%</c:formatCode>
                <c:ptCount val="37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7072633895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4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552</v>
      </c>
    </row>
    <row r="2" spans="1:2" x14ac:dyDescent="0.4">
      <c r="A2" t="s">
        <v>166</v>
      </c>
      <c r="B2">
        <v>51</v>
      </c>
    </row>
    <row r="3" spans="1:2" x14ac:dyDescent="0.4">
      <c r="A3" t="s">
        <v>126</v>
      </c>
      <c r="B3">
        <v>116</v>
      </c>
    </row>
    <row r="4" spans="1:2" x14ac:dyDescent="0.4">
      <c r="A4" t="s">
        <v>127</v>
      </c>
      <c r="B4">
        <v>103</v>
      </c>
    </row>
    <row r="5" spans="1:2" x14ac:dyDescent="0.4">
      <c r="A5" t="s">
        <v>179</v>
      </c>
      <c r="B5">
        <v>64</v>
      </c>
    </row>
    <row r="6" spans="1:2" x14ac:dyDescent="0.4">
      <c r="A6" t="s">
        <v>177</v>
      </c>
      <c r="B6">
        <v>61</v>
      </c>
    </row>
    <row r="7" spans="1:2" x14ac:dyDescent="0.4">
      <c r="A7" t="s">
        <v>178</v>
      </c>
      <c r="B7">
        <v>89</v>
      </c>
    </row>
    <row r="8" spans="1:2" x14ac:dyDescent="0.4">
      <c r="A8" t="s">
        <v>182</v>
      </c>
      <c r="B8">
        <v>36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0.99340875447467691</v>
      </c>
      <c r="G2" s="157"/>
      <c r="H2" s="156">
        <v>0.90260999331575176</v>
      </c>
      <c r="I2" s="157"/>
      <c r="J2" s="156">
        <v>0.91319156086308995</v>
      </c>
      <c r="K2" s="157"/>
      <c r="L2" s="156">
        <v>0.86361713220091685</v>
      </c>
      <c r="M2" s="157"/>
      <c r="N2" s="156">
        <v>0.55864768535788401</v>
      </c>
      <c r="O2" s="157"/>
      <c r="P2" s="156">
        <v>0.56236094217059795</v>
      </c>
      <c r="Q2" s="157"/>
      <c r="R2" s="156">
        <v>-0.16492538832960063</v>
      </c>
      <c r="S2" s="157"/>
      <c r="T2" s="156">
        <v>0.48772351278472037</v>
      </c>
      <c r="U2" s="157"/>
      <c r="V2" s="156">
        <v>0.84886269036842343</v>
      </c>
      <c r="W2" s="157"/>
      <c r="X2" s="156">
        <v>0.5999770828350085</v>
      </c>
      <c r="Y2" s="157"/>
      <c r="Z2" s="156">
        <v>-0.14512845287947074</v>
      </c>
      <c r="AA2" s="157"/>
      <c r="AB2" s="156">
        <v>0.312057080817501</v>
      </c>
      <c r="AC2" s="157"/>
      <c r="AD2" s="156">
        <v>0.51291419882343348</v>
      </c>
      <c r="AE2" s="157"/>
      <c r="AF2" s="156">
        <v>-4.937902411530961E-2</v>
      </c>
      <c r="AG2" s="157"/>
      <c r="AH2" s="156">
        <v>0.76268214272454882</v>
      </c>
      <c r="AI2" s="157"/>
    </row>
    <row r="3" spans="1:35" x14ac:dyDescent="0.4">
      <c r="A3" s="70">
        <v>1</v>
      </c>
      <c r="B3" s="71" t="s">
        <v>126</v>
      </c>
      <c r="C3" s="72">
        <v>1043.3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10410.135135135135</v>
      </c>
      <c r="R3" s="73" t="s">
        <v>166</v>
      </c>
      <c r="S3" s="77">
        <v>-6974.2857142857147</v>
      </c>
      <c r="T3" s="73" t="s">
        <v>222</v>
      </c>
      <c r="U3" s="75">
        <v>0</v>
      </c>
      <c r="V3" s="73" t="s">
        <v>177</v>
      </c>
      <c r="W3" s="75">
        <v>0.19672131147540983</v>
      </c>
      <c r="X3" s="73" t="s">
        <v>177</v>
      </c>
      <c r="Y3" s="76">
        <v>0.32341269841269843</v>
      </c>
      <c r="Z3" s="73" t="s">
        <v>195</v>
      </c>
      <c r="AA3" s="76">
        <v>0.35483870967741937</v>
      </c>
      <c r="AB3" s="73" t="s">
        <v>126</v>
      </c>
      <c r="AC3" s="76">
        <v>0.60317460317460314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351.80000000000007</v>
      </c>
      <c r="D4" s="81" t="s">
        <v>126</v>
      </c>
      <c r="E4" s="93">
        <v>8.9939655172413797</v>
      </c>
      <c r="F4" s="81" t="s">
        <v>126</v>
      </c>
      <c r="G4" s="82">
        <v>1.7844827586206897</v>
      </c>
      <c r="H4" s="81" t="s">
        <v>126</v>
      </c>
      <c r="I4" s="83">
        <v>0.45689655172413796</v>
      </c>
      <c r="J4" s="81" t="s">
        <v>126</v>
      </c>
      <c r="K4" s="83">
        <v>0.2413793103448276</v>
      </c>
      <c r="L4" s="81" t="s">
        <v>126</v>
      </c>
      <c r="M4" s="84">
        <v>0.34358430540827145</v>
      </c>
      <c r="N4" s="81" t="s">
        <v>126</v>
      </c>
      <c r="O4" s="84">
        <v>0.12831389183457051</v>
      </c>
      <c r="P4" s="81" t="s">
        <v>127</v>
      </c>
      <c r="Q4" s="85">
        <v>8591.8918918918916</v>
      </c>
      <c r="R4" s="81" t="s">
        <v>181</v>
      </c>
      <c r="S4" s="85">
        <v>-7058.8235294117649</v>
      </c>
      <c r="T4" s="81" t="s">
        <v>166</v>
      </c>
      <c r="U4" s="83">
        <v>1.9607843137254902E-2</v>
      </c>
      <c r="V4" s="81" t="s">
        <v>195</v>
      </c>
      <c r="W4" s="83">
        <v>0.14285714285714285</v>
      </c>
      <c r="X4" s="81" t="s">
        <v>179</v>
      </c>
      <c r="Y4" s="84">
        <v>0.28782287822878228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0.48584905660377359</v>
      </c>
      <c r="AF4" s="81" t="s">
        <v>182</v>
      </c>
      <c r="AG4" s="84">
        <v>0.48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5.7672131147540995</v>
      </c>
      <c r="F5" s="81" t="s">
        <v>177</v>
      </c>
      <c r="G5" s="82">
        <v>1.8688524590163935</v>
      </c>
      <c r="H5" s="81" t="s">
        <v>195</v>
      </c>
      <c r="I5" s="83">
        <v>0.42857142857142855</v>
      </c>
      <c r="J5" s="81" t="s">
        <v>178</v>
      </c>
      <c r="K5" s="83">
        <v>0.2808988764044944</v>
      </c>
      <c r="L5" s="81" t="s">
        <v>127</v>
      </c>
      <c r="M5" s="84">
        <v>0.29976851851851855</v>
      </c>
      <c r="N5" s="81" t="s">
        <v>178</v>
      </c>
      <c r="O5" s="84">
        <v>0.13547486033519554</v>
      </c>
      <c r="P5" s="81" t="s">
        <v>143</v>
      </c>
      <c r="Q5" s="85">
        <v>8438.4446074834923</v>
      </c>
      <c r="R5" s="81" t="s">
        <v>179</v>
      </c>
      <c r="S5" s="85">
        <v>-7617.8571428571431</v>
      </c>
      <c r="T5" s="81" t="s">
        <v>126</v>
      </c>
      <c r="U5" s="83">
        <v>4.3103448275862072E-2</v>
      </c>
      <c r="V5" s="81" t="s">
        <v>181</v>
      </c>
      <c r="W5" s="83">
        <v>0.13043478260869565</v>
      </c>
      <c r="X5" s="81" t="s">
        <v>181</v>
      </c>
      <c r="Y5" s="84">
        <v>0.26940639269406391</v>
      </c>
      <c r="Z5" s="81" t="s">
        <v>127</v>
      </c>
      <c r="AA5" s="84">
        <v>0.30324074074074076</v>
      </c>
      <c r="AB5" s="81" t="s">
        <v>179</v>
      </c>
      <c r="AC5" s="84">
        <v>0.58333333333333337</v>
      </c>
      <c r="AD5" s="81" t="s">
        <v>177</v>
      </c>
      <c r="AE5" s="84">
        <v>0.43956043956043955</v>
      </c>
      <c r="AF5" s="81" t="s">
        <v>177</v>
      </c>
      <c r="AG5" s="84">
        <v>0.47297297297297297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177</v>
      </c>
      <c r="I6" s="83">
        <v>0.42622950819672129</v>
      </c>
      <c r="J6" s="81" t="s">
        <v>177</v>
      </c>
      <c r="K6" s="83">
        <v>0.29508196721311475</v>
      </c>
      <c r="L6" s="81" t="s">
        <v>143</v>
      </c>
      <c r="M6" s="84">
        <v>0.29463899697362733</v>
      </c>
      <c r="N6" s="81" t="s">
        <v>166</v>
      </c>
      <c r="O6" s="84">
        <v>0.15250544662309368</v>
      </c>
      <c r="P6" s="81" t="s">
        <v>181</v>
      </c>
      <c r="Q6" s="85">
        <v>8398.3606557377043</v>
      </c>
      <c r="R6" s="81" t="s">
        <v>143</v>
      </c>
      <c r="S6" s="85">
        <v>-7850.1315789473683</v>
      </c>
      <c r="T6" s="81" t="s">
        <v>177</v>
      </c>
      <c r="U6" s="83">
        <v>8.1967213114754092E-2</v>
      </c>
      <c r="V6" s="81" t="s">
        <v>126</v>
      </c>
      <c r="W6" s="83">
        <v>0.12931034482758622</v>
      </c>
      <c r="X6" s="81" t="s">
        <v>126</v>
      </c>
      <c r="Y6" s="84">
        <v>0.26723223753976671</v>
      </c>
      <c r="Z6" s="81" t="s">
        <v>182</v>
      </c>
      <c r="AA6" s="84">
        <v>0.23178807947019867</v>
      </c>
      <c r="AB6" s="81" t="s">
        <v>178</v>
      </c>
      <c r="AC6" s="84">
        <v>0.56084656084656082</v>
      </c>
      <c r="AD6" s="81" t="s">
        <v>178</v>
      </c>
      <c r="AE6" s="84">
        <v>0.41249999999999998</v>
      </c>
      <c r="AF6" s="81" t="s">
        <v>179</v>
      </c>
      <c r="AG6" s="84">
        <v>0.46052631578947367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-4.9737991503207013E-14</v>
      </c>
      <c r="D7" s="81" t="s">
        <v>143</v>
      </c>
      <c r="E7" s="93">
        <v>-9.0105057071027203E-17</v>
      </c>
      <c r="F7" s="81" t="s">
        <v>127</v>
      </c>
      <c r="G7" s="82">
        <v>1.9805825242718447</v>
      </c>
      <c r="H7" s="81" t="s">
        <v>181</v>
      </c>
      <c r="I7" s="83">
        <v>0.39130434782608697</v>
      </c>
      <c r="J7" s="81" t="s">
        <v>127</v>
      </c>
      <c r="K7" s="83">
        <v>0.3300970873786408</v>
      </c>
      <c r="L7" s="81" t="s">
        <v>177</v>
      </c>
      <c r="M7" s="84">
        <v>0.29365079365079366</v>
      </c>
      <c r="N7" s="81" t="s">
        <v>181</v>
      </c>
      <c r="O7" s="84">
        <v>0.15525114155251141</v>
      </c>
      <c r="P7" s="81" t="s">
        <v>178</v>
      </c>
      <c r="Q7" s="85">
        <v>8315.8415841584156</v>
      </c>
      <c r="R7" s="81" t="s">
        <v>177</v>
      </c>
      <c r="S7" s="85">
        <v>-7910.7142857142853</v>
      </c>
      <c r="T7" s="81" t="s">
        <v>181</v>
      </c>
      <c r="U7" s="83">
        <v>8.6956521739130432E-2</v>
      </c>
      <c r="V7" s="81" t="s">
        <v>127</v>
      </c>
      <c r="W7" s="83">
        <v>9.7087378640776698E-2</v>
      </c>
      <c r="X7" s="81" t="s">
        <v>222</v>
      </c>
      <c r="Y7" s="84">
        <v>0.26666666666666666</v>
      </c>
      <c r="Z7" s="81" t="s">
        <v>143</v>
      </c>
      <c r="AA7" s="84">
        <v>0.22978815391266752</v>
      </c>
      <c r="AB7" s="81" t="s">
        <v>143</v>
      </c>
      <c r="AC7" s="84">
        <v>0.55859709153122328</v>
      </c>
      <c r="AD7" s="81" t="s">
        <v>143</v>
      </c>
      <c r="AE7" s="84">
        <v>0.4101599247412982</v>
      </c>
      <c r="AF7" s="81" t="s">
        <v>178</v>
      </c>
      <c r="AG7" s="84">
        <v>0.4405940594059406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127</v>
      </c>
      <c r="C8" s="80">
        <v>-31.500000000000213</v>
      </c>
      <c r="D8" s="81" t="s">
        <v>127</v>
      </c>
      <c r="E8" s="93">
        <v>-0.30582524271844869</v>
      </c>
      <c r="F8" s="81" t="s">
        <v>143</v>
      </c>
      <c r="G8" s="82">
        <v>2</v>
      </c>
      <c r="H8" s="81" t="s">
        <v>127</v>
      </c>
      <c r="I8" s="83">
        <v>0.34951456310679613</v>
      </c>
      <c r="J8" s="81" t="s">
        <v>143</v>
      </c>
      <c r="K8" s="83">
        <v>0.33333333333333331</v>
      </c>
      <c r="L8" s="81" t="s">
        <v>178</v>
      </c>
      <c r="M8" s="84">
        <v>0.28212290502793297</v>
      </c>
      <c r="N8" s="81" t="s">
        <v>143</v>
      </c>
      <c r="O8" s="84">
        <v>0.16428880242109814</v>
      </c>
      <c r="P8" s="81" t="s">
        <v>126</v>
      </c>
      <c r="Q8" s="85">
        <v>8296.6049382716046</v>
      </c>
      <c r="R8" s="81" t="s">
        <v>182</v>
      </c>
      <c r="S8" s="85">
        <v>-7919.2982456140353</v>
      </c>
      <c r="T8" s="81" t="s">
        <v>178</v>
      </c>
      <c r="U8" s="83">
        <v>8.98876404494382E-2</v>
      </c>
      <c r="V8" s="81" t="s">
        <v>143</v>
      </c>
      <c r="W8" s="83">
        <v>9.420289855072464E-2</v>
      </c>
      <c r="X8" s="81" t="s">
        <v>178</v>
      </c>
      <c r="Y8" s="84">
        <v>0.26396648044692739</v>
      </c>
      <c r="Z8" s="81" t="s">
        <v>166</v>
      </c>
      <c r="AA8" s="84">
        <v>0.22875816993464052</v>
      </c>
      <c r="AB8" s="81" t="s">
        <v>182</v>
      </c>
      <c r="AC8" s="84">
        <v>0.55172413793103448</v>
      </c>
      <c r="AD8" s="81" t="s">
        <v>179</v>
      </c>
      <c r="AE8" s="84">
        <v>0.40196078431372551</v>
      </c>
      <c r="AF8" s="81" t="s">
        <v>143</v>
      </c>
      <c r="AG8" s="84">
        <v>0.43727072633895819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-1.3438202247191011</v>
      </c>
      <c r="F9" s="81" t="s">
        <v>178</v>
      </c>
      <c r="G9" s="82">
        <v>2.0561797752808988</v>
      </c>
      <c r="H9" s="81" t="s">
        <v>166</v>
      </c>
      <c r="I9" s="83">
        <v>0.33333333333333331</v>
      </c>
      <c r="J9" s="81" t="s">
        <v>181</v>
      </c>
      <c r="K9" s="83">
        <v>0.34782608695652173</v>
      </c>
      <c r="L9" s="81" t="s">
        <v>179</v>
      </c>
      <c r="M9" s="84">
        <v>0.28044280442804426</v>
      </c>
      <c r="N9" s="81" t="s">
        <v>177</v>
      </c>
      <c r="O9" s="84">
        <v>0.16666666666666666</v>
      </c>
      <c r="P9" s="81" t="s">
        <v>179</v>
      </c>
      <c r="Q9" s="85">
        <v>8158.5526315789475</v>
      </c>
      <c r="R9" s="81" t="s">
        <v>126</v>
      </c>
      <c r="S9" s="85">
        <v>-7973.5537190082641</v>
      </c>
      <c r="T9" s="81" t="s">
        <v>179</v>
      </c>
      <c r="U9" s="83">
        <v>9.375E-2</v>
      </c>
      <c r="V9" s="81" t="s">
        <v>178</v>
      </c>
      <c r="W9" s="83">
        <v>6.741573033707865E-2</v>
      </c>
      <c r="X9" s="81" t="s">
        <v>143</v>
      </c>
      <c r="Y9" s="84">
        <v>0.25270211846087332</v>
      </c>
      <c r="Z9" s="81" t="s">
        <v>126</v>
      </c>
      <c r="AA9" s="84">
        <v>0.22481442205726404</v>
      </c>
      <c r="AB9" s="81" t="s">
        <v>177</v>
      </c>
      <c r="AC9" s="84">
        <v>0.54601226993865026</v>
      </c>
      <c r="AD9" s="81" t="s">
        <v>182</v>
      </c>
      <c r="AE9" s="84">
        <v>0.4</v>
      </c>
      <c r="AF9" s="81" t="s">
        <v>126</v>
      </c>
      <c r="AG9" s="84">
        <v>0.42592592592592593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178</v>
      </c>
      <c r="C10" s="80">
        <v>-119.60000000000001</v>
      </c>
      <c r="D10" s="81" t="s">
        <v>166</v>
      </c>
      <c r="E10" s="93">
        <v>-5.3647058823529425</v>
      </c>
      <c r="F10" s="81" t="s">
        <v>166</v>
      </c>
      <c r="G10" s="82">
        <v>2.1176470588235294</v>
      </c>
      <c r="H10" s="81" t="s">
        <v>143</v>
      </c>
      <c r="I10" s="83">
        <v>0.33333333333333331</v>
      </c>
      <c r="J10" s="81" t="s">
        <v>179</v>
      </c>
      <c r="K10" s="83">
        <v>0.390625</v>
      </c>
      <c r="L10" s="81" t="s">
        <v>181</v>
      </c>
      <c r="M10" s="84">
        <v>0.27853881278538811</v>
      </c>
      <c r="N10" s="81" t="s">
        <v>182</v>
      </c>
      <c r="O10" s="84">
        <v>0.18874172185430463</v>
      </c>
      <c r="P10" s="81" t="s">
        <v>182</v>
      </c>
      <c r="Q10" s="85">
        <v>7877.333333333333</v>
      </c>
      <c r="R10" s="81" t="s">
        <v>222</v>
      </c>
      <c r="S10" s="85">
        <v>-8000</v>
      </c>
      <c r="T10" s="81" t="s">
        <v>143</v>
      </c>
      <c r="U10" s="83">
        <v>9.420289855072464E-2</v>
      </c>
      <c r="V10" s="81" t="s">
        <v>166</v>
      </c>
      <c r="W10" s="83">
        <v>3.9215686274509803E-2</v>
      </c>
      <c r="X10" s="81" t="s">
        <v>195</v>
      </c>
      <c r="Y10" s="84">
        <v>0.24193548387096775</v>
      </c>
      <c r="Z10" s="81" t="s">
        <v>178</v>
      </c>
      <c r="AA10" s="84">
        <v>0.22346368715083798</v>
      </c>
      <c r="AB10" s="81" t="s">
        <v>195</v>
      </c>
      <c r="AC10" s="84">
        <v>0.53333333333333333</v>
      </c>
      <c r="AD10" s="81" t="s">
        <v>166</v>
      </c>
      <c r="AE10" s="84">
        <v>0.37142857142857144</v>
      </c>
      <c r="AF10" s="81" t="s">
        <v>166</v>
      </c>
      <c r="AG10" s="84">
        <v>0.40833333333333333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-273.60000000000008</v>
      </c>
      <c r="D11" s="81" t="s">
        <v>179</v>
      </c>
      <c r="E11" s="93">
        <v>-6.5796874999999995</v>
      </c>
      <c r="F11" s="81" t="s">
        <v>195</v>
      </c>
      <c r="G11" s="82">
        <v>2.1428571428571428</v>
      </c>
      <c r="H11" s="81" t="s">
        <v>178</v>
      </c>
      <c r="I11" s="83">
        <v>0.2247191011235955</v>
      </c>
      <c r="J11" s="81" t="s">
        <v>166</v>
      </c>
      <c r="K11" s="83">
        <v>0.45098039215686275</v>
      </c>
      <c r="L11" s="81" t="s">
        <v>166</v>
      </c>
      <c r="M11" s="84">
        <v>0.26143790849673204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-8062.8865979381444</v>
      </c>
      <c r="T11" s="81" t="s">
        <v>127</v>
      </c>
      <c r="U11" s="83">
        <v>0.14563106796116504</v>
      </c>
      <c r="V11" s="81" t="s">
        <v>179</v>
      </c>
      <c r="W11" s="83">
        <v>3.125E-2</v>
      </c>
      <c r="X11" s="81" t="s">
        <v>127</v>
      </c>
      <c r="Y11" s="84">
        <v>0.23495370370370369</v>
      </c>
      <c r="Z11" s="81" t="s">
        <v>179</v>
      </c>
      <c r="AA11" s="84">
        <v>0.18819188191881919</v>
      </c>
      <c r="AB11" s="81" t="s">
        <v>127</v>
      </c>
      <c r="AC11" s="84">
        <v>0.5073891625615764</v>
      </c>
      <c r="AD11" s="81" t="s">
        <v>127</v>
      </c>
      <c r="AE11" s="84">
        <v>0.36641221374045801</v>
      </c>
      <c r="AF11" s="81" t="s">
        <v>127</v>
      </c>
      <c r="AG11" s="84">
        <v>0.39768339768339767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-421.09999999999997</v>
      </c>
      <c r="D12" s="81" t="s">
        <v>182</v>
      </c>
      <c r="E12" s="93">
        <v>-13.833333333333336</v>
      </c>
      <c r="F12" s="81" t="s">
        <v>179</v>
      </c>
      <c r="G12" s="82">
        <v>2.171875</v>
      </c>
      <c r="H12" s="81" t="s">
        <v>179</v>
      </c>
      <c r="I12" s="83">
        <v>0.21875</v>
      </c>
      <c r="J12" s="81" t="s">
        <v>182</v>
      </c>
      <c r="K12" s="83">
        <v>0.52777777777777779</v>
      </c>
      <c r="L12" s="81" t="s">
        <v>182</v>
      </c>
      <c r="M12" s="84">
        <v>0.24834437086092714</v>
      </c>
      <c r="N12" s="81" t="s">
        <v>127</v>
      </c>
      <c r="O12" s="84">
        <v>0.19907407407407407</v>
      </c>
      <c r="P12" s="81" t="s">
        <v>222</v>
      </c>
      <c r="Q12" s="85">
        <v>7385.7142857142853</v>
      </c>
      <c r="R12" s="81" t="s">
        <v>127</v>
      </c>
      <c r="S12" s="85">
        <v>-8168.604651162791</v>
      </c>
      <c r="T12" s="81" t="s">
        <v>182</v>
      </c>
      <c r="U12" s="83">
        <v>0.16666666666666666</v>
      </c>
      <c r="V12" s="81" t="s">
        <v>182</v>
      </c>
      <c r="W12" s="83">
        <v>2.7777777777777776E-2</v>
      </c>
      <c r="X12" s="81" t="s">
        <v>182</v>
      </c>
      <c r="Y12" s="84">
        <v>0.19205298013245034</v>
      </c>
      <c r="Z12" s="81" t="s">
        <v>177</v>
      </c>
      <c r="AA12" s="84">
        <v>0.18055555555555555</v>
      </c>
      <c r="AB12" s="81" t="s">
        <v>166</v>
      </c>
      <c r="AC12" s="84">
        <v>0.5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-498.00000000000011</v>
      </c>
      <c r="D13" s="81" t="s">
        <v>195</v>
      </c>
      <c r="E13" s="93">
        <v>-14.971428571428573</v>
      </c>
      <c r="F13" s="81" t="s">
        <v>182</v>
      </c>
      <c r="G13" s="82">
        <v>2.3888888888888888</v>
      </c>
      <c r="H13" s="81" t="s">
        <v>182</v>
      </c>
      <c r="I13" s="83">
        <v>0.1388888888888889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0.20664206642066421</v>
      </c>
      <c r="P13" s="81" t="s">
        <v>166</v>
      </c>
      <c r="Q13" s="85">
        <v>7172.5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0.15250544662309368</v>
      </c>
      <c r="Z13" s="81" t="s">
        <v>181</v>
      </c>
      <c r="AA13" s="84">
        <v>0.15525114155251141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5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552</v>
      </c>
      <c r="C2" s="149"/>
      <c r="E2" s="58" t="s">
        <v>66</v>
      </c>
      <c r="F2" s="55" t="s">
        <v>22</v>
      </c>
      <c r="G2" s="43">
        <v>1064</v>
      </c>
      <c r="H2" s="128">
        <f>IF(B$17=0,0,G2/B$17)</f>
        <v>0.78063096111518704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-21.857923497267759</v>
      </c>
      <c r="P2" s="114">
        <v>549</v>
      </c>
      <c r="Q2" s="98">
        <v>-12000</v>
      </c>
    </row>
    <row r="3" spans="1:17" x14ac:dyDescent="0.4">
      <c r="A3" s="51" t="s">
        <v>8</v>
      </c>
      <c r="B3" s="150">
        <v>4626</v>
      </c>
      <c r="C3" s="151"/>
      <c r="E3" s="59" t="s">
        <v>72</v>
      </c>
      <c r="F3" s="56" t="s">
        <v>27</v>
      </c>
      <c r="G3" s="44">
        <v>736</v>
      </c>
      <c r="H3" s="129">
        <f>IF(B$17=0,0,G3/B$17)</f>
        <v>0.53998532648569331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7.4487895716945998</v>
      </c>
      <c r="P3" s="115">
        <v>537</v>
      </c>
      <c r="Q3" s="99">
        <v>4000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625</v>
      </c>
      <c r="H4" s="129">
        <f>IF(B$17=0,0,G4/B$17)</f>
        <v>0.45854732208363902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-13.725490196078431</v>
      </c>
      <c r="P4" s="115">
        <v>510</v>
      </c>
      <c r="Q4" s="99">
        <v>-7000</v>
      </c>
    </row>
    <row r="5" spans="1:17" x14ac:dyDescent="0.4">
      <c r="A5" s="51" t="s">
        <v>7</v>
      </c>
      <c r="B5" s="154">
        <f>IF(B$2=0,0,B$4/B$2)</f>
        <v>-9.0105057071027203E-17</v>
      </c>
      <c r="C5" s="155"/>
      <c r="E5" s="59" t="s">
        <v>171</v>
      </c>
      <c r="F5" s="56" t="s">
        <v>172</v>
      </c>
      <c r="G5" s="44">
        <v>543</v>
      </c>
      <c r="H5" s="129">
        <f>IF(B$17=0,0,G5/B$17)</f>
        <v>0.39838591342626561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10.351966873706004</v>
      </c>
      <c r="P5" s="115">
        <v>483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424</v>
      </c>
      <c r="H6" s="129">
        <f>IF(B$17=0,0,G6/B$17)</f>
        <v>0.31107850330154074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11.185682326621924</v>
      </c>
      <c r="P6" s="115">
        <v>447</v>
      </c>
      <c r="Q6" s="99">
        <v>5000</v>
      </c>
    </row>
    <row r="7" spans="1:17" x14ac:dyDescent="0.4">
      <c r="A7" s="51" t="s">
        <v>2</v>
      </c>
      <c r="B7" s="44">
        <v>184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385</v>
      </c>
      <c r="H7" s="129">
        <f>IF(B$17=0,0,G7/B$17)</f>
        <v>0.28246515040352166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13.440860215053764</v>
      </c>
      <c r="P7" s="116">
        <v>372</v>
      </c>
      <c r="Q7" s="100">
        <v>5000</v>
      </c>
    </row>
    <row r="8" spans="1:17" x14ac:dyDescent="0.4">
      <c r="A8" s="51" t="s">
        <v>3</v>
      </c>
      <c r="B8" s="44">
        <v>184</v>
      </c>
      <c r="C8" s="37">
        <f t="shared" si="1"/>
        <v>0.33333333333333331</v>
      </c>
      <c r="E8" s="59" t="s">
        <v>69</v>
      </c>
      <c r="F8" s="56" t="s">
        <v>24</v>
      </c>
      <c r="G8" s="44">
        <v>207</v>
      </c>
      <c r="H8" s="129">
        <f>IF(B$17=0,0,G8/B$17)</f>
        <v>0.15187087307410124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184</v>
      </c>
      <c r="C9" s="38">
        <f t="shared" si="1"/>
        <v>0.33333333333333331</v>
      </c>
      <c r="E9" s="59" t="s">
        <v>89</v>
      </c>
      <c r="F9" s="56" t="s">
        <v>44</v>
      </c>
      <c r="G9" s="44">
        <v>178</v>
      </c>
      <c r="H9" s="129">
        <f>IF(B$17=0,0,G9/B$17)</f>
        <v>0.13059427732942039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52</v>
      </c>
      <c r="C10" s="38">
        <f t="shared" si="1"/>
        <v>9.420289855072464E-2</v>
      </c>
      <c r="E10" s="59" t="s">
        <v>65</v>
      </c>
      <c r="F10" s="56" t="s">
        <v>21</v>
      </c>
      <c r="G10" s="44">
        <v>139</v>
      </c>
      <c r="H10" s="129">
        <f>IF(B$17=0,0,G10/B$17)</f>
        <v>0.10198092443140132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-0.77500000000000024</v>
      </c>
      <c r="P10" s="114">
        <v>184</v>
      </c>
      <c r="Q10" s="102">
        <v>-142.60000000000005</v>
      </c>
    </row>
    <row r="11" spans="1:17" x14ac:dyDescent="0.4">
      <c r="A11" s="52" t="s">
        <v>138</v>
      </c>
      <c r="B11" s="45">
        <v>52</v>
      </c>
      <c r="C11" s="38">
        <f t="shared" si="1"/>
        <v>9.420289855072464E-2</v>
      </c>
      <c r="E11" s="59" t="s">
        <v>70</v>
      </c>
      <c r="F11" s="56" t="s">
        <v>25</v>
      </c>
      <c r="G11" s="44">
        <v>132</v>
      </c>
      <c r="H11" s="129">
        <f>IF(B$17=0,0,G11/B$17)</f>
        <v>9.6845194424064557E-2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1.4440217391304346</v>
      </c>
      <c r="P11" s="115">
        <v>184</v>
      </c>
      <c r="Q11" s="103">
        <v>265.7</v>
      </c>
    </row>
    <row r="12" spans="1:17" x14ac:dyDescent="0.4">
      <c r="A12" s="53" t="s">
        <v>158</v>
      </c>
      <c r="B12" s="46">
        <v>57</v>
      </c>
      <c r="C12" s="40">
        <f t="shared" si="1"/>
        <v>0.10326086956521739</v>
      </c>
      <c r="E12" s="59" t="s">
        <v>71</v>
      </c>
      <c r="F12" s="56" t="s">
        <v>26</v>
      </c>
      <c r="G12" s="44">
        <v>106</v>
      </c>
      <c r="H12" s="129">
        <f>IF(B$17=0,0,G12/B$17)</f>
        <v>7.7769625825385186E-2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-0.6690217391304355</v>
      </c>
      <c r="P12" s="116">
        <v>184</v>
      </c>
      <c r="Q12" s="104">
        <v>-123.10000000000014</v>
      </c>
    </row>
    <row r="13" spans="1:17" x14ac:dyDescent="0.4">
      <c r="A13" s="54" t="s">
        <v>121</v>
      </c>
      <c r="B13" s="47">
        <v>1169</v>
      </c>
      <c r="C13" s="42">
        <f>IF(B$3=0,0,B13/B$3)</f>
        <v>0.25270211846087332</v>
      </c>
      <c r="E13" s="59" t="s">
        <v>83</v>
      </c>
      <c r="F13" s="56" t="s">
        <v>38</v>
      </c>
      <c r="G13" s="44">
        <v>75</v>
      </c>
      <c r="H13" s="129">
        <f>IF(B$17=0,0,G13/B$17)</f>
        <v>5.5025678650036686E-2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1063</v>
      </c>
      <c r="C14" s="37">
        <f>IF(B$3=0,0,B14/B$3)</f>
        <v>0.22978815391266752</v>
      </c>
      <c r="E14" s="59" t="s">
        <v>86</v>
      </c>
      <c r="F14" s="56" t="s">
        <v>41</v>
      </c>
      <c r="G14" s="44">
        <v>68</v>
      </c>
      <c r="H14" s="129">
        <f>IF(B$17=0,0,G14/B$17)</f>
        <v>4.9889948642699924E-2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653</v>
      </c>
      <c r="C15" s="35">
        <f>IF(B$13=0,0,B15/B$13)</f>
        <v>0.55859709153122328</v>
      </c>
      <c r="E15" s="59" t="s">
        <v>78</v>
      </c>
      <c r="F15" s="56" t="s">
        <v>33</v>
      </c>
      <c r="G15" s="44">
        <v>35</v>
      </c>
      <c r="H15" s="129">
        <f>IF(B$17=0,0,G15/B$17)</f>
        <v>2.5678650036683785E-2</v>
      </c>
      <c r="I15" s="90">
        <v>5</v>
      </c>
      <c r="K15" s="36">
        <v>13</v>
      </c>
      <c r="L15" s="95">
        <v>-1.7</v>
      </c>
      <c r="N15" s="110" t="s">
        <v>195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0" t="s">
        <v>124</v>
      </c>
      <c r="B16" s="43">
        <v>436</v>
      </c>
      <c r="C16" s="35">
        <f>IF(B$14=0,0,B16/B$14)</f>
        <v>0.4101599247412982</v>
      </c>
      <c r="E16" s="59" t="s">
        <v>167</v>
      </c>
      <c r="F16" s="56" t="s">
        <v>168</v>
      </c>
      <c r="G16" s="44">
        <v>32</v>
      </c>
      <c r="H16" s="129">
        <f>IF(B$17=0,0,G16/B$17)</f>
        <v>2.347762289068232E-2</v>
      </c>
      <c r="I16" s="90">
        <v>3</v>
      </c>
      <c r="K16" s="36">
        <v>14</v>
      </c>
      <c r="L16" s="95">
        <v>24.3</v>
      </c>
      <c r="N16" s="111" t="s">
        <v>182</v>
      </c>
      <c r="O16" s="121">
        <f>IF(P16=0,0,Q16/P16)</f>
        <v>20.749999999999986</v>
      </c>
      <c r="P16" s="115">
        <v>72</v>
      </c>
      <c r="Q16" s="103">
        <v>1493.9999999999989</v>
      </c>
    </row>
    <row r="17" spans="1:17" x14ac:dyDescent="0.4">
      <c r="A17" s="50" t="s">
        <v>10</v>
      </c>
      <c r="B17" s="43">
        <f>B19+B18</f>
        <v>1363</v>
      </c>
      <c r="C17" s="35">
        <f>IF(B$3=0,0,B17/B$3)</f>
        <v>0.29463899697362733</v>
      </c>
      <c r="E17" s="59" t="s">
        <v>81</v>
      </c>
      <c r="F17" s="56" t="s">
        <v>36</v>
      </c>
      <c r="G17" s="44">
        <v>23</v>
      </c>
      <c r="H17" s="129">
        <f>IF(B$17=0,0,G17/B$17)</f>
        <v>1.6874541452677916E-2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9.8695312499999996</v>
      </c>
      <c r="P17" s="115">
        <v>128</v>
      </c>
      <c r="Q17" s="103">
        <v>1263.3</v>
      </c>
    </row>
    <row r="18" spans="1:17" x14ac:dyDescent="0.4">
      <c r="A18" s="51" t="s">
        <v>12</v>
      </c>
      <c r="B18" s="44">
        <v>596</v>
      </c>
      <c r="C18" s="37">
        <f>IF(B$17=0,0,B18/B$17)</f>
        <v>0.43727072633895819</v>
      </c>
      <c r="E18" s="59" t="s">
        <v>91</v>
      </c>
      <c r="F18" s="56" t="s">
        <v>46</v>
      </c>
      <c r="G18" s="44">
        <v>18</v>
      </c>
      <c r="H18" s="129">
        <f>IF(B$17=0,0,G18/B$17)</f>
        <v>1.3206162876008804E-2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8.0470588235294098</v>
      </c>
      <c r="P18" s="115">
        <v>102</v>
      </c>
      <c r="Q18" s="103">
        <v>820.79999999999973</v>
      </c>
    </row>
    <row r="19" spans="1:17" x14ac:dyDescent="0.4">
      <c r="A19" s="51" t="s">
        <v>11</v>
      </c>
      <c r="B19" s="44">
        <v>767</v>
      </c>
      <c r="C19" s="37">
        <f>IF(B$17=0,0,B19/B$17)</f>
        <v>0.56272927366104186</v>
      </c>
      <c r="E19" s="59" t="s">
        <v>79</v>
      </c>
      <c r="F19" s="56" t="s">
        <v>34</v>
      </c>
      <c r="G19" s="44">
        <v>16</v>
      </c>
      <c r="H19" s="129">
        <f>IF(B$17=0,0,G19/B$17)</f>
        <v>1.173881144534116E-2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2.0157303370786503</v>
      </c>
      <c r="P19" s="115">
        <v>178</v>
      </c>
      <c r="Q19" s="103">
        <v>358.79999999999978</v>
      </c>
    </row>
    <row r="20" spans="1:17" x14ac:dyDescent="0.4">
      <c r="A20" s="51" t="s">
        <v>13</v>
      </c>
      <c r="B20" s="44">
        <v>760</v>
      </c>
      <c r="C20" s="37">
        <f>IF(B$3=0,0,B20/B$3)</f>
        <v>0.16428880242109814</v>
      </c>
      <c r="E20" s="59" t="s">
        <v>75</v>
      </c>
      <c r="F20" s="56" t="s">
        <v>30</v>
      </c>
      <c r="G20" s="44">
        <v>9</v>
      </c>
      <c r="H20" s="129">
        <f>IF(B$17=0,0,G20/B$17)</f>
        <v>6.6030814380044021E-3</v>
      </c>
      <c r="I20" s="90">
        <v>5</v>
      </c>
      <c r="K20" s="36">
        <v>18</v>
      </c>
      <c r="L20" s="95">
        <v>0</v>
      </c>
      <c r="N20" s="111" t="s">
        <v>127</v>
      </c>
      <c r="O20" s="121">
        <f>IF(P20=0,0,Q20/P20)</f>
        <v>0.45873786407766382</v>
      </c>
      <c r="P20" s="115">
        <v>206</v>
      </c>
      <c r="Q20" s="103">
        <v>94.499999999998749</v>
      </c>
    </row>
    <row r="21" spans="1:17" x14ac:dyDescent="0.4">
      <c r="A21" s="51" t="s">
        <v>169</v>
      </c>
      <c r="B21" s="44">
        <v>7</v>
      </c>
      <c r="C21" s="131">
        <v>2</v>
      </c>
      <c r="E21" s="59" t="s">
        <v>92</v>
      </c>
      <c r="F21" s="56" t="s">
        <v>47</v>
      </c>
      <c r="G21" s="44">
        <v>7</v>
      </c>
      <c r="H21" s="129">
        <f>IF(B$17=0,0,G21/B$17)</f>
        <v>5.1357300073367569E-3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74</v>
      </c>
      <c r="F22" s="56" t="s">
        <v>29</v>
      </c>
      <c r="G22" s="44">
        <v>6</v>
      </c>
      <c r="H22" s="129">
        <f>IF(B$17=0,0,G22/B$17)</f>
        <v>4.4020542920029347E-3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-8.6508196721311439</v>
      </c>
      <c r="P22" s="115">
        <v>122</v>
      </c>
      <c r="Q22" s="103">
        <v>-1055.3999999999996</v>
      </c>
    </row>
    <row r="23" spans="1:17" x14ac:dyDescent="0.4">
      <c r="A23" s="51" t="s">
        <v>5</v>
      </c>
      <c r="B23" s="48">
        <f>IF(B$17=0,0,C23/B$17)</f>
        <v>8438.4446074834923</v>
      </c>
      <c r="C23" s="39">
        <v>11501600</v>
      </c>
      <c r="E23" s="59" t="s">
        <v>77</v>
      </c>
      <c r="F23" s="56" t="s">
        <v>32</v>
      </c>
      <c r="G23" s="44">
        <v>5</v>
      </c>
      <c r="H23" s="129">
        <f>IF(B$17=0,0,G23/B$17)</f>
        <v>3.6683785766691121E-3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-13.490948275862069</v>
      </c>
      <c r="P23" s="115">
        <v>232</v>
      </c>
      <c r="Q23" s="103">
        <v>-3129.9</v>
      </c>
    </row>
    <row r="24" spans="1:17" x14ac:dyDescent="0.4">
      <c r="A24" s="52" t="s">
        <v>216</v>
      </c>
      <c r="B24" s="136">
        <f>IF($B$17-B$16=0,0,C24/($B$17-B$16))</f>
        <v>8942.5026968716284</v>
      </c>
      <c r="C24" s="137">
        <v>8289700</v>
      </c>
      <c r="E24" s="59" t="s">
        <v>85</v>
      </c>
      <c r="F24" s="56" t="s">
        <v>40</v>
      </c>
      <c r="G24" s="44">
        <v>5</v>
      </c>
      <c r="H24" s="129">
        <f>IF(B$17=0,0,G24/B$17)</f>
        <v>3.6683785766691121E-3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7366.7431192660551</v>
      </c>
      <c r="C25" s="137">
        <v>3211900</v>
      </c>
      <c r="E25" s="59" t="s">
        <v>88</v>
      </c>
      <c r="F25" s="56" t="s">
        <v>43</v>
      </c>
      <c r="G25" s="44">
        <v>5</v>
      </c>
      <c r="H25" s="129">
        <f>IF(B$17=0,0,G25/B$17)</f>
        <v>3.6683785766691121E-3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-7850.1315789473683</v>
      </c>
      <c r="C26" s="137">
        <v>-5966100</v>
      </c>
      <c r="E26" s="59" t="s">
        <v>73</v>
      </c>
      <c r="F26" s="56" t="s">
        <v>28</v>
      </c>
      <c r="G26" s="44">
        <v>4</v>
      </c>
      <c r="H26" s="129">
        <f>IF(B$17=0,0,G26/B$17)</f>
        <v>2.93470286133529E-3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2.93470286133529E-3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2.2010271460014674E-3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3.0263726761781237E-3</v>
      </c>
      <c r="E29" s="59" t="s">
        <v>95</v>
      </c>
      <c r="F29" s="56" t="s">
        <v>50</v>
      </c>
      <c r="G29" s="44">
        <v>3</v>
      </c>
      <c r="H29" s="129">
        <f>IF(B$17=0,0,G29/B$17)</f>
        <v>2.2010271460014674E-3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1.467351430667645E-3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1.467351430667645E-3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7.3367571533382249E-4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7.3367571533382249E-4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7.3367571533382249E-4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</v>
      </c>
      <c r="C2" s="149"/>
      <c r="E2" s="58" t="s">
        <v>66</v>
      </c>
      <c r="F2" s="55" t="s">
        <v>22</v>
      </c>
      <c r="G2" s="43">
        <v>83</v>
      </c>
      <c r="H2" s="128">
        <f>IF(B$17=0,0,G2/B$17)</f>
        <v>0.69166666666666665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1382.3529411764705</v>
      </c>
      <c r="P2" s="114">
        <v>51</v>
      </c>
      <c r="Q2" s="98">
        <v>70500</v>
      </c>
    </row>
    <row r="3" spans="1:17" x14ac:dyDescent="0.4">
      <c r="A3" s="51" t="s">
        <v>8</v>
      </c>
      <c r="B3" s="150">
        <v>459</v>
      </c>
      <c r="C3" s="151"/>
      <c r="E3" s="59" t="s">
        <v>72</v>
      </c>
      <c r="F3" s="56" t="s">
        <v>27</v>
      </c>
      <c r="G3" s="44">
        <v>64</v>
      </c>
      <c r="H3" s="129">
        <f>IF(B$17=0,0,G3/B$17)</f>
        <v>0.53333333333333333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-948</v>
      </c>
      <c r="P3" s="115">
        <v>50</v>
      </c>
      <c r="Q3" s="99">
        <v>-47400</v>
      </c>
    </row>
    <row r="4" spans="1:17" x14ac:dyDescent="0.4">
      <c r="A4" s="51" t="s">
        <v>6</v>
      </c>
      <c r="B4" s="152">
        <v>-273.60000000000008</v>
      </c>
      <c r="C4" s="153"/>
      <c r="E4" s="59" t="s">
        <v>171</v>
      </c>
      <c r="F4" s="56" t="s">
        <v>172</v>
      </c>
      <c r="G4" s="44">
        <v>46</v>
      </c>
      <c r="H4" s="129">
        <f>IF(B$17=0,0,G4/B$17)</f>
        <v>0.38333333333333336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-1997.9166666666667</v>
      </c>
      <c r="P4" s="115">
        <v>48</v>
      </c>
      <c r="Q4" s="99">
        <v>-95900</v>
      </c>
    </row>
    <row r="5" spans="1:17" x14ac:dyDescent="0.4">
      <c r="A5" s="51" t="s">
        <v>7</v>
      </c>
      <c r="B5" s="154">
        <f>IF(B$2=0,0,B$4/B$2)</f>
        <v>-5.3647058823529425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0.28333333333333333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-1374.4680851063829</v>
      </c>
      <c r="P5" s="115">
        <v>47</v>
      </c>
      <c r="Q5" s="99">
        <v>-64600</v>
      </c>
    </row>
    <row r="6" spans="1:17" x14ac:dyDescent="0.4">
      <c r="A6" s="51" t="s">
        <v>1</v>
      </c>
      <c r="B6" s="144">
        <f>IF(B$2=0,0,(B$7*1+B$8*2+B$9*3)/B$2)</f>
        <v>2.1176470588235294</v>
      </c>
      <c r="C6" s="145"/>
      <c r="E6" s="59" t="s">
        <v>68</v>
      </c>
      <c r="F6" s="56" t="s">
        <v>12</v>
      </c>
      <c r="G6" s="44">
        <v>33</v>
      </c>
      <c r="H6" s="129">
        <f>IF(B$17=0,0,G6/B$17)</f>
        <v>0.27500000000000002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-121.27659574468085</v>
      </c>
      <c r="P6" s="115">
        <v>47</v>
      </c>
      <c r="Q6" s="99">
        <v>-5700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0.33333333333333331</v>
      </c>
      <c r="E7" s="59" t="s">
        <v>69</v>
      </c>
      <c r="F7" s="56" t="s">
        <v>24</v>
      </c>
      <c r="G7" s="44">
        <v>25</v>
      </c>
      <c r="H7" s="129">
        <f>IF(B$17=0,0,G7/B$17)</f>
        <v>0.20833333333333334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-1772.5</v>
      </c>
      <c r="P7" s="116">
        <v>40</v>
      </c>
      <c r="Q7" s="100">
        <v>-70900</v>
      </c>
    </row>
    <row r="8" spans="1:17" x14ac:dyDescent="0.4">
      <c r="A8" s="51" t="s">
        <v>3</v>
      </c>
      <c r="B8" s="44">
        <v>11</v>
      </c>
      <c r="C8" s="37">
        <f t="shared" si="1"/>
        <v>0.21568627450980393</v>
      </c>
      <c r="E8" s="59" t="s">
        <v>67</v>
      </c>
      <c r="F8" s="56" t="s">
        <v>23</v>
      </c>
      <c r="G8" s="44">
        <v>18</v>
      </c>
      <c r="H8" s="129">
        <f>IF(B$17=0,0,G8/B$17)</f>
        <v>0.15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0.45098039215686275</v>
      </c>
      <c r="E9" s="59" t="s">
        <v>70</v>
      </c>
      <c r="F9" s="56" t="s">
        <v>25</v>
      </c>
      <c r="G9" s="44">
        <v>18</v>
      </c>
      <c r="H9" s="129">
        <f>IF(B$17=0,0,G9/B$17)</f>
        <v>0.15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1.9607843137254902E-2</v>
      </c>
      <c r="E10" s="59" t="s">
        <v>71</v>
      </c>
      <c r="F10" s="56" t="s">
        <v>26</v>
      </c>
      <c r="G10" s="44">
        <v>12</v>
      </c>
      <c r="H10" s="129">
        <f>IF(B$17=0,0,G10/B$17)</f>
        <v>0.1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-7.0944444444444432</v>
      </c>
      <c r="P10" s="114">
        <v>18</v>
      </c>
      <c r="Q10" s="102">
        <v>-127.69999999999997</v>
      </c>
    </row>
    <row r="11" spans="1:17" x14ac:dyDescent="0.4">
      <c r="A11" s="52" t="s">
        <v>138</v>
      </c>
      <c r="B11" s="45">
        <v>2</v>
      </c>
      <c r="C11" s="38">
        <f t="shared" si="1"/>
        <v>3.9215686274509803E-2</v>
      </c>
      <c r="E11" s="59" t="s">
        <v>83</v>
      </c>
      <c r="F11" s="56" t="s">
        <v>38</v>
      </c>
      <c r="G11" s="44">
        <v>12</v>
      </c>
      <c r="H11" s="129">
        <f>IF(B$17=0,0,G11/B$17)</f>
        <v>0.1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0.15686274509803921</v>
      </c>
      <c r="E12" s="59" t="s">
        <v>65</v>
      </c>
      <c r="F12" s="56" t="s">
        <v>21</v>
      </c>
      <c r="G12" s="44">
        <v>9</v>
      </c>
      <c r="H12" s="129">
        <f>IF(B$17=0,0,G12/B$17)</f>
        <v>7.4999999999999997E-2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70</v>
      </c>
      <c r="C13" s="42">
        <f>IF(B$3=0,0,B13/B$3)</f>
        <v>0.15250544662309368</v>
      </c>
      <c r="E13" s="59" t="s">
        <v>89</v>
      </c>
      <c r="F13" s="56" t="s">
        <v>44</v>
      </c>
      <c r="G13" s="44">
        <v>8</v>
      </c>
      <c r="H13" s="129">
        <f>IF(B$17=0,0,G13/B$17)</f>
        <v>6.6666666666666666E-2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0.22875816993464052</v>
      </c>
      <c r="E14" s="59" t="s">
        <v>81</v>
      </c>
      <c r="F14" s="56" t="s">
        <v>36</v>
      </c>
      <c r="G14" s="44">
        <v>4</v>
      </c>
      <c r="H14" s="129">
        <f>IF(B$17=0,0,G14/B$17)</f>
        <v>3.3333333333333333E-2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</v>
      </c>
      <c r="E15" s="59" t="s">
        <v>86</v>
      </c>
      <c r="F15" s="56" t="s">
        <v>41</v>
      </c>
      <c r="G15" s="44">
        <v>4</v>
      </c>
      <c r="H15" s="129">
        <f>IF(B$17=0,0,G15/B$17)</f>
        <v>3.3333333333333333E-2</v>
      </c>
      <c r="I15" s="90">
        <v>9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39</v>
      </c>
      <c r="C16" s="35">
        <f>IF(B$14=0,0,B16/B$14)</f>
        <v>0.37142857142857144</v>
      </c>
      <c r="E16" s="59" t="s">
        <v>91</v>
      </c>
      <c r="F16" s="56" t="s">
        <v>46</v>
      </c>
      <c r="G16" s="44">
        <v>3</v>
      </c>
      <c r="H16" s="129">
        <f>IF(B$17=0,0,G16/B$17)</f>
        <v>2.5000000000000001E-2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-2.5681818181818188</v>
      </c>
      <c r="P16" s="115">
        <v>22</v>
      </c>
      <c r="Q16" s="103">
        <v>-56.500000000000014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0.26143790849673204</v>
      </c>
      <c r="E17" s="59" t="s">
        <v>88</v>
      </c>
      <c r="F17" s="56" t="s">
        <v>43</v>
      </c>
      <c r="G17" s="44">
        <v>2</v>
      </c>
      <c r="H17" s="129">
        <f>IF(B$17=0,0,G17/B$17)</f>
        <v>1.6666666666666666E-2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>IF(P17=0,0,Q17/P17)</f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49</v>
      </c>
      <c r="C18" s="37">
        <f>IF(B$17=0,0,B18/B$17)</f>
        <v>0.40833333333333333</v>
      </c>
      <c r="E18" s="59" t="s">
        <v>74</v>
      </c>
      <c r="F18" s="56" t="s">
        <v>29</v>
      </c>
      <c r="G18" s="44">
        <v>1</v>
      </c>
      <c r="H18" s="129">
        <f>IF(B$17=0,0,G18/B$17)</f>
        <v>8.3333333333333332E-3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>IF(P18=0,0,Q18/P18)</f>
        <v>-5.2892857142857155</v>
      </c>
      <c r="P18" s="115">
        <v>28</v>
      </c>
      <c r="Q18" s="103">
        <v>-148.10000000000002</v>
      </c>
    </row>
    <row r="19" spans="1:17" x14ac:dyDescent="0.4">
      <c r="A19" s="51" t="s">
        <v>11</v>
      </c>
      <c r="B19" s="44">
        <v>71</v>
      </c>
      <c r="C19" s="37">
        <f>IF(B$17=0,0,B19/B$17)</f>
        <v>0.59166666666666667</v>
      </c>
      <c r="E19" s="59" t="s">
        <v>75</v>
      </c>
      <c r="F19" s="56" t="s">
        <v>30</v>
      </c>
      <c r="G19" s="44">
        <v>1</v>
      </c>
      <c r="H19" s="129">
        <f>IF(B$17=0,0,G19/B$17)</f>
        <v>8.3333333333333332E-3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70</v>
      </c>
      <c r="C20" s="37">
        <f>IF(B$3=0,0,B20/B$3)</f>
        <v>0.15250544662309368</v>
      </c>
      <c r="E20" s="59" t="s">
        <v>77</v>
      </c>
      <c r="F20" s="56" t="s">
        <v>32</v>
      </c>
      <c r="G20" s="44">
        <v>1</v>
      </c>
      <c r="H20" s="129">
        <f>IF(B$17=0,0,G20/B$17)</f>
        <v>8.3333333333333332E-3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-27.133333333333329</v>
      </c>
      <c r="P20" s="115">
        <v>9</v>
      </c>
      <c r="Q20" s="103">
        <v>-244.19999999999996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93</v>
      </c>
      <c r="F21" s="56" t="s">
        <v>48</v>
      </c>
      <c r="G21" s="44">
        <v>1</v>
      </c>
      <c r="H21" s="129">
        <f>IF(B$17=0,0,G21/B$17)</f>
        <v>8.3333333333333332E-3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-27.433333333333326</v>
      </c>
      <c r="P21" s="115">
        <v>6</v>
      </c>
      <c r="Q21" s="103">
        <v>-164.59999999999997</v>
      </c>
    </row>
    <row r="22" spans="1:17" x14ac:dyDescent="0.4">
      <c r="A22" s="51" t="s">
        <v>170</v>
      </c>
      <c r="B22" s="44">
        <v>32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7172.5</v>
      </c>
      <c r="C23" s="39">
        <v>860700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7424.691358024691</v>
      </c>
      <c r="C24" s="137">
        <v>601400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6648.7179487179483</v>
      </c>
      <c r="C25" s="137">
        <v>259300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-6974.2857142857147</v>
      </c>
      <c r="C26" s="137">
        <v>-488200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4.3572984749455342E-3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116</v>
      </c>
      <c r="C2" s="149"/>
      <c r="E2" s="58" t="s">
        <v>66</v>
      </c>
      <c r="F2" s="55" t="s">
        <v>22</v>
      </c>
      <c r="G2" s="43">
        <v>220</v>
      </c>
      <c r="H2" s="128">
        <f>IF(B$17=0,0,G2/B$17)</f>
        <v>0.67901234567901236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1386.0869565217392</v>
      </c>
      <c r="P2" s="114">
        <v>115</v>
      </c>
      <c r="Q2" s="98">
        <v>159400</v>
      </c>
    </row>
    <row r="3" spans="1:17" x14ac:dyDescent="0.4">
      <c r="A3" s="51" t="s">
        <v>8</v>
      </c>
      <c r="B3" s="150">
        <v>943</v>
      </c>
      <c r="C3" s="151"/>
      <c r="E3" s="59" t="s">
        <v>72</v>
      </c>
      <c r="F3" s="56" t="s">
        <v>27</v>
      </c>
      <c r="G3" s="44">
        <v>162</v>
      </c>
      <c r="H3" s="129">
        <f>IF(B$17=0,0,G3/B$17)</f>
        <v>0.5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663.39285714285711</v>
      </c>
      <c r="P3" s="115">
        <v>112</v>
      </c>
      <c r="Q3" s="99">
        <v>74300</v>
      </c>
    </row>
    <row r="4" spans="1:17" x14ac:dyDescent="0.4">
      <c r="A4" s="51" t="s">
        <v>6</v>
      </c>
      <c r="B4" s="152">
        <v>1043.3</v>
      </c>
      <c r="C4" s="153"/>
      <c r="E4" s="59" t="s">
        <v>64</v>
      </c>
      <c r="F4" s="56" t="s">
        <v>20</v>
      </c>
      <c r="G4" s="44">
        <v>143</v>
      </c>
      <c r="H4" s="129">
        <f>IF(B$17=0,0,G4/B$17)</f>
        <v>0.44135802469135804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932.40740740740739</v>
      </c>
      <c r="P4" s="115">
        <v>108</v>
      </c>
      <c r="Q4" s="99">
        <v>100700</v>
      </c>
    </row>
    <row r="5" spans="1:17" x14ac:dyDescent="0.4">
      <c r="A5" s="51" t="s">
        <v>7</v>
      </c>
      <c r="B5" s="154">
        <f>IF(B$2=0,0,B$4/B$2)</f>
        <v>8.9939655172413797</v>
      </c>
      <c r="C5" s="155"/>
      <c r="E5" s="59" t="s">
        <v>171</v>
      </c>
      <c r="F5" s="56" t="s">
        <v>172</v>
      </c>
      <c r="G5" s="44">
        <v>124</v>
      </c>
      <c r="H5" s="129">
        <f>IF(B$17=0,0,G5/B$17)</f>
        <v>0.38271604938271603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376.76767676767679</v>
      </c>
      <c r="P5" s="115">
        <v>99</v>
      </c>
      <c r="Q5" s="99">
        <v>37300</v>
      </c>
    </row>
    <row r="6" spans="1:17" x14ac:dyDescent="0.4">
      <c r="A6" s="51" t="s">
        <v>1</v>
      </c>
      <c r="B6" s="144">
        <f>IF(B$2=0,0,(B$7*1+B$8*2+B$9*3)/B$2)</f>
        <v>1.7844827586206897</v>
      </c>
      <c r="C6" s="145"/>
      <c r="E6" s="59" t="s">
        <v>68</v>
      </c>
      <c r="F6" s="56" t="s">
        <v>12</v>
      </c>
      <c r="G6" s="44">
        <v>95</v>
      </c>
      <c r="H6" s="129">
        <f>IF(B$17=0,0,G6/B$17)</f>
        <v>0.2932098765432099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2045.6521739130435</v>
      </c>
      <c r="P6" s="115">
        <v>92</v>
      </c>
      <c r="Q6" s="99">
        <v>188200</v>
      </c>
    </row>
    <row r="7" spans="1:17" x14ac:dyDescent="0.4">
      <c r="A7" s="51" t="s">
        <v>2</v>
      </c>
      <c r="B7" s="44">
        <v>53</v>
      </c>
      <c r="C7" s="37">
        <f t="shared" ref="C7:C12" si="1">IF(B$2=0,0,B7/B$2)</f>
        <v>0.45689655172413796</v>
      </c>
      <c r="E7" s="59" t="s">
        <v>67</v>
      </c>
      <c r="F7" s="56" t="s">
        <v>23</v>
      </c>
      <c r="G7" s="44">
        <v>81</v>
      </c>
      <c r="H7" s="129">
        <f>IF(B$17=0,0,G7/B$17)</f>
        <v>0.25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2761.3333333333335</v>
      </c>
      <c r="P7" s="116">
        <v>75</v>
      </c>
      <c r="Q7" s="100">
        <v>207100</v>
      </c>
    </row>
    <row r="8" spans="1:17" x14ac:dyDescent="0.4">
      <c r="A8" s="51" t="s">
        <v>3</v>
      </c>
      <c r="B8" s="44">
        <v>35</v>
      </c>
      <c r="C8" s="37">
        <f t="shared" si="1"/>
        <v>0.30172413793103448</v>
      </c>
      <c r="E8" s="59" t="s">
        <v>69</v>
      </c>
      <c r="F8" s="56" t="s">
        <v>24</v>
      </c>
      <c r="G8" s="44">
        <v>51</v>
      </c>
      <c r="H8" s="129">
        <f>IF(B$17=0,0,G8/B$17)</f>
        <v>0.15740740740740741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0.2413793103448276</v>
      </c>
      <c r="E9" s="59" t="s">
        <v>89</v>
      </c>
      <c r="F9" s="56" t="s">
        <v>44</v>
      </c>
      <c r="G9" s="44">
        <v>50</v>
      </c>
      <c r="H9" s="129">
        <f>IF(B$17=0,0,G9/B$17)</f>
        <v>0.15432098765432098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4.3103448275862072E-2</v>
      </c>
      <c r="E10" s="59" t="s">
        <v>65</v>
      </c>
      <c r="F10" s="56" t="s">
        <v>21</v>
      </c>
      <c r="G10" s="44">
        <v>37</v>
      </c>
      <c r="H10" s="129">
        <f>IF(B$17=0,0,G10/B$17)</f>
        <v>0.11419753086419752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0.12931034482758622</v>
      </c>
      <c r="E11" s="59" t="s">
        <v>71</v>
      </c>
      <c r="F11" s="56" t="s">
        <v>26</v>
      </c>
      <c r="G11" s="44">
        <v>23</v>
      </c>
      <c r="H11" s="129">
        <f>IF(B$17=0,0,G11/B$17)</f>
        <v>7.098765432098765E-2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5.2095238095238097</v>
      </c>
      <c r="P11" s="115">
        <v>42</v>
      </c>
      <c r="Q11" s="103">
        <v>218.8</v>
      </c>
    </row>
    <row r="12" spans="1:17" x14ac:dyDescent="0.4">
      <c r="A12" s="53" t="s">
        <v>158</v>
      </c>
      <c r="B12" s="46">
        <v>13</v>
      </c>
      <c r="C12" s="40">
        <f t="shared" si="1"/>
        <v>0.11206896551724138</v>
      </c>
      <c r="E12" s="59" t="s">
        <v>86</v>
      </c>
      <c r="F12" s="56" t="s">
        <v>41</v>
      </c>
      <c r="G12" s="44">
        <v>18</v>
      </c>
      <c r="H12" s="129">
        <f>IF(B$17=0,0,G12/B$17)</f>
        <v>5.5555555555555552E-2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10.797499999999996</v>
      </c>
      <c r="P12" s="116">
        <v>40</v>
      </c>
      <c r="Q12" s="104">
        <v>431.89999999999986</v>
      </c>
    </row>
    <row r="13" spans="1:17" x14ac:dyDescent="0.4">
      <c r="A13" s="54" t="s">
        <v>121</v>
      </c>
      <c r="B13" s="47">
        <v>252</v>
      </c>
      <c r="C13" s="42">
        <f>IF(B$3=0,0,B13/B$3)</f>
        <v>0.26723223753976671</v>
      </c>
      <c r="E13" s="59" t="s">
        <v>70</v>
      </c>
      <c r="F13" s="56" t="s">
        <v>25</v>
      </c>
      <c r="G13" s="44">
        <v>17</v>
      </c>
      <c r="H13" s="129">
        <f>IF(B$17=0,0,G13/B$17)</f>
        <v>5.2469135802469133E-2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212</v>
      </c>
      <c r="C14" s="37">
        <f>IF(B$3=0,0,B14/B$3)</f>
        <v>0.22481442205726404</v>
      </c>
      <c r="E14" s="59" t="s">
        <v>83</v>
      </c>
      <c r="F14" s="56" t="s">
        <v>38</v>
      </c>
      <c r="G14" s="44">
        <v>15</v>
      </c>
      <c r="H14" s="129">
        <f>IF(B$17=0,0,G14/B$17)</f>
        <v>4.6296296296296294E-2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152</v>
      </c>
      <c r="C15" s="35">
        <f>IF(B$13=0,0,B15/B$13)</f>
        <v>0.60317460317460314</v>
      </c>
      <c r="E15" s="59" t="s">
        <v>78</v>
      </c>
      <c r="F15" s="56" t="s">
        <v>33</v>
      </c>
      <c r="G15" s="44">
        <v>13</v>
      </c>
      <c r="H15" s="129">
        <f>IF(B$17=0,0,G15/B$17)</f>
        <v>4.0123456790123455E-2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103</v>
      </c>
      <c r="C16" s="35">
        <f>IF(B$14=0,0,B16/B$14)</f>
        <v>0.48584905660377359</v>
      </c>
      <c r="E16" s="59" t="s">
        <v>167</v>
      </c>
      <c r="F16" s="56" t="s">
        <v>168</v>
      </c>
      <c r="G16" s="44">
        <v>12</v>
      </c>
      <c r="H16" s="129">
        <f>IF(B$17=0,0,G16/B$17)</f>
        <v>3.7037037037037035E-2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324</v>
      </c>
      <c r="C17" s="35">
        <f>IF(B$3=0,0,B17/B$3)</f>
        <v>0.34358430540827145</v>
      </c>
      <c r="E17" s="59" t="s">
        <v>77</v>
      </c>
      <c r="F17" s="56" t="s">
        <v>32</v>
      </c>
      <c r="G17" s="44">
        <v>3</v>
      </c>
      <c r="H17" s="129">
        <f>IF(B$17=0,0,G17/B$17)</f>
        <v>9.2592592592592587E-3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17.656818181818185</v>
      </c>
      <c r="P17" s="115">
        <v>44</v>
      </c>
      <c r="Q17" s="103">
        <v>776.90000000000009</v>
      </c>
    </row>
    <row r="18" spans="1:17" x14ac:dyDescent="0.4">
      <c r="A18" s="51" t="s">
        <v>12</v>
      </c>
      <c r="B18" s="44">
        <v>138</v>
      </c>
      <c r="C18" s="37">
        <f>IF(B$17=0,0,B18/B$17)</f>
        <v>0.42592592592592593</v>
      </c>
      <c r="E18" s="59" t="s">
        <v>84</v>
      </c>
      <c r="F18" s="56" t="s">
        <v>39</v>
      </c>
      <c r="G18" s="44">
        <v>3</v>
      </c>
      <c r="H18" s="129">
        <f>IF(B$17=0,0,G18/B$17)</f>
        <v>9.2592592592592587E-3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16.932558139534887</v>
      </c>
      <c r="P18" s="115">
        <v>43</v>
      </c>
      <c r="Q18" s="103">
        <v>728.10000000000014</v>
      </c>
    </row>
    <row r="19" spans="1:17" x14ac:dyDescent="0.4">
      <c r="A19" s="51" t="s">
        <v>11</v>
      </c>
      <c r="B19" s="44">
        <v>186</v>
      </c>
      <c r="C19" s="37">
        <f>IF(B$17=0,0,B19/B$17)</f>
        <v>0.57407407407407407</v>
      </c>
      <c r="E19" s="59" t="s">
        <v>92</v>
      </c>
      <c r="F19" s="56" t="s">
        <v>47</v>
      </c>
      <c r="G19" s="44">
        <v>3</v>
      </c>
      <c r="H19" s="129">
        <f>IF(B$17=0,0,G19/B$17)</f>
        <v>9.2592592592592587E-3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15.45833333333333</v>
      </c>
      <c r="P19" s="115">
        <v>72</v>
      </c>
      <c r="Q19" s="103">
        <v>1112.9999999999998</v>
      </c>
    </row>
    <row r="20" spans="1:17" x14ac:dyDescent="0.4">
      <c r="A20" s="51" t="s">
        <v>13</v>
      </c>
      <c r="B20" s="44">
        <v>121</v>
      </c>
      <c r="C20" s="37">
        <f>IF(B$3=0,0,B20/B$3)</f>
        <v>0.12831389183457051</v>
      </c>
      <c r="E20" s="59" t="s">
        <v>75</v>
      </c>
      <c r="F20" s="56" t="s">
        <v>30</v>
      </c>
      <c r="G20" s="44">
        <v>2</v>
      </c>
      <c r="H20" s="129">
        <f>IF(B$17=0,0,G20/B$17)</f>
        <v>6.1728395061728392E-3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6.1728395061728392E-3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-8.6541666666666668</v>
      </c>
      <c r="P21" s="115">
        <v>24</v>
      </c>
      <c r="Q21" s="103">
        <v>-207.70000000000002</v>
      </c>
    </row>
    <row r="22" spans="1:17" x14ac:dyDescent="0.4">
      <c r="A22" s="51" t="s">
        <v>170</v>
      </c>
      <c r="B22" s="44">
        <v>43</v>
      </c>
      <c r="C22" s="131">
        <v>0</v>
      </c>
      <c r="E22" s="59" t="s">
        <v>81</v>
      </c>
      <c r="F22" s="56" t="s">
        <v>36</v>
      </c>
      <c r="G22" s="44">
        <v>2</v>
      </c>
      <c r="H22" s="129">
        <f>IF(B$17=0,0,G22/B$17)</f>
        <v>6.1728395061728392E-3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8296.6049382716046</v>
      </c>
      <c r="C23" s="39">
        <v>2688100</v>
      </c>
      <c r="E23" s="59" t="s">
        <v>85</v>
      </c>
      <c r="F23" s="56" t="s">
        <v>40</v>
      </c>
      <c r="G23" s="44">
        <v>2</v>
      </c>
      <c r="H23" s="129">
        <f>IF(B$17=0,0,G23/B$17)</f>
        <v>6.1728395061728392E-3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8483.7104072398197</v>
      </c>
      <c r="C24" s="137">
        <v>1874900</v>
      </c>
      <c r="E24" s="59" t="s">
        <v>88</v>
      </c>
      <c r="F24" s="56" t="s">
        <v>43</v>
      </c>
      <c r="G24" s="44">
        <v>2</v>
      </c>
      <c r="H24" s="129">
        <f>IF(B$17=0,0,G24/B$17)</f>
        <v>6.1728395061728392E-3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7895.1456310679614</v>
      </c>
      <c r="C25" s="137">
        <v>813200</v>
      </c>
      <c r="E25" s="59" t="s">
        <v>91</v>
      </c>
      <c r="F25" s="56" t="s">
        <v>46</v>
      </c>
      <c r="G25" s="44">
        <v>2</v>
      </c>
      <c r="H25" s="129">
        <f>IF(B$17=0,0,G25/B$17)</f>
        <v>6.1728395061728392E-3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-7973.5537190082641</v>
      </c>
      <c r="C26" s="137">
        <v>-964800</v>
      </c>
      <c r="E26" s="59" t="s">
        <v>74</v>
      </c>
      <c r="F26" s="56" t="s">
        <v>29</v>
      </c>
      <c r="G26" s="44">
        <v>1</v>
      </c>
      <c r="H26" s="129">
        <f>IF(B$17=0,0,G26/B$17)</f>
        <v>3.0864197530864196E-3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3.0864197530864196E-3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3.0864197530864196E-3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1.0604453870625664E-3</v>
      </c>
      <c r="E29" s="59" t="s">
        <v>106</v>
      </c>
      <c r="F29" s="56" t="s">
        <v>113</v>
      </c>
      <c r="G29" s="44">
        <v>1</v>
      </c>
      <c r="H29" s="129">
        <f>IF(B$17=0,0,G29/B$17)</f>
        <v>3.0864197530864196E-3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103</v>
      </c>
      <c r="C2" s="149"/>
      <c r="E2" s="58" t="s">
        <v>66</v>
      </c>
      <c r="F2" s="55" t="s">
        <v>22</v>
      </c>
      <c r="G2" s="43">
        <v>235</v>
      </c>
      <c r="H2" s="128">
        <f>IF(B$17=0,0,G2/B$17)</f>
        <v>0.9073359073359073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-1833.3333333333333</v>
      </c>
      <c r="P2" s="114">
        <v>102</v>
      </c>
      <c r="Q2" s="98">
        <v>-187000</v>
      </c>
    </row>
    <row r="3" spans="1:17" x14ac:dyDescent="0.4">
      <c r="A3" s="51" t="s">
        <v>8</v>
      </c>
      <c r="B3" s="150">
        <v>864</v>
      </c>
      <c r="C3" s="151"/>
      <c r="E3" s="59" t="s">
        <v>72</v>
      </c>
      <c r="F3" s="56" t="s">
        <v>27</v>
      </c>
      <c r="G3" s="44">
        <v>151</v>
      </c>
      <c r="H3" s="129">
        <f>IF(B$17=0,0,G3/B$17)</f>
        <v>0.58301158301158296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1167</v>
      </c>
      <c r="P3" s="115">
        <v>100</v>
      </c>
      <c r="Q3" s="99">
        <v>116700</v>
      </c>
    </row>
    <row r="4" spans="1:17" x14ac:dyDescent="0.4">
      <c r="A4" s="51" t="s">
        <v>6</v>
      </c>
      <c r="B4" s="152">
        <v>-31.500000000000213</v>
      </c>
      <c r="C4" s="153"/>
      <c r="E4" s="59" t="s">
        <v>171</v>
      </c>
      <c r="F4" s="56" t="s">
        <v>172</v>
      </c>
      <c r="G4" s="44">
        <v>109</v>
      </c>
      <c r="H4" s="129">
        <f>IF(B$17=0,0,G4/B$17)</f>
        <v>0.42084942084942084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289.36170212765956</v>
      </c>
      <c r="P4" s="115">
        <v>94</v>
      </c>
      <c r="Q4" s="99">
        <v>27200</v>
      </c>
    </row>
    <row r="5" spans="1:17" x14ac:dyDescent="0.4">
      <c r="A5" s="51" t="s">
        <v>7</v>
      </c>
      <c r="B5" s="154">
        <f>IF(B$2=0,0,B$4/B$2)</f>
        <v>-0.30582524271844869</v>
      </c>
      <c r="C5" s="155"/>
      <c r="E5" s="59" t="s">
        <v>64</v>
      </c>
      <c r="F5" s="56" t="s">
        <v>20</v>
      </c>
      <c r="G5" s="44">
        <v>103</v>
      </c>
      <c r="H5" s="129">
        <f>IF(B$17=0,0,G5/B$17)</f>
        <v>0.39768339768339767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618.18181818181813</v>
      </c>
      <c r="P5" s="115">
        <v>88</v>
      </c>
      <c r="Q5" s="99">
        <v>54400</v>
      </c>
    </row>
    <row r="6" spans="1:17" x14ac:dyDescent="0.4">
      <c r="A6" s="51" t="s">
        <v>1</v>
      </c>
      <c r="B6" s="144">
        <f>IF(B$2=0,0,(B$7*1+B$8*2+B$9*3)/B$2)</f>
        <v>1.9805825242718447</v>
      </c>
      <c r="C6" s="145"/>
      <c r="E6" s="59" t="s">
        <v>68</v>
      </c>
      <c r="F6" s="56" t="s">
        <v>12</v>
      </c>
      <c r="G6" s="44">
        <v>72</v>
      </c>
      <c r="H6" s="129">
        <f>IF(B$17=0,0,G6/B$17)</f>
        <v>0.27799227799227799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-1153.0864197530864</v>
      </c>
      <c r="P6" s="115">
        <v>81</v>
      </c>
      <c r="Q6" s="99">
        <v>-93400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0.34951456310679613</v>
      </c>
      <c r="E7" s="59" t="s">
        <v>67</v>
      </c>
      <c r="F7" s="56" t="s">
        <v>23</v>
      </c>
      <c r="G7" s="44">
        <v>54</v>
      </c>
      <c r="H7" s="129">
        <f>IF(B$17=0,0,G7/B$17)</f>
        <v>0.20849420849420849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1288.4057971014493</v>
      </c>
      <c r="P7" s="116">
        <v>69</v>
      </c>
      <c r="Q7" s="100">
        <v>88900</v>
      </c>
    </row>
    <row r="8" spans="1:17" x14ac:dyDescent="0.4">
      <c r="A8" s="51" t="s">
        <v>3</v>
      </c>
      <c r="B8" s="44">
        <v>33</v>
      </c>
      <c r="C8" s="37">
        <f t="shared" si="1"/>
        <v>0.32038834951456313</v>
      </c>
      <c r="E8" s="59" t="s">
        <v>89</v>
      </c>
      <c r="F8" s="56" t="s">
        <v>44</v>
      </c>
      <c r="G8" s="44">
        <v>32</v>
      </c>
      <c r="H8" s="129">
        <f>IF(B$17=0,0,G8/B$17)</f>
        <v>0.12355212355212356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0.3300970873786408</v>
      </c>
      <c r="E9" s="59" t="s">
        <v>69</v>
      </c>
      <c r="F9" s="56" t="s">
        <v>24</v>
      </c>
      <c r="G9" s="44">
        <v>30</v>
      </c>
      <c r="H9" s="129">
        <f>IF(B$17=0,0,G9/B$17)</f>
        <v>0.11583011583011583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0.14563106796116504</v>
      </c>
      <c r="E10" s="59" t="s">
        <v>65</v>
      </c>
      <c r="F10" s="56" t="s">
        <v>21</v>
      </c>
      <c r="G10" s="44">
        <v>25</v>
      </c>
      <c r="H10" s="129">
        <f>IF(B$17=0,0,G10/B$17)</f>
        <v>9.6525096525096526E-2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2.1880000000000011</v>
      </c>
      <c r="P10" s="114">
        <v>25</v>
      </c>
      <c r="Q10" s="102">
        <v>54.700000000000024</v>
      </c>
    </row>
    <row r="11" spans="1:17" x14ac:dyDescent="0.4">
      <c r="A11" s="52" t="s">
        <v>138</v>
      </c>
      <c r="B11" s="45">
        <v>10</v>
      </c>
      <c r="C11" s="38">
        <f t="shared" si="1"/>
        <v>9.7087378640776698E-2</v>
      </c>
      <c r="E11" s="59" t="s">
        <v>70</v>
      </c>
      <c r="F11" s="56" t="s">
        <v>25</v>
      </c>
      <c r="G11" s="44">
        <v>23</v>
      </c>
      <c r="H11" s="129">
        <f>IF(B$17=0,0,G11/B$17)</f>
        <v>8.8803088803088806E-2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3.8645161290322592</v>
      </c>
      <c r="P11" s="115">
        <v>31</v>
      </c>
      <c r="Q11" s="103">
        <v>119.80000000000004</v>
      </c>
    </row>
    <row r="12" spans="1:17" x14ac:dyDescent="0.4">
      <c r="A12" s="53" t="s">
        <v>158</v>
      </c>
      <c r="B12" s="46">
        <v>17</v>
      </c>
      <c r="C12" s="40">
        <f t="shared" si="1"/>
        <v>0.1650485436893204</v>
      </c>
      <c r="E12" s="59" t="s">
        <v>71</v>
      </c>
      <c r="F12" s="56" t="s">
        <v>26</v>
      </c>
      <c r="G12" s="44">
        <v>22</v>
      </c>
      <c r="H12" s="129">
        <f>IF(B$17=0,0,G12/B$17)</f>
        <v>8.4942084942084939E-2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203</v>
      </c>
      <c r="C13" s="42">
        <f>IF(B$3=0,0,B13/B$3)</f>
        <v>0.23495370370370369</v>
      </c>
      <c r="E13" s="59" t="s">
        <v>86</v>
      </c>
      <c r="F13" s="56" t="s">
        <v>41</v>
      </c>
      <c r="G13" s="44">
        <v>18</v>
      </c>
      <c r="H13" s="129">
        <f>IF(B$17=0,0,G13/B$17)</f>
        <v>6.9498069498069498E-2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262</v>
      </c>
      <c r="C14" s="37">
        <f>IF(B$3=0,0,B14/B$3)</f>
        <v>0.30324074074074076</v>
      </c>
      <c r="E14" s="59" t="s">
        <v>83</v>
      </c>
      <c r="F14" s="56" t="s">
        <v>38</v>
      </c>
      <c r="G14" s="44">
        <v>15</v>
      </c>
      <c r="H14" s="129">
        <f>IF(B$17=0,0,G14/B$17)</f>
        <v>5.7915057915057917E-2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103</v>
      </c>
      <c r="C15" s="35">
        <f>IF(B$13=0,0,B15/B$13)</f>
        <v>0.5073891625615764</v>
      </c>
      <c r="E15" s="59" t="s">
        <v>78</v>
      </c>
      <c r="F15" s="56" t="s">
        <v>33</v>
      </c>
      <c r="G15" s="44">
        <v>8</v>
      </c>
      <c r="H15" s="129">
        <f>IF(B$17=0,0,G15/B$17)</f>
        <v>3.0888030888030889E-2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96</v>
      </c>
      <c r="C16" s="35">
        <f>IF(B$14=0,0,B16/B$14)</f>
        <v>0.36641221374045801</v>
      </c>
      <c r="E16" s="59" t="s">
        <v>91</v>
      </c>
      <c r="F16" s="56" t="s">
        <v>46</v>
      </c>
      <c r="G16" s="44">
        <v>8</v>
      </c>
      <c r="H16" s="129">
        <f>IF(B$17=0,0,G16/B$17)</f>
        <v>3.0888030888030889E-2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259</v>
      </c>
      <c r="C17" s="35">
        <f>IF(B$3=0,0,B17/B$3)</f>
        <v>0.29976851851851855</v>
      </c>
      <c r="E17" s="59" t="s">
        <v>81</v>
      </c>
      <c r="F17" s="56" t="s">
        <v>36</v>
      </c>
      <c r="G17" s="44">
        <v>6</v>
      </c>
      <c r="H17" s="129">
        <f>IF(B$17=0,0,G17/B$17)</f>
        <v>2.3166023166023165E-2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103</v>
      </c>
      <c r="C18" s="37">
        <f>IF(B$17=0,0,B18/B$17)</f>
        <v>0.39768339768339767</v>
      </c>
      <c r="E18" s="59" t="s">
        <v>79</v>
      </c>
      <c r="F18" s="56" t="s">
        <v>34</v>
      </c>
      <c r="G18" s="44">
        <v>5</v>
      </c>
      <c r="H18" s="129">
        <f>IF(B$17=0,0,G18/B$17)</f>
        <v>1.9305019305019305E-2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156</v>
      </c>
      <c r="C19" s="37">
        <f>IF(B$17=0,0,B19/B$17)</f>
        <v>0.60231660231660233</v>
      </c>
      <c r="E19" s="59" t="s">
        <v>167</v>
      </c>
      <c r="F19" s="56" t="s">
        <v>168</v>
      </c>
      <c r="G19" s="44">
        <v>3</v>
      </c>
      <c r="H19" s="129">
        <f>IF(B$17=0,0,G19/B$17)</f>
        <v>1.1583011583011582E-2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 t="shared" si="2"/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172</v>
      </c>
      <c r="C20" s="37">
        <f>IF(B$3=0,0,B20/B$3)</f>
        <v>0.19907407407407407</v>
      </c>
      <c r="E20" s="59" t="s">
        <v>74</v>
      </c>
      <c r="F20" s="56" t="s">
        <v>29</v>
      </c>
      <c r="G20" s="44">
        <v>2</v>
      </c>
      <c r="H20" s="129">
        <f>IF(B$17=0,0,G20/B$17)</f>
        <v>7.7220077220077222E-3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 t="shared" si="2"/>
        <v>2.5681818181818166</v>
      </c>
      <c r="P20" s="115">
        <v>22</v>
      </c>
      <c r="Q20" s="103">
        <v>56.499999999999964</v>
      </c>
    </row>
    <row r="21" spans="1:17" x14ac:dyDescent="0.4">
      <c r="A21" s="51" t="s">
        <v>169</v>
      </c>
      <c r="B21" s="44">
        <v>7</v>
      </c>
      <c r="C21" s="131">
        <v>2</v>
      </c>
      <c r="E21" s="59" t="s">
        <v>75</v>
      </c>
      <c r="F21" s="56" t="s">
        <v>30</v>
      </c>
      <c r="G21" s="44">
        <v>1</v>
      </c>
      <c r="H21" s="129">
        <f>IF(B$17=0,0,G21/B$17)</f>
        <v>3.8610038610038611E-3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2</v>
      </c>
      <c r="E22" s="59" t="s">
        <v>77</v>
      </c>
      <c r="F22" s="56" t="s">
        <v>32</v>
      </c>
      <c r="G22" s="44">
        <v>1</v>
      </c>
      <c r="H22" s="129">
        <f>IF(B$17=0,0,G22/B$17)</f>
        <v>3.8610038610038611E-3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-15.45833333333333</v>
      </c>
      <c r="P22" s="115">
        <v>72</v>
      </c>
      <c r="Q22" s="103">
        <v>-1112.9999999999998</v>
      </c>
    </row>
    <row r="23" spans="1:17" x14ac:dyDescent="0.4">
      <c r="A23" s="51" t="s">
        <v>5</v>
      </c>
      <c r="B23" s="48">
        <f>IF(B$17=0,0,C23/B$17)</f>
        <v>8591.8918918918916</v>
      </c>
      <c r="C23" s="39">
        <v>2225300</v>
      </c>
      <c r="E23" s="59" t="s">
        <v>84</v>
      </c>
      <c r="F23" s="56" t="s">
        <v>39</v>
      </c>
      <c r="G23" s="44">
        <v>1</v>
      </c>
      <c r="H23" s="129">
        <f>IF(B$17=0,0,G23/B$17)</f>
        <v>3.8610038610038611E-3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9001.8404907975455</v>
      </c>
      <c r="C24" s="137">
        <v>1467300</v>
      </c>
      <c r="E24" s="59" t="s">
        <v>92</v>
      </c>
      <c r="F24" s="56" t="s">
        <v>47</v>
      </c>
      <c r="G24" s="44">
        <v>1</v>
      </c>
      <c r="H24" s="129">
        <f>IF(B$17=0,0,G24/B$17)</f>
        <v>3.8610038610038611E-3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7895.833333333333</v>
      </c>
      <c r="C25" s="137">
        <v>758000</v>
      </c>
      <c r="E25" s="59" t="s">
        <v>95</v>
      </c>
      <c r="F25" s="56" t="s">
        <v>50</v>
      </c>
      <c r="G25" s="44">
        <v>1</v>
      </c>
      <c r="H25" s="129">
        <f>IF(B$17=0,0,G25/B$17)</f>
        <v>3.8610038610038611E-3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-8168.604651162791</v>
      </c>
      <c r="C26" s="137">
        <v>-1405000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3.472222222222222E-3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</sheetData>
  <sortState xmlns:xlrd2="http://schemas.microsoft.com/office/spreadsheetml/2017/richdata2" ref="E2:I10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64</v>
      </c>
      <c r="C2" s="149"/>
      <c r="E2" s="58" t="s">
        <v>66</v>
      </c>
      <c r="F2" s="55" t="s">
        <v>22</v>
      </c>
      <c r="G2" s="43">
        <v>120</v>
      </c>
      <c r="H2" s="128">
        <f>IF(B$17=0,0,G2/B$17)</f>
        <v>0.78947368421052633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-115.87301587301587</v>
      </c>
      <c r="P2" s="114">
        <v>63</v>
      </c>
      <c r="Q2" s="98">
        <v>-7300</v>
      </c>
    </row>
    <row r="3" spans="1:17" x14ac:dyDescent="0.4">
      <c r="A3" s="51" t="s">
        <v>8</v>
      </c>
      <c r="B3" s="150">
        <v>542</v>
      </c>
      <c r="C3" s="151"/>
      <c r="E3" s="59" t="s">
        <v>64</v>
      </c>
      <c r="F3" s="56" t="s">
        <v>20</v>
      </c>
      <c r="G3" s="44">
        <v>89</v>
      </c>
      <c r="H3" s="129">
        <f>IF(B$17=0,0,G3/B$17)</f>
        <v>0.58552631578947367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-988.88888888888891</v>
      </c>
      <c r="P3" s="115">
        <v>63</v>
      </c>
      <c r="Q3" s="99">
        <v>-62300</v>
      </c>
    </row>
    <row r="4" spans="1:17" x14ac:dyDescent="0.4">
      <c r="A4" s="51" t="s">
        <v>6</v>
      </c>
      <c r="B4" s="152">
        <v>-421.09999999999997</v>
      </c>
      <c r="C4" s="153"/>
      <c r="E4" s="59" t="s">
        <v>72</v>
      </c>
      <c r="F4" s="56" t="s">
        <v>27</v>
      </c>
      <c r="G4" s="44">
        <v>78</v>
      </c>
      <c r="H4" s="129">
        <f>IF(B$17=0,0,G4/B$17)</f>
        <v>0.51315789473684215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947.45762711864404</v>
      </c>
      <c r="P4" s="115">
        <v>59</v>
      </c>
      <c r="Q4" s="99">
        <v>55900</v>
      </c>
    </row>
    <row r="5" spans="1:17" x14ac:dyDescent="0.4">
      <c r="A5" s="51" t="s">
        <v>7</v>
      </c>
      <c r="B5" s="154">
        <f>IF(B$2=0,0,B$4/B$2)</f>
        <v>-6.5796874999999995</v>
      </c>
      <c r="C5" s="155"/>
      <c r="E5" s="59" t="s">
        <v>171</v>
      </c>
      <c r="F5" s="56" t="s">
        <v>172</v>
      </c>
      <c r="G5" s="44">
        <v>63</v>
      </c>
      <c r="H5" s="129">
        <f>IF(B$17=0,0,G5/B$17)</f>
        <v>0.41447368421052633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-1389.655172413793</v>
      </c>
      <c r="P5" s="115">
        <v>58</v>
      </c>
      <c r="Q5" s="99">
        <v>-80600</v>
      </c>
    </row>
    <row r="6" spans="1:17" x14ac:dyDescent="0.4">
      <c r="A6" s="51" t="s">
        <v>1</v>
      </c>
      <c r="B6" s="144">
        <f>IF(B$2=0,0,(B$7*1+B$8*2+B$9*3)/B$2)</f>
        <v>2.171875</v>
      </c>
      <c r="C6" s="145"/>
      <c r="E6" s="59" t="s">
        <v>68</v>
      </c>
      <c r="F6" s="56" t="s">
        <v>12</v>
      </c>
      <c r="G6" s="44">
        <v>53</v>
      </c>
      <c r="H6" s="129">
        <f>IF(B$17=0,0,G6/B$17)</f>
        <v>0.34868421052631576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-3281.818181818182</v>
      </c>
      <c r="P6" s="115">
        <v>55</v>
      </c>
      <c r="Q6" s="99">
        <v>-180500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0.21875</v>
      </c>
      <c r="E7" s="59" t="s">
        <v>67</v>
      </c>
      <c r="F7" s="56" t="s">
        <v>23</v>
      </c>
      <c r="G7" s="44">
        <v>47</v>
      </c>
      <c r="H7" s="129">
        <f>IF(B$17=0,0,G7/B$17)</f>
        <v>0.30921052631578949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-1214.2857142857142</v>
      </c>
      <c r="P7" s="116">
        <v>49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0.390625</v>
      </c>
      <c r="E8" s="59" t="s">
        <v>70</v>
      </c>
      <c r="F8" s="56" t="s">
        <v>25</v>
      </c>
      <c r="G8" s="44">
        <v>24</v>
      </c>
      <c r="H8" s="129">
        <f>IF(B$17=0,0,G8/B$17)</f>
        <v>0.15789473684210525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0.390625</v>
      </c>
      <c r="E9" s="59" t="s">
        <v>69</v>
      </c>
      <c r="F9" s="56" t="s">
        <v>24</v>
      </c>
      <c r="G9" s="44">
        <v>22</v>
      </c>
      <c r="H9" s="129">
        <f>IF(B$17=0,0,G9/B$17)</f>
        <v>0.14473684210526316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9.375E-2</v>
      </c>
      <c r="E10" s="59" t="s">
        <v>65</v>
      </c>
      <c r="F10" s="56" t="s">
        <v>21</v>
      </c>
      <c r="G10" s="44">
        <v>18</v>
      </c>
      <c r="H10" s="129">
        <f>IF(B$17=0,0,G10/B$17)</f>
        <v>0.11842105263157894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-1.2320000000000011</v>
      </c>
      <c r="P10" s="114">
        <v>25</v>
      </c>
      <c r="Q10" s="102">
        <v>-30.800000000000026</v>
      </c>
    </row>
    <row r="11" spans="1:17" x14ac:dyDescent="0.4">
      <c r="A11" s="52" t="s">
        <v>138</v>
      </c>
      <c r="B11" s="45">
        <v>2</v>
      </c>
      <c r="C11" s="38">
        <f t="shared" si="1"/>
        <v>3.125E-2</v>
      </c>
      <c r="E11" s="59" t="s">
        <v>89</v>
      </c>
      <c r="F11" s="56" t="s">
        <v>44</v>
      </c>
      <c r="G11" s="44">
        <v>16</v>
      </c>
      <c r="H11" s="129">
        <f>IF(B$17=0,0,G11/B$17)</f>
        <v>0.10526315789473684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7.8125E-2</v>
      </c>
      <c r="E12" s="59" t="s">
        <v>83</v>
      </c>
      <c r="F12" s="56" t="s">
        <v>38</v>
      </c>
      <c r="G12" s="44">
        <v>9</v>
      </c>
      <c r="H12" s="129">
        <f>IF(B$17=0,0,G12/B$17)</f>
        <v>5.921052631578947E-2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156</v>
      </c>
      <c r="C13" s="42">
        <f>IF(B$3=0,0,B13/B$3)</f>
        <v>0.28782287822878228</v>
      </c>
      <c r="E13" s="59" t="s">
        <v>71</v>
      </c>
      <c r="F13" s="56" t="s">
        <v>26</v>
      </c>
      <c r="G13" s="44">
        <v>7</v>
      </c>
      <c r="H13" s="129">
        <f>IF(B$17=0,0,G13/B$17)</f>
        <v>4.6052631578947366E-2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0.18819188191881919</v>
      </c>
      <c r="E14" s="59" t="s">
        <v>78</v>
      </c>
      <c r="F14" s="56" t="s">
        <v>33</v>
      </c>
      <c r="G14" s="44">
        <v>6</v>
      </c>
      <c r="H14" s="129">
        <f>IF(B$17=0,0,G14/B$17)</f>
        <v>3.9473684210526314E-2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0.58333333333333337</v>
      </c>
      <c r="E15" s="59" t="s">
        <v>86</v>
      </c>
      <c r="F15" s="56" t="s">
        <v>41</v>
      </c>
      <c r="G15" s="44">
        <v>4</v>
      </c>
      <c r="H15" s="129">
        <f>IF(B$17=0,0,G15/B$17)</f>
        <v>2.6315789473684209E-2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41</v>
      </c>
      <c r="C16" s="35">
        <f>IF(B$14=0,0,B16/B$14)</f>
        <v>0.40196078431372551</v>
      </c>
      <c r="E16" s="59" t="s">
        <v>81</v>
      </c>
      <c r="F16" s="56" t="s">
        <v>36</v>
      </c>
      <c r="G16" s="44">
        <v>3</v>
      </c>
      <c r="H16" s="129">
        <f>IF(B$17=0,0,G16/B$17)</f>
        <v>1.9736842105263157E-2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152</v>
      </c>
      <c r="C17" s="35">
        <f>IF(B$3=0,0,B17/B$3)</f>
        <v>0.28044280442804426</v>
      </c>
      <c r="E17" s="59" t="s">
        <v>167</v>
      </c>
      <c r="F17" s="56" t="s">
        <v>168</v>
      </c>
      <c r="G17" s="44">
        <v>3</v>
      </c>
      <c r="H17" s="129">
        <f>IF(B$17=0,0,G17/B$17)</f>
        <v>1.9736842105263157E-2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 t="shared" si="2"/>
        <v>-3.0499999999999985</v>
      </c>
      <c r="P17" s="115">
        <v>10</v>
      </c>
      <c r="Q17" s="103">
        <v>-30.499999999999986</v>
      </c>
    </row>
    <row r="18" spans="1:17" x14ac:dyDescent="0.4">
      <c r="A18" s="51" t="s">
        <v>12</v>
      </c>
      <c r="B18" s="44">
        <v>70</v>
      </c>
      <c r="C18" s="37">
        <f>IF(B$17=0,0,B18/B$17)</f>
        <v>0.46052631578947367</v>
      </c>
      <c r="E18" s="59" t="s">
        <v>75</v>
      </c>
      <c r="F18" s="56" t="s">
        <v>30</v>
      </c>
      <c r="G18" s="44">
        <v>2</v>
      </c>
      <c r="H18" s="129">
        <f>IF(B$17=0,0,G18/B$17)</f>
        <v>1.3157894736842105E-2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 t="shared" si="2"/>
        <v>-5.2999999999999989</v>
      </c>
      <c r="P18" s="115">
        <v>9</v>
      </c>
      <c r="Q18" s="103">
        <v>-47.699999999999989</v>
      </c>
    </row>
    <row r="19" spans="1:17" x14ac:dyDescent="0.4">
      <c r="A19" s="51" t="s">
        <v>11</v>
      </c>
      <c r="B19" s="44">
        <v>82</v>
      </c>
      <c r="C19" s="37">
        <f>IF(B$17=0,0,B19/B$17)</f>
        <v>0.53947368421052633</v>
      </c>
      <c r="E19" s="59" t="s">
        <v>79</v>
      </c>
      <c r="F19" s="56" t="s">
        <v>34</v>
      </c>
      <c r="G19" s="44">
        <v>2</v>
      </c>
      <c r="H19" s="129">
        <f>IF(B$17=0,0,G19/B$17)</f>
        <v>1.3157894736842105E-2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112</v>
      </c>
      <c r="C20" s="37">
        <f>IF(B$3=0,0,B20/B$3)</f>
        <v>0.20664206642066421</v>
      </c>
      <c r="E20" s="59" t="s">
        <v>91</v>
      </c>
      <c r="F20" s="56" t="s">
        <v>46</v>
      </c>
      <c r="G20" s="44">
        <v>1</v>
      </c>
      <c r="H20" s="129">
        <f>IF(B$17=0,0,G20/B$17)</f>
        <v>6.5789473684210523E-3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4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8158.5526315789475</v>
      </c>
      <c r="C23" s="39">
        <v>1240100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8621.6216216216217</v>
      </c>
      <c r="C24" s="137">
        <v>957000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6904.8780487804879</v>
      </c>
      <c r="C25" s="137">
        <v>283100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-7617.8571428571431</v>
      </c>
      <c r="C26" s="137">
        <v>-853200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5.5350553505535052E-3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</sheetData>
  <sortState xmlns:xlrd2="http://schemas.microsoft.com/office/spreadsheetml/2017/richdata2" ref="E2:I67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129</v>
      </c>
      <c r="H2" s="128">
        <f>IF(B$17=0,0,G2/B$17)</f>
        <v>0.8716216216216216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1696.7213114754099</v>
      </c>
      <c r="P2" s="114">
        <v>61</v>
      </c>
      <c r="Q2" s="98">
        <v>103500</v>
      </c>
    </row>
    <row r="3" spans="1:17" x14ac:dyDescent="0.4">
      <c r="A3" s="51" t="s">
        <v>8</v>
      </c>
      <c r="B3" s="150">
        <v>504</v>
      </c>
      <c r="C3" s="151"/>
      <c r="E3" s="59" t="s">
        <v>72</v>
      </c>
      <c r="F3" s="56" t="s">
        <v>27</v>
      </c>
      <c r="G3" s="44">
        <v>82</v>
      </c>
      <c r="H3" s="129">
        <f>IF(B$17=0,0,G3/B$17)</f>
        <v>0.55405405405405406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-2205.0847457627119</v>
      </c>
      <c r="P3" s="115">
        <v>59</v>
      </c>
      <c r="Q3" s="99">
        <v>-130100</v>
      </c>
    </row>
    <row r="4" spans="1:17" x14ac:dyDescent="0.4">
      <c r="A4" s="51" t="s">
        <v>6</v>
      </c>
      <c r="B4" s="152">
        <v>351.80000000000007</v>
      </c>
      <c r="C4" s="153"/>
      <c r="E4" s="59" t="s">
        <v>64</v>
      </c>
      <c r="F4" s="56" t="s">
        <v>20</v>
      </c>
      <c r="G4" s="44">
        <v>79</v>
      </c>
      <c r="H4" s="129">
        <f>IF(B$17=0,0,G4/B$17)</f>
        <v>0.53378378378378377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1009.0909090909091</v>
      </c>
      <c r="P4" s="115">
        <v>55</v>
      </c>
      <c r="Q4" s="99">
        <v>55500</v>
      </c>
    </row>
    <row r="5" spans="1:17" x14ac:dyDescent="0.4">
      <c r="A5" s="51" t="s">
        <v>7</v>
      </c>
      <c r="B5" s="154">
        <f>IF(B$2=0,0,B$4/B$2)</f>
        <v>5.7672131147540995</v>
      </c>
      <c r="C5" s="155"/>
      <c r="E5" s="59" t="s">
        <v>67</v>
      </c>
      <c r="F5" s="56" t="s">
        <v>23</v>
      </c>
      <c r="G5" s="44">
        <v>63</v>
      </c>
      <c r="H5" s="129">
        <f>IF(B$17=0,0,G5/B$17)</f>
        <v>0.42567567567567566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3832.0754716981132</v>
      </c>
      <c r="P5" s="115">
        <v>53</v>
      </c>
      <c r="Q5" s="99">
        <v>203100</v>
      </c>
    </row>
    <row r="6" spans="1:17" x14ac:dyDescent="0.4">
      <c r="A6" s="51" t="s">
        <v>1</v>
      </c>
      <c r="B6" s="144">
        <f>IF(B$2=0,0,(B$7*1+B$8*2+B$9*3)/B$2)</f>
        <v>1.8688524590163935</v>
      </c>
      <c r="C6" s="145"/>
      <c r="E6" s="59" t="s">
        <v>171</v>
      </c>
      <c r="F6" s="56" t="s">
        <v>172</v>
      </c>
      <c r="G6" s="44">
        <v>56</v>
      </c>
      <c r="H6" s="129">
        <f>IF(B$17=0,0,G6/B$17)</f>
        <v>0.3783783783783784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1110.204081632653</v>
      </c>
      <c r="P6" s="115">
        <v>49</v>
      </c>
      <c r="Q6" s="99">
        <v>54400</v>
      </c>
    </row>
    <row r="7" spans="1:17" x14ac:dyDescent="0.4">
      <c r="A7" s="51" t="s">
        <v>2</v>
      </c>
      <c r="B7" s="44">
        <v>26</v>
      </c>
      <c r="C7" s="37">
        <f t="shared" ref="C7:C12" si="1">IF(B$2=0,0,B7/B$2)</f>
        <v>0.42622950819672129</v>
      </c>
      <c r="E7" s="59" t="s">
        <v>68</v>
      </c>
      <c r="F7" s="56" t="s">
        <v>12</v>
      </c>
      <c r="G7" s="44">
        <v>54</v>
      </c>
      <c r="H7" s="129">
        <f>IF(B$17=0,0,G7/B$17)</f>
        <v>0.36486486486486486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-313.15789473684208</v>
      </c>
      <c r="P7" s="116">
        <v>38</v>
      </c>
      <c r="Q7" s="100">
        <v>-11900</v>
      </c>
    </row>
    <row r="8" spans="1:17" x14ac:dyDescent="0.4">
      <c r="A8" s="51" t="s">
        <v>3</v>
      </c>
      <c r="B8" s="44">
        <v>17</v>
      </c>
      <c r="C8" s="37">
        <f t="shared" si="1"/>
        <v>0.27868852459016391</v>
      </c>
      <c r="E8" s="59" t="s">
        <v>69</v>
      </c>
      <c r="F8" s="56" t="s">
        <v>24</v>
      </c>
      <c r="G8" s="44">
        <v>32</v>
      </c>
      <c r="H8" s="129">
        <f>IF(B$17=0,0,G8/B$17)</f>
        <v>0.21621621621621623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0.29508196721311475</v>
      </c>
      <c r="E9" s="59" t="s">
        <v>89</v>
      </c>
      <c r="F9" s="56" t="s">
        <v>44</v>
      </c>
      <c r="G9" s="44">
        <v>31</v>
      </c>
      <c r="H9" s="129">
        <f>IF(B$17=0,0,G9/B$17)</f>
        <v>0.20945945945945946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18</v>
      </c>
      <c r="H10" s="129">
        <f>IF(B$17=0,0,G10/B$17)</f>
        <v>0.12162162162162163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12</v>
      </c>
      <c r="C11" s="38">
        <f t="shared" si="1"/>
        <v>0.19672131147540983</v>
      </c>
      <c r="E11" s="59" t="s">
        <v>70</v>
      </c>
      <c r="F11" s="56" t="s">
        <v>25</v>
      </c>
      <c r="G11" s="44">
        <v>16</v>
      </c>
      <c r="H11" s="129">
        <f>IF(B$17=0,0,G11/B$17)</f>
        <v>0.10810810810810811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7.3275862068965507</v>
      </c>
      <c r="P11" s="115">
        <v>29</v>
      </c>
      <c r="Q11" s="103">
        <v>212.49999999999997</v>
      </c>
    </row>
    <row r="12" spans="1:17" x14ac:dyDescent="0.4">
      <c r="A12" s="53" t="s">
        <v>158</v>
      </c>
      <c r="B12" s="46">
        <v>7</v>
      </c>
      <c r="C12" s="40">
        <f t="shared" si="1"/>
        <v>0.11475409836065574</v>
      </c>
      <c r="E12" s="59" t="s">
        <v>167</v>
      </c>
      <c r="F12" s="56" t="s">
        <v>168</v>
      </c>
      <c r="G12" s="44">
        <v>9</v>
      </c>
      <c r="H12" s="129">
        <f>IF(B$17=0,0,G12/B$17)</f>
        <v>6.0810810810810814E-2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163</v>
      </c>
      <c r="C13" s="42">
        <f>IF(B$3=0,0,B13/B$3)</f>
        <v>0.32341269841269843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91</v>
      </c>
      <c r="C14" s="37">
        <f>IF(B$3=0,0,B14/B$3)</f>
        <v>0.18055555555555555</v>
      </c>
      <c r="E14" s="59" t="s">
        <v>83</v>
      </c>
      <c r="F14" s="56" t="s">
        <v>38</v>
      </c>
      <c r="G14" s="44">
        <v>6</v>
      </c>
      <c r="H14" s="129">
        <f>IF(B$17=0,0,G14/B$17)</f>
        <v>4.0540540540540543E-2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89</v>
      </c>
      <c r="C15" s="35">
        <f>IF(B$13=0,0,B15/B$13)</f>
        <v>0.54601226993865026</v>
      </c>
      <c r="E15" s="59" t="s">
        <v>86</v>
      </c>
      <c r="F15" s="56" t="s">
        <v>41</v>
      </c>
      <c r="G15" s="44">
        <v>5</v>
      </c>
      <c r="H15" s="129">
        <f>IF(B$17=0,0,G15/B$17)</f>
        <v>3.3783783783783786E-2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40</v>
      </c>
      <c r="C16" s="35">
        <f>IF(B$14=0,0,B16/B$14)</f>
        <v>0.43956043956043955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27.133333333333333</v>
      </c>
      <c r="P16" s="115">
        <v>9</v>
      </c>
      <c r="Q16" s="103">
        <v>244.2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0.29365079365079366</v>
      </c>
      <c r="E17" s="59" t="s">
        <v>92</v>
      </c>
      <c r="F17" s="56" t="s">
        <v>47</v>
      </c>
      <c r="G17" s="44">
        <v>3</v>
      </c>
      <c r="H17" s="129">
        <f>IF(B$17=0,0,G17/B$17)</f>
        <v>2.0270270270270271E-2</v>
      </c>
      <c r="I17" s="90">
        <v>1</v>
      </c>
      <c r="K17" s="36">
        <v>15</v>
      </c>
      <c r="L17" s="95">
        <v>-101.79999999999997</v>
      </c>
      <c r="N17" s="111" t="s">
        <v>178</v>
      </c>
      <c r="O17" s="121">
        <f>IF(P17=0,0,Q17/P17)</f>
        <v>20.46875</v>
      </c>
      <c r="P17" s="115">
        <v>32</v>
      </c>
      <c r="Q17" s="103">
        <v>655</v>
      </c>
    </row>
    <row r="18" spans="1:17" x14ac:dyDescent="0.4">
      <c r="A18" s="51" t="s">
        <v>12</v>
      </c>
      <c r="B18" s="44">
        <v>70</v>
      </c>
      <c r="C18" s="37">
        <f>IF(B$17=0,0,B18/B$17)</f>
        <v>0.47297297297297297</v>
      </c>
      <c r="E18" s="59" t="s">
        <v>91</v>
      </c>
      <c r="F18" s="56" t="s">
        <v>46</v>
      </c>
      <c r="G18" s="44">
        <v>2</v>
      </c>
      <c r="H18" s="129">
        <f>IF(B$17=0,0,G18/B$17)</f>
        <v>1.3513513513513514E-2</v>
      </c>
      <c r="I18" s="90">
        <v>3</v>
      </c>
      <c r="K18" s="36">
        <v>16</v>
      </c>
      <c r="L18" s="95">
        <v>-63.099999999999966</v>
      </c>
      <c r="N18" s="111" t="s">
        <v>182</v>
      </c>
      <c r="O18" s="121">
        <f>IF(P18=0,0,Q18/P18)</f>
        <v>14.315384615384612</v>
      </c>
      <c r="P18" s="115">
        <v>13</v>
      </c>
      <c r="Q18" s="103">
        <v>186.09999999999997</v>
      </c>
    </row>
    <row r="19" spans="1:17" x14ac:dyDescent="0.4">
      <c r="A19" s="51" t="s">
        <v>11</v>
      </c>
      <c r="B19" s="44">
        <v>78</v>
      </c>
      <c r="C19" s="37">
        <f>IF(B$17=0,0,B19/B$17)</f>
        <v>0.52702702702702697</v>
      </c>
      <c r="E19" s="59" t="s">
        <v>73</v>
      </c>
      <c r="F19" s="56" t="s">
        <v>28</v>
      </c>
      <c r="G19" s="44">
        <v>1</v>
      </c>
      <c r="H19" s="129">
        <f>IF(B$17=0,0,G19/B$17)</f>
        <v>6.7567567567567571E-3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8.654166666666665</v>
      </c>
      <c r="P19" s="115">
        <v>24</v>
      </c>
      <c r="Q19" s="103">
        <v>207.69999999999996</v>
      </c>
    </row>
    <row r="20" spans="1:17" x14ac:dyDescent="0.4">
      <c r="A20" s="51" t="s">
        <v>13</v>
      </c>
      <c r="B20" s="44">
        <v>84</v>
      </c>
      <c r="C20" s="37">
        <f>IF(B$3=0,0,B20/B$3)</f>
        <v>0.16666666666666666</v>
      </c>
      <c r="E20" s="59" t="s">
        <v>75</v>
      </c>
      <c r="F20" s="56" t="s">
        <v>30</v>
      </c>
      <c r="G20" s="44">
        <v>1</v>
      </c>
      <c r="H20" s="129">
        <f>IF(B$17=0,0,G20/B$17)</f>
        <v>6.7567567567567571E-3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>IF(P20=0,0,Q20/P20)</f>
        <v>3.0499999999999985</v>
      </c>
      <c r="P20" s="115">
        <v>10</v>
      </c>
      <c r="Q20" s="103">
        <v>30.499999999999986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6.7567567567567571E-3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1</v>
      </c>
      <c r="E22" s="59" t="s">
        <v>85</v>
      </c>
      <c r="F22" s="56" t="s">
        <v>40</v>
      </c>
      <c r="G22" s="44">
        <v>1</v>
      </c>
      <c r="H22" s="129">
        <f>IF(B$17=0,0,G22/B$17)</f>
        <v>6.7567567567567571E-3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10410.135135135135</v>
      </c>
      <c r="C23" s="39">
        <v>1540700</v>
      </c>
      <c r="E23" s="59" t="s">
        <v>90</v>
      </c>
      <c r="F23" s="56" t="s">
        <v>45</v>
      </c>
      <c r="G23" s="44">
        <v>1</v>
      </c>
      <c r="H23" s="129">
        <f>IF(B$17=0,0,G23/B$17)</f>
        <v>6.7567567567567571E-3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11314.814814814816</v>
      </c>
      <c r="C24" s="137">
        <v>1222000</v>
      </c>
      <c r="E24" s="59" t="s">
        <v>93</v>
      </c>
      <c r="F24" s="56" t="s">
        <v>48</v>
      </c>
      <c r="G24" s="44">
        <v>1</v>
      </c>
      <c r="H24" s="129">
        <f>IF(B$17=0,0,G24/B$17)</f>
        <v>6.7567567567567571E-3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7967.5</v>
      </c>
      <c r="C25" s="137">
        <v>318700</v>
      </c>
      <c r="E25" s="59" t="s">
        <v>97</v>
      </c>
      <c r="F25" s="56" t="s">
        <v>52</v>
      </c>
      <c r="G25" s="44">
        <v>1</v>
      </c>
      <c r="H25" s="129">
        <f>IF(B$17=0,0,G25/B$17)</f>
        <v>6.7567567567567571E-3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-7910.7142857142853</v>
      </c>
      <c r="C26" s="137">
        <v>-664500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</sheetData>
  <sortState xmlns:xlrd2="http://schemas.microsoft.com/office/spreadsheetml/2017/richdata2" ref="E2:I6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89</v>
      </c>
      <c r="C2" s="149"/>
      <c r="E2" s="58" t="s">
        <v>66</v>
      </c>
      <c r="F2" s="55" t="s">
        <v>22</v>
      </c>
      <c r="G2" s="43">
        <v>150</v>
      </c>
      <c r="H2" s="128">
        <f>IF(B$17=0,0,G2/B$17)</f>
        <v>0.74257425742574257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538.20224719101122</v>
      </c>
      <c r="P2" s="114">
        <v>89</v>
      </c>
      <c r="Q2" s="98">
        <v>47900</v>
      </c>
    </row>
    <row r="3" spans="1:17" x14ac:dyDescent="0.4">
      <c r="A3" s="51" t="s">
        <v>8</v>
      </c>
      <c r="B3" s="150">
        <v>716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0.58415841584158412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738.37209302325584</v>
      </c>
      <c r="P3" s="115">
        <v>86</v>
      </c>
      <c r="Q3" s="99">
        <v>63500</v>
      </c>
    </row>
    <row r="4" spans="1:17" x14ac:dyDescent="0.4">
      <c r="A4" s="51" t="s">
        <v>6</v>
      </c>
      <c r="B4" s="152">
        <v>-119.60000000000001</v>
      </c>
      <c r="C4" s="153"/>
      <c r="E4" s="59" t="s">
        <v>64</v>
      </c>
      <c r="F4" s="56" t="s">
        <v>20</v>
      </c>
      <c r="G4" s="44">
        <v>101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-1130</v>
      </c>
      <c r="P4" s="115">
        <v>80</v>
      </c>
      <c r="Q4" s="99">
        <v>-90400</v>
      </c>
    </row>
    <row r="5" spans="1:17" x14ac:dyDescent="0.4">
      <c r="A5" s="51" t="s">
        <v>7</v>
      </c>
      <c r="B5" s="154">
        <f>IF(B$2=0,0,B$4/B$2)</f>
        <v>-1.3438202247191011</v>
      </c>
      <c r="C5" s="155"/>
      <c r="E5" s="59" t="s">
        <v>171</v>
      </c>
      <c r="F5" s="56" t="s">
        <v>172</v>
      </c>
      <c r="G5" s="44">
        <v>92</v>
      </c>
      <c r="H5" s="129">
        <f>IF(B$17=0,0,G5/B$17)</f>
        <v>0.45544554455445546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-208.1081081081081</v>
      </c>
      <c r="P5" s="115">
        <v>74</v>
      </c>
      <c r="Q5" s="99">
        <v>-15400</v>
      </c>
    </row>
    <row r="6" spans="1:17" x14ac:dyDescent="0.4">
      <c r="A6" s="51" t="s">
        <v>1</v>
      </c>
      <c r="B6" s="144">
        <f>IF(B$2=0,0,(B$7*1+B$8*2+B$9*3)/B$2)</f>
        <v>2.0561797752808988</v>
      </c>
      <c r="C6" s="145"/>
      <c r="E6" s="59" t="s">
        <v>67</v>
      </c>
      <c r="F6" s="56" t="s">
        <v>23</v>
      </c>
      <c r="G6" s="44">
        <v>79</v>
      </c>
      <c r="H6" s="129">
        <f>IF(B$17=0,0,G6/B$17)</f>
        <v>0.3910891089108911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-760</v>
      </c>
      <c r="P6" s="115">
        <v>65</v>
      </c>
      <c r="Q6" s="99">
        <v>-49400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0.2247191011235955</v>
      </c>
      <c r="E7" s="59" t="s">
        <v>68</v>
      </c>
      <c r="F7" s="56" t="s">
        <v>12</v>
      </c>
      <c r="G7" s="44">
        <v>65</v>
      </c>
      <c r="H7" s="129">
        <f>IF(B$17=0,0,G7/B$17)</f>
        <v>0.32178217821782179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-828.57142857142856</v>
      </c>
      <c r="P7" s="116">
        <v>56</v>
      </c>
      <c r="Q7" s="100">
        <v>-46400</v>
      </c>
    </row>
    <row r="8" spans="1:17" x14ac:dyDescent="0.4">
      <c r="A8" s="51" t="s">
        <v>3</v>
      </c>
      <c r="B8" s="44">
        <v>44</v>
      </c>
      <c r="C8" s="37">
        <f t="shared" si="1"/>
        <v>0.4943820224719101</v>
      </c>
      <c r="E8" s="59" t="s">
        <v>69</v>
      </c>
      <c r="F8" s="56" t="s">
        <v>24</v>
      </c>
      <c r="G8" s="44">
        <v>27</v>
      </c>
      <c r="H8" s="129">
        <f>IF(B$17=0,0,G8/B$17)</f>
        <v>0.13366336633663367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0.2808988764044944</v>
      </c>
      <c r="E9" s="59" t="s">
        <v>89</v>
      </c>
      <c r="F9" s="56" t="s">
        <v>44</v>
      </c>
      <c r="G9" s="44">
        <v>20</v>
      </c>
      <c r="H9" s="129">
        <f>IF(B$17=0,0,G9/B$17)</f>
        <v>9.9009900990099015E-2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8.98876404494382E-2</v>
      </c>
      <c r="E10" s="59" t="s">
        <v>71</v>
      </c>
      <c r="F10" s="56" t="s">
        <v>26</v>
      </c>
      <c r="G10" s="44">
        <v>19</v>
      </c>
      <c r="H10" s="129">
        <f>IF(B$17=0,0,G10/B$17)</f>
        <v>9.405940594059406E-2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-2.4972972972972975</v>
      </c>
      <c r="P10" s="114">
        <v>37</v>
      </c>
      <c r="Q10" s="102">
        <v>-92.4</v>
      </c>
    </row>
    <row r="11" spans="1:17" x14ac:dyDescent="0.4">
      <c r="A11" s="52" t="s">
        <v>138</v>
      </c>
      <c r="B11" s="45">
        <v>6</v>
      </c>
      <c r="C11" s="38">
        <f t="shared" si="1"/>
        <v>6.741573033707865E-2</v>
      </c>
      <c r="E11" s="59" t="s">
        <v>70</v>
      </c>
      <c r="F11" s="56" t="s">
        <v>25</v>
      </c>
      <c r="G11" s="44">
        <v>17</v>
      </c>
      <c r="H11" s="129">
        <f>IF(B$17=0,0,G11/B$17)</f>
        <v>8.4158415841584164E-2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5.6179775280898875E-2</v>
      </c>
      <c r="E12" s="59" t="s">
        <v>65</v>
      </c>
      <c r="F12" s="56" t="s">
        <v>21</v>
      </c>
      <c r="G12" s="44">
        <v>14</v>
      </c>
      <c r="H12" s="129">
        <f>IF(B$17=0,0,G12/B$17)</f>
        <v>6.9306930693069313E-2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189</v>
      </c>
      <c r="C13" s="42">
        <f>IF(B$3=0,0,B13/B$3)</f>
        <v>0.26396648044692739</v>
      </c>
      <c r="E13" s="59" t="s">
        <v>86</v>
      </c>
      <c r="F13" s="56" t="s">
        <v>41</v>
      </c>
      <c r="G13" s="44">
        <v>10</v>
      </c>
      <c r="H13" s="129">
        <f>IF(B$17=0,0,G13/B$17)</f>
        <v>4.9504950495049507E-2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160</v>
      </c>
      <c r="C14" s="37">
        <f>IF(B$3=0,0,B14/B$3)</f>
        <v>0.22346368715083798</v>
      </c>
      <c r="E14" s="59" t="s">
        <v>83</v>
      </c>
      <c r="F14" s="56" t="s">
        <v>38</v>
      </c>
      <c r="G14" s="44">
        <v>7</v>
      </c>
      <c r="H14" s="129">
        <f>IF(B$17=0,0,G14/B$17)</f>
        <v>3.4653465346534656E-2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0.56084656084656082</v>
      </c>
      <c r="E15" s="59" t="s">
        <v>79</v>
      </c>
      <c r="F15" s="56" t="s">
        <v>34</v>
      </c>
      <c r="G15" s="44">
        <v>6</v>
      </c>
      <c r="H15" s="129">
        <f>IF(B$17=0,0,G15/B$17)</f>
        <v>2.9702970297029702E-2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66</v>
      </c>
      <c r="C16" s="35">
        <f>IF(B$14=0,0,B16/B$14)</f>
        <v>0.41249999999999998</v>
      </c>
      <c r="E16" s="59" t="s">
        <v>167</v>
      </c>
      <c r="F16" s="56" t="s">
        <v>168</v>
      </c>
      <c r="G16" s="44">
        <v>4</v>
      </c>
      <c r="H16" s="129">
        <f>IF(B$17=0,0,G16/B$17)</f>
        <v>1.9801980198019802E-2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202</v>
      </c>
      <c r="C17" s="35">
        <f>IF(B$3=0,0,B17/B$3)</f>
        <v>0.28212290502793297</v>
      </c>
      <c r="E17" s="59" t="s">
        <v>73</v>
      </c>
      <c r="F17" s="56" t="s">
        <v>28</v>
      </c>
      <c r="G17" s="44">
        <v>3</v>
      </c>
      <c r="H17" s="129">
        <f>IF(B$17=0,0,G17/B$17)</f>
        <v>1.4851485148514851E-2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89</v>
      </c>
      <c r="C18" s="37">
        <f>IF(B$17=0,0,B18/B$17)</f>
        <v>0.4405940594059406</v>
      </c>
      <c r="E18" s="59" t="s">
        <v>78</v>
      </c>
      <c r="F18" s="56" t="s">
        <v>33</v>
      </c>
      <c r="G18" s="44">
        <v>3</v>
      </c>
      <c r="H18" s="129">
        <f>IF(B$17=0,0,G18/B$17)</f>
        <v>1.4851485148514851E-2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113</v>
      </c>
      <c r="C19" s="37">
        <f>IF(B$17=0,0,B19/B$17)</f>
        <v>0.55940594059405946</v>
      </c>
      <c r="E19" s="59" t="s">
        <v>81</v>
      </c>
      <c r="F19" s="56" t="s">
        <v>36</v>
      </c>
      <c r="G19" s="44">
        <v>2</v>
      </c>
      <c r="H19" s="129">
        <f>IF(B$17=0,0,G19/B$17)</f>
        <v>9.9009900990099011E-3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97</v>
      </c>
      <c r="C20" s="37">
        <f>IF(B$3=0,0,B20/B$3)</f>
        <v>0.13547486033519554</v>
      </c>
      <c r="E20" s="59" t="s">
        <v>74</v>
      </c>
      <c r="F20" s="56" t="s">
        <v>29</v>
      </c>
      <c r="G20" s="44">
        <v>1</v>
      </c>
      <c r="H20" s="129">
        <f>IF(B$17=0,0,G20/B$17)</f>
        <v>4.9504950495049506E-3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4.9504950495049506E-3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85</v>
      </c>
      <c r="F22" s="56" t="s">
        <v>40</v>
      </c>
      <c r="G22" s="44">
        <v>1</v>
      </c>
      <c r="H22" s="129">
        <f>IF(B$17=0,0,G22/B$17)</f>
        <v>4.9504950495049506E-3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 t="shared" si="2"/>
        <v>-17.656818181818185</v>
      </c>
      <c r="P22" s="115">
        <v>44</v>
      </c>
      <c r="Q22" s="103">
        <v>-776.90000000000009</v>
      </c>
    </row>
    <row r="23" spans="1:17" x14ac:dyDescent="0.4">
      <c r="A23" s="51" t="s">
        <v>5</v>
      </c>
      <c r="B23" s="48">
        <f>IF(B$17=0,0,C23/B$17)</f>
        <v>8315.8415841584156</v>
      </c>
      <c r="C23" s="39">
        <v>1679800</v>
      </c>
      <c r="E23" s="59" t="s">
        <v>87</v>
      </c>
      <c r="F23" s="56" t="s">
        <v>42</v>
      </c>
      <c r="G23" s="44">
        <v>1</v>
      </c>
      <c r="H23" s="129">
        <f>IF(B$17=0,0,G23/B$17)</f>
        <v>4.9504950495049506E-3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 t="shared" si="2"/>
        <v>-20.46875</v>
      </c>
      <c r="P23" s="115">
        <v>32</v>
      </c>
      <c r="Q23" s="103">
        <v>-655</v>
      </c>
    </row>
    <row r="24" spans="1:17" x14ac:dyDescent="0.4">
      <c r="A24" s="52" t="s">
        <v>216</v>
      </c>
      <c r="B24" s="136">
        <f>IF($B$17-B$16=0,0,C24/($B$17-B$16))</f>
        <v>9289.7058823529405</v>
      </c>
      <c r="C24" s="137">
        <v>1263400</v>
      </c>
      <c r="E24" s="59" t="s">
        <v>88</v>
      </c>
      <c r="F24" s="56" t="s">
        <v>43</v>
      </c>
      <c r="G24" s="44">
        <v>1</v>
      </c>
      <c r="H24" s="129">
        <f>IF(B$17=0,0,G24/B$17)</f>
        <v>4.9504950495049506E-3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6309.090909090909</v>
      </c>
      <c r="C25" s="137">
        <v>416400</v>
      </c>
      <c r="E25" s="59" t="s">
        <v>91</v>
      </c>
      <c r="F25" s="56" t="s">
        <v>46</v>
      </c>
      <c r="G25" s="44">
        <v>1</v>
      </c>
      <c r="H25" s="129">
        <f>IF(B$17=0,0,G25/B$17)</f>
        <v>4.9504950495049506E-3</v>
      </c>
      <c r="I25" s="90">
        <v>8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-8062.8865979381444</v>
      </c>
      <c r="C26" s="137">
        <v>-782100</v>
      </c>
      <c r="E26" s="59" t="s">
        <v>93</v>
      </c>
      <c r="F26" s="56" t="s">
        <v>48</v>
      </c>
      <c r="G26" s="44">
        <v>1</v>
      </c>
      <c r="H26" s="129">
        <f>IF(B$17=0,0,G26/B$17)</f>
        <v>4.9504950495049506E-3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4.9504950495049506E-3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2.7932960893854749E-3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</sheetData>
  <sortState xmlns:xlrd2="http://schemas.microsoft.com/office/spreadsheetml/2017/richdata2" ref="E2:I92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36</v>
      </c>
      <c r="C2" s="149"/>
      <c r="E2" s="58" t="s">
        <v>66</v>
      </c>
      <c r="F2" s="55" t="s">
        <v>22</v>
      </c>
      <c r="G2" s="43">
        <v>51</v>
      </c>
      <c r="H2" s="128">
        <f>IF(B$17=0,0,G2/B$17)</f>
        <v>0.68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-2516.6666666666665</v>
      </c>
      <c r="P2" s="114">
        <v>36</v>
      </c>
      <c r="Q2" s="98">
        <v>-90600</v>
      </c>
    </row>
    <row r="3" spans="1:17" x14ac:dyDescent="0.4">
      <c r="A3" s="51" t="s">
        <v>8</v>
      </c>
      <c r="B3" s="150">
        <v>302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0.61333333333333329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169.44444444444446</v>
      </c>
      <c r="P3" s="115">
        <v>36</v>
      </c>
      <c r="Q3" s="99">
        <v>6100</v>
      </c>
    </row>
    <row r="4" spans="1:17" x14ac:dyDescent="0.4">
      <c r="A4" s="51" t="s">
        <v>6</v>
      </c>
      <c r="B4" s="152">
        <v>-498.00000000000011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0.41333333333333333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-1125</v>
      </c>
      <c r="P4" s="115">
        <v>36</v>
      </c>
      <c r="Q4" s="99">
        <v>-40500</v>
      </c>
    </row>
    <row r="5" spans="1:17" x14ac:dyDescent="0.4">
      <c r="A5" s="51" t="s">
        <v>7</v>
      </c>
      <c r="B5" s="154">
        <f>IF(B$2=0,0,B$4/B$2)</f>
        <v>-13.833333333333336</v>
      </c>
      <c r="C5" s="155"/>
      <c r="E5" s="59" t="s">
        <v>171</v>
      </c>
      <c r="F5" s="56" t="s">
        <v>172</v>
      </c>
      <c r="G5" s="44">
        <v>23</v>
      </c>
      <c r="H5" s="129">
        <f>IF(B$17=0,0,G5/B$17)</f>
        <v>0.30666666666666664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-2179.4117647058824</v>
      </c>
      <c r="P5" s="115">
        <v>34</v>
      </c>
      <c r="Q5" s="99">
        <v>-74100</v>
      </c>
    </row>
    <row r="6" spans="1:17" x14ac:dyDescent="0.4">
      <c r="A6" s="51" t="s">
        <v>1</v>
      </c>
      <c r="B6" s="144">
        <f>IF(B$2=0,0,(B$7*1+B$8*2+B$9*3)/B$2)</f>
        <v>2.3888888888888888</v>
      </c>
      <c r="C6" s="145"/>
      <c r="E6" s="59" t="s">
        <v>68</v>
      </c>
      <c r="F6" s="56" t="s">
        <v>12</v>
      </c>
      <c r="G6" s="44">
        <v>21</v>
      </c>
      <c r="H6" s="129">
        <f>IF(B$17=0,0,G6/B$17)</f>
        <v>0.28000000000000003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-1615.1515151515152</v>
      </c>
      <c r="P6" s="115">
        <v>33</v>
      </c>
      <c r="Q6" s="99">
        <v>-53300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0.1388888888888889</v>
      </c>
      <c r="E7" s="59" t="s">
        <v>67</v>
      </c>
      <c r="F7" s="56" t="s">
        <v>23</v>
      </c>
      <c r="G7" s="44">
        <v>19</v>
      </c>
      <c r="H7" s="129">
        <f>IF(B$17=0,0,G7/B$17)</f>
        <v>0.25333333333333335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-3600</v>
      </c>
      <c r="P7" s="116">
        <v>26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0.33333333333333331</v>
      </c>
      <c r="E8" s="59" t="s">
        <v>89</v>
      </c>
      <c r="F8" s="56" t="s">
        <v>44</v>
      </c>
      <c r="G8" s="44">
        <v>11</v>
      </c>
      <c r="H8" s="129">
        <f>IF(B$17=0,0,G8/B$17)</f>
        <v>0.14666666666666667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0.52777777777777779</v>
      </c>
      <c r="E9" s="59" t="s">
        <v>70</v>
      </c>
      <c r="F9" s="56" t="s">
        <v>25</v>
      </c>
      <c r="G9" s="44">
        <v>9</v>
      </c>
      <c r="H9" s="129">
        <f>IF(B$17=0,0,G9/B$17)</f>
        <v>0.12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0.16666666666666666</v>
      </c>
      <c r="E10" s="59" t="s">
        <v>71</v>
      </c>
      <c r="F10" s="56" t="s">
        <v>26</v>
      </c>
      <c r="G10" s="44">
        <v>8</v>
      </c>
      <c r="H10" s="129">
        <f>IF(B$17=0,0,G10/B$17)</f>
        <v>0.10666666666666667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2.7777777777777776E-2</v>
      </c>
      <c r="E11" s="59" t="s">
        <v>65</v>
      </c>
      <c r="F11" s="56" t="s">
        <v>21</v>
      </c>
      <c r="G11" s="44">
        <v>7</v>
      </c>
      <c r="H11" s="129">
        <f>IF(B$17=0,0,G11/B$17)</f>
        <v>9.3333333333333338E-2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2.7777777777777776E-2</v>
      </c>
      <c r="E12" s="59" t="s">
        <v>69</v>
      </c>
      <c r="F12" s="56" t="s">
        <v>24</v>
      </c>
      <c r="G12" s="44">
        <v>6</v>
      </c>
      <c r="H12" s="129">
        <f>IF(B$17=0,0,G12/B$17)</f>
        <v>0.08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3.933333333333334</v>
      </c>
      <c r="P12" s="116">
        <v>9</v>
      </c>
      <c r="Q12" s="104">
        <v>35.400000000000006</v>
      </c>
    </row>
    <row r="13" spans="1:17" x14ac:dyDescent="0.4">
      <c r="A13" s="54" t="s">
        <v>121</v>
      </c>
      <c r="B13" s="47">
        <v>58</v>
      </c>
      <c r="C13" s="42">
        <f>IF(B$3=0,0,B13/B$3)</f>
        <v>0.19205298013245034</v>
      </c>
      <c r="E13" s="59" t="s">
        <v>83</v>
      </c>
      <c r="F13" s="56" t="s">
        <v>38</v>
      </c>
      <c r="G13" s="44">
        <v>6</v>
      </c>
      <c r="H13" s="129">
        <f>IF(B$17=0,0,G13/B$17)</f>
        <v>0.08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</v>
      </c>
      <c r="C14" s="37">
        <f>IF(B$3=0,0,B14/B$3)</f>
        <v>0.23178807947019867</v>
      </c>
      <c r="E14" s="59" t="s">
        <v>86</v>
      </c>
      <c r="F14" s="56" t="s">
        <v>41</v>
      </c>
      <c r="G14" s="44">
        <v>5</v>
      </c>
      <c r="H14" s="129">
        <f>IF(B$17=0,0,G14/B$17)</f>
        <v>6.6666666666666666E-2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32</v>
      </c>
      <c r="C15" s="35">
        <f>IF(B$13=0,0,B15/B$13)</f>
        <v>0.55172413793103448</v>
      </c>
      <c r="E15" s="59" t="s">
        <v>81</v>
      </c>
      <c r="F15" s="56" t="s">
        <v>36</v>
      </c>
      <c r="G15" s="44">
        <v>2</v>
      </c>
      <c r="H15" s="129">
        <f>IF(B$17=0,0,G15/B$17)</f>
        <v>2.6666666666666668E-2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28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1.3333333333333334E-2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-14.315384615384614</v>
      </c>
      <c r="P16" s="115">
        <v>13</v>
      </c>
      <c r="Q16" s="103">
        <v>-186.1</v>
      </c>
    </row>
    <row r="17" spans="1:17" x14ac:dyDescent="0.4">
      <c r="A17" s="50" t="s">
        <v>10</v>
      </c>
      <c r="B17" s="43">
        <f>B19+B18</f>
        <v>75</v>
      </c>
      <c r="C17" s="35">
        <f>IF(B$3=0,0,B17/B$3)</f>
        <v>0.24834437086092714</v>
      </c>
      <c r="E17" s="59" t="s">
        <v>78</v>
      </c>
      <c r="F17" s="56" t="s">
        <v>33</v>
      </c>
      <c r="G17" s="44">
        <v>1</v>
      </c>
      <c r="H17" s="129">
        <f>IF(B$17=0,0,G17/B$17)</f>
        <v>1.3333333333333334E-2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36</v>
      </c>
      <c r="C18" s="37">
        <f>IF(B$17=0,0,B18/B$17)</f>
        <v>0.48</v>
      </c>
      <c r="E18" s="59" t="s">
        <v>91</v>
      </c>
      <c r="F18" s="56" t="s">
        <v>46</v>
      </c>
      <c r="G18" s="44">
        <v>1</v>
      </c>
      <c r="H18" s="129">
        <f>IF(B$17=0,0,G18/B$17)</f>
        <v>1.3333333333333334E-2</v>
      </c>
      <c r="I18" s="90">
        <v>4</v>
      </c>
      <c r="K18" s="36">
        <v>16</v>
      </c>
      <c r="L18" s="95">
        <v>-320.30000000000007</v>
      </c>
      <c r="N18" s="111" t="s">
        <v>178</v>
      </c>
      <c r="O18" s="121">
        <f>IF(P18=0,0,Q18/P18)</f>
        <v>-17.733333333333331</v>
      </c>
      <c r="P18" s="115">
        <v>18</v>
      </c>
      <c r="Q18" s="103">
        <v>-319.19999999999993</v>
      </c>
    </row>
    <row r="19" spans="1:17" x14ac:dyDescent="0.4">
      <c r="A19" s="51" t="s">
        <v>11</v>
      </c>
      <c r="B19" s="44">
        <v>39</v>
      </c>
      <c r="C19" s="37">
        <f>IF(B$17=0,0,B19/B$17)</f>
        <v>0.52</v>
      </c>
      <c r="E19" s="59" t="s">
        <v>95</v>
      </c>
      <c r="F19" s="56" t="s">
        <v>50</v>
      </c>
      <c r="G19" s="44">
        <v>1</v>
      </c>
      <c r="H19" s="129">
        <f>IF(B$17=0,0,G19/B$17)</f>
        <v>1.3333333333333334E-2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57</v>
      </c>
      <c r="C20" s="37">
        <f>IF(B$3=0,0,B20/B$3)</f>
        <v>0.18874172185430463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>IF(P21=0,0,Q21/P21)</f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16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7877.333333333333</v>
      </c>
      <c r="C23" s="39">
        <v>590800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8297.8723404255325</v>
      </c>
      <c r="C24" s="137">
        <v>390000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7171.4285714285716</v>
      </c>
      <c r="C25" s="137">
        <v>200800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-7919.2982456140353</v>
      </c>
      <c r="C26" s="137">
        <v>-451400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3.3112582781456954E-3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8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2019-11-12T15:26:30Z</dcterms:modified>
</cp:coreProperties>
</file>