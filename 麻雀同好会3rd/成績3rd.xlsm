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53D754B-DC70-45B7-A5D7-A65890513EDC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ただ" sheetId="5817" r:id="rId9"/>
    <sheet name="りくと" sheetId="5819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ほたに2" sheetId="5830" state="hidden" r:id="rId16"/>
    <sheet name="ぱぱ2" sheetId="5828" state="hidden" r:id="rId17"/>
    <sheet name="のり2" sheetId="5826" state="hidden" r:id="rId18"/>
    <sheet name="まっつん2" sheetId="5824" state="hidden" r:id="rId19"/>
    <sheet name="れんたろう2" sheetId="5822" state="hidden" r:id="rId20"/>
    <sheet name="りくと2" sheetId="5820" state="hidden" r:id="rId21"/>
    <sheet name="ただ2" sheetId="5818" state="hidden" r:id="rId22"/>
    <sheet name="だいち2" sheetId="5816" state="hidden" r:id="rId23"/>
    <sheet name="たかの2" sheetId="5814" state="hidden" r:id="rId24"/>
    <sheet name="全体2" sheetId="581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813" l="1"/>
  <c r="O16" i="5821"/>
  <c r="O15" i="5821" l="1"/>
  <c r="O19" i="5829"/>
  <c r="O15" i="5819" l="1"/>
  <c r="O18" i="5825"/>
  <c r="O16" i="5829" l="1"/>
  <c r="O22" i="5819"/>
  <c r="O20" i="5813" l="1"/>
  <c r="O16" i="5815"/>
  <c r="O15" i="5825"/>
  <c r="O19" i="5825"/>
  <c r="O20" i="5823" l="1"/>
  <c r="O18" i="5827"/>
  <c r="O16" i="5817" l="1"/>
  <c r="O17" i="5823"/>
  <c r="O20" i="5825"/>
  <c r="O17" i="5825"/>
  <c r="O18" i="5813" l="1"/>
  <c r="O19" i="5827"/>
  <c r="O20" i="5827"/>
  <c r="O18" i="5819"/>
  <c r="O18" i="5817" l="1"/>
  <c r="O21" i="5821"/>
  <c r="O20" i="5821" l="1"/>
  <c r="O20" i="5815"/>
  <c r="O22" i="5825"/>
  <c r="O17" i="5829"/>
  <c r="O15" i="5829"/>
  <c r="O21" i="5827"/>
  <c r="O15" i="5817" l="1"/>
  <c r="O17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2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19" i="5819"/>
  <c r="O17" i="5815" l="1"/>
  <c r="O18" i="5823"/>
  <c r="O21" i="5823"/>
  <c r="O16" i="5813"/>
  <c r="O20" i="5817"/>
  <c r="O16" i="5819"/>
  <c r="O17" i="5819"/>
  <c r="O19" i="5813"/>
  <c r="O22" i="5817"/>
  <c r="O15" i="5815"/>
  <c r="O17" i="5827"/>
  <c r="O22" i="5827"/>
  <c r="O22" i="5821" l="1"/>
  <c r="O18" i="582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6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3" i="5811"/>
  <c r="H21" i="5827" l="1"/>
  <c r="H11" i="5827"/>
  <c r="H52" i="5827"/>
  <c r="H19" i="5827"/>
  <c r="C17" i="5827"/>
  <c r="H31" i="5827"/>
  <c r="C19" i="5827"/>
  <c r="H37" i="5827"/>
  <c r="H10" i="5827"/>
  <c r="H15" i="5827"/>
  <c r="H45" i="5827"/>
  <c r="H39" i="5827"/>
  <c r="H4" i="5827"/>
  <c r="B24" i="5827"/>
  <c r="H47" i="5827"/>
  <c r="H22" i="5827"/>
  <c r="H12" i="5827"/>
  <c r="H30" i="5827"/>
  <c r="H38" i="5827"/>
  <c r="H46" i="5827"/>
  <c r="H48" i="5827"/>
  <c r="H14" i="5827"/>
  <c r="H26" i="5827"/>
  <c r="H33" i="5827"/>
  <c r="H41" i="5827"/>
  <c r="H49" i="5827"/>
  <c r="H6" i="5827"/>
  <c r="H32" i="5827"/>
  <c r="H23" i="5827"/>
  <c r="H27" i="5827"/>
  <c r="H28" i="5827"/>
  <c r="H34" i="5827"/>
  <c r="H42" i="5827"/>
  <c r="H50" i="5827"/>
  <c r="H17" i="5827"/>
  <c r="H8" i="5827"/>
  <c r="H7" i="5827"/>
  <c r="H18" i="5827"/>
  <c r="H20" i="5827"/>
  <c r="C18" i="5827"/>
  <c r="B23" i="5827"/>
  <c r="H13" i="5827"/>
  <c r="H35" i="5827"/>
  <c r="H43" i="5827"/>
  <c r="H51" i="5827"/>
  <c r="H2" i="5827"/>
  <c r="H25" i="5827"/>
  <c r="H40" i="5827"/>
  <c r="H3" i="5827"/>
  <c r="H9" i="5827"/>
  <c r="H24" i="5827"/>
  <c r="H16" i="5827"/>
  <c r="H29" i="5827"/>
  <c r="H36" i="5827"/>
  <c r="H44" i="5827"/>
  <c r="H8" i="5825"/>
  <c r="H3" i="5825"/>
  <c r="H4" i="5825"/>
  <c r="H7" i="5825"/>
  <c r="H29" i="5825"/>
  <c r="H2" i="5825"/>
  <c r="H44" i="5825"/>
  <c r="H6" i="5825"/>
  <c r="H16" i="5825"/>
  <c r="H23" i="5825"/>
  <c r="H9" i="5825"/>
  <c r="H26" i="5825"/>
  <c r="H11" i="5825"/>
  <c r="C17" i="5825"/>
  <c r="H36" i="5825"/>
  <c r="H12" i="5825"/>
  <c r="H13" i="5825"/>
  <c r="H30" i="5825"/>
  <c r="H38" i="5825"/>
  <c r="H46" i="5825"/>
  <c r="H17" i="5825"/>
  <c r="H31" i="5825"/>
  <c r="H39" i="5825"/>
  <c r="H47" i="5825"/>
  <c r="H24" i="5825"/>
  <c r="H19" i="5825"/>
  <c r="H10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5" i="5825"/>
  <c r="H5" i="5825"/>
  <c r="H18" i="5825"/>
  <c r="H20" i="5825"/>
  <c r="C18" i="5825"/>
  <c r="B23" i="5825"/>
  <c r="H14" i="5825"/>
  <c r="H35" i="5825"/>
  <c r="H43" i="5825"/>
  <c r="H51" i="5825"/>
  <c r="H21" i="5825"/>
  <c r="C19" i="5825"/>
  <c r="B24" i="5825"/>
  <c r="H37" i="5825"/>
  <c r="H45" i="5825"/>
  <c r="O19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17" i="5821"/>
  <c r="O19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0" i="5819"/>
  <c r="O21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7" i="5819"/>
  <c r="H16" i="5819"/>
  <c r="H6" i="5819"/>
  <c r="H10" i="5819"/>
  <c r="H48" i="5819"/>
  <c r="H31" i="5819"/>
  <c r="H47" i="5819"/>
  <c r="H4" i="5823"/>
  <c r="H26" i="5823"/>
  <c r="H17" i="5823"/>
  <c r="H12" i="5823"/>
  <c r="H10" i="5823"/>
  <c r="H11" i="5823"/>
  <c r="H7" i="5823"/>
  <c r="C17" i="5823"/>
  <c r="H22" i="5823"/>
  <c r="H27" i="5823"/>
  <c r="H15" i="5823"/>
  <c r="H18" i="5823"/>
  <c r="H40" i="5823"/>
  <c r="H47" i="5823"/>
  <c r="H16" i="5823"/>
  <c r="H33" i="5823"/>
  <c r="H41" i="5823"/>
  <c r="H48" i="5823"/>
  <c r="H2" i="5823"/>
  <c r="H34" i="5823"/>
  <c r="H8" i="5823"/>
  <c r="H23" i="5823"/>
  <c r="H14" i="5823"/>
  <c r="H35" i="5823"/>
  <c r="H42" i="5823"/>
  <c r="H50" i="5823"/>
  <c r="H19" i="5823"/>
  <c r="H13" i="5823"/>
  <c r="H29" i="5823"/>
  <c r="H31" i="5823"/>
  <c r="H36" i="5823"/>
  <c r="H43" i="5823"/>
  <c r="H51" i="5823"/>
  <c r="H3" i="5823"/>
  <c r="H28" i="5823"/>
  <c r="H30" i="5823"/>
  <c r="H49" i="5823"/>
  <c r="H6" i="5823"/>
  <c r="H21" i="5823"/>
  <c r="H24" i="5823"/>
  <c r="C18" i="5823"/>
  <c r="B23" i="5823"/>
  <c r="H9" i="5823"/>
  <c r="H37" i="5823"/>
  <c r="H44" i="5823"/>
  <c r="H20" i="5823"/>
  <c r="H32" i="5823"/>
  <c r="H38" i="5823"/>
  <c r="H45" i="5823"/>
  <c r="H5" i="5823"/>
  <c r="H25" i="5823"/>
  <c r="C19" i="5823"/>
  <c r="B24" i="5823"/>
  <c r="H39" i="5823"/>
  <c r="H46" i="5823"/>
  <c r="H24" i="5821"/>
  <c r="H13" i="5821"/>
  <c r="H2" i="5821"/>
  <c r="H39" i="5821"/>
  <c r="H16" i="5821"/>
  <c r="H46" i="5821"/>
  <c r="H7" i="5821"/>
  <c r="H47" i="5821"/>
  <c r="H10" i="5821"/>
  <c r="H19" i="5821"/>
  <c r="H21" i="5821"/>
  <c r="C17" i="5821"/>
  <c r="H14" i="5821"/>
  <c r="H15" i="5821"/>
  <c r="H38" i="5821"/>
  <c r="H48" i="5821"/>
  <c r="H9" i="5821"/>
  <c r="H17" i="5821"/>
  <c r="H11" i="5821"/>
  <c r="H33" i="5821"/>
  <c r="H41" i="5821"/>
  <c r="H49" i="5821"/>
  <c r="H27" i="5821"/>
  <c r="H25" i="5821"/>
  <c r="H28" i="5821"/>
  <c r="H30" i="5821"/>
  <c r="H34" i="5821"/>
  <c r="H42" i="5821"/>
  <c r="H50" i="5821"/>
  <c r="H29" i="5821"/>
  <c r="H5" i="5821"/>
  <c r="H20" i="5821"/>
  <c r="H22" i="5821"/>
  <c r="C18" i="5821"/>
  <c r="B23" i="5821"/>
  <c r="H8" i="5821"/>
  <c r="H35" i="5821"/>
  <c r="H43" i="5821"/>
  <c r="H51" i="5821"/>
  <c r="H3" i="5821"/>
  <c r="H32" i="5821"/>
  <c r="H4" i="5821"/>
  <c r="H12" i="5821"/>
  <c r="H26" i="5821"/>
  <c r="H18" i="5821"/>
  <c r="H31" i="5821"/>
  <c r="H36" i="5821"/>
  <c r="H44" i="5821"/>
  <c r="H6" i="5821"/>
  <c r="H40" i="5821"/>
  <c r="H23" i="5821"/>
  <c r="C19" i="5821"/>
  <c r="B24" i="5821"/>
  <c r="H37" i="5821"/>
  <c r="H45" i="5821"/>
  <c r="H3" i="5819"/>
  <c r="H9" i="5819"/>
  <c r="H12" i="5819"/>
  <c r="H19" i="5819"/>
  <c r="H22" i="5819"/>
  <c r="H15" i="5819"/>
  <c r="H28" i="5819"/>
  <c r="H32" i="5819"/>
  <c r="H13" i="5819"/>
  <c r="B24" i="5819"/>
  <c r="H37" i="5819"/>
  <c r="H14" i="5819"/>
  <c r="H17" i="5819"/>
  <c r="H39" i="5819"/>
  <c r="C17" i="5819"/>
  <c r="H38" i="5819"/>
  <c r="H2" i="5819"/>
  <c r="H4" i="5819"/>
  <c r="H25" i="5819"/>
  <c r="H8" i="5819"/>
  <c r="C19" i="5819"/>
  <c r="H40" i="5819"/>
  <c r="H26" i="5819"/>
  <c r="H29" i="5819"/>
  <c r="H33" i="5819"/>
  <c r="H41" i="5819"/>
  <c r="H49" i="5819"/>
  <c r="H34" i="5819"/>
  <c r="H42" i="5819"/>
  <c r="H50" i="5819"/>
  <c r="H18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1" i="5817" l="1"/>
  <c r="O19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1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7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1" i="5811"/>
  <c r="O22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7" i="5817" l="1"/>
  <c r="H13" i="5817"/>
  <c r="H22" i="5817"/>
  <c r="H11" i="5817"/>
  <c r="H3" i="5817"/>
  <c r="H6" i="5813"/>
  <c r="H47" i="5817"/>
  <c r="H19" i="5817"/>
  <c r="C17" i="5817"/>
  <c r="H10" i="5817"/>
  <c r="H18" i="5817"/>
  <c r="H2" i="5817"/>
  <c r="H9" i="5817"/>
  <c r="H16" i="5817"/>
  <c r="H39" i="5817"/>
  <c r="H15" i="5817"/>
  <c r="H32" i="5817"/>
  <c r="H40" i="5817"/>
  <c r="H48" i="5817"/>
  <c r="H26" i="5817"/>
  <c r="H29" i="5817"/>
  <c r="H33" i="5817"/>
  <c r="H41" i="5817"/>
  <c r="H49" i="5817"/>
  <c r="H14" i="5817"/>
  <c r="H34" i="5817"/>
  <c r="H42" i="5817"/>
  <c r="H50" i="5817"/>
  <c r="H17" i="5817"/>
  <c r="H27" i="5817"/>
  <c r="H30" i="5817"/>
  <c r="H35" i="5817"/>
  <c r="H43" i="5817"/>
  <c r="H51" i="5817"/>
  <c r="H6" i="5817"/>
  <c r="H21" i="5817"/>
  <c r="H23" i="5817"/>
  <c r="C18" i="5817"/>
  <c r="B23" i="5817"/>
  <c r="H8" i="5817"/>
  <c r="H36" i="5817"/>
  <c r="H44" i="5817"/>
  <c r="H20" i="5817"/>
  <c r="H5" i="5817"/>
  <c r="H12" i="5817"/>
  <c r="H25" i="5817"/>
  <c r="H28" i="5817"/>
  <c r="H31" i="5817"/>
  <c r="H37" i="5817"/>
  <c r="H45" i="5817"/>
  <c r="H4" i="5817"/>
  <c r="H24" i="5817"/>
  <c r="C19" i="5817"/>
  <c r="B24" i="5817"/>
  <c r="H38" i="5817"/>
  <c r="H46" i="5817"/>
  <c r="H22" i="5815"/>
  <c r="H3" i="5815"/>
  <c r="H4" i="5815"/>
  <c r="H24" i="5815"/>
  <c r="C17" i="5815"/>
  <c r="H37" i="5815"/>
  <c r="H2" i="5815"/>
  <c r="H31" i="5815"/>
  <c r="H45" i="5815"/>
  <c r="H11" i="5815"/>
  <c r="H5" i="5815"/>
  <c r="H10" i="5815"/>
  <c r="H7" i="5815"/>
  <c r="H12" i="5815"/>
  <c r="H20" i="5815"/>
  <c r="H21" i="5815"/>
  <c r="H14" i="5815"/>
  <c r="H25" i="5815"/>
  <c r="H39" i="5815"/>
  <c r="H47" i="5815"/>
  <c r="H15" i="5815"/>
  <c r="H19" i="5815"/>
  <c r="H40" i="5815"/>
  <c r="H48" i="5815"/>
  <c r="H32" i="5815"/>
  <c r="H33" i="5815"/>
  <c r="H34" i="5815"/>
  <c r="H41" i="5815"/>
  <c r="H49" i="5815"/>
  <c r="H9" i="5815"/>
  <c r="H28" i="5815"/>
  <c r="H13" i="5815"/>
  <c r="H35" i="5815"/>
  <c r="H42" i="5815"/>
  <c r="H50" i="5815"/>
  <c r="H30" i="5815"/>
  <c r="H18" i="5815"/>
  <c r="H23" i="5815"/>
  <c r="H26" i="5815"/>
  <c r="H43" i="5815"/>
  <c r="H51" i="5815"/>
  <c r="H6" i="5815"/>
  <c r="H27" i="5815"/>
  <c r="H29" i="5815"/>
  <c r="C18" i="5815"/>
  <c r="B23" i="5815"/>
  <c r="H8" i="5815"/>
  <c r="H36" i="5815"/>
  <c r="H44" i="5815"/>
  <c r="H16" i="5815"/>
  <c r="H17" i="5815"/>
  <c r="C19" i="5815"/>
  <c r="B24" i="5815"/>
  <c r="H38" i="5815"/>
  <c r="H46" i="5815"/>
  <c r="H15" i="5811"/>
  <c r="H2" i="5813"/>
  <c r="H17" i="5813"/>
  <c r="H11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16" i="5813"/>
  <c r="C17" i="5813"/>
  <c r="H52" i="5813"/>
  <c r="H18" i="5813"/>
  <c r="H19" i="5813"/>
  <c r="H38" i="5813"/>
  <c r="H46" i="5813"/>
  <c r="H24" i="5813"/>
  <c r="H32" i="5813"/>
  <c r="H39" i="5813"/>
  <c r="H47" i="5813"/>
  <c r="H30" i="5813"/>
  <c r="H48" i="5813"/>
  <c r="H22" i="5813"/>
  <c r="H12" i="5813"/>
  <c r="H41" i="5813"/>
  <c r="H25" i="5813"/>
  <c r="H28" i="5813"/>
  <c r="H15" i="5813"/>
  <c r="H34" i="5813"/>
  <c r="H42" i="5813"/>
  <c r="H50" i="5813"/>
  <c r="H27" i="5813"/>
  <c r="H20" i="5813"/>
  <c r="H40" i="5813"/>
  <c r="H7" i="5813"/>
  <c r="H33" i="5813"/>
  <c r="H49" i="5813"/>
  <c r="H9" i="5813"/>
  <c r="H21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2" i="5811"/>
  <c r="C19" i="5811"/>
  <c r="B24" i="5811"/>
  <c r="H10" i="5811"/>
  <c r="H7" i="5811"/>
  <c r="H12" i="5811"/>
  <c r="H21" i="5811"/>
  <c r="H16" i="5811"/>
  <c r="H14" i="5811"/>
  <c r="H18" i="5811"/>
  <c r="H40" i="5811"/>
  <c r="H47" i="5811"/>
  <c r="H35" i="5811"/>
  <c r="H27" i="5811"/>
  <c r="H29" i="5811"/>
  <c r="H31" i="5811"/>
  <c r="H49" i="5811"/>
  <c r="H3" i="5811"/>
  <c r="H9" i="5811"/>
  <c r="H24" i="5811"/>
  <c r="H13" i="5811"/>
  <c r="H36" i="5811"/>
  <c r="H42" i="5811"/>
  <c r="H50" i="5811"/>
  <c r="H17" i="5811"/>
  <c r="H51" i="5811"/>
  <c r="H25" i="5811"/>
  <c r="H26" i="5811"/>
  <c r="H30" i="5811"/>
  <c r="H43" i="5811"/>
  <c r="H6" i="5811"/>
  <c r="H32" i="5811"/>
  <c r="H33" i="5811"/>
  <c r="C18" i="5811"/>
  <c r="B23" i="5811"/>
  <c r="H8" i="5811"/>
  <c r="H37" i="5811"/>
  <c r="H44" i="5811"/>
  <c r="H19" i="5811"/>
  <c r="H34" i="5811"/>
  <c r="H23" i="5811"/>
  <c r="H28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<sst xmlns="http://schemas.openxmlformats.org/spreadsheetml/2006/main" count="2517" uniqueCount="219">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</sst>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全体!$K$2:$K$299</c:f>
              <c:numCache>
                <c:formatCode>General</c:formatCode>
                <c:ptCount val="2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</c:numCache>
            </c:numRef>
          </c:xVal>
          <c:yVal>
            <c:numRef>
              <c:f>全体!$L$2:$L$299</c:f>
              <c:numCache>
                <c:formatCode>\+0.0;\-0.0;\±0</c:formatCode>
                <c:ptCount val="29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-20.408163265306122</c:v>
                </c:pt>
                <c:pt idx="1">
                  <c:v>14.184397163120567</c:v>
                </c:pt>
                <c:pt idx="2">
                  <c:v>-36.630036630036628</c:v>
                </c:pt>
                <c:pt idx="3">
                  <c:v>31.007751937984494</c:v>
                </c:pt>
                <c:pt idx="4">
                  <c:v>12.5</c:v>
                </c:pt>
                <c:pt idx="5">
                  <c:v>5.1282051282051286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たかの!$L$2:$L$33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993.54838709677415</c:v>
                </c:pt>
                <c:pt idx="1">
                  <c:v>-930</c:v>
                </c:pt>
                <c:pt idx="2">
                  <c:v>493.10344827586209</c:v>
                </c:pt>
                <c:pt idx="3">
                  <c:v>-2486.2068965517242</c:v>
                </c:pt>
                <c:pt idx="4">
                  <c:v>-1075.8620689655172</c:v>
                </c:pt>
                <c:pt idx="5">
                  <c:v>-2480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だいち!$L$2:$L$65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112.90322580645162</c:v>
                </c:pt>
                <c:pt idx="1">
                  <c:v>294.91525423728814</c:v>
                </c:pt>
                <c:pt idx="2">
                  <c:v>-939.65517241379314</c:v>
                </c:pt>
                <c:pt idx="3">
                  <c:v>49.056603773584904</c:v>
                </c:pt>
                <c:pt idx="4">
                  <c:v>4437.2549019607841</c:v>
                </c:pt>
                <c:pt idx="5">
                  <c:v>3835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ただ!$L$2:$L$59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-1083.9285714285713</c:v>
                </c:pt>
                <c:pt idx="1">
                  <c:v>859.25925925925924</c:v>
                </c:pt>
                <c:pt idx="2">
                  <c:v>1871.1538461538462</c:v>
                </c:pt>
                <c:pt idx="3">
                  <c:v>3514.2857142857142</c:v>
                </c:pt>
                <c:pt idx="4">
                  <c:v>-1458.695652173913</c:v>
                </c:pt>
                <c:pt idx="5">
                  <c:v>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りくと!$L$2:$L$36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378.78787878787881</c:v>
                </c:pt>
                <c:pt idx="1">
                  <c:v>-1384.8484848484848</c:v>
                </c:pt>
                <c:pt idx="2">
                  <c:v>2228.125</c:v>
                </c:pt>
                <c:pt idx="3">
                  <c:v>-1858.0645161290322</c:v>
                </c:pt>
                <c:pt idx="4">
                  <c:v>-3726.6666666666665</c:v>
                </c:pt>
                <c:pt idx="5">
                  <c:v>-2025.9259259259259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2139.3939393939395</c:v>
                </c:pt>
                <c:pt idx="1">
                  <c:v>-2509.6774193548385</c:v>
                </c:pt>
                <c:pt idx="2">
                  <c:v>1334.4827586206898</c:v>
                </c:pt>
                <c:pt idx="3">
                  <c:v>4059.2592592592591</c:v>
                </c:pt>
                <c:pt idx="4">
                  <c:v>-2054.1666666666665</c:v>
                </c:pt>
                <c:pt idx="5">
                  <c:v>-2088.8888888888887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1178.0487804878048</c:v>
                </c:pt>
                <c:pt idx="1">
                  <c:v>1234.2105263157894</c:v>
                </c:pt>
                <c:pt idx="2">
                  <c:v>-3019.4444444444443</c:v>
                </c:pt>
                <c:pt idx="3">
                  <c:v>387.87878787878788</c:v>
                </c:pt>
                <c:pt idx="4">
                  <c:v>-289.28571428571428</c:v>
                </c:pt>
                <c:pt idx="5">
                  <c:v>241.66666666666666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まっつん2!$B$3:$B$44</c:f>
              <c:numCache>
                <c:formatCode>\+0.0;\-0.0;\±0</c:formatCode>
                <c:ptCount val="4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776356839400250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まっつん2!$C$3:$C$44</c:f>
              <c:numCache>
                <c:formatCode>\+0.0;\-0.0;\±0</c:formatCode>
                <c:ptCount val="42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980999459260102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まっつん2!$D$3:$D$44</c:f>
              <c:numCache>
                <c:formatCode>0.00\ "位"</c:formatCode>
                <c:ptCount val="42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まっつん2!$E$3:$E$44</c:f>
              <c:numCache>
                <c:formatCode>0.0%</c:formatCode>
                <c:ptCount val="4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まっつん2!$F$3:$F$44</c:f>
              <c:numCache>
                <c:formatCode>0.0%</c:formatCode>
                <c:ptCount val="4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まっつん2!$G$3:$G$44</c:f>
              <c:numCache>
                <c:formatCode>0.0%</c:formatCode>
                <c:ptCount val="42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970802919708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まっつん2!$H$3:$H$44</c:f>
              <c:numCache>
                <c:formatCode>0.0%</c:formatCode>
                <c:ptCount val="42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93836171938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まっつん2!$I$3:$I$44</c:f>
              <c:numCache>
                <c:formatCode>0</c:formatCode>
                <c:ptCount val="42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60.41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まっつん2!$J$3:$J$44</c:f>
              <c:numCache>
                <c:formatCode>0</c:formatCode>
                <c:ptCount val="42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44.81132075471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まっつん2!$K$3:$K$44</c:f>
              <c:numCache>
                <c:formatCode>0.0%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4377104377104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まっつん2!$L$3:$L$44</c:f>
              <c:numCache>
                <c:formatCode>0.0%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4377104377104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まっつん2!$M$3:$M$44</c:f>
              <c:numCache>
                <c:formatCode>0.0%</c:formatCode>
                <c:ptCount val="42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714517437145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まっつん2!$N$3:$N$44</c:f>
              <c:numCache>
                <c:formatCode>0.0%</c:formatCode>
                <c:ptCount val="42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525547445255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まっつん2!$O$3:$O$44</c:f>
              <c:numCache>
                <c:formatCode>0.0%</c:formatCode>
                <c:ptCount val="42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574043261231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まっつん2!$P$3:$P$44</c:f>
              <c:numCache>
                <c:formatCode>0.0%</c:formatCode>
                <c:ptCount val="42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910447761194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まっつん2!$Q$3:$Q$44</c:f>
              <c:numCache>
                <c:formatCode>0.0%</c:formatCode>
                <c:ptCount val="42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33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8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43754.136678240742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297</v>
      </c>
    </row>
    <row r="2" spans="1:2" x14ac:dyDescent="0.4">
      <c r="A2" t="s">
        <v>166</v>
      </c>
      <c r="B2">
        <v>31</v>
      </c>
    </row>
    <row r="3" spans="1:2" x14ac:dyDescent="0.4">
      <c r="A3" t="s">
        <v>126</v>
      </c>
      <c r="B3">
        <v>63</v>
      </c>
    </row>
    <row r="4" spans="1:2" x14ac:dyDescent="0.4">
      <c r="A4" t="s">
        <v>127</v>
      </c>
      <c r="B4">
        <v>57</v>
      </c>
    </row>
    <row r="5" spans="1:2" x14ac:dyDescent="0.4">
      <c r="A5" t="s">
        <v>179</v>
      </c>
      <c r="B5">
        <v>34</v>
      </c>
    </row>
    <row r="6" spans="1:2" x14ac:dyDescent="0.4">
      <c r="A6" t="s">
        <v>177</v>
      </c>
      <c r="B6">
        <v>33</v>
      </c>
    </row>
    <row r="7" spans="1:2" x14ac:dyDescent="0.4">
      <c r="A7" t="s">
        <v>178</v>
      </c>
      <c r="B7">
        <v>41</v>
      </c>
    </row>
    <row r="8" spans="1:2" x14ac:dyDescent="0.4">
      <c r="A8" t="s">
        <v>182</v>
      </c>
      <c r="B8">
        <v>20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0.9856800775158221</v>
      </c>
      <c r="G2" s="161"/>
      <c r="H2" s="160">
        <v>0.93910635150282962</v>
      </c>
      <c r="I2" s="161"/>
      <c r="J2" s="160">
        <v>0.98880372721423249</v>
      </c>
      <c r="K2" s="161"/>
      <c r="L2" s="160">
        <v>0.91735818692268434</v>
      </c>
      <c r="M2" s="161"/>
      <c r="N2" s="160">
        <v>0.77501975469634599</v>
      </c>
      <c r="O2" s="161"/>
      <c r="P2" s="160">
        <v>0.37760629435077514</v>
      </c>
      <c r="Q2" s="161"/>
      <c r="R2" s="160">
        <v>0.54004675246271949</v>
      </c>
      <c r="S2" s="161"/>
      <c r="T2" s="160">
        <v>0.55808549966702137</v>
      </c>
      <c r="U2" s="161"/>
      <c r="V2" s="160">
        <v>0.69705365278012832</v>
      </c>
      <c r="W2" s="161"/>
      <c r="X2" s="160">
        <v>0.5315893402360311</v>
      </c>
      <c r="Y2" s="161"/>
      <c r="Z2" s="160">
        <v>4.2195444622456238E-2</v>
      </c>
      <c r="AA2" s="161"/>
      <c r="AB2" s="160">
        <v>0.4194731753041277</v>
      </c>
      <c r="AC2" s="161"/>
      <c r="AD2" s="160">
        <v>0.39818317544391929</v>
      </c>
      <c r="AE2" s="161"/>
      <c r="AF2" s="160">
        <v>0.21334799074540792</v>
      </c>
      <c r="AG2" s="161"/>
      <c r="AH2" s="160">
        <v>0.44507749317188267</v>
      </c>
      <c r="AI2" s="161"/>
    </row>
    <row r="3" spans="1:35" x14ac:dyDescent="0.4">
      <c r="A3" s="70">
        <v>1</v>
      </c>
      <c r="B3" s="71" t="s">
        <v>126</v>
      </c>
      <c r="C3" s="72">
        <v>500.59999999999997</v>
      </c>
      <c r="D3" s="73" t="s">
        <v>181</v>
      </c>
      <c r="E3" s="92">
        <v>11.463636363636365</v>
      </c>
      <c r="F3" s="73" t="s">
        <v>181</v>
      </c>
      <c r="G3" s="74">
        <v>1.7272727272727273</v>
      </c>
      <c r="H3" s="73" t="s">
        <v>181</v>
      </c>
      <c r="I3" s="75">
        <v>0.45454545454545453</v>
      </c>
      <c r="J3" s="73" t="s">
        <v>181</v>
      </c>
      <c r="K3" s="75">
        <v>0.18181818181818182</v>
      </c>
      <c r="L3" s="73" t="s">
        <v>181</v>
      </c>
      <c r="M3" s="76">
        <v>0.3300970873786408</v>
      </c>
      <c r="N3" s="73" t="s">
        <v>181</v>
      </c>
      <c r="O3" s="76">
        <v>0.11650485436893204</v>
      </c>
      <c r="P3" s="73" t="s">
        <v>177</v>
      </c>
      <c r="Q3" s="77">
        <v>10354.411764705883</v>
      </c>
      <c r="R3" s="73" t="s">
        <v>181</v>
      </c>
      <c r="S3" s="77">
        <v>-6041.666666666667</v>
      </c>
      <c r="T3" s="73" t="s">
        <v>166</v>
      </c>
      <c r="U3" s="75">
        <v>0</v>
      </c>
      <c r="V3" s="73" t="s">
        <v>177</v>
      </c>
      <c r="W3" s="75">
        <v>0.21212121212121213</v>
      </c>
      <c r="X3" s="73" t="s">
        <v>181</v>
      </c>
      <c r="Y3" s="76">
        <v>0.29126213592233008</v>
      </c>
      <c r="Z3" s="73" t="s">
        <v>195</v>
      </c>
      <c r="AA3" s="76">
        <v>0.35483870967741937</v>
      </c>
      <c r="AB3" s="73" t="s">
        <v>181</v>
      </c>
      <c r="AC3" s="76">
        <v>0.66666666666666663</v>
      </c>
      <c r="AD3" s="73" t="s">
        <v>177</v>
      </c>
      <c r="AE3" s="76">
        <v>0.51923076923076927</v>
      </c>
      <c r="AF3" s="73" t="s">
        <v>181</v>
      </c>
      <c r="AG3" s="76">
        <v>0.52941176470588236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291.09999999999985</v>
      </c>
      <c r="D4" s="81" t="s">
        <v>126</v>
      </c>
      <c r="E4" s="93">
        <v>7.9460317460317453</v>
      </c>
      <c r="F4" s="81" t="s">
        <v>126</v>
      </c>
      <c r="G4" s="82">
        <v>1.7936507936507937</v>
      </c>
      <c r="H4" s="81" t="s">
        <v>126</v>
      </c>
      <c r="I4" s="83">
        <v>0.44444444444444442</v>
      </c>
      <c r="J4" s="81" t="s">
        <v>126</v>
      </c>
      <c r="K4" s="83">
        <v>0.23809523809523808</v>
      </c>
      <c r="L4" s="81" t="s">
        <v>126</v>
      </c>
      <c r="M4" s="84">
        <v>0.32879377431906615</v>
      </c>
      <c r="N4" s="81" t="s">
        <v>126</v>
      </c>
      <c r="O4" s="84">
        <v>0.14785992217898833</v>
      </c>
      <c r="P4" s="81" t="s">
        <v>127</v>
      </c>
      <c r="Q4" s="85">
        <v>8425.7861635220124</v>
      </c>
      <c r="R4" s="81" t="s">
        <v>166</v>
      </c>
      <c r="S4" s="85">
        <v>-6821.739130434783</v>
      </c>
      <c r="T4" s="81" t="s">
        <v>181</v>
      </c>
      <c r="U4" s="83">
        <v>0</v>
      </c>
      <c r="V4" s="81" t="s">
        <v>181</v>
      </c>
      <c r="W4" s="83">
        <v>0.18181818181818182</v>
      </c>
      <c r="X4" s="81" t="s">
        <v>177</v>
      </c>
      <c r="Y4" s="84">
        <v>0.28174603174603174</v>
      </c>
      <c r="Z4" s="81" t="s">
        <v>127</v>
      </c>
      <c r="AA4" s="84">
        <v>0.31893004115226337</v>
      </c>
      <c r="AB4" s="81" t="s">
        <v>126</v>
      </c>
      <c r="AC4" s="84">
        <v>0.59375</v>
      </c>
      <c r="AD4" s="81" t="s">
        <v>126</v>
      </c>
      <c r="AE4" s="84">
        <v>0.48780487804878048</v>
      </c>
      <c r="AF4" s="81" t="s">
        <v>177</v>
      </c>
      <c r="AG4" s="84">
        <v>0.44117647058823528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181</v>
      </c>
      <c r="C5" s="80">
        <v>126.10000000000001</v>
      </c>
      <c r="D5" s="81" t="s">
        <v>127</v>
      </c>
      <c r="E5" s="93">
        <v>5.1070175438596461</v>
      </c>
      <c r="F5" s="81" t="s">
        <v>127</v>
      </c>
      <c r="G5" s="82">
        <v>1.8245614035087718</v>
      </c>
      <c r="H5" s="81" t="s">
        <v>127</v>
      </c>
      <c r="I5" s="83">
        <v>0.43859649122807015</v>
      </c>
      <c r="J5" s="81" t="s">
        <v>127</v>
      </c>
      <c r="K5" s="83">
        <v>0.26315789473684209</v>
      </c>
      <c r="L5" s="81" t="s">
        <v>127</v>
      </c>
      <c r="M5" s="84">
        <v>0.3271604938271605</v>
      </c>
      <c r="N5" s="81" t="s">
        <v>178</v>
      </c>
      <c r="O5" s="84">
        <v>0.1497005988023952</v>
      </c>
      <c r="P5" s="81" t="s">
        <v>143</v>
      </c>
      <c r="Q5" s="85">
        <v>8160.416666666667</v>
      </c>
      <c r="R5" s="81" t="s">
        <v>126</v>
      </c>
      <c r="S5" s="85">
        <v>-7032.894736842105</v>
      </c>
      <c r="T5" s="81" t="s">
        <v>126</v>
      </c>
      <c r="U5" s="83">
        <v>4.7619047619047616E-2</v>
      </c>
      <c r="V5" s="81" t="s">
        <v>195</v>
      </c>
      <c r="W5" s="83">
        <v>0.14285714285714285</v>
      </c>
      <c r="X5" s="81" t="s">
        <v>179</v>
      </c>
      <c r="Y5" s="84">
        <v>0.28135593220338984</v>
      </c>
      <c r="Z5" s="81" t="s">
        <v>178</v>
      </c>
      <c r="AA5" s="84">
        <v>0.26946107784431139</v>
      </c>
      <c r="AB5" s="81" t="s">
        <v>179</v>
      </c>
      <c r="AC5" s="84">
        <v>0.59036144578313254</v>
      </c>
      <c r="AD5" s="81" t="s">
        <v>179</v>
      </c>
      <c r="AE5" s="84">
        <v>0.42307692307692307</v>
      </c>
      <c r="AF5" s="81" t="s">
        <v>166</v>
      </c>
      <c r="AG5" s="84">
        <v>0.43939393939393939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177</v>
      </c>
      <c r="C6" s="80">
        <v>112.00000000000004</v>
      </c>
      <c r="D6" s="81" t="s">
        <v>177</v>
      </c>
      <c r="E6" s="93">
        <v>3.3939393939393954</v>
      </c>
      <c r="F6" s="81" t="s">
        <v>177</v>
      </c>
      <c r="G6" s="82">
        <v>1.8484848484848484</v>
      </c>
      <c r="H6" s="81" t="s">
        <v>195</v>
      </c>
      <c r="I6" s="83">
        <v>0.42857142857142855</v>
      </c>
      <c r="J6" s="81" t="s">
        <v>177</v>
      </c>
      <c r="K6" s="83">
        <v>0.27272727272727271</v>
      </c>
      <c r="L6" s="81" t="s">
        <v>143</v>
      </c>
      <c r="M6" s="84">
        <v>0.29197080291970801</v>
      </c>
      <c r="N6" s="81" t="s">
        <v>177</v>
      </c>
      <c r="O6" s="84">
        <v>0.15873015873015872</v>
      </c>
      <c r="P6" s="81" t="s">
        <v>178</v>
      </c>
      <c r="Q6" s="85">
        <v>8081.7204301075271</v>
      </c>
      <c r="R6" s="81" t="s">
        <v>179</v>
      </c>
      <c r="S6" s="85">
        <v>-7244.8275862068967</v>
      </c>
      <c r="T6" s="81" t="s">
        <v>179</v>
      </c>
      <c r="U6" s="83">
        <v>5.8823529411764705E-2</v>
      </c>
      <c r="V6" s="81" t="s">
        <v>127</v>
      </c>
      <c r="W6" s="83">
        <v>0.14035087719298245</v>
      </c>
      <c r="X6" s="81" t="s">
        <v>126</v>
      </c>
      <c r="Y6" s="84">
        <v>0.24902723735408561</v>
      </c>
      <c r="Z6" s="81" t="s">
        <v>143</v>
      </c>
      <c r="AA6" s="84">
        <v>0.24452554744525548</v>
      </c>
      <c r="AB6" s="81" t="s">
        <v>127</v>
      </c>
      <c r="AC6" s="84">
        <v>0.57017543859649122</v>
      </c>
      <c r="AD6" s="81" t="s">
        <v>143</v>
      </c>
      <c r="AE6" s="84">
        <v>0.41791044776119401</v>
      </c>
      <c r="AF6" s="81" t="s">
        <v>182</v>
      </c>
      <c r="AG6" s="84">
        <v>0.4375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143</v>
      </c>
      <c r="C7" s="80">
        <v>-1.7763568394002505E-14</v>
      </c>
      <c r="D7" s="81" t="s">
        <v>143</v>
      </c>
      <c r="E7" s="93">
        <v>-5.9809994592601025E-17</v>
      </c>
      <c r="F7" s="81" t="s">
        <v>143</v>
      </c>
      <c r="G7" s="82">
        <v>2</v>
      </c>
      <c r="H7" s="81" t="s">
        <v>177</v>
      </c>
      <c r="I7" s="83">
        <v>0.42424242424242425</v>
      </c>
      <c r="J7" s="81" t="s">
        <v>178</v>
      </c>
      <c r="K7" s="83">
        <v>0.31707317073170732</v>
      </c>
      <c r="L7" s="81" t="s">
        <v>179</v>
      </c>
      <c r="M7" s="84">
        <v>0.28474576271186441</v>
      </c>
      <c r="N7" s="81" t="s">
        <v>143</v>
      </c>
      <c r="O7" s="84">
        <v>0.17193836171938362</v>
      </c>
      <c r="P7" s="81" t="s">
        <v>126</v>
      </c>
      <c r="Q7" s="85">
        <v>7986.3905325443784</v>
      </c>
      <c r="R7" s="81" t="s">
        <v>178</v>
      </c>
      <c r="S7" s="85">
        <v>-7318</v>
      </c>
      <c r="T7" s="81" t="s">
        <v>178</v>
      </c>
      <c r="U7" s="83">
        <v>9.7560975609756101E-2</v>
      </c>
      <c r="V7" s="81" t="s">
        <v>143</v>
      </c>
      <c r="W7" s="83">
        <v>0.10437710437710437</v>
      </c>
      <c r="X7" s="81" t="s">
        <v>178</v>
      </c>
      <c r="Y7" s="84">
        <v>0.24850299401197604</v>
      </c>
      <c r="Z7" s="81" t="s">
        <v>126</v>
      </c>
      <c r="AA7" s="84">
        <v>0.23929961089494164</v>
      </c>
      <c r="AB7" s="81" t="s">
        <v>143</v>
      </c>
      <c r="AC7" s="84">
        <v>0.55574043261231276</v>
      </c>
      <c r="AD7" s="81" t="s">
        <v>127</v>
      </c>
      <c r="AE7" s="84">
        <v>0.41290322580645161</v>
      </c>
      <c r="AF7" s="81" t="s">
        <v>143</v>
      </c>
      <c r="AG7" s="84">
        <v>0.40833333333333333</v>
      </c>
      <c r="AH7" s="81" t="s">
        <v>126</v>
      </c>
      <c r="AI7" s="88">
        <v>86200</v>
      </c>
    </row>
    <row r="8" spans="1:35" x14ac:dyDescent="0.4">
      <c r="A8" s="78">
        <v>6</v>
      </c>
      <c r="B8" s="79" t="s">
        <v>178</v>
      </c>
      <c r="C8" s="80">
        <v>-56.899999999999977</v>
      </c>
      <c r="D8" s="81" t="s">
        <v>178</v>
      </c>
      <c r="E8" s="93">
        <v>-1.3878048780487799</v>
      </c>
      <c r="F8" s="81" t="s">
        <v>178</v>
      </c>
      <c r="G8" s="82">
        <v>2.1219512195121952</v>
      </c>
      <c r="H8" s="81" t="s">
        <v>143</v>
      </c>
      <c r="I8" s="83">
        <v>0.33333333333333331</v>
      </c>
      <c r="J8" s="81" t="s">
        <v>143</v>
      </c>
      <c r="K8" s="83">
        <v>0.33333333333333331</v>
      </c>
      <c r="L8" s="81" t="s">
        <v>178</v>
      </c>
      <c r="M8" s="84">
        <v>0.27844311377245506</v>
      </c>
      <c r="N8" s="81" t="s">
        <v>166</v>
      </c>
      <c r="O8" s="84">
        <v>0.17490494296577946</v>
      </c>
      <c r="P8" s="81" t="s">
        <v>181</v>
      </c>
      <c r="Q8" s="85">
        <v>7779.411764705882</v>
      </c>
      <c r="R8" s="81" t="s">
        <v>143</v>
      </c>
      <c r="S8" s="85">
        <v>-7644.8113207547167</v>
      </c>
      <c r="T8" s="81" t="s">
        <v>143</v>
      </c>
      <c r="U8" s="83">
        <v>0.10437710437710437</v>
      </c>
      <c r="V8" s="81" t="s">
        <v>126</v>
      </c>
      <c r="W8" s="83">
        <v>9.5238095238095233E-2</v>
      </c>
      <c r="X8" s="81" t="s">
        <v>143</v>
      </c>
      <c r="Y8" s="84">
        <v>0.24371451743714517</v>
      </c>
      <c r="Z8" s="81" t="s">
        <v>166</v>
      </c>
      <c r="AA8" s="84">
        <v>0.23193916349809887</v>
      </c>
      <c r="AB8" s="81" t="s">
        <v>178</v>
      </c>
      <c r="AC8" s="84">
        <v>0.54216867469879515</v>
      </c>
      <c r="AD8" s="81" t="s">
        <v>178</v>
      </c>
      <c r="AE8" s="84">
        <v>0.3888888888888889</v>
      </c>
      <c r="AF8" s="81" t="s">
        <v>126</v>
      </c>
      <c r="AG8" s="84">
        <v>0.40828402366863903</v>
      </c>
      <c r="AH8" s="81" t="s">
        <v>182</v>
      </c>
      <c r="AI8" s="88">
        <v>85100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166</v>
      </c>
      <c r="E9" s="93">
        <v>-6.554838709677421</v>
      </c>
      <c r="F9" s="81" t="s">
        <v>195</v>
      </c>
      <c r="G9" s="82">
        <v>2.1428571428571428</v>
      </c>
      <c r="H9" s="81" t="s">
        <v>166</v>
      </c>
      <c r="I9" s="83">
        <v>0.25806451612903225</v>
      </c>
      <c r="J9" s="81" t="s">
        <v>179</v>
      </c>
      <c r="K9" s="83">
        <v>0.44117647058823528</v>
      </c>
      <c r="L9" s="81" t="s">
        <v>177</v>
      </c>
      <c r="M9" s="84">
        <v>0.26984126984126983</v>
      </c>
      <c r="N9" s="81" t="s">
        <v>195</v>
      </c>
      <c r="O9" s="84">
        <v>0.19354838709677419</v>
      </c>
      <c r="P9" s="81" t="s">
        <v>179</v>
      </c>
      <c r="Q9" s="85">
        <v>7525</v>
      </c>
      <c r="R9" s="81" t="s">
        <v>127</v>
      </c>
      <c r="S9" s="85">
        <v>-7863.541666666667</v>
      </c>
      <c r="T9" s="81" t="s">
        <v>127</v>
      </c>
      <c r="U9" s="83">
        <v>0.14035087719298245</v>
      </c>
      <c r="V9" s="81" t="s">
        <v>178</v>
      </c>
      <c r="W9" s="83">
        <v>7.3170731707317069E-2</v>
      </c>
      <c r="X9" s="81" t="s">
        <v>195</v>
      </c>
      <c r="Y9" s="84">
        <v>0.24193548387096775</v>
      </c>
      <c r="Z9" s="81" t="s">
        <v>182</v>
      </c>
      <c r="AA9" s="84">
        <v>0.21019108280254778</v>
      </c>
      <c r="AB9" s="81" t="s">
        <v>195</v>
      </c>
      <c r="AC9" s="84">
        <v>0.53333333333333333</v>
      </c>
      <c r="AD9" s="81" t="s">
        <v>166</v>
      </c>
      <c r="AE9" s="84">
        <v>0.36065573770491804</v>
      </c>
      <c r="AF9" s="81" t="s">
        <v>178</v>
      </c>
      <c r="AG9" s="84">
        <v>0.39784946236559138</v>
      </c>
      <c r="AH9" s="81" t="s">
        <v>177</v>
      </c>
      <c r="AI9" s="88">
        <v>83000</v>
      </c>
    </row>
    <row r="10" spans="1:35" x14ac:dyDescent="0.4">
      <c r="A10" s="78">
        <v>8</v>
      </c>
      <c r="B10" s="79" t="s">
        <v>166</v>
      </c>
      <c r="C10" s="80">
        <v>-203.20000000000005</v>
      </c>
      <c r="D10" s="81" t="s">
        <v>179</v>
      </c>
      <c r="E10" s="93">
        <v>-6.9647058823529413</v>
      </c>
      <c r="F10" s="81" t="s">
        <v>166</v>
      </c>
      <c r="G10" s="82">
        <v>2.193548387096774</v>
      </c>
      <c r="H10" s="81" t="s">
        <v>179</v>
      </c>
      <c r="I10" s="83">
        <v>0.20588235294117646</v>
      </c>
      <c r="J10" s="81" t="s">
        <v>166</v>
      </c>
      <c r="K10" s="83">
        <v>0.45161290322580644</v>
      </c>
      <c r="L10" s="81" t="s">
        <v>166</v>
      </c>
      <c r="M10" s="84">
        <v>0.2509505703422053</v>
      </c>
      <c r="N10" s="81" t="s">
        <v>179</v>
      </c>
      <c r="O10" s="84">
        <v>0.19661016949152543</v>
      </c>
      <c r="P10" s="81" t="s">
        <v>182</v>
      </c>
      <c r="Q10" s="85">
        <v>7496.875</v>
      </c>
      <c r="R10" s="81" t="s">
        <v>177</v>
      </c>
      <c r="S10" s="85">
        <v>-8970</v>
      </c>
      <c r="T10" s="81" t="s">
        <v>177</v>
      </c>
      <c r="U10" s="83">
        <v>0.15151515151515152</v>
      </c>
      <c r="V10" s="81" t="s">
        <v>179</v>
      </c>
      <c r="W10" s="83">
        <v>5.8823529411764705E-2</v>
      </c>
      <c r="X10" s="81" t="s">
        <v>127</v>
      </c>
      <c r="Y10" s="84">
        <v>0.23456790123456789</v>
      </c>
      <c r="Z10" s="81" t="s">
        <v>177</v>
      </c>
      <c r="AA10" s="84">
        <v>0.20634920634920634</v>
      </c>
      <c r="AB10" s="81" t="s">
        <v>166</v>
      </c>
      <c r="AC10" s="84">
        <v>0.52272727272727271</v>
      </c>
      <c r="AD10" s="81" t="s">
        <v>182</v>
      </c>
      <c r="AE10" s="84">
        <v>0.33333333333333331</v>
      </c>
      <c r="AF10" s="81" t="s">
        <v>179</v>
      </c>
      <c r="AG10" s="84">
        <v>0.39285714285714285</v>
      </c>
      <c r="AH10" s="81" t="s">
        <v>178</v>
      </c>
      <c r="AI10" s="88">
        <v>81700</v>
      </c>
    </row>
    <row r="11" spans="1:35" x14ac:dyDescent="0.4">
      <c r="A11" s="78">
        <v>9</v>
      </c>
      <c r="B11" s="79" t="s">
        <v>179</v>
      </c>
      <c r="C11" s="80">
        <v>-236.8</v>
      </c>
      <c r="D11" s="81" t="s">
        <v>195</v>
      </c>
      <c r="E11" s="93">
        <v>-14.971428571428573</v>
      </c>
      <c r="F11" s="81" t="s">
        <v>179</v>
      </c>
      <c r="G11" s="82">
        <v>2.2352941176470589</v>
      </c>
      <c r="H11" s="81" t="s">
        <v>178</v>
      </c>
      <c r="I11" s="83">
        <v>0.1951219512195122</v>
      </c>
      <c r="J11" s="81" t="s">
        <v>195</v>
      </c>
      <c r="K11" s="83">
        <v>0.5714285714285714</v>
      </c>
      <c r="L11" s="81" t="s">
        <v>195</v>
      </c>
      <c r="M11" s="84">
        <v>0.24193548387096775</v>
      </c>
      <c r="N11" s="81" t="s">
        <v>127</v>
      </c>
      <c r="O11" s="84">
        <v>0.19753086419753085</v>
      </c>
      <c r="P11" s="81" t="s">
        <v>195</v>
      </c>
      <c r="Q11" s="85">
        <v>7473.333333333333</v>
      </c>
      <c r="R11" s="81" t="s">
        <v>195</v>
      </c>
      <c r="S11" s="85">
        <v>-9075</v>
      </c>
      <c r="T11" s="81" t="s">
        <v>182</v>
      </c>
      <c r="U11" s="83">
        <v>0.25</v>
      </c>
      <c r="V11" s="81" t="s">
        <v>182</v>
      </c>
      <c r="W11" s="83">
        <v>0.05</v>
      </c>
      <c r="X11" s="81" t="s">
        <v>182</v>
      </c>
      <c r="Y11" s="84">
        <v>0.21019108280254778</v>
      </c>
      <c r="Z11" s="81" t="s">
        <v>179</v>
      </c>
      <c r="AA11" s="84">
        <v>0.17627118644067796</v>
      </c>
      <c r="AB11" s="81" t="s">
        <v>182</v>
      </c>
      <c r="AC11" s="84">
        <v>0.51515151515151514</v>
      </c>
      <c r="AD11" s="81" t="s">
        <v>181</v>
      </c>
      <c r="AE11" s="84">
        <v>0.33333333333333331</v>
      </c>
      <c r="AF11" s="81" t="s">
        <v>127</v>
      </c>
      <c r="AG11" s="84">
        <v>0.37106918238993708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182</v>
      </c>
      <c r="C12" s="80">
        <v>-428.10000000000008</v>
      </c>
      <c r="D12" s="81" t="s">
        <v>182</v>
      </c>
      <c r="E12" s="93">
        <v>-21.405000000000005</v>
      </c>
      <c r="F12" s="81" t="s">
        <v>182</v>
      </c>
      <c r="G12" s="82">
        <v>2.5499999999999998</v>
      </c>
      <c r="H12" s="81" t="s">
        <v>182</v>
      </c>
      <c r="I12" s="83">
        <v>0.05</v>
      </c>
      <c r="J12" s="81" t="s">
        <v>182</v>
      </c>
      <c r="K12" s="83">
        <v>0.6</v>
      </c>
      <c r="L12" s="81" t="s">
        <v>182</v>
      </c>
      <c r="M12" s="84">
        <v>0.20382165605095542</v>
      </c>
      <c r="N12" s="81" t="s">
        <v>182</v>
      </c>
      <c r="O12" s="84">
        <v>0.21656050955414013</v>
      </c>
      <c r="P12" s="81" t="s">
        <v>166</v>
      </c>
      <c r="Q12" s="85">
        <v>7300</v>
      </c>
      <c r="R12" s="81" t="s">
        <v>182</v>
      </c>
      <c r="S12" s="85">
        <v>-9173.5294117647063</v>
      </c>
      <c r="T12" s="81" t="s">
        <v>195</v>
      </c>
      <c r="U12" s="83">
        <v>0.5714285714285714</v>
      </c>
      <c r="V12" s="81" t="s">
        <v>166</v>
      </c>
      <c r="W12" s="83">
        <v>3.2258064516129031E-2</v>
      </c>
      <c r="X12" s="81" t="s">
        <v>166</v>
      </c>
      <c r="Y12" s="84">
        <v>0.16730038022813687</v>
      </c>
      <c r="Z12" s="81" t="s">
        <v>181</v>
      </c>
      <c r="AA12" s="84">
        <v>0.14563106796116504</v>
      </c>
      <c r="AB12" s="81" t="s">
        <v>177</v>
      </c>
      <c r="AC12" s="84">
        <v>0.43661971830985913</v>
      </c>
      <c r="AD12" s="81" t="s">
        <v>195</v>
      </c>
      <c r="AE12" s="84">
        <v>0.27272727272727271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29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297</v>
      </c>
      <c r="C2" s="149"/>
      <c r="E2" s="58" t="s">
        <v>66</v>
      </c>
      <c r="F2" s="55" t="s">
        <v>22</v>
      </c>
      <c r="G2" s="43">
        <v>562</v>
      </c>
      <c r="H2" s="128">
        <f>IF(B$17=0,0,G2/B$17)</f>
        <v>0.78055555555555556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-20.408163265306122</v>
      </c>
      <c r="P2" s="114">
        <v>294</v>
      </c>
      <c r="Q2" s="98">
        <v>-6000</v>
      </c>
    </row>
    <row r="3" spans="1:17" x14ac:dyDescent="0.4">
      <c r="A3" s="51" t="s">
        <v>8</v>
      </c>
      <c r="B3" s="150">
        <v>2466</v>
      </c>
      <c r="C3" s="151"/>
      <c r="E3" s="59" t="s">
        <v>72</v>
      </c>
      <c r="F3" s="56" t="s">
        <v>27</v>
      </c>
      <c r="G3" s="44">
        <v>411</v>
      </c>
      <c r="H3" s="129">
        <f>IF(B$17=0,0,G3/B$17)</f>
        <v>0.5708333333333333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14.184397163120567</v>
      </c>
      <c r="P3" s="115">
        <v>282</v>
      </c>
      <c r="Q3" s="99">
        <v>4000</v>
      </c>
    </row>
    <row r="4" spans="1:17" x14ac:dyDescent="0.4">
      <c r="A4" s="51" t="s">
        <v>6</v>
      </c>
      <c r="B4" s="152">
        <v>-1.7763568394002505E-14</v>
      </c>
      <c r="C4" s="153"/>
      <c r="E4" s="59" t="s">
        <v>64</v>
      </c>
      <c r="F4" s="56" t="s">
        <v>20</v>
      </c>
      <c r="G4" s="44">
        <v>326</v>
      </c>
      <c r="H4" s="129">
        <f>IF(B$17=0,0,G4/B$17)</f>
        <v>0.45277777777777778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-36.630036630036628</v>
      </c>
      <c r="P4" s="115">
        <v>273</v>
      </c>
      <c r="Q4" s="99">
        <v>-10000</v>
      </c>
    </row>
    <row r="5" spans="1:17" x14ac:dyDescent="0.4">
      <c r="A5" s="51" t="s">
        <v>7</v>
      </c>
      <c r="B5" s="154">
        <f>IF(B$2=0,0,B$4/B$2)</f>
        <v>-5.9809994592601025E-17</v>
      </c>
      <c r="C5" s="155"/>
      <c r="E5" s="59" t="s">
        <v>171</v>
      </c>
      <c r="F5" s="56" t="s">
        <v>172</v>
      </c>
      <c r="G5" s="44">
        <v>269</v>
      </c>
      <c r="H5" s="129">
        <f>IF(B$17=0,0,G5/B$17)</f>
        <v>0.37361111111111112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31.007751937984494</v>
      </c>
      <c r="P5" s="115">
        <v>258</v>
      </c>
      <c r="Q5" s="99">
        <v>8000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67</v>
      </c>
      <c r="F6" s="56" t="s">
        <v>23</v>
      </c>
      <c r="G6" s="44">
        <v>217</v>
      </c>
      <c r="H6" s="129">
        <f>IF(B$17=0,0,G6/B$17)</f>
        <v>0.30138888888888887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12.5</v>
      </c>
      <c r="P6" s="115">
        <v>240</v>
      </c>
      <c r="Q6" s="99">
        <v>3000</v>
      </c>
    </row>
    <row r="7" spans="1:17" x14ac:dyDescent="0.4">
      <c r="A7" s="51" t="s">
        <v>2</v>
      </c>
      <c r="B7" s="44">
        <v>99</v>
      </c>
      <c r="C7" s="37">
        <f t="shared" ref="C7:C12" si="1">IF(B$2=0,0,B7/B$2)</f>
        <v>0.33333333333333331</v>
      </c>
      <c r="E7" s="59" t="s">
        <v>68</v>
      </c>
      <c r="F7" s="56" t="s">
        <v>12</v>
      </c>
      <c r="G7" s="44">
        <v>204</v>
      </c>
      <c r="H7" s="129">
        <f>IF(B$17=0,0,G7/B$17)</f>
        <v>0.28333333333333333</v>
      </c>
      <c r="I7" s="90">
        <v>4</v>
      </c>
      <c r="K7" s="36">
        <v>5</v>
      </c>
      <c r="L7" s="95">
        <v>-11.299999999999997</v>
      </c>
      <c r="N7" s="112" t="s">
        <v>135</v>
      </c>
      <c r="O7" s="119">
        <f t="shared" si="0"/>
        <v>5.1282051282051286</v>
      </c>
      <c r="P7" s="116">
        <v>195</v>
      </c>
      <c r="Q7" s="100">
        <v>1000</v>
      </c>
    </row>
    <row r="8" spans="1:17" x14ac:dyDescent="0.4">
      <c r="A8" s="51" t="s">
        <v>3</v>
      </c>
      <c r="B8" s="44">
        <v>99</v>
      </c>
      <c r="C8" s="37">
        <f t="shared" si="1"/>
        <v>0.33333333333333331</v>
      </c>
      <c r="E8" s="59" t="s">
        <v>89</v>
      </c>
      <c r="F8" s="56" t="s">
        <v>44</v>
      </c>
      <c r="G8" s="44">
        <v>98</v>
      </c>
      <c r="H8" s="129">
        <f>IF(B$17=0,0,G8/B$17)</f>
        <v>0.1361111111111111</v>
      </c>
      <c r="I8" s="90">
        <v>3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99</v>
      </c>
      <c r="C9" s="38">
        <f t="shared" si="1"/>
        <v>0.33333333333333331</v>
      </c>
      <c r="E9" s="59" t="s">
        <v>69</v>
      </c>
      <c r="F9" s="56" t="s">
        <v>24</v>
      </c>
      <c r="G9" s="44">
        <v>96</v>
      </c>
      <c r="H9" s="129">
        <f>IF(B$17=0,0,G9/B$17)</f>
        <v>0.13333333333333333</v>
      </c>
      <c r="I9" s="90">
        <v>4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31</v>
      </c>
      <c r="C10" s="38">
        <f t="shared" si="1"/>
        <v>0.10437710437710437</v>
      </c>
      <c r="E10" s="59" t="s">
        <v>65</v>
      </c>
      <c r="F10" s="56" t="s">
        <v>21</v>
      </c>
      <c r="G10" s="44">
        <v>65</v>
      </c>
      <c r="H10" s="129">
        <f>IF(B$17=0,0,G10/B$17)</f>
        <v>9.0277777777777776E-2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1.6757575757575749</v>
      </c>
      <c r="P10" s="114">
        <v>99</v>
      </c>
      <c r="Q10" s="102">
        <v>165.89999999999992</v>
      </c>
    </row>
    <row r="11" spans="1:17" x14ac:dyDescent="0.4">
      <c r="A11" s="52" t="s">
        <v>138</v>
      </c>
      <c r="B11" s="45">
        <v>31</v>
      </c>
      <c r="C11" s="38">
        <f t="shared" si="1"/>
        <v>0.10437710437710437</v>
      </c>
      <c r="E11" s="59" t="s">
        <v>70</v>
      </c>
      <c r="F11" s="56" t="s">
        <v>25</v>
      </c>
      <c r="G11" s="44">
        <v>61</v>
      </c>
      <c r="H11" s="129">
        <f>IF(B$17=0,0,G11/B$17)</f>
        <v>8.4722222222222227E-2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-0.69292929292929273</v>
      </c>
      <c r="P11" s="115">
        <v>99</v>
      </c>
      <c r="Q11" s="103">
        <v>-68.59999999999998</v>
      </c>
    </row>
    <row r="12" spans="1:17" x14ac:dyDescent="0.4">
      <c r="A12" s="53" t="s">
        <v>158</v>
      </c>
      <c r="B12" s="46">
        <v>30</v>
      </c>
      <c r="C12" s="40">
        <f t="shared" si="1"/>
        <v>0.10101010101010101</v>
      </c>
      <c r="E12" s="59" t="s">
        <v>71</v>
      </c>
      <c r="F12" s="56" t="s">
        <v>26</v>
      </c>
      <c r="G12" s="44">
        <v>55</v>
      </c>
      <c r="H12" s="129">
        <f>IF(B$17=0,0,G12/B$17)</f>
        <v>7.6388888888888895E-2</v>
      </c>
      <c r="I12" s="90">
        <v>5</v>
      </c>
      <c r="K12" s="36">
        <v>10</v>
      </c>
      <c r="L12" s="95">
        <v>-12</v>
      </c>
      <c r="N12" s="112" t="s">
        <v>164</v>
      </c>
      <c r="O12" s="122">
        <f>IF(P12=0,0,Q12/P12)</f>
        <v>-0.98282828282828305</v>
      </c>
      <c r="P12" s="116">
        <v>99</v>
      </c>
      <c r="Q12" s="104">
        <v>-97.300000000000026</v>
      </c>
    </row>
    <row r="13" spans="1:17" x14ac:dyDescent="0.4">
      <c r="A13" s="54" t="s">
        <v>121</v>
      </c>
      <c r="B13" s="47">
        <v>601</v>
      </c>
      <c r="C13" s="42">
        <f>IF(B$3=0,0,B13/B$3)</f>
        <v>0.24371451743714517</v>
      </c>
      <c r="E13" s="59" t="s">
        <v>83</v>
      </c>
      <c r="F13" s="56" t="s">
        <v>38</v>
      </c>
      <c r="G13" s="44">
        <v>41</v>
      </c>
      <c r="H13" s="129">
        <f>IF(B$17=0,0,G13/B$17)</f>
        <v>5.6944444444444443E-2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603</v>
      </c>
      <c r="C14" s="37">
        <f>IF(B$3=0,0,B14/B$3)</f>
        <v>0.24452554744525548</v>
      </c>
      <c r="E14" s="59" t="s">
        <v>86</v>
      </c>
      <c r="F14" s="56" t="s">
        <v>41</v>
      </c>
      <c r="G14" s="44">
        <v>32</v>
      </c>
      <c r="H14" s="129">
        <f>IF(B$17=0,0,G14/B$17)</f>
        <v>4.4444444444444446E-2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334</v>
      </c>
      <c r="C15" s="35">
        <f>IF(B$13=0,0,B15/B$13)</f>
        <v>0.55574043261231276</v>
      </c>
      <c r="E15" s="59" t="s">
        <v>78</v>
      </c>
      <c r="F15" s="56" t="s">
        <v>33</v>
      </c>
      <c r="G15" s="44">
        <v>15</v>
      </c>
      <c r="H15" s="129">
        <f>IF(B$17=0,0,G15/B$17)</f>
        <v>2.0833333333333332E-2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32.107500000000002</v>
      </c>
      <c r="P15" s="114">
        <v>40</v>
      </c>
      <c r="Q15" s="102">
        <v>1284.3</v>
      </c>
    </row>
    <row r="16" spans="1:17" x14ac:dyDescent="0.4">
      <c r="A16" s="50" t="s">
        <v>124</v>
      </c>
      <c r="B16" s="43">
        <v>252</v>
      </c>
      <c r="C16" s="35">
        <f>IF(B$14=0,0,B16/B$14)</f>
        <v>0.41791044776119401</v>
      </c>
      <c r="E16" s="59" t="s">
        <v>81</v>
      </c>
      <c r="F16" s="56" t="s">
        <v>36</v>
      </c>
      <c r="G16" s="44">
        <v>13</v>
      </c>
      <c r="H16" s="129">
        <f>IF(B$17=0,0,G16/B$17)</f>
        <v>1.8055555555555554E-2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720</v>
      </c>
      <c r="C17" s="35">
        <f>IF(B$3=0,0,B17/B$3)</f>
        <v>0.29197080291970801</v>
      </c>
      <c r="E17" s="59" t="s">
        <v>79</v>
      </c>
      <c r="F17" s="56" t="s">
        <v>34</v>
      </c>
      <c r="G17" s="44">
        <v>10</v>
      </c>
      <c r="H17" s="129">
        <f>IF(B$17=0,0,G17/B$17)</f>
        <v>1.3888888888888888E-2</v>
      </c>
      <c r="I17" s="90">
        <v>4</v>
      </c>
      <c r="K17" s="36">
        <v>15</v>
      </c>
      <c r="L17" s="95">
        <v>0</v>
      </c>
      <c r="N17" s="111" t="s">
        <v>179</v>
      </c>
      <c r="O17" s="121">
        <f>IF(P17=0,0,Q17/P17)</f>
        <v>10.447058823529417</v>
      </c>
      <c r="P17" s="115">
        <v>68</v>
      </c>
      <c r="Q17" s="103">
        <v>710.40000000000032</v>
      </c>
    </row>
    <row r="18" spans="1:17" x14ac:dyDescent="0.4">
      <c r="A18" s="51" t="s">
        <v>12</v>
      </c>
      <c r="B18" s="44">
        <v>294</v>
      </c>
      <c r="C18" s="37">
        <f>IF(B$17=0,0,B18/B$17)</f>
        <v>0.40833333333333333</v>
      </c>
      <c r="E18" s="59" t="s">
        <v>91</v>
      </c>
      <c r="F18" s="56" t="s">
        <v>46</v>
      </c>
      <c r="G18" s="44">
        <v>10</v>
      </c>
      <c r="H18" s="129">
        <f>IF(B$17=0,0,G18/B$17)</f>
        <v>1.3888888888888888E-2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9.8322580645161253</v>
      </c>
      <c r="P18" s="115">
        <v>62</v>
      </c>
      <c r="Q18" s="103">
        <v>609.5999999999998</v>
      </c>
    </row>
    <row r="19" spans="1:17" x14ac:dyDescent="0.4">
      <c r="A19" s="51" t="s">
        <v>11</v>
      </c>
      <c r="B19" s="44">
        <v>426</v>
      </c>
      <c r="C19" s="37">
        <f>IF(B$17=0,0,B19/B$17)</f>
        <v>0.59166666666666667</v>
      </c>
      <c r="E19" s="59" t="s">
        <v>167</v>
      </c>
      <c r="F19" s="56" t="s">
        <v>168</v>
      </c>
      <c r="G19" s="44">
        <v>8</v>
      </c>
      <c r="H19" s="129">
        <f>IF(B$17=0,0,G19/B$17)</f>
        <v>1.1111111111111112E-2</v>
      </c>
      <c r="I19" s="90">
        <v>3</v>
      </c>
      <c r="K19" s="36">
        <v>17</v>
      </c>
      <c r="L19" s="95">
        <v>-20.5</v>
      </c>
      <c r="N19" s="111" t="s">
        <v>178</v>
      </c>
      <c r="O19" s="121">
        <f>IF(P19=0,0,Q19/P19)</f>
        <v>2.0817073170731697</v>
      </c>
      <c r="P19" s="115">
        <v>82</v>
      </c>
      <c r="Q19" s="103">
        <v>170.69999999999993</v>
      </c>
    </row>
    <row r="20" spans="1:17" x14ac:dyDescent="0.4">
      <c r="A20" s="51" t="s">
        <v>13</v>
      </c>
      <c r="B20" s="44">
        <v>424</v>
      </c>
      <c r="C20" s="37">
        <f>IF(B$3=0,0,B20/B$3)</f>
        <v>0.17193836171938362</v>
      </c>
      <c r="E20" s="59" t="s">
        <v>92</v>
      </c>
      <c r="F20" s="56" t="s">
        <v>47</v>
      </c>
      <c r="G20" s="44">
        <v>5</v>
      </c>
      <c r="H20" s="129">
        <f>IF(B$17=0,0,G20/B$17)</f>
        <v>6.9444444444444441E-3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-5.0909090909090908</v>
      </c>
      <c r="P20" s="115">
        <v>66</v>
      </c>
      <c r="Q20" s="103">
        <v>-336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4</v>
      </c>
      <c r="H21" s="129">
        <f>IF(B$17=0,0,G21/B$17)</f>
        <v>5.5555555555555558E-3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-7.660526315789479</v>
      </c>
      <c r="P21" s="115">
        <v>114</v>
      </c>
      <c r="Q21" s="103">
        <v>-873.30000000000064</v>
      </c>
    </row>
    <row r="22" spans="1:17" x14ac:dyDescent="0.4">
      <c r="A22" s="51" t="s">
        <v>170</v>
      </c>
      <c r="B22" s="44">
        <v>26</v>
      </c>
      <c r="C22" s="131">
        <v>0</v>
      </c>
      <c r="E22" s="59" t="s">
        <v>77</v>
      </c>
      <c r="F22" s="56" t="s">
        <v>32</v>
      </c>
      <c r="G22" s="44">
        <v>4</v>
      </c>
      <c r="H22" s="129">
        <f>IF(B$17=0,0,G22/B$17)</f>
        <v>5.5555555555555558E-3</v>
      </c>
      <c r="I22" s="90">
        <v>3</v>
      </c>
      <c r="K22" s="36">
        <v>20</v>
      </c>
      <c r="L22" s="95">
        <v>-61.199999999999996</v>
      </c>
      <c r="N22" s="111" t="s">
        <v>126</v>
      </c>
      <c r="O22" s="121">
        <f>IF(P22=0,0,Q22/P22)</f>
        <v>-11.919047619047618</v>
      </c>
      <c r="P22" s="115">
        <v>126</v>
      </c>
      <c r="Q22" s="103">
        <v>-1501.7999999999997</v>
      </c>
    </row>
    <row r="23" spans="1:17" x14ac:dyDescent="0.4">
      <c r="A23" s="51" t="s">
        <v>5</v>
      </c>
      <c r="B23" s="48">
        <f>IF(B$17=0,0,C23/B$17)</f>
        <v>8160.416666666667</v>
      </c>
      <c r="C23" s="39">
        <v>5875500</v>
      </c>
      <c r="E23" s="59" t="s">
        <v>85</v>
      </c>
      <c r="F23" s="56" t="s">
        <v>40</v>
      </c>
      <c r="G23" s="44">
        <v>4</v>
      </c>
      <c r="H23" s="129">
        <f>IF(B$17=0,0,G23/B$17)</f>
        <v>5.5555555555555558E-3</v>
      </c>
      <c r="I23" s="90">
        <v>5</v>
      </c>
      <c r="K23" s="36">
        <v>21</v>
      </c>
      <c r="L23" s="95">
        <v>7.1054273576010019E-15</v>
      </c>
      <c r="N23" s="111" t="s">
        <v>181</v>
      </c>
      <c r="O23" s="121">
        <f>IF(P23=0,0,Q23/P23)</f>
        <v>-17.195454545454549</v>
      </c>
      <c r="P23" s="115">
        <v>22</v>
      </c>
      <c r="Q23" s="103">
        <v>-378.30000000000007</v>
      </c>
    </row>
    <row r="24" spans="1:17" x14ac:dyDescent="0.4">
      <c r="A24" s="52" t="s">
        <v>216</v>
      </c>
      <c r="B24" s="136">
        <f>IF($B$17-B$16=0,0,C24/($B$17-B$16))</f>
        <v>8757.264957264957</v>
      </c>
      <c r="C24" s="137">
        <v>4098400</v>
      </c>
      <c r="E24" s="59" t="s">
        <v>75</v>
      </c>
      <c r="F24" s="56" t="s">
        <v>30</v>
      </c>
      <c r="G24" s="44">
        <v>3</v>
      </c>
      <c r="H24" s="129">
        <f>IF(B$17=0,0,G24/B$17)</f>
        <v>4.1666666666666666E-3</v>
      </c>
      <c r="I24" s="90">
        <v>4</v>
      </c>
      <c r="K24" s="36">
        <v>22</v>
      </c>
      <c r="L24" s="95">
        <v>-25.099999999999994</v>
      </c>
    </row>
    <row r="25" spans="1:17" x14ac:dyDescent="0.4">
      <c r="A25" s="52" t="s">
        <v>217</v>
      </c>
      <c r="B25" s="136">
        <f>IF(B$16=0,0,C25/B$16)</f>
        <v>7051.9841269841272</v>
      </c>
      <c r="C25" s="137">
        <v>1777100</v>
      </c>
      <c r="E25" s="59" t="s">
        <v>84</v>
      </c>
      <c r="F25" s="56" t="s">
        <v>39</v>
      </c>
      <c r="G25" s="44">
        <v>3</v>
      </c>
      <c r="H25" s="129">
        <f>IF(B$17=0,0,G25/B$17)</f>
        <v>4.1666666666666666E-3</v>
      </c>
      <c r="I25" s="90">
        <v>2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-7644.8113207547167</v>
      </c>
      <c r="C26" s="137">
        <v>-3241400</v>
      </c>
      <c r="E26" s="59" t="s">
        <v>88</v>
      </c>
      <c r="F26" s="56" t="s">
        <v>43</v>
      </c>
      <c r="G26" s="44">
        <v>3</v>
      </c>
      <c r="H26" s="129">
        <f>IF(B$17=0,0,G26/B$17)</f>
        <v>4.1666666666666666E-3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87</v>
      </c>
      <c r="F27" s="56" t="s">
        <v>42</v>
      </c>
      <c r="G27" s="44">
        <v>1</v>
      </c>
      <c r="H27" s="129">
        <f>IF(B$17=0,0,G27/B$17)</f>
        <v>1.3888888888888889E-3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90</v>
      </c>
      <c r="F28" s="56" t="s">
        <v>45</v>
      </c>
      <c r="G28" s="44">
        <v>1</v>
      </c>
      <c r="H28" s="129">
        <f>IF(B$17=0,0,G28/B$17)</f>
        <v>1.3888888888888889E-3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9</v>
      </c>
      <c r="C29" s="40">
        <f>IF(B$3=0,0,B29/B$3)</f>
        <v>3.6496350364963502E-3</v>
      </c>
      <c r="E29" s="59" t="s">
        <v>93</v>
      </c>
      <c r="F29" s="56" t="s">
        <v>48</v>
      </c>
      <c r="G29" s="44">
        <v>1</v>
      </c>
      <c r="H29" s="129">
        <f>IF(B$17=0,0,G29/B$17)</f>
        <v>1.3888888888888889E-3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95</v>
      </c>
      <c r="F30" s="56" t="s">
        <v>50</v>
      </c>
      <c r="G30" s="44">
        <v>1</v>
      </c>
      <c r="H30" s="129">
        <f>IF(B$17=0,0,G30/B$17)</f>
        <v>1.3888888888888889E-3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101</v>
      </c>
      <c r="F31" s="56" t="s">
        <v>56</v>
      </c>
      <c r="G31" s="44">
        <v>1</v>
      </c>
      <c r="H31" s="129">
        <f>IF(B$17=0,0,G31/B$17)</f>
        <v>1.3888888888888889E-3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73</v>
      </c>
      <c r="F32" s="56" t="s">
        <v>28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39</v>
      </c>
      <c r="H2" s="128">
        <f>IF(B$17=0,0,G2/B$17)</f>
        <v>0.59090909090909094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993.54838709677415</v>
      </c>
      <c r="P2" s="114">
        <v>31</v>
      </c>
      <c r="Q2" s="98">
        <v>30800</v>
      </c>
    </row>
    <row r="3" spans="1:17" x14ac:dyDescent="0.4">
      <c r="A3" s="51" t="s">
        <v>8</v>
      </c>
      <c r="B3" s="150">
        <v>263</v>
      </c>
      <c r="C3" s="151"/>
      <c r="E3" s="59" t="s">
        <v>72</v>
      </c>
      <c r="F3" s="56" t="s">
        <v>27</v>
      </c>
      <c r="G3" s="44">
        <v>36</v>
      </c>
      <c r="H3" s="129">
        <f>IF(B$17=0,0,G3/B$17)</f>
        <v>0.54545454545454541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-930</v>
      </c>
      <c r="P3" s="115">
        <v>30</v>
      </c>
      <c r="Q3" s="99">
        <v>-27900</v>
      </c>
    </row>
    <row r="4" spans="1:17" x14ac:dyDescent="0.4">
      <c r="A4" s="51" t="s">
        <v>6</v>
      </c>
      <c r="B4" s="152">
        <v>-203.20000000000005</v>
      </c>
      <c r="C4" s="153"/>
      <c r="E4" s="59" t="s">
        <v>171</v>
      </c>
      <c r="F4" s="56" t="s">
        <v>172</v>
      </c>
      <c r="G4" s="44">
        <v>23</v>
      </c>
      <c r="H4" s="129">
        <f>IF(B$17=0,0,G4/B$17)</f>
        <v>0.34848484848484851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493.10344827586209</v>
      </c>
      <c r="P4" s="115">
        <v>29</v>
      </c>
      <c r="Q4" s="99">
        <v>14300</v>
      </c>
    </row>
    <row r="5" spans="1:17" x14ac:dyDescent="0.4">
      <c r="A5" s="51" t="s">
        <v>7</v>
      </c>
      <c r="B5" s="154">
        <f>IF(B$2=0,0,B$4/B$2)</f>
        <v>-6.554838709677421</v>
      </c>
      <c r="C5" s="155"/>
      <c r="E5" s="59" t="s">
        <v>64</v>
      </c>
      <c r="F5" s="56" t="s">
        <v>20</v>
      </c>
      <c r="G5" s="44">
        <v>21</v>
      </c>
      <c r="H5" s="129">
        <f>IF(B$17=0,0,G5/B$17)</f>
        <v>0.31818181818181818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-2486.2068965517242</v>
      </c>
      <c r="P5" s="115">
        <v>29</v>
      </c>
      <c r="Q5" s="99">
        <v>-72100</v>
      </c>
    </row>
    <row r="6" spans="1:17" x14ac:dyDescent="0.4">
      <c r="A6" s="51" t="s">
        <v>1</v>
      </c>
      <c r="B6" s="144">
        <f>IF(B$2=0,0,(B$7*1+B$8*2+B$9*3)/B$2)</f>
        <v>2.193548387096774</v>
      </c>
      <c r="C6" s="145"/>
      <c r="E6" s="59" t="s">
        <v>68</v>
      </c>
      <c r="F6" s="56" t="s">
        <v>12</v>
      </c>
      <c r="G6" s="44">
        <v>19</v>
      </c>
      <c r="H6" s="129">
        <f>IF(B$17=0,0,G6/B$17)</f>
        <v>0.2878787878787879</v>
      </c>
      <c r="I6" s="90">
        <v>3</v>
      </c>
      <c r="K6" s="36">
        <v>4</v>
      </c>
      <c r="L6" s="95">
        <v>-30.7</v>
      </c>
      <c r="N6" s="111" t="s">
        <v>134</v>
      </c>
      <c r="O6" s="118">
        <f t="shared" si="0"/>
        <v>-1075.8620689655172</v>
      </c>
      <c r="P6" s="115">
        <v>29</v>
      </c>
      <c r="Q6" s="99">
        <v>-31200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0.25806451612903225</v>
      </c>
      <c r="E7" s="59" t="s">
        <v>69</v>
      </c>
      <c r="F7" s="56" t="s">
        <v>24</v>
      </c>
      <c r="G7" s="44">
        <v>16</v>
      </c>
      <c r="H7" s="129">
        <f>IF(B$17=0,0,G7/B$17)</f>
        <v>0.24242424242424243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-2480</v>
      </c>
      <c r="P7" s="116">
        <v>25</v>
      </c>
      <c r="Q7" s="100">
        <v>-62000</v>
      </c>
    </row>
    <row r="8" spans="1:17" x14ac:dyDescent="0.4">
      <c r="A8" s="51" t="s">
        <v>3</v>
      </c>
      <c r="B8" s="44">
        <v>9</v>
      </c>
      <c r="C8" s="37">
        <f t="shared" si="1"/>
        <v>0.29032258064516131</v>
      </c>
      <c r="E8" s="59" t="s">
        <v>70</v>
      </c>
      <c r="F8" s="56" t="s">
        <v>25</v>
      </c>
      <c r="G8" s="44">
        <v>11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0.45161290322580644</v>
      </c>
      <c r="E9" s="59" t="s">
        <v>67</v>
      </c>
      <c r="F9" s="56" t="s">
        <v>23</v>
      </c>
      <c r="G9" s="44">
        <v>9</v>
      </c>
      <c r="H9" s="129">
        <f>IF(B$17=0,0,G9/B$17)</f>
        <v>0.13636363636363635</v>
      </c>
      <c r="I9" s="90">
        <v>10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0.12121212121212122</v>
      </c>
      <c r="I10" s="90">
        <v>1</v>
      </c>
      <c r="K10" s="36">
        <v>8</v>
      </c>
      <c r="L10" s="95">
        <v>-76.900000000000006</v>
      </c>
      <c r="N10" s="110" t="s">
        <v>162</v>
      </c>
      <c r="O10" s="120">
        <f>IF(P10=0,0,Q10/P10)</f>
        <v>0.49000000000000021</v>
      </c>
      <c r="P10" s="114">
        <v>10</v>
      </c>
      <c r="Q10" s="102">
        <v>4.9000000000000021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65</v>
      </c>
      <c r="F11" s="56" t="s">
        <v>21</v>
      </c>
      <c r="G11" s="44">
        <v>7</v>
      </c>
      <c r="H11" s="129">
        <f>IF(B$17=0,0,G11/B$17)</f>
        <v>0.10606060606060606</v>
      </c>
      <c r="I11" s="90">
        <v>4</v>
      </c>
      <c r="K11" s="36">
        <v>9</v>
      </c>
      <c r="L11" s="95">
        <v>-59.500000000000007</v>
      </c>
      <c r="N11" s="111" t="s">
        <v>163</v>
      </c>
      <c r="O11" s="121">
        <f>IF(P11=0,0,Q11/P11)</f>
        <v>-19.425000000000001</v>
      </c>
      <c r="P11" s="115">
        <v>8</v>
      </c>
      <c r="Q11" s="103">
        <v>-155.4</v>
      </c>
    </row>
    <row r="12" spans="1:17" x14ac:dyDescent="0.4">
      <c r="A12" s="53" t="s">
        <v>158</v>
      </c>
      <c r="B12" s="46">
        <v>4</v>
      </c>
      <c r="C12" s="40">
        <f t="shared" si="1"/>
        <v>0.12903225806451613</v>
      </c>
      <c r="E12" s="59" t="s">
        <v>83</v>
      </c>
      <c r="F12" s="56" t="s">
        <v>38</v>
      </c>
      <c r="G12" s="44">
        <v>7</v>
      </c>
      <c r="H12" s="129">
        <f>IF(B$17=0,0,G12/B$17)</f>
        <v>0.10606060606060606</v>
      </c>
      <c r="I12" s="90">
        <v>1</v>
      </c>
      <c r="K12" s="36">
        <v>10</v>
      </c>
      <c r="L12" s="95">
        <v>-32.700000000000003</v>
      </c>
      <c r="N12" s="112" t="s">
        <v>164</v>
      </c>
      <c r="O12" s="122">
        <f>IF(P12=0,0,Q12/P12)</f>
        <v>-4.0538461538461537</v>
      </c>
      <c r="P12" s="116">
        <v>13</v>
      </c>
      <c r="Q12" s="104">
        <v>-52.699999999999996</v>
      </c>
    </row>
    <row r="13" spans="1:17" x14ac:dyDescent="0.4">
      <c r="A13" s="54" t="s">
        <v>121</v>
      </c>
      <c r="B13" s="47">
        <v>44</v>
      </c>
      <c r="C13" s="42">
        <f>IF(B$3=0,0,B13/B$3)</f>
        <v>0.16730038022813687</v>
      </c>
      <c r="E13" s="59" t="s">
        <v>89</v>
      </c>
      <c r="F13" s="56" t="s">
        <v>44</v>
      </c>
      <c r="G13" s="44">
        <v>5</v>
      </c>
      <c r="H13" s="129">
        <f>IF(B$17=0,0,G13/B$17)</f>
        <v>7.575757575757576E-2</v>
      </c>
      <c r="I13" s="90">
        <v>8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61</v>
      </c>
      <c r="C14" s="37">
        <f>IF(B$3=0,0,B14/B$3)</f>
        <v>0.23193916349809887</v>
      </c>
      <c r="E14" s="59" t="s">
        <v>81</v>
      </c>
      <c r="F14" s="56" t="s">
        <v>36</v>
      </c>
      <c r="G14" s="44">
        <v>3</v>
      </c>
      <c r="H14" s="129">
        <f>IF(B$17=0,0,G14/B$17)</f>
        <v>4.5454545454545456E-2</v>
      </c>
      <c r="I14" s="90">
        <v>2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23</v>
      </c>
      <c r="C15" s="35">
        <f>IF(B$13=0,0,B15/B$13)</f>
        <v>0.52272727272727271</v>
      </c>
      <c r="E15" s="59" t="s">
        <v>88</v>
      </c>
      <c r="F15" s="56" t="s">
        <v>43</v>
      </c>
      <c r="G15" s="44">
        <v>2</v>
      </c>
      <c r="H15" s="129">
        <f>IF(B$17=0,0,G15/B$17)</f>
        <v>3.0303030303030304E-2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22</v>
      </c>
      <c r="C16" s="35">
        <f>IF(B$14=0,0,B16/B$14)</f>
        <v>0.36065573770491804</v>
      </c>
      <c r="E16" s="59" t="s">
        <v>74</v>
      </c>
      <c r="F16" s="56" t="s">
        <v>29</v>
      </c>
      <c r="G16" s="44">
        <v>1</v>
      </c>
      <c r="H16" s="129">
        <f>IF(B$17=0,0,G16/B$17)</f>
        <v>1.5151515151515152E-2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>IF(P16=0,0,Q16/P16)</f>
        <v>-5.3124999999999991</v>
      </c>
      <c r="P16" s="115">
        <v>8</v>
      </c>
      <c r="Q16" s="103">
        <v>-42.499999999999993</v>
      </c>
    </row>
    <row r="17" spans="1:17" x14ac:dyDescent="0.4">
      <c r="A17" s="50" t="s">
        <v>10</v>
      </c>
      <c r="B17" s="43">
        <f>B19+B18</f>
        <v>66</v>
      </c>
      <c r="C17" s="35">
        <f>IF(B$3=0,0,B17/B$3)</f>
        <v>0.2509505703422053</v>
      </c>
      <c r="E17" s="59" t="s">
        <v>77</v>
      </c>
      <c r="F17" s="56" t="s">
        <v>32</v>
      </c>
      <c r="G17" s="44">
        <v>1</v>
      </c>
      <c r="H17" s="129">
        <f>IF(B$17=0,0,G17/B$17)</f>
        <v>1.5151515151515152E-2</v>
      </c>
      <c r="I17" s="90">
        <v>2</v>
      </c>
      <c r="K17" s="36">
        <v>15</v>
      </c>
      <c r="L17" s="95">
        <v>-65.2</v>
      </c>
      <c r="N17" s="111" t="s">
        <v>127</v>
      </c>
      <c r="O17" s="121">
        <f>IF(P17=0,0,Q17/P17)</f>
        <v>-10.114285714285716</v>
      </c>
      <c r="P17" s="115">
        <v>14</v>
      </c>
      <c r="Q17" s="103">
        <v>-141.60000000000002</v>
      </c>
    </row>
    <row r="18" spans="1:17" x14ac:dyDescent="0.4">
      <c r="A18" s="51" t="s">
        <v>12</v>
      </c>
      <c r="B18" s="44">
        <v>29</v>
      </c>
      <c r="C18" s="37">
        <f>IF(B$17=0,0,B18/B$17)</f>
        <v>0.43939393939393939</v>
      </c>
      <c r="E18" s="59" t="s">
        <v>86</v>
      </c>
      <c r="F18" s="56" t="s">
        <v>41</v>
      </c>
      <c r="G18" s="44">
        <v>1</v>
      </c>
      <c r="H18" s="129">
        <f>IF(B$17=0,0,G18/B$17)</f>
        <v>1.5151515151515152E-2</v>
      </c>
      <c r="I18" s="90">
        <v>10</v>
      </c>
      <c r="K18" s="36">
        <v>16</v>
      </c>
      <c r="L18" s="95">
        <v>-70.600000000000009</v>
      </c>
      <c r="N18" s="111" t="s">
        <v>181</v>
      </c>
      <c r="O18" s="121">
        <f>IF(P18=0,0,Q18/P18)</f>
        <v>-10.825000000000001</v>
      </c>
      <c r="P18" s="115">
        <v>4</v>
      </c>
      <c r="Q18" s="103">
        <v>-43.300000000000004</v>
      </c>
    </row>
    <row r="19" spans="1:17" x14ac:dyDescent="0.4">
      <c r="A19" s="51" t="s">
        <v>11</v>
      </c>
      <c r="B19" s="44">
        <v>37</v>
      </c>
      <c r="C19" s="37">
        <f>IF(B$17=0,0,B19/B$17)</f>
        <v>0.56060606060606055</v>
      </c>
      <c r="E19" s="59" t="s">
        <v>91</v>
      </c>
      <c r="F19" s="56" t="s">
        <v>46</v>
      </c>
      <c r="G19" s="44">
        <v>1</v>
      </c>
      <c r="H19" s="129">
        <f>IF(B$17=0,0,G19/B$17)</f>
        <v>1.5151515151515152E-2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>IF(P19=0,0,Q19/P19)</f>
        <v>-18.450000000000003</v>
      </c>
      <c r="P19" s="115">
        <v>10</v>
      </c>
      <c r="Q19" s="103">
        <v>-184.50000000000003</v>
      </c>
    </row>
    <row r="20" spans="1:17" x14ac:dyDescent="0.4">
      <c r="A20" s="51" t="s">
        <v>13</v>
      </c>
      <c r="B20" s="44">
        <v>46</v>
      </c>
      <c r="C20" s="37">
        <f>IF(B$3=0,0,B20/B$3)</f>
        <v>0.17490494296577946</v>
      </c>
      <c r="E20" s="59" t="s">
        <v>93</v>
      </c>
      <c r="F20" s="56" t="s">
        <v>48</v>
      </c>
      <c r="G20" s="44">
        <v>1</v>
      </c>
      <c r="H20" s="129">
        <f>IF(B$17=0,0,G20/B$17)</f>
        <v>1.5151515151515152E-2</v>
      </c>
      <c r="I20" s="90">
        <v>1</v>
      </c>
      <c r="K20" s="36">
        <v>18</v>
      </c>
      <c r="L20" s="95">
        <v>-80.2</v>
      </c>
      <c r="N20" s="111" t="s">
        <v>182</v>
      </c>
      <c r="O20" s="121">
        <f>IF(P20=0,0,Q20/P20)</f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-115.1</v>
      </c>
      <c r="N21" s="111" t="s">
        <v>177</v>
      </c>
      <c r="O21" s="121">
        <f>IF(P21=0,0,Q21/P21)</f>
        <v>-53.050000000000004</v>
      </c>
      <c r="P21" s="115">
        <v>2</v>
      </c>
      <c r="Q21" s="103">
        <v>-106.10000000000001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7300</v>
      </c>
      <c r="C23" s="39">
        <v>481800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7763.636363636364</v>
      </c>
      <c r="C24" s="137">
        <v>341600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6372.727272727273</v>
      </c>
      <c r="C25" s="137">
        <v>140200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-6821.739130434783</v>
      </c>
      <c r="C26" s="137">
        <v>-313800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3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7.6045627376425855E-3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63</v>
      </c>
      <c r="C2" s="149"/>
      <c r="E2" s="58" t="s">
        <v>66</v>
      </c>
      <c r="F2" s="55" t="s">
        <v>22</v>
      </c>
      <c r="G2" s="43">
        <v>114</v>
      </c>
      <c r="H2" s="128">
        <f>IF(B$17=0,0,G2/B$17)</f>
        <v>0.67455621301775148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112.90322580645162</v>
      </c>
      <c r="P2" s="114">
        <v>62</v>
      </c>
      <c r="Q2" s="98">
        <v>7000</v>
      </c>
    </row>
    <row r="3" spans="1:17" x14ac:dyDescent="0.4">
      <c r="A3" s="51" t="s">
        <v>8</v>
      </c>
      <c r="B3" s="150">
        <v>514</v>
      </c>
      <c r="C3" s="151"/>
      <c r="E3" s="59" t="s">
        <v>72</v>
      </c>
      <c r="F3" s="56" t="s">
        <v>27</v>
      </c>
      <c r="G3" s="44">
        <v>86</v>
      </c>
      <c r="H3" s="129">
        <f>IF(B$17=0,0,G3/B$17)</f>
        <v>0.50887573964497046</v>
      </c>
      <c r="I3" s="90">
        <v>7</v>
      </c>
      <c r="K3" s="36">
        <v>1</v>
      </c>
      <c r="L3" s="95">
        <v>50.2</v>
      </c>
      <c r="N3" s="111" t="s">
        <v>131</v>
      </c>
      <c r="O3" s="118">
        <f t="shared" si="0"/>
        <v>294.91525423728814</v>
      </c>
      <c r="P3" s="115">
        <v>59</v>
      </c>
      <c r="Q3" s="99">
        <v>17400</v>
      </c>
    </row>
    <row r="4" spans="1:17" x14ac:dyDescent="0.4">
      <c r="A4" s="51" t="s">
        <v>6</v>
      </c>
      <c r="B4" s="152">
        <v>500.59999999999997</v>
      </c>
      <c r="C4" s="153"/>
      <c r="E4" s="59" t="s">
        <v>64</v>
      </c>
      <c r="F4" s="56" t="s">
        <v>20</v>
      </c>
      <c r="G4" s="44">
        <v>70</v>
      </c>
      <c r="H4" s="129">
        <f>IF(B$17=0,0,G4/B$17)</f>
        <v>0.41420118343195267</v>
      </c>
      <c r="I4" s="90">
        <v>9</v>
      </c>
      <c r="K4" s="36">
        <v>2</v>
      </c>
      <c r="L4" s="95">
        <v>14.400000000000006</v>
      </c>
      <c r="N4" s="111" t="s">
        <v>132</v>
      </c>
      <c r="O4" s="118">
        <f t="shared" si="0"/>
        <v>-939.65517241379314</v>
      </c>
      <c r="P4" s="115">
        <v>58</v>
      </c>
      <c r="Q4" s="99">
        <v>-54500</v>
      </c>
    </row>
    <row r="5" spans="1:17" x14ac:dyDescent="0.4">
      <c r="A5" s="51" t="s">
        <v>7</v>
      </c>
      <c r="B5" s="154">
        <f>IF(B$2=0,0,B$4/B$2)</f>
        <v>7.9460317460317453</v>
      </c>
      <c r="C5" s="155"/>
      <c r="E5" s="59" t="s">
        <v>171</v>
      </c>
      <c r="F5" s="56" t="s">
        <v>172</v>
      </c>
      <c r="G5" s="44">
        <v>56</v>
      </c>
      <c r="H5" s="129">
        <f>IF(B$17=0,0,G5/B$17)</f>
        <v>0.33136094674556216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49.056603773584904</v>
      </c>
      <c r="P5" s="115">
        <v>53</v>
      </c>
      <c r="Q5" s="99">
        <v>2600</v>
      </c>
    </row>
    <row r="6" spans="1:17" x14ac:dyDescent="0.4">
      <c r="A6" s="51" t="s">
        <v>1</v>
      </c>
      <c r="B6" s="144">
        <f>IF(B$2=0,0,(B$7*1+B$8*2+B$9*3)/B$2)</f>
        <v>1.7936507936507937</v>
      </c>
      <c r="C6" s="145"/>
      <c r="E6" s="59" t="s">
        <v>67</v>
      </c>
      <c r="F6" s="56" t="s">
        <v>23</v>
      </c>
      <c r="G6" s="44">
        <v>48</v>
      </c>
      <c r="H6" s="129">
        <f>IF(B$17=0,0,G6/B$17)</f>
        <v>0.28402366863905326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4437.2549019607841</v>
      </c>
      <c r="P6" s="115">
        <v>51</v>
      </c>
      <c r="Q6" s="99">
        <v>226300</v>
      </c>
    </row>
    <row r="7" spans="1:17" x14ac:dyDescent="0.4">
      <c r="A7" s="51" t="s">
        <v>2</v>
      </c>
      <c r="B7" s="44">
        <v>28</v>
      </c>
      <c r="C7" s="37">
        <f t="shared" ref="C7:C12" si="1">IF(B$2=0,0,B7/B$2)</f>
        <v>0.44444444444444442</v>
      </c>
      <c r="E7" s="59" t="s">
        <v>68</v>
      </c>
      <c r="F7" s="56" t="s">
        <v>12</v>
      </c>
      <c r="G7" s="44">
        <v>45</v>
      </c>
      <c r="H7" s="129">
        <f>IF(B$17=0,0,G7/B$17)</f>
        <v>0.26627218934911245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3835</v>
      </c>
      <c r="P7" s="116">
        <v>40</v>
      </c>
      <c r="Q7" s="100">
        <v>153400</v>
      </c>
    </row>
    <row r="8" spans="1:17" x14ac:dyDescent="0.4">
      <c r="A8" s="51" t="s">
        <v>3</v>
      </c>
      <c r="B8" s="44">
        <v>20</v>
      </c>
      <c r="C8" s="37">
        <f t="shared" si="1"/>
        <v>0.31746031746031744</v>
      </c>
      <c r="E8" s="59" t="s">
        <v>89</v>
      </c>
      <c r="F8" s="56" t="s">
        <v>44</v>
      </c>
      <c r="G8" s="44">
        <v>31</v>
      </c>
      <c r="H8" s="129">
        <f>IF(B$17=0,0,G8/B$17)</f>
        <v>0.18343195266272189</v>
      </c>
      <c r="I8" s="90">
        <v>2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0.23809523809523808</v>
      </c>
      <c r="E9" s="59" t="s">
        <v>69</v>
      </c>
      <c r="F9" s="56" t="s">
        <v>24</v>
      </c>
      <c r="G9" s="44">
        <v>22</v>
      </c>
      <c r="H9" s="129">
        <f>IF(B$17=0,0,G9/B$17)</f>
        <v>0.13017751479289941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4.7619047619047616E-2</v>
      </c>
      <c r="E10" s="59" t="s">
        <v>65</v>
      </c>
      <c r="F10" s="56" t="s">
        <v>21</v>
      </c>
      <c r="G10" s="44">
        <v>16</v>
      </c>
      <c r="H10" s="129">
        <f>IF(B$17=0,0,G10/B$17)</f>
        <v>9.4674556213017749E-2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13.484615384615383</v>
      </c>
      <c r="P10" s="114">
        <v>13</v>
      </c>
      <c r="Q10" s="102">
        <v>175.29999999999998</v>
      </c>
    </row>
    <row r="11" spans="1:17" x14ac:dyDescent="0.4">
      <c r="A11" s="52" t="s">
        <v>138</v>
      </c>
      <c r="B11" s="45">
        <v>6</v>
      </c>
      <c r="C11" s="38">
        <f t="shared" si="1"/>
        <v>9.5238095238095233E-2</v>
      </c>
      <c r="E11" s="59" t="s">
        <v>70</v>
      </c>
      <c r="F11" s="56" t="s">
        <v>25</v>
      </c>
      <c r="G11" s="44">
        <v>11</v>
      </c>
      <c r="H11" s="129">
        <f>IF(B$17=0,0,G11/B$17)</f>
        <v>6.5088757396449703E-2</v>
      </c>
      <c r="I11" s="90">
        <v>7</v>
      </c>
      <c r="K11" s="36">
        <v>9</v>
      </c>
      <c r="L11" s="95">
        <v>180.89999999999998</v>
      </c>
      <c r="N11" s="111" t="s">
        <v>163</v>
      </c>
      <c r="O11" s="121">
        <f>IF(P11=0,0,Q11/P11)</f>
        <v>3.6933333333333342</v>
      </c>
      <c r="P11" s="115">
        <v>30</v>
      </c>
      <c r="Q11" s="103">
        <v>110.80000000000003</v>
      </c>
    </row>
    <row r="12" spans="1:17" x14ac:dyDescent="0.4">
      <c r="A12" s="53" t="s">
        <v>158</v>
      </c>
      <c r="B12" s="46">
        <v>7</v>
      </c>
      <c r="C12" s="40">
        <f t="shared" si="1"/>
        <v>0.1111111111111111</v>
      </c>
      <c r="E12" s="59" t="s">
        <v>71</v>
      </c>
      <c r="F12" s="56" t="s">
        <v>26</v>
      </c>
      <c r="G12" s="44">
        <v>11</v>
      </c>
      <c r="H12" s="129">
        <f>IF(B$17=0,0,G12/B$17)</f>
        <v>6.5088757396449703E-2</v>
      </c>
      <c r="I12" s="90">
        <v>7</v>
      </c>
      <c r="K12" s="36">
        <v>10</v>
      </c>
      <c r="L12" s="95">
        <v>158.19999999999999</v>
      </c>
      <c r="N12" s="112" t="s">
        <v>164</v>
      </c>
      <c r="O12" s="122">
        <f>IF(P12=0,0,Q12/P12)</f>
        <v>10.724999999999998</v>
      </c>
      <c r="P12" s="116">
        <v>20</v>
      </c>
      <c r="Q12" s="104">
        <v>214.49999999999997</v>
      </c>
    </row>
    <row r="13" spans="1:17" x14ac:dyDescent="0.4">
      <c r="A13" s="54" t="s">
        <v>121</v>
      </c>
      <c r="B13" s="47">
        <v>128</v>
      </c>
      <c r="C13" s="42">
        <f>IF(B$3=0,0,B13/B$3)</f>
        <v>0.24902723735408561</v>
      </c>
      <c r="E13" s="59" t="s">
        <v>83</v>
      </c>
      <c r="F13" s="56" t="s">
        <v>38</v>
      </c>
      <c r="G13" s="44">
        <v>8</v>
      </c>
      <c r="H13" s="129">
        <f>IF(B$17=0,0,G13/B$17)</f>
        <v>4.7337278106508875E-2</v>
      </c>
      <c r="I13" s="90">
        <v>7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123</v>
      </c>
      <c r="C14" s="37">
        <f>IF(B$3=0,0,B14/B$3)</f>
        <v>0.23929961089494164</v>
      </c>
      <c r="E14" s="59" t="s">
        <v>86</v>
      </c>
      <c r="F14" s="56" t="s">
        <v>41</v>
      </c>
      <c r="G14" s="44">
        <v>7</v>
      </c>
      <c r="H14" s="129">
        <f>IF(B$17=0,0,G14/B$17)</f>
        <v>4.142011834319527E-2</v>
      </c>
      <c r="I14" s="90">
        <v>7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76</v>
      </c>
      <c r="C15" s="35">
        <f>IF(B$13=0,0,B15/B$13)</f>
        <v>0.59375</v>
      </c>
      <c r="E15" s="59" t="s">
        <v>78</v>
      </c>
      <c r="F15" s="56" t="s">
        <v>33</v>
      </c>
      <c r="G15" s="44">
        <v>5</v>
      </c>
      <c r="H15" s="129">
        <f>IF(B$17=0,0,G15/B$17)</f>
        <v>2.9585798816568046E-2</v>
      </c>
      <c r="I15" s="90">
        <v>3</v>
      </c>
      <c r="K15" s="36">
        <v>13</v>
      </c>
      <c r="L15" s="95">
        <v>206.39999999999998</v>
      </c>
      <c r="N15" s="110" t="s">
        <v>181</v>
      </c>
      <c r="O15" s="120">
        <f>IF(P15=0,0,Q15/P15)</f>
        <v>49.733333333333327</v>
      </c>
      <c r="P15" s="114">
        <v>3</v>
      </c>
      <c r="Q15" s="102">
        <v>149.19999999999999</v>
      </c>
    </row>
    <row r="16" spans="1:17" x14ac:dyDescent="0.4">
      <c r="A16" s="50" t="s">
        <v>124</v>
      </c>
      <c r="B16" s="43">
        <v>60</v>
      </c>
      <c r="C16" s="35">
        <f>IF(B$14=0,0,B16/B$14)</f>
        <v>0.48780487804878048</v>
      </c>
      <c r="E16" s="59" t="s">
        <v>167</v>
      </c>
      <c r="F16" s="56" t="s">
        <v>168</v>
      </c>
      <c r="G16" s="44">
        <v>5</v>
      </c>
      <c r="H16" s="129">
        <f>IF(B$17=0,0,G16/B$17)</f>
        <v>2.9585798816568046E-2</v>
      </c>
      <c r="I16" s="90">
        <v>1</v>
      </c>
      <c r="K16" s="36">
        <v>14</v>
      </c>
      <c r="L16" s="95">
        <v>240.09999999999997</v>
      </c>
      <c r="N16" s="111" t="s">
        <v>182</v>
      </c>
      <c r="O16" s="121">
        <f>IF(P16=0,0,Q16/P16)</f>
        <v>47.199999999999989</v>
      </c>
      <c r="P16" s="115">
        <v>6</v>
      </c>
      <c r="Q16" s="103">
        <v>283.19999999999993</v>
      </c>
    </row>
    <row r="17" spans="1:17" x14ac:dyDescent="0.4">
      <c r="A17" s="50" t="s">
        <v>10</v>
      </c>
      <c r="B17" s="43">
        <f>B19+B18</f>
        <v>169</v>
      </c>
      <c r="C17" s="35">
        <f>IF(B$3=0,0,B17/B$3)</f>
        <v>0.32879377431906615</v>
      </c>
      <c r="E17" s="59" t="s">
        <v>77</v>
      </c>
      <c r="F17" s="56" t="s">
        <v>32</v>
      </c>
      <c r="G17" s="44">
        <v>3</v>
      </c>
      <c r="H17" s="129">
        <f>IF(B$17=0,0,G17/B$17)</f>
        <v>1.7751479289940829E-2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18.362500000000011</v>
      </c>
      <c r="P17" s="115">
        <v>16</v>
      </c>
      <c r="Q17" s="103">
        <v>293.80000000000018</v>
      </c>
    </row>
    <row r="18" spans="1:17" x14ac:dyDescent="0.4">
      <c r="A18" s="51" t="s">
        <v>12</v>
      </c>
      <c r="B18" s="44">
        <v>69</v>
      </c>
      <c r="C18" s="37">
        <f>IF(B$17=0,0,B18/B$17)</f>
        <v>0.40828402366863903</v>
      </c>
      <c r="E18" s="59" t="s">
        <v>84</v>
      </c>
      <c r="F18" s="56" t="s">
        <v>39</v>
      </c>
      <c r="G18" s="44">
        <v>3</v>
      </c>
      <c r="H18" s="129">
        <f>IF(B$17=0,0,G18/B$17)</f>
        <v>1.7751479289940829E-2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16.195652173913043</v>
      </c>
      <c r="P18" s="115">
        <v>23</v>
      </c>
      <c r="Q18" s="103">
        <v>372.5</v>
      </c>
    </row>
    <row r="19" spans="1:17" x14ac:dyDescent="0.4">
      <c r="A19" s="51" t="s">
        <v>11</v>
      </c>
      <c r="B19" s="44">
        <v>100</v>
      </c>
      <c r="C19" s="37">
        <f>IF(B$17=0,0,B19/B$17)</f>
        <v>0.59171597633136097</v>
      </c>
      <c r="E19" s="59" t="s">
        <v>92</v>
      </c>
      <c r="F19" s="56" t="s">
        <v>47</v>
      </c>
      <c r="G19" s="44">
        <v>2</v>
      </c>
      <c r="H19" s="129">
        <f>IF(B$17=0,0,G19/B$17)</f>
        <v>1.1834319526627219E-2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7.6976744186046497</v>
      </c>
      <c r="P19" s="115">
        <v>43</v>
      </c>
      <c r="Q19" s="103">
        <v>330.99999999999994</v>
      </c>
    </row>
    <row r="20" spans="1:17" x14ac:dyDescent="0.4">
      <c r="A20" s="51" t="s">
        <v>13</v>
      </c>
      <c r="B20" s="44">
        <v>76</v>
      </c>
      <c r="C20" s="37">
        <f>IF(B$3=0,0,B20/B$3)</f>
        <v>0.14785992217898833</v>
      </c>
      <c r="E20" s="59" t="s">
        <v>74</v>
      </c>
      <c r="F20" s="56" t="s">
        <v>29</v>
      </c>
      <c r="G20" s="44">
        <v>1</v>
      </c>
      <c r="H20" s="129">
        <f>IF(B$17=0,0,G20/B$17)</f>
        <v>5.9171597633136093E-3</v>
      </c>
      <c r="I20" s="90">
        <v>4</v>
      </c>
      <c r="K20" s="36">
        <v>18</v>
      </c>
      <c r="L20" s="95">
        <v>352.39999999999992</v>
      </c>
      <c r="N20" s="111" t="s">
        <v>177</v>
      </c>
      <c r="O20" s="121">
        <f>IF(P20=0,0,Q20/P20)</f>
        <v>2.4538461538461536</v>
      </c>
      <c r="P20" s="115">
        <v>13</v>
      </c>
      <c r="Q20" s="103">
        <v>31.9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81</v>
      </c>
      <c r="F21" s="56" t="s">
        <v>36</v>
      </c>
      <c r="G21" s="44">
        <v>1</v>
      </c>
      <c r="H21" s="129">
        <f>IF(B$17=0,0,G21/B$17)</f>
        <v>5.9171597633136093E-3</v>
      </c>
      <c r="I21" s="90">
        <v>8</v>
      </c>
      <c r="K21" s="36">
        <v>19</v>
      </c>
      <c r="L21" s="95">
        <v>383.19999999999993</v>
      </c>
      <c r="N21" s="111" t="s">
        <v>166</v>
      </c>
      <c r="O21" s="121">
        <f>IF(P21=0,0,Q21/P21)</f>
        <v>1.827272727272726</v>
      </c>
      <c r="P21" s="115">
        <v>22</v>
      </c>
      <c r="Q21" s="103">
        <v>40.199999999999974</v>
      </c>
    </row>
    <row r="22" spans="1:17" x14ac:dyDescent="0.4">
      <c r="A22" s="51" t="s">
        <v>170</v>
      </c>
      <c r="B22" s="44">
        <v>27</v>
      </c>
      <c r="C22" s="131">
        <v>0</v>
      </c>
      <c r="E22" s="59" t="s">
        <v>85</v>
      </c>
      <c r="F22" s="56" t="s">
        <v>40</v>
      </c>
      <c r="G22" s="44">
        <v>1</v>
      </c>
      <c r="H22" s="129">
        <f>IF(B$17=0,0,G22/B$17)</f>
        <v>5.9171597633136093E-3</v>
      </c>
      <c r="I22" s="90">
        <v>4</v>
      </c>
      <c r="K22" s="36">
        <v>20</v>
      </c>
      <c r="L22" s="95">
        <v>365.49999999999994</v>
      </c>
    </row>
    <row r="23" spans="1:17" x14ac:dyDescent="0.4">
      <c r="A23" s="51" t="s">
        <v>5</v>
      </c>
      <c r="B23" s="48">
        <f>IF(B$17=0,0,C23/B$17)</f>
        <v>7986.3905325443784</v>
      </c>
      <c r="C23" s="39">
        <v>1349700</v>
      </c>
      <c r="E23" s="59" t="s">
        <v>88</v>
      </c>
      <c r="F23" s="56" t="s">
        <v>43</v>
      </c>
      <c r="G23" s="44">
        <v>1</v>
      </c>
      <c r="H23" s="129">
        <f>IF(B$17=0,0,G23/B$17)</f>
        <v>5.9171597633136093E-3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7964.220183486239</v>
      </c>
      <c r="C24" s="137">
        <v>868100</v>
      </c>
      <c r="E24" s="59" t="s">
        <v>90</v>
      </c>
      <c r="F24" s="56" t="s">
        <v>45</v>
      </c>
      <c r="G24" s="44">
        <v>1</v>
      </c>
      <c r="H24" s="129">
        <f>IF(B$17=0,0,G24/B$17)</f>
        <v>5.9171597633136093E-3</v>
      </c>
      <c r="I24" s="90">
        <v>1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8026.666666666667</v>
      </c>
      <c r="C25" s="137">
        <v>481600</v>
      </c>
      <c r="E25" s="59" t="s">
        <v>91</v>
      </c>
      <c r="F25" s="56" t="s">
        <v>46</v>
      </c>
      <c r="G25" s="44">
        <v>1</v>
      </c>
      <c r="H25" s="129">
        <f>IF(B$17=0,0,G25/B$17)</f>
        <v>5.9171597633136093E-3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-7032.894736842105</v>
      </c>
      <c r="C26" s="137">
        <v>-534500</v>
      </c>
      <c r="E26" s="59" t="s">
        <v>95</v>
      </c>
      <c r="F26" s="56" t="s">
        <v>50</v>
      </c>
      <c r="G26" s="44">
        <v>1</v>
      </c>
      <c r="H26" s="129">
        <f>IF(B$17=0,0,G26/B$17)</f>
        <v>5.9171597633136093E-3</v>
      </c>
      <c r="I26" s="90">
        <v>1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73</v>
      </c>
      <c r="F27" s="56" t="s">
        <v>28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75</v>
      </c>
      <c r="F28" s="56" t="s">
        <v>30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76</v>
      </c>
      <c r="F29" s="56" t="s">
        <v>31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79</v>
      </c>
      <c r="F30" s="56" t="s">
        <v>34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</sheetData>
  <sortState xmlns:xlrd2="http://schemas.microsoft.com/office/spreadsheetml/2017/richdata2" ref="E2:I6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146</v>
      </c>
      <c r="H2" s="128">
        <f>IF(B$17=0,0,G2/B$17)</f>
        <v>0.91823899371069184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-1083.9285714285713</v>
      </c>
      <c r="P2" s="114">
        <v>56</v>
      </c>
      <c r="Q2" s="98">
        <v>-60700</v>
      </c>
    </row>
    <row r="3" spans="1:17" x14ac:dyDescent="0.4">
      <c r="A3" s="51" t="s">
        <v>8</v>
      </c>
      <c r="B3" s="150">
        <v>486</v>
      </c>
      <c r="C3" s="151"/>
      <c r="E3" s="59" t="s">
        <v>72</v>
      </c>
      <c r="F3" s="56" t="s">
        <v>27</v>
      </c>
      <c r="G3" s="44">
        <v>93</v>
      </c>
      <c r="H3" s="129">
        <f>IF(B$17=0,0,G3/B$17)</f>
        <v>0.58490566037735847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859.25925925925924</v>
      </c>
      <c r="P3" s="115">
        <v>54</v>
      </c>
      <c r="Q3" s="99">
        <v>46400</v>
      </c>
    </row>
    <row r="4" spans="1:17" x14ac:dyDescent="0.4">
      <c r="A4" s="51" t="s">
        <v>6</v>
      </c>
      <c r="B4" s="152">
        <v>291.09999999999985</v>
      </c>
      <c r="C4" s="153"/>
      <c r="E4" s="59" t="s">
        <v>171</v>
      </c>
      <c r="F4" s="56" t="s">
        <v>172</v>
      </c>
      <c r="G4" s="44">
        <v>68</v>
      </c>
      <c r="H4" s="129">
        <f>IF(B$17=0,0,G4/B$17)</f>
        <v>0.42767295597484278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1871.1538461538462</v>
      </c>
      <c r="P4" s="115">
        <v>52</v>
      </c>
      <c r="Q4" s="99">
        <v>97300</v>
      </c>
    </row>
    <row r="5" spans="1:17" x14ac:dyDescent="0.4">
      <c r="A5" s="51" t="s">
        <v>7</v>
      </c>
      <c r="B5" s="154">
        <f>IF(B$2=0,0,B$4/B$2)</f>
        <v>5.1070175438596461</v>
      </c>
      <c r="C5" s="155"/>
      <c r="E5" s="59" t="s">
        <v>64</v>
      </c>
      <c r="F5" s="56" t="s">
        <v>20</v>
      </c>
      <c r="G5" s="44">
        <v>66</v>
      </c>
      <c r="H5" s="129">
        <f>IF(B$17=0,0,G5/B$17)</f>
        <v>0.41509433962264153</v>
      </c>
      <c r="I5" s="90">
        <v>8</v>
      </c>
      <c r="K5" s="36">
        <v>3</v>
      </c>
      <c r="L5" s="95">
        <v>-58.599999999999994</v>
      </c>
      <c r="N5" s="111" t="s">
        <v>133</v>
      </c>
      <c r="O5" s="118">
        <f t="shared" si="0"/>
        <v>3514.2857142857142</v>
      </c>
      <c r="P5" s="115">
        <v>49</v>
      </c>
      <c r="Q5" s="99">
        <v>172200</v>
      </c>
    </row>
    <row r="6" spans="1:17" x14ac:dyDescent="0.4">
      <c r="A6" s="51" t="s">
        <v>1</v>
      </c>
      <c r="B6" s="144">
        <f>IF(B$2=0,0,(B$7*1+B$8*2+B$9*3)/B$2)</f>
        <v>1.8245614035087718</v>
      </c>
      <c r="C6" s="145"/>
      <c r="E6" s="59" t="s">
        <v>67</v>
      </c>
      <c r="F6" s="56" t="s">
        <v>23</v>
      </c>
      <c r="G6" s="44">
        <v>44</v>
      </c>
      <c r="H6" s="129">
        <f>IF(B$17=0,0,G6/B$17)</f>
        <v>0.27672955974842767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-1458.695652173913</v>
      </c>
      <c r="P6" s="115">
        <v>46</v>
      </c>
      <c r="Q6" s="99">
        <v>-67100</v>
      </c>
    </row>
    <row r="7" spans="1:17" x14ac:dyDescent="0.4">
      <c r="A7" s="51" t="s">
        <v>2</v>
      </c>
      <c r="B7" s="44">
        <v>25</v>
      </c>
      <c r="C7" s="37">
        <f t="shared" ref="C7:C12" si="1">IF(B$2=0,0,B7/B$2)</f>
        <v>0.43859649122807015</v>
      </c>
      <c r="E7" s="59" t="s">
        <v>68</v>
      </c>
      <c r="F7" s="56" t="s">
        <v>12</v>
      </c>
      <c r="G7" s="44">
        <v>43</v>
      </c>
      <c r="H7" s="129">
        <f>IF(B$17=0,0,G7/B$17)</f>
        <v>0.27044025157232704</v>
      </c>
      <c r="I7" s="90">
        <v>7</v>
      </c>
      <c r="K7" s="36">
        <v>5</v>
      </c>
      <c r="L7" s="95">
        <v>-11.299999999999994</v>
      </c>
      <c r="N7" s="112" t="s">
        <v>135</v>
      </c>
      <c r="O7" s="119">
        <f t="shared" si="0"/>
        <v>1400</v>
      </c>
      <c r="P7" s="116">
        <v>36</v>
      </c>
      <c r="Q7" s="100">
        <v>50400</v>
      </c>
    </row>
    <row r="8" spans="1:17" x14ac:dyDescent="0.4">
      <c r="A8" s="51" t="s">
        <v>3</v>
      </c>
      <c r="B8" s="44">
        <v>17</v>
      </c>
      <c r="C8" s="37">
        <f t="shared" si="1"/>
        <v>0.2982456140350877</v>
      </c>
      <c r="E8" s="59" t="s">
        <v>89</v>
      </c>
      <c r="F8" s="56" t="s">
        <v>44</v>
      </c>
      <c r="G8" s="44">
        <v>21</v>
      </c>
      <c r="H8" s="129">
        <f>IF(B$17=0,0,G8/B$17)</f>
        <v>0.13207547169811321</v>
      </c>
      <c r="I8" s="90">
        <v>5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0.26315789473684209</v>
      </c>
      <c r="E9" s="59" t="s">
        <v>69</v>
      </c>
      <c r="F9" s="56" t="s">
        <v>24</v>
      </c>
      <c r="G9" s="44">
        <v>15</v>
      </c>
      <c r="H9" s="129">
        <f>IF(B$17=0,0,G9/B$17)</f>
        <v>9.4339622641509441E-2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0.14035087719298245</v>
      </c>
      <c r="E10" s="59" t="s">
        <v>71</v>
      </c>
      <c r="F10" s="56" t="s">
        <v>26</v>
      </c>
      <c r="G10" s="44">
        <v>15</v>
      </c>
      <c r="H10" s="129">
        <f>IF(B$17=0,0,G10/B$17)</f>
        <v>9.4339622641509441E-2</v>
      </c>
      <c r="I10" s="90">
        <v>3</v>
      </c>
      <c r="K10" s="36">
        <v>8</v>
      </c>
      <c r="L10" s="95">
        <v>-56.79999999999999</v>
      </c>
      <c r="N10" s="110" t="s">
        <v>162</v>
      </c>
      <c r="O10" s="120">
        <f>IF(P10=0,0,Q10/P10)</f>
        <v>7.541176470588236</v>
      </c>
      <c r="P10" s="114">
        <v>17</v>
      </c>
      <c r="Q10" s="102">
        <v>128.20000000000002</v>
      </c>
    </row>
    <row r="11" spans="1:17" x14ac:dyDescent="0.4">
      <c r="A11" s="52" t="s">
        <v>138</v>
      </c>
      <c r="B11" s="45">
        <v>8</v>
      </c>
      <c r="C11" s="38">
        <f t="shared" si="1"/>
        <v>0.14035087719298245</v>
      </c>
      <c r="E11" s="59" t="s">
        <v>65</v>
      </c>
      <c r="F11" s="56" t="s">
        <v>21</v>
      </c>
      <c r="G11" s="44">
        <v>14</v>
      </c>
      <c r="H11" s="129">
        <f>IF(B$17=0,0,G11/B$17)</f>
        <v>8.8050314465408799E-2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7.8357142857142863</v>
      </c>
      <c r="P11" s="115">
        <v>14</v>
      </c>
      <c r="Q11" s="103">
        <v>109.7</v>
      </c>
    </row>
    <row r="12" spans="1:17" x14ac:dyDescent="0.4">
      <c r="A12" s="53" t="s">
        <v>158</v>
      </c>
      <c r="B12" s="46">
        <v>14</v>
      </c>
      <c r="C12" s="40">
        <f t="shared" si="1"/>
        <v>0.24561403508771928</v>
      </c>
      <c r="E12" s="59" t="s">
        <v>70</v>
      </c>
      <c r="F12" s="56" t="s">
        <v>25</v>
      </c>
      <c r="G12" s="44">
        <v>10</v>
      </c>
      <c r="H12" s="129">
        <f>IF(B$17=0,0,G12/B$17)</f>
        <v>6.2893081761006289E-2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2.0461538461538455</v>
      </c>
      <c r="P12" s="116">
        <v>26</v>
      </c>
      <c r="Q12" s="104">
        <v>53.199999999999989</v>
      </c>
    </row>
    <row r="13" spans="1:17" x14ac:dyDescent="0.4">
      <c r="A13" s="54" t="s">
        <v>121</v>
      </c>
      <c r="B13" s="47">
        <v>114</v>
      </c>
      <c r="C13" s="42">
        <f>IF(B$3=0,0,B13/B$3)</f>
        <v>0.23456790123456789</v>
      </c>
      <c r="E13" s="59" t="s">
        <v>86</v>
      </c>
      <c r="F13" s="56" t="s">
        <v>41</v>
      </c>
      <c r="G13" s="44">
        <v>10</v>
      </c>
      <c r="H13" s="129">
        <f>IF(B$17=0,0,G13/B$17)</f>
        <v>6.2893081761006289E-2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155</v>
      </c>
      <c r="C14" s="37">
        <f>IF(B$3=0,0,B14/B$3)</f>
        <v>0.31893004115226337</v>
      </c>
      <c r="E14" s="59" t="s">
        <v>83</v>
      </c>
      <c r="F14" s="56" t="s">
        <v>38</v>
      </c>
      <c r="G14" s="44">
        <v>7</v>
      </c>
      <c r="H14" s="129">
        <f>IF(B$17=0,0,G14/B$17)</f>
        <v>4.40251572327044E-2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65</v>
      </c>
      <c r="C15" s="35">
        <f>IF(B$13=0,0,B15/B$13)</f>
        <v>0.57017543859649122</v>
      </c>
      <c r="E15" s="59" t="s">
        <v>78</v>
      </c>
      <c r="F15" s="56" t="s">
        <v>33</v>
      </c>
      <c r="G15" s="44">
        <v>5</v>
      </c>
      <c r="H15" s="129">
        <f>IF(B$17=0,0,G15/B$17)</f>
        <v>3.1446540880503145E-2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64</v>
      </c>
      <c r="C16" s="35">
        <f>IF(B$14=0,0,B16/B$14)</f>
        <v>0.41290322580645161</v>
      </c>
      <c r="E16" s="59" t="s">
        <v>91</v>
      </c>
      <c r="F16" s="56" t="s">
        <v>46</v>
      </c>
      <c r="G16" s="44">
        <v>5</v>
      </c>
      <c r="H16" s="129">
        <f>IF(B$17=0,0,G16/B$17)</f>
        <v>3.1446540880503145E-2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49.339999999999989</v>
      </c>
      <c r="P16" s="115">
        <v>5</v>
      </c>
      <c r="Q16" s="103">
        <v>246.69999999999996</v>
      </c>
    </row>
    <row r="17" spans="1:17" x14ac:dyDescent="0.4">
      <c r="A17" s="50" t="s">
        <v>10</v>
      </c>
      <c r="B17" s="43">
        <f>B19+B18</f>
        <v>159</v>
      </c>
      <c r="C17" s="35">
        <f>IF(B$3=0,0,B17/B$3)</f>
        <v>0.3271604938271605</v>
      </c>
      <c r="E17" s="59" t="s">
        <v>79</v>
      </c>
      <c r="F17" s="56" t="s">
        <v>34</v>
      </c>
      <c r="G17" s="44">
        <v>4</v>
      </c>
      <c r="H17" s="129">
        <f>IF(B$17=0,0,G17/B$17)</f>
        <v>2.5157232704402517E-2</v>
      </c>
      <c r="I17" s="90">
        <v>3</v>
      </c>
      <c r="K17" s="36">
        <v>15</v>
      </c>
      <c r="L17" s="95">
        <v>-144.30000000000001</v>
      </c>
      <c r="N17" s="111" t="s">
        <v>178</v>
      </c>
      <c r="O17" s="121">
        <f>IF(P17=0,0,Q17/P17)</f>
        <v>21.793750000000003</v>
      </c>
      <c r="P17" s="115">
        <v>16</v>
      </c>
      <c r="Q17" s="103">
        <v>348.70000000000005</v>
      </c>
    </row>
    <row r="18" spans="1:17" x14ac:dyDescent="0.4">
      <c r="A18" s="51" t="s">
        <v>12</v>
      </c>
      <c r="B18" s="44">
        <v>59</v>
      </c>
      <c r="C18" s="37">
        <f>IF(B$17=0,0,B18/B$17)</f>
        <v>0.37106918238993708</v>
      </c>
      <c r="E18" s="59" t="s">
        <v>81</v>
      </c>
      <c r="F18" s="56" t="s">
        <v>36</v>
      </c>
      <c r="G18" s="44">
        <v>2</v>
      </c>
      <c r="H18" s="129">
        <f>IF(B$17=0,0,G18/B$17)</f>
        <v>1.2578616352201259E-2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11.680000000000001</v>
      </c>
      <c r="P18" s="115">
        <v>15</v>
      </c>
      <c r="Q18" s="103">
        <v>175.20000000000002</v>
      </c>
    </row>
    <row r="19" spans="1:17" x14ac:dyDescent="0.4">
      <c r="A19" s="51" t="s">
        <v>11</v>
      </c>
      <c r="B19" s="44">
        <v>100</v>
      </c>
      <c r="C19" s="37">
        <f>IF(B$17=0,0,B19/B$17)</f>
        <v>0.62893081761006286</v>
      </c>
      <c r="E19" s="59" t="s">
        <v>74</v>
      </c>
      <c r="F19" s="56" t="s">
        <v>29</v>
      </c>
      <c r="G19" s="44">
        <v>1</v>
      </c>
      <c r="H19" s="129">
        <f>IF(B$17=0,0,G19/B$17)</f>
        <v>6.2893081761006293E-3</v>
      </c>
      <c r="I19" s="90">
        <v>3</v>
      </c>
      <c r="K19" s="36">
        <v>17</v>
      </c>
      <c r="L19" s="95">
        <v>-179.70000000000002</v>
      </c>
      <c r="N19" s="111" t="s">
        <v>166</v>
      </c>
      <c r="O19" s="121">
        <f>IF(P19=0,0,Q19/P19)</f>
        <v>10.114285714285714</v>
      </c>
      <c r="P19" s="115">
        <v>14</v>
      </c>
      <c r="Q19" s="103">
        <v>141.6</v>
      </c>
    </row>
    <row r="20" spans="1:17" x14ac:dyDescent="0.4">
      <c r="A20" s="51" t="s">
        <v>13</v>
      </c>
      <c r="B20" s="44">
        <v>96</v>
      </c>
      <c r="C20" s="37">
        <f>IF(B$3=0,0,B20/B$3)</f>
        <v>0.19753086419753085</v>
      </c>
      <c r="E20" s="59" t="s">
        <v>167</v>
      </c>
      <c r="F20" s="56" t="s">
        <v>168</v>
      </c>
      <c r="G20" s="44">
        <v>1</v>
      </c>
      <c r="H20" s="129">
        <f>IF(B$17=0,0,G20/B$17)</f>
        <v>6.2893081761006293E-3</v>
      </c>
      <c r="I20" s="90">
        <v>5</v>
      </c>
      <c r="K20" s="36">
        <v>18</v>
      </c>
      <c r="L20" s="95">
        <v>-112.90000000000002</v>
      </c>
      <c r="N20" s="111" t="s">
        <v>179</v>
      </c>
      <c r="O20" s="121">
        <f>IF(P20=0,0,Q20/P20)</f>
        <v>9.1166666666666671</v>
      </c>
      <c r="P20" s="115">
        <v>18</v>
      </c>
      <c r="Q20" s="103">
        <v>164.10000000000002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-162.40000000000003</v>
      </c>
      <c r="N21" s="111" t="s">
        <v>126</v>
      </c>
      <c r="O21" s="121">
        <f>IF(P21=0,0,Q21/P21)</f>
        <v>-7.6976744186046488</v>
      </c>
      <c r="P21" s="115">
        <v>43</v>
      </c>
      <c r="Q21" s="103">
        <v>-330.99999999999989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-96.000000000000028</v>
      </c>
      <c r="N22" s="111" t="s">
        <v>181</v>
      </c>
      <c r="O22" s="121">
        <f>IF(P22=0,0,Q22/P22)</f>
        <v>-22.6</v>
      </c>
      <c r="P22" s="115">
        <v>1</v>
      </c>
      <c r="Q22" s="103">
        <v>-22.6</v>
      </c>
    </row>
    <row r="23" spans="1:17" x14ac:dyDescent="0.4">
      <c r="A23" s="51" t="s">
        <v>5</v>
      </c>
      <c r="B23" s="48">
        <f>IF(B$17=0,0,C23/B$17)</f>
        <v>8425.7861635220124</v>
      </c>
      <c r="C23" s="39">
        <v>1339700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9144.21052631579</v>
      </c>
      <c r="C24" s="137">
        <v>868700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7359.375</v>
      </c>
      <c r="C25" s="137">
        <v>471000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-7863.541666666667</v>
      </c>
      <c r="C26" s="137">
        <v>-754900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2</v>
      </c>
      <c r="C29" s="40">
        <f>IF(B$3=0,0,B29/B$3)</f>
        <v>4.11522633744856E-3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-34.100000000000037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-16.100000000000037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</sheetData>
  <sortState xmlns:xlrd2="http://schemas.microsoft.com/office/spreadsheetml/2017/richdata2" ref="E2:I6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34</v>
      </c>
      <c r="C2" s="149"/>
      <c r="E2" s="58" t="s">
        <v>66</v>
      </c>
      <c r="F2" s="55" t="s">
        <v>22</v>
      </c>
      <c r="G2" s="43">
        <v>62</v>
      </c>
      <c r="H2" s="128">
        <f>IF(B$17=0,0,G2/B$17)</f>
        <v>0.73809523809523814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378.78787878787881</v>
      </c>
      <c r="P2" s="114">
        <v>33</v>
      </c>
      <c r="Q2" s="98">
        <v>12500</v>
      </c>
    </row>
    <row r="3" spans="1:17" x14ac:dyDescent="0.4">
      <c r="A3" s="51" t="s">
        <v>8</v>
      </c>
      <c r="B3" s="150">
        <v>295</v>
      </c>
      <c r="C3" s="151"/>
      <c r="E3" s="59" t="s">
        <v>64</v>
      </c>
      <c r="F3" s="56" t="s">
        <v>20</v>
      </c>
      <c r="G3" s="44">
        <v>49</v>
      </c>
      <c r="H3" s="129">
        <f>IF(B$17=0,0,G3/B$17)</f>
        <v>0.58333333333333337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-1384.8484848484848</v>
      </c>
      <c r="P3" s="115">
        <v>33</v>
      </c>
      <c r="Q3" s="99">
        <v>-45700</v>
      </c>
    </row>
    <row r="4" spans="1:17" x14ac:dyDescent="0.4">
      <c r="A4" s="51" t="s">
        <v>6</v>
      </c>
      <c r="B4" s="152">
        <v>-236.8</v>
      </c>
      <c r="C4" s="153"/>
      <c r="E4" s="59" t="s">
        <v>72</v>
      </c>
      <c r="F4" s="56" t="s">
        <v>27</v>
      </c>
      <c r="G4" s="44">
        <v>45</v>
      </c>
      <c r="H4" s="129">
        <f>IF(B$17=0,0,G4/B$17)</f>
        <v>0.5357142857142857</v>
      </c>
      <c r="I4" s="90">
        <v>6</v>
      </c>
      <c r="K4" s="36">
        <v>2</v>
      </c>
      <c r="L4" s="95">
        <v>-30.099999999999998</v>
      </c>
      <c r="N4" s="111" t="s">
        <v>132</v>
      </c>
      <c r="O4" s="118">
        <f t="shared" si="0"/>
        <v>2228.125</v>
      </c>
      <c r="P4" s="115">
        <v>32</v>
      </c>
      <c r="Q4" s="99">
        <v>71300</v>
      </c>
    </row>
    <row r="5" spans="1:17" x14ac:dyDescent="0.4">
      <c r="A5" s="51" t="s">
        <v>7</v>
      </c>
      <c r="B5" s="154">
        <f>IF(B$2=0,0,B$4/B$2)</f>
        <v>-6.9647058823529413</v>
      </c>
      <c r="C5" s="155"/>
      <c r="E5" s="59" t="s">
        <v>171</v>
      </c>
      <c r="F5" s="56" t="s">
        <v>172</v>
      </c>
      <c r="G5" s="44">
        <v>30</v>
      </c>
      <c r="H5" s="129">
        <f>IF(B$17=0,0,G5/B$17)</f>
        <v>0.35714285714285715</v>
      </c>
      <c r="I5" s="90">
        <v>6</v>
      </c>
      <c r="K5" s="36">
        <v>3</v>
      </c>
      <c r="L5" s="95">
        <v>-17.599999999999998</v>
      </c>
      <c r="N5" s="111" t="s">
        <v>133</v>
      </c>
      <c r="O5" s="118">
        <f t="shared" si="0"/>
        <v>-1858.0645161290322</v>
      </c>
      <c r="P5" s="115">
        <v>31</v>
      </c>
      <c r="Q5" s="99">
        <v>-57600</v>
      </c>
    </row>
    <row r="6" spans="1:17" x14ac:dyDescent="0.4">
      <c r="A6" s="51" t="s">
        <v>1</v>
      </c>
      <c r="B6" s="144">
        <f>IF(B$2=0,0,(B$7*1+B$8*2+B$9*3)/B$2)</f>
        <v>2.2352941176470589</v>
      </c>
      <c r="C6" s="145"/>
      <c r="E6" s="59" t="s">
        <v>67</v>
      </c>
      <c r="F6" s="56" t="s">
        <v>23</v>
      </c>
      <c r="G6" s="44">
        <v>27</v>
      </c>
      <c r="H6" s="129">
        <f>IF(B$17=0,0,G6/B$17)</f>
        <v>0.32142857142857145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-3726.6666666666665</v>
      </c>
      <c r="P6" s="115">
        <v>30</v>
      </c>
      <c r="Q6" s="99">
        <v>-111800</v>
      </c>
    </row>
    <row r="7" spans="1:17" x14ac:dyDescent="0.4">
      <c r="A7" s="51" t="s">
        <v>2</v>
      </c>
      <c r="B7" s="44">
        <v>7</v>
      </c>
      <c r="C7" s="37">
        <f t="shared" ref="C7:C12" si="1">IF(B$2=0,0,B7/B$2)</f>
        <v>0.20588235294117646</v>
      </c>
      <c r="E7" s="59" t="s">
        <v>68</v>
      </c>
      <c r="F7" s="56" t="s">
        <v>12</v>
      </c>
      <c r="G7" s="44">
        <v>22</v>
      </c>
      <c r="H7" s="129">
        <f>IF(B$17=0,0,G7/B$17)</f>
        <v>0.26190476190476192</v>
      </c>
      <c r="I7" s="90">
        <v>9</v>
      </c>
      <c r="K7" s="36">
        <v>5</v>
      </c>
      <c r="L7" s="95">
        <v>-33.699999999999989</v>
      </c>
      <c r="N7" s="112" t="s">
        <v>135</v>
      </c>
      <c r="O7" s="119">
        <f t="shared" si="0"/>
        <v>-2025.9259259259259</v>
      </c>
      <c r="P7" s="116">
        <v>27</v>
      </c>
      <c r="Q7" s="100">
        <v>-54700</v>
      </c>
    </row>
    <row r="8" spans="1:17" x14ac:dyDescent="0.4">
      <c r="A8" s="51" t="s">
        <v>3</v>
      </c>
      <c r="B8" s="44">
        <v>12</v>
      </c>
      <c r="C8" s="37">
        <f t="shared" si="1"/>
        <v>0.35294117647058826</v>
      </c>
      <c r="E8" s="59" t="s">
        <v>69</v>
      </c>
      <c r="F8" s="56" t="s">
        <v>24</v>
      </c>
      <c r="G8" s="44">
        <v>11</v>
      </c>
      <c r="H8" s="129">
        <f>IF(B$17=0,0,G8/B$17)</f>
        <v>0.13095238095238096</v>
      </c>
      <c r="I8" s="90">
        <v>5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0.44117647058823528</v>
      </c>
      <c r="E9" s="59" t="s">
        <v>70</v>
      </c>
      <c r="F9" s="56" t="s">
        <v>25</v>
      </c>
      <c r="G9" s="44">
        <v>10</v>
      </c>
      <c r="H9" s="129">
        <f>IF(B$17=0,0,G9/B$17)</f>
        <v>0.11904761904761904</v>
      </c>
      <c r="I9" s="90">
        <v>3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5.8823529411764705E-2</v>
      </c>
      <c r="E10" s="59" t="s">
        <v>65</v>
      </c>
      <c r="F10" s="56" t="s">
        <v>21</v>
      </c>
      <c r="G10" s="44">
        <v>9</v>
      </c>
      <c r="H10" s="129">
        <f>IF(B$17=0,0,G10/B$17)</f>
        <v>0.10714285714285714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2.899999999999999</v>
      </c>
      <c r="P10" s="114">
        <v>13</v>
      </c>
      <c r="Q10" s="102">
        <v>37.699999999999989</v>
      </c>
    </row>
    <row r="11" spans="1:17" x14ac:dyDescent="0.4">
      <c r="A11" s="52" t="s">
        <v>138</v>
      </c>
      <c r="B11" s="45">
        <v>2</v>
      </c>
      <c r="C11" s="38">
        <f t="shared" si="1"/>
        <v>5.8823529411764705E-2</v>
      </c>
      <c r="E11" s="59" t="s">
        <v>89</v>
      </c>
      <c r="F11" s="56" t="s">
        <v>44</v>
      </c>
      <c r="G11" s="44">
        <v>8</v>
      </c>
      <c r="H11" s="129">
        <f>IF(B$17=0,0,G11/B$17)</f>
        <v>9.5238095238095233E-2</v>
      </c>
      <c r="I11" s="90">
        <v>7</v>
      </c>
      <c r="K11" s="36">
        <v>9</v>
      </c>
      <c r="L11" s="95">
        <v>-74.199999999999989</v>
      </c>
      <c r="N11" s="111" t="s">
        <v>163</v>
      </c>
      <c r="O11" s="121">
        <f>IF(P11=0,0,Q11/P11)</f>
        <v>-11.68</v>
      </c>
      <c r="P11" s="115">
        <v>10</v>
      </c>
      <c r="Q11" s="103">
        <v>-116.8</v>
      </c>
    </row>
    <row r="12" spans="1:17" x14ac:dyDescent="0.4">
      <c r="A12" s="53" t="s">
        <v>158</v>
      </c>
      <c r="B12" s="46">
        <v>2</v>
      </c>
      <c r="C12" s="40">
        <f t="shared" si="1"/>
        <v>5.8823529411764705E-2</v>
      </c>
      <c r="E12" s="59" t="s">
        <v>83</v>
      </c>
      <c r="F12" s="56" t="s">
        <v>38</v>
      </c>
      <c r="G12" s="44">
        <v>7</v>
      </c>
      <c r="H12" s="129">
        <f>IF(B$17=0,0,G12/B$17)</f>
        <v>8.3333333333333329E-2</v>
      </c>
      <c r="I12" s="90">
        <v>3</v>
      </c>
      <c r="K12" s="36">
        <v>10</v>
      </c>
      <c r="L12" s="95">
        <v>-117.19999999999999</v>
      </c>
      <c r="N12" s="112" t="s">
        <v>164</v>
      </c>
      <c r="O12" s="122">
        <f>IF(P12=0,0,Q12/P12)</f>
        <v>-14.336363636363636</v>
      </c>
      <c r="P12" s="116">
        <v>11</v>
      </c>
      <c r="Q12" s="104">
        <v>-157.69999999999999</v>
      </c>
    </row>
    <row r="13" spans="1:17" x14ac:dyDescent="0.4">
      <c r="A13" s="54" t="s">
        <v>121</v>
      </c>
      <c r="B13" s="47">
        <v>83</v>
      </c>
      <c r="C13" s="42">
        <f>IF(B$3=0,0,B13/B$3)</f>
        <v>0.28135593220338984</v>
      </c>
      <c r="E13" s="59" t="s">
        <v>71</v>
      </c>
      <c r="F13" s="56" t="s">
        <v>26</v>
      </c>
      <c r="G13" s="44">
        <v>5</v>
      </c>
      <c r="H13" s="129">
        <f>IF(B$17=0,0,G13/B$17)</f>
        <v>5.9523809523809521E-2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52</v>
      </c>
      <c r="C14" s="37">
        <f>IF(B$3=0,0,B14/B$3)</f>
        <v>0.17627118644067796</v>
      </c>
      <c r="E14" s="59" t="s">
        <v>86</v>
      </c>
      <c r="F14" s="56" t="s">
        <v>41</v>
      </c>
      <c r="G14" s="44">
        <v>3</v>
      </c>
      <c r="H14" s="129">
        <f>IF(B$17=0,0,G14/B$17)</f>
        <v>3.5714285714285712E-2</v>
      </c>
      <c r="I14" s="90">
        <v>8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49</v>
      </c>
      <c r="C15" s="35">
        <f>IF(B$13=0,0,B15/B$13)</f>
        <v>0.59036144578313254</v>
      </c>
      <c r="E15" s="59" t="s">
        <v>78</v>
      </c>
      <c r="F15" s="56" t="s">
        <v>33</v>
      </c>
      <c r="G15" s="44">
        <v>2</v>
      </c>
      <c r="H15" s="129">
        <f>IF(B$17=0,0,G15/B$17)</f>
        <v>2.3809523809523808E-2</v>
      </c>
      <c r="I15" s="90">
        <v>4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22</v>
      </c>
      <c r="C16" s="35">
        <f>IF(B$14=0,0,B16/B$14)</f>
        <v>0.42307692307692307</v>
      </c>
      <c r="E16" s="59" t="s">
        <v>81</v>
      </c>
      <c r="F16" s="56" t="s">
        <v>36</v>
      </c>
      <c r="G16" s="44">
        <v>2</v>
      </c>
      <c r="H16" s="129">
        <f>IF(B$17=0,0,G16/B$17)</f>
        <v>2.3809523809523808E-2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18.45</v>
      </c>
      <c r="P16" s="115">
        <v>10</v>
      </c>
      <c r="Q16" s="103">
        <v>184.5</v>
      </c>
    </row>
    <row r="17" spans="1:17" x14ac:dyDescent="0.4">
      <c r="A17" s="50" t="s">
        <v>10</v>
      </c>
      <c r="B17" s="43">
        <f>B19+B18</f>
        <v>84</v>
      </c>
      <c r="C17" s="35">
        <f>IF(B$3=0,0,B17/B$3)</f>
        <v>0.28474576271186441</v>
      </c>
      <c r="E17" s="59" t="s">
        <v>75</v>
      </c>
      <c r="F17" s="56" t="s">
        <v>30</v>
      </c>
      <c r="G17" s="44">
        <v>1</v>
      </c>
      <c r="H17" s="129">
        <f>IF(B$17=0,0,G17/B$17)</f>
        <v>1.1904761904761904E-2</v>
      </c>
      <c r="I17" s="90">
        <v>3</v>
      </c>
      <c r="K17" s="36">
        <v>15</v>
      </c>
      <c r="L17" s="95">
        <v>-221.5</v>
      </c>
      <c r="N17" s="111" t="s">
        <v>127</v>
      </c>
      <c r="O17" s="121">
        <f>IF(P17=0,0,Q17/P17)</f>
        <v>-9.1166666666666671</v>
      </c>
      <c r="P17" s="115">
        <v>18</v>
      </c>
      <c r="Q17" s="103">
        <v>-164.10000000000002</v>
      </c>
    </row>
    <row r="18" spans="1:17" x14ac:dyDescent="0.4">
      <c r="A18" s="51" t="s">
        <v>12</v>
      </c>
      <c r="B18" s="44">
        <v>33</v>
      </c>
      <c r="C18" s="37">
        <f>IF(B$17=0,0,B18/B$17)</f>
        <v>0.39285714285714285</v>
      </c>
      <c r="E18" s="59" t="s">
        <v>79</v>
      </c>
      <c r="F18" s="56" t="s">
        <v>34</v>
      </c>
      <c r="G18" s="44">
        <v>1</v>
      </c>
      <c r="H18" s="129">
        <f>IF(B$17=0,0,G18/B$17)</f>
        <v>1.1904761904761904E-2</v>
      </c>
      <c r="I18" s="90">
        <v>5</v>
      </c>
      <c r="K18" s="36">
        <v>16</v>
      </c>
      <c r="L18" s="95">
        <v>-224.3</v>
      </c>
      <c r="N18" s="111" t="s">
        <v>181</v>
      </c>
      <c r="O18" s="121">
        <f>IF(P18=0,0,Q18/P18)</f>
        <v>-11.459999999999997</v>
      </c>
      <c r="P18" s="115">
        <v>5</v>
      </c>
      <c r="Q18" s="103">
        <v>-57.299999999999983</v>
      </c>
    </row>
    <row r="19" spans="1:17" x14ac:dyDescent="0.4">
      <c r="A19" s="51" t="s">
        <v>11</v>
      </c>
      <c r="B19" s="44">
        <v>51</v>
      </c>
      <c r="C19" s="37">
        <f>IF(B$17=0,0,B19/B$17)</f>
        <v>0.6071428571428571</v>
      </c>
      <c r="E19" s="59" t="s">
        <v>91</v>
      </c>
      <c r="F19" s="56" t="s">
        <v>46</v>
      </c>
      <c r="G19" s="44">
        <v>1</v>
      </c>
      <c r="H19" s="129">
        <f>IF(B$17=0,0,G19/B$17)</f>
        <v>1.1904761904761904E-2</v>
      </c>
      <c r="I19" s="90">
        <v>5</v>
      </c>
      <c r="K19" s="36">
        <v>17</v>
      </c>
      <c r="L19" s="95">
        <v>-251.4</v>
      </c>
      <c r="N19" s="111" t="s">
        <v>126</v>
      </c>
      <c r="O19" s="121">
        <f>IF(P19=0,0,Q19/P19)</f>
        <v>-16.195652173913047</v>
      </c>
      <c r="P19" s="115">
        <v>23</v>
      </c>
      <c r="Q19" s="103">
        <v>-372.50000000000006</v>
      </c>
    </row>
    <row r="20" spans="1:17" x14ac:dyDescent="0.4">
      <c r="A20" s="51" t="s">
        <v>13</v>
      </c>
      <c r="B20" s="44">
        <v>58</v>
      </c>
      <c r="C20" s="37">
        <f>IF(B$3=0,0,B20/B$3)</f>
        <v>0.19661016949152543</v>
      </c>
      <c r="E20" s="59" t="s">
        <v>167</v>
      </c>
      <c r="F20" s="56" t="s">
        <v>168</v>
      </c>
      <c r="G20" s="44">
        <v>1</v>
      </c>
      <c r="H20" s="129">
        <f>IF(B$17=0,0,G20/B$17)</f>
        <v>1.1904761904761904E-2</v>
      </c>
      <c r="I20" s="90">
        <v>2</v>
      </c>
      <c r="K20" s="36">
        <v>18</v>
      </c>
      <c r="L20" s="95">
        <v>-240</v>
      </c>
      <c r="N20" s="111" t="s">
        <v>178</v>
      </c>
      <c r="O20" s="121">
        <f>IF(P20=0,0,Q20/P20)</f>
        <v>-26.299999999999997</v>
      </c>
      <c r="P20" s="115">
        <v>8</v>
      </c>
      <c r="Q20" s="103">
        <v>-210.39999999999998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-218</v>
      </c>
      <c r="N21" s="111" t="s">
        <v>177</v>
      </c>
      <c r="O21" s="121">
        <f>IF(P21=0,0,Q21/P21)</f>
        <v>-29.9</v>
      </c>
      <c r="P21" s="115">
        <v>2</v>
      </c>
      <c r="Q21" s="103">
        <v>-59.8</v>
      </c>
    </row>
    <row r="22" spans="1:17" x14ac:dyDescent="0.4">
      <c r="A22" s="51" t="s">
        <v>170</v>
      </c>
      <c r="B22" s="44">
        <v>21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7525</v>
      </c>
      <c r="C23" s="39">
        <v>632100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7988.7096774193551</v>
      </c>
      <c r="C24" s="137">
        <v>495300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6218.181818181818</v>
      </c>
      <c r="C25" s="137">
        <v>136800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-7244.8275862068967</v>
      </c>
      <c r="C26" s="137">
        <v>-420200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6.7796610169491523E-3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33</v>
      </c>
      <c r="C2" s="149"/>
      <c r="E2" s="58" t="s">
        <v>66</v>
      </c>
      <c r="F2" s="55" t="s">
        <v>22</v>
      </c>
      <c r="G2" s="43">
        <v>58</v>
      </c>
      <c r="H2" s="128">
        <f>IF(B$17=0,0,G2/B$17)</f>
        <v>0.8529411764705882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2139.3939393939395</v>
      </c>
      <c r="P2" s="114">
        <v>33</v>
      </c>
      <c r="Q2" s="98">
        <v>70600</v>
      </c>
    </row>
    <row r="3" spans="1:17" x14ac:dyDescent="0.4">
      <c r="A3" s="51" t="s">
        <v>8</v>
      </c>
      <c r="B3" s="150">
        <v>252</v>
      </c>
      <c r="C3" s="151"/>
      <c r="E3" s="59" t="s">
        <v>72</v>
      </c>
      <c r="F3" s="56" t="s">
        <v>27</v>
      </c>
      <c r="G3" s="44">
        <v>48</v>
      </c>
      <c r="H3" s="129">
        <f>IF(B$17=0,0,G3/B$17)</f>
        <v>0.70588235294117652</v>
      </c>
      <c r="I3" s="90">
        <v>2</v>
      </c>
      <c r="K3" s="36">
        <v>1</v>
      </c>
      <c r="L3" s="95">
        <v>-9.1</v>
      </c>
      <c r="N3" s="111" t="s">
        <v>131</v>
      </c>
      <c r="O3" s="118">
        <f t="shared" si="0"/>
        <v>-2509.6774193548385</v>
      </c>
      <c r="P3" s="115">
        <v>31</v>
      </c>
      <c r="Q3" s="99">
        <v>-77800</v>
      </c>
    </row>
    <row r="4" spans="1:17" x14ac:dyDescent="0.4">
      <c r="A4" s="51" t="s">
        <v>6</v>
      </c>
      <c r="B4" s="152">
        <v>112.00000000000004</v>
      </c>
      <c r="C4" s="153"/>
      <c r="E4" s="59" t="s">
        <v>64</v>
      </c>
      <c r="F4" s="56" t="s">
        <v>20</v>
      </c>
      <c r="G4" s="44">
        <v>31</v>
      </c>
      <c r="H4" s="129">
        <f>IF(B$17=0,0,G4/B$17)</f>
        <v>0.45588235294117646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1334.4827586206898</v>
      </c>
      <c r="P4" s="115">
        <v>29</v>
      </c>
      <c r="Q4" s="99">
        <v>38700</v>
      </c>
    </row>
    <row r="5" spans="1:17" x14ac:dyDescent="0.4">
      <c r="A5" s="51" t="s">
        <v>7</v>
      </c>
      <c r="B5" s="154">
        <f>IF(B$2=0,0,B$4/B$2)</f>
        <v>3.3939393939393954</v>
      </c>
      <c r="C5" s="155"/>
      <c r="E5" s="59" t="s">
        <v>67</v>
      </c>
      <c r="F5" s="56" t="s">
        <v>23</v>
      </c>
      <c r="G5" s="44">
        <v>29</v>
      </c>
      <c r="H5" s="129">
        <f>IF(B$17=0,0,G5/B$17)</f>
        <v>0.4264705882352941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4059.2592592592591</v>
      </c>
      <c r="P5" s="115">
        <v>27</v>
      </c>
      <c r="Q5" s="99">
        <v>109600</v>
      </c>
    </row>
    <row r="6" spans="1:17" x14ac:dyDescent="0.4">
      <c r="A6" s="51" t="s">
        <v>1</v>
      </c>
      <c r="B6" s="144">
        <f>IF(B$2=0,0,(B$7*1+B$8*2+B$9*3)/B$2)</f>
        <v>1.8484848484848484</v>
      </c>
      <c r="C6" s="145"/>
      <c r="E6" s="59" t="s">
        <v>171</v>
      </c>
      <c r="F6" s="56" t="s">
        <v>172</v>
      </c>
      <c r="G6" s="44">
        <v>27</v>
      </c>
      <c r="H6" s="129">
        <f>IF(B$17=0,0,G6/B$17)</f>
        <v>0.39705882352941174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-2054.1666666666665</v>
      </c>
      <c r="P6" s="115">
        <v>24</v>
      </c>
      <c r="Q6" s="99">
        <v>-49300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0.42424242424242425</v>
      </c>
      <c r="E7" s="59" t="s">
        <v>68</v>
      </c>
      <c r="F7" s="56" t="s">
        <v>12</v>
      </c>
      <c r="G7" s="44">
        <v>23</v>
      </c>
      <c r="H7" s="129">
        <f>IF(B$17=0,0,G7/B$17)</f>
        <v>0.33823529411764708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-2088.8888888888887</v>
      </c>
      <c r="P7" s="116">
        <v>18</v>
      </c>
      <c r="Q7" s="100">
        <v>-37600</v>
      </c>
    </row>
    <row r="8" spans="1:17" x14ac:dyDescent="0.4">
      <c r="A8" s="51" t="s">
        <v>3</v>
      </c>
      <c r="B8" s="44">
        <v>10</v>
      </c>
      <c r="C8" s="37">
        <f t="shared" si="1"/>
        <v>0.30303030303030304</v>
      </c>
      <c r="E8" s="59" t="s">
        <v>89</v>
      </c>
      <c r="F8" s="56" t="s">
        <v>44</v>
      </c>
      <c r="G8" s="44">
        <v>18</v>
      </c>
      <c r="H8" s="129">
        <f>IF(B$17=0,0,G8/B$17)</f>
        <v>0.26470588235294118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0.27272727272727271</v>
      </c>
      <c r="E9" s="59" t="s">
        <v>69</v>
      </c>
      <c r="F9" s="56" t="s">
        <v>24</v>
      </c>
      <c r="G9" s="44">
        <v>14</v>
      </c>
      <c r="H9" s="129">
        <f>IF(B$17=0,0,G9/B$17)</f>
        <v>0.20588235294117646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0.15151515151515152</v>
      </c>
      <c r="E10" s="59" t="s">
        <v>65</v>
      </c>
      <c r="F10" s="56" t="s">
        <v>21</v>
      </c>
      <c r="G10" s="44">
        <v>5</v>
      </c>
      <c r="H10" s="129">
        <f>IF(B$17=0,0,G10/B$17)</f>
        <v>7.3529411764705885E-2</v>
      </c>
      <c r="I10" s="90">
        <v>9</v>
      </c>
      <c r="K10" s="36">
        <v>8</v>
      </c>
      <c r="L10" s="95">
        <v>-110.19999999999999</v>
      </c>
      <c r="N10" s="110" t="s">
        <v>162</v>
      </c>
      <c r="O10" s="120">
        <f>IF(P10=0,0,Q10/P10)</f>
        <v>9.3833333333333346</v>
      </c>
      <c r="P10" s="114">
        <v>12</v>
      </c>
      <c r="Q10" s="102">
        <v>112.60000000000002</v>
      </c>
    </row>
    <row r="11" spans="1:17" x14ac:dyDescent="0.4">
      <c r="A11" s="52" t="s">
        <v>138</v>
      </c>
      <c r="B11" s="45">
        <v>7</v>
      </c>
      <c r="C11" s="38">
        <f t="shared" si="1"/>
        <v>0.21212121212121213</v>
      </c>
      <c r="E11" s="59" t="s">
        <v>83</v>
      </c>
      <c r="F11" s="56" t="s">
        <v>38</v>
      </c>
      <c r="G11" s="44">
        <v>4</v>
      </c>
      <c r="H11" s="129">
        <f>IF(B$17=0,0,G11/B$17)</f>
        <v>5.8823529411764705E-2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2.3615384615384607</v>
      </c>
      <c r="P11" s="115">
        <v>13</v>
      </c>
      <c r="Q11" s="103">
        <v>30.699999999999989</v>
      </c>
    </row>
    <row r="12" spans="1:17" x14ac:dyDescent="0.4">
      <c r="A12" s="53" t="s">
        <v>158</v>
      </c>
      <c r="B12" s="46">
        <v>3</v>
      </c>
      <c r="C12" s="40">
        <f t="shared" si="1"/>
        <v>9.0909090909090912E-2</v>
      </c>
      <c r="E12" s="59" t="s">
        <v>70</v>
      </c>
      <c r="F12" s="56" t="s">
        <v>25</v>
      </c>
      <c r="G12" s="44">
        <v>3</v>
      </c>
      <c r="H12" s="129">
        <f>IF(B$17=0,0,G12/B$17)</f>
        <v>4.4117647058823532E-2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-3.9124999999999983</v>
      </c>
      <c r="P12" s="116">
        <v>8</v>
      </c>
      <c r="Q12" s="104">
        <v>-31.299999999999986</v>
      </c>
    </row>
    <row r="13" spans="1:17" x14ac:dyDescent="0.4">
      <c r="A13" s="54" t="s">
        <v>121</v>
      </c>
      <c r="B13" s="47">
        <v>71</v>
      </c>
      <c r="C13" s="42">
        <f>IF(B$3=0,0,B13/B$3)</f>
        <v>0.28174603174603174</v>
      </c>
      <c r="E13" s="59" t="s">
        <v>71</v>
      </c>
      <c r="F13" s="56" t="s">
        <v>26</v>
      </c>
      <c r="G13" s="44">
        <v>3</v>
      </c>
      <c r="H13" s="129">
        <f>IF(B$17=0,0,G13/B$17)</f>
        <v>4.4117647058823532E-2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52</v>
      </c>
      <c r="C14" s="37">
        <f>IF(B$3=0,0,B14/B$3)</f>
        <v>0.20634920634920634</v>
      </c>
      <c r="E14" s="59" t="s">
        <v>92</v>
      </c>
      <c r="F14" s="56" t="s">
        <v>47</v>
      </c>
      <c r="G14" s="44">
        <v>3</v>
      </c>
      <c r="H14" s="129">
        <f>IF(B$17=0,0,G14/B$17)</f>
        <v>4.4117647058823532E-2</v>
      </c>
      <c r="I14" s="90">
        <v>1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0.43661971830985913</v>
      </c>
      <c r="E15" s="59" t="s">
        <v>81</v>
      </c>
      <c r="F15" s="56" t="s">
        <v>36</v>
      </c>
      <c r="G15" s="44">
        <v>2</v>
      </c>
      <c r="H15" s="129">
        <f>IF(B$17=0,0,G15/B$17)</f>
        <v>2.9411764705882353E-2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27</v>
      </c>
      <c r="C16" s="35">
        <f>IF(B$14=0,0,B16/B$14)</f>
        <v>0.51923076923076927</v>
      </c>
      <c r="E16" s="59" t="s">
        <v>86</v>
      </c>
      <c r="F16" s="56" t="s">
        <v>41</v>
      </c>
      <c r="G16" s="44">
        <v>2</v>
      </c>
      <c r="H16" s="129">
        <f>IF(B$17=0,0,G16/B$17)</f>
        <v>2.9411764705882353E-2</v>
      </c>
      <c r="I16" s="90">
        <v>9</v>
      </c>
      <c r="K16" s="36">
        <v>14</v>
      </c>
      <c r="L16" s="95">
        <v>-86.499999999999972</v>
      </c>
      <c r="N16" s="111" t="s">
        <v>166</v>
      </c>
      <c r="O16" s="121">
        <f>IF(P16=0,0,Q16/P16)</f>
        <v>53.050000000000004</v>
      </c>
      <c r="P16" s="115">
        <v>2</v>
      </c>
      <c r="Q16" s="103">
        <v>106.10000000000001</v>
      </c>
    </row>
    <row r="17" spans="1:17" x14ac:dyDescent="0.4">
      <c r="A17" s="50" t="s">
        <v>10</v>
      </c>
      <c r="B17" s="43">
        <f>B19+B18</f>
        <v>68</v>
      </c>
      <c r="C17" s="35">
        <f>IF(B$3=0,0,B17/B$3)</f>
        <v>0.26984126984126983</v>
      </c>
      <c r="E17" s="59" t="s">
        <v>75</v>
      </c>
      <c r="F17" s="56" t="s">
        <v>30</v>
      </c>
      <c r="G17" s="44">
        <v>1</v>
      </c>
      <c r="H17" s="129">
        <f>IF(B$17=0,0,G17/B$17)</f>
        <v>1.4705882352941176E-2</v>
      </c>
      <c r="I17" s="90">
        <v>2</v>
      </c>
      <c r="K17" s="36">
        <v>15</v>
      </c>
      <c r="L17" s="95">
        <v>-101.79999999999997</v>
      </c>
      <c r="N17" s="111" t="s">
        <v>179</v>
      </c>
      <c r="O17" s="121">
        <f>IF(P17=0,0,Q17/P17)</f>
        <v>29.9</v>
      </c>
      <c r="P17" s="115">
        <v>2</v>
      </c>
      <c r="Q17" s="103">
        <v>59.8</v>
      </c>
    </row>
    <row r="18" spans="1:17" x14ac:dyDescent="0.4">
      <c r="A18" s="51" t="s">
        <v>12</v>
      </c>
      <c r="B18" s="44">
        <v>30</v>
      </c>
      <c r="C18" s="37">
        <f>IF(B$17=0,0,B18/B$17)</f>
        <v>0.44117647058823528</v>
      </c>
      <c r="E18" s="59" t="s">
        <v>85</v>
      </c>
      <c r="F18" s="56" t="s">
        <v>40</v>
      </c>
      <c r="G18" s="44">
        <v>1</v>
      </c>
      <c r="H18" s="129">
        <f>IF(B$17=0,0,G18/B$17)</f>
        <v>1.4705882352941176E-2</v>
      </c>
      <c r="I18" s="90">
        <v>2</v>
      </c>
      <c r="K18" s="36">
        <v>16</v>
      </c>
      <c r="L18" s="95">
        <v>-63.099999999999966</v>
      </c>
      <c r="N18" s="111" t="s">
        <v>182</v>
      </c>
      <c r="O18" s="121">
        <f>IF(P18=0,0,Q18/P18)</f>
        <v>20.209090909090907</v>
      </c>
      <c r="P18" s="115">
        <v>11</v>
      </c>
      <c r="Q18" s="103">
        <v>222.29999999999998</v>
      </c>
    </row>
    <row r="19" spans="1:17" x14ac:dyDescent="0.4">
      <c r="A19" s="51" t="s">
        <v>11</v>
      </c>
      <c r="B19" s="44">
        <v>38</v>
      </c>
      <c r="C19" s="37">
        <f>IF(B$17=0,0,B19/B$17)</f>
        <v>0.55882352941176472</v>
      </c>
      <c r="E19" s="59" t="s">
        <v>91</v>
      </c>
      <c r="F19" s="56" t="s">
        <v>46</v>
      </c>
      <c r="G19" s="44">
        <v>1</v>
      </c>
      <c r="H19" s="129">
        <f>IF(B$17=0,0,G19/B$17)</f>
        <v>1.4705882352941176E-2</v>
      </c>
      <c r="I19" s="90">
        <v>3</v>
      </c>
      <c r="K19" s="36">
        <v>17</v>
      </c>
      <c r="L19" s="95">
        <v>-55.799999999999969</v>
      </c>
      <c r="N19" s="111" t="s">
        <v>178</v>
      </c>
      <c r="O19" s="121">
        <f>IF(P19=0,0,Q19/P19)</f>
        <v>13.05263157894737</v>
      </c>
      <c r="P19" s="115">
        <v>19</v>
      </c>
      <c r="Q19" s="103">
        <v>248.00000000000003</v>
      </c>
    </row>
    <row r="20" spans="1:17" x14ac:dyDescent="0.4">
      <c r="A20" s="51" t="s">
        <v>13</v>
      </c>
      <c r="B20" s="44">
        <v>40</v>
      </c>
      <c r="C20" s="37">
        <f>IF(B$3=0,0,B20/B$3)</f>
        <v>0.15873015873015872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-24.999999999999968</v>
      </c>
      <c r="N20" s="111" t="s">
        <v>126</v>
      </c>
      <c r="O20" s="121">
        <f>IF(P20=0,0,Q20/P20)</f>
        <v>-2.4538461538461553</v>
      </c>
      <c r="P20" s="115">
        <v>13</v>
      </c>
      <c r="Q20" s="103">
        <v>-31.90000000000002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K21" s="36">
        <v>19</v>
      </c>
      <c r="L21" s="95">
        <v>-27.799999999999969</v>
      </c>
      <c r="N21" s="111" t="s">
        <v>127</v>
      </c>
      <c r="O21" s="121">
        <f>IF(P21=0,0,Q21/P21)</f>
        <v>-11.680000000000003</v>
      </c>
      <c r="P21" s="115">
        <v>15</v>
      </c>
      <c r="Q21" s="103">
        <v>-175.20000000000005</v>
      </c>
    </row>
    <row r="22" spans="1:17" x14ac:dyDescent="0.4">
      <c r="A22" s="51" t="s">
        <v>170</v>
      </c>
      <c r="B22" s="44">
        <v>25</v>
      </c>
      <c r="C22" s="131">
        <v>4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>IF(P22=0,0,Q22/P22)</f>
        <v>-107.2</v>
      </c>
      <c r="P22" s="115">
        <v>2</v>
      </c>
      <c r="Q22" s="103">
        <v>-214.4</v>
      </c>
    </row>
    <row r="23" spans="1:17" x14ac:dyDescent="0.4">
      <c r="A23" s="51" t="s">
        <v>5</v>
      </c>
      <c r="B23" s="48">
        <f>IF(B$17=0,0,C23/B$17)</f>
        <v>10354.411764705883</v>
      </c>
      <c r="C23" s="39">
        <v>704100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12448.780487804877</v>
      </c>
      <c r="C24" s="137">
        <v>510400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7174.0740740740739</v>
      </c>
      <c r="C25" s="137">
        <v>193700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-8970</v>
      </c>
      <c r="C26" s="137">
        <v>-358800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83000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-31.499999999999972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30.900000000000027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73.900000000000034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96.100000000000037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72</v>
      </c>
      <c r="H2" s="128">
        <f>IF(B$17=0,0,G2/B$17)</f>
        <v>0.77419354838709675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1178.0487804878048</v>
      </c>
      <c r="P2" s="114">
        <v>41</v>
      </c>
      <c r="Q2" s="98">
        <v>48300</v>
      </c>
    </row>
    <row r="3" spans="1:17" x14ac:dyDescent="0.4">
      <c r="A3" s="51" t="s">
        <v>8</v>
      </c>
      <c r="B3" s="150">
        <v>334</v>
      </c>
      <c r="C3" s="151"/>
      <c r="E3" s="59" t="s">
        <v>72</v>
      </c>
      <c r="F3" s="56" t="s">
        <v>27</v>
      </c>
      <c r="G3" s="44">
        <v>70</v>
      </c>
      <c r="H3" s="129">
        <f>IF(B$17=0,0,G3/B$17)</f>
        <v>0.75268817204301075</v>
      </c>
      <c r="I3" s="90">
        <v>1</v>
      </c>
      <c r="K3" s="36">
        <v>1</v>
      </c>
      <c r="L3" s="95">
        <v>46.9</v>
      </c>
      <c r="N3" s="111" t="s">
        <v>131</v>
      </c>
      <c r="O3" s="118">
        <f t="shared" si="0"/>
        <v>1234.2105263157894</v>
      </c>
      <c r="P3" s="115">
        <v>38</v>
      </c>
      <c r="Q3" s="99">
        <v>46900</v>
      </c>
    </row>
    <row r="4" spans="1:17" x14ac:dyDescent="0.4">
      <c r="A4" s="51" t="s">
        <v>6</v>
      </c>
      <c r="B4" s="152">
        <v>-56.899999999999977</v>
      </c>
      <c r="C4" s="153"/>
      <c r="E4" s="59" t="s">
        <v>64</v>
      </c>
      <c r="F4" s="56" t="s">
        <v>20</v>
      </c>
      <c r="G4" s="44">
        <v>43</v>
      </c>
      <c r="H4" s="129">
        <f>IF(B$17=0,0,G4/B$17)</f>
        <v>0.46236559139784944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-3019.4444444444443</v>
      </c>
      <c r="P4" s="115">
        <v>36</v>
      </c>
      <c r="Q4" s="99">
        <v>-108700</v>
      </c>
    </row>
    <row r="5" spans="1:17" x14ac:dyDescent="0.4">
      <c r="A5" s="51" t="s">
        <v>7</v>
      </c>
      <c r="B5" s="154">
        <f>IF(B$2=0,0,B$4/B$2)</f>
        <v>-1.3878048780487799</v>
      </c>
      <c r="C5" s="155"/>
      <c r="E5" s="59" t="s">
        <v>171</v>
      </c>
      <c r="F5" s="56" t="s">
        <v>172</v>
      </c>
      <c r="G5" s="44">
        <v>35</v>
      </c>
      <c r="H5" s="129">
        <f>IF(B$17=0,0,G5/B$17)</f>
        <v>0.37634408602150538</v>
      </c>
      <c r="I5" s="90">
        <v>4</v>
      </c>
      <c r="K5" s="36">
        <v>3</v>
      </c>
      <c r="L5" s="95">
        <v>25.8</v>
      </c>
      <c r="N5" s="111" t="s">
        <v>133</v>
      </c>
      <c r="O5" s="118">
        <f t="shared" si="0"/>
        <v>387.87878787878788</v>
      </c>
      <c r="P5" s="115">
        <v>33</v>
      </c>
      <c r="Q5" s="99">
        <v>12800</v>
      </c>
    </row>
    <row r="6" spans="1:17" x14ac:dyDescent="0.4">
      <c r="A6" s="51" t="s">
        <v>1</v>
      </c>
      <c r="B6" s="144">
        <f>IF(B$2=0,0,(B$7*1+B$8*2+B$9*3)/B$2)</f>
        <v>2.1219512195121952</v>
      </c>
      <c r="C6" s="145"/>
      <c r="E6" s="59" t="s">
        <v>67</v>
      </c>
      <c r="F6" s="56" t="s">
        <v>23</v>
      </c>
      <c r="G6" s="44">
        <v>32</v>
      </c>
      <c r="H6" s="129">
        <f>IF(B$17=0,0,G6/B$17)</f>
        <v>0.34408602150537637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-289.28571428571428</v>
      </c>
      <c r="P6" s="115">
        <v>28</v>
      </c>
      <c r="Q6" s="99">
        <v>-8100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0.1951219512195122</v>
      </c>
      <c r="E7" s="59" t="s">
        <v>68</v>
      </c>
      <c r="F7" s="56" t="s">
        <v>12</v>
      </c>
      <c r="G7" s="44">
        <v>26</v>
      </c>
      <c r="H7" s="129">
        <f>IF(B$17=0,0,G7/B$17)</f>
        <v>0.27956989247311825</v>
      </c>
      <c r="I7" s="90">
        <v>6</v>
      </c>
      <c r="K7" s="36">
        <v>5</v>
      </c>
      <c r="L7" s="95">
        <v>-1.6000000000000014</v>
      </c>
      <c r="N7" s="112" t="s">
        <v>135</v>
      </c>
      <c r="O7" s="119">
        <f t="shared" si="0"/>
        <v>241.66666666666666</v>
      </c>
      <c r="P7" s="116">
        <v>24</v>
      </c>
      <c r="Q7" s="100">
        <v>5800</v>
      </c>
    </row>
    <row r="8" spans="1:17" x14ac:dyDescent="0.4">
      <c r="A8" s="51" t="s">
        <v>3</v>
      </c>
      <c r="B8" s="44">
        <v>20</v>
      </c>
      <c r="C8" s="37">
        <f t="shared" si="1"/>
        <v>0.48780487804878048</v>
      </c>
      <c r="E8" s="59" t="s">
        <v>69</v>
      </c>
      <c r="F8" s="56" t="s">
        <v>24</v>
      </c>
      <c r="G8" s="44">
        <v>9</v>
      </c>
      <c r="H8" s="129">
        <f>IF(B$17=0,0,G8/B$17)</f>
        <v>9.6774193548387094E-2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0.31707317073170732</v>
      </c>
      <c r="E9" s="59" t="s">
        <v>89</v>
      </c>
      <c r="F9" s="56" t="s">
        <v>44</v>
      </c>
      <c r="G9" s="44">
        <v>9</v>
      </c>
      <c r="H9" s="129">
        <f>IF(B$17=0,0,G9/B$17)</f>
        <v>9.6774193548387094E-2</v>
      </c>
      <c r="I9" s="90">
        <v>6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9.7560975609756101E-2</v>
      </c>
      <c r="E10" s="59" t="s">
        <v>70</v>
      </c>
      <c r="F10" s="56" t="s">
        <v>25</v>
      </c>
      <c r="G10" s="44">
        <v>8</v>
      </c>
      <c r="H10" s="129">
        <f>IF(B$17=0,0,G10/B$17)</f>
        <v>8.6021505376344093E-2</v>
      </c>
      <c r="I10" s="90">
        <v>4</v>
      </c>
      <c r="K10" s="36">
        <v>8</v>
      </c>
      <c r="L10" s="95">
        <v>-46.7</v>
      </c>
      <c r="N10" s="110" t="s">
        <v>162</v>
      </c>
      <c r="O10" s="120">
        <f>IF(P10=0,0,Q10/P10)</f>
        <v>2.3312499999999998</v>
      </c>
      <c r="P10" s="114">
        <v>16</v>
      </c>
      <c r="Q10" s="102">
        <v>37.299999999999997</v>
      </c>
    </row>
    <row r="11" spans="1:17" x14ac:dyDescent="0.4">
      <c r="A11" s="52" t="s">
        <v>138</v>
      </c>
      <c r="B11" s="45">
        <v>3</v>
      </c>
      <c r="C11" s="38">
        <f t="shared" si="1"/>
        <v>7.3170731707317069E-2</v>
      </c>
      <c r="E11" s="59" t="s">
        <v>71</v>
      </c>
      <c r="F11" s="56" t="s">
        <v>26</v>
      </c>
      <c r="G11" s="44">
        <v>5</v>
      </c>
      <c r="H11" s="129">
        <f>IF(B$17=0,0,G11/B$17)</f>
        <v>5.3763440860215055E-2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-2</v>
      </c>
      <c r="P11" s="115">
        <v>10</v>
      </c>
      <c r="Q11" s="103">
        <v>-20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4</v>
      </c>
      <c r="H12" s="129">
        <f>IF(B$17=0,0,G12/B$17)</f>
        <v>4.3010752688172046E-2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-4.9466666666666672</v>
      </c>
      <c r="P12" s="116">
        <v>15</v>
      </c>
      <c r="Q12" s="104">
        <v>-74.2</v>
      </c>
    </row>
    <row r="13" spans="1:17" x14ac:dyDescent="0.4">
      <c r="A13" s="54" t="s">
        <v>121</v>
      </c>
      <c r="B13" s="47">
        <v>83</v>
      </c>
      <c r="C13" s="42">
        <f>IF(B$3=0,0,B13/B$3)</f>
        <v>0.24850299401197604</v>
      </c>
      <c r="E13" s="59" t="s">
        <v>79</v>
      </c>
      <c r="F13" s="56" t="s">
        <v>34</v>
      </c>
      <c r="G13" s="44">
        <v>4</v>
      </c>
      <c r="H13" s="129">
        <f>IF(B$17=0,0,G13/B$17)</f>
        <v>4.3010752688172046E-2</v>
      </c>
      <c r="I13" s="90">
        <v>2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90</v>
      </c>
      <c r="C14" s="37">
        <f>IF(B$3=0,0,B14/B$3)</f>
        <v>0.26946107784431139</v>
      </c>
      <c r="E14" s="59" t="s">
        <v>83</v>
      </c>
      <c r="F14" s="56" t="s">
        <v>38</v>
      </c>
      <c r="G14" s="44">
        <v>4</v>
      </c>
      <c r="H14" s="129">
        <f>IF(B$17=0,0,G14/B$17)</f>
        <v>4.3010752688172046E-2</v>
      </c>
      <c r="I14" s="90">
        <v>9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45</v>
      </c>
      <c r="C15" s="35">
        <f>IF(B$13=0,0,B15/B$13)</f>
        <v>0.54216867469879515</v>
      </c>
      <c r="E15" s="59" t="s">
        <v>86</v>
      </c>
      <c r="F15" s="56" t="s">
        <v>41</v>
      </c>
      <c r="G15" s="44">
        <v>4</v>
      </c>
      <c r="H15" s="129">
        <f>IF(B$17=0,0,G15/B$17)</f>
        <v>4.3010752688172046E-2</v>
      </c>
      <c r="I15" s="90">
        <v>6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35</v>
      </c>
      <c r="C16" s="35">
        <f>IF(B$14=0,0,B16/B$14)</f>
        <v>0.3888888888888889</v>
      </c>
      <c r="E16" s="59" t="s">
        <v>78</v>
      </c>
      <c r="F16" s="56" t="s">
        <v>33</v>
      </c>
      <c r="G16" s="44">
        <v>2</v>
      </c>
      <c r="H16" s="129">
        <f>IF(B$17=0,0,G16/B$17)</f>
        <v>2.1505376344086023E-2</v>
      </c>
      <c r="I16" s="90">
        <v>5</v>
      </c>
      <c r="K16" s="36">
        <v>14</v>
      </c>
      <c r="L16" s="95">
        <v>-25.79999999999999</v>
      </c>
      <c r="N16" s="111" t="s">
        <v>179</v>
      </c>
      <c r="O16" s="121">
        <f>IF(P16=0,0,Q16/P16)</f>
        <v>26.3</v>
      </c>
      <c r="P16" s="115">
        <v>8</v>
      </c>
      <c r="Q16" s="103">
        <v>210.4</v>
      </c>
    </row>
    <row r="17" spans="1:17" x14ac:dyDescent="0.4">
      <c r="A17" s="50" t="s">
        <v>10</v>
      </c>
      <c r="B17" s="43">
        <f>B19+B18</f>
        <v>93</v>
      </c>
      <c r="C17" s="35">
        <f>IF(B$3=0,0,B17/B$3)</f>
        <v>0.27844311377245506</v>
      </c>
      <c r="E17" s="59" t="s">
        <v>85</v>
      </c>
      <c r="F17" s="56" t="s">
        <v>40</v>
      </c>
      <c r="G17" s="44">
        <v>1</v>
      </c>
      <c r="H17" s="129">
        <f>IF(B$17=0,0,G17/B$17)</f>
        <v>1.0752688172043012E-2</v>
      </c>
      <c r="I17" s="90">
        <v>3</v>
      </c>
      <c r="K17" s="36">
        <v>15</v>
      </c>
      <c r="L17" s="95">
        <v>-35.499999999999986</v>
      </c>
      <c r="N17" s="111" t="s">
        <v>182</v>
      </c>
      <c r="O17" s="121">
        <f>IF(P17=0,0,Q17/P17)</f>
        <v>24.055555555555557</v>
      </c>
      <c r="P17" s="115">
        <v>9</v>
      </c>
      <c r="Q17" s="103">
        <v>216.5</v>
      </c>
    </row>
    <row r="18" spans="1:17" x14ac:dyDescent="0.4">
      <c r="A18" s="51" t="s">
        <v>12</v>
      </c>
      <c r="B18" s="44">
        <v>37</v>
      </c>
      <c r="C18" s="37">
        <f>IF(B$17=0,0,B18/B$17)</f>
        <v>0.39784946236559138</v>
      </c>
      <c r="E18" s="59" t="s">
        <v>91</v>
      </c>
      <c r="F18" s="56" t="s">
        <v>46</v>
      </c>
      <c r="G18" s="44">
        <v>1</v>
      </c>
      <c r="H18" s="129">
        <f>IF(B$17=0,0,G18/B$17)</f>
        <v>1.0752688172043012E-2</v>
      </c>
      <c r="I18" s="90">
        <v>6</v>
      </c>
      <c r="K18" s="36">
        <v>16</v>
      </c>
      <c r="L18" s="95">
        <v>-35.599999999999987</v>
      </c>
      <c r="N18" s="111" t="s">
        <v>166</v>
      </c>
      <c r="O18" s="121">
        <f>IF(P18=0,0,Q18/P18)</f>
        <v>5.3125</v>
      </c>
      <c r="P18" s="115">
        <v>8</v>
      </c>
      <c r="Q18" s="103">
        <v>42.5</v>
      </c>
    </row>
    <row r="19" spans="1:17" x14ac:dyDescent="0.4">
      <c r="A19" s="51" t="s">
        <v>11</v>
      </c>
      <c r="B19" s="44">
        <v>56</v>
      </c>
      <c r="C19" s="37">
        <f>IF(B$17=0,0,B19/B$17)</f>
        <v>0.60215053763440862</v>
      </c>
      <c r="E19" s="59" t="s">
        <v>101</v>
      </c>
      <c r="F19" s="56" t="s">
        <v>56</v>
      </c>
      <c r="G19" s="44">
        <v>1</v>
      </c>
      <c r="H19" s="129">
        <f>IF(B$17=0,0,G19/B$17)</f>
        <v>1.0752688172043012E-2</v>
      </c>
      <c r="I19" s="90">
        <v>1</v>
      </c>
      <c r="K19" s="36">
        <v>17</v>
      </c>
      <c r="L19" s="95">
        <v>-29.799999999999986</v>
      </c>
      <c r="N19" s="111" t="s">
        <v>177</v>
      </c>
      <c r="O19" s="121">
        <f>IF(P19=0,0,Q19/P19)</f>
        <v>-13.052631578947372</v>
      </c>
      <c r="P19" s="115">
        <v>19</v>
      </c>
      <c r="Q19" s="103">
        <v>-248.00000000000006</v>
      </c>
    </row>
    <row r="20" spans="1:17" x14ac:dyDescent="0.4">
      <c r="A20" s="51" t="s">
        <v>13</v>
      </c>
      <c r="B20" s="44">
        <v>50</v>
      </c>
      <c r="C20" s="37">
        <f>IF(B$3=0,0,B20/B$3)</f>
        <v>0.1497005988023952</v>
      </c>
      <c r="E20" s="59" t="s">
        <v>167</v>
      </c>
      <c r="F20" s="56" t="s">
        <v>168</v>
      </c>
      <c r="G20" s="44">
        <v>1</v>
      </c>
      <c r="H20" s="129">
        <f>IF(B$17=0,0,G20/B$17)</f>
        <v>1.0752688172043012E-2</v>
      </c>
      <c r="I20" s="90">
        <v>4</v>
      </c>
      <c r="K20" s="36">
        <v>18</v>
      </c>
      <c r="L20" s="95">
        <v>-62.399999999999991</v>
      </c>
      <c r="N20" s="111" t="s">
        <v>181</v>
      </c>
      <c r="O20" s="121">
        <f>IF(P20=0,0,Q20/P20)</f>
        <v>-15.5</v>
      </c>
      <c r="P20" s="115">
        <v>1</v>
      </c>
      <c r="Q20" s="103">
        <v>-15.5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-56.399999999999991</v>
      </c>
      <c r="N21" s="111" t="s">
        <v>126</v>
      </c>
      <c r="O21" s="121">
        <f>IF(P21=0,0,Q21/P21)</f>
        <v>-18.362500000000004</v>
      </c>
      <c r="P21" s="115">
        <v>16</v>
      </c>
      <c r="Q21" s="103">
        <v>-293.80000000000007</v>
      </c>
    </row>
    <row r="22" spans="1:17" x14ac:dyDescent="0.4">
      <c r="A22" s="51" t="s">
        <v>170</v>
      </c>
      <c r="B22" s="44">
        <v>44</v>
      </c>
      <c r="C22" s="131">
        <v>2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-93.199999999999989</v>
      </c>
      <c r="N22" s="111" t="s">
        <v>127</v>
      </c>
      <c r="O22" s="121">
        <f>IF(P22=0,0,Q22/P22)</f>
        <v>-21.793749999999999</v>
      </c>
      <c r="P22" s="115">
        <v>16</v>
      </c>
      <c r="Q22" s="103">
        <v>-348.7</v>
      </c>
    </row>
    <row r="23" spans="1:17" x14ac:dyDescent="0.4">
      <c r="A23" s="51" t="s">
        <v>5</v>
      </c>
      <c r="B23" s="48">
        <f>IF(B$17=0,0,C23/B$17)</f>
        <v>8081.7204301075271</v>
      </c>
      <c r="C23" s="39">
        <v>751600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-123.69999999999999</v>
      </c>
    </row>
    <row r="24" spans="1:17" x14ac:dyDescent="0.4">
      <c r="A24" s="52" t="s">
        <v>216</v>
      </c>
      <c r="B24" s="136">
        <f>IF($B$17-B$16=0,0,C24/($B$17-B$16))</f>
        <v>9046.5517241379312</v>
      </c>
      <c r="C24" s="137">
        <v>524700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6482.8571428571431</v>
      </c>
      <c r="C25" s="137">
        <v>226900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-7318</v>
      </c>
      <c r="C26" s="137">
        <v>-365900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81</v>
      </c>
      <c r="F27" s="56" t="s">
        <v>36</v>
      </c>
      <c r="G27" s="44">
        <v>0</v>
      </c>
      <c r="H27" s="129">
        <f>IF(B$17=0,0,G27/B$17)</f>
        <v>0</v>
      </c>
      <c r="I27" s="90">
        <v>9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81700</v>
      </c>
      <c r="C28" s="141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5.9880239520958087E-3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20</v>
      </c>
      <c r="C2" s="149"/>
      <c r="E2" s="58" t="s">
        <v>66</v>
      </c>
      <c r="F2" s="55" t="s">
        <v>22</v>
      </c>
      <c r="G2" s="43">
        <v>23</v>
      </c>
      <c r="H2" s="128">
        <f>IF(B$17=0,0,G2/B$17)</f>
        <v>0.71875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-3570</v>
      </c>
      <c r="P2" s="114">
        <v>20</v>
      </c>
      <c r="Q2" s="98">
        <v>-71400</v>
      </c>
    </row>
    <row r="3" spans="1:17" x14ac:dyDescent="0.4">
      <c r="A3" s="51" t="s">
        <v>8</v>
      </c>
      <c r="B3" s="150">
        <v>157</v>
      </c>
      <c r="C3" s="151"/>
      <c r="E3" s="59" t="s">
        <v>64</v>
      </c>
      <c r="F3" s="56" t="s">
        <v>20</v>
      </c>
      <c r="G3" s="44">
        <v>17</v>
      </c>
      <c r="H3" s="129">
        <f>IF(B$17=0,0,G3/B$17)</f>
        <v>0.53125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-450</v>
      </c>
      <c r="P3" s="115">
        <v>20</v>
      </c>
      <c r="Q3" s="99">
        <v>-9000</v>
      </c>
    </row>
    <row r="4" spans="1:17" x14ac:dyDescent="0.4">
      <c r="A4" s="51" t="s">
        <v>6</v>
      </c>
      <c r="B4" s="152">
        <v>-428.10000000000008</v>
      </c>
      <c r="C4" s="153"/>
      <c r="E4" s="59" t="s">
        <v>72</v>
      </c>
      <c r="F4" s="56" t="s">
        <v>27</v>
      </c>
      <c r="G4" s="44">
        <v>16</v>
      </c>
      <c r="H4" s="129">
        <f>IF(B$17=0,0,G4/B$17)</f>
        <v>0.5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-1830</v>
      </c>
      <c r="P4" s="115">
        <v>20</v>
      </c>
      <c r="Q4" s="99">
        <v>-36600</v>
      </c>
    </row>
    <row r="5" spans="1:17" x14ac:dyDescent="0.4">
      <c r="A5" s="51" t="s">
        <v>7</v>
      </c>
      <c r="B5" s="154">
        <f>IF(B$2=0,0,B$4/B$2)</f>
        <v>-21.405000000000005</v>
      </c>
      <c r="C5" s="155"/>
      <c r="E5" s="59" t="s">
        <v>67</v>
      </c>
      <c r="F5" s="56" t="s">
        <v>23</v>
      </c>
      <c r="G5" s="44">
        <v>14</v>
      </c>
      <c r="H5" s="129">
        <f>IF(B$17=0,0,G5/B$17)</f>
        <v>0.4375</v>
      </c>
      <c r="I5" s="90">
        <v>2</v>
      </c>
      <c r="K5" s="36">
        <v>3</v>
      </c>
      <c r="L5" s="95">
        <v>-33.6</v>
      </c>
      <c r="N5" s="111" t="s">
        <v>133</v>
      </c>
      <c r="O5" s="118">
        <f t="shared" si="0"/>
        <v>-5405.2631578947367</v>
      </c>
      <c r="P5" s="115">
        <v>19</v>
      </c>
      <c r="Q5" s="99">
        <v>-102700</v>
      </c>
    </row>
    <row r="6" spans="1:17" x14ac:dyDescent="0.4">
      <c r="A6" s="51" t="s">
        <v>1</v>
      </c>
      <c r="B6" s="144">
        <f>IF(B$2=0,0,(B$7*1+B$8*2+B$9*3)/B$2)</f>
        <v>2.5499999999999998</v>
      </c>
      <c r="C6" s="145"/>
      <c r="E6" s="59" t="s">
        <v>171</v>
      </c>
      <c r="F6" s="56" t="s">
        <v>172</v>
      </c>
      <c r="G6" s="44">
        <v>11</v>
      </c>
      <c r="H6" s="129">
        <f>IF(B$17=0,0,G6/B$17)</f>
        <v>0.34375</v>
      </c>
      <c r="I6" s="90">
        <v>8</v>
      </c>
      <c r="K6" s="36">
        <v>4</v>
      </c>
      <c r="L6" s="95">
        <v>-80.5</v>
      </c>
      <c r="N6" s="111" t="s">
        <v>134</v>
      </c>
      <c r="O6" s="118">
        <f t="shared" si="0"/>
        <v>-2216.6666666666665</v>
      </c>
      <c r="P6" s="115">
        <v>18</v>
      </c>
      <c r="Q6" s="99">
        <v>-39900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0.05</v>
      </c>
      <c r="E7" s="59" t="s">
        <v>68</v>
      </c>
      <c r="F7" s="56" t="s">
        <v>12</v>
      </c>
      <c r="G7" s="44">
        <v>9</v>
      </c>
      <c r="H7" s="129">
        <f>IF(B$17=0,0,G7/B$17)</f>
        <v>0.28125</v>
      </c>
      <c r="I7" s="90">
        <v>5</v>
      </c>
      <c r="K7" s="36">
        <v>5</v>
      </c>
      <c r="L7" s="95">
        <v>-124.3</v>
      </c>
      <c r="N7" s="112" t="s">
        <v>135</v>
      </c>
      <c r="O7" s="119">
        <f t="shared" si="0"/>
        <v>-3900</v>
      </c>
      <c r="P7" s="116">
        <v>15</v>
      </c>
      <c r="Q7" s="100">
        <v>-58500</v>
      </c>
    </row>
    <row r="8" spans="1:17" x14ac:dyDescent="0.4">
      <c r="A8" s="51" t="s">
        <v>3</v>
      </c>
      <c r="B8" s="44">
        <v>7</v>
      </c>
      <c r="C8" s="37">
        <f t="shared" si="1"/>
        <v>0.35</v>
      </c>
      <c r="E8" s="59" t="s">
        <v>65</v>
      </c>
      <c r="F8" s="56" t="s">
        <v>21</v>
      </c>
      <c r="G8" s="44">
        <v>4</v>
      </c>
      <c r="H8" s="129">
        <f>IF(B$17=0,0,G8/B$17)</f>
        <v>0.125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0.6</v>
      </c>
      <c r="E9" s="59" t="s">
        <v>71</v>
      </c>
      <c r="F9" s="56" t="s">
        <v>26</v>
      </c>
      <c r="G9" s="44">
        <v>3</v>
      </c>
      <c r="H9" s="129">
        <f>IF(B$17=0,0,G9/B$17)</f>
        <v>9.375E-2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0.25</v>
      </c>
      <c r="E10" s="59" t="s">
        <v>83</v>
      </c>
      <c r="F10" s="56" t="s">
        <v>38</v>
      </c>
      <c r="G10" s="44">
        <v>3</v>
      </c>
      <c r="H10" s="129">
        <f>IF(B$17=0,0,G10/B$17)</f>
        <v>9.375E-2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-27.1</v>
      </c>
      <c r="P10" s="114">
        <v>13</v>
      </c>
      <c r="Q10" s="102">
        <v>-352.3</v>
      </c>
    </row>
    <row r="11" spans="1:17" x14ac:dyDescent="0.4">
      <c r="A11" s="52" t="s">
        <v>138</v>
      </c>
      <c r="B11" s="45">
        <v>1</v>
      </c>
      <c r="C11" s="38">
        <f t="shared" si="1"/>
        <v>0.05</v>
      </c>
      <c r="E11" s="59" t="s">
        <v>70</v>
      </c>
      <c r="F11" s="56" t="s">
        <v>25</v>
      </c>
      <c r="G11" s="44">
        <v>2</v>
      </c>
      <c r="H11" s="129">
        <f>IF(B$17=0,0,G11/B$17)</f>
        <v>6.25E-2</v>
      </c>
      <c r="I11" s="90">
        <v>9</v>
      </c>
      <c r="K11" s="36">
        <v>9</v>
      </c>
      <c r="L11" s="95">
        <v>-150.6</v>
      </c>
      <c r="N11" s="111" t="s">
        <v>163</v>
      </c>
      <c r="O11" s="121">
        <f>IF(P11=0,0,Q11/P11)</f>
        <v>-0.67999999999999861</v>
      </c>
      <c r="P11" s="115">
        <v>5</v>
      </c>
      <c r="Q11" s="103">
        <v>-3.3999999999999928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81</v>
      </c>
      <c r="F12" s="56" t="s">
        <v>36</v>
      </c>
      <c r="G12" s="44">
        <v>2</v>
      </c>
      <c r="H12" s="129">
        <f>IF(B$17=0,0,G12/B$17)</f>
        <v>6.25E-2</v>
      </c>
      <c r="I12" s="90">
        <v>1</v>
      </c>
      <c r="K12" s="36">
        <v>10</v>
      </c>
      <c r="L12" s="95">
        <v>-151.1</v>
      </c>
      <c r="N12" s="112" t="s">
        <v>164</v>
      </c>
      <c r="O12" s="122">
        <f>IF(P12=0,0,Q12/P12)</f>
        <v>-36.200000000000003</v>
      </c>
      <c r="P12" s="116">
        <v>2</v>
      </c>
      <c r="Q12" s="104">
        <v>-72.400000000000006</v>
      </c>
    </row>
    <row r="13" spans="1:17" x14ac:dyDescent="0.4">
      <c r="A13" s="54" t="s">
        <v>121</v>
      </c>
      <c r="B13" s="47">
        <v>33</v>
      </c>
      <c r="C13" s="42">
        <f>IF(B$3=0,0,B13/B$3)</f>
        <v>0.21019108280254778</v>
      </c>
      <c r="E13" s="59" t="s">
        <v>86</v>
      </c>
      <c r="F13" s="56" t="s">
        <v>41</v>
      </c>
      <c r="G13" s="44">
        <v>2</v>
      </c>
      <c r="H13" s="129">
        <f>IF(B$17=0,0,G13/B$17)</f>
        <v>6.25E-2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33</v>
      </c>
      <c r="C14" s="37">
        <f>IF(B$3=0,0,B14/B$3)</f>
        <v>0.21019108280254778</v>
      </c>
      <c r="E14" s="59" t="s">
        <v>89</v>
      </c>
      <c r="F14" s="56" t="s">
        <v>44</v>
      </c>
      <c r="G14" s="44">
        <v>2</v>
      </c>
      <c r="H14" s="129">
        <f>IF(B$17=0,0,G14/B$17)</f>
        <v>6.25E-2</v>
      </c>
      <c r="I14" s="90">
        <v>9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17</v>
      </c>
      <c r="C15" s="35">
        <f>IF(B$13=0,0,B15/B$13)</f>
        <v>0.51515151515151514</v>
      </c>
      <c r="E15" s="59" t="s">
        <v>69</v>
      </c>
      <c r="F15" s="56" t="s">
        <v>24</v>
      </c>
      <c r="G15" s="44">
        <v>1</v>
      </c>
      <c r="H15" s="129">
        <f>IF(B$17=0,0,G15/B$17)</f>
        <v>3.125E-2</v>
      </c>
      <c r="I15" s="90">
        <v>10</v>
      </c>
      <c r="K15" s="36">
        <v>13</v>
      </c>
      <c r="L15" s="95">
        <v>-217.60000000000002</v>
      </c>
      <c r="N15" s="110" t="s">
        <v>166</v>
      </c>
      <c r="O15" s="120">
        <f t="shared" ref="O15:O22" si="2"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11</v>
      </c>
      <c r="C16" s="35">
        <f>IF(B$14=0,0,B16/B$14)</f>
        <v>0.33333333333333331</v>
      </c>
      <c r="E16" s="59" t="s">
        <v>74</v>
      </c>
      <c r="F16" s="56" t="s">
        <v>29</v>
      </c>
      <c r="G16" s="44">
        <v>1</v>
      </c>
      <c r="H16" s="129">
        <f>IF(B$17=0,0,G16/B$17)</f>
        <v>3.125E-2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-20.209090909090907</v>
      </c>
      <c r="P16" s="115">
        <v>11</v>
      </c>
      <c r="Q16" s="103">
        <v>-222.29999999999998</v>
      </c>
    </row>
    <row r="17" spans="1:17" x14ac:dyDescent="0.4">
      <c r="A17" s="50" t="s">
        <v>10</v>
      </c>
      <c r="B17" s="43">
        <f>B19+B18</f>
        <v>32</v>
      </c>
      <c r="C17" s="35">
        <f>IF(B$3=0,0,B17/B$3)</f>
        <v>0.20382165605095542</v>
      </c>
      <c r="E17" s="59" t="s">
        <v>78</v>
      </c>
      <c r="F17" s="56" t="s">
        <v>33</v>
      </c>
      <c r="G17" s="44">
        <v>1</v>
      </c>
      <c r="H17" s="129">
        <f>IF(B$17=0,0,G17/B$17)</f>
        <v>3.125E-2</v>
      </c>
      <c r="I17" s="90">
        <v>2</v>
      </c>
      <c r="K17" s="36">
        <v>15</v>
      </c>
      <c r="L17" s="95">
        <v>-272.50000000000006</v>
      </c>
      <c r="N17" s="111" t="s">
        <v>178</v>
      </c>
      <c r="O17" s="121">
        <f t="shared" si="2"/>
        <v>-24.055555555555557</v>
      </c>
      <c r="P17" s="115">
        <v>9</v>
      </c>
      <c r="Q17" s="103">
        <v>-216.5</v>
      </c>
    </row>
    <row r="18" spans="1:17" x14ac:dyDescent="0.4">
      <c r="A18" s="51" t="s">
        <v>12</v>
      </c>
      <c r="B18" s="44">
        <v>14</v>
      </c>
      <c r="C18" s="37">
        <f>IF(B$17=0,0,B18/B$17)</f>
        <v>0.4375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K18" s="36">
        <v>16</v>
      </c>
      <c r="L18" s="95">
        <v>-320.30000000000007</v>
      </c>
      <c r="N18" s="111" t="s">
        <v>179</v>
      </c>
      <c r="O18" s="121">
        <f t="shared" si="2"/>
        <v>-25.799999999999997</v>
      </c>
      <c r="P18" s="115">
        <v>1</v>
      </c>
      <c r="Q18" s="103">
        <v>-25.799999999999997</v>
      </c>
    </row>
    <row r="19" spans="1:17" x14ac:dyDescent="0.4">
      <c r="A19" s="51" t="s">
        <v>11</v>
      </c>
      <c r="B19" s="44">
        <v>18</v>
      </c>
      <c r="C19" s="37">
        <f>IF(B$17=0,0,B19/B$17)</f>
        <v>0.5625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5</v>
      </c>
      <c r="K19" s="36">
        <v>17</v>
      </c>
      <c r="L19" s="95">
        <v>-352.60000000000008</v>
      </c>
      <c r="N19" s="111" t="s">
        <v>126</v>
      </c>
      <c r="O19" s="121">
        <f t="shared" si="2"/>
        <v>-47.199999999999996</v>
      </c>
      <c r="P19" s="115">
        <v>6</v>
      </c>
      <c r="Q19" s="103">
        <v>-283.2</v>
      </c>
    </row>
    <row r="20" spans="1:17" x14ac:dyDescent="0.4">
      <c r="A20" s="51" t="s">
        <v>13</v>
      </c>
      <c r="B20" s="44">
        <v>34</v>
      </c>
      <c r="C20" s="37">
        <f>IF(B$3=0,0,B20/B$3)</f>
        <v>0.21656050955414013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 t="shared" si="2"/>
        <v>-49.339999999999996</v>
      </c>
      <c r="P20" s="115">
        <v>5</v>
      </c>
      <c r="Q20" s="103">
        <v>-246.7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 t="shared" si="2"/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8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-428.10000000000008</v>
      </c>
      <c r="N22" s="111" t="s">
        <v>195</v>
      </c>
      <c r="O22" s="121">
        <f t="shared" si="2"/>
        <v>-65.55</v>
      </c>
      <c r="P22" s="115">
        <v>2</v>
      </c>
      <c r="Q22" s="103">
        <v>-131.1</v>
      </c>
    </row>
    <row r="23" spans="1:17" x14ac:dyDescent="0.4">
      <c r="A23" s="51" t="s">
        <v>5</v>
      </c>
      <c r="B23" s="48">
        <f>IF(B$17=0,0,C23/B$17)</f>
        <v>7496.875</v>
      </c>
      <c r="C23" s="39">
        <v>239900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8800</v>
      </c>
      <c r="C24" s="137">
        <v>184800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5009.090909090909</v>
      </c>
      <c r="C25" s="137">
        <v>55100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-9173.5294117647063</v>
      </c>
      <c r="C26" s="137">
        <v>-311900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6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85100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6.369426751592357E-3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</v>
      </c>
      <c r="C2" s="149"/>
      <c r="E2" s="58" t="s">
        <v>66</v>
      </c>
      <c r="F2" s="55" t="s">
        <v>22</v>
      </c>
      <c r="G2" s="43">
        <v>37</v>
      </c>
      <c r="H2" s="128">
        <f>IF(B$17=0,0,G2/B$17)</f>
        <v>1.088235294117647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-45.454545454545453</v>
      </c>
      <c r="P2" s="114">
        <v>11</v>
      </c>
      <c r="Q2" s="98">
        <v>-500</v>
      </c>
    </row>
    <row r="3" spans="1:17" x14ac:dyDescent="0.4">
      <c r="A3" s="51" t="s">
        <v>8</v>
      </c>
      <c r="B3" s="150">
        <v>103</v>
      </c>
      <c r="C3" s="151"/>
      <c r="E3" s="59" t="s">
        <v>64</v>
      </c>
      <c r="F3" s="56" t="s">
        <v>20</v>
      </c>
      <c r="G3" s="44">
        <v>21</v>
      </c>
      <c r="H3" s="129">
        <f>IF(B$17=0,0,G3/B$17)</f>
        <v>0.61764705882352944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4790.909090909091</v>
      </c>
      <c r="P3" s="115">
        <v>11</v>
      </c>
      <c r="Q3" s="99">
        <v>52700</v>
      </c>
    </row>
    <row r="4" spans="1:17" x14ac:dyDescent="0.4">
      <c r="A4" s="51" t="s">
        <v>6</v>
      </c>
      <c r="B4" s="152">
        <v>126.10000000000001</v>
      </c>
      <c r="C4" s="153"/>
      <c r="E4" s="59" t="s">
        <v>68</v>
      </c>
      <c r="F4" s="56" t="s">
        <v>12</v>
      </c>
      <c r="G4" s="44">
        <v>14</v>
      </c>
      <c r="H4" s="129">
        <f>IF(B$17=0,0,G4/B$17)</f>
        <v>0.41176470588235292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418.18181818181819</v>
      </c>
      <c r="P4" s="115">
        <v>11</v>
      </c>
      <c r="Q4" s="99">
        <v>4600</v>
      </c>
    </row>
    <row r="5" spans="1:17" x14ac:dyDescent="0.4">
      <c r="A5" s="51" t="s">
        <v>7</v>
      </c>
      <c r="B5" s="154">
        <f>IF(B$2=0,0,B$4/B$2)</f>
        <v>11.463636363636365</v>
      </c>
      <c r="C5" s="155"/>
      <c r="E5" s="59" t="s">
        <v>171</v>
      </c>
      <c r="F5" s="56" t="s">
        <v>172</v>
      </c>
      <c r="G5" s="44">
        <v>14</v>
      </c>
      <c r="H5" s="129">
        <f>IF(B$17=0,0,G5/B$17)</f>
        <v>0.41176470588235292</v>
      </c>
      <c r="I5" s="90">
        <v>2</v>
      </c>
      <c r="K5" s="36">
        <v>3</v>
      </c>
      <c r="L5" s="95">
        <v>76</v>
      </c>
      <c r="N5" s="111" t="s">
        <v>133</v>
      </c>
      <c r="O5" s="118">
        <f t="shared" si="0"/>
        <v>-3345.4545454545455</v>
      </c>
      <c r="P5" s="115">
        <v>11</v>
      </c>
      <c r="Q5" s="99">
        <v>-36800</v>
      </c>
    </row>
    <row r="6" spans="1:17" x14ac:dyDescent="0.4">
      <c r="A6" s="51" t="s">
        <v>1</v>
      </c>
      <c r="B6" s="144">
        <f>IF(B$2=0,0,(B$7*1+B$8*2+B$9*3)/B$2)</f>
        <v>1.7272727272727273</v>
      </c>
      <c r="C6" s="145"/>
      <c r="E6" s="59" t="s">
        <v>72</v>
      </c>
      <c r="F6" s="56" t="s">
        <v>27</v>
      </c>
      <c r="G6" s="44">
        <v>10</v>
      </c>
      <c r="H6" s="129">
        <f>IF(B$17=0,0,G6/B$17)</f>
        <v>0.29411764705882354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6400</v>
      </c>
      <c r="P6" s="115">
        <v>11</v>
      </c>
      <c r="Q6" s="99">
        <v>70400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7</v>
      </c>
      <c r="H7" s="129">
        <f>IF(B$17=0,0,G7/B$17)</f>
        <v>0.20588235294117646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1837.5</v>
      </c>
      <c r="P7" s="116">
        <v>8</v>
      </c>
      <c r="Q7" s="100">
        <v>14700</v>
      </c>
    </row>
    <row r="8" spans="1:17" x14ac:dyDescent="0.4">
      <c r="A8" s="51" t="s">
        <v>3</v>
      </c>
      <c r="B8" s="44">
        <v>4</v>
      </c>
      <c r="C8" s="37">
        <f t="shared" si="1"/>
        <v>0.36363636363636365</v>
      </c>
      <c r="E8" s="59" t="s">
        <v>69</v>
      </c>
      <c r="F8" s="56" t="s">
        <v>24</v>
      </c>
      <c r="G8" s="44">
        <v>7</v>
      </c>
      <c r="H8" s="129">
        <f>IF(B$17=0,0,G8/B$17)</f>
        <v>0.20588235294117646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0.18181818181818182</v>
      </c>
      <c r="E9" s="59" t="s">
        <v>70</v>
      </c>
      <c r="F9" s="56" t="s">
        <v>25</v>
      </c>
      <c r="G9" s="44">
        <v>5</v>
      </c>
      <c r="H9" s="129">
        <f>IF(B$17=0,0,G9/B$17)</f>
        <v>0.14705882352941177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4</v>
      </c>
      <c r="H10" s="129">
        <f>IF(B$17=0,0,G10/B$17)</f>
        <v>0.11764705882352941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4.4400000000000004</v>
      </c>
      <c r="P10" s="114">
        <v>5</v>
      </c>
      <c r="Q10" s="102">
        <v>22.200000000000003</v>
      </c>
    </row>
    <row r="11" spans="1:17" x14ac:dyDescent="0.4">
      <c r="A11" s="52" t="s">
        <v>138</v>
      </c>
      <c r="B11" s="45">
        <v>2</v>
      </c>
      <c r="C11" s="38">
        <f t="shared" si="1"/>
        <v>0.18181818181818182</v>
      </c>
      <c r="E11" s="59" t="s">
        <v>65</v>
      </c>
      <c r="F11" s="56" t="s">
        <v>21</v>
      </c>
      <c r="G11" s="44">
        <v>3</v>
      </c>
      <c r="H11" s="129">
        <f>IF(B$17=0,0,G11/B$17)</f>
        <v>8.8235294117647065E-2</v>
      </c>
      <c r="I11" s="90">
        <v>7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86</v>
      </c>
      <c r="F12" s="56" t="s">
        <v>41</v>
      </c>
      <c r="G12" s="44">
        <v>2</v>
      </c>
      <c r="H12" s="129">
        <f>IF(B$17=0,0,G12/B$17)</f>
        <v>5.8823529411764705E-2</v>
      </c>
      <c r="I12" s="90">
        <v>4</v>
      </c>
      <c r="K12" s="36">
        <v>10</v>
      </c>
      <c r="L12" s="95">
        <v>162.80000000000001</v>
      </c>
      <c r="N12" s="112" t="s">
        <v>164</v>
      </c>
      <c r="O12" s="122">
        <f>IF(P12=0,0,Q12/P12)</f>
        <v>22.933333333333334</v>
      </c>
      <c r="P12" s="116">
        <v>3</v>
      </c>
      <c r="Q12" s="104">
        <v>68.8</v>
      </c>
    </row>
    <row r="13" spans="1:17" x14ac:dyDescent="0.4">
      <c r="A13" s="54" t="s">
        <v>121</v>
      </c>
      <c r="B13" s="47">
        <v>30</v>
      </c>
      <c r="C13" s="42">
        <f>IF(B$3=0,0,B13/B$3)</f>
        <v>0.29126213592233008</v>
      </c>
      <c r="E13" s="59" t="s">
        <v>89</v>
      </c>
      <c r="F13" s="56" t="s">
        <v>44</v>
      </c>
      <c r="G13" s="44">
        <v>2</v>
      </c>
      <c r="H13" s="129">
        <f>IF(B$17=0,0,G13/B$17)</f>
        <v>5.8823529411764705E-2</v>
      </c>
      <c r="I13" s="90">
        <v>10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</v>
      </c>
      <c r="C14" s="37">
        <f>IF(B$3=0,0,B14/B$3)</f>
        <v>0.14563106796116504</v>
      </c>
      <c r="E14" s="59" t="s">
        <v>75</v>
      </c>
      <c r="F14" s="56" t="s">
        <v>30</v>
      </c>
      <c r="G14" s="44">
        <v>1</v>
      </c>
      <c r="H14" s="129">
        <f>IF(B$17=0,0,G14/B$17)</f>
        <v>2.9411764705882353E-2</v>
      </c>
      <c r="I14" s="90">
        <v>1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20</v>
      </c>
      <c r="C15" s="35">
        <f>IF(B$13=0,0,B15/B$13)</f>
        <v>0.66666666666666663</v>
      </c>
      <c r="E15" s="59" t="s">
        <v>81</v>
      </c>
      <c r="F15" s="56" t="s">
        <v>36</v>
      </c>
      <c r="G15" s="44">
        <v>1</v>
      </c>
      <c r="H15" s="129">
        <f>IF(B$17=0,0,G15/B$17)</f>
        <v>2.9411764705882353E-2</v>
      </c>
      <c r="I15" s="90">
        <v>3</v>
      </c>
      <c r="N15" s="110" t="s">
        <v>177</v>
      </c>
      <c r="O15" s="120">
        <f t="shared" ref="O15:O22" si="2">IF(P15=0,0,Q15/P15)</f>
        <v>107.2</v>
      </c>
      <c r="P15" s="114">
        <v>2</v>
      </c>
      <c r="Q15" s="102">
        <v>214.4</v>
      </c>
    </row>
    <row r="16" spans="1:17" x14ac:dyDescent="0.4">
      <c r="A16" s="50" t="s">
        <v>124</v>
      </c>
      <c r="B16" s="43">
        <v>5</v>
      </c>
      <c r="C16" s="35">
        <f>IF(B$14=0,0,B16/B$14)</f>
        <v>0.33333333333333331</v>
      </c>
      <c r="E16" s="59" t="s">
        <v>85</v>
      </c>
      <c r="F16" s="56" t="s">
        <v>40</v>
      </c>
      <c r="G16" s="44">
        <v>1</v>
      </c>
      <c r="H16" s="129">
        <f>IF(B$17=0,0,G16/B$17)</f>
        <v>2.9411764705882353E-2</v>
      </c>
      <c r="I16" s="90">
        <v>1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34</v>
      </c>
      <c r="C17" s="35">
        <f>IF(B$3=0,0,B17/B$3)</f>
        <v>0.3300970873786408</v>
      </c>
      <c r="E17" s="59" t="s">
        <v>87</v>
      </c>
      <c r="F17" s="56" t="s">
        <v>42</v>
      </c>
      <c r="G17" s="44">
        <v>1</v>
      </c>
      <c r="H17" s="129">
        <f>IF(B$17=0,0,G17/B$17)</f>
        <v>2.9411764705882353E-2</v>
      </c>
      <c r="I17" s="90">
        <v>1</v>
      </c>
      <c r="N17" s="111" t="s">
        <v>127</v>
      </c>
      <c r="O17" s="121">
        <f t="shared" si="2"/>
        <v>22.6</v>
      </c>
      <c r="P17" s="115">
        <v>1</v>
      </c>
      <c r="Q17" s="103">
        <v>22.6</v>
      </c>
    </row>
    <row r="18" spans="1:17" x14ac:dyDescent="0.4">
      <c r="A18" s="51" t="s">
        <v>12</v>
      </c>
      <c r="B18" s="44">
        <v>18</v>
      </c>
      <c r="C18" s="37">
        <f>IF(B$17=0,0,B18/B$17)</f>
        <v>0.52941176470588236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N18" s="111" t="s">
        <v>178</v>
      </c>
      <c r="O18" s="121">
        <f t="shared" si="2"/>
        <v>15.5</v>
      </c>
      <c r="P18" s="115">
        <v>1</v>
      </c>
      <c r="Q18" s="103">
        <v>15.5</v>
      </c>
    </row>
    <row r="19" spans="1:17" x14ac:dyDescent="0.4">
      <c r="A19" s="51" t="s">
        <v>11</v>
      </c>
      <c r="B19" s="44">
        <v>16</v>
      </c>
      <c r="C19" s="37">
        <f>IF(B$17=0,0,B19/B$17)</f>
        <v>0.47058823529411764</v>
      </c>
      <c r="E19" s="59" t="s">
        <v>74</v>
      </c>
      <c r="F19" s="56" t="s">
        <v>29</v>
      </c>
      <c r="G19" s="44">
        <v>0</v>
      </c>
      <c r="H19" s="129">
        <f>IF(B$17=0,0,G19/B$17)</f>
        <v>0</v>
      </c>
      <c r="I19" s="90">
        <v>6</v>
      </c>
      <c r="N19" s="111" t="s">
        <v>179</v>
      </c>
      <c r="O19" s="121">
        <f t="shared" si="2"/>
        <v>11.46</v>
      </c>
      <c r="P19" s="115">
        <v>5</v>
      </c>
      <c r="Q19" s="103">
        <v>57.300000000000004</v>
      </c>
    </row>
    <row r="20" spans="1:17" x14ac:dyDescent="0.4">
      <c r="A20" s="51" t="s">
        <v>13</v>
      </c>
      <c r="B20" s="44">
        <v>12</v>
      </c>
      <c r="C20" s="37">
        <f>IF(B$3=0,0,B20/B$3)</f>
        <v>0.11650485436893204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N20" s="111" t="s">
        <v>166</v>
      </c>
      <c r="O20" s="121">
        <f t="shared" si="2"/>
        <v>10.825000000000001</v>
      </c>
      <c r="P20" s="115">
        <v>4</v>
      </c>
      <c r="Q20" s="103">
        <v>43.300000000000004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78</v>
      </c>
      <c r="F22" s="56" t="s">
        <v>33</v>
      </c>
      <c r="G22" s="44">
        <v>0</v>
      </c>
      <c r="H22" s="129">
        <f>IF(B$17=0,0,G22/B$17)</f>
        <v>0</v>
      </c>
      <c r="I22" s="90">
        <v>7</v>
      </c>
      <c r="N22" s="111" t="s">
        <v>126</v>
      </c>
      <c r="O22" s="121">
        <f t="shared" si="2"/>
        <v>-49.733333333333327</v>
      </c>
      <c r="P22" s="115">
        <v>3</v>
      </c>
      <c r="Q22" s="103">
        <v>-149.19999999999999</v>
      </c>
    </row>
    <row r="23" spans="1:17" x14ac:dyDescent="0.4">
      <c r="A23" s="51" t="s">
        <v>5</v>
      </c>
      <c r="B23" s="48">
        <f>IF(B$17=0,0,C23/B$17)</f>
        <v>7779.411764705882</v>
      </c>
      <c r="C23" s="39">
        <v>264500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6</v>
      </c>
    </row>
    <row r="24" spans="1:17" x14ac:dyDescent="0.4">
      <c r="A24" s="52" t="s">
        <v>216</v>
      </c>
      <c r="B24" s="136">
        <f>IF($B$17-B$16=0,0,C24/($B$17-B$16))</f>
        <v>8072.4137931034484</v>
      </c>
      <c r="C24" s="137">
        <v>234100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6080</v>
      </c>
      <c r="C25" s="137">
        <v>30400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-6041.666666666667</v>
      </c>
      <c r="C26" s="137">
        <v>-72500</v>
      </c>
      <c r="E26" s="59" t="s">
        <v>83</v>
      </c>
      <c r="F26" s="56" t="s">
        <v>38</v>
      </c>
      <c r="G26" s="44">
        <v>0</v>
      </c>
      <c r="H26" s="129">
        <f>IF(B$17=0,0,G26/B$17)</f>
        <v>0</v>
      </c>
      <c r="I26" s="90">
        <v>10</v>
      </c>
    </row>
    <row r="27" spans="1:17" x14ac:dyDescent="0.4">
      <c r="A27" s="86" t="s">
        <v>140</v>
      </c>
      <c r="B27" s="142">
        <v>7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95200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9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10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4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6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6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1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1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5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7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9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3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0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2019-10-16T07:33:59Z</dcterms:modified>
</cp:coreProperties>
</file>