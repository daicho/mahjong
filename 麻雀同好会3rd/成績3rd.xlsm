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3934496-9A38-419E-B2B3-256A11F28DF6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431" r:id="rId6"/>
    <sheet name="たかの" sheetId="6433" r:id="rId7"/>
    <sheet name="だいち" sheetId="6435" r:id="rId8"/>
    <sheet name="ただ" sheetId="6437" r:id="rId9"/>
    <sheet name="りくと" sheetId="6439" r:id="rId10"/>
    <sheet name="れんたろう" sheetId="6441" r:id="rId11"/>
    <sheet name="まっつん" sheetId="6443" r:id="rId12"/>
    <sheet name="のり" sheetId="6445" r:id="rId13"/>
    <sheet name="ぱぱ" sheetId="6447" r:id="rId14"/>
    <sheet name="ほたに" sheetId="6449" r:id="rId15"/>
    <sheet name="いっしー" sheetId="6451" r:id="rId16"/>
    <sheet name="ともき" sheetId="6453" r:id="rId17"/>
    <sheet name="たか" sheetId="6455" r:id="rId18"/>
    <sheet name="ゆう" sheetId="6457" r:id="rId19"/>
    <sheet name="ゆう2" sheetId="6458" state="hidden" r:id="rId20"/>
    <sheet name="たか2" sheetId="6456" state="hidden" r:id="rId21"/>
    <sheet name="ともき2" sheetId="6454" state="hidden" r:id="rId22"/>
    <sheet name="いっしー2" sheetId="6452" state="hidden" r:id="rId23"/>
    <sheet name="ほたに2" sheetId="6450" state="hidden" r:id="rId24"/>
    <sheet name="ぱぱ2" sheetId="6448" state="hidden" r:id="rId25"/>
    <sheet name="のり2" sheetId="6446" state="hidden" r:id="rId26"/>
    <sheet name="まっつん2" sheetId="6444" state="hidden" r:id="rId27"/>
    <sheet name="れんたろう2" sheetId="6442" state="hidden" r:id="rId28"/>
    <sheet name="りくと2" sheetId="6440" state="hidden" r:id="rId29"/>
    <sheet name="ただ2" sheetId="6438" state="hidden" r:id="rId30"/>
    <sheet name="だいち2" sheetId="6436" state="hidden" r:id="rId31"/>
    <sheet name="たかの2" sheetId="6434" state="hidden" r:id="rId32"/>
    <sheet name="全体2" sheetId="643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Template1!$B$19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Template1!$C$19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Template1!$B$25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Template1!$C$25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Template1!$B$34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Template1!$C$34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Template1!$B$21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Template1!$C$21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Template1!$B$14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Template1!$C$14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Template1!$B$23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Template1!$C$23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Template1!$B$15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Template1!$B$17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Template1!$C$17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Template1!$C$15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Template1!$B$22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Template1!$C$22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Template1!$C$30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Template1!$C$31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Template1!$B$33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Template1!$B$32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Template1!$B$33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Template1!$C$26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Template1!$C$28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Template1!$C$29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Template1!$C$27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Template1!$B$24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Template1!$B$28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Template1!$C$24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Template1!$B$16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Template1!$B$18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Template1!$C$18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Template1!$C$16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Template1!$B$26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Template1!$B$29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Template1!$B$27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Template1!$B$30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55" l="1"/>
  <c r="O25" i="6443" l="1"/>
  <c r="O15" i="6453"/>
  <c r="O16" i="6455" l="1"/>
  <c r="O23" i="6433"/>
  <c r="O20" i="6443" l="1"/>
  <c r="O16" i="6457"/>
  <c r="O18" i="6455"/>
  <c r="O15" i="6433" l="1"/>
  <c r="O22" i="6453"/>
  <c r="O19" i="6455" l="1"/>
  <c r="O15" i="6457"/>
  <c r="O17" i="6457"/>
  <c r="C34" i="6457"/>
  <c r="B29" i="6457"/>
  <c r="C20" i="6457"/>
  <c r="B19" i="6457"/>
  <c r="H52" i="6457" s="1"/>
  <c r="C18" i="6457"/>
  <c r="B18" i="6457"/>
  <c r="B28" i="6457" s="1"/>
  <c r="B17" i="6457"/>
  <c r="C17" i="6457" s="1"/>
  <c r="C16" i="6457"/>
  <c r="H19" i="6457"/>
  <c r="C15" i="6457"/>
  <c r="C14" i="6457"/>
  <c r="O12" i="6457"/>
  <c r="B12" i="6457"/>
  <c r="O11" i="6457"/>
  <c r="B11" i="6457"/>
  <c r="O10" i="6457"/>
  <c r="B10" i="6457"/>
  <c r="C9" i="6457"/>
  <c r="C8" i="6457"/>
  <c r="O7" i="6457"/>
  <c r="C7" i="6457"/>
  <c r="O6" i="6457"/>
  <c r="B6" i="6457"/>
  <c r="O5" i="6457"/>
  <c r="B5" i="6457"/>
  <c r="O4" i="6457"/>
  <c r="O3" i="6457"/>
  <c r="H10" i="6457"/>
  <c r="O2" i="6457"/>
  <c r="O16" i="6445"/>
  <c r="O15" i="6455"/>
  <c r="O17" i="6455"/>
  <c r="C34" i="6455"/>
  <c r="B29" i="6455"/>
  <c r="C20" i="6455"/>
  <c r="B19" i="6455"/>
  <c r="H52" i="6455" s="1"/>
  <c r="B18" i="6455"/>
  <c r="B28" i="6455" s="1"/>
  <c r="B17" i="6455"/>
  <c r="C17" i="6455" s="1"/>
  <c r="C16" i="6455"/>
  <c r="C15" i="6455"/>
  <c r="C14" i="6455"/>
  <c r="O12" i="6455"/>
  <c r="B12" i="6455"/>
  <c r="O11" i="6455"/>
  <c r="B11" i="6455"/>
  <c r="O10" i="6455"/>
  <c r="B10" i="6455"/>
  <c r="C9" i="6455"/>
  <c r="C8" i="6455"/>
  <c r="O7" i="6455"/>
  <c r="C7" i="6455"/>
  <c r="O6" i="6455"/>
  <c r="B6" i="6455"/>
  <c r="O5" i="6455"/>
  <c r="B5" i="6455"/>
  <c r="O4" i="6455"/>
  <c r="O3" i="6455"/>
  <c r="O2" i="6455"/>
  <c r="O15" i="6431"/>
  <c r="H6" i="6457" l="1"/>
  <c r="H2" i="6457"/>
  <c r="H3" i="6457"/>
  <c r="H7" i="6457"/>
  <c r="H14" i="6457"/>
  <c r="C18" i="6455"/>
  <c r="C36" i="6457"/>
  <c r="C22" i="6457"/>
  <c r="H17" i="6457"/>
  <c r="B13" i="6457"/>
  <c r="H13" i="6457"/>
  <c r="H8" i="6457"/>
  <c r="H22" i="6457"/>
  <c r="B13" i="6455"/>
  <c r="C25" i="6457"/>
  <c r="C44" i="6457"/>
  <c r="H21" i="6457"/>
  <c r="C23" i="6457"/>
  <c r="H12" i="6457"/>
  <c r="H30" i="6457"/>
  <c r="C38" i="6457"/>
  <c r="C46" i="6457"/>
  <c r="H16" i="6457"/>
  <c r="H20" i="6457"/>
  <c r="C21" i="6457"/>
  <c r="B26" i="6457"/>
  <c r="H34" i="6457"/>
  <c r="C40" i="6457"/>
  <c r="C48" i="6457"/>
  <c r="H26" i="6457"/>
  <c r="H11" i="6457"/>
  <c r="H15" i="6457"/>
  <c r="H18" i="6457"/>
  <c r="H5" i="6457"/>
  <c r="C19" i="6457"/>
  <c r="H24" i="6457"/>
  <c r="C24" i="6457"/>
  <c r="H9" i="6457"/>
  <c r="C42" i="6457"/>
  <c r="H4" i="6457"/>
  <c r="H23" i="6457"/>
  <c r="H25" i="6457"/>
  <c r="H27" i="6457"/>
  <c r="H28" i="6457"/>
  <c r="H29" i="6457"/>
  <c r="H32" i="6457"/>
  <c r="H35" i="6457"/>
  <c r="C37" i="6457"/>
  <c r="C39" i="6457"/>
  <c r="C41" i="6457"/>
  <c r="C43" i="6457"/>
  <c r="C45" i="6457"/>
  <c r="C47" i="6457"/>
  <c r="H50" i="6457"/>
  <c r="B27" i="6457"/>
  <c r="H33" i="6457"/>
  <c r="H36" i="6457"/>
  <c r="H38" i="6457"/>
  <c r="H40" i="6457"/>
  <c r="H42" i="6457"/>
  <c r="H44" i="6457"/>
  <c r="H46" i="6457"/>
  <c r="H48" i="6457"/>
  <c r="H51" i="6457"/>
  <c r="H31" i="6457"/>
  <c r="H37" i="6457"/>
  <c r="H39" i="6457"/>
  <c r="H41" i="6457"/>
  <c r="H43" i="6457"/>
  <c r="H45" i="6457"/>
  <c r="H47" i="6457"/>
  <c r="H49" i="6457"/>
  <c r="H7" i="6455"/>
  <c r="H3" i="6455"/>
  <c r="H2" i="6455"/>
  <c r="H11" i="6455"/>
  <c r="H19" i="6455"/>
  <c r="H21" i="6455"/>
  <c r="H6" i="6455"/>
  <c r="H17" i="6455"/>
  <c r="H9" i="6455"/>
  <c r="H16" i="6455"/>
  <c r="H10" i="6455"/>
  <c r="H8" i="6455"/>
  <c r="H12" i="6455"/>
  <c r="C22" i="6455"/>
  <c r="C25" i="6455"/>
  <c r="C36" i="6455"/>
  <c r="C44" i="6455"/>
  <c r="H22" i="6455"/>
  <c r="C23" i="6455"/>
  <c r="H28" i="6455"/>
  <c r="H14" i="6455"/>
  <c r="C38" i="6455"/>
  <c r="C46" i="6455"/>
  <c r="C21" i="6455"/>
  <c r="H26" i="6455"/>
  <c r="B26" i="6455"/>
  <c r="H34" i="6455"/>
  <c r="C40" i="6455"/>
  <c r="C48" i="6455"/>
  <c r="H4" i="6455"/>
  <c r="H15" i="6455"/>
  <c r="H18" i="6455"/>
  <c r="H20" i="6455"/>
  <c r="C19" i="6455"/>
  <c r="H24" i="6455"/>
  <c r="C24" i="6455"/>
  <c r="H13" i="6455"/>
  <c r="C42" i="6455"/>
  <c r="H5" i="6455"/>
  <c r="H23" i="6455"/>
  <c r="H25" i="6455"/>
  <c r="H27" i="6455"/>
  <c r="H29" i="6455"/>
  <c r="H30" i="6455"/>
  <c r="H32" i="6455"/>
  <c r="H35" i="6455"/>
  <c r="C37" i="6455"/>
  <c r="C39" i="6455"/>
  <c r="C41" i="6455"/>
  <c r="C43" i="6455"/>
  <c r="C45" i="6455"/>
  <c r="C47" i="6455"/>
  <c r="H50" i="6455"/>
  <c r="B27" i="6455"/>
  <c r="H33" i="6455"/>
  <c r="H36" i="6455"/>
  <c r="H38" i="6455"/>
  <c r="H40" i="6455"/>
  <c r="H42" i="6455"/>
  <c r="H44" i="6455"/>
  <c r="H46" i="6455"/>
  <c r="H48" i="6455"/>
  <c r="H51" i="6455"/>
  <c r="H31" i="6455"/>
  <c r="H37" i="6455"/>
  <c r="H39" i="6455"/>
  <c r="H41" i="6455"/>
  <c r="H43" i="6455"/>
  <c r="H45" i="6455"/>
  <c r="H47" i="6455"/>
  <c r="H49" i="6455"/>
  <c r="O21" i="6453" l="1"/>
  <c r="O15" i="6435"/>
  <c r="O21" i="6437" l="1"/>
  <c r="O16" i="6453"/>
  <c r="O19" i="6453"/>
  <c r="O22" i="6439"/>
  <c r="O17" i="6447" l="1"/>
  <c r="O20" i="6453"/>
  <c r="O21" i="6441" l="1"/>
  <c r="O17" i="6453"/>
  <c r="O18" i="6453"/>
  <c r="C34" i="6453"/>
  <c r="B29" i="6453"/>
  <c r="C20" i="6453"/>
  <c r="B19" i="6453"/>
  <c r="H7" i="6453" s="1"/>
  <c r="B18" i="6453"/>
  <c r="C18" i="6453" s="1"/>
  <c r="B17" i="6453"/>
  <c r="C17" i="6453" s="1"/>
  <c r="C16" i="6453"/>
  <c r="C15" i="6453"/>
  <c r="C14" i="6453"/>
  <c r="O12" i="6453"/>
  <c r="B12" i="6453"/>
  <c r="O11" i="6453"/>
  <c r="B11" i="6453"/>
  <c r="O10" i="6453"/>
  <c r="B10" i="6453"/>
  <c r="C9" i="6453"/>
  <c r="C8" i="6453"/>
  <c r="O7" i="6453"/>
  <c r="C7" i="6453"/>
  <c r="O6" i="6453"/>
  <c r="B6" i="6453"/>
  <c r="O5" i="6453"/>
  <c r="B5" i="6453"/>
  <c r="O4" i="6453"/>
  <c r="O3" i="6453"/>
  <c r="O2" i="6453"/>
  <c r="O18" i="6445"/>
  <c r="O20" i="6431"/>
  <c r="B13" i="6453" l="1"/>
  <c r="B28" i="6453"/>
  <c r="H10" i="6453"/>
  <c r="H13" i="6453"/>
  <c r="C22" i="6453"/>
  <c r="H16" i="6453"/>
  <c r="H20" i="6453"/>
  <c r="B27" i="6453"/>
  <c r="C19" i="6453"/>
  <c r="C23" i="6453"/>
  <c r="H37" i="6453"/>
  <c r="H45" i="6453"/>
  <c r="B26" i="6453"/>
  <c r="H52" i="6453"/>
  <c r="H6" i="6453"/>
  <c r="H19" i="6453"/>
  <c r="H18" i="6453"/>
  <c r="C24" i="6453"/>
  <c r="H39" i="6453"/>
  <c r="H47" i="6453"/>
  <c r="H43" i="6453"/>
  <c r="H8" i="6453"/>
  <c r="H22" i="6453"/>
  <c r="H4" i="6453"/>
  <c r="H2" i="6453"/>
  <c r="H3" i="6453"/>
  <c r="H9" i="6453"/>
  <c r="H5" i="6453"/>
  <c r="H12" i="6453"/>
  <c r="H21" i="6453"/>
  <c r="H23" i="6453"/>
  <c r="C21" i="6453"/>
  <c r="C25" i="6453"/>
  <c r="H31" i="6453"/>
  <c r="H41" i="6453"/>
  <c r="H49" i="6453"/>
  <c r="H25" i="6453"/>
  <c r="H26" i="6453"/>
  <c r="H17" i="6453"/>
  <c r="H28" i="6453"/>
  <c r="H29" i="6453"/>
  <c r="H32" i="6453"/>
  <c r="H35" i="6453"/>
  <c r="C37" i="6453"/>
  <c r="C39" i="6453"/>
  <c r="C41" i="6453"/>
  <c r="C43" i="6453"/>
  <c r="C45" i="6453"/>
  <c r="C47" i="6453"/>
  <c r="H50" i="6453"/>
  <c r="H33" i="6453"/>
  <c r="H36" i="6453"/>
  <c r="H38" i="6453"/>
  <c r="H40" i="6453"/>
  <c r="H42" i="6453"/>
  <c r="H44" i="6453"/>
  <c r="H46" i="6453"/>
  <c r="H48" i="6453"/>
  <c r="H51" i="6453"/>
  <c r="H24" i="6453"/>
  <c r="H14" i="6453"/>
  <c r="H15" i="6453"/>
  <c r="H27" i="6453"/>
  <c r="H11" i="6453"/>
  <c r="H30" i="6453"/>
  <c r="H34" i="6453"/>
  <c r="C36" i="6453"/>
  <c r="C38" i="6453"/>
  <c r="C40" i="6453"/>
  <c r="C42" i="6453"/>
  <c r="C44" i="6453"/>
  <c r="C46" i="6453"/>
  <c r="C48" i="6453"/>
  <c r="O16" i="6443" l="1"/>
  <c r="O17" i="6451"/>
  <c r="O23" i="6435"/>
  <c r="O16" i="6451"/>
  <c r="O15" i="6451"/>
  <c r="C34" i="6451"/>
  <c r="B29" i="6451"/>
  <c r="C20" i="6451"/>
  <c r="B19" i="6451"/>
  <c r="H52" i="6451" s="1"/>
  <c r="B18" i="6451"/>
  <c r="B28" i="6451" s="1"/>
  <c r="C17" i="6451"/>
  <c r="B17" i="6451"/>
  <c r="C16" i="6451"/>
  <c r="C15" i="6451"/>
  <c r="C14" i="6451"/>
  <c r="O12" i="6451"/>
  <c r="B12" i="6451"/>
  <c r="O11" i="6451"/>
  <c r="B11" i="6451"/>
  <c r="O10" i="6451"/>
  <c r="B10" i="6451"/>
  <c r="C9" i="6451"/>
  <c r="C8" i="6451"/>
  <c r="O7" i="6451"/>
  <c r="C7" i="6451"/>
  <c r="O6" i="6451"/>
  <c r="B6" i="6451"/>
  <c r="O5" i="6451"/>
  <c r="B5" i="6451"/>
  <c r="O4" i="6451"/>
  <c r="O3" i="6451"/>
  <c r="O2" i="6451"/>
  <c r="O20" i="6445"/>
  <c r="O26" i="6431"/>
  <c r="H12" i="6451" l="1"/>
  <c r="H16" i="6451"/>
  <c r="H10" i="6451"/>
  <c r="C22" i="6451"/>
  <c r="H7" i="6451"/>
  <c r="H21" i="6451"/>
  <c r="B13" i="6451"/>
  <c r="C19" i="6451"/>
  <c r="H9" i="6451"/>
  <c r="H2" i="6451"/>
  <c r="H6" i="6451"/>
  <c r="H3" i="6451"/>
  <c r="H13" i="6451"/>
  <c r="H18" i="6451"/>
  <c r="H37" i="6451"/>
  <c r="C18" i="6451"/>
  <c r="B26" i="6451"/>
  <c r="H39" i="6451"/>
  <c r="C24" i="6451"/>
  <c r="H31" i="6451"/>
  <c r="H41" i="6451"/>
  <c r="H23" i="6451"/>
  <c r="H24" i="6451"/>
  <c r="H26" i="6451"/>
  <c r="H28" i="6451"/>
  <c r="H29" i="6451"/>
  <c r="H32" i="6451"/>
  <c r="H35" i="6451"/>
  <c r="C37" i="6451"/>
  <c r="C39" i="6451"/>
  <c r="C41" i="6451"/>
  <c r="C43" i="6451"/>
  <c r="C45" i="6451"/>
  <c r="C47" i="6451"/>
  <c r="H50" i="6451"/>
  <c r="H15" i="6451"/>
  <c r="H20" i="6451"/>
  <c r="H4" i="6451"/>
  <c r="H14" i="6451"/>
  <c r="H17" i="6451"/>
  <c r="H19" i="6451"/>
  <c r="C21" i="6451"/>
  <c r="C23" i="6451"/>
  <c r="C25" i="6451"/>
  <c r="B27" i="6451"/>
  <c r="H33" i="6451"/>
  <c r="H36" i="6451"/>
  <c r="H38" i="6451"/>
  <c r="H40" i="6451"/>
  <c r="H42" i="6451"/>
  <c r="H44" i="6451"/>
  <c r="H46" i="6451"/>
  <c r="H48" i="6451"/>
  <c r="H51" i="6451"/>
  <c r="H22" i="6451"/>
  <c r="H8" i="6451"/>
  <c r="H25" i="6451"/>
  <c r="H27" i="6451"/>
  <c r="H5" i="6451"/>
  <c r="H30" i="6451"/>
  <c r="H34" i="6451"/>
  <c r="C36" i="6451"/>
  <c r="C38" i="6451"/>
  <c r="C40" i="6451"/>
  <c r="C42" i="6451"/>
  <c r="C44" i="6451"/>
  <c r="C46" i="6451"/>
  <c r="C48" i="6451"/>
  <c r="H11" i="6451"/>
  <c r="H43" i="6451"/>
  <c r="H45" i="6451"/>
  <c r="H47" i="6451"/>
  <c r="H49" i="6451"/>
  <c r="O22" i="6433" l="1"/>
  <c r="O16" i="6441"/>
  <c r="O15" i="6441" l="1"/>
  <c r="O19" i="6449"/>
  <c r="O15" i="6439" l="1"/>
  <c r="O22" i="6445"/>
  <c r="O16" i="6449" l="1"/>
  <c r="O23" i="6439"/>
  <c r="O20" i="6433" l="1"/>
  <c r="O17" i="6435"/>
  <c r="O15" i="6445"/>
  <c r="O23" i="6445"/>
  <c r="O19" i="6443" l="1"/>
  <c r="O19" i="6447"/>
  <c r="O18" i="6437" l="1"/>
  <c r="O17" i="6443"/>
  <c r="O17" i="6445"/>
  <c r="O19" i="6445"/>
  <c r="O16" i="6433" l="1"/>
  <c r="O16" i="6447"/>
  <c r="O20" i="6447"/>
  <c r="O18" i="6439"/>
  <c r="O22" i="6437" l="1"/>
  <c r="O20" i="6441"/>
  <c r="O23" i="6441" l="1"/>
  <c r="O22" i="6435"/>
  <c r="O25" i="6445"/>
  <c r="O17" i="6449"/>
  <c r="O15" i="6449"/>
  <c r="O21" i="6447"/>
  <c r="O15" i="6437" l="1"/>
  <c r="O20" i="6437"/>
  <c r="O18" i="6449"/>
  <c r="O20" i="6449"/>
  <c r="C34" i="6449"/>
  <c r="B29" i="6449"/>
  <c r="C20" i="6449"/>
  <c r="B19" i="6449"/>
  <c r="H52" i="6449" s="1"/>
  <c r="B18" i="6449"/>
  <c r="B28" i="6449" s="1"/>
  <c r="B17" i="6449"/>
  <c r="C17" i="6449" s="1"/>
  <c r="C16" i="6449"/>
  <c r="C15" i="6449"/>
  <c r="C14" i="6449"/>
  <c r="O12" i="6449"/>
  <c r="B12" i="6449"/>
  <c r="O11" i="6449"/>
  <c r="B11" i="6449"/>
  <c r="O10" i="6449"/>
  <c r="B10" i="6449"/>
  <c r="C9" i="6449"/>
  <c r="C8" i="6449"/>
  <c r="O7" i="6449"/>
  <c r="C7" i="6449"/>
  <c r="O6" i="6449"/>
  <c r="B6" i="6449"/>
  <c r="O5" i="6449"/>
  <c r="B5" i="6449"/>
  <c r="O4" i="6449"/>
  <c r="O3" i="6449"/>
  <c r="O2" i="6449"/>
  <c r="O21" i="6443"/>
  <c r="O15" i="6443"/>
  <c r="O16" i="6431"/>
  <c r="B13" i="6449" l="1"/>
  <c r="C19" i="6449"/>
  <c r="C18" i="6449"/>
  <c r="H7" i="6449"/>
  <c r="H12" i="6449"/>
  <c r="H8" i="6449"/>
  <c r="H17" i="6449"/>
  <c r="H24" i="6449"/>
  <c r="H15" i="6449"/>
  <c r="H28" i="6449"/>
  <c r="H29" i="6449"/>
  <c r="H32" i="6449"/>
  <c r="H35" i="6449"/>
  <c r="C37" i="6449"/>
  <c r="C39" i="6449"/>
  <c r="C41" i="6449"/>
  <c r="C43" i="6449"/>
  <c r="C45" i="6449"/>
  <c r="C47" i="6449"/>
  <c r="H50" i="6449"/>
  <c r="H4" i="6449"/>
  <c r="H16" i="6449"/>
  <c r="H19" i="6449"/>
  <c r="H21" i="6449"/>
  <c r="C21" i="6449"/>
  <c r="C23" i="6449"/>
  <c r="C25" i="6449"/>
  <c r="B27" i="6449"/>
  <c r="H33" i="6449"/>
  <c r="H36" i="6449"/>
  <c r="H38" i="6449"/>
  <c r="H40" i="6449"/>
  <c r="H42" i="6449"/>
  <c r="H44" i="6449"/>
  <c r="H46" i="6449"/>
  <c r="H48" i="6449"/>
  <c r="H51" i="6449"/>
  <c r="H23" i="6449"/>
  <c r="H14" i="6449"/>
  <c r="H26" i="6449"/>
  <c r="H27" i="6449"/>
  <c r="H9" i="6449"/>
  <c r="H30" i="6449"/>
  <c r="H34" i="6449"/>
  <c r="C36" i="6449"/>
  <c r="C38" i="6449"/>
  <c r="C40" i="6449"/>
  <c r="C42" i="6449"/>
  <c r="C44" i="6449"/>
  <c r="C46" i="6449"/>
  <c r="C48" i="6449"/>
  <c r="H6" i="6449"/>
  <c r="H13" i="6449"/>
  <c r="H25" i="6449"/>
  <c r="H3" i="6449"/>
  <c r="H2" i="6449"/>
  <c r="H11" i="6449"/>
  <c r="H5" i="6449"/>
  <c r="H10" i="6449"/>
  <c r="H18" i="6449"/>
  <c r="H20" i="6449"/>
  <c r="H22" i="6449"/>
  <c r="C22" i="6449"/>
  <c r="C24" i="6449"/>
  <c r="B26" i="6449"/>
  <c r="H31" i="6449"/>
  <c r="H37" i="6449"/>
  <c r="H39" i="6449"/>
  <c r="H41" i="6449"/>
  <c r="H43" i="6449"/>
  <c r="H45" i="6449"/>
  <c r="H47" i="6449"/>
  <c r="H49" i="6449"/>
  <c r="O18" i="6435" l="1"/>
  <c r="O20" i="6439"/>
  <c r="O21" i="6435" l="1"/>
  <c r="O22" i="6443"/>
  <c r="O24" i="6443"/>
  <c r="O18" i="6433"/>
  <c r="O17" i="6437"/>
  <c r="O17" i="6439"/>
  <c r="O21" i="6439"/>
  <c r="O17" i="6433"/>
  <c r="O16" i="6437"/>
  <c r="O16" i="6435"/>
  <c r="O22" i="6447"/>
  <c r="O23" i="6447"/>
  <c r="O19" i="6441" l="1"/>
  <c r="O17" i="6441"/>
  <c r="O15" i="6447"/>
  <c r="O18" i="6447"/>
  <c r="C34" i="6447"/>
  <c r="B29" i="6447"/>
  <c r="C20" i="6447"/>
  <c r="B19" i="6447"/>
  <c r="H52" i="6447" s="1"/>
  <c r="B18" i="6447"/>
  <c r="B28" i="6447" s="1"/>
  <c r="B17" i="6447"/>
  <c r="C17" i="6447" s="1"/>
  <c r="C16" i="6447"/>
  <c r="C15" i="6447"/>
  <c r="C14" i="6447"/>
  <c r="O12" i="6447"/>
  <c r="B12" i="6447"/>
  <c r="O11" i="6447"/>
  <c r="B11" i="6447"/>
  <c r="O10" i="6447"/>
  <c r="B10" i="6447"/>
  <c r="C9" i="6447"/>
  <c r="C8" i="6447"/>
  <c r="O7" i="6447"/>
  <c r="C7" i="6447"/>
  <c r="O6" i="6447"/>
  <c r="B6" i="6447"/>
  <c r="O5" i="6447"/>
  <c r="B5" i="6447"/>
  <c r="O4" i="6447"/>
  <c r="O3" i="6447"/>
  <c r="O2" i="6447"/>
  <c r="O17" i="6431"/>
  <c r="O21" i="6445"/>
  <c r="O24" i="6445"/>
  <c r="C34" i="6445"/>
  <c r="B29" i="6445"/>
  <c r="C20" i="6445"/>
  <c r="B19" i="6445"/>
  <c r="H52" i="6445" s="1"/>
  <c r="B18" i="6445"/>
  <c r="B28" i="6445" s="1"/>
  <c r="B17" i="6445"/>
  <c r="C17" i="6445" s="1"/>
  <c r="C16" i="6445"/>
  <c r="C15" i="6445"/>
  <c r="C14" i="6445"/>
  <c r="O12" i="6445"/>
  <c r="B12" i="6445"/>
  <c r="O11" i="6445"/>
  <c r="B11" i="6445"/>
  <c r="O10" i="6445"/>
  <c r="B10" i="6445"/>
  <c r="C9" i="6445"/>
  <c r="C8" i="6445"/>
  <c r="O7" i="6445"/>
  <c r="C7" i="6445"/>
  <c r="O6" i="6445"/>
  <c r="B6" i="6445"/>
  <c r="O5" i="6445"/>
  <c r="B5" i="6445"/>
  <c r="O4" i="6445"/>
  <c r="O3" i="6445"/>
  <c r="O2" i="6445"/>
  <c r="O21" i="6431"/>
  <c r="B13" i="6445" l="1"/>
  <c r="C18" i="6445"/>
  <c r="C18" i="6447"/>
  <c r="H20" i="6445"/>
  <c r="H11" i="6445"/>
  <c r="H10" i="6445"/>
  <c r="H19" i="6445"/>
  <c r="H26" i="6445"/>
  <c r="C23" i="6445"/>
  <c r="B13" i="6447"/>
  <c r="H4" i="6447"/>
  <c r="H22" i="6447"/>
  <c r="H12" i="6447"/>
  <c r="H9" i="6447"/>
  <c r="C19" i="6447"/>
  <c r="H25" i="6447"/>
  <c r="H27" i="6447"/>
  <c r="H14" i="6447"/>
  <c r="H29" i="6447"/>
  <c r="H33" i="6447"/>
  <c r="C37" i="6447"/>
  <c r="C41" i="6447"/>
  <c r="C45" i="6447"/>
  <c r="H51" i="6447"/>
  <c r="H21" i="6447"/>
  <c r="H23" i="6447"/>
  <c r="H13" i="6447"/>
  <c r="C23" i="6447"/>
  <c r="B27" i="6447"/>
  <c r="H34" i="6447"/>
  <c r="H39" i="6447"/>
  <c r="H41" i="6447"/>
  <c r="H45" i="6447"/>
  <c r="H49" i="6447"/>
  <c r="H6" i="6447"/>
  <c r="H17" i="6447"/>
  <c r="H15" i="6447"/>
  <c r="H18" i="6447"/>
  <c r="H19" i="6447"/>
  <c r="H11" i="6447"/>
  <c r="H31" i="6447"/>
  <c r="H35" i="6447"/>
  <c r="C36" i="6447"/>
  <c r="C38" i="6447"/>
  <c r="C40" i="6447"/>
  <c r="C42" i="6447"/>
  <c r="C44" i="6447"/>
  <c r="C46" i="6447"/>
  <c r="C48" i="6447"/>
  <c r="H5" i="6447"/>
  <c r="H28" i="6447"/>
  <c r="H30" i="6447"/>
  <c r="H36" i="6447"/>
  <c r="C39" i="6447"/>
  <c r="C43" i="6447"/>
  <c r="C47" i="6447"/>
  <c r="H7" i="6447"/>
  <c r="C21" i="6447"/>
  <c r="C25" i="6447"/>
  <c r="H37" i="6447"/>
  <c r="H43" i="6447"/>
  <c r="H47" i="6447"/>
  <c r="H20" i="6447"/>
  <c r="H3" i="6447"/>
  <c r="H2" i="6447"/>
  <c r="H10" i="6447"/>
  <c r="H8" i="6447"/>
  <c r="H16" i="6447"/>
  <c r="H24" i="6447"/>
  <c r="H26" i="6447"/>
  <c r="C22" i="6447"/>
  <c r="C24" i="6447"/>
  <c r="B26" i="6447"/>
  <c r="H32" i="6447"/>
  <c r="H38" i="6447"/>
  <c r="H40" i="6447"/>
  <c r="H42" i="6447"/>
  <c r="H44" i="6447"/>
  <c r="H46" i="6447"/>
  <c r="H48" i="6447"/>
  <c r="H50" i="6447"/>
  <c r="H6" i="6445"/>
  <c r="H24" i="6445"/>
  <c r="C42" i="6445"/>
  <c r="H9" i="6445"/>
  <c r="H27" i="6445"/>
  <c r="H8" i="6445"/>
  <c r="H5" i="6445"/>
  <c r="C21" i="6445"/>
  <c r="H30" i="6445"/>
  <c r="C36" i="6445"/>
  <c r="C44" i="6445"/>
  <c r="H7" i="6445"/>
  <c r="H18" i="6445"/>
  <c r="H25" i="6445"/>
  <c r="H17" i="6445"/>
  <c r="C19" i="6445"/>
  <c r="H14" i="6445"/>
  <c r="C25" i="6445"/>
  <c r="H16" i="6445"/>
  <c r="C38" i="6445"/>
  <c r="C46" i="6445"/>
  <c r="H4" i="6445"/>
  <c r="H2" i="6445"/>
  <c r="H12" i="6445"/>
  <c r="H3" i="6445"/>
  <c r="H13" i="6445"/>
  <c r="C22" i="6445"/>
  <c r="H31" i="6445"/>
  <c r="H22" i="6445"/>
  <c r="C40" i="6445"/>
  <c r="C48" i="6445"/>
  <c r="H28" i="6445"/>
  <c r="H29" i="6445"/>
  <c r="H15" i="6445"/>
  <c r="H32" i="6445"/>
  <c r="H33" i="6445"/>
  <c r="H34" i="6445"/>
  <c r="H36" i="6445"/>
  <c r="C37" i="6445"/>
  <c r="C39" i="6445"/>
  <c r="C41" i="6445"/>
  <c r="C43" i="6445"/>
  <c r="C45" i="6445"/>
  <c r="C47" i="6445"/>
  <c r="H51" i="6445"/>
  <c r="B27" i="6445"/>
  <c r="H35" i="6445"/>
  <c r="H37" i="6445"/>
  <c r="H39" i="6445"/>
  <c r="H41" i="6445"/>
  <c r="H43" i="6445"/>
  <c r="H45" i="6445"/>
  <c r="H47" i="6445"/>
  <c r="H49" i="6445"/>
  <c r="H23" i="6445"/>
  <c r="C24" i="6445"/>
  <c r="B26" i="6445"/>
  <c r="H21" i="6445"/>
  <c r="H38" i="6445"/>
  <c r="H40" i="6445"/>
  <c r="H42" i="6445"/>
  <c r="H44" i="6445"/>
  <c r="H46" i="6445"/>
  <c r="H48" i="6445"/>
  <c r="H50" i="6445"/>
  <c r="O23" i="6443" l="1"/>
  <c r="O18" i="6443"/>
  <c r="C34" i="6443"/>
  <c r="B29" i="6443"/>
  <c r="C20" i="6443"/>
  <c r="B19" i="6443"/>
  <c r="H52" i="6443" s="1"/>
  <c r="B18" i="6443"/>
  <c r="C18" i="6443" s="1"/>
  <c r="B17" i="6443"/>
  <c r="C17" i="6443" s="1"/>
  <c r="C16" i="6443"/>
  <c r="C15" i="6443"/>
  <c r="C14" i="6443"/>
  <c r="O12" i="6443"/>
  <c r="B12" i="6443"/>
  <c r="O11" i="6443"/>
  <c r="B11" i="6443"/>
  <c r="O10" i="6443"/>
  <c r="B10" i="6443"/>
  <c r="C9" i="6443"/>
  <c r="C8" i="6443"/>
  <c r="O7" i="6443"/>
  <c r="C7" i="6443"/>
  <c r="O6" i="6443"/>
  <c r="B6" i="6443"/>
  <c r="O5" i="6443"/>
  <c r="B5" i="6443"/>
  <c r="O4" i="6443"/>
  <c r="O3" i="6443"/>
  <c r="O2" i="6443"/>
  <c r="O22" i="6441"/>
  <c r="O18" i="6441"/>
  <c r="C34" i="6441"/>
  <c r="B29" i="6441"/>
  <c r="C20" i="6441"/>
  <c r="B19" i="6441"/>
  <c r="H13" i="6441" s="1"/>
  <c r="B18" i="6441"/>
  <c r="B28" i="6441" s="1"/>
  <c r="B17" i="6441"/>
  <c r="C17" i="6441" s="1"/>
  <c r="C16" i="6441"/>
  <c r="C15" i="6441"/>
  <c r="C14" i="6441"/>
  <c r="O12" i="6441"/>
  <c r="B12" i="6441"/>
  <c r="O11" i="6441"/>
  <c r="B11" i="6441"/>
  <c r="O10" i="6441"/>
  <c r="B10" i="6441"/>
  <c r="C9" i="6441"/>
  <c r="C8" i="6441"/>
  <c r="O7" i="6441"/>
  <c r="C7" i="6441"/>
  <c r="O6" i="6441"/>
  <c r="B6" i="6441"/>
  <c r="O5" i="6441"/>
  <c r="B5" i="6441"/>
  <c r="O4" i="6441"/>
  <c r="O3" i="6441"/>
  <c r="O2" i="6441"/>
  <c r="O18" i="6431"/>
  <c r="O19" i="6439"/>
  <c r="O16" i="6439"/>
  <c r="C34" i="6439"/>
  <c r="B29" i="6439"/>
  <c r="C20" i="6439"/>
  <c r="B19" i="6439"/>
  <c r="H18" i="6439" s="1"/>
  <c r="B18" i="6439"/>
  <c r="B28" i="6439" s="1"/>
  <c r="B17" i="6439"/>
  <c r="C17" i="6439" s="1"/>
  <c r="C16" i="6439"/>
  <c r="C15" i="6439"/>
  <c r="C14" i="6439"/>
  <c r="O12" i="6439"/>
  <c r="B12" i="6439"/>
  <c r="O11" i="6439"/>
  <c r="B11" i="6439"/>
  <c r="O10" i="6439"/>
  <c r="B10" i="6439"/>
  <c r="C9" i="6439"/>
  <c r="C8" i="6439"/>
  <c r="O7" i="6439"/>
  <c r="C7" i="6439"/>
  <c r="O6" i="6439"/>
  <c r="B6" i="6439"/>
  <c r="O5" i="6439"/>
  <c r="B5" i="6439"/>
  <c r="O4" i="6439"/>
  <c r="O3" i="6439"/>
  <c r="O2" i="6439"/>
  <c r="O23" i="6431"/>
  <c r="O24" i="6431"/>
  <c r="C18" i="6441" l="1"/>
  <c r="B13" i="6439"/>
  <c r="H3" i="6441"/>
  <c r="C18" i="6439"/>
  <c r="H10" i="6439"/>
  <c r="H14" i="6439"/>
  <c r="H17" i="6439"/>
  <c r="H6" i="6439"/>
  <c r="H23" i="6439"/>
  <c r="B13" i="6441"/>
  <c r="B13" i="6443"/>
  <c r="H25" i="6443"/>
  <c r="H7" i="6443"/>
  <c r="H11" i="6443"/>
  <c r="H10" i="6443"/>
  <c r="B28" i="6443"/>
  <c r="H15" i="6443"/>
  <c r="C19" i="6443"/>
  <c r="H32" i="6443"/>
  <c r="H33" i="6443"/>
  <c r="H13" i="6443"/>
  <c r="H24" i="6443"/>
  <c r="H34" i="6443"/>
  <c r="H27" i="6443"/>
  <c r="C37" i="6443"/>
  <c r="C39" i="6443"/>
  <c r="C41" i="6443"/>
  <c r="C43" i="6443"/>
  <c r="C45" i="6443"/>
  <c r="C47" i="6443"/>
  <c r="H51" i="6443"/>
  <c r="H6" i="6443"/>
  <c r="H18" i="6443"/>
  <c r="H29" i="6443"/>
  <c r="H16" i="6443"/>
  <c r="C21" i="6443"/>
  <c r="C23" i="6443"/>
  <c r="C25" i="6443"/>
  <c r="B27" i="6443"/>
  <c r="H35" i="6443"/>
  <c r="H38" i="6443"/>
  <c r="H40" i="6443"/>
  <c r="H28" i="6443"/>
  <c r="H43" i="6443"/>
  <c r="H45" i="6443"/>
  <c r="H47" i="6443"/>
  <c r="H49" i="6443"/>
  <c r="H17" i="6443"/>
  <c r="H37" i="6443"/>
  <c r="H4" i="6443"/>
  <c r="H2" i="6443"/>
  <c r="H12" i="6443"/>
  <c r="H3" i="6443"/>
  <c r="H19" i="6443"/>
  <c r="H14" i="6443"/>
  <c r="H21" i="6443"/>
  <c r="H26" i="6443"/>
  <c r="H8" i="6443"/>
  <c r="H20" i="6443"/>
  <c r="H36" i="6443"/>
  <c r="C36" i="6443"/>
  <c r="C38" i="6443"/>
  <c r="C40" i="6443"/>
  <c r="C42" i="6443"/>
  <c r="C44" i="6443"/>
  <c r="C46" i="6443"/>
  <c r="C48" i="6443"/>
  <c r="H5" i="6443"/>
  <c r="H9" i="6443"/>
  <c r="H23" i="6443"/>
  <c r="H30" i="6443"/>
  <c r="H31" i="6443"/>
  <c r="C22" i="6443"/>
  <c r="C24" i="6443"/>
  <c r="B26" i="6443"/>
  <c r="H22" i="6443"/>
  <c r="H39" i="6443"/>
  <c r="H41" i="6443"/>
  <c r="H42" i="6443"/>
  <c r="H44" i="6443"/>
  <c r="H46" i="6443"/>
  <c r="H48" i="6443"/>
  <c r="H50" i="6443"/>
  <c r="H11" i="6441"/>
  <c r="H25" i="6441"/>
  <c r="H20" i="6441"/>
  <c r="C36" i="6441"/>
  <c r="C19" i="6441"/>
  <c r="H10" i="6441"/>
  <c r="H24" i="6441"/>
  <c r="C40" i="6441"/>
  <c r="C22" i="6441"/>
  <c r="H16" i="6441"/>
  <c r="C44" i="6441"/>
  <c r="B26" i="6441"/>
  <c r="C48" i="6441"/>
  <c r="H4" i="6441"/>
  <c r="H2" i="6441"/>
  <c r="H9" i="6441"/>
  <c r="H31" i="6441"/>
  <c r="H17" i="6441"/>
  <c r="H21" i="6441"/>
  <c r="H8" i="6441"/>
  <c r="H18" i="6441"/>
  <c r="H38" i="6441"/>
  <c r="H42" i="6441"/>
  <c r="H46" i="6441"/>
  <c r="H50" i="6441"/>
  <c r="H6" i="6441"/>
  <c r="H12" i="6441"/>
  <c r="H33" i="6441"/>
  <c r="C24" i="6441"/>
  <c r="H29" i="6441"/>
  <c r="C38" i="6441"/>
  <c r="C42" i="6441"/>
  <c r="C46" i="6441"/>
  <c r="H7" i="6441"/>
  <c r="H14" i="6441"/>
  <c r="H35" i="6441"/>
  <c r="H40" i="6441"/>
  <c r="H44" i="6441"/>
  <c r="H48" i="6441"/>
  <c r="H52" i="6441"/>
  <c r="H34" i="6441"/>
  <c r="H22" i="6441"/>
  <c r="H15" i="6441"/>
  <c r="H27" i="6441"/>
  <c r="H26" i="6441"/>
  <c r="H28" i="6441"/>
  <c r="H37" i="6441"/>
  <c r="C37" i="6441"/>
  <c r="C39" i="6441"/>
  <c r="C41" i="6441"/>
  <c r="C43" i="6441"/>
  <c r="C45" i="6441"/>
  <c r="C47" i="6441"/>
  <c r="H51" i="6441"/>
  <c r="H5" i="6441"/>
  <c r="H23" i="6441"/>
  <c r="H32" i="6441"/>
  <c r="H19" i="6441"/>
  <c r="C21" i="6441"/>
  <c r="C23" i="6441"/>
  <c r="C25" i="6441"/>
  <c r="B27" i="6441"/>
  <c r="H36" i="6441"/>
  <c r="H30" i="6441"/>
  <c r="H39" i="6441"/>
  <c r="H41" i="6441"/>
  <c r="H43" i="6441"/>
  <c r="H45" i="6441"/>
  <c r="H47" i="6441"/>
  <c r="H49" i="6441"/>
  <c r="C21" i="6439"/>
  <c r="H20" i="6439"/>
  <c r="B26" i="6439"/>
  <c r="H21" i="6439"/>
  <c r="C36" i="6439"/>
  <c r="C40" i="6439"/>
  <c r="C44" i="6439"/>
  <c r="C48" i="6439"/>
  <c r="B27" i="6439"/>
  <c r="H11" i="6439"/>
  <c r="H42" i="6439"/>
  <c r="H46" i="6439"/>
  <c r="H50" i="6439"/>
  <c r="H22" i="6439"/>
  <c r="H24" i="6439"/>
  <c r="H15" i="6439"/>
  <c r="H12" i="6439"/>
  <c r="H32" i="6439"/>
  <c r="H2" i="6439"/>
  <c r="H4" i="6439"/>
  <c r="H16" i="6439"/>
  <c r="C25" i="6439"/>
  <c r="H35" i="6439"/>
  <c r="C38" i="6439"/>
  <c r="C42" i="6439"/>
  <c r="C46" i="6439"/>
  <c r="H5" i="6439"/>
  <c r="H7" i="6439"/>
  <c r="C19" i="6439"/>
  <c r="C24" i="6439"/>
  <c r="H38" i="6439"/>
  <c r="H3" i="6439"/>
  <c r="H9" i="6439"/>
  <c r="C22" i="6439"/>
  <c r="H8" i="6439"/>
  <c r="H19" i="6439"/>
  <c r="H25" i="6439"/>
  <c r="H26" i="6439"/>
  <c r="C23" i="6439"/>
  <c r="H29" i="6439"/>
  <c r="H40" i="6439"/>
  <c r="H44" i="6439"/>
  <c r="H48" i="6439"/>
  <c r="H52" i="6439"/>
  <c r="H27" i="6439"/>
  <c r="H28" i="6439"/>
  <c r="H13" i="6439"/>
  <c r="H30" i="6439"/>
  <c r="H31" i="6439"/>
  <c r="H33" i="6439"/>
  <c r="H36" i="6439"/>
  <c r="C37" i="6439"/>
  <c r="C39" i="6439"/>
  <c r="C41" i="6439"/>
  <c r="C43" i="6439"/>
  <c r="C45" i="6439"/>
  <c r="C47" i="6439"/>
  <c r="H51" i="6439"/>
  <c r="H34" i="6439"/>
  <c r="H37" i="6439"/>
  <c r="H39" i="6439"/>
  <c r="H41" i="6439"/>
  <c r="H43" i="6439"/>
  <c r="H45" i="6439"/>
  <c r="H47" i="6439"/>
  <c r="H49" i="6439"/>
  <c r="O23" i="6437" l="1"/>
  <c r="O19" i="6437"/>
  <c r="C34" i="6437"/>
  <c r="B29" i="6437"/>
  <c r="C20" i="6437"/>
  <c r="B19" i="6437"/>
  <c r="H4" i="6437" s="1"/>
  <c r="B18" i="6437"/>
  <c r="B28" i="6437" s="1"/>
  <c r="B17" i="6437"/>
  <c r="C17" i="6437" s="1"/>
  <c r="C16" i="6437"/>
  <c r="C15" i="6437"/>
  <c r="C14" i="6437"/>
  <c r="O12" i="6437"/>
  <c r="B12" i="6437"/>
  <c r="O11" i="6437"/>
  <c r="B11" i="6437"/>
  <c r="O10" i="6437"/>
  <c r="B10" i="6437"/>
  <c r="C9" i="6437"/>
  <c r="C8" i="6437"/>
  <c r="O7" i="6437"/>
  <c r="C7" i="6437"/>
  <c r="O6" i="6437"/>
  <c r="B6" i="6437"/>
  <c r="O5" i="6437"/>
  <c r="B5" i="6437"/>
  <c r="O4" i="6437"/>
  <c r="O3" i="6437"/>
  <c r="O2" i="6437"/>
  <c r="O20" i="6435"/>
  <c r="O19" i="6435"/>
  <c r="C34" i="6435"/>
  <c r="B29" i="6435"/>
  <c r="C20" i="6435"/>
  <c r="B19" i="6435"/>
  <c r="H16" i="6435" s="1"/>
  <c r="B18" i="6435"/>
  <c r="C18" i="6435" s="1"/>
  <c r="B17" i="6435"/>
  <c r="C17" i="6435" s="1"/>
  <c r="C16" i="6435"/>
  <c r="C15" i="6435"/>
  <c r="C14" i="6435"/>
  <c r="O12" i="6435"/>
  <c r="B12" i="6435"/>
  <c r="O11" i="6435"/>
  <c r="B11" i="6435"/>
  <c r="O10" i="6435"/>
  <c r="B10" i="6435"/>
  <c r="C9" i="6435"/>
  <c r="C8" i="6435"/>
  <c r="O7" i="6435"/>
  <c r="C7" i="6435"/>
  <c r="O6" i="6435"/>
  <c r="B6" i="6435"/>
  <c r="O5" i="6435"/>
  <c r="B5" i="6435"/>
  <c r="O4" i="6435"/>
  <c r="O3" i="6435"/>
  <c r="O2" i="6435"/>
  <c r="O19" i="6431"/>
  <c r="O19" i="6433"/>
  <c r="O21" i="6433"/>
  <c r="C34" i="6433"/>
  <c r="B29" i="6433"/>
  <c r="C20" i="6433"/>
  <c r="B19" i="6433"/>
  <c r="H51" i="6433" s="1"/>
  <c r="B18" i="6433"/>
  <c r="C18" i="6433" s="1"/>
  <c r="B17" i="6433"/>
  <c r="C17" i="6433" s="1"/>
  <c r="C16" i="6433"/>
  <c r="C15" i="6433"/>
  <c r="C14" i="6433"/>
  <c r="O12" i="6433"/>
  <c r="B12" i="6433"/>
  <c r="O11" i="6433"/>
  <c r="B11" i="6433"/>
  <c r="O10" i="6433"/>
  <c r="B10" i="6433"/>
  <c r="C9" i="6433"/>
  <c r="C8" i="6433"/>
  <c r="O7" i="6433"/>
  <c r="C7" i="6433"/>
  <c r="O6" i="6433"/>
  <c r="B6" i="6433"/>
  <c r="O5" i="6433"/>
  <c r="B5" i="6433"/>
  <c r="O4" i="6433"/>
  <c r="O3" i="6433"/>
  <c r="O2" i="6433"/>
  <c r="O22" i="6431"/>
  <c r="O25" i="6431"/>
  <c r="C34" i="6431"/>
  <c r="B29" i="6431"/>
  <c r="C20" i="6431"/>
  <c r="B19" i="6431"/>
  <c r="H52" i="6431" s="1"/>
  <c r="B18" i="6431"/>
  <c r="B28" i="6431" s="1"/>
  <c r="B17" i="6431"/>
  <c r="C17" i="6431" s="1"/>
  <c r="C16" i="6431"/>
  <c r="C15" i="6431"/>
  <c r="C14" i="6431"/>
  <c r="O12" i="6431"/>
  <c r="B12" i="6431"/>
  <c r="O11" i="6431"/>
  <c r="B11" i="6431"/>
  <c r="O10" i="6431"/>
  <c r="B10" i="6431"/>
  <c r="C9" i="6431"/>
  <c r="C8" i="6431"/>
  <c r="O7" i="6431"/>
  <c r="C7" i="6431"/>
  <c r="O6" i="6431"/>
  <c r="B6" i="6431"/>
  <c r="O5" i="6431"/>
  <c r="B5" i="6431"/>
  <c r="O4" i="6431"/>
  <c r="O3" i="6431"/>
  <c r="O2" i="6431"/>
  <c r="C18" i="6437" l="1"/>
  <c r="B13" i="6437"/>
  <c r="B28" i="6435"/>
  <c r="B13" i="6433"/>
  <c r="H21" i="6437"/>
  <c r="H12" i="6437"/>
  <c r="H8" i="6437"/>
  <c r="H11" i="6437"/>
  <c r="B13" i="6435"/>
  <c r="H6" i="6437"/>
  <c r="H18" i="6437"/>
  <c r="C24" i="6437"/>
  <c r="H20" i="6437"/>
  <c r="H46" i="6437"/>
  <c r="H28" i="6437"/>
  <c r="H15" i="6437"/>
  <c r="B27" i="6437"/>
  <c r="C19" i="6437"/>
  <c r="C25" i="6437"/>
  <c r="H48" i="6437"/>
  <c r="H7" i="6437"/>
  <c r="H24" i="6437"/>
  <c r="H38" i="6437"/>
  <c r="H5" i="6437"/>
  <c r="H2" i="6437"/>
  <c r="H10" i="6437"/>
  <c r="H3" i="6437"/>
  <c r="H22" i="6437"/>
  <c r="H25" i="6437"/>
  <c r="H29" i="6437"/>
  <c r="C21" i="6437"/>
  <c r="H42" i="6437"/>
  <c r="B13" i="6431"/>
  <c r="H5" i="6433"/>
  <c r="H13" i="6433"/>
  <c r="H7" i="6433"/>
  <c r="H18" i="6433"/>
  <c r="H27" i="6433"/>
  <c r="C23" i="6437"/>
  <c r="H40" i="6437"/>
  <c r="H50" i="6437"/>
  <c r="C22" i="6437"/>
  <c r="B26" i="6437"/>
  <c r="H44" i="6437"/>
  <c r="H52" i="6437"/>
  <c r="H30" i="6437"/>
  <c r="H26" i="6437"/>
  <c r="H13" i="6437"/>
  <c r="H33" i="6437"/>
  <c r="H23" i="6437"/>
  <c r="H34" i="6437"/>
  <c r="H36" i="6437"/>
  <c r="C37" i="6437"/>
  <c r="C39" i="6437"/>
  <c r="C41" i="6437"/>
  <c r="C43" i="6437"/>
  <c r="C45" i="6437"/>
  <c r="C47" i="6437"/>
  <c r="H51" i="6437"/>
  <c r="H35" i="6437"/>
  <c r="H37" i="6437"/>
  <c r="H39" i="6437"/>
  <c r="H41" i="6437"/>
  <c r="H43" i="6437"/>
  <c r="H45" i="6437"/>
  <c r="H47" i="6437"/>
  <c r="H49" i="6437"/>
  <c r="H19" i="6437"/>
  <c r="H17" i="6437"/>
  <c r="H14" i="6437"/>
  <c r="H31" i="6437"/>
  <c r="H32" i="6437"/>
  <c r="H9" i="6437"/>
  <c r="H16" i="6437"/>
  <c r="H27" i="6437"/>
  <c r="C36" i="6437"/>
  <c r="C38" i="6437"/>
  <c r="C40" i="6437"/>
  <c r="C42" i="6437"/>
  <c r="C44" i="6437"/>
  <c r="C46" i="6437"/>
  <c r="C48" i="6437"/>
  <c r="C18" i="6431"/>
  <c r="H6" i="6435"/>
  <c r="H10" i="6435"/>
  <c r="H17" i="6435"/>
  <c r="H25" i="6435"/>
  <c r="H32" i="6435"/>
  <c r="H39" i="6435"/>
  <c r="C25" i="6435"/>
  <c r="H11" i="6435"/>
  <c r="B27" i="6435"/>
  <c r="C38" i="6435"/>
  <c r="H4" i="6435"/>
  <c r="H2" i="6435"/>
  <c r="H15" i="6435"/>
  <c r="C24" i="6435"/>
  <c r="H19" i="6435"/>
  <c r="C46" i="6435"/>
  <c r="H30" i="6435"/>
  <c r="H14" i="6435"/>
  <c r="H8" i="6435"/>
  <c r="H27" i="6435"/>
  <c r="H43" i="6435"/>
  <c r="H50" i="6435"/>
  <c r="H31" i="6435"/>
  <c r="H7" i="6435"/>
  <c r="H12" i="6435"/>
  <c r="H3" i="6435"/>
  <c r="H21" i="6435"/>
  <c r="C19" i="6435"/>
  <c r="C22" i="6435"/>
  <c r="C42" i="6435"/>
  <c r="H5" i="6435"/>
  <c r="C21" i="6435"/>
  <c r="H22" i="6435"/>
  <c r="B26" i="6435"/>
  <c r="H18" i="6435"/>
  <c r="C36" i="6435"/>
  <c r="C40" i="6435"/>
  <c r="C44" i="6435"/>
  <c r="C48" i="6435"/>
  <c r="H9" i="6435"/>
  <c r="H20" i="6435"/>
  <c r="H23" i="6435"/>
  <c r="H33" i="6435"/>
  <c r="C23" i="6435"/>
  <c r="H28" i="6435"/>
  <c r="H41" i="6435"/>
  <c r="H45" i="6435"/>
  <c r="H48" i="6435"/>
  <c r="H52" i="6435"/>
  <c r="H34" i="6435"/>
  <c r="H24" i="6435"/>
  <c r="H13" i="6435"/>
  <c r="H26" i="6435"/>
  <c r="H29" i="6435"/>
  <c r="H35" i="6435"/>
  <c r="H37" i="6435"/>
  <c r="C37" i="6435"/>
  <c r="C39" i="6435"/>
  <c r="C41" i="6435"/>
  <c r="C43" i="6435"/>
  <c r="C45" i="6435"/>
  <c r="C47" i="6435"/>
  <c r="H51" i="6435"/>
  <c r="H36" i="6435"/>
  <c r="H38" i="6435"/>
  <c r="H40" i="6435"/>
  <c r="H42" i="6435"/>
  <c r="H44" i="6435"/>
  <c r="H46" i="6435"/>
  <c r="H47" i="6435"/>
  <c r="H49" i="6435"/>
  <c r="H20" i="6433"/>
  <c r="H9" i="6433"/>
  <c r="H26" i="6433"/>
  <c r="H37" i="6433"/>
  <c r="B27" i="6433"/>
  <c r="H11" i="6433"/>
  <c r="H41" i="6433"/>
  <c r="B28" i="6433"/>
  <c r="C24" i="6433"/>
  <c r="H32" i="6433"/>
  <c r="H45" i="6433"/>
  <c r="H16" i="6433"/>
  <c r="C19" i="6433"/>
  <c r="H12" i="6433"/>
  <c r="H49" i="6433"/>
  <c r="C21" i="6433"/>
  <c r="H30" i="6433"/>
  <c r="B26" i="6433"/>
  <c r="H17" i="6433"/>
  <c r="C36" i="6433"/>
  <c r="C40" i="6433"/>
  <c r="C44" i="6433"/>
  <c r="C48" i="6433"/>
  <c r="H6" i="6433"/>
  <c r="H2" i="6433"/>
  <c r="H10" i="6433"/>
  <c r="H3" i="6433"/>
  <c r="H14" i="6433"/>
  <c r="C22" i="6433"/>
  <c r="C25" i="6433"/>
  <c r="H34" i="6433"/>
  <c r="C38" i="6433"/>
  <c r="C42" i="6433"/>
  <c r="C46" i="6433"/>
  <c r="H4" i="6433"/>
  <c r="H8" i="6433"/>
  <c r="H19" i="6433"/>
  <c r="H23" i="6433"/>
  <c r="H28" i="6433"/>
  <c r="C23" i="6433"/>
  <c r="H25" i="6433"/>
  <c r="H39" i="6433"/>
  <c r="H43" i="6433"/>
  <c r="H47" i="6433"/>
  <c r="H52" i="6433"/>
  <c r="H29" i="6433"/>
  <c r="H24" i="6433"/>
  <c r="H15" i="6433"/>
  <c r="H21" i="6433"/>
  <c r="H31" i="6433"/>
  <c r="H22" i="6433"/>
  <c r="H35" i="6433"/>
  <c r="C37" i="6433"/>
  <c r="C39" i="6433"/>
  <c r="C41" i="6433"/>
  <c r="C43" i="6433"/>
  <c r="C45" i="6433"/>
  <c r="C47" i="6433"/>
  <c r="H50" i="6433"/>
  <c r="H33" i="6433"/>
  <c r="H36" i="6433"/>
  <c r="H38" i="6433"/>
  <c r="H40" i="6433"/>
  <c r="H42" i="6433"/>
  <c r="H44" i="6433"/>
  <c r="H46" i="6433"/>
  <c r="H48" i="6433"/>
  <c r="H24" i="6431"/>
  <c r="H26" i="6431"/>
  <c r="H19" i="6431"/>
  <c r="H6" i="6431"/>
  <c r="H10" i="6431"/>
  <c r="H36" i="6431"/>
  <c r="C22" i="6431"/>
  <c r="C24" i="6431"/>
  <c r="H21" i="6431"/>
  <c r="H9" i="6431"/>
  <c r="H12" i="6431"/>
  <c r="H20" i="6431"/>
  <c r="C19" i="6431"/>
  <c r="B26" i="6431"/>
  <c r="H37" i="6431"/>
  <c r="H25" i="6431"/>
  <c r="H14" i="6431"/>
  <c r="H27" i="6431"/>
  <c r="H29" i="6431"/>
  <c r="H31" i="6431"/>
  <c r="H39" i="6431"/>
  <c r="C37" i="6431"/>
  <c r="C39" i="6431"/>
  <c r="C41" i="6431"/>
  <c r="C43" i="6431"/>
  <c r="C45" i="6431"/>
  <c r="C47" i="6431"/>
  <c r="H51" i="6431"/>
  <c r="H7" i="6431"/>
  <c r="H23" i="6431"/>
  <c r="H35" i="6431"/>
  <c r="H15" i="6431"/>
  <c r="C21" i="6431"/>
  <c r="C23" i="6431"/>
  <c r="C25" i="6431"/>
  <c r="B27" i="6431"/>
  <c r="H38" i="6431"/>
  <c r="H32" i="6431"/>
  <c r="H41" i="6431"/>
  <c r="H33" i="6431"/>
  <c r="H44" i="6431"/>
  <c r="H46" i="6431"/>
  <c r="H47" i="6431"/>
  <c r="H49" i="6431"/>
  <c r="H17" i="6431"/>
  <c r="H4" i="6431"/>
  <c r="H2" i="6431"/>
  <c r="H11" i="6431"/>
  <c r="H3" i="6431"/>
  <c r="H16" i="6431"/>
  <c r="H13" i="6431"/>
  <c r="H22" i="6431"/>
  <c r="H28" i="6431"/>
  <c r="H8" i="6431"/>
  <c r="H18" i="6431"/>
  <c r="H30" i="6431"/>
  <c r="C36" i="6431"/>
  <c r="C38" i="6431"/>
  <c r="C40" i="6431"/>
  <c r="C42" i="6431"/>
  <c r="C44" i="6431"/>
  <c r="C46" i="6431"/>
  <c r="C48" i="6431"/>
  <c r="H5" i="6431"/>
  <c r="H40" i="6431"/>
  <c r="H42" i="6431"/>
  <c r="H43" i="6431"/>
  <c r="H45" i="6431"/>
  <c r="H34" i="6431"/>
  <c r="H48" i="6431"/>
  <c r="H50" i="6431"/>
  <c r="B13" i="2228" l="1"/>
  <c r="B12" i="2228"/>
  <c r="B11" i="2228"/>
  <c r="B10" i="2228"/>
  <c r="B28" i="2228"/>
  <c r="B18" i="2228" l="1"/>
  <c r="B17" i="2228"/>
  <c r="B5" i="2228"/>
  <c r="C19" i="2228"/>
  <c r="C20" i="2228"/>
  <c r="B29" i="2228"/>
  <c r="C8" i="2228"/>
  <c r="C18" i="2228" l="1"/>
  <c r="C34" i="2228" l="1"/>
  <c r="B19" i="2228"/>
  <c r="C25" i="2228" s="1"/>
  <c r="C17" i="2228"/>
  <c r="C16" i="2228"/>
  <c r="C1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H9" i="2228" l="1"/>
  <c r="C23" i="2228"/>
  <c r="C22" i="2228"/>
  <c r="C21" i="2228"/>
  <c r="C24" i="2228"/>
  <c r="H6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<sst xmlns="http://schemas.openxmlformats.org/spreadsheetml/2006/main" count="3985" uniqueCount="322">
  <si>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</si>
  <si>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</si>
  <si>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</si>
  <si>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</si>
  <si>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</si>
  <si>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</si>
  <si>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</si>
  <si>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</si>
  <si>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</si>
  <si>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</si>
  <si>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</si>
  <si>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</si>
  <si>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</si>
  <si>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</si>
  <si>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</si>
  <si>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</si>
  <si>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</si>
  <si>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</si>
  <si>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</si>
  <si>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</si>
  <si>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</si>
  <si>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</si>
  <si>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</si>
  <si>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</si>
  <si>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</si>
  <si>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</si>
  <si>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</si>
  <si>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</si>
  <si>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</si>
  <si>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</si>
  <si>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</si>
  <si>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</si>
  <si>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</si>
  <si>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</si>
  <si>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</si>
  <si>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</si>
  <si>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</si>
  <si>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</si>
  <si>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</si>
  <si>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</si>
  <si>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</si>
  <si>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</si>
  <si>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</si>
  <si>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</si>
  <si>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</si>
  <si>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</si>
  <si>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</si>
  <si>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</si>
  <si>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</si>
  <si>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</si>
  <si>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</si>
  <si>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</si>
  <si>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</si>
  <si>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</si>
  <si>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</si>
  <si>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</si>
  <si>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</si>
  <si>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</si>
  <si>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</si>
  <si>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</si>
  <si>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</si>
  <si>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</si>
  <si>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</si>
  <si>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</si>
  <si>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</si>
  <si>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</si>
  <si>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</si>
  <si>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</si>
  <si>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</si>
  <si>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</si>
  <si>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</si>
  <si>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</si>
  <si>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</si>
  <si>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</si>
  <si>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</si>
  <si>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</si>
  <si>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</si>
  <si>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</si>
  <si>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</si>
  <si>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</si>
  <si>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</si>
  <si>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</si>
  <si>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</si>
  <si>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</si>
  <si>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</si>
  <si>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</si>
  <si>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</si>
  <si>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</si>
  <si>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</si>
  <si>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</si>
  <si>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</si>
  <si>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</si>
  <si>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</si>
  <si>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</si>
  <si>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</si>
  <si>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</si>
  <si>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</si>
  <si>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</si>
  <si>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</si>
  <si>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</si>
  <si>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</si>
  <si>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</si>
  <si>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</si>
  <si>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</si>
  <si>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</si>
  <si>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</si>
  <si>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</si>
  <si>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</si>
  <si>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</si>
  <si>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</si>
  <si>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</si>
  <si>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</si>
  <si>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</si>
  <si>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</si>
  <si>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</si>
  <si>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</si>
  <si>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</si>
  <si>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</si>
  <si>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</si>
  <si>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</si>
  <si>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</si>
  <si>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</si>
  <si>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</si>
  <si>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</si>
  <si>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</si>
  <si>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</si>
  <si>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</si>
  <si>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</si>
  <si>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</si>
  <si>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</si>
  <si>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</si>
  <si>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</si>
  <si>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</si>
  <si>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</si>
  <si>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</si>
  <si>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</si>
  <si>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</si>
  <si>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</si>
  <si>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</si>
  <si>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</si>
  <si>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</si>
  <si>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</si>
  <si>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</si>
  <si>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</si>
  <si>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</si>
  <si>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</si>
  <si>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</si>
  <si>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</si>
  <si>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</si>
  <si>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</si>
  <si>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</si>
  <si>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</si>
  <si>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</si>
  <si>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</si>
  <si>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</si>
  <si>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</si>
  <si>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</si>
  <si>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</si>
  <si>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</si>
  <si>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</si>
  <si>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</si>
  <si>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</si>
  <si>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</si>
  <si>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</si>
  <si>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</si>
  <si>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</si>
  <si>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</si>
  <si>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</si>
  <si>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</si>
  <si>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</si>
  <si>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</si>
  <si>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りくと</t>
  </si>
  <si>
    <t>Sheet3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</si>
  <si>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</si>
  <si>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</si>
  <si>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</si>
  <si>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</si>
  <si>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</si>
  <si>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</si>
  <si>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</si>
  <si>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</si>
  <si>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</si>
  <si>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</si>
  <si>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</si>
  <si>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</si>
  <si>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</si>
  <si>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</si>
  <si>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</si>
  <si>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</si>
  <si>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</si>
  <si>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</si>
  <si>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</si>
  <si>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</si>
  <si>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</si>
  <si>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</si>
  <si>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2020-02-01@2.xlsm</t>
  </si>
  <si>
    <t>2020-02-03@5.xlsm</t>
  </si>
  <si>
    <t>2020-02-04@2.xlsm</t>
  </si>
  <si>
    <t>2020-02-05@2.xlsm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</si>
  <si>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</si>
  <si>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</si>
  <si>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</si>
  <si>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</si>
  <si>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バランス</t>
    <phoneticPr fontId="1"/>
  </si>
  <si>
    <t>2019-09-23@2.xlsm</t>
  </si>
  <si>
    <t>2019-09-25@2.xlsm</t>
  </si>
  <si>
    <t>まっつん</t>
  </si>
  <si>
    <t>2019-09-26@3.xlsm</t>
  </si>
  <si>
    <t>2019-09-27@2.xlsm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</si>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</sst>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全体!$K$2:$K$1037</c:f>
              <c:numCache>
                <c:formatCode>General</c:formatCode>
                <c:ptCount val="10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</c:numCache>
            </c:numRef>
          </c:xVal>
          <c:yVal>
            <c:numRef>
              <c:f>全体!$L$2:$L$1037</c:f>
              <c:numCache>
                <c:formatCode>\+0.0;\-0.0;\±0</c:formatCode>
                <c:ptCount val="103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B-4E8E-81B5-76415FD4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-29.154518950437318</c:v>
                </c:pt>
                <c:pt idx="1">
                  <c:v>9.8911968348170127</c:v>
                </c:pt>
                <c:pt idx="2">
                  <c:v>-1.0515247108307044</c:v>
                </c:pt>
                <c:pt idx="3">
                  <c:v>-1.1261261261261262</c:v>
                </c:pt>
                <c:pt idx="4">
                  <c:v>9.7680097680097688</c:v>
                </c:pt>
                <c:pt idx="5">
                  <c:v>19.174041297935105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3-4D6F-A0C5-0AA602138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198</c:v>
                </c:pt>
                <c:pt idx="1">
                  <c:v>435</c:v>
                </c:pt>
                <c:pt idx="2">
                  <c:v>488</c:v>
                </c:pt>
                <c:pt idx="3">
                  <c:v>456</c:v>
                </c:pt>
                <c:pt idx="4">
                  <c:v>395</c:v>
                </c:pt>
                <c:pt idx="5">
                  <c:v>268</c:v>
                </c:pt>
                <c:pt idx="6">
                  <c:v>132</c:v>
                </c:pt>
                <c:pt idx="7">
                  <c:v>74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D-4BC4-9715-7BCE914A2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27-4A50-B6BE-433B1971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30-476A-AB09-FFF4433A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5-40FF-ADFD-212433F0D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だいち!$L$2:$L$209</c:f>
              <c:numCache>
                <c:formatCode>\+0.0;\-0.0;\±0</c:formatCode>
                <c:ptCount val="20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0-4D37-BFA6-7E4D4196E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1366.990291262136</c:v>
                </c:pt>
                <c:pt idx="1">
                  <c:v>1723.6453201970444</c:v>
                </c:pt>
                <c:pt idx="2">
                  <c:v>1193.8461538461538</c:v>
                </c:pt>
                <c:pt idx="3">
                  <c:v>162.08791208791209</c:v>
                </c:pt>
                <c:pt idx="4">
                  <c:v>1643.7869822485206</c:v>
                </c:pt>
                <c:pt idx="5">
                  <c:v>2038.4057971014493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D-4F49-97BA-5FFDC665E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109</c:v>
                </c:pt>
                <c:pt idx="2">
                  <c:v>116</c:v>
                </c:pt>
                <c:pt idx="3">
                  <c:v>106</c:v>
                </c:pt>
                <c:pt idx="4">
                  <c:v>86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50-4B4D-809B-100C55479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18-4192-87ED-F040614F7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-1120.3389830508474</c:v>
                </c:pt>
                <c:pt idx="1">
                  <c:v>1104.0229885057472</c:v>
                </c:pt>
                <c:pt idx="2">
                  <c:v>-244.44444444444446</c:v>
                </c:pt>
                <c:pt idx="3">
                  <c:v>102.59740259740259</c:v>
                </c:pt>
                <c:pt idx="4">
                  <c:v>-1502.127659574468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1-4311-8960-98C6898BE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F-4EF5-95E5-51D5A2251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2-4DA3-A566-5F4845798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8-4291-A541-07A87FF48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C-41A5-A014-42379AC04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れんたろう!$L$2:$L$157</c:f>
              <c:numCache>
                <c:formatCode>\+0.0;\-0.0;\±0</c:formatCode>
                <c:ptCount val="1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5-4521-925C-AFEE770EF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1777.922077922078</c:v>
                </c:pt>
                <c:pt idx="1">
                  <c:v>-2359.3333333333335</c:v>
                </c:pt>
                <c:pt idx="2">
                  <c:v>191.1764705882353</c:v>
                </c:pt>
                <c:pt idx="3">
                  <c:v>2186.4</c:v>
                </c:pt>
                <c:pt idx="4">
                  <c:v>1555.7522123893805</c:v>
                </c:pt>
                <c:pt idx="5">
                  <c:v>514.11764705882354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1-4371-8CA3-807486CF8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46</c:v>
                </c:pt>
                <c:pt idx="3">
                  <c:v>64</c:v>
                </c:pt>
                <c:pt idx="4">
                  <c:v>73</c:v>
                </c:pt>
                <c:pt idx="5">
                  <c:v>48</c:v>
                </c:pt>
                <c:pt idx="6">
                  <c:v>26</c:v>
                </c:pt>
                <c:pt idx="7">
                  <c:v>22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1-4B08-9A76-E8FCFB025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5-48A0-A9BD-92224F89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5-4BCE-BF76-0B3EC5131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6-432C-A2FE-83BB1AE01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C-47D6-A2F3-EC675DEEB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1-468B-9C90-34FABF6C5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C-4F2B-9134-D66406157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C-4BA6-A48E-BDE9062A0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2-4435-BB16-1717B701C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25B-ADAF-5BF036C8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7-4CED-9CA9-C83621647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8-49FC-BA05-DF4109EFB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0-4CFA-8418-117C97B50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2C4-A473-6882DE63A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CB-4BF8-A2A6-A459B8D68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86-40F3-B4E5-09FBAD31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6-42F5-A5CE-A66CA417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0-479A-996B-FD15F52CF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D-4D4A-AFDF-CE9D6657E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5-4869-A686-C2EAEBC4B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7-4693-BD80-E09742D26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D-473C-A5B3-1269CDE2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5-4F9A-BCC1-3F65E3F5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E0D-B3E8-AC9988FAD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6E-41CD-9CF0-7769E57C4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6069872548105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08404565682175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7556942999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67163833969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4.9606299212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5.1629254163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5169082125603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12729795352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81870736501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040515653775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45386533665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748031496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4"/>
      <c r="C1" s="155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6">
        <v>0</v>
      </c>
      <c r="C2" s="157"/>
      <c r="E2" s="58" t="s">
        <v>64</v>
      </c>
      <c r="F2" s="25" t="s">
        <v>20</v>
      </c>
      <c r="G2" s="13">
        <v>0</v>
      </c>
      <c r="H2" s="128">
        <f t="shared" ref="H2:H33" si="0">IF(B$19=0,0,G2/B$19)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8">
        <v>0</v>
      </c>
      <c r="C3" s="159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60">
        <v>0</v>
      </c>
      <c r="C4" s="161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2">
        <f>IF(B$2=0,0,B$4/B$2)</f>
        <v>0</v>
      </c>
      <c r="C5" s="163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2">
        <f>IF(B$2=0,0,(B$7*1+B$8*2+B$9*3)/B$2)</f>
        <v>0</v>
      </c>
      <c r="C6" s="153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4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0</v>
      </c>
      <c r="C10" s="147"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200</v>
      </c>
      <c r="B11" s="146">
        <f>IF(B8=0,0,C11/B8)</f>
        <v>0</v>
      </c>
      <c r="C11" s="147"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2" t="s">
        <v>201</v>
      </c>
      <c r="B12" s="146">
        <f>IF(B9=0,0,C12/B9)</f>
        <v>0</v>
      </c>
      <c r="C12" s="147"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2" t="s">
        <v>202</v>
      </c>
      <c r="B13" s="162">
        <f>AVERAGE(B10:B12)</f>
        <v>0</v>
      </c>
      <c r="C13" s="163"/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53" t="s">
        <v>18</v>
      </c>
      <c r="B14" s="46">
        <v>0</v>
      </c>
      <c r="C14" s="40">
        <f t="shared" si="2"/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23" t="s">
        <v>121</v>
      </c>
      <c r="B15" s="16">
        <v>0</v>
      </c>
      <c r="C15" s="11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20" t="s">
        <v>118</v>
      </c>
      <c r="B16" s="14">
        <v>0</v>
      </c>
      <c r="C16" s="6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19" t="s">
        <v>123</v>
      </c>
      <c r="B17" s="13">
        <f>B23</f>
        <v>0</v>
      </c>
      <c r="C17" s="4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19" t="s">
        <v>124</v>
      </c>
      <c r="B18" s="13">
        <f>B24</f>
        <v>0</v>
      </c>
      <c r="C18" s="4">
        <f>IF(B$16=0,0,B18/B$16)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19" t="s">
        <v>10</v>
      </c>
      <c r="B19" s="13">
        <f>B22+B21</f>
        <v>0</v>
      </c>
      <c r="C19" s="4">
        <f>IF(B$3=0,0,B19/B$3)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1" t="s">
        <v>192</v>
      </c>
      <c r="B23" s="44">
        <v>0</v>
      </c>
      <c r="C23" s="37">
        <f>IF(B$19=0,0,B23/B$19)</f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1" t="s">
        <v>190</v>
      </c>
      <c r="B24" s="44">
        <v>0</v>
      </c>
      <c r="C24" s="37">
        <f>IF(B$19=0,0,B24/B$19)</f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20" t="s">
        <v>191</v>
      </c>
      <c r="B25" s="44">
        <v>0</v>
      </c>
      <c r="C25" s="37">
        <f>IF(B$19=0,0,B25/B$19)</f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2" t="s">
        <v>174</v>
      </c>
      <c r="B27" s="136">
        <f>IF($B$19-B$18=0,0,C27/($B$19-B$18))</f>
        <v>0</v>
      </c>
      <c r="C27" s="137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52" t="s">
        <v>175</v>
      </c>
      <c r="B28" s="136">
        <f>IF(B$18=0,0,C28/B$18)</f>
        <v>0</v>
      </c>
      <c r="C28" s="137">
        <v>0</v>
      </c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2" t="s">
        <v>173</v>
      </c>
      <c r="B29" s="136">
        <f>IF(B$20=0,0,C29/B$20)</f>
        <v>0</v>
      </c>
      <c r="C29" s="137">
        <v>0</v>
      </c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51" t="s">
        <v>164</v>
      </c>
      <c r="B30" s="44">
        <v>0</v>
      </c>
      <c r="C30" s="131"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A31" s="51" t="s">
        <v>165</v>
      </c>
      <c r="B31" s="44">
        <v>0</v>
      </c>
      <c r="C31" s="131">
        <v>0</v>
      </c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138</v>
      </c>
      <c r="B32" s="150">
        <v>0</v>
      </c>
      <c r="C32" s="151"/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4" t="s">
        <v>189</v>
      </c>
      <c r="B33" s="148">
        <v>-1000000</v>
      </c>
      <c r="C33" s="149"/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22" t="s">
        <v>139</v>
      </c>
      <c r="B34" s="30">
        <v>0</v>
      </c>
      <c r="C34" s="9">
        <f>IF(B$3=0,0,B34/B$3)</f>
        <v>0</v>
      </c>
      <c r="E34" s="59" t="s">
        <v>96</v>
      </c>
      <c r="F34" s="26" t="s">
        <v>51</v>
      </c>
      <c r="G34" s="14">
        <v>0</v>
      </c>
      <c r="H34" s="129">
        <f t="shared" ref="H34:H52" si="3">IF(B$19=0,0,G34/B$19)</f>
        <v>0</v>
      </c>
      <c r="I34" s="90"/>
    </row>
    <row r="35" spans="1:9" x14ac:dyDescent="0.4">
      <c r="E35" s="59" t="s">
        <v>97</v>
      </c>
      <c r="F35" s="26" t="s">
        <v>52</v>
      </c>
      <c r="G35" s="14">
        <v>0</v>
      </c>
      <c r="H35" s="129">
        <f t="shared" si="3"/>
        <v>0</v>
      </c>
      <c r="I35" s="90"/>
    </row>
    <row r="36" spans="1:9" x14ac:dyDescent="0.4">
      <c r="A36" s="86" t="s">
        <v>180</v>
      </c>
      <c r="B36" s="138">
        <v>0</v>
      </c>
      <c r="C36" s="141">
        <f t="shared" ref="C36:C48" si="4">IF(B$19=0,0,B36/B$19)</f>
        <v>0</v>
      </c>
      <c r="E36" s="59" t="s">
        <v>98</v>
      </c>
      <c r="F36" s="26" t="s">
        <v>53</v>
      </c>
      <c r="G36" s="14">
        <v>0</v>
      </c>
      <c r="H36" s="129">
        <f t="shared" si="3"/>
        <v>0</v>
      </c>
      <c r="I36" s="90"/>
    </row>
    <row r="37" spans="1:9" x14ac:dyDescent="0.4">
      <c r="A37" s="51" t="s">
        <v>176</v>
      </c>
      <c r="B37" s="44">
        <v>0</v>
      </c>
      <c r="C37" s="37">
        <f t="shared" si="4"/>
        <v>0</v>
      </c>
      <c r="E37" s="59" t="s">
        <v>99</v>
      </c>
      <c r="F37" s="26" t="s">
        <v>54</v>
      </c>
      <c r="G37" s="14">
        <v>0</v>
      </c>
      <c r="H37" s="129">
        <f t="shared" si="3"/>
        <v>0</v>
      </c>
      <c r="I37" s="90"/>
    </row>
    <row r="38" spans="1:9" x14ac:dyDescent="0.4">
      <c r="A38" s="51" t="s">
        <v>177</v>
      </c>
      <c r="B38" s="139">
        <v>0</v>
      </c>
      <c r="C38" s="37">
        <f t="shared" si="4"/>
        <v>0</v>
      </c>
      <c r="E38" s="59" t="s">
        <v>100</v>
      </c>
      <c r="F38" s="26" t="s">
        <v>55</v>
      </c>
      <c r="G38" s="14">
        <v>0</v>
      </c>
      <c r="H38" s="129">
        <f t="shared" si="3"/>
        <v>0</v>
      </c>
      <c r="I38" s="90"/>
    </row>
    <row r="39" spans="1:9" x14ac:dyDescent="0.4">
      <c r="A39" s="51" t="s">
        <v>178</v>
      </c>
      <c r="B39" s="139">
        <v>0</v>
      </c>
      <c r="C39" s="37">
        <f t="shared" si="4"/>
        <v>0</v>
      </c>
      <c r="E39" s="59" t="s">
        <v>101</v>
      </c>
      <c r="F39" s="26" t="s">
        <v>56</v>
      </c>
      <c r="G39" s="14">
        <v>0</v>
      </c>
      <c r="H39" s="129">
        <f t="shared" si="3"/>
        <v>0</v>
      </c>
      <c r="I39" s="90"/>
    </row>
    <row r="40" spans="1:9" x14ac:dyDescent="0.4">
      <c r="A40" s="51" t="s">
        <v>179</v>
      </c>
      <c r="B40" s="139">
        <v>0</v>
      </c>
      <c r="C40" s="37">
        <f t="shared" si="4"/>
        <v>0</v>
      </c>
      <c r="E40" s="59" t="s">
        <v>102</v>
      </c>
      <c r="F40" s="26" t="s">
        <v>57</v>
      </c>
      <c r="G40" s="14">
        <v>0</v>
      </c>
      <c r="H40" s="129">
        <f t="shared" si="3"/>
        <v>0</v>
      </c>
      <c r="I40" s="90"/>
    </row>
    <row r="41" spans="1:9" x14ac:dyDescent="0.4">
      <c r="A41" s="51" t="s">
        <v>181</v>
      </c>
      <c r="B41" s="139">
        <v>0</v>
      </c>
      <c r="C41" s="37">
        <f t="shared" si="4"/>
        <v>0</v>
      </c>
      <c r="E41" s="59" t="s">
        <v>103</v>
      </c>
      <c r="F41" s="26" t="s">
        <v>58</v>
      </c>
      <c r="G41" s="14">
        <v>0</v>
      </c>
      <c r="H41" s="129">
        <f t="shared" si="3"/>
        <v>0</v>
      </c>
      <c r="I41" s="90"/>
    </row>
    <row r="42" spans="1:9" x14ac:dyDescent="0.4">
      <c r="A42" s="51" t="s">
        <v>182</v>
      </c>
      <c r="B42" s="139">
        <v>0</v>
      </c>
      <c r="C42" s="37">
        <f t="shared" si="4"/>
        <v>0</v>
      </c>
      <c r="E42" s="59" t="s">
        <v>104</v>
      </c>
      <c r="F42" s="26" t="s">
        <v>59</v>
      </c>
      <c r="G42" s="14">
        <v>0</v>
      </c>
      <c r="H42" s="129">
        <f t="shared" si="3"/>
        <v>0</v>
      </c>
      <c r="I42" s="90"/>
    </row>
    <row r="43" spans="1:9" x14ac:dyDescent="0.4">
      <c r="A43" s="51" t="s">
        <v>183</v>
      </c>
      <c r="B43" s="139">
        <v>0</v>
      </c>
      <c r="C43" s="37">
        <f t="shared" si="4"/>
        <v>0</v>
      </c>
      <c r="E43" s="59" t="s">
        <v>105</v>
      </c>
      <c r="F43" s="26" t="s">
        <v>112</v>
      </c>
      <c r="G43" s="14">
        <v>0</v>
      </c>
      <c r="H43" s="129">
        <f t="shared" si="3"/>
        <v>0</v>
      </c>
      <c r="I43" s="90"/>
    </row>
    <row r="44" spans="1:9" x14ac:dyDescent="0.4">
      <c r="A44" s="51" t="s">
        <v>184</v>
      </c>
      <c r="B44" s="139">
        <v>0</v>
      </c>
      <c r="C44" s="37">
        <f t="shared" si="4"/>
        <v>0</v>
      </c>
      <c r="E44" s="59" t="s">
        <v>106</v>
      </c>
      <c r="F44" s="26" t="s">
        <v>113</v>
      </c>
      <c r="G44" s="14">
        <v>0</v>
      </c>
      <c r="H44" s="129">
        <f t="shared" si="3"/>
        <v>0</v>
      </c>
      <c r="I44" s="90"/>
    </row>
    <row r="45" spans="1:9" x14ac:dyDescent="0.4">
      <c r="A45" s="51" t="s">
        <v>185</v>
      </c>
      <c r="B45" s="139">
        <v>0</v>
      </c>
      <c r="C45" s="37">
        <f t="shared" si="4"/>
        <v>0</v>
      </c>
      <c r="E45" s="59" t="s">
        <v>107</v>
      </c>
      <c r="F45" s="26" t="s">
        <v>114</v>
      </c>
      <c r="G45" s="14">
        <v>0</v>
      </c>
      <c r="H45" s="129">
        <f t="shared" si="3"/>
        <v>0</v>
      </c>
      <c r="I45" s="90"/>
    </row>
    <row r="46" spans="1:9" x14ac:dyDescent="0.4">
      <c r="A46" s="51" t="s">
        <v>186</v>
      </c>
      <c r="B46" s="139">
        <v>0</v>
      </c>
      <c r="C46" s="37">
        <f t="shared" si="4"/>
        <v>0</v>
      </c>
      <c r="E46" s="59" t="s">
        <v>108</v>
      </c>
      <c r="F46" s="26" t="s">
        <v>60</v>
      </c>
      <c r="G46" s="14">
        <v>0</v>
      </c>
      <c r="H46" s="129">
        <f t="shared" si="3"/>
        <v>0</v>
      </c>
      <c r="I46" s="90"/>
    </row>
    <row r="47" spans="1:9" x14ac:dyDescent="0.4">
      <c r="A47" s="51" t="s">
        <v>187</v>
      </c>
      <c r="B47" s="139">
        <v>0</v>
      </c>
      <c r="C47" s="37">
        <f t="shared" si="4"/>
        <v>0</v>
      </c>
      <c r="E47" s="59" t="s">
        <v>109</v>
      </c>
      <c r="F47" s="26" t="s">
        <v>61</v>
      </c>
      <c r="G47" s="14">
        <v>0</v>
      </c>
      <c r="H47" s="129">
        <f t="shared" si="3"/>
        <v>0</v>
      </c>
      <c r="I47" s="90"/>
    </row>
    <row r="48" spans="1:9" x14ac:dyDescent="0.4">
      <c r="A48" s="53" t="s">
        <v>188</v>
      </c>
      <c r="B48" s="140">
        <v>0</v>
      </c>
      <c r="C48" s="40">
        <f t="shared" si="4"/>
        <v>0</v>
      </c>
      <c r="E48" s="59" t="s">
        <v>110</v>
      </c>
      <c r="F48" s="26" t="s">
        <v>62</v>
      </c>
      <c r="G48" s="14">
        <v>0</v>
      </c>
      <c r="H48" s="129">
        <f t="shared" si="3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3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3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3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3"/>
        <v>0</v>
      </c>
      <c r="I52" s="91"/>
    </row>
  </sheetData>
  <mergeCells count="9">
    <mergeCell ref="B33:C33"/>
    <mergeCell ref="B32:C32"/>
    <mergeCell ref="B6:C6"/>
    <mergeCell ref="B1:C1"/>
    <mergeCell ref="B2:C2"/>
    <mergeCell ref="B3:C3"/>
    <mergeCell ref="B4:C4"/>
    <mergeCell ref="B5:C5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0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204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205</v>
      </c>
      <c r="B3" s="29">
        <v>43735.329293981478</v>
      </c>
      <c r="C3" s="28" t="s">
        <v>128</v>
      </c>
    </row>
    <row r="4" spans="1:12" x14ac:dyDescent="0.4">
      <c r="A4" s="28" t="s">
        <v>207</v>
      </c>
      <c r="B4" s="29">
        <v>43735.329201388886</v>
      </c>
      <c r="C4" s="28" t="s">
        <v>128</v>
      </c>
    </row>
    <row r="5" spans="1:12" x14ac:dyDescent="0.4">
      <c r="A5" s="28" t="s">
        <v>208</v>
      </c>
      <c r="B5" s="29">
        <v>43737.872604166667</v>
      </c>
      <c r="C5" s="28" t="s">
        <v>128</v>
      </c>
      <c r="D5" s="28" t="s">
        <v>129</v>
      </c>
      <c r="E5" s="28" t="s">
        <v>172</v>
      </c>
      <c r="F5" s="28" t="s">
        <v>209</v>
      </c>
      <c r="G5" s="28" t="s">
        <v>210</v>
      </c>
      <c r="H5" s="28" t="s">
        <v>211</v>
      </c>
    </row>
    <row r="6" spans="1:12" x14ac:dyDescent="0.4">
      <c r="A6" s="28" t="s">
        <v>212</v>
      </c>
      <c r="B6" s="29">
        <v>43737.872604166667</v>
      </c>
      <c r="C6" s="28" t="s">
        <v>128</v>
      </c>
      <c r="D6" s="28" t="s">
        <v>129</v>
      </c>
      <c r="E6" s="28" t="s">
        <v>172</v>
      </c>
    </row>
    <row r="7" spans="1:12" x14ac:dyDescent="0.4">
      <c r="A7" s="28" t="s">
        <v>213</v>
      </c>
      <c r="B7" s="29">
        <v>43737.873645833337</v>
      </c>
      <c r="C7" s="28" t="s">
        <v>128</v>
      </c>
      <c r="D7" s="28" t="s">
        <v>129</v>
      </c>
      <c r="E7" s="28" t="s">
        <v>172</v>
      </c>
      <c r="F7" s="28" t="s">
        <v>209</v>
      </c>
      <c r="G7" s="28" t="s">
        <v>210</v>
      </c>
      <c r="H7" s="28" t="s">
        <v>211</v>
      </c>
      <c r="I7" s="28" t="s">
        <v>214</v>
      </c>
      <c r="J7" s="28" t="s">
        <v>215</v>
      </c>
      <c r="K7" s="28" t="s">
        <v>216</v>
      </c>
      <c r="L7" s="28" t="s">
        <v>217</v>
      </c>
    </row>
    <row r="8" spans="1:12" x14ac:dyDescent="0.4">
      <c r="A8" s="28" t="s">
        <v>218</v>
      </c>
      <c r="B8" s="29">
        <v>43739.760312500002</v>
      </c>
      <c r="C8" s="28" t="s">
        <v>128</v>
      </c>
    </row>
    <row r="9" spans="1:12" x14ac:dyDescent="0.4">
      <c r="A9" s="28" t="s">
        <v>220</v>
      </c>
      <c r="B9" s="29">
        <v>43739.760069444441</v>
      </c>
      <c r="C9" s="28" t="s">
        <v>129</v>
      </c>
      <c r="D9" s="28" t="s">
        <v>172</v>
      </c>
      <c r="E9" s="28" t="s">
        <v>128</v>
      </c>
    </row>
    <row r="10" spans="1:12" x14ac:dyDescent="0.4">
      <c r="A10" s="28" t="s">
        <v>221</v>
      </c>
      <c r="B10" s="29">
        <v>43742.090381944443</v>
      </c>
      <c r="C10" s="28" t="s">
        <v>128</v>
      </c>
      <c r="D10" s="28" t="s">
        <v>129</v>
      </c>
      <c r="E10" s="28" t="s">
        <v>172</v>
      </c>
      <c r="F10" s="28" t="s">
        <v>209</v>
      </c>
      <c r="G10" s="28" t="s">
        <v>210</v>
      </c>
      <c r="H10" s="28" t="s">
        <v>211</v>
      </c>
    </row>
    <row r="11" spans="1:12" x14ac:dyDescent="0.4">
      <c r="A11" s="28" t="s">
        <v>222</v>
      </c>
      <c r="B11" s="29">
        <v>43742.090381944443</v>
      </c>
      <c r="C11" s="28" t="s">
        <v>128</v>
      </c>
    </row>
    <row r="12" spans="1:12" x14ac:dyDescent="0.4">
      <c r="A12" s="28" t="s">
        <v>223</v>
      </c>
      <c r="B12" s="29">
        <v>43742.090381944443</v>
      </c>
      <c r="C12" s="28" t="s">
        <v>128</v>
      </c>
      <c r="D12" s="28" t="s">
        <v>129</v>
      </c>
      <c r="E12" s="28" t="s">
        <v>172</v>
      </c>
    </row>
    <row r="13" spans="1:12" x14ac:dyDescent="0.4">
      <c r="A13" s="28" t="s">
        <v>224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225</v>
      </c>
      <c r="B14" s="29">
        <v>43745.602835648147</v>
      </c>
      <c r="C14" s="28" t="s">
        <v>128</v>
      </c>
      <c r="D14" s="28" t="s">
        <v>129</v>
      </c>
      <c r="E14" s="28" t="s">
        <v>172</v>
      </c>
      <c r="F14" s="28" t="s">
        <v>209</v>
      </c>
    </row>
    <row r="15" spans="1:12" x14ac:dyDescent="0.4">
      <c r="A15" s="28" t="s">
        <v>226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227</v>
      </c>
      <c r="B16" s="29">
        <v>43745.602847222224</v>
      </c>
      <c r="C16" s="28" t="s">
        <v>128</v>
      </c>
      <c r="D16" s="28" t="s">
        <v>129</v>
      </c>
      <c r="E16" s="28" t="s">
        <v>172</v>
      </c>
      <c r="F16" s="28" t="s">
        <v>209</v>
      </c>
    </row>
    <row r="17" spans="1:12" x14ac:dyDescent="0.4">
      <c r="A17" s="28" t="s">
        <v>228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229</v>
      </c>
      <c r="B18" s="29">
        <v>43745.024594907409</v>
      </c>
      <c r="C18" s="28" t="s">
        <v>128</v>
      </c>
    </row>
    <row r="19" spans="1:12" x14ac:dyDescent="0.4">
      <c r="A19" s="28" t="s">
        <v>230</v>
      </c>
      <c r="B19" s="29">
        <v>43748.026620370372</v>
      </c>
      <c r="C19" s="28" t="s">
        <v>128</v>
      </c>
    </row>
    <row r="20" spans="1:12" x14ac:dyDescent="0.4">
      <c r="A20" s="28" t="s">
        <v>231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232</v>
      </c>
      <c r="B21" s="29">
        <v>43748.026620370372</v>
      </c>
      <c r="C21" s="28" t="s">
        <v>128</v>
      </c>
    </row>
    <row r="22" spans="1:12" x14ac:dyDescent="0.4">
      <c r="A22" s="28" t="s">
        <v>233</v>
      </c>
      <c r="B22" s="29">
        <v>43748.026620370372</v>
      </c>
      <c r="C22" s="28" t="s">
        <v>128</v>
      </c>
      <c r="D22" s="28" t="s">
        <v>129</v>
      </c>
      <c r="E22" s="28" t="s">
        <v>172</v>
      </c>
    </row>
    <row r="23" spans="1:12" x14ac:dyDescent="0.4">
      <c r="A23" s="28" t="s">
        <v>234</v>
      </c>
      <c r="B23" s="29">
        <v>43801.790567129632</v>
      </c>
      <c r="C23" s="28" t="s">
        <v>128</v>
      </c>
    </row>
    <row r="24" spans="1:12" x14ac:dyDescent="0.4">
      <c r="A24" s="28" t="s">
        <v>235</v>
      </c>
      <c r="B24" s="29">
        <v>43751.127928240741</v>
      </c>
      <c r="C24" s="28" t="s">
        <v>128</v>
      </c>
      <c r="D24" s="28" t="s">
        <v>129</v>
      </c>
      <c r="E24" s="28" t="s">
        <v>172</v>
      </c>
      <c r="F24" s="28" t="s">
        <v>209</v>
      </c>
      <c r="G24" s="28" t="s">
        <v>210</v>
      </c>
    </row>
    <row r="25" spans="1:12" x14ac:dyDescent="0.4">
      <c r="A25" s="28" t="s">
        <v>236</v>
      </c>
      <c r="B25" s="29">
        <v>43751.127928240741</v>
      </c>
      <c r="C25" s="28" t="s">
        <v>128</v>
      </c>
      <c r="D25" s="28" t="s">
        <v>129</v>
      </c>
      <c r="E25" s="28" t="s">
        <v>172</v>
      </c>
      <c r="F25" s="28" t="s">
        <v>209</v>
      </c>
      <c r="G25" s="28" t="s">
        <v>210</v>
      </c>
      <c r="H25" s="28" t="s">
        <v>211</v>
      </c>
      <c r="I25" s="28" t="s">
        <v>214</v>
      </c>
      <c r="J25" s="28" t="s">
        <v>215</v>
      </c>
      <c r="K25" s="28" t="s">
        <v>216</v>
      </c>
      <c r="L25" s="28" t="s">
        <v>217</v>
      </c>
    </row>
    <row r="26" spans="1:12" x14ac:dyDescent="0.4">
      <c r="A26" s="28" t="s">
        <v>237</v>
      </c>
      <c r="B26" s="29">
        <v>43752.484606481485</v>
      </c>
      <c r="C26" s="28" t="s">
        <v>128</v>
      </c>
      <c r="D26" s="28" t="s">
        <v>129</v>
      </c>
      <c r="E26" s="28" t="s">
        <v>172</v>
      </c>
      <c r="F26" s="28" t="s">
        <v>209</v>
      </c>
      <c r="G26" s="28" t="s">
        <v>210</v>
      </c>
      <c r="H26" s="28" t="s">
        <v>211</v>
      </c>
    </row>
    <row r="27" spans="1:12" x14ac:dyDescent="0.4">
      <c r="A27" s="28" t="s">
        <v>238</v>
      </c>
      <c r="B27" s="29">
        <v>43753.081296296295</v>
      </c>
      <c r="C27" s="28" t="s">
        <v>128</v>
      </c>
      <c r="D27" s="28" t="s">
        <v>129</v>
      </c>
      <c r="E27" s="28" t="s">
        <v>172</v>
      </c>
      <c r="F27" s="28" t="s">
        <v>209</v>
      </c>
      <c r="G27" s="28" t="s">
        <v>210</v>
      </c>
      <c r="H27" s="28" t="s">
        <v>211</v>
      </c>
      <c r="I27" s="28" t="s">
        <v>214</v>
      </c>
      <c r="J27" s="28" t="s">
        <v>215</v>
      </c>
      <c r="K27" s="28" t="s">
        <v>216</v>
      </c>
    </row>
    <row r="28" spans="1:12" x14ac:dyDescent="0.4">
      <c r="A28" s="28" t="s">
        <v>239</v>
      </c>
      <c r="B28" s="29">
        <v>43801.790567129632</v>
      </c>
      <c r="C28" s="28" t="s">
        <v>128</v>
      </c>
      <c r="D28" s="28" t="s">
        <v>129</v>
      </c>
      <c r="E28" s="28" t="s">
        <v>172</v>
      </c>
      <c r="F28" s="28" t="s">
        <v>209</v>
      </c>
      <c r="G28" s="28" t="s">
        <v>210</v>
      </c>
      <c r="H28" s="28" t="s">
        <v>211</v>
      </c>
      <c r="I28" s="28" t="s">
        <v>214</v>
      </c>
      <c r="J28" s="28" t="s">
        <v>215</v>
      </c>
      <c r="K28" s="28" t="s">
        <v>216</v>
      </c>
    </row>
    <row r="29" spans="1:12" x14ac:dyDescent="0.4">
      <c r="A29" s="28" t="s">
        <v>240</v>
      </c>
      <c r="B29" s="29">
        <v>43755.626284722224</v>
      </c>
      <c r="C29" s="28" t="s">
        <v>128</v>
      </c>
      <c r="D29" s="28" t="s">
        <v>129</v>
      </c>
      <c r="E29" s="28" t="s">
        <v>172</v>
      </c>
      <c r="F29" s="28" t="s">
        <v>209</v>
      </c>
      <c r="G29" s="28" t="s">
        <v>210</v>
      </c>
      <c r="H29" s="28" t="s">
        <v>211</v>
      </c>
    </row>
    <row r="30" spans="1:12" x14ac:dyDescent="0.4">
      <c r="A30" s="28" t="s">
        <v>241</v>
      </c>
      <c r="B30" s="29">
        <v>43756.406157407408</v>
      </c>
      <c r="C30" s="28" t="s">
        <v>128</v>
      </c>
      <c r="D30" s="28" t="s">
        <v>129</v>
      </c>
      <c r="E30" s="28" t="s">
        <v>172</v>
      </c>
      <c r="F30" s="28" t="s">
        <v>209</v>
      </c>
      <c r="G30" s="28" t="s">
        <v>210</v>
      </c>
      <c r="H30" s="28" t="s">
        <v>211</v>
      </c>
      <c r="I30" s="28" t="s">
        <v>214</v>
      </c>
    </row>
    <row r="31" spans="1:12" x14ac:dyDescent="0.4">
      <c r="A31" s="28" t="s">
        <v>242</v>
      </c>
      <c r="B31" s="29">
        <v>43758.084374999999</v>
      </c>
      <c r="C31" s="28" t="s">
        <v>128</v>
      </c>
      <c r="D31" s="28" t="s">
        <v>129</v>
      </c>
      <c r="E31" s="28" t="s">
        <v>172</v>
      </c>
    </row>
    <row r="32" spans="1:12" x14ac:dyDescent="0.4">
      <c r="A32" s="28" t="s">
        <v>244</v>
      </c>
      <c r="B32" s="29">
        <v>43758.955601851849</v>
      </c>
      <c r="C32" s="28" t="s">
        <v>128</v>
      </c>
      <c r="D32" s="28" t="s">
        <v>129</v>
      </c>
      <c r="E32" s="28" t="s">
        <v>172</v>
      </c>
    </row>
    <row r="33" spans="1:9" x14ac:dyDescent="0.4">
      <c r="A33" s="28" t="s">
        <v>245</v>
      </c>
      <c r="B33" s="29">
        <v>43758.955601851849</v>
      </c>
      <c r="C33" s="28" t="s">
        <v>128</v>
      </c>
      <c r="D33" s="28" t="s">
        <v>129</v>
      </c>
      <c r="E33" s="28" t="s">
        <v>172</v>
      </c>
    </row>
    <row r="34" spans="1:9" x14ac:dyDescent="0.4">
      <c r="A34" s="28" t="s">
        <v>246</v>
      </c>
      <c r="B34" s="29">
        <v>43763.053819444445</v>
      </c>
      <c r="C34" s="28" t="s">
        <v>128</v>
      </c>
      <c r="D34" s="28" t="s">
        <v>129</v>
      </c>
      <c r="E34" s="28" t="s">
        <v>172</v>
      </c>
    </row>
    <row r="35" spans="1:9" x14ac:dyDescent="0.4">
      <c r="A35" s="28" t="s">
        <v>247</v>
      </c>
      <c r="B35" s="29">
        <v>43763.053819444445</v>
      </c>
      <c r="C35" s="28" t="s">
        <v>128</v>
      </c>
      <c r="D35" s="28" t="s">
        <v>129</v>
      </c>
      <c r="E35" s="28" t="s">
        <v>172</v>
      </c>
    </row>
    <row r="36" spans="1:9" x14ac:dyDescent="0.4">
      <c r="A36" s="28" t="s">
        <v>248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249</v>
      </c>
      <c r="B37" s="29">
        <v>43763.053819444445</v>
      </c>
      <c r="C37" s="28" t="s">
        <v>128</v>
      </c>
      <c r="D37" s="28" t="s">
        <v>129</v>
      </c>
      <c r="E37" s="28" t="s">
        <v>172</v>
      </c>
    </row>
    <row r="38" spans="1:9" x14ac:dyDescent="0.4">
      <c r="A38" s="28" t="s">
        <v>250</v>
      </c>
      <c r="B38" s="29">
        <v>43764.184340277781</v>
      </c>
      <c r="C38" s="28" t="s">
        <v>128</v>
      </c>
      <c r="D38" s="28" t="s">
        <v>129</v>
      </c>
      <c r="E38" s="28" t="s">
        <v>172</v>
      </c>
      <c r="F38" s="28" t="s">
        <v>209</v>
      </c>
    </row>
    <row r="39" spans="1:9" x14ac:dyDescent="0.4">
      <c r="A39" s="28" t="s">
        <v>251</v>
      </c>
      <c r="B39" s="29">
        <v>43765.985891203702</v>
      </c>
      <c r="C39" s="28" t="s">
        <v>128</v>
      </c>
      <c r="D39" s="28" t="s">
        <v>129</v>
      </c>
      <c r="E39" s="28" t="s">
        <v>172</v>
      </c>
    </row>
    <row r="40" spans="1:9" x14ac:dyDescent="0.4">
      <c r="A40" s="28" t="s">
        <v>252</v>
      </c>
      <c r="B40" s="29">
        <v>43765.985891203702</v>
      </c>
      <c r="C40" s="28" t="s">
        <v>128</v>
      </c>
      <c r="D40" s="28" t="s">
        <v>129</v>
      </c>
      <c r="E40" s="28" t="s">
        <v>172</v>
      </c>
      <c r="F40" s="28" t="s">
        <v>209</v>
      </c>
      <c r="G40" s="28" t="s">
        <v>210</v>
      </c>
    </row>
    <row r="41" spans="1:9" x14ac:dyDescent="0.4">
      <c r="A41" s="28" t="s">
        <v>253</v>
      </c>
      <c r="B41" s="29">
        <v>43771.434791666667</v>
      </c>
      <c r="C41" s="28" t="s">
        <v>128</v>
      </c>
    </row>
    <row r="42" spans="1:9" x14ac:dyDescent="0.4">
      <c r="A42" s="28" t="s">
        <v>254</v>
      </c>
      <c r="B42" s="29">
        <v>43771.434791666667</v>
      </c>
      <c r="C42" s="28" t="s">
        <v>128</v>
      </c>
      <c r="D42" s="28" t="s">
        <v>129</v>
      </c>
      <c r="E42" s="28" t="s">
        <v>172</v>
      </c>
      <c r="F42" s="28" t="s">
        <v>209</v>
      </c>
    </row>
    <row r="43" spans="1:9" x14ac:dyDescent="0.4">
      <c r="A43" s="28" t="s">
        <v>255</v>
      </c>
      <c r="B43" s="29">
        <v>43771.434791666667</v>
      </c>
      <c r="C43" s="28" t="s">
        <v>128</v>
      </c>
      <c r="D43" s="28" t="s">
        <v>129</v>
      </c>
      <c r="E43" s="28" t="s">
        <v>172</v>
      </c>
      <c r="F43" s="28" t="s">
        <v>209</v>
      </c>
      <c r="G43" s="28" t="s">
        <v>210</v>
      </c>
      <c r="H43" s="28" t="s">
        <v>211</v>
      </c>
    </row>
    <row r="44" spans="1:9" x14ac:dyDescent="0.4">
      <c r="A44" s="28" t="s">
        <v>256</v>
      </c>
      <c r="B44" s="29">
        <v>43771.434791666667</v>
      </c>
      <c r="C44" s="28" t="s">
        <v>128</v>
      </c>
      <c r="D44" s="28" t="s">
        <v>129</v>
      </c>
      <c r="E44" s="28" t="s">
        <v>172</v>
      </c>
      <c r="F44" s="28" t="s">
        <v>209</v>
      </c>
    </row>
    <row r="45" spans="1:9" x14ac:dyDescent="0.4">
      <c r="A45" s="28" t="s">
        <v>257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258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259</v>
      </c>
      <c r="B47" s="29">
        <v>43771.434791666667</v>
      </c>
      <c r="C47" s="28" t="s">
        <v>128</v>
      </c>
    </row>
    <row r="48" spans="1:9" x14ac:dyDescent="0.4">
      <c r="A48" s="28" t="s">
        <v>260</v>
      </c>
      <c r="B48" s="29">
        <v>43771.757430555554</v>
      </c>
      <c r="C48" s="28" t="s">
        <v>128</v>
      </c>
      <c r="D48" s="28" t="s">
        <v>129</v>
      </c>
      <c r="E48" s="28" t="s">
        <v>172</v>
      </c>
      <c r="F48" s="28" t="s">
        <v>209</v>
      </c>
      <c r="G48" s="28" t="s">
        <v>210</v>
      </c>
      <c r="H48" s="28" t="s">
        <v>211</v>
      </c>
      <c r="I48" s="28" t="s">
        <v>214</v>
      </c>
    </row>
    <row r="49" spans="1:9" x14ac:dyDescent="0.4">
      <c r="A49" s="28" t="s">
        <v>261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262</v>
      </c>
      <c r="B50" s="29">
        <v>43773.988738425927</v>
      </c>
      <c r="C50" s="28" t="s">
        <v>128</v>
      </c>
    </row>
    <row r="51" spans="1:9" x14ac:dyDescent="0.4">
      <c r="A51" s="28" t="s">
        <v>263</v>
      </c>
      <c r="B51" s="29">
        <v>43775.353136574071</v>
      </c>
      <c r="C51" s="28" t="s">
        <v>128</v>
      </c>
      <c r="D51" s="28" t="s">
        <v>129</v>
      </c>
      <c r="E51" s="28" t="s">
        <v>172</v>
      </c>
      <c r="F51" s="28" t="s">
        <v>209</v>
      </c>
      <c r="G51" s="28" t="s">
        <v>210</v>
      </c>
    </row>
    <row r="52" spans="1:9" x14ac:dyDescent="0.4">
      <c r="A52" s="28" t="s">
        <v>264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265</v>
      </c>
      <c r="B53" s="29">
        <v>43786.930289351854</v>
      </c>
      <c r="C53" s="28" t="s">
        <v>128</v>
      </c>
    </row>
    <row r="54" spans="1:9" x14ac:dyDescent="0.4">
      <c r="A54" s="28" t="s">
        <v>266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267</v>
      </c>
      <c r="B55" s="29">
        <v>43786.930289351854</v>
      </c>
      <c r="C55" s="28" t="s">
        <v>128</v>
      </c>
      <c r="D55" s="28" t="s">
        <v>129</v>
      </c>
      <c r="E55" s="28" t="s">
        <v>172</v>
      </c>
      <c r="F55" s="28" t="s">
        <v>209</v>
      </c>
      <c r="G55" s="28" t="s">
        <v>210</v>
      </c>
    </row>
    <row r="56" spans="1:9" x14ac:dyDescent="0.4">
      <c r="A56" s="28" t="s">
        <v>268</v>
      </c>
      <c r="B56" s="29">
        <v>43786.930289351854</v>
      </c>
      <c r="C56" s="28" t="s">
        <v>128</v>
      </c>
    </row>
    <row r="57" spans="1:9" x14ac:dyDescent="0.4">
      <c r="A57" s="28" t="s">
        <v>269</v>
      </c>
      <c r="B57" s="29">
        <v>43786.930289351854</v>
      </c>
      <c r="C57" s="28" t="s">
        <v>128</v>
      </c>
    </row>
    <row r="58" spans="1:9" x14ac:dyDescent="0.4">
      <c r="A58" s="28" t="s">
        <v>270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271</v>
      </c>
      <c r="B59" s="29">
        <v>43786.930289351854</v>
      </c>
      <c r="C59" s="28" t="s">
        <v>128</v>
      </c>
      <c r="D59" s="28" t="s">
        <v>129</v>
      </c>
      <c r="E59" s="28" t="s">
        <v>172</v>
      </c>
      <c r="F59" s="28" t="s">
        <v>209</v>
      </c>
      <c r="G59" s="28" t="s">
        <v>210</v>
      </c>
      <c r="H59" s="28" t="s">
        <v>211</v>
      </c>
      <c r="I59" s="28" t="s">
        <v>214</v>
      </c>
    </row>
    <row r="60" spans="1:9" x14ac:dyDescent="0.4">
      <c r="A60" s="28" t="s">
        <v>272</v>
      </c>
      <c r="B60" s="29">
        <v>43788.870613425926</v>
      </c>
      <c r="C60" s="28" t="s">
        <v>128</v>
      </c>
    </row>
    <row r="61" spans="1:9" x14ac:dyDescent="0.4">
      <c r="A61" s="28" t="s">
        <v>273</v>
      </c>
      <c r="B61" s="29">
        <v>43789.063784722224</v>
      </c>
      <c r="C61" s="28" t="s">
        <v>128</v>
      </c>
      <c r="D61" s="28" t="s">
        <v>129</v>
      </c>
      <c r="E61" s="28" t="s">
        <v>172</v>
      </c>
      <c r="F61" s="28" t="s">
        <v>209</v>
      </c>
      <c r="G61" s="28" t="s">
        <v>210</v>
      </c>
    </row>
    <row r="62" spans="1:9" x14ac:dyDescent="0.4">
      <c r="A62" s="28" t="s">
        <v>274</v>
      </c>
      <c r="B62" s="29">
        <v>43790.614351851851</v>
      </c>
      <c r="C62" s="28" t="s">
        <v>128</v>
      </c>
    </row>
    <row r="63" spans="1:9" x14ac:dyDescent="0.4">
      <c r="A63" s="28" t="s">
        <v>275</v>
      </c>
      <c r="B63" s="29">
        <v>43790.988564814812</v>
      </c>
      <c r="C63" s="28" t="s">
        <v>128</v>
      </c>
    </row>
    <row r="64" spans="1:9" x14ac:dyDescent="0.4">
      <c r="A64" s="28" t="s">
        <v>276</v>
      </c>
      <c r="B64" s="29">
        <v>43792.907395833332</v>
      </c>
      <c r="C64" s="28" t="s">
        <v>128</v>
      </c>
      <c r="D64" s="28" t="s">
        <v>129</v>
      </c>
    </row>
    <row r="65" spans="1:12" x14ac:dyDescent="0.4">
      <c r="A65" s="28" t="s">
        <v>277</v>
      </c>
      <c r="B65" s="29">
        <v>43793.921354166669</v>
      </c>
      <c r="C65" s="28" t="s">
        <v>128</v>
      </c>
      <c r="D65" s="28" t="s">
        <v>129</v>
      </c>
      <c r="E65" s="28" t="s">
        <v>172</v>
      </c>
    </row>
    <row r="66" spans="1:12" x14ac:dyDescent="0.4">
      <c r="A66" s="28" t="s">
        <v>278</v>
      </c>
      <c r="B66" s="29">
        <v>43795.739641203705</v>
      </c>
      <c r="C66" s="28" t="s">
        <v>128</v>
      </c>
    </row>
    <row r="67" spans="1:12" x14ac:dyDescent="0.4">
      <c r="A67" s="28" t="s">
        <v>279</v>
      </c>
      <c r="B67" s="29">
        <v>43801.790567129632</v>
      </c>
      <c r="C67" s="28" t="s">
        <v>128</v>
      </c>
      <c r="D67" s="28" t="s">
        <v>129</v>
      </c>
      <c r="E67" s="28" t="s">
        <v>172</v>
      </c>
      <c r="F67" s="28" t="s">
        <v>209</v>
      </c>
      <c r="G67" s="28" t="s">
        <v>210</v>
      </c>
      <c r="H67" s="28" t="s">
        <v>211</v>
      </c>
      <c r="I67" s="28" t="s">
        <v>214</v>
      </c>
      <c r="J67" s="28" t="s">
        <v>215</v>
      </c>
      <c r="K67" s="28" t="s">
        <v>216</v>
      </c>
      <c r="L67" s="28" t="s">
        <v>217</v>
      </c>
    </row>
    <row r="68" spans="1:12" x14ac:dyDescent="0.4">
      <c r="A68" s="28" t="s">
        <v>280</v>
      </c>
      <c r="B68" s="29">
        <v>43801.790567129632</v>
      </c>
      <c r="C68" s="28" t="s">
        <v>128</v>
      </c>
      <c r="D68" s="28" t="s">
        <v>129</v>
      </c>
      <c r="E68" s="28" t="s">
        <v>172</v>
      </c>
    </row>
    <row r="69" spans="1:12" x14ac:dyDescent="0.4">
      <c r="A69" s="28" t="s">
        <v>281</v>
      </c>
      <c r="B69" s="29">
        <v>43805.924375000002</v>
      </c>
      <c r="C69" s="28" t="s">
        <v>128</v>
      </c>
      <c r="D69" s="28" t="s">
        <v>129</v>
      </c>
      <c r="E69" s="28" t="s">
        <v>172</v>
      </c>
    </row>
    <row r="70" spans="1:12" x14ac:dyDescent="0.4">
      <c r="A70" s="28" t="s">
        <v>282</v>
      </c>
      <c r="B70" s="29">
        <v>43805.924375000002</v>
      </c>
      <c r="C70" s="28" t="s">
        <v>128</v>
      </c>
      <c r="D70" s="28" t="s">
        <v>129</v>
      </c>
      <c r="E70" s="28" t="s">
        <v>172</v>
      </c>
      <c r="F70" s="28" t="s">
        <v>209</v>
      </c>
    </row>
    <row r="71" spans="1:12" x14ac:dyDescent="0.4">
      <c r="A71" s="28" t="s">
        <v>284</v>
      </c>
      <c r="B71" s="29">
        <v>43805.924375000002</v>
      </c>
      <c r="C71" s="28" t="s">
        <v>128</v>
      </c>
      <c r="D71" s="28" t="s">
        <v>129</v>
      </c>
      <c r="E71" s="28" t="s">
        <v>172</v>
      </c>
      <c r="F71" s="28" t="s">
        <v>209</v>
      </c>
      <c r="G71" s="28" t="s">
        <v>210</v>
      </c>
    </row>
    <row r="72" spans="1:12" x14ac:dyDescent="0.4">
      <c r="A72" s="28" t="s">
        <v>285</v>
      </c>
      <c r="B72" s="29">
        <v>43805.924375000002</v>
      </c>
      <c r="C72" s="28" t="s">
        <v>128</v>
      </c>
      <c r="D72" s="28" t="s">
        <v>129</v>
      </c>
    </row>
    <row r="73" spans="1:12" x14ac:dyDescent="0.4">
      <c r="A73" s="28" t="s">
        <v>286</v>
      </c>
      <c r="B73" s="29">
        <v>43805.924375000002</v>
      </c>
      <c r="C73" s="28" t="s">
        <v>128</v>
      </c>
    </row>
    <row r="74" spans="1:12" x14ac:dyDescent="0.4">
      <c r="A74" s="28" t="s">
        <v>287</v>
      </c>
      <c r="B74" s="29">
        <v>43809.912534722222</v>
      </c>
      <c r="C74" s="28" t="s">
        <v>128</v>
      </c>
    </row>
    <row r="75" spans="1:12" x14ac:dyDescent="0.4">
      <c r="A75" s="28" t="s">
        <v>288</v>
      </c>
      <c r="B75" s="29">
        <v>43809.912534722222</v>
      </c>
      <c r="C75" s="28" t="s">
        <v>128</v>
      </c>
      <c r="D75" s="28" t="s">
        <v>129</v>
      </c>
      <c r="E75" s="28" t="s">
        <v>172</v>
      </c>
      <c r="F75" s="28" t="s">
        <v>209</v>
      </c>
    </row>
    <row r="76" spans="1:12" x14ac:dyDescent="0.4">
      <c r="A76" s="28" t="s">
        <v>291</v>
      </c>
      <c r="B76" s="29">
        <v>43809.912534722222</v>
      </c>
      <c r="C76" s="28" t="s">
        <v>128</v>
      </c>
    </row>
    <row r="77" spans="1:12" x14ac:dyDescent="0.4">
      <c r="A77" s="28" t="s">
        <v>292</v>
      </c>
      <c r="B77" s="29">
        <v>43809.912534722222</v>
      </c>
      <c r="C77" s="28" t="s">
        <v>128</v>
      </c>
      <c r="D77" s="28" t="s">
        <v>129</v>
      </c>
    </row>
    <row r="78" spans="1:12" x14ac:dyDescent="0.4">
      <c r="A78" s="28" t="s">
        <v>293</v>
      </c>
      <c r="B78" s="29">
        <v>43809.912534722222</v>
      </c>
      <c r="C78" s="28" t="s">
        <v>128</v>
      </c>
      <c r="D78" s="28" t="s">
        <v>129</v>
      </c>
      <c r="E78" s="28" t="s">
        <v>172</v>
      </c>
    </row>
    <row r="79" spans="1:12" x14ac:dyDescent="0.4">
      <c r="A79" s="28" t="s">
        <v>294</v>
      </c>
      <c r="B79" s="29">
        <v>43816.914398148147</v>
      </c>
      <c r="C79" s="28" t="s">
        <v>128</v>
      </c>
      <c r="D79" s="28" t="s">
        <v>129</v>
      </c>
      <c r="E79" s="28" t="s">
        <v>172</v>
      </c>
      <c r="F79" s="28" t="s">
        <v>209</v>
      </c>
      <c r="G79" s="28" t="s">
        <v>210</v>
      </c>
    </row>
    <row r="80" spans="1:12" x14ac:dyDescent="0.4">
      <c r="A80" s="28" t="s">
        <v>295</v>
      </c>
      <c r="B80" s="29">
        <v>43816.914398148147</v>
      </c>
      <c r="C80" s="28" t="s">
        <v>128</v>
      </c>
    </row>
    <row r="81" spans="1:9" x14ac:dyDescent="0.4">
      <c r="A81" s="28" t="s">
        <v>296</v>
      </c>
      <c r="B81" s="29">
        <v>43816.914398148147</v>
      </c>
      <c r="C81" s="28" t="s">
        <v>128</v>
      </c>
      <c r="D81" s="28" t="s">
        <v>129</v>
      </c>
      <c r="E81" s="28" t="s">
        <v>172</v>
      </c>
    </row>
    <row r="82" spans="1:9" x14ac:dyDescent="0.4">
      <c r="A82" s="28" t="s">
        <v>297</v>
      </c>
      <c r="B82" s="29">
        <v>43816.914398148147</v>
      </c>
      <c r="C82" s="28" t="s">
        <v>128</v>
      </c>
    </row>
    <row r="83" spans="1:9" x14ac:dyDescent="0.4">
      <c r="A83" s="28" t="s">
        <v>298</v>
      </c>
      <c r="B83" s="29">
        <v>43816.914398148147</v>
      </c>
      <c r="C83" s="28" t="s">
        <v>128</v>
      </c>
      <c r="D83" s="28" t="s">
        <v>129</v>
      </c>
      <c r="E83" s="28" t="s">
        <v>172</v>
      </c>
    </row>
    <row r="84" spans="1:9" x14ac:dyDescent="0.4">
      <c r="A84" s="28" t="s">
        <v>299</v>
      </c>
      <c r="B84" s="29">
        <v>43837.807129629633</v>
      </c>
      <c r="C84" s="28" t="s">
        <v>128</v>
      </c>
      <c r="D84" s="28" t="s">
        <v>129</v>
      </c>
    </row>
    <row r="85" spans="1:9" x14ac:dyDescent="0.4">
      <c r="A85" s="28" t="s">
        <v>300</v>
      </c>
      <c r="B85" s="29">
        <v>43837.807129629633</v>
      </c>
      <c r="C85" s="28" t="s">
        <v>128</v>
      </c>
      <c r="D85" s="28" t="s">
        <v>129</v>
      </c>
      <c r="E85" s="28" t="s">
        <v>172</v>
      </c>
      <c r="F85" s="28" t="s">
        <v>209</v>
      </c>
    </row>
    <row r="86" spans="1:9" x14ac:dyDescent="0.4">
      <c r="A86" s="28" t="s">
        <v>301</v>
      </c>
      <c r="B86" s="29">
        <v>43837.807129629633</v>
      </c>
      <c r="C86" s="28" t="s">
        <v>128</v>
      </c>
      <c r="D86" s="28" t="s">
        <v>129</v>
      </c>
    </row>
    <row r="87" spans="1:9" x14ac:dyDescent="0.4">
      <c r="A87" s="28" t="s">
        <v>302</v>
      </c>
      <c r="B87" s="29">
        <v>43837.807129629633</v>
      </c>
      <c r="C87" s="28" t="s">
        <v>128</v>
      </c>
      <c r="D87" s="28" t="s">
        <v>129</v>
      </c>
      <c r="E87" s="28" t="s">
        <v>172</v>
      </c>
      <c r="F87" s="28" t="s">
        <v>209</v>
      </c>
      <c r="G87" s="28" t="s">
        <v>211</v>
      </c>
      <c r="H87" s="28" t="s">
        <v>210</v>
      </c>
    </row>
    <row r="88" spans="1:9" x14ac:dyDescent="0.4">
      <c r="A88" s="28" t="s">
        <v>303</v>
      </c>
      <c r="B88" s="29">
        <v>43837.807129629633</v>
      </c>
      <c r="C88" s="28" t="s">
        <v>128</v>
      </c>
    </row>
    <row r="89" spans="1:9" x14ac:dyDescent="0.4">
      <c r="A89" s="28" t="s">
        <v>304</v>
      </c>
      <c r="B89" s="29">
        <v>43839.353576388887</v>
      </c>
      <c r="C89" s="28" t="s">
        <v>128</v>
      </c>
      <c r="D89" s="28" t="s">
        <v>129</v>
      </c>
      <c r="E89" s="28" t="s">
        <v>172</v>
      </c>
      <c r="F89" s="28" t="s">
        <v>209</v>
      </c>
    </row>
    <row r="90" spans="1:9" x14ac:dyDescent="0.4">
      <c r="A90" s="28" t="s">
        <v>305</v>
      </c>
      <c r="B90" s="29">
        <v>43843.348136574074</v>
      </c>
      <c r="C90" s="28" t="s">
        <v>128</v>
      </c>
    </row>
    <row r="91" spans="1:9" x14ac:dyDescent="0.4">
      <c r="A91" s="28" t="s">
        <v>306</v>
      </c>
      <c r="B91" s="29">
        <v>43843.348136574074</v>
      </c>
      <c r="C91" s="28" t="s">
        <v>128</v>
      </c>
      <c r="D91" s="28" t="s">
        <v>129</v>
      </c>
      <c r="E91" s="28" t="s">
        <v>172</v>
      </c>
    </row>
    <row r="92" spans="1:9" x14ac:dyDescent="0.4">
      <c r="A92" s="28" t="s">
        <v>307</v>
      </c>
      <c r="B92" s="29">
        <v>43843.348136574074</v>
      </c>
      <c r="C92" s="28" t="s">
        <v>128</v>
      </c>
      <c r="D92" s="28" t="s">
        <v>129</v>
      </c>
      <c r="E92" s="28" t="s">
        <v>172</v>
      </c>
      <c r="F92" s="28" t="s">
        <v>209</v>
      </c>
      <c r="G92" s="28" t="s">
        <v>210</v>
      </c>
      <c r="H92" s="28" t="s">
        <v>211</v>
      </c>
      <c r="I92" s="28" t="s">
        <v>214</v>
      </c>
    </row>
    <row r="93" spans="1:9" x14ac:dyDescent="0.4">
      <c r="A93" s="28" t="s">
        <v>308</v>
      </c>
      <c r="B93" s="29">
        <v>43844.354594907411</v>
      </c>
      <c r="C93" s="28" t="s">
        <v>128</v>
      </c>
      <c r="D93" s="28" t="s">
        <v>129</v>
      </c>
      <c r="E93" s="28" t="s">
        <v>172</v>
      </c>
    </row>
    <row r="94" spans="1:9" x14ac:dyDescent="0.4">
      <c r="A94" s="28" t="s">
        <v>309</v>
      </c>
      <c r="B94" s="29">
        <v>43845.931944444441</v>
      </c>
      <c r="C94" s="28" t="s">
        <v>128</v>
      </c>
      <c r="D94" s="28" t="s">
        <v>129</v>
      </c>
      <c r="E94" s="28" t="s">
        <v>172</v>
      </c>
    </row>
    <row r="95" spans="1:9" x14ac:dyDescent="0.4">
      <c r="A95" s="28" t="s">
        <v>310</v>
      </c>
      <c r="B95" s="29">
        <v>43846.731504629628</v>
      </c>
      <c r="C95" s="28" t="s">
        <v>128</v>
      </c>
    </row>
    <row r="96" spans="1:9" x14ac:dyDescent="0.4">
      <c r="A96" s="28" t="s">
        <v>311</v>
      </c>
      <c r="B96" s="29">
        <v>43847.355509259258</v>
      </c>
      <c r="C96" s="28" t="s">
        <v>128</v>
      </c>
      <c r="D96" s="28" t="s">
        <v>129</v>
      </c>
      <c r="E96" s="28" t="s">
        <v>172</v>
      </c>
      <c r="F96" s="28" t="s">
        <v>209</v>
      </c>
    </row>
    <row r="97" spans="1:7" x14ac:dyDescent="0.4">
      <c r="A97" s="28" t="s">
        <v>312</v>
      </c>
      <c r="B97" s="29">
        <v>43847.668622685182</v>
      </c>
      <c r="C97" s="28" t="s">
        <v>128</v>
      </c>
      <c r="D97" s="28" t="s">
        <v>129</v>
      </c>
      <c r="E97" s="28" t="s">
        <v>172</v>
      </c>
    </row>
    <row r="98" spans="1:7" x14ac:dyDescent="0.4">
      <c r="A98" s="28" t="s">
        <v>313</v>
      </c>
      <c r="B98" s="29">
        <v>43857.573321759257</v>
      </c>
      <c r="C98" s="28" t="s">
        <v>128</v>
      </c>
      <c r="D98" s="28" t="s">
        <v>129</v>
      </c>
    </row>
    <row r="99" spans="1:7" x14ac:dyDescent="0.4">
      <c r="A99" s="28" t="s">
        <v>314</v>
      </c>
      <c r="B99" s="29">
        <v>43857.573321759257</v>
      </c>
      <c r="C99" s="28" t="s">
        <v>128</v>
      </c>
      <c r="D99" s="28" t="s">
        <v>129</v>
      </c>
      <c r="E99" s="28" t="s">
        <v>172</v>
      </c>
      <c r="F99" s="28" t="s">
        <v>209</v>
      </c>
      <c r="G99" s="28" t="s">
        <v>210</v>
      </c>
    </row>
    <row r="100" spans="1:7" x14ac:dyDescent="0.4">
      <c r="A100" s="28" t="s">
        <v>315</v>
      </c>
      <c r="B100" s="29">
        <v>43857.573321759257</v>
      </c>
      <c r="C100" s="28" t="s">
        <v>128</v>
      </c>
      <c r="D100" s="28" t="s">
        <v>129</v>
      </c>
      <c r="E100" s="28" t="s">
        <v>172</v>
      </c>
    </row>
    <row r="101" spans="1:7" x14ac:dyDescent="0.4">
      <c r="A101" s="28" t="s">
        <v>316</v>
      </c>
      <c r="B101" s="29">
        <v>43857.573321759257</v>
      </c>
      <c r="C101" s="28" t="s">
        <v>128</v>
      </c>
      <c r="D101" s="28" t="s">
        <v>129</v>
      </c>
      <c r="E101" s="28" t="s">
        <v>172</v>
      </c>
    </row>
    <row r="102" spans="1:7" x14ac:dyDescent="0.4">
      <c r="A102" s="28" t="s">
        <v>317</v>
      </c>
      <c r="B102" s="29">
        <v>43865.913969907408</v>
      </c>
      <c r="C102" s="28" t="s">
        <v>128</v>
      </c>
      <c r="D102" s="28" t="s">
        <v>129</v>
      </c>
      <c r="E102" s="28" t="s">
        <v>172</v>
      </c>
    </row>
    <row r="103" spans="1:7" x14ac:dyDescent="0.4">
      <c r="A103" s="28" t="s">
        <v>318</v>
      </c>
      <c r="B103" s="29">
        <v>43865.913969907408</v>
      </c>
      <c r="C103" s="28" t="s">
        <v>128</v>
      </c>
      <c r="D103" s="28" t="s">
        <v>129</v>
      </c>
      <c r="E103" s="28" t="s">
        <v>172</v>
      </c>
      <c r="F103" s="28" t="s">
        <v>209</v>
      </c>
    </row>
    <row r="104" spans="1:7" x14ac:dyDescent="0.4">
      <c r="A104" s="28" t="s">
        <v>319</v>
      </c>
      <c r="B104" s="29">
        <v>43865.913969907408</v>
      </c>
      <c r="C104" s="28" t="s">
        <v>128</v>
      </c>
      <c r="D104" s="28" t="s">
        <v>129</v>
      </c>
      <c r="E104" s="28" t="s">
        <v>172</v>
      </c>
    </row>
    <row r="105" spans="1:7" x14ac:dyDescent="0.4">
      <c r="A105" s="28" t="s">
        <v>320</v>
      </c>
      <c r="B105" s="29">
        <v>43865.913969907408</v>
      </c>
      <c r="C105" s="28" t="s">
        <v>128</v>
      </c>
      <c r="D105" s="28" t="s">
        <v>129</v>
      </c>
    </row>
    <row r="106" spans="1:7" x14ac:dyDescent="0.4">
      <c r="A106" s="28" t="s">
        <v>321</v>
      </c>
      <c r="B106" s="29">
        <v>43865.913969907408</v>
      </c>
      <c r="C106" s="28" t="s">
        <v>128</v>
      </c>
      <c r="D106" s="28" t="s">
        <v>129</v>
      </c>
      <c r="E106" s="28" t="s">
        <v>172</v>
      </c>
    </row>
    <row r="107" spans="1:7" x14ac:dyDescent="0.4">
      <c r="A107" s="28" t="s">
        <v>195</v>
      </c>
      <c r="B107" s="29">
        <v>43865.913969907408</v>
      </c>
      <c r="C107" s="28" t="s">
        <v>128</v>
      </c>
      <c r="D107" s="28" t="s">
        <v>129</v>
      </c>
      <c r="E107" s="28" t="s">
        <v>172</v>
      </c>
    </row>
    <row r="108" spans="1:7" x14ac:dyDescent="0.4">
      <c r="A108" s="28" t="s">
        <v>196</v>
      </c>
      <c r="B108" s="29">
        <v>43865.913969907408</v>
      </c>
      <c r="C108" s="28" t="s">
        <v>128</v>
      </c>
    </row>
    <row r="109" spans="1:7" x14ac:dyDescent="0.4">
      <c r="A109" s="28" t="s">
        <v>197</v>
      </c>
      <c r="B109" s="29">
        <v>43866.987847222219</v>
      </c>
      <c r="C109" s="28" t="s">
        <v>128</v>
      </c>
      <c r="D109" s="28" t="s">
        <v>129</v>
      </c>
    </row>
    <row r="110" spans="1:7" x14ac:dyDescent="0.4">
      <c r="A110" s="28" t="s">
        <v>198</v>
      </c>
      <c r="B110" s="29">
        <v>43866.987847222219</v>
      </c>
      <c r="C110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1035</v>
      </c>
    </row>
    <row r="2" spans="1:2" x14ac:dyDescent="0.4">
      <c r="A2" t="s">
        <v>161</v>
      </c>
      <c r="B2">
        <v>89</v>
      </c>
    </row>
    <row r="3" spans="1:2" x14ac:dyDescent="0.4">
      <c r="A3" t="s">
        <v>126</v>
      </c>
      <c r="B3">
        <v>207</v>
      </c>
    </row>
    <row r="4" spans="1:2" x14ac:dyDescent="0.4">
      <c r="A4" t="s">
        <v>127</v>
      </c>
      <c r="B4">
        <v>179</v>
      </c>
    </row>
    <row r="5" spans="1:2" x14ac:dyDescent="0.4">
      <c r="A5" t="s">
        <v>171</v>
      </c>
      <c r="B5">
        <v>102</v>
      </c>
    </row>
    <row r="6" spans="1:2" x14ac:dyDescent="0.4">
      <c r="A6" t="s">
        <v>170</v>
      </c>
      <c r="B6">
        <v>155</v>
      </c>
    </row>
    <row r="7" spans="1:2" x14ac:dyDescent="0.4">
      <c r="A7" t="s">
        <v>206</v>
      </c>
      <c r="B7">
        <v>156</v>
      </c>
    </row>
    <row r="8" spans="1:2" x14ac:dyDescent="0.4">
      <c r="A8" t="s">
        <v>194</v>
      </c>
      <c r="B8">
        <v>73</v>
      </c>
    </row>
    <row r="9" spans="1:2" x14ac:dyDescent="0.4">
      <c r="A9" t="s">
        <v>193</v>
      </c>
      <c r="B9">
        <v>32</v>
      </c>
    </row>
    <row r="10" spans="1:2" x14ac:dyDescent="0.4">
      <c r="A10" t="s">
        <v>219</v>
      </c>
      <c r="B10">
        <v>7</v>
      </c>
    </row>
    <row r="11" spans="1:2" x14ac:dyDescent="0.4">
      <c r="A11" t="s">
        <v>243</v>
      </c>
      <c r="B11">
        <v>2</v>
      </c>
    </row>
    <row r="12" spans="1:2" x14ac:dyDescent="0.4">
      <c r="A12" t="s">
        <v>283</v>
      </c>
      <c r="B12">
        <v>18</v>
      </c>
    </row>
    <row r="13" spans="1:2" x14ac:dyDescent="0.4">
      <c r="A13" t="s">
        <v>290</v>
      </c>
      <c r="B13">
        <v>10</v>
      </c>
    </row>
    <row r="14" spans="1:2" x14ac:dyDescent="0.4">
      <c r="A14" t="s">
        <v>289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93" customWidth="1"/>
    <col min="8" max="8" width="10.75" style="81" customWidth="1"/>
    <col min="9" max="9" width="10.75" style="82" customWidth="1"/>
    <col min="10" max="10" width="10.75" style="81" customWidth="1"/>
    <col min="11" max="11" width="10.75" style="83" customWidth="1"/>
    <col min="12" max="12" width="10.75" style="81" customWidth="1"/>
    <col min="13" max="13" width="10.75" style="83" customWidth="1"/>
    <col min="14" max="14" width="10.75" style="81" customWidth="1"/>
    <col min="15" max="15" width="10.75" style="84" customWidth="1"/>
    <col min="16" max="16" width="10.75" style="81" customWidth="1"/>
    <col min="17" max="17" width="10.75" style="84" customWidth="1"/>
    <col min="18" max="18" width="10.75" style="81" customWidth="1"/>
    <col min="19" max="19" width="10.75" style="85" customWidth="1"/>
    <col min="20" max="20" width="10.75" style="81" customWidth="1"/>
    <col min="21" max="21" width="10.75" style="85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64" t="s">
        <v>6</v>
      </c>
      <c r="C1" s="165"/>
      <c r="D1" s="164" t="s">
        <v>7</v>
      </c>
      <c r="E1" s="165"/>
      <c r="F1" s="164" t="s">
        <v>203</v>
      </c>
      <c r="G1" s="165"/>
      <c r="H1" s="164" t="s">
        <v>15</v>
      </c>
      <c r="I1" s="165"/>
      <c r="J1" s="164" t="s">
        <v>14</v>
      </c>
      <c r="K1" s="165"/>
      <c r="L1" s="164" t="s">
        <v>155</v>
      </c>
      <c r="M1" s="165"/>
      <c r="N1" s="164" t="s">
        <v>145</v>
      </c>
      <c r="O1" s="165"/>
      <c r="P1" s="164" t="s">
        <v>146</v>
      </c>
      <c r="Q1" s="165"/>
      <c r="R1" s="164" t="s">
        <v>5</v>
      </c>
      <c r="S1" s="165"/>
      <c r="T1" s="164" t="s">
        <v>16</v>
      </c>
      <c r="U1" s="165"/>
      <c r="V1" s="164" t="s">
        <v>17</v>
      </c>
      <c r="W1" s="165"/>
      <c r="X1" s="164" t="s">
        <v>122</v>
      </c>
      <c r="Y1" s="165"/>
      <c r="Z1" s="164" t="s">
        <v>119</v>
      </c>
      <c r="AA1" s="165"/>
      <c r="AB1" s="164" t="s">
        <v>125</v>
      </c>
      <c r="AC1" s="165"/>
      <c r="AD1" s="164" t="s">
        <v>147</v>
      </c>
      <c r="AE1" s="165"/>
      <c r="AF1" s="164" t="s">
        <v>140</v>
      </c>
      <c r="AG1" s="165"/>
      <c r="AH1" s="164" t="s">
        <v>189</v>
      </c>
      <c r="AI1" s="165"/>
    </row>
    <row r="2" spans="1:35" x14ac:dyDescent="0.4">
      <c r="A2" s="68" t="s">
        <v>154</v>
      </c>
      <c r="B2" s="166"/>
      <c r="C2" s="167"/>
      <c r="D2" s="166"/>
      <c r="E2" s="167"/>
      <c r="F2" s="168">
        <v>0.71786612968140218</v>
      </c>
      <c r="G2" s="169"/>
      <c r="H2" s="168">
        <v>0.97842277847610737</v>
      </c>
      <c r="I2" s="169"/>
      <c r="J2" s="168">
        <v>0.83320985130869518</v>
      </c>
      <c r="K2" s="169"/>
      <c r="L2" s="168">
        <v>0.68817519498780566</v>
      </c>
      <c r="M2" s="169"/>
      <c r="N2" s="168">
        <v>0.60773873663740241</v>
      </c>
      <c r="O2" s="169"/>
      <c r="P2" s="168">
        <v>0.26143406455163176</v>
      </c>
      <c r="Q2" s="169"/>
      <c r="R2" s="168">
        <v>0.45043326460888566</v>
      </c>
      <c r="S2" s="169"/>
      <c r="T2" s="168">
        <v>-3.7147789642197476E-2</v>
      </c>
      <c r="U2" s="169"/>
      <c r="V2" s="168">
        <v>0.33448396776003275</v>
      </c>
      <c r="W2" s="169"/>
      <c r="X2" s="168">
        <v>0.37001715044152356</v>
      </c>
      <c r="Y2" s="169"/>
      <c r="Z2" s="168">
        <v>2.0324319920887457E-2</v>
      </c>
      <c r="AA2" s="169"/>
      <c r="AB2" s="168">
        <v>0.49542581365234911</v>
      </c>
      <c r="AC2" s="169"/>
      <c r="AD2" s="168">
        <v>9.1789717976035537E-2</v>
      </c>
      <c r="AE2" s="169"/>
      <c r="AF2" s="168">
        <v>-0.13660462863866504</v>
      </c>
      <c r="AG2" s="169"/>
      <c r="AH2" s="168">
        <v>0.73558453032887938</v>
      </c>
      <c r="AI2" s="169"/>
    </row>
    <row r="3" spans="1:35" x14ac:dyDescent="0.4">
      <c r="A3" s="70">
        <v>1</v>
      </c>
      <c r="B3" s="71" t="s">
        <v>126</v>
      </c>
      <c r="C3" s="72">
        <v>1977.1999999999998</v>
      </c>
      <c r="D3" s="73" t="s">
        <v>243</v>
      </c>
      <c r="E3" s="92">
        <v>13.1</v>
      </c>
      <c r="F3" s="73" t="s">
        <v>243</v>
      </c>
      <c r="G3" s="92">
        <v>8.7333333333333325</v>
      </c>
      <c r="H3" s="73" t="s">
        <v>243</v>
      </c>
      <c r="I3" s="74">
        <v>1.5</v>
      </c>
      <c r="J3" s="73" t="s">
        <v>290</v>
      </c>
      <c r="K3" s="75">
        <v>0.5</v>
      </c>
      <c r="L3" s="73" t="s">
        <v>243</v>
      </c>
      <c r="M3" s="75">
        <v>0</v>
      </c>
      <c r="N3" s="73" t="s">
        <v>243</v>
      </c>
      <c r="O3" s="76">
        <v>0.46666666666666667</v>
      </c>
      <c r="P3" s="73" t="s">
        <v>243</v>
      </c>
      <c r="Q3" s="76">
        <v>6.6666666666666666E-2</v>
      </c>
      <c r="R3" s="73" t="s">
        <v>170</v>
      </c>
      <c r="S3" s="77">
        <v>11155.36231884058</v>
      </c>
      <c r="T3" s="73" t="s">
        <v>193</v>
      </c>
      <c r="U3" s="77">
        <v>-7102</v>
      </c>
      <c r="V3" s="73" t="s">
        <v>243</v>
      </c>
      <c r="W3" s="75">
        <v>0</v>
      </c>
      <c r="X3" s="73" t="s">
        <v>290</v>
      </c>
      <c r="Y3" s="76">
        <v>0.38461538461538464</v>
      </c>
      <c r="Z3" s="73" t="s">
        <v>219</v>
      </c>
      <c r="AA3" s="76">
        <v>0.35483870967741937</v>
      </c>
      <c r="AB3" s="73" t="s">
        <v>290</v>
      </c>
      <c r="AC3" s="76">
        <v>0.6333333333333333</v>
      </c>
      <c r="AD3" s="73" t="s">
        <v>243</v>
      </c>
      <c r="AE3" s="76">
        <v>1</v>
      </c>
      <c r="AF3" s="73" t="s">
        <v>193</v>
      </c>
      <c r="AG3" s="76">
        <v>0.58441558441558439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170</v>
      </c>
      <c r="C4" s="80">
        <v>713.80000000000052</v>
      </c>
      <c r="D4" s="81" t="s">
        <v>126</v>
      </c>
      <c r="E4" s="93">
        <v>9.5516908212560381</v>
      </c>
      <c r="F4" s="81" t="s">
        <v>126</v>
      </c>
      <c r="G4" s="93">
        <v>1.5892970521541834</v>
      </c>
      <c r="H4" s="81" t="s">
        <v>126</v>
      </c>
      <c r="I4" s="82">
        <v>1.7632850241545894</v>
      </c>
      <c r="J4" s="81" t="s">
        <v>243</v>
      </c>
      <c r="K4" s="83">
        <v>0.5</v>
      </c>
      <c r="L4" s="81" t="s">
        <v>126</v>
      </c>
      <c r="M4" s="83">
        <v>0.23671497584541062</v>
      </c>
      <c r="N4" s="81" t="s">
        <v>283</v>
      </c>
      <c r="O4" s="84">
        <v>0.34838709677419355</v>
      </c>
      <c r="P4" s="81" t="s">
        <v>126</v>
      </c>
      <c r="Q4" s="84">
        <v>0.12362159024956472</v>
      </c>
      <c r="R4" s="81" t="s">
        <v>290</v>
      </c>
      <c r="S4" s="85">
        <v>9534.6153846153848</v>
      </c>
      <c r="T4" s="81" t="s">
        <v>206</v>
      </c>
      <c r="U4" s="85">
        <v>-7195.4802259887001</v>
      </c>
      <c r="V4" s="81" t="s">
        <v>126</v>
      </c>
      <c r="W4" s="83">
        <v>4.3478260869565216E-2</v>
      </c>
      <c r="X4" s="81" t="s">
        <v>289</v>
      </c>
      <c r="Y4" s="84">
        <v>0.375</v>
      </c>
      <c r="Z4" s="81" t="s">
        <v>243</v>
      </c>
      <c r="AA4" s="84">
        <v>0.33333333333333331</v>
      </c>
      <c r="AB4" s="81" t="s">
        <v>126</v>
      </c>
      <c r="AC4" s="84">
        <v>0.58333333333333337</v>
      </c>
      <c r="AD4" s="81" t="s">
        <v>283</v>
      </c>
      <c r="AE4" s="84">
        <v>0.68421052631578949</v>
      </c>
      <c r="AF4" s="81" t="s">
        <v>283</v>
      </c>
      <c r="AG4" s="84">
        <v>0.53703703703703709</v>
      </c>
      <c r="AH4" s="81" t="s">
        <v>141</v>
      </c>
      <c r="AI4" s="88">
        <v>149100</v>
      </c>
    </row>
    <row r="5" spans="1:35" x14ac:dyDescent="0.4">
      <c r="A5" s="78">
        <v>3</v>
      </c>
      <c r="B5" s="79" t="s">
        <v>243</v>
      </c>
      <c r="C5" s="80">
        <v>26.2</v>
      </c>
      <c r="D5" s="81" t="s">
        <v>170</v>
      </c>
      <c r="E5" s="93">
        <v>4.6051612903225836</v>
      </c>
      <c r="F5" s="81" t="s">
        <v>206</v>
      </c>
      <c r="G5" s="93">
        <v>1.2993211018604189</v>
      </c>
      <c r="H5" s="81" t="s">
        <v>170</v>
      </c>
      <c r="I5" s="82">
        <v>1.9096774193548387</v>
      </c>
      <c r="J5" s="81" t="s">
        <v>126</v>
      </c>
      <c r="K5" s="83">
        <v>0.47342995169082125</v>
      </c>
      <c r="L5" s="81" t="s">
        <v>206</v>
      </c>
      <c r="M5" s="83">
        <v>0.30128205128205127</v>
      </c>
      <c r="N5" s="81" t="s">
        <v>126</v>
      </c>
      <c r="O5" s="84">
        <v>0.34300638421358098</v>
      </c>
      <c r="P5" s="81" t="s">
        <v>206</v>
      </c>
      <c r="Q5" s="84">
        <v>0.14025356576862125</v>
      </c>
      <c r="R5" s="81" t="s">
        <v>289</v>
      </c>
      <c r="S5" s="85">
        <v>8512.5</v>
      </c>
      <c r="T5" s="81" t="s">
        <v>161</v>
      </c>
      <c r="U5" s="85">
        <v>-7497.65625</v>
      </c>
      <c r="V5" s="81" t="s">
        <v>171</v>
      </c>
      <c r="W5" s="83">
        <v>7.8431372549019607E-2</v>
      </c>
      <c r="X5" s="81" t="s">
        <v>283</v>
      </c>
      <c r="Y5" s="84">
        <v>0.34838709677419355</v>
      </c>
      <c r="Z5" s="81" t="s">
        <v>127</v>
      </c>
      <c r="AA5" s="84">
        <v>0.29912810194500333</v>
      </c>
      <c r="AB5" s="81" t="s">
        <v>283</v>
      </c>
      <c r="AC5" s="84">
        <v>0.57407407407407407</v>
      </c>
      <c r="AD5" s="81" t="s">
        <v>126</v>
      </c>
      <c r="AE5" s="84">
        <v>0.48426150121065376</v>
      </c>
      <c r="AF5" s="81" t="s">
        <v>170</v>
      </c>
      <c r="AG5" s="84">
        <v>0.51014492753623186</v>
      </c>
      <c r="AH5" s="81" t="s">
        <v>170</v>
      </c>
      <c r="AI5" s="88">
        <v>122100</v>
      </c>
    </row>
    <row r="6" spans="1:35" x14ac:dyDescent="0.4">
      <c r="A6" s="78">
        <v>4</v>
      </c>
      <c r="B6" s="79" t="s">
        <v>290</v>
      </c>
      <c r="C6" s="80">
        <v>9.2999999999999972</v>
      </c>
      <c r="D6" s="81" t="s">
        <v>290</v>
      </c>
      <c r="E6" s="93">
        <v>0.92999999999999972</v>
      </c>
      <c r="F6" s="81" t="s">
        <v>170</v>
      </c>
      <c r="G6" s="93">
        <v>0.97425179211469037</v>
      </c>
      <c r="H6" s="81" t="s">
        <v>127</v>
      </c>
      <c r="I6" s="82">
        <v>1.988826815642458</v>
      </c>
      <c r="J6" s="81" t="s">
        <v>219</v>
      </c>
      <c r="K6" s="83">
        <v>0.42857142857142855</v>
      </c>
      <c r="L6" s="81" t="s">
        <v>170</v>
      </c>
      <c r="M6" s="83">
        <v>0.30967741935483872</v>
      </c>
      <c r="N6" s="81" t="s">
        <v>290</v>
      </c>
      <c r="O6" s="84">
        <v>0.33333333333333331</v>
      </c>
      <c r="P6" s="81" t="s">
        <v>141</v>
      </c>
      <c r="Q6" s="84">
        <v>0.15967163833969245</v>
      </c>
      <c r="R6" s="81" t="s">
        <v>206</v>
      </c>
      <c r="S6" s="85">
        <v>8511.1428571428569</v>
      </c>
      <c r="T6" s="81" t="s">
        <v>126</v>
      </c>
      <c r="U6" s="85">
        <v>-7630.5164319248825</v>
      </c>
      <c r="V6" s="81" t="s">
        <v>161</v>
      </c>
      <c r="W6" s="83">
        <v>7.8651685393258425E-2</v>
      </c>
      <c r="X6" s="81" t="s">
        <v>170</v>
      </c>
      <c r="Y6" s="84">
        <v>0.29407051282051283</v>
      </c>
      <c r="Z6" s="81" t="s">
        <v>161</v>
      </c>
      <c r="AA6" s="84">
        <v>0.26202531645569621</v>
      </c>
      <c r="AB6" s="81" t="s">
        <v>193</v>
      </c>
      <c r="AC6" s="84">
        <v>0.5662650602409639</v>
      </c>
      <c r="AD6" s="81" t="s">
        <v>141</v>
      </c>
      <c r="AE6" s="84">
        <v>0.41845386533665835</v>
      </c>
      <c r="AF6" s="81" t="s">
        <v>171</v>
      </c>
      <c r="AG6" s="84">
        <v>0.47435897435897434</v>
      </c>
      <c r="AH6" s="81" t="s">
        <v>206</v>
      </c>
      <c r="AI6" s="88">
        <v>101400</v>
      </c>
    </row>
    <row r="7" spans="1:35" x14ac:dyDescent="0.4">
      <c r="A7" s="78">
        <v>5</v>
      </c>
      <c r="B7" s="79" t="s">
        <v>141</v>
      </c>
      <c r="C7" s="80">
        <v>-7.460698725481052E-14</v>
      </c>
      <c r="D7" s="81" t="s">
        <v>141</v>
      </c>
      <c r="E7" s="93">
        <v>-7.2084045656821753E-17</v>
      </c>
      <c r="F7" s="81" t="s">
        <v>290</v>
      </c>
      <c r="G7" s="93">
        <v>0.61999999999999977</v>
      </c>
      <c r="H7" s="81" t="s">
        <v>193</v>
      </c>
      <c r="I7" s="82">
        <v>2</v>
      </c>
      <c r="J7" s="81" t="s">
        <v>170</v>
      </c>
      <c r="K7" s="83">
        <v>0.4</v>
      </c>
      <c r="L7" s="81" t="s">
        <v>127</v>
      </c>
      <c r="M7" s="83">
        <v>0.32402234636871508</v>
      </c>
      <c r="N7" s="81" t="s">
        <v>127</v>
      </c>
      <c r="O7" s="84">
        <v>0.31321260898725689</v>
      </c>
      <c r="P7" s="81" t="s">
        <v>283</v>
      </c>
      <c r="Q7" s="84">
        <v>0.16129032258064516</v>
      </c>
      <c r="R7" s="81" t="s">
        <v>141</v>
      </c>
      <c r="S7" s="85">
        <v>8464.9606299212592</v>
      </c>
      <c r="T7" s="81" t="s">
        <v>171</v>
      </c>
      <c r="U7" s="85">
        <v>-7839.375</v>
      </c>
      <c r="V7" s="81" t="s">
        <v>206</v>
      </c>
      <c r="W7" s="83">
        <v>8.3333333333333329E-2</v>
      </c>
      <c r="X7" s="81" t="s">
        <v>193</v>
      </c>
      <c r="Y7" s="84">
        <v>0.27852348993288589</v>
      </c>
      <c r="Z7" s="81" t="s">
        <v>126</v>
      </c>
      <c r="AA7" s="84">
        <v>0.23969820081253626</v>
      </c>
      <c r="AB7" s="81" t="s">
        <v>206</v>
      </c>
      <c r="AC7" s="84">
        <v>0.54798761609907121</v>
      </c>
      <c r="AD7" s="81" t="s">
        <v>206</v>
      </c>
      <c r="AE7" s="84">
        <v>0.41811846689895471</v>
      </c>
      <c r="AF7" s="81" t="s">
        <v>290</v>
      </c>
      <c r="AG7" s="84">
        <v>0.46153846153846156</v>
      </c>
      <c r="AH7" s="81" t="s">
        <v>193</v>
      </c>
      <c r="AI7" s="88">
        <v>95200</v>
      </c>
    </row>
    <row r="8" spans="1:35" x14ac:dyDescent="0.4">
      <c r="A8" s="78">
        <v>6</v>
      </c>
      <c r="B8" s="79" t="s">
        <v>283</v>
      </c>
      <c r="C8" s="80">
        <v>-55.6</v>
      </c>
      <c r="D8" s="81" t="s">
        <v>206</v>
      </c>
      <c r="E8" s="93">
        <v>-0.5262820512820513</v>
      </c>
      <c r="F8" s="81" t="s">
        <v>141</v>
      </c>
      <c r="G8" s="93">
        <v>0</v>
      </c>
      <c r="H8" s="81" t="s">
        <v>290</v>
      </c>
      <c r="I8" s="82">
        <v>2</v>
      </c>
      <c r="J8" s="81" t="s">
        <v>193</v>
      </c>
      <c r="K8" s="83">
        <v>0.375</v>
      </c>
      <c r="L8" s="81" t="s">
        <v>141</v>
      </c>
      <c r="M8" s="83">
        <v>0.33333333333333331</v>
      </c>
      <c r="N8" s="81" t="s">
        <v>141</v>
      </c>
      <c r="O8" s="84">
        <v>0.2936755694299919</v>
      </c>
      <c r="P8" s="81" t="s">
        <v>161</v>
      </c>
      <c r="Q8" s="84">
        <v>0.16202531645569621</v>
      </c>
      <c r="R8" s="81" t="s">
        <v>194</v>
      </c>
      <c r="S8" s="85">
        <v>8326.6666666666661</v>
      </c>
      <c r="T8" s="81" t="s">
        <v>141</v>
      </c>
      <c r="U8" s="85">
        <v>-7875.1629254163654</v>
      </c>
      <c r="V8" s="81" t="s">
        <v>141</v>
      </c>
      <c r="W8" s="83">
        <v>9.9516908212560387E-2</v>
      </c>
      <c r="X8" s="81" t="s">
        <v>171</v>
      </c>
      <c r="Y8" s="84">
        <v>0.27582292849035189</v>
      </c>
      <c r="Z8" s="81" t="s">
        <v>141</v>
      </c>
      <c r="AA8" s="84">
        <v>0.23181870736501331</v>
      </c>
      <c r="AB8" s="81" t="s">
        <v>141</v>
      </c>
      <c r="AC8" s="84">
        <v>0.54604051565377532</v>
      </c>
      <c r="AD8" s="81" t="s">
        <v>194</v>
      </c>
      <c r="AE8" s="84">
        <v>0.41304347826086957</v>
      </c>
      <c r="AF8" s="81" t="s">
        <v>206</v>
      </c>
      <c r="AG8" s="84">
        <v>0.46</v>
      </c>
      <c r="AH8" s="81" t="s">
        <v>127</v>
      </c>
      <c r="AI8" s="88">
        <v>91800</v>
      </c>
    </row>
    <row r="9" spans="1:35" x14ac:dyDescent="0.4">
      <c r="A9" s="78">
        <v>7</v>
      </c>
      <c r="B9" s="79" t="s">
        <v>289</v>
      </c>
      <c r="C9" s="80">
        <v>-80.800000000000011</v>
      </c>
      <c r="D9" s="81" t="s">
        <v>127</v>
      </c>
      <c r="E9" s="93">
        <v>-0.56815642458100679</v>
      </c>
      <c r="F9" s="81" t="s">
        <v>194</v>
      </c>
      <c r="G9" s="93">
        <v>-0.95778474399164304</v>
      </c>
      <c r="H9" s="81" t="s">
        <v>141</v>
      </c>
      <c r="I9" s="82">
        <v>2</v>
      </c>
      <c r="J9" s="81" t="s">
        <v>127</v>
      </c>
      <c r="K9" s="83">
        <v>0.33519553072625696</v>
      </c>
      <c r="L9" s="81" t="s">
        <v>193</v>
      </c>
      <c r="M9" s="83">
        <v>0.375</v>
      </c>
      <c r="N9" s="81" t="s">
        <v>206</v>
      </c>
      <c r="O9" s="84">
        <v>0.27733755942947702</v>
      </c>
      <c r="P9" s="81" t="s">
        <v>193</v>
      </c>
      <c r="Q9" s="84">
        <v>0.16778523489932887</v>
      </c>
      <c r="R9" s="81" t="s">
        <v>126</v>
      </c>
      <c r="S9" s="85">
        <v>8277.8341793570216</v>
      </c>
      <c r="T9" s="81" t="s">
        <v>289</v>
      </c>
      <c r="U9" s="85">
        <v>-7987.5</v>
      </c>
      <c r="V9" s="81" t="s">
        <v>127</v>
      </c>
      <c r="W9" s="83">
        <v>0.10614525139664804</v>
      </c>
      <c r="X9" s="81" t="s">
        <v>243</v>
      </c>
      <c r="Y9" s="84">
        <v>0.26666666666666666</v>
      </c>
      <c r="Z9" s="81" t="s">
        <v>194</v>
      </c>
      <c r="AA9" s="84">
        <v>0.22772277227722773</v>
      </c>
      <c r="AB9" s="81" t="s">
        <v>170</v>
      </c>
      <c r="AC9" s="84">
        <v>0.54495912806539515</v>
      </c>
      <c r="AD9" s="81" t="s">
        <v>171</v>
      </c>
      <c r="AE9" s="84">
        <v>0.39880952380952384</v>
      </c>
      <c r="AF9" s="81" t="s">
        <v>194</v>
      </c>
      <c r="AG9" s="84">
        <v>0.46</v>
      </c>
      <c r="AH9" s="81" t="s">
        <v>161</v>
      </c>
      <c r="AI9" s="88">
        <v>87400</v>
      </c>
    </row>
    <row r="10" spans="1:35" x14ac:dyDescent="0.4">
      <c r="A10" s="78">
        <v>8</v>
      </c>
      <c r="B10" s="79" t="s">
        <v>206</v>
      </c>
      <c r="C10" s="80">
        <v>-82.1</v>
      </c>
      <c r="D10" s="81" t="s">
        <v>193</v>
      </c>
      <c r="E10" s="93">
        <v>-3.0218749999999992</v>
      </c>
      <c r="F10" s="81" t="s">
        <v>127</v>
      </c>
      <c r="G10" s="93">
        <v>-0.96969191633690366</v>
      </c>
      <c r="H10" s="81" t="s">
        <v>206</v>
      </c>
      <c r="I10" s="82">
        <v>2.0448717948717947</v>
      </c>
      <c r="J10" s="81" t="s">
        <v>283</v>
      </c>
      <c r="K10" s="83">
        <v>0.33333333333333331</v>
      </c>
      <c r="L10" s="81" t="s">
        <v>283</v>
      </c>
      <c r="M10" s="83">
        <v>0.3888888888888889</v>
      </c>
      <c r="N10" s="81" t="s">
        <v>170</v>
      </c>
      <c r="O10" s="84">
        <v>0.27644230769230771</v>
      </c>
      <c r="P10" s="81" t="s">
        <v>170</v>
      </c>
      <c r="Q10" s="84">
        <v>0.17227564102564102</v>
      </c>
      <c r="R10" s="81" t="s">
        <v>193</v>
      </c>
      <c r="S10" s="85">
        <v>8164.9350649350654</v>
      </c>
      <c r="T10" s="81" t="s">
        <v>127</v>
      </c>
      <c r="U10" s="85">
        <v>-7989.772727272727</v>
      </c>
      <c r="V10" s="81" t="s">
        <v>170</v>
      </c>
      <c r="W10" s="83">
        <v>0.12258064516129032</v>
      </c>
      <c r="X10" s="81" t="s">
        <v>126</v>
      </c>
      <c r="Y10" s="84">
        <v>0.26465467208357518</v>
      </c>
      <c r="Z10" s="81" t="s">
        <v>206</v>
      </c>
      <c r="AA10" s="84">
        <v>0.22741679873217116</v>
      </c>
      <c r="AB10" s="81" t="s">
        <v>171</v>
      </c>
      <c r="AC10" s="84">
        <v>0.53909465020576131</v>
      </c>
      <c r="AD10" s="81" t="s">
        <v>161</v>
      </c>
      <c r="AE10" s="84">
        <v>0.39613526570048307</v>
      </c>
      <c r="AF10" s="81" t="s">
        <v>141</v>
      </c>
      <c r="AG10" s="84">
        <v>0.4515748031496063</v>
      </c>
      <c r="AH10" s="81" t="s">
        <v>194</v>
      </c>
      <c r="AI10" s="88">
        <v>85100</v>
      </c>
    </row>
    <row r="11" spans="1:35" x14ac:dyDescent="0.4">
      <c r="A11" s="78">
        <v>9</v>
      </c>
      <c r="B11" s="79" t="s">
        <v>193</v>
      </c>
      <c r="C11" s="80">
        <v>-96.699999999999974</v>
      </c>
      <c r="D11" s="81" t="s">
        <v>283</v>
      </c>
      <c r="E11" s="93">
        <v>-3.088888888888889</v>
      </c>
      <c r="F11" s="81" t="s">
        <v>283</v>
      </c>
      <c r="G11" s="93">
        <v>-0.98952380952380992</v>
      </c>
      <c r="H11" s="81" t="s">
        <v>283</v>
      </c>
      <c r="I11" s="82">
        <v>2.0555555555555554</v>
      </c>
      <c r="J11" s="81" t="s">
        <v>141</v>
      </c>
      <c r="K11" s="83">
        <v>0.33333333333333331</v>
      </c>
      <c r="L11" s="81" t="s">
        <v>289</v>
      </c>
      <c r="M11" s="83">
        <v>0.4</v>
      </c>
      <c r="N11" s="81" t="s">
        <v>161</v>
      </c>
      <c r="O11" s="84">
        <v>0.27341772151898736</v>
      </c>
      <c r="P11" s="81" t="s">
        <v>127</v>
      </c>
      <c r="Q11" s="84">
        <v>0.17706237424547283</v>
      </c>
      <c r="R11" s="81" t="s">
        <v>127</v>
      </c>
      <c r="S11" s="85">
        <v>7886.0813704496786</v>
      </c>
      <c r="T11" s="81" t="s">
        <v>243</v>
      </c>
      <c r="U11" s="85">
        <v>-8000</v>
      </c>
      <c r="V11" s="81" t="s">
        <v>193</v>
      </c>
      <c r="W11" s="83">
        <v>0.15625</v>
      </c>
      <c r="X11" s="81" t="s">
        <v>206</v>
      </c>
      <c r="Y11" s="84">
        <v>0.25594294770206022</v>
      </c>
      <c r="Z11" s="81" t="s">
        <v>171</v>
      </c>
      <c r="AA11" s="84">
        <v>0.19069239500567536</v>
      </c>
      <c r="AB11" s="81" t="s">
        <v>161</v>
      </c>
      <c r="AC11" s="84">
        <v>0.5357142857142857</v>
      </c>
      <c r="AD11" s="81" t="s">
        <v>127</v>
      </c>
      <c r="AE11" s="84">
        <v>0.39461883408071746</v>
      </c>
      <c r="AF11" s="81" t="s">
        <v>161</v>
      </c>
      <c r="AG11" s="84">
        <v>0.43518518518518517</v>
      </c>
      <c r="AH11" s="81" t="s">
        <v>290</v>
      </c>
      <c r="AI11" s="88">
        <v>70900</v>
      </c>
    </row>
    <row r="12" spans="1:35" x14ac:dyDescent="0.4">
      <c r="A12" s="78">
        <v>10</v>
      </c>
      <c r="B12" s="79" t="s">
        <v>127</v>
      </c>
      <c r="C12" s="80">
        <v>-101.70000000000022</v>
      </c>
      <c r="D12" s="81" t="s">
        <v>161</v>
      </c>
      <c r="E12" s="93">
        <v>-6.5280898876404523</v>
      </c>
      <c r="F12" s="81" t="s">
        <v>161</v>
      </c>
      <c r="G12" s="93">
        <v>-1.4363760683760667</v>
      </c>
      <c r="H12" s="81" t="s">
        <v>219</v>
      </c>
      <c r="I12" s="82">
        <v>2.1428571428571428</v>
      </c>
      <c r="J12" s="81" t="s">
        <v>161</v>
      </c>
      <c r="K12" s="83">
        <v>0.2808988764044944</v>
      </c>
      <c r="L12" s="81" t="s">
        <v>171</v>
      </c>
      <c r="M12" s="83">
        <v>0.40196078431372551</v>
      </c>
      <c r="N12" s="81" t="s">
        <v>171</v>
      </c>
      <c r="O12" s="84">
        <v>0.26560726447219069</v>
      </c>
      <c r="P12" s="81" t="s">
        <v>194</v>
      </c>
      <c r="Q12" s="84">
        <v>0.17986798679867988</v>
      </c>
      <c r="R12" s="81" t="s">
        <v>171</v>
      </c>
      <c r="S12" s="85">
        <v>7844.0170940170938</v>
      </c>
      <c r="T12" s="81" t="s">
        <v>283</v>
      </c>
      <c r="U12" s="85">
        <v>-8220</v>
      </c>
      <c r="V12" s="81" t="s">
        <v>283</v>
      </c>
      <c r="W12" s="83">
        <v>0.16666666666666666</v>
      </c>
      <c r="X12" s="81" t="s">
        <v>141</v>
      </c>
      <c r="Y12" s="84">
        <v>0.25112729795352062</v>
      </c>
      <c r="Z12" s="81" t="s">
        <v>170</v>
      </c>
      <c r="AA12" s="84">
        <v>0.18669871794871795</v>
      </c>
      <c r="AB12" s="81" t="s">
        <v>219</v>
      </c>
      <c r="AC12" s="84">
        <v>0.53333333333333333</v>
      </c>
      <c r="AD12" s="81" t="s">
        <v>170</v>
      </c>
      <c r="AE12" s="84">
        <v>0.3905579399141631</v>
      </c>
      <c r="AF12" s="81" t="s">
        <v>126</v>
      </c>
      <c r="AG12" s="84">
        <v>0.41962774957698817</v>
      </c>
      <c r="AH12" s="81" t="s">
        <v>171</v>
      </c>
      <c r="AI12" s="88">
        <v>69500</v>
      </c>
    </row>
    <row r="13" spans="1:35" x14ac:dyDescent="0.4">
      <c r="A13" s="78">
        <v>11</v>
      </c>
      <c r="B13" s="79" t="s">
        <v>219</v>
      </c>
      <c r="C13" s="80">
        <v>-104.80000000000001</v>
      </c>
      <c r="D13" s="81" t="s">
        <v>171</v>
      </c>
      <c r="E13" s="93">
        <v>-7.4431372549019601</v>
      </c>
      <c r="F13" s="81" t="s">
        <v>171</v>
      </c>
      <c r="G13" s="93">
        <v>-1.9473983739837379</v>
      </c>
      <c r="H13" s="81" t="s">
        <v>161</v>
      </c>
      <c r="I13" s="82">
        <v>2.1573033707865168</v>
      </c>
      <c r="J13" s="81" t="s">
        <v>206</v>
      </c>
      <c r="K13" s="83">
        <v>0.25641025641025639</v>
      </c>
      <c r="L13" s="81" t="s">
        <v>161</v>
      </c>
      <c r="M13" s="83">
        <v>0.43820224719101125</v>
      </c>
      <c r="N13" s="81" t="s">
        <v>193</v>
      </c>
      <c r="O13" s="84">
        <v>0.25838926174496646</v>
      </c>
      <c r="P13" s="81" t="s">
        <v>171</v>
      </c>
      <c r="Q13" s="84">
        <v>0.18161180476730987</v>
      </c>
      <c r="R13" s="81" t="s">
        <v>219</v>
      </c>
      <c r="S13" s="85">
        <v>7473.333333333333</v>
      </c>
      <c r="T13" s="81" t="s">
        <v>170</v>
      </c>
      <c r="U13" s="85">
        <v>-8355.8139534883721</v>
      </c>
      <c r="V13" s="81" t="s">
        <v>194</v>
      </c>
      <c r="W13" s="83">
        <v>0.17808219178082191</v>
      </c>
      <c r="X13" s="81" t="s">
        <v>219</v>
      </c>
      <c r="Y13" s="84">
        <v>0.24193548387096775</v>
      </c>
      <c r="Z13" s="81" t="s">
        <v>290</v>
      </c>
      <c r="AA13" s="84">
        <v>0.16666666666666666</v>
      </c>
      <c r="AB13" s="81" t="s">
        <v>127</v>
      </c>
      <c r="AC13" s="84">
        <v>0.50877192982456143</v>
      </c>
      <c r="AD13" s="81" t="s">
        <v>290</v>
      </c>
      <c r="AE13" s="84">
        <v>0.38461538461538464</v>
      </c>
      <c r="AF13" s="81" t="s">
        <v>127</v>
      </c>
      <c r="AG13" s="84">
        <v>0.41327623126338331</v>
      </c>
      <c r="AH13" s="81" t="s">
        <v>283</v>
      </c>
      <c r="AI13" s="88">
        <v>65900</v>
      </c>
    </row>
    <row r="14" spans="1:35" x14ac:dyDescent="0.4">
      <c r="A14" s="78">
        <v>12</v>
      </c>
      <c r="B14" s="79" t="s">
        <v>161</v>
      </c>
      <c r="C14" s="80">
        <v>-581.00000000000023</v>
      </c>
      <c r="D14" s="81" t="s">
        <v>194</v>
      </c>
      <c r="E14" s="93">
        <v>-11.84383561643836</v>
      </c>
      <c r="F14" s="81" t="s">
        <v>193</v>
      </c>
      <c r="G14" s="93">
        <v>-2.7208333333333337</v>
      </c>
      <c r="H14" s="81" t="s">
        <v>171</v>
      </c>
      <c r="I14" s="82">
        <v>2.1960784313725492</v>
      </c>
      <c r="J14" s="81" t="s">
        <v>171</v>
      </c>
      <c r="K14" s="83">
        <v>0.20588235294117646</v>
      </c>
      <c r="L14" s="81" t="s">
        <v>194</v>
      </c>
      <c r="M14" s="83">
        <v>0.45205479452054792</v>
      </c>
      <c r="N14" s="81" t="s">
        <v>194</v>
      </c>
      <c r="O14" s="84">
        <v>0.24752475247524752</v>
      </c>
      <c r="P14" s="81" t="s">
        <v>219</v>
      </c>
      <c r="Q14" s="84">
        <v>0.19354838709677419</v>
      </c>
      <c r="R14" s="81" t="s">
        <v>243</v>
      </c>
      <c r="S14" s="85">
        <v>7385.7142857142853</v>
      </c>
      <c r="T14" s="81" t="s">
        <v>194</v>
      </c>
      <c r="U14" s="85">
        <v>-8488.9908256880735</v>
      </c>
      <c r="V14" s="81" t="s">
        <v>290</v>
      </c>
      <c r="W14" s="83">
        <v>0.2</v>
      </c>
      <c r="X14" s="81" t="s">
        <v>127</v>
      </c>
      <c r="Y14" s="84">
        <v>0.22937625754527163</v>
      </c>
      <c r="Z14" s="81" t="s">
        <v>193</v>
      </c>
      <c r="AA14" s="84">
        <v>0.16107382550335569</v>
      </c>
      <c r="AB14" s="81" t="s">
        <v>194</v>
      </c>
      <c r="AC14" s="84">
        <v>0.5078125</v>
      </c>
      <c r="AD14" s="81" t="s">
        <v>289</v>
      </c>
      <c r="AE14" s="84">
        <v>0.33333333333333331</v>
      </c>
      <c r="AF14" s="81" t="s">
        <v>219</v>
      </c>
      <c r="AG14" s="84">
        <v>0.33333333333333331</v>
      </c>
      <c r="AH14" s="81" t="s">
        <v>219</v>
      </c>
      <c r="AI14" s="88">
        <v>59500</v>
      </c>
    </row>
    <row r="15" spans="1:35" x14ac:dyDescent="0.4">
      <c r="A15" s="78">
        <v>13</v>
      </c>
      <c r="B15" s="79" t="s">
        <v>171</v>
      </c>
      <c r="C15" s="80">
        <v>-759.19999999999993</v>
      </c>
      <c r="D15" s="81" t="s">
        <v>219</v>
      </c>
      <c r="E15" s="93">
        <v>-14.971428571428573</v>
      </c>
      <c r="F15" s="81" t="s">
        <v>219</v>
      </c>
      <c r="G15" s="93">
        <v>-6.4861111111111098</v>
      </c>
      <c r="H15" s="81" t="s">
        <v>289</v>
      </c>
      <c r="I15" s="82">
        <v>2.2000000000000002</v>
      </c>
      <c r="J15" s="81" t="s">
        <v>289</v>
      </c>
      <c r="K15" s="83">
        <v>0.2</v>
      </c>
      <c r="L15" s="81" t="s">
        <v>290</v>
      </c>
      <c r="M15" s="83">
        <v>0.5</v>
      </c>
      <c r="N15" s="81" t="s">
        <v>219</v>
      </c>
      <c r="O15" s="84">
        <v>0.24193548387096775</v>
      </c>
      <c r="P15" s="81" t="s">
        <v>289</v>
      </c>
      <c r="Q15" s="84">
        <v>0.2</v>
      </c>
      <c r="R15" s="81" t="s">
        <v>161</v>
      </c>
      <c r="S15" s="85">
        <v>7159.7222222222226</v>
      </c>
      <c r="T15" s="81" t="s">
        <v>219</v>
      </c>
      <c r="U15" s="85">
        <v>-9075</v>
      </c>
      <c r="V15" s="81" t="s">
        <v>289</v>
      </c>
      <c r="W15" s="83">
        <v>0.2</v>
      </c>
      <c r="X15" s="81" t="s">
        <v>194</v>
      </c>
      <c r="Y15" s="84">
        <v>0.21122112211221122</v>
      </c>
      <c r="Z15" s="81" t="s">
        <v>289</v>
      </c>
      <c r="AA15" s="84">
        <v>0.15</v>
      </c>
      <c r="AB15" s="81" t="s">
        <v>243</v>
      </c>
      <c r="AC15" s="84">
        <v>0.5</v>
      </c>
      <c r="AD15" s="81" t="s">
        <v>193</v>
      </c>
      <c r="AE15" s="84">
        <v>0.3125</v>
      </c>
      <c r="AF15" s="81" t="s">
        <v>243</v>
      </c>
      <c r="AG15" s="84">
        <v>0.2857142857142857</v>
      </c>
      <c r="AH15" s="81" t="s">
        <v>243</v>
      </c>
      <c r="AI15" s="88">
        <v>52800</v>
      </c>
    </row>
    <row r="16" spans="1:35" x14ac:dyDescent="0.4">
      <c r="A16" s="78">
        <v>14</v>
      </c>
      <c r="B16" s="79" t="s">
        <v>194</v>
      </c>
      <c r="C16" s="80">
        <v>-864.60000000000025</v>
      </c>
      <c r="D16" s="81" t="s">
        <v>289</v>
      </c>
      <c r="E16" s="93">
        <v>-16.160000000000004</v>
      </c>
      <c r="F16" s="81" t="s">
        <v>289</v>
      </c>
      <c r="G16" s="93">
        <v>-8.9666666666666668</v>
      </c>
      <c r="H16" s="81" t="s">
        <v>194</v>
      </c>
      <c r="I16" s="82">
        <v>2.3013698630136985</v>
      </c>
      <c r="J16" s="81" t="s">
        <v>194</v>
      </c>
      <c r="K16" s="83">
        <v>0.15068493150684931</v>
      </c>
      <c r="L16" s="81" t="s">
        <v>219</v>
      </c>
      <c r="M16" s="83">
        <v>0.5714285714285714</v>
      </c>
      <c r="N16" s="81" t="s">
        <v>289</v>
      </c>
      <c r="O16" s="84">
        <v>0.2</v>
      </c>
      <c r="P16" s="81" t="s">
        <v>290</v>
      </c>
      <c r="Q16" s="84">
        <v>0.24358974358974358</v>
      </c>
      <c r="R16" s="81" t="s">
        <v>283</v>
      </c>
      <c r="S16" s="85">
        <v>6648.1481481481478</v>
      </c>
      <c r="T16" s="81" t="s">
        <v>290</v>
      </c>
      <c r="U16" s="85">
        <v>-10010.526315789473</v>
      </c>
      <c r="V16" s="81" t="s">
        <v>219</v>
      </c>
      <c r="W16" s="83">
        <v>0.5714285714285714</v>
      </c>
      <c r="X16" s="81" t="s">
        <v>161</v>
      </c>
      <c r="Y16" s="84">
        <v>0.14177215189873418</v>
      </c>
      <c r="Z16" s="81" t="s">
        <v>283</v>
      </c>
      <c r="AA16" s="84">
        <v>0.12258064516129032</v>
      </c>
      <c r="AB16" s="81" t="s">
        <v>289</v>
      </c>
      <c r="AC16" s="84">
        <v>0.4</v>
      </c>
      <c r="AD16" s="81" t="s">
        <v>219</v>
      </c>
      <c r="AE16" s="84">
        <v>0.27272727272727271</v>
      </c>
      <c r="AF16" s="81" t="s">
        <v>289</v>
      </c>
      <c r="AG16" s="84">
        <v>0.25</v>
      </c>
      <c r="AH16" s="81" t="s">
        <v>289</v>
      </c>
      <c r="AI16" s="88">
        <v>52000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44233-6CEC-4B7B-BE5D-767C81CDA550}">
  <sheetPr codeName="Sheet4"/>
  <dimension ref="A1:Q103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141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1035</v>
      </c>
      <c r="C2" s="157"/>
      <c r="E2" s="58" t="s">
        <v>66</v>
      </c>
      <c r="F2" s="55" t="s">
        <v>22</v>
      </c>
      <c r="G2" s="43">
        <v>1894</v>
      </c>
      <c r="H2" s="128">
        <f>IF(B$19=0,0,G2/B$19)</f>
        <v>0.74566929133858273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-29.154518950437318</v>
      </c>
      <c r="P2" s="114">
        <v>1029</v>
      </c>
      <c r="Q2" s="98">
        <v>-30000</v>
      </c>
    </row>
    <row r="3" spans="1:17" x14ac:dyDescent="0.4">
      <c r="A3" s="51" t="s">
        <v>8</v>
      </c>
      <c r="B3" s="158">
        <v>8649</v>
      </c>
      <c r="C3" s="159"/>
      <c r="E3" s="59" t="s">
        <v>72</v>
      </c>
      <c r="F3" s="56" t="s">
        <v>27</v>
      </c>
      <c r="G3" s="44">
        <v>1383</v>
      </c>
      <c r="H3" s="129">
        <f>IF(B$19=0,0,G3/B$19)</f>
        <v>0.54448818897637796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9.8911968348170127</v>
      </c>
      <c r="P3" s="115">
        <v>1011</v>
      </c>
      <c r="Q3" s="99">
        <v>10000</v>
      </c>
    </row>
    <row r="4" spans="1:17" x14ac:dyDescent="0.4">
      <c r="A4" s="51" t="s">
        <v>6</v>
      </c>
      <c r="B4" s="160">
        <v>-7.460698725481052E-14</v>
      </c>
      <c r="C4" s="161"/>
      <c r="E4" s="59" t="s">
        <v>64</v>
      </c>
      <c r="F4" s="56" t="s">
        <v>20</v>
      </c>
      <c r="G4" s="44">
        <v>1149</v>
      </c>
      <c r="H4" s="129">
        <f>IF(B$19=0,0,G4/B$19)</f>
        <v>0.45236220472440947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-1.0515247108307044</v>
      </c>
      <c r="P4" s="115">
        <v>951</v>
      </c>
      <c r="Q4" s="99">
        <v>-1000</v>
      </c>
    </row>
    <row r="5" spans="1:17" x14ac:dyDescent="0.4">
      <c r="A5" s="51" t="s">
        <v>7</v>
      </c>
      <c r="B5" s="162">
        <f>IF(B$2=0,0,B$4/B$2)</f>
        <v>-7.2084045656821753E-17</v>
      </c>
      <c r="C5" s="163"/>
      <c r="E5" s="59" t="s">
        <v>166</v>
      </c>
      <c r="F5" s="56" t="s">
        <v>167</v>
      </c>
      <c r="G5" s="44">
        <v>1002</v>
      </c>
      <c r="H5" s="129">
        <f>IF(B$19=0,0,G5/B$19)</f>
        <v>0.39448818897637794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-1.1261261261261262</v>
      </c>
      <c r="P5" s="115">
        <v>888</v>
      </c>
      <c r="Q5" s="99">
        <v>-1000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68</v>
      </c>
      <c r="F6" s="56" t="s">
        <v>12</v>
      </c>
      <c r="G6" s="44">
        <v>797</v>
      </c>
      <c r="H6" s="129">
        <f>IF(B$19=0,0,G6/B$19)</f>
        <v>0.31377952755905514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9.7680097680097688</v>
      </c>
      <c r="P6" s="115">
        <v>819</v>
      </c>
      <c r="Q6" s="99">
        <v>8000</v>
      </c>
    </row>
    <row r="7" spans="1:17" x14ac:dyDescent="0.4">
      <c r="A7" s="51" t="s">
        <v>2</v>
      </c>
      <c r="B7" s="44">
        <v>345</v>
      </c>
      <c r="C7" s="37">
        <f t="shared" ref="C7:C14" si="1">IF(B$2=0,0,B7/B$2)</f>
        <v>0.33333333333333331</v>
      </c>
      <c r="E7" s="59" t="s">
        <v>67</v>
      </c>
      <c r="F7" s="56" t="s">
        <v>23</v>
      </c>
      <c r="G7" s="44">
        <v>706</v>
      </c>
      <c r="H7" s="129">
        <f>IF(B$19=0,0,G7/B$19)</f>
        <v>0.27795275590551183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19.174041297935105</v>
      </c>
      <c r="P7" s="116">
        <v>678</v>
      </c>
      <c r="Q7" s="100">
        <v>13000</v>
      </c>
    </row>
    <row r="8" spans="1:17" x14ac:dyDescent="0.4">
      <c r="A8" s="51" t="s">
        <v>3</v>
      </c>
      <c r="B8" s="44">
        <v>345</v>
      </c>
      <c r="C8" s="37">
        <f t="shared" si="1"/>
        <v>0.33333333333333331</v>
      </c>
      <c r="E8" s="59" t="s">
        <v>89</v>
      </c>
      <c r="F8" s="56" t="s">
        <v>44</v>
      </c>
      <c r="G8" s="44">
        <v>358</v>
      </c>
      <c r="H8" s="129">
        <f>IF(B$19=0,0,G8/B$19)</f>
        <v>0.14094488188976378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345</v>
      </c>
      <c r="C9" s="38">
        <f t="shared" si="1"/>
        <v>0.33333333333333331</v>
      </c>
      <c r="E9" s="59" t="s">
        <v>69</v>
      </c>
      <c r="F9" s="56" t="s">
        <v>24</v>
      </c>
      <c r="G9" s="44">
        <v>352</v>
      </c>
      <c r="H9" s="129">
        <f>IF(B$19=0,0,G9/B$19)</f>
        <v>0.13858267716535433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35.200000000000017</v>
      </c>
      <c r="C10" s="147">
        <v>12144.000000000005</v>
      </c>
      <c r="E10" s="59" t="s">
        <v>65</v>
      </c>
      <c r="F10" s="56" t="s">
        <v>21</v>
      </c>
      <c r="G10" s="44">
        <v>259</v>
      </c>
      <c r="H10" s="129">
        <f>IF(B$19=0,0,G10/B$19)</f>
        <v>0.10196850393700788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-4.2602898550724646</v>
      </c>
      <c r="P10" s="114">
        <v>345</v>
      </c>
      <c r="Q10" s="102">
        <v>-1469.8000000000002</v>
      </c>
    </row>
    <row r="11" spans="1:17" x14ac:dyDescent="0.4">
      <c r="A11" s="52" t="s">
        <v>200</v>
      </c>
      <c r="B11" s="146">
        <f>IF(B8=0,0,C11/B8)</f>
        <v>5.9130434782608425E-2</v>
      </c>
      <c r="C11" s="147">
        <v>20.399999999999906</v>
      </c>
      <c r="E11" s="59" t="s">
        <v>70</v>
      </c>
      <c r="F11" s="56" t="s">
        <v>25</v>
      </c>
      <c r="G11" s="44">
        <v>240</v>
      </c>
      <c r="H11" s="129">
        <f>IF(B$19=0,0,G11/B$19)</f>
        <v>9.4488188976377951E-2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1.561449275362319</v>
      </c>
      <c r="P11" s="115">
        <v>345</v>
      </c>
      <c r="Q11" s="103">
        <v>538.70000000000005</v>
      </c>
    </row>
    <row r="12" spans="1:17" x14ac:dyDescent="0.4">
      <c r="A12" s="52" t="s">
        <v>201</v>
      </c>
      <c r="B12" s="146">
        <f>IF(B9=0,0,C12/B9)</f>
        <v>-35.259130434782648</v>
      </c>
      <c r="C12" s="147">
        <v>-12164.400000000012</v>
      </c>
      <c r="E12" s="59" t="s">
        <v>71</v>
      </c>
      <c r="F12" s="56" t="s">
        <v>26</v>
      </c>
      <c r="G12" s="44">
        <v>204</v>
      </c>
      <c r="H12" s="129">
        <f>IF(B$19=0,0,G12/B$19)</f>
        <v>8.0314960629921259E-2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2.6988405797101431</v>
      </c>
      <c r="P12" s="116">
        <v>345</v>
      </c>
      <c r="Q12" s="104">
        <v>931.09999999999945</v>
      </c>
    </row>
    <row r="13" spans="1:17" x14ac:dyDescent="0.4">
      <c r="A13" s="52" t="s">
        <v>202</v>
      </c>
      <c r="B13" s="162">
        <f>AVERAGE(B10:B12)</f>
        <v>0</v>
      </c>
      <c r="C13" s="163"/>
      <c r="E13" s="59" t="s">
        <v>83</v>
      </c>
      <c r="F13" s="56" t="s">
        <v>38</v>
      </c>
      <c r="G13" s="44">
        <v>126</v>
      </c>
      <c r="H13" s="129">
        <f>IF(B$19=0,0,G13/B$19)</f>
        <v>4.9606299212598425E-2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103</v>
      </c>
      <c r="C14" s="40">
        <f t="shared" si="1"/>
        <v>9.9516908212560387E-2</v>
      </c>
      <c r="E14" s="59" t="s">
        <v>86</v>
      </c>
      <c r="F14" s="56" t="s">
        <v>41</v>
      </c>
      <c r="G14" s="44">
        <v>123</v>
      </c>
      <c r="H14" s="129">
        <f>IF(B$19=0,0,G14/B$19)</f>
        <v>4.8425196850393704E-2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2172</v>
      </c>
      <c r="C15" s="42">
        <f>IF(B$3=0,0,B15/B$3)</f>
        <v>0.25112729795352062</v>
      </c>
      <c r="E15" s="59" t="s">
        <v>78</v>
      </c>
      <c r="F15" s="56" t="s">
        <v>33</v>
      </c>
      <c r="G15" s="44">
        <v>70</v>
      </c>
      <c r="H15" s="129">
        <f>IF(B$19=0,0,G15/B$19)</f>
        <v>2.7559055118110236E-2</v>
      </c>
      <c r="I15" s="90">
        <v>6</v>
      </c>
      <c r="K15" s="36">
        <v>13</v>
      </c>
      <c r="L15" s="95">
        <v>-1.7</v>
      </c>
      <c r="N15" s="110" t="s">
        <v>289</v>
      </c>
      <c r="O15" s="120">
        <f t="shared" ref="O15:O26" si="2"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118</v>
      </c>
      <c r="B16" s="44">
        <v>2005</v>
      </c>
      <c r="C16" s="37">
        <f>IF(B$3=0,0,B16/B$3)</f>
        <v>0.23181870736501331</v>
      </c>
      <c r="E16" s="59" t="s">
        <v>81</v>
      </c>
      <c r="F16" s="56" t="s">
        <v>36</v>
      </c>
      <c r="G16" s="44">
        <v>58</v>
      </c>
      <c r="H16" s="129">
        <f>IF(B$19=0,0,G16/B$19)</f>
        <v>2.2834645669291338E-2</v>
      </c>
      <c r="I16" s="90">
        <v>5</v>
      </c>
      <c r="K16" s="36">
        <v>14</v>
      </c>
      <c r="L16" s="95">
        <v>24.3</v>
      </c>
      <c r="N16" s="111" t="s">
        <v>219</v>
      </c>
      <c r="O16" s="121">
        <f t="shared" si="2"/>
        <v>22.457142857142856</v>
      </c>
      <c r="P16" s="115">
        <v>14</v>
      </c>
      <c r="Q16" s="103">
        <v>314.39999999999998</v>
      </c>
    </row>
    <row r="17" spans="1:17" x14ac:dyDescent="0.4">
      <c r="A17" s="50" t="s">
        <v>123</v>
      </c>
      <c r="B17" s="43">
        <f>B23</f>
        <v>1186</v>
      </c>
      <c r="C17" s="35">
        <f>IF(B$15=0,0,B17/B$15)</f>
        <v>0.54604051565377532</v>
      </c>
      <c r="E17" s="59" t="s">
        <v>162</v>
      </c>
      <c r="F17" s="56" t="s">
        <v>163</v>
      </c>
      <c r="G17" s="44">
        <v>49</v>
      </c>
      <c r="H17" s="129">
        <f>IF(B$19=0,0,G17/B$19)</f>
        <v>1.9291338582677165E-2</v>
      </c>
      <c r="I17" s="90">
        <v>3</v>
      </c>
      <c r="K17" s="36">
        <v>15</v>
      </c>
      <c r="L17" s="95">
        <v>0</v>
      </c>
      <c r="N17" s="111" t="s">
        <v>194</v>
      </c>
      <c r="O17" s="121">
        <f t="shared" si="2"/>
        <v>17.765753424657508</v>
      </c>
      <c r="P17" s="115">
        <v>146</v>
      </c>
      <c r="Q17" s="103">
        <v>2593.7999999999961</v>
      </c>
    </row>
    <row r="18" spans="1:17" x14ac:dyDescent="0.4">
      <c r="A18" s="50" t="s">
        <v>124</v>
      </c>
      <c r="B18" s="43">
        <f>B24</f>
        <v>839</v>
      </c>
      <c r="C18" s="35">
        <f>IF(B$16=0,0,B18/B$16)</f>
        <v>0.41845386533665835</v>
      </c>
      <c r="E18" s="59" t="s">
        <v>91</v>
      </c>
      <c r="F18" s="56" t="s">
        <v>46</v>
      </c>
      <c r="G18" s="44">
        <v>41</v>
      </c>
      <c r="H18" s="129">
        <f>IF(B$19=0,0,G18/B$19)</f>
        <v>1.6141732283464567E-2</v>
      </c>
      <c r="I18" s="90">
        <v>6</v>
      </c>
      <c r="K18" s="36">
        <v>16</v>
      </c>
      <c r="L18" s="95">
        <v>-28.2</v>
      </c>
      <c r="N18" s="111" t="s">
        <v>171</v>
      </c>
      <c r="O18" s="121">
        <f t="shared" si="2"/>
        <v>11.164705882352937</v>
      </c>
      <c r="P18" s="115">
        <v>204</v>
      </c>
      <c r="Q18" s="103">
        <v>2277.599999999999</v>
      </c>
    </row>
    <row r="19" spans="1:17" x14ac:dyDescent="0.4">
      <c r="A19" s="50" t="s">
        <v>10</v>
      </c>
      <c r="B19" s="43">
        <f>B22+B21</f>
        <v>2540</v>
      </c>
      <c r="C19" s="35">
        <f>IF(B$3=0,0,B19/B$3)</f>
        <v>0.2936755694299919</v>
      </c>
      <c r="E19" s="59" t="s">
        <v>79</v>
      </c>
      <c r="F19" s="56" t="s">
        <v>34</v>
      </c>
      <c r="G19" s="44">
        <v>36</v>
      </c>
      <c r="H19" s="129">
        <f>IF(B$19=0,0,G19/B$19)</f>
        <v>1.4173228346456693E-2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 t="shared" si="2"/>
        <v>8.6621212121212068</v>
      </c>
      <c r="P19" s="115">
        <v>198</v>
      </c>
      <c r="Q19" s="103">
        <v>1715.0999999999988</v>
      </c>
    </row>
    <row r="20" spans="1:17" x14ac:dyDescent="0.4">
      <c r="A20" s="51" t="s">
        <v>13</v>
      </c>
      <c r="B20" s="44">
        <v>1381</v>
      </c>
      <c r="C20" s="37">
        <f>IF(B$3=0,0,B20/B$3)</f>
        <v>0.15967163833969245</v>
      </c>
      <c r="E20" s="59" t="s">
        <v>75</v>
      </c>
      <c r="F20" s="56" t="s">
        <v>30</v>
      </c>
      <c r="G20" s="44">
        <v>19</v>
      </c>
      <c r="H20" s="129">
        <f>IF(B$19=0,0,G20/B$19)</f>
        <v>7.4803149606299212E-3</v>
      </c>
      <c r="I20" s="90">
        <v>6</v>
      </c>
      <c r="K20" s="36">
        <v>18</v>
      </c>
      <c r="L20" s="95">
        <v>0</v>
      </c>
      <c r="N20" s="111" t="s">
        <v>283</v>
      </c>
      <c r="O20" s="121">
        <f t="shared" si="2"/>
        <v>4.6333333333333302</v>
      </c>
      <c r="P20" s="115">
        <v>36</v>
      </c>
      <c r="Q20" s="103">
        <v>166.7999999999999</v>
      </c>
    </row>
    <row r="21" spans="1:17" x14ac:dyDescent="0.4">
      <c r="A21" s="51" t="s">
        <v>12</v>
      </c>
      <c r="B21" s="44">
        <v>1147</v>
      </c>
      <c r="C21" s="37">
        <f>IF(B$19=0,0,B21/B$19)</f>
        <v>0.4515748031496063</v>
      </c>
      <c r="E21" s="59" t="s">
        <v>92</v>
      </c>
      <c r="F21" s="56" t="s">
        <v>47</v>
      </c>
      <c r="G21" s="44">
        <v>19</v>
      </c>
      <c r="H21" s="129">
        <f>IF(B$19=0,0,G21/B$19)</f>
        <v>7.4803149606299212E-3</v>
      </c>
      <c r="I21" s="90">
        <v>4</v>
      </c>
      <c r="K21" s="36">
        <v>19</v>
      </c>
      <c r="L21" s="95">
        <v>-22.4</v>
      </c>
      <c r="N21" s="111" t="s">
        <v>193</v>
      </c>
      <c r="O21" s="121">
        <f t="shared" si="2"/>
        <v>4.532812500000003</v>
      </c>
      <c r="P21" s="115">
        <v>64</v>
      </c>
      <c r="Q21" s="103">
        <v>290.10000000000019</v>
      </c>
    </row>
    <row r="22" spans="1:17" x14ac:dyDescent="0.4">
      <c r="A22" s="51" t="s">
        <v>11</v>
      </c>
      <c r="B22" s="44">
        <v>1393</v>
      </c>
      <c r="C22" s="37">
        <f>IF(B$19=0,0,B22/B$19)</f>
        <v>0.5484251968503937</v>
      </c>
      <c r="E22" s="59" t="s">
        <v>85</v>
      </c>
      <c r="F22" s="56" t="s">
        <v>40</v>
      </c>
      <c r="G22" s="44">
        <v>15</v>
      </c>
      <c r="H22" s="129">
        <f>IF(B$19=0,0,G22/B$19)</f>
        <v>5.905511811023622E-3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 t="shared" si="2"/>
        <v>0.85223463687150514</v>
      </c>
      <c r="P22" s="115">
        <v>358</v>
      </c>
      <c r="Q22" s="103">
        <v>305.09999999999883</v>
      </c>
    </row>
    <row r="23" spans="1:17" x14ac:dyDescent="0.4">
      <c r="A23" s="51" t="s">
        <v>192</v>
      </c>
      <c r="B23" s="44">
        <v>1186</v>
      </c>
      <c r="C23" s="37">
        <f>IF(B$19=0,0,B23/B$19)</f>
        <v>0.46692913385826773</v>
      </c>
      <c r="E23" s="59" t="s">
        <v>73</v>
      </c>
      <c r="F23" s="56" t="s">
        <v>28</v>
      </c>
      <c r="G23" s="44">
        <v>9</v>
      </c>
      <c r="H23" s="129">
        <f>IF(B$19=0,0,G23/B$19)</f>
        <v>3.5433070866141732E-3</v>
      </c>
      <c r="I23" s="90">
        <v>4</v>
      </c>
      <c r="K23" s="36">
        <v>21</v>
      </c>
      <c r="L23" s="95">
        <v>7.1054273576010019E-15</v>
      </c>
      <c r="N23" s="111" t="s">
        <v>206</v>
      </c>
      <c r="O23" s="121">
        <f t="shared" si="2"/>
        <v>0.78942307692307723</v>
      </c>
      <c r="P23" s="115">
        <v>312</v>
      </c>
      <c r="Q23" s="103">
        <v>246.3000000000001</v>
      </c>
    </row>
    <row r="24" spans="1:17" x14ac:dyDescent="0.4">
      <c r="A24" s="51" t="s">
        <v>190</v>
      </c>
      <c r="B24" s="44">
        <v>839</v>
      </c>
      <c r="C24" s="37">
        <f>IF(B$19=0,0,B24/B$19)</f>
        <v>0.33031496062992127</v>
      </c>
      <c r="E24" s="59" t="s">
        <v>74</v>
      </c>
      <c r="F24" s="56" t="s">
        <v>29</v>
      </c>
      <c r="G24" s="44">
        <v>8</v>
      </c>
      <c r="H24" s="129">
        <f>IF(B$19=0,0,G24/B$19)</f>
        <v>3.1496062992125984E-3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 t="shared" si="2"/>
        <v>-6.9077419354838643</v>
      </c>
      <c r="P24" s="115">
        <v>310</v>
      </c>
      <c r="Q24" s="103">
        <v>-2141.3999999999978</v>
      </c>
    </row>
    <row r="25" spans="1:17" x14ac:dyDescent="0.4">
      <c r="A25" s="51" t="s">
        <v>191</v>
      </c>
      <c r="B25" s="44">
        <v>515</v>
      </c>
      <c r="C25" s="37">
        <f>IF(B$19=0,0,B25/B$19)</f>
        <v>0.20275590551181102</v>
      </c>
      <c r="E25" s="59" t="s">
        <v>84</v>
      </c>
      <c r="F25" s="56" t="s">
        <v>39</v>
      </c>
      <c r="G25" s="44">
        <v>8</v>
      </c>
      <c r="H25" s="129">
        <f>IF(B$19=0,0,G25/B$19)</f>
        <v>3.1496062992125984E-3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 t="shared" si="2"/>
        <v>-14.327536231884055</v>
      </c>
      <c r="P25" s="115">
        <v>414</v>
      </c>
      <c r="Q25" s="103">
        <v>-5931.5999999999985</v>
      </c>
    </row>
    <row r="26" spans="1:17" x14ac:dyDescent="0.4">
      <c r="A26" s="51" t="s">
        <v>5</v>
      </c>
      <c r="B26" s="48">
        <f>IF(B$19=0,0,C26/B$19)</f>
        <v>8464.9606299212592</v>
      </c>
      <c r="C26" s="39">
        <v>21501000</v>
      </c>
      <c r="E26" s="59" t="s">
        <v>77</v>
      </c>
      <c r="F26" s="56" t="s">
        <v>32</v>
      </c>
      <c r="G26" s="44">
        <v>7</v>
      </c>
      <c r="H26" s="129">
        <f>IF(B$19=0,0,G26/B$19)</f>
        <v>2.7559055118110236E-3</v>
      </c>
      <c r="I26" s="90">
        <v>4</v>
      </c>
      <c r="K26" s="36">
        <v>24</v>
      </c>
      <c r="L26" s="95">
        <v>7.1054273576010019E-15</v>
      </c>
      <c r="N26" s="111" t="s">
        <v>243</v>
      </c>
      <c r="O26" s="121">
        <f t="shared" si="2"/>
        <v>-19.650000000000006</v>
      </c>
      <c r="P26" s="115">
        <v>4</v>
      </c>
      <c r="Q26" s="103">
        <v>-78.600000000000023</v>
      </c>
    </row>
    <row r="27" spans="1:17" x14ac:dyDescent="0.4">
      <c r="A27" s="52" t="s">
        <v>174</v>
      </c>
      <c r="B27" s="136">
        <f>IF($B$19-B$18=0,0,C27/($B$19-B$18))</f>
        <v>9152.3809523809523</v>
      </c>
      <c r="C27" s="137">
        <v>15568200</v>
      </c>
      <c r="E27" s="59" t="s">
        <v>88</v>
      </c>
      <c r="F27" s="56" t="s">
        <v>43</v>
      </c>
      <c r="G27" s="44">
        <v>7</v>
      </c>
      <c r="H27" s="129">
        <f>IF(B$19=0,0,G27/B$19)</f>
        <v>2.7559055118110236E-3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2" t="s">
        <v>175</v>
      </c>
      <c r="B28" s="136">
        <f>IF(B$18=0,0,C28/B$18)</f>
        <v>7071.2753277711563</v>
      </c>
      <c r="C28" s="137">
        <v>5932800</v>
      </c>
      <c r="E28" s="59" t="s">
        <v>87</v>
      </c>
      <c r="F28" s="56" t="s">
        <v>42</v>
      </c>
      <c r="G28" s="44">
        <v>5</v>
      </c>
      <c r="H28" s="129">
        <f>IF(B$19=0,0,G28/B$19)</f>
        <v>1.968503937007874E-3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2" t="s">
        <v>173</v>
      </c>
      <c r="B29" s="136">
        <f>IF(B$20=0,0,C29/B$20)</f>
        <v>-7875.1629254163654</v>
      </c>
      <c r="C29" s="137">
        <v>-10875600</v>
      </c>
      <c r="E29" s="59" t="s">
        <v>90</v>
      </c>
      <c r="F29" s="56" t="s">
        <v>45</v>
      </c>
      <c r="G29" s="44">
        <v>5</v>
      </c>
      <c r="H29" s="129">
        <f>IF(B$19=0,0,G29/B$19)</f>
        <v>1.968503937007874E-3</v>
      </c>
      <c r="I29" s="90">
        <v>3</v>
      </c>
      <c r="K29" s="36">
        <v>27</v>
      </c>
      <c r="L29" s="95">
        <v>6.7723604502134549E-15</v>
      </c>
    </row>
    <row r="30" spans="1:17" x14ac:dyDescent="0.4">
      <c r="A30" s="51" t="s">
        <v>164</v>
      </c>
      <c r="B30" s="44">
        <v>7</v>
      </c>
      <c r="C30" s="131">
        <v>1</v>
      </c>
      <c r="E30" s="59" t="s">
        <v>95</v>
      </c>
      <c r="F30" s="56" t="s">
        <v>50</v>
      </c>
      <c r="G30" s="44">
        <v>5</v>
      </c>
      <c r="H30" s="129">
        <f>IF(B$19=0,0,G30/B$19)</f>
        <v>1.968503937007874E-3</v>
      </c>
      <c r="I30" s="90">
        <v>5</v>
      </c>
      <c r="K30" s="36">
        <v>28</v>
      </c>
      <c r="L30" s="95">
        <v>-30.199999999999992</v>
      </c>
    </row>
    <row r="31" spans="1:17" x14ac:dyDescent="0.4">
      <c r="A31" s="51" t="s">
        <v>165</v>
      </c>
      <c r="B31" s="44">
        <v>31</v>
      </c>
      <c r="C31" s="131">
        <v>4</v>
      </c>
      <c r="E31" s="59" t="s">
        <v>93</v>
      </c>
      <c r="F31" s="56" t="s">
        <v>48</v>
      </c>
      <c r="G31" s="44">
        <v>4</v>
      </c>
      <c r="H31" s="129">
        <f>IF(B$19=0,0,G31/B$19)</f>
        <v>1.5748031496062992E-3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138</v>
      </c>
      <c r="B32" s="150">
        <v>8</v>
      </c>
      <c r="C32" s="151"/>
      <c r="E32" s="59" t="s">
        <v>97</v>
      </c>
      <c r="F32" s="56" t="s">
        <v>52</v>
      </c>
      <c r="G32" s="44">
        <v>1</v>
      </c>
      <c r="H32" s="129">
        <f>IF(B$19=0,0,G32/B$19)</f>
        <v>3.937007874015748E-4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4" t="s">
        <v>189</v>
      </c>
      <c r="B33" s="148">
        <v>149100</v>
      </c>
      <c r="C33" s="149"/>
      <c r="E33" s="59" t="s">
        <v>101</v>
      </c>
      <c r="F33" s="56" t="s">
        <v>56</v>
      </c>
      <c r="G33" s="44">
        <v>1</v>
      </c>
      <c r="H33" s="129">
        <f>IF(B$19=0,0,G33/B$19)</f>
        <v>3.937007874015748E-4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3" t="s">
        <v>139</v>
      </c>
      <c r="B34" s="61">
        <v>24</v>
      </c>
      <c r="C34" s="40">
        <f>IF(B$3=0,0,B34/B$3)</f>
        <v>2.7748872702046479E-3</v>
      </c>
      <c r="E34" s="59" t="s">
        <v>106</v>
      </c>
      <c r="F34" s="56" t="s">
        <v>113</v>
      </c>
      <c r="G34" s="44">
        <v>1</v>
      </c>
      <c r="H34" s="129">
        <f>IF(B$19=0,0,G34/B$19)</f>
        <v>3.937007874015748E-4</v>
      </c>
      <c r="I34" s="90">
        <v>2</v>
      </c>
      <c r="K34" s="36">
        <v>32</v>
      </c>
      <c r="L34" s="95">
        <v>47.300000000000004</v>
      </c>
    </row>
    <row r="35" spans="1:12" x14ac:dyDescent="0.4">
      <c r="E35" s="59" t="s">
        <v>76</v>
      </c>
      <c r="F35" s="56" t="s">
        <v>31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86" t="s">
        <v>180</v>
      </c>
      <c r="B36" s="144">
        <v>198</v>
      </c>
      <c r="C36" s="141">
        <f t="shared" ref="C36:C48" si="3">IF(B$19=0,0,B36/B$19)</f>
        <v>7.7952755905511817E-2</v>
      </c>
      <c r="E36" s="59" t="s">
        <v>80</v>
      </c>
      <c r="F36" s="56" t="s">
        <v>35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176</v>
      </c>
      <c r="B37" s="44">
        <v>435</v>
      </c>
      <c r="C37" s="37">
        <f t="shared" si="3"/>
        <v>0.17125984251968504</v>
      </c>
      <c r="E37" s="59" t="s">
        <v>82</v>
      </c>
      <c r="F37" s="56" t="s">
        <v>37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177</v>
      </c>
      <c r="B38" s="145">
        <v>488</v>
      </c>
      <c r="C38" s="37">
        <f t="shared" si="3"/>
        <v>0.1921259842519685</v>
      </c>
      <c r="E38" s="59" t="s">
        <v>94</v>
      </c>
      <c r="F38" s="56" t="s">
        <v>49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178</v>
      </c>
      <c r="B39" s="145">
        <v>456</v>
      </c>
      <c r="C39" s="37">
        <f t="shared" si="3"/>
        <v>0.17952755905511811</v>
      </c>
      <c r="E39" s="59" t="s">
        <v>96</v>
      </c>
      <c r="F39" s="56" t="s">
        <v>51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179</v>
      </c>
      <c r="B40" s="145">
        <v>395</v>
      </c>
      <c r="C40" s="37">
        <f t="shared" si="3"/>
        <v>0.15551181102362205</v>
      </c>
      <c r="E40" s="59" t="s">
        <v>98</v>
      </c>
      <c r="F40" s="56" t="s">
        <v>53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181</v>
      </c>
      <c r="B41" s="145">
        <v>268</v>
      </c>
      <c r="C41" s="37">
        <f t="shared" si="3"/>
        <v>0.10551181102362205</v>
      </c>
      <c r="E41" s="59" t="s">
        <v>99</v>
      </c>
      <c r="F41" s="56" t="s">
        <v>54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182</v>
      </c>
      <c r="B42" s="145">
        <v>132</v>
      </c>
      <c r="C42" s="37">
        <f t="shared" si="3"/>
        <v>5.1968503937007873E-2</v>
      </c>
      <c r="E42" s="59" t="s">
        <v>100</v>
      </c>
      <c r="F42" s="56" t="s">
        <v>55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183</v>
      </c>
      <c r="B43" s="145">
        <v>74</v>
      </c>
      <c r="C43" s="37">
        <f t="shared" si="3"/>
        <v>2.9133858267716535E-2</v>
      </c>
      <c r="E43" s="59" t="s">
        <v>102</v>
      </c>
      <c r="F43" s="56" t="s">
        <v>57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1" t="s">
        <v>184</v>
      </c>
      <c r="B44" s="145">
        <v>34</v>
      </c>
      <c r="C44" s="37">
        <f t="shared" si="3"/>
        <v>1.3385826771653543E-2</v>
      </c>
      <c r="E44" s="59" t="s">
        <v>103</v>
      </c>
      <c r="F44" s="56" t="s">
        <v>58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A45" s="51" t="s">
        <v>185</v>
      </c>
      <c r="B45" s="145">
        <v>12</v>
      </c>
      <c r="C45" s="37">
        <f t="shared" si="3"/>
        <v>4.7244094488188976E-3</v>
      </c>
      <c r="E45" s="59" t="s">
        <v>104</v>
      </c>
      <c r="F45" s="56" t="s">
        <v>59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A46" s="51" t="s">
        <v>186</v>
      </c>
      <c r="B46" s="145">
        <v>9</v>
      </c>
      <c r="C46" s="37">
        <f t="shared" si="3"/>
        <v>3.5433070866141732E-3</v>
      </c>
      <c r="E46" s="59" t="s">
        <v>105</v>
      </c>
      <c r="F46" s="56" t="s">
        <v>112</v>
      </c>
      <c r="G46" s="44">
        <v>0</v>
      </c>
      <c r="H46" s="129">
        <f>IF(B$19=0,0,G46/B$19)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A47" s="51" t="s">
        <v>187</v>
      </c>
      <c r="B47" s="145">
        <v>6</v>
      </c>
      <c r="C47" s="37">
        <f t="shared" si="3"/>
        <v>2.3622047244094488E-3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A48" s="53" t="s">
        <v>188</v>
      </c>
      <c r="B48" s="140">
        <v>33</v>
      </c>
      <c r="C48" s="40">
        <f t="shared" si="3"/>
        <v>1.2992125984251968E-2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  <row r="846" spans="11:12" x14ac:dyDescent="0.4">
      <c r="K846" s="36">
        <v>844</v>
      </c>
      <c r="L846" s="95">
        <v>34.399999999999949</v>
      </c>
    </row>
    <row r="847" spans="11:12" x14ac:dyDescent="0.4">
      <c r="K847" s="36">
        <v>845</v>
      </c>
      <c r="L847" s="95">
        <v>22.899999999999949</v>
      </c>
    </row>
    <row r="848" spans="11:12" x14ac:dyDescent="0.4">
      <c r="K848" s="36">
        <v>846</v>
      </c>
      <c r="L848" s="95">
        <v>-4.9737991503207013E-14</v>
      </c>
    </row>
    <row r="849" spans="11:12" x14ac:dyDescent="0.4">
      <c r="K849" s="36">
        <v>847</v>
      </c>
      <c r="L849" s="95">
        <v>4.1999999999999504</v>
      </c>
    </row>
    <row r="850" spans="11:12" x14ac:dyDescent="0.4">
      <c r="K850" s="36">
        <v>848</v>
      </c>
      <c r="L850" s="95">
        <v>34.399999999999949</v>
      </c>
    </row>
    <row r="851" spans="11:12" x14ac:dyDescent="0.4">
      <c r="K851" s="36">
        <v>849</v>
      </c>
      <c r="L851" s="95">
        <v>-4.9737991503207013E-14</v>
      </c>
    </row>
    <row r="852" spans="11:12" x14ac:dyDescent="0.4">
      <c r="K852" s="36">
        <v>850</v>
      </c>
      <c r="L852" s="95">
        <v>-28.80000000000005</v>
      </c>
    </row>
    <row r="853" spans="11:12" x14ac:dyDescent="0.4">
      <c r="K853" s="36">
        <v>851</v>
      </c>
      <c r="L853" s="95">
        <v>-87.100000000000051</v>
      </c>
    </row>
    <row r="854" spans="11:12" x14ac:dyDescent="0.4">
      <c r="K854" s="36">
        <v>852</v>
      </c>
      <c r="L854" s="95">
        <v>-5.6843418860808015E-14</v>
      </c>
    </row>
    <row r="855" spans="11:12" x14ac:dyDescent="0.4">
      <c r="K855" s="36">
        <v>853</v>
      </c>
      <c r="L855" s="95">
        <v>2.799999999999943</v>
      </c>
    </row>
    <row r="856" spans="11:12" x14ac:dyDescent="0.4">
      <c r="K856" s="36">
        <v>854</v>
      </c>
      <c r="L856" s="95">
        <v>33.29999999999994</v>
      </c>
    </row>
    <row r="857" spans="11:12" x14ac:dyDescent="0.4">
      <c r="K857" s="36">
        <v>855</v>
      </c>
      <c r="L857" s="95">
        <v>-5.6843418860808015E-14</v>
      </c>
    </row>
    <row r="858" spans="11:12" x14ac:dyDescent="0.4">
      <c r="K858" s="36">
        <v>856</v>
      </c>
      <c r="L858" s="95">
        <v>-12.000000000000057</v>
      </c>
    </row>
    <row r="859" spans="11:12" x14ac:dyDescent="0.4">
      <c r="K859" s="36">
        <v>857</v>
      </c>
      <c r="L859" s="95">
        <v>-62.400000000000055</v>
      </c>
    </row>
    <row r="860" spans="11:12" x14ac:dyDescent="0.4">
      <c r="K860" s="36">
        <v>858</v>
      </c>
      <c r="L860" s="95">
        <v>-5.6843418860808015E-14</v>
      </c>
    </row>
    <row r="861" spans="11:12" x14ac:dyDescent="0.4">
      <c r="K861" s="36">
        <v>859</v>
      </c>
      <c r="L861" s="95">
        <v>22.099999999999945</v>
      </c>
    </row>
    <row r="862" spans="11:12" x14ac:dyDescent="0.4">
      <c r="K862" s="36">
        <v>860</v>
      </c>
      <c r="L862" s="95">
        <v>23.399999999999945</v>
      </c>
    </row>
    <row r="863" spans="11:12" x14ac:dyDescent="0.4">
      <c r="K863" s="36">
        <v>861</v>
      </c>
      <c r="L863" s="95">
        <v>-5.3290705182007514E-14</v>
      </c>
    </row>
    <row r="864" spans="11:12" x14ac:dyDescent="0.4">
      <c r="K864" s="36">
        <v>862</v>
      </c>
      <c r="L864" s="95">
        <v>60.599999999999952</v>
      </c>
    </row>
    <row r="865" spans="11:12" x14ac:dyDescent="0.4">
      <c r="K865" s="36">
        <v>863</v>
      </c>
      <c r="L865" s="95">
        <v>46.199999999999953</v>
      </c>
    </row>
    <row r="866" spans="11:12" x14ac:dyDescent="0.4">
      <c r="K866" s="36">
        <v>864</v>
      </c>
      <c r="L866" s="95">
        <v>-4.9737991503207013E-14</v>
      </c>
    </row>
    <row r="867" spans="11:12" x14ac:dyDescent="0.4">
      <c r="K867" s="36">
        <v>865</v>
      </c>
      <c r="L867" s="95">
        <v>-38.50000000000005</v>
      </c>
    </row>
    <row r="868" spans="11:12" x14ac:dyDescent="0.4">
      <c r="K868" s="36">
        <v>866</v>
      </c>
      <c r="L868" s="95">
        <v>-26.30000000000005</v>
      </c>
    </row>
    <row r="869" spans="11:12" x14ac:dyDescent="0.4">
      <c r="K869" s="36">
        <v>867</v>
      </c>
      <c r="L869" s="95">
        <v>-4.9737991503207013E-14</v>
      </c>
    </row>
    <row r="870" spans="11:12" x14ac:dyDescent="0.4">
      <c r="K870" s="36">
        <v>868</v>
      </c>
      <c r="L870" s="95">
        <v>39.799999999999947</v>
      </c>
    </row>
    <row r="871" spans="11:12" x14ac:dyDescent="0.4">
      <c r="K871" s="36">
        <v>869</v>
      </c>
      <c r="L871" s="95">
        <v>-10.700000000000053</v>
      </c>
    </row>
    <row r="872" spans="11:12" x14ac:dyDescent="0.4">
      <c r="K872" s="36">
        <v>870</v>
      </c>
      <c r="L872" s="95">
        <v>-5.3290705182007514E-14</v>
      </c>
    </row>
    <row r="873" spans="11:12" x14ac:dyDescent="0.4">
      <c r="K873" s="36">
        <v>871</v>
      </c>
      <c r="L873" s="95">
        <v>-32.000000000000057</v>
      </c>
    </row>
    <row r="874" spans="11:12" x14ac:dyDescent="0.4">
      <c r="K874" s="36">
        <v>872</v>
      </c>
      <c r="L874" s="95">
        <v>1.8999999999999417</v>
      </c>
    </row>
    <row r="875" spans="11:12" x14ac:dyDescent="0.4">
      <c r="K875" s="36">
        <v>873</v>
      </c>
      <c r="L875" s="95">
        <v>-5.8175686490358203E-14</v>
      </c>
    </row>
    <row r="876" spans="11:12" x14ac:dyDescent="0.4">
      <c r="K876" s="36">
        <v>874</v>
      </c>
      <c r="L876" s="95">
        <v>-42.300000000000054</v>
      </c>
    </row>
    <row r="877" spans="11:12" x14ac:dyDescent="0.4">
      <c r="K877" s="36">
        <v>875</v>
      </c>
      <c r="L877" s="95">
        <v>-60.800000000000054</v>
      </c>
    </row>
    <row r="878" spans="11:12" x14ac:dyDescent="0.4">
      <c r="K878" s="36">
        <v>876</v>
      </c>
      <c r="L878" s="95">
        <v>-5.6843418860808015E-14</v>
      </c>
    </row>
    <row r="879" spans="11:12" x14ac:dyDescent="0.4">
      <c r="K879" s="36">
        <v>877</v>
      </c>
      <c r="L879" s="95">
        <v>32.999999999999943</v>
      </c>
    </row>
    <row r="880" spans="11:12" x14ac:dyDescent="0.4">
      <c r="K880" s="36">
        <v>878</v>
      </c>
      <c r="L880" s="95">
        <v>-2.0000000000000568</v>
      </c>
    </row>
    <row r="881" spans="11:12" x14ac:dyDescent="0.4">
      <c r="K881" s="36">
        <v>879</v>
      </c>
      <c r="L881" s="95">
        <v>-5.6843418860808015E-14</v>
      </c>
    </row>
    <row r="882" spans="11:12" x14ac:dyDescent="0.4">
      <c r="K882" s="36">
        <v>880</v>
      </c>
      <c r="L882" s="95">
        <v>26.799999999999944</v>
      </c>
    </row>
    <row r="883" spans="11:12" x14ac:dyDescent="0.4">
      <c r="K883" s="36">
        <v>881</v>
      </c>
      <c r="L883" s="95">
        <v>32.199999999999946</v>
      </c>
    </row>
    <row r="884" spans="11:12" x14ac:dyDescent="0.4">
      <c r="K884" s="36">
        <v>882</v>
      </c>
      <c r="L884" s="95">
        <v>-5.6843418860808015E-14</v>
      </c>
    </row>
    <row r="885" spans="11:12" x14ac:dyDescent="0.4">
      <c r="K885" s="36">
        <v>883</v>
      </c>
      <c r="L885" s="95">
        <v>45.199999999999946</v>
      </c>
    </row>
    <row r="886" spans="11:12" x14ac:dyDescent="0.4">
      <c r="K886" s="36">
        <v>884</v>
      </c>
      <c r="L886" s="95">
        <v>10.199999999999946</v>
      </c>
    </row>
    <row r="887" spans="11:12" x14ac:dyDescent="0.4">
      <c r="K887" s="36">
        <v>885</v>
      </c>
      <c r="L887" s="95">
        <v>-5.3290705182007514E-14</v>
      </c>
    </row>
    <row r="888" spans="11:12" x14ac:dyDescent="0.4">
      <c r="K888" s="36">
        <v>886</v>
      </c>
      <c r="L888" s="95">
        <v>-12.500000000000053</v>
      </c>
    </row>
    <row r="889" spans="11:12" x14ac:dyDescent="0.4">
      <c r="K889" s="36">
        <v>887</v>
      </c>
      <c r="L889" s="95">
        <v>-12.200000000000053</v>
      </c>
    </row>
    <row r="890" spans="11:12" x14ac:dyDescent="0.4">
      <c r="K890" s="36">
        <v>888</v>
      </c>
      <c r="L890" s="95">
        <v>-5.3290705182007514E-14</v>
      </c>
    </row>
    <row r="891" spans="11:12" x14ac:dyDescent="0.4">
      <c r="K891" s="36">
        <v>889</v>
      </c>
      <c r="L891" s="95">
        <v>-65.500000000000057</v>
      </c>
    </row>
    <row r="892" spans="11:12" x14ac:dyDescent="0.4">
      <c r="K892" s="36">
        <v>890</v>
      </c>
      <c r="L892" s="95">
        <v>-12.000000000000057</v>
      </c>
    </row>
    <row r="893" spans="11:12" x14ac:dyDescent="0.4">
      <c r="K893" s="36">
        <v>891</v>
      </c>
      <c r="L893" s="95">
        <v>-5.6843418860808015E-14</v>
      </c>
    </row>
    <row r="894" spans="11:12" x14ac:dyDescent="0.4">
      <c r="K894" s="36">
        <v>892</v>
      </c>
      <c r="L894" s="95">
        <v>-9.2000000000000561</v>
      </c>
    </row>
    <row r="895" spans="11:12" x14ac:dyDescent="0.4">
      <c r="K895" s="36">
        <v>893</v>
      </c>
      <c r="L895" s="95">
        <v>-39.70000000000006</v>
      </c>
    </row>
    <row r="896" spans="11:12" x14ac:dyDescent="0.4">
      <c r="K896" s="36">
        <v>894</v>
      </c>
      <c r="L896" s="95">
        <v>-5.6843418860808015E-14</v>
      </c>
    </row>
    <row r="897" spans="11:12" x14ac:dyDescent="0.4">
      <c r="K897" s="36">
        <v>895</v>
      </c>
      <c r="L897" s="95">
        <v>-36.300000000000054</v>
      </c>
    </row>
    <row r="898" spans="11:12" x14ac:dyDescent="0.4">
      <c r="K898" s="36">
        <v>896</v>
      </c>
      <c r="L898" s="95">
        <v>-56.300000000000054</v>
      </c>
    </row>
    <row r="899" spans="11:12" x14ac:dyDescent="0.4">
      <c r="K899" s="36">
        <v>897</v>
      </c>
      <c r="L899" s="95">
        <v>-5.6843418860808015E-14</v>
      </c>
    </row>
    <row r="900" spans="11:12" x14ac:dyDescent="0.4">
      <c r="K900" s="36">
        <v>898</v>
      </c>
      <c r="L900" s="95">
        <v>-37.20000000000006</v>
      </c>
    </row>
    <row r="901" spans="11:12" x14ac:dyDescent="0.4">
      <c r="K901" s="36">
        <v>899</v>
      </c>
      <c r="L901" s="95">
        <v>-8.400000000000059</v>
      </c>
    </row>
    <row r="902" spans="11:12" x14ac:dyDescent="0.4">
      <c r="K902" s="36">
        <v>900</v>
      </c>
      <c r="L902" s="95">
        <v>-5.8619775700208265E-14</v>
      </c>
    </row>
    <row r="903" spans="11:12" x14ac:dyDescent="0.4">
      <c r="K903" s="36">
        <v>901</v>
      </c>
      <c r="L903" s="95">
        <v>-27.400000000000055</v>
      </c>
    </row>
    <row r="904" spans="11:12" x14ac:dyDescent="0.4">
      <c r="K904" s="36">
        <v>902</v>
      </c>
      <c r="L904" s="95">
        <v>-35.70000000000006</v>
      </c>
    </row>
    <row r="905" spans="11:12" x14ac:dyDescent="0.4">
      <c r="K905" s="36">
        <v>903</v>
      </c>
      <c r="L905" s="95">
        <v>-5.6843418860808015E-14</v>
      </c>
    </row>
    <row r="906" spans="11:12" x14ac:dyDescent="0.4">
      <c r="K906" s="36">
        <v>904</v>
      </c>
      <c r="L906" s="95">
        <v>-3.4000000000000568</v>
      </c>
    </row>
    <row r="907" spans="11:12" x14ac:dyDescent="0.4">
      <c r="K907" s="36">
        <v>905</v>
      </c>
      <c r="L907" s="95">
        <v>17.599999999999945</v>
      </c>
    </row>
    <row r="908" spans="11:12" x14ac:dyDescent="0.4">
      <c r="K908" s="36">
        <v>906</v>
      </c>
      <c r="L908" s="95">
        <v>-5.6843418860808015E-14</v>
      </c>
    </row>
    <row r="909" spans="11:12" x14ac:dyDescent="0.4">
      <c r="K909" s="36">
        <v>907</v>
      </c>
      <c r="L909" s="95">
        <v>-11.000000000000057</v>
      </c>
    </row>
    <row r="910" spans="11:12" x14ac:dyDescent="0.4">
      <c r="K910" s="36">
        <v>908</v>
      </c>
      <c r="L910" s="95">
        <v>27.199999999999946</v>
      </c>
    </row>
    <row r="911" spans="11:12" x14ac:dyDescent="0.4">
      <c r="K911" s="36">
        <v>909</v>
      </c>
      <c r="L911" s="95">
        <v>-5.3290705182007514E-14</v>
      </c>
    </row>
    <row r="912" spans="11:12" x14ac:dyDescent="0.4">
      <c r="K912" s="36">
        <v>910</v>
      </c>
      <c r="L912" s="95">
        <v>-28.700000000000053</v>
      </c>
    </row>
    <row r="913" spans="11:12" x14ac:dyDescent="0.4">
      <c r="K913" s="36">
        <v>911</v>
      </c>
      <c r="L913" s="95">
        <v>-27.900000000000052</v>
      </c>
    </row>
    <row r="914" spans="11:12" x14ac:dyDescent="0.4">
      <c r="K914" s="36">
        <v>912</v>
      </c>
      <c r="L914" s="95">
        <v>-5.3290705182007514E-14</v>
      </c>
    </row>
    <row r="915" spans="11:12" x14ac:dyDescent="0.4">
      <c r="K915" s="36">
        <v>913</v>
      </c>
      <c r="L915" s="95">
        <v>-44.000000000000057</v>
      </c>
    </row>
    <row r="916" spans="11:12" x14ac:dyDescent="0.4">
      <c r="K916" s="36">
        <v>914</v>
      </c>
      <c r="L916" s="95">
        <v>0.79999999999994031</v>
      </c>
    </row>
    <row r="917" spans="11:12" x14ac:dyDescent="0.4">
      <c r="K917" s="36">
        <v>915</v>
      </c>
      <c r="L917" s="95">
        <v>-5.9729998724833422E-14</v>
      </c>
    </row>
    <row r="918" spans="11:12" x14ac:dyDescent="0.4">
      <c r="K918" s="36">
        <v>916</v>
      </c>
      <c r="L918" s="95">
        <v>-18.900000000000059</v>
      </c>
    </row>
    <row r="919" spans="11:12" x14ac:dyDescent="0.4">
      <c r="K919" s="36">
        <v>917</v>
      </c>
      <c r="L919" s="95">
        <v>-56.400000000000063</v>
      </c>
    </row>
    <row r="920" spans="11:12" x14ac:dyDescent="0.4">
      <c r="K920" s="36">
        <v>918</v>
      </c>
      <c r="L920" s="95">
        <v>-6.3948846218409017E-14</v>
      </c>
    </row>
    <row r="921" spans="11:12" x14ac:dyDescent="0.4">
      <c r="K921" s="36">
        <v>919</v>
      </c>
      <c r="L921" s="95">
        <v>12.199999999999935</v>
      </c>
    </row>
    <row r="922" spans="11:12" x14ac:dyDescent="0.4">
      <c r="K922" s="36">
        <v>920</v>
      </c>
      <c r="L922" s="95">
        <v>34.499999999999936</v>
      </c>
    </row>
    <row r="923" spans="11:12" x14ac:dyDescent="0.4">
      <c r="K923" s="36">
        <v>921</v>
      </c>
      <c r="L923" s="95">
        <v>-6.3948846218409017E-14</v>
      </c>
    </row>
    <row r="924" spans="11:12" x14ac:dyDescent="0.4">
      <c r="K924" s="36">
        <v>922</v>
      </c>
      <c r="L924" s="95">
        <v>-47.000000000000064</v>
      </c>
    </row>
    <row r="925" spans="11:12" x14ac:dyDescent="0.4">
      <c r="K925" s="36">
        <v>923</v>
      </c>
      <c r="L925" s="95">
        <v>-47.300000000000061</v>
      </c>
    </row>
    <row r="926" spans="11:12" x14ac:dyDescent="0.4">
      <c r="K926" s="36">
        <v>924</v>
      </c>
      <c r="L926" s="95">
        <v>-6.3948846218409017E-14</v>
      </c>
    </row>
    <row r="927" spans="11:12" x14ac:dyDescent="0.4">
      <c r="K927" s="36">
        <v>925</v>
      </c>
      <c r="L927" s="95">
        <v>-34.500000000000064</v>
      </c>
    </row>
    <row r="928" spans="11:12" x14ac:dyDescent="0.4">
      <c r="K928" s="36">
        <v>926</v>
      </c>
      <c r="L928" s="95">
        <v>-47.500000000000064</v>
      </c>
    </row>
    <row r="929" spans="11:12" x14ac:dyDescent="0.4">
      <c r="K929" s="36">
        <v>927</v>
      </c>
      <c r="L929" s="95">
        <v>-6.3948846218409017E-14</v>
      </c>
    </row>
    <row r="930" spans="11:12" x14ac:dyDescent="0.4">
      <c r="K930" s="36">
        <v>928</v>
      </c>
      <c r="L930" s="95">
        <v>-22.000000000000064</v>
      </c>
    </row>
    <row r="931" spans="11:12" x14ac:dyDescent="0.4">
      <c r="K931" s="36">
        <v>929</v>
      </c>
      <c r="L931" s="95">
        <v>-60.700000000000067</v>
      </c>
    </row>
    <row r="932" spans="11:12" x14ac:dyDescent="0.4">
      <c r="K932" s="36">
        <v>930</v>
      </c>
      <c r="L932" s="95">
        <v>-6.3948846218409017E-14</v>
      </c>
    </row>
    <row r="933" spans="11:12" x14ac:dyDescent="0.4">
      <c r="K933" s="36">
        <v>931</v>
      </c>
      <c r="L933" s="95">
        <v>31.199999999999935</v>
      </c>
    </row>
    <row r="934" spans="11:12" x14ac:dyDescent="0.4">
      <c r="K934" s="36">
        <v>932</v>
      </c>
      <c r="L934" s="95">
        <v>6.6999999999999353</v>
      </c>
    </row>
    <row r="935" spans="11:12" x14ac:dyDescent="0.4">
      <c r="K935" s="36">
        <v>933</v>
      </c>
      <c r="L935" s="95">
        <v>-6.4837024638109142E-14</v>
      </c>
    </row>
    <row r="936" spans="11:12" x14ac:dyDescent="0.4">
      <c r="K936" s="36">
        <v>934</v>
      </c>
      <c r="L936" s="95">
        <v>-45.300000000000061</v>
      </c>
    </row>
    <row r="937" spans="11:12" x14ac:dyDescent="0.4">
      <c r="K937" s="36">
        <v>935</v>
      </c>
      <c r="L937" s="95">
        <v>-4.5000000000000639</v>
      </c>
    </row>
    <row r="938" spans="11:12" x14ac:dyDescent="0.4">
      <c r="K938" s="36">
        <v>936</v>
      </c>
      <c r="L938" s="95">
        <v>-6.3948846218409017E-14</v>
      </c>
    </row>
    <row r="939" spans="11:12" x14ac:dyDescent="0.4">
      <c r="K939" s="36">
        <v>937</v>
      </c>
      <c r="L939" s="95">
        <v>-31.700000000000063</v>
      </c>
    </row>
    <row r="940" spans="11:12" x14ac:dyDescent="0.4">
      <c r="K940" s="36">
        <v>938</v>
      </c>
      <c r="L940" s="95">
        <v>-25.200000000000063</v>
      </c>
    </row>
    <row r="941" spans="11:12" x14ac:dyDescent="0.4">
      <c r="K941" s="36">
        <v>939</v>
      </c>
      <c r="L941" s="95">
        <v>-6.3948846218409017E-14</v>
      </c>
    </row>
    <row r="942" spans="11:12" x14ac:dyDescent="0.4">
      <c r="K942" s="36">
        <v>940</v>
      </c>
      <c r="L942" s="95">
        <v>-61.300000000000061</v>
      </c>
    </row>
    <row r="943" spans="11:12" x14ac:dyDescent="0.4">
      <c r="K943" s="36">
        <v>941</v>
      </c>
      <c r="L943" s="95">
        <v>-20.100000000000058</v>
      </c>
    </row>
    <row r="944" spans="11:12" x14ac:dyDescent="0.4">
      <c r="K944" s="36">
        <v>942</v>
      </c>
      <c r="L944" s="95">
        <v>-5.6843418860808015E-14</v>
      </c>
    </row>
    <row r="945" spans="11:12" x14ac:dyDescent="0.4">
      <c r="K945" s="36">
        <v>943</v>
      </c>
      <c r="L945" s="95">
        <v>-25.700000000000056</v>
      </c>
    </row>
    <row r="946" spans="11:12" x14ac:dyDescent="0.4">
      <c r="K946" s="36">
        <v>944</v>
      </c>
      <c r="L946" s="95">
        <v>7.6999999999999424</v>
      </c>
    </row>
    <row r="947" spans="11:12" x14ac:dyDescent="0.4">
      <c r="K947" s="36">
        <v>945</v>
      </c>
      <c r="L947" s="95">
        <v>-5.773159728050814E-14</v>
      </c>
    </row>
    <row r="948" spans="11:12" x14ac:dyDescent="0.4">
      <c r="K948" s="36">
        <v>946</v>
      </c>
      <c r="L948" s="95">
        <v>-31.800000000000058</v>
      </c>
    </row>
    <row r="949" spans="11:12" x14ac:dyDescent="0.4">
      <c r="K949" s="36">
        <v>947</v>
      </c>
      <c r="L949" s="95">
        <v>-24.20000000000006</v>
      </c>
    </row>
    <row r="950" spans="11:12" x14ac:dyDescent="0.4">
      <c r="K950" s="36">
        <v>948</v>
      </c>
      <c r="L950" s="95">
        <v>-6.0396132539608516E-14</v>
      </c>
    </row>
    <row r="951" spans="11:12" x14ac:dyDescent="0.4">
      <c r="K951" s="36">
        <v>949</v>
      </c>
      <c r="L951" s="95">
        <v>-0.60000000000006037</v>
      </c>
    </row>
    <row r="952" spans="11:12" x14ac:dyDescent="0.4">
      <c r="K952" s="36">
        <v>950</v>
      </c>
      <c r="L952" s="95">
        <v>-25.200000000000063</v>
      </c>
    </row>
    <row r="953" spans="11:12" x14ac:dyDescent="0.4">
      <c r="K953" s="36">
        <v>951</v>
      </c>
      <c r="L953" s="95">
        <v>-6.3948846218409017E-14</v>
      </c>
    </row>
    <row r="954" spans="11:12" x14ac:dyDescent="0.4">
      <c r="K954" s="36">
        <v>952</v>
      </c>
      <c r="L954" s="95">
        <v>31.699999999999935</v>
      </c>
    </row>
    <row r="955" spans="11:12" x14ac:dyDescent="0.4">
      <c r="K955" s="36">
        <v>953</v>
      </c>
      <c r="L955" s="95">
        <v>23.799999999999933</v>
      </c>
    </row>
    <row r="956" spans="11:12" x14ac:dyDescent="0.4">
      <c r="K956" s="36">
        <v>954</v>
      </c>
      <c r="L956" s="95">
        <v>-6.7501559897209518E-14</v>
      </c>
    </row>
    <row r="957" spans="11:12" x14ac:dyDescent="0.4">
      <c r="K957" s="36">
        <v>955</v>
      </c>
      <c r="L957" s="95">
        <v>-7.8000000000000673</v>
      </c>
    </row>
    <row r="958" spans="11:12" x14ac:dyDescent="0.4">
      <c r="K958" s="36">
        <v>956</v>
      </c>
      <c r="L958" s="95">
        <v>-32.200000000000067</v>
      </c>
    </row>
    <row r="959" spans="11:12" x14ac:dyDescent="0.4">
      <c r="K959" s="36">
        <v>957</v>
      </c>
      <c r="L959" s="95">
        <v>-6.3948846218409017E-14</v>
      </c>
    </row>
    <row r="960" spans="11:12" x14ac:dyDescent="0.4">
      <c r="K960" s="36">
        <v>958</v>
      </c>
      <c r="L960" s="95">
        <v>-2.9000000000000639</v>
      </c>
    </row>
    <row r="961" spans="11:12" x14ac:dyDescent="0.4">
      <c r="K961" s="36">
        <v>959</v>
      </c>
      <c r="L961" s="95">
        <v>33.099999999999937</v>
      </c>
    </row>
    <row r="962" spans="11:12" x14ac:dyDescent="0.4">
      <c r="K962" s="36">
        <v>960</v>
      </c>
      <c r="L962" s="95">
        <v>-6.3948846218409017E-14</v>
      </c>
    </row>
    <row r="963" spans="11:12" x14ac:dyDescent="0.4">
      <c r="K963" s="36">
        <v>961</v>
      </c>
      <c r="L963" s="95">
        <v>31.999999999999936</v>
      </c>
    </row>
    <row r="964" spans="11:12" x14ac:dyDescent="0.4">
      <c r="K964" s="36">
        <v>962</v>
      </c>
      <c r="L964" s="95">
        <v>37.999999999999936</v>
      </c>
    </row>
    <row r="965" spans="11:12" x14ac:dyDescent="0.4">
      <c r="K965" s="36">
        <v>963</v>
      </c>
      <c r="L965" s="95">
        <v>-6.3948846218409017E-14</v>
      </c>
    </row>
    <row r="966" spans="11:12" x14ac:dyDescent="0.4">
      <c r="K966" s="36">
        <v>964</v>
      </c>
      <c r="L966" s="95">
        <v>-53.000000000000064</v>
      </c>
    </row>
    <row r="967" spans="11:12" x14ac:dyDescent="0.4">
      <c r="K967" s="36">
        <v>965</v>
      </c>
      <c r="L967" s="95">
        <v>-11.500000000000064</v>
      </c>
    </row>
    <row r="968" spans="11:12" x14ac:dyDescent="0.4">
      <c r="K968" s="36">
        <v>966</v>
      </c>
      <c r="L968" s="95">
        <v>-6.3948846218409017E-14</v>
      </c>
    </row>
    <row r="969" spans="11:12" x14ac:dyDescent="0.4">
      <c r="K969" s="36">
        <v>967</v>
      </c>
      <c r="L969" s="95">
        <v>-53.200000000000067</v>
      </c>
    </row>
    <row r="970" spans="11:12" x14ac:dyDescent="0.4">
      <c r="K970" s="36">
        <v>968</v>
      </c>
      <c r="L970" s="95">
        <v>-16.600000000000065</v>
      </c>
    </row>
    <row r="971" spans="11:12" x14ac:dyDescent="0.4">
      <c r="K971" s="36">
        <v>969</v>
      </c>
      <c r="L971" s="95">
        <v>-6.3948846218409017E-14</v>
      </c>
    </row>
    <row r="972" spans="11:12" x14ac:dyDescent="0.4">
      <c r="K972" s="36">
        <v>970</v>
      </c>
      <c r="L972" s="95">
        <v>-23.200000000000063</v>
      </c>
    </row>
    <row r="973" spans="11:12" x14ac:dyDescent="0.4">
      <c r="K973" s="36">
        <v>971</v>
      </c>
      <c r="L973" s="95">
        <v>-31.900000000000063</v>
      </c>
    </row>
    <row r="974" spans="11:12" x14ac:dyDescent="0.4">
      <c r="K974" s="36">
        <v>972</v>
      </c>
      <c r="L974" s="95">
        <v>-6.3948846218409017E-14</v>
      </c>
    </row>
    <row r="975" spans="11:12" x14ac:dyDescent="0.4">
      <c r="K975" s="36">
        <v>973</v>
      </c>
      <c r="L975" s="95">
        <v>-47.400000000000063</v>
      </c>
    </row>
    <row r="976" spans="11:12" x14ac:dyDescent="0.4">
      <c r="K976" s="36">
        <v>974</v>
      </c>
      <c r="L976" s="95">
        <v>-41.500000000000064</v>
      </c>
    </row>
    <row r="977" spans="11:12" x14ac:dyDescent="0.4">
      <c r="K977" s="36">
        <v>975</v>
      </c>
      <c r="L977" s="95">
        <v>-6.3948846218409017E-14</v>
      </c>
    </row>
    <row r="978" spans="11:12" x14ac:dyDescent="0.4">
      <c r="K978" s="36">
        <v>976</v>
      </c>
      <c r="L978" s="95">
        <v>-10.900000000000064</v>
      </c>
    </row>
    <row r="979" spans="11:12" x14ac:dyDescent="0.4">
      <c r="K979" s="36">
        <v>977</v>
      </c>
      <c r="L979" s="95">
        <v>-49.600000000000065</v>
      </c>
    </row>
    <row r="980" spans="11:12" x14ac:dyDescent="0.4">
      <c r="K980" s="36">
        <v>978</v>
      </c>
      <c r="L980" s="95">
        <v>-6.3948846218409017E-14</v>
      </c>
    </row>
    <row r="981" spans="11:12" x14ac:dyDescent="0.4">
      <c r="K981" s="36">
        <v>979</v>
      </c>
      <c r="L981" s="95">
        <v>9.1999999999999353</v>
      </c>
    </row>
    <row r="982" spans="11:12" x14ac:dyDescent="0.4">
      <c r="K982" s="36">
        <v>980</v>
      </c>
      <c r="L982" s="95">
        <v>45.499999999999929</v>
      </c>
    </row>
    <row r="983" spans="11:12" x14ac:dyDescent="0.4">
      <c r="K983" s="36">
        <v>981</v>
      </c>
      <c r="L983" s="95">
        <v>-7.1054273576010019E-14</v>
      </c>
    </row>
    <row r="984" spans="11:12" x14ac:dyDescent="0.4">
      <c r="K984" s="36">
        <v>982</v>
      </c>
      <c r="L984" s="95">
        <v>30.29999999999993</v>
      </c>
    </row>
    <row r="985" spans="11:12" x14ac:dyDescent="0.4">
      <c r="K985" s="36">
        <v>983</v>
      </c>
      <c r="L985" s="95">
        <v>46.499999999999929</v>
      </c>
    </row>
    <row r="986" spans="11:12" x14ac:dyDescent="0.4">
      <c r="K986" s="36">
        <v>984</v>
      </c>
      <c r="L986" s="95">
        <v>-7.1054273576010019E-14</v>
      </c>
    </row>
    <row r="987" spans="11:12" x14ac:dyDescent="0.4">
      <c r="K987" s="36">
        <v>985</v>
      </c>
      <c r="L987" s="95">
        <v>30.399999999999928</v>
      </c>
    </row>
    <row r="988" spans="11:12" x14ac:dyDescent="0.4">
      <c r="K988" s="36">
        <v>986</v>
      </c>
      <c r="L988" s="95">
        <v>45.499999999999929</v>
      </c>
    </row>
    <row r="989" spans="11:12" x14ac:dyDescent="0.4">
      <c r="K989" s="36">
        <v>987</v>
      </c>
      <c r="L989" s="95">
        <v>-7.1054273576010019E-14</v>
      </c>
    </row>
    <row r="990" spans="11:12" x14ac:dyDescent="0.4">
      <c r="K990" s="36">
        <v>988</v>
      </c>
      <c r="L990" s="95">
        <v>34.59999999999993</v>
      </c>
    </row>
    <row r="991" spans="11:12" x14ac:dyDescent="0.4">
      <c r="K991" s="36">
        <v>989</v>
      </c>
      <c r="L991" s="95">
        <v>-11.500000000000071</v>
      </c>
    </row>
    <row r="992" spans="11:12" x14ac:dyDescent="0.4">
      <c r="K992" s="36">
        <v>990</v>
      </c>
      <c r="L992" s="95">
        <v>-7.1054273576010019E-14</v>
      </c>
    </row>
    <row r="993" spans="11:12" x14ac:dyDescent="0.4">
      <c r="K993" s="36">
        <v>991</v>
      </c>
      <c r="L993" s="95">
        <v>1.299999999999929</v>
      </c>
    </row>
    <row r="994" spans="11:12" x14ac:dyDescent="0.4">
      <c r="K994" s="36">
        <v>992</v>
      </c>
      <c r="L994" s="95">
        <v>-15.800000000000072</v>
      </c>
    </row>
    <row r="995" spans="11:12" x14ac:dyDescent="0.4">
      <c r="K995" s="36">
        <v>993</v>
      </c>
      <c r="L995" s="95">
        <v>-7.1054273576010019E-14</v>
      </c>
    </row>
    <row r="996" spans="11:12" x14ac:dyDescent="0.4">
      <c r="K996" s="36">
        <v>994</v>
      </c>
      <c r="L996" s="95">
        <v>74.099999999999923</v>
      </c>
    </row>
    <row r="997" spans="11:12" x14ac:dyDescent="0.4">
      <c r="K997" s="36">
        <v>995</v>
      </c>
      <c r="L997" s="95">
        <v>27.499999999999922</v>
      </c>
    </row>
    <row r="998" spans="11:12" x14ac:dyDescent="0.4">
      <c r="K998" s="36">
        <v>996</v>
      </c>
      <c r="L998" s="95">
        <v>-7.815970093361102E-14</v>
      </c>
    </row>
    <row r="999" spans="11:12" x14ac:dyDescent="0.4">
      <c r="K999" s="36">
        <v>997</v>
      </c>
      <c r="L999" s="95">
        <v>62.599999999999923</v>
      </c>
    </row>
    <row r="1000" spans="11:12" x14ac:dyDescent="0.4">
      <c r="K1000" s="36">
        <v>998</v>
      </c>
      <c r="L1000" s="95">
        <v>9.4999999999999218</v>
      </c>
    </row>
    <row r="1001" spans="11:12" x14ac:dyDescent="0.4">
      <c r="K1001" s="36">
        <v>999</v>
      </c>
      <c r="L1001" s="95">
        <v>-7.815970093361102E-14</v>
      </c>
    </row>
    <row r="1002" spans="11:12" x14ac:dyDescent="0.4">
      <c r="K1002" s="36">
        <v>1000</v>
      </c>
      <c r="L1002" s="95">
        <v>-52.000000000000078</v>
      </c>
    </row>
    <row r="1003" spans="11:12" x14ac:dyDescent="0.4">
      <c r="K1003" s="36">
        <v>1001</v>
      </c>
      <c r="L1003" s="95">
        <v>-55.500000000000078</v>
      </c>
    </row>
    <row r="1004" spans="11:12" x14ac:dyDescent="0.4">
      <c r="K1004" s="36">
        <v>1002</v>
      </c>
      <c r="L1004" s="95">
        <v>-7.815970093361102E-14</v>
      </c>
    </row>
    <row r="1005" spans="11:12" x14ac:dyDescent="0.4">
      <c r="K1005" s="36">
        <v>1003</v>
      </c>
      <c r="L1005" s="95">
        <v>-45.200000000000081</v>
      </c>
    </row>
    <row r="1006" spans="11:12" x14ac:dyDescent="0.4">
      <c r="K1006" s="36">
        <v>1004</v>
      </c>
      <c r="L1006" s="95">
        <v>-28.200000000000081</v>
      </c>
    </row>
    <row r="1007" spans="11:12" x14ac:dyDescent="0.4">
      <c r="K1007" s="36">
        <v>1005</v>
      </c>
      <c r="L1007" s="95">
        <v>-8.1712414612411521E-14</v>
      </c>
    </row>
    <row r="1008" spans="11:12" x14ac:dyDescent="0.4">
      <c r="K1008" s="36">
        <v>1006</v>
      </c>
      <c r="L1008" s="95">
        <v>24.09999999999992</v>
      </c>
    </row>
    <row r="1009" spans="11:12" x14ac:dyDescent="0.4">
      <c r="K1009" s="36">
        <v>1007</v>
      </c>
      <c r="L1009" s="95">
        <v>24.89999999999992</v>
      </c>
    </row>
    <row r="1010" spans="11:12" x14ac:dyDescent="0.4">
      <c r="K1010" s="36">
        <v>1008</v>
      </c>
      <c r="L1010" s="95">
        <v>-7.815970093361102E-14</v>
      </c>
    </row>
    <row r="1011" spans="11:12" x14ac:dyDescent="0.4">
      <c r="K1011" s="36">
        <v>1009</v>
      </c>
      <c r="L1011" s="95">
        <v>22.39999999999992</v>
      </c>
    </row>
    <row r="1012" spans="11:12" x14ac:dyDescent="0.4">
      <c r="K1012" s="36">
        <v>1010</v>
      </c>
      <c r="L1012" s="95">
        <v>17.39999999999992</v>
      </c>
    </row>
    <row r="1013" spans="11:12" x14ac:dyDescent="0.4">
      <c r="K1013" s="36">
        <v>1011</v>
      </c>
      <c r="L1013" s="95">
        <v>-7.815970093361102E-14</v>
      </c>
    </row>
    <row r="1014" spans="11:12" x14ac:dyDescent="0.4">
      <c r="K1014" s="36">
        <v>1012</v>
      </c>
      <c r="L1014" s="95">
        <v>-36.000000000000078</v>
      </c>
    </row>
    <row r="1015" spans="11:12" x14ac:dyDescent="0.4">
      <c r="K1015" s="36">
        <v>1013</v>
      </c>
      <c r="L1015" s="95">
        <v>4.6999999999999247</v>
      </c>
    </row>
    <row r="1016" spans="11:12" x14ac:dyDescent="0.4">
      <c r="K1016" s="36">
        <v>1014</v>
      </c>
      <c r="L1016" s="95">
        <v>-7.5495165674510645E-14</v>
      </c>
    </row>
    <row r="1017" spans="11:12" x14ac:dyDescent="0.4">
      <c r="K1017" s="36">
        <v>1015</v>
      </c>
      <c r="L1017" s="95">
        <v>-13.300000000000075</v>
      </c>
    </row>
    <row r="1018" spans="11:12" x14ac:dyDescent="0.4">
      <c r="K1018" s="36">
        <v>1016</v>
      </c>
      <c r="L1018" s="95">
        <v>-14.000000000000075</v>
      </c>
    </row>
    <row r="1019" spans="11:12" x14ac:dyDescent="0.4">
      <c r="K1019" s="36">
        <v>1017</v>
      </c>
      <c r="L1019" s="95">
        <v>-7.460698725481052E-14</v>
      </c>
    </row>
    <row r="1020" spans="11:12" x14ac:dyDescent="0.4">
      <c r="K1020" s="36">
        <v>1018</v>
      </c>
      <c r="L1020" s="95">
        <v>6.7999999999999252</v>
      </c>
    </row>
    <row r="1021" spans="11:12" x14ac:dyDescent="0.4">
      <c r="K1021" s="36">
        <v>1019</v>
      </c>
      <c r="L1021" s="95">
        <v>35.799999999999926</v>
      </c>
    </row>
    <row r="1022" spans="11:12" x14ac:dyDescent="0.4">
      <c r="K1022" s="36">
        <v>1020</v>
      </c>
      <c r="L1022" s="95">
        <v>-7.1054273576010019E-14</v>
      </c>
    </row>
    <row r="1023" spans="11:12" x14ac:dyDescent="0.4">
      <c r="K1023" s="36">
        <v>1021</v>
      </c>
      <c r="L1023" s="95">
        <v>-47.600000000000072</v>
      </c>
    </row>
    <row r="1024" spans="11:12" x14ac:dyDescent="0.4">
      <c r="K1024" s="36">
        <v>1022</v>
      </c>
      <c r="L1024" s="95">
        <v>19.299999999999933</v>
      </c>
    </row>
    <row r="1025" spans="11:12" x14ac:dyDescent="0.4">
      <c r="K1025" s="36">
        <v>1023</v>
      </c>
      <c r="L1025" s="95">
        <v>-6.7501559897209518E-14</v>
      </c>
    </row>
    <row r="1026" spans="11:12" x14ac:dyDescent="0.4">
      <c r="K1026" s="36">
        <v>1024</v>
      </c>
      <c r="L1026" s="95">
        <v>16.699999999999932</v>
      </c>
    </row>
    <row r="1027" spans="11:12" x14ac:dyDescent="0.4">
      <c r="K1027" s="36">
        <v>1025</v>
      </c>
      <c r="L1027" s="95">
        <v>46.699999999999932</v>
      </c>
    </row>
    <row r="1028" spans="11:12" x14ac:dyDescent="0.4">
      <c r="K1028" s="36">
        <v>1026</v>
      </c>
      <c r="L1028" s="95">
        <v>-7.1054273576010019E-14</v>
      </c>
    </row>
    <row r="1029" spans="11:12" x14ac:dyDescent="0.4">
      <c r="K1029" s="36">
        <v>1027</v>
      </c>
      <c r="L1029" s="95">
        <v>-62.200000000000074</v>
      </c>
    </row>
    <row r="1030" spans="11:12" x14ac:dyDescent="0.4">
      <c r="K1030" s="36">
        <v>1028</v>
      </c>
      <c r="L1030" s="95">
        <v>-3.2000000000000739</v>
      </c>
    </row>
    <row r="1031" spans="11:12" x14ac:dyDescent="0.4">
      <c r="K1031" s="36">
        <v>1029</v>
      </c>
      <c r="L1031" s="95">
        <v>-7.3718808835110394E-14</v>
      </c>
    </row>
    <row r="1032" spans="11:12" x14ac:dyDescent="0.4">
      <c r="K1032" s="36">
        <v>1030</v>
      </c>
      <c r="L1032" s="95">
        <v>16.499999999999925</v>
      </c>
    </row>
    <row r="1033" spans="11:12" x14ac:dyDescent="0.4">
      <c r="K1033" s="36">
        <v>1031</v>
      </c>
      <c r="L1033" s="95">
        <v>16.199999999999925</v>
      </c>
    </row>
    <row r="1034" spans="11:12" x14ac:dyDescent="0.4">
      <c r="K1034" s="36">
        <v>1032</v>
      </c>
      <c r="L1034" s="95">
        <v>-7.460698725481052E-14</v>
      </c>
    </row>
    <row r="1035" spans="11:12" x14ac:dyDescent="0.4">
      <c r="K1035" s="36">
        <v>1033</v>
      </c>
      <c r="L1035" s="95">
        <v>-54.700000000000074</v>
      </c>
    </row>
    <row r="1036" spans="11:12" x14ac:dyDescent="0.4">
      <c r="K1036" s="36">
        <v>1034</v>
      </c>
      <c r="L1036" s="95">
        <v>-14.800000000000075</v>
      </c>
    </row>
    <row r="1037" spans="11:12" x14ac:dyDescent="0.4">
      <c r="K1037" s="36">
        <v>1035</v>
      </c>
      <c r="L1037" s="95">
        <v>-7.460698725481052E-14</v>
      </c>
    </row>
  </sheetData>
  <sortState xmlns:xlrd2="http://schemas.microsoft.com/office/spreadsheetml/2017/richdata2" ref="E2:I103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092B-1C8E-4A50-A87F-148A6D7ACA37}">
  <sheetPr codeName="Sheet7"/>
  <dimension ref="A1:Q9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161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89</v>
      </c>
      <c r="C2" s="157"/>
      <c r="E2" s="58" t="s">
        <v>66</v>
      </c>
      <c r="F2" s="55" t="s">
        <v>22</v>
      </c>
      <c r="G2" s="43">
        <v>145</v>
      </c>
      <c r="H2" s="128">
        <f>IF(B$19=0,0,G2/B$19)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">
      <c r="A3" s="51" t="s">
        <v>8</v>
      </c>
      <c r="B3" s="158">
        <v>790</v>
      </c>
      <c r="C3" s="159"/>
      <c r="E3" s="59" t="s">
        <v>72</v>
      </c>
      <c r="F3" s="56" t="s">
        <v>27</v>
      </c>
      <c r="G3" s="44">
        <v>119</v>
      </c>
      <c r="H3" s="129">
        <f>IF(B$19=0,0,G3/B$19)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">
      <c r="A4" s="51" t="s">
        <v>6</v>
      </c>
      <c r="B4" s="160">
        <v>-581.00000000000023</v>
      </c>
      <c r="C4" s="161"/>
      <c r="E4" s="59" t="s">
        <v>166</v>
      </c>
      <c r="F4" s="56" t="s">
        <v>167</v>
      </c>
      <c r="G4" s="44">
        <v>77</v>
      </c>
      <c r="H4" s="129">
        <f>IF(B$19=0,0,G4/B$19)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">
      <c r="A5" s="51" t="s">
        <v>7</v>
      </c>
      <c r="B5" s="162">
        <f>IF(B$2=0,0,B$4/B$2)</f>
        <v>-6.5280898876404523</v>
      </c>
      <c r="C5" s="163"/>
      <c r="E5" s="59" t="s">
        <v>68</v>
      </c>
      <c r="F5" s="56" t="s">
        <v>12</v>
      </c>
      <c r="G5" s="44">
        <v>61</v>
      </c>
      <c r="H5" s="129">
        <f>IF(B$19=0,0,G5/B$19)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">
      <c r="A6" s="51" t="s">
        <v>1</v>
      </c>
      <c r="B6" s="152">
        <f>IF(B$2=0,0,(B$7*1+B$8*2+B$9*3)/B$2)</f>
        <v>2.1573033707865168</v>
      </c>
      <c r="C6" s="153"/>
      <c r="E6" s="59" t="s">
        <v>64</v>
      </c>
      <c r="F6" s="56" t="s">
        <v>20</v>
      </c>
      <c r="G6" s="44">
        <v>59</v>
      </c>
      <c r="H6" s="129">
        <f>IF(B$19=0,0,G6/B$19)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">
      <c r="A7" s="51" t="s">
        <v>2</v>
      </c>
      <c r="B7" s="44">
        <v>25</v>
      </c>
      <c r="C7" s="37">
        <f t="shared" ref="C7:C14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IF(B$19=0,0,G7/B$19)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IF(B$19=0,0,G8/B$19)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IF(B$19=0,0,G9/B$19)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29.584</v>
      </c>
      <c r="C10" s="147">
        <v>739.6</v>
      </c>
      <c r="E10" s="59" t="s">
        <v>70</v>
      </c>
      <c r="F10" s="56" t="s">
        <v>25</v>
      </c>
      <c r="G10" s="44">
        <v>25</v>
      </c>
      <c r="H10" s="129">
        <f>IF(B$19=0,0,G10/B$19)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">
      <c r="A11" s="52" t="s">
        <v>200</v>
      </c>
      <c r="B11" s="146">
        <f>IF(B8=0,0,C11/B8)</f>
        <v>-8.8000000000000397E-2</v>
      </c>
      <c r="C11" s="147">
        <v>-2.2000000000000099</v>
      </c>
      <c r="E11" s="59" t="s">
        <v>83</v>
      </c>
      <c r="F11" s="56" t="s">
        <v>38</v>
      </c>
      <c r="G11" s="44">
        <v>19</v>
      </c>
      <c r="H11" s="129">
        <f>IF(B$19=0,0,G11/B$19)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">
      <c r="A12" s="52" t="s">
        <v>201</v>
      </c>
      <c r="B12" s="146">
        <f>IF(B9=0,0,C12/B9)</f>
        <v>-33.805128205128199</v>
      </c>
      <c r="C12" s="147">
        <v>-1318.3999999999999</v>
      </c>
      <c r="E12" s="59" t="s">
        <v>89</v>
      </c>
      <c r="F12" s="56" t="s">
        <v>44</v>
      </c>
      <c r="G12" s="44">
        <v>15</v>
      </c>
      <c r="H12" s="129">
        <f>IF(B$19=0,0,G12/B$19)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">
      <c r="A13" s="52" t="s">
        <v>202</v>
      </c>
      <c r="B13" s="162">
        <f>AVERAGE(B10:B12)</f>
        <v>-1.4363760683760667</v>
      </c>
      <c r="C13" s="163"/>
      <c r="E13" s="59" t="s">
        <v>65</v>
      </c>
      <c r="F13" s="56" t="s">
        <v>21</v>
      </c>
      <c r="G13" s="44">
        <v>13</v>
      </c>
      <c r="H13" s="129">
        <f>IF(B$19=0,0,G13/B$19)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7</v>
      </c>
      <c r="C14" s="40">
        <f t="shared" si="1"/>
        <v>7.8651685393258425E-2</v>
      </c>
      <c r="E14" s="59" t="s">
        <v>81</v>
      </c>
      <c r="F14" s="56" t="s">
        <v>36</v>
      </c>
      <c r="G14" s="44">
        <v>10</v>
      </c>
      <c r="H14" s="129">
        <f>IF(B$19=0,0,G14/B$19)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112</v>
      </c>
      <c r="C15" s="42">
        <f>IF(B$3=0,0,B15/B$3)</f>
        <v>0.14177215189873418</v>
      </c>
      <c r="E15" s="59" t="s">
        <v>86</v>
      </c>
      <c r="F15" s="56" t="s">
        <v>41</v>
      </c>
      <c r="G15" s="44">
        <v>7</v>
      </c>
      <c r="H15" s="129">
        <f>IF(B$19=0,0,G15/B$19)</f>
        <v>3.2407407407407406E-2</v>
      </c>
      <c r="I15" s="90">
        <v>10</v>
      </c>
      <c r="K15" s="36">
        <v>13</v>
      </c>
      <c r="L15" s="95">
        <v>-66.2</v>
      </c>
      <c r="N15" s="110" t="s">
        <v>283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118</v>
      </c>
      <c r="B16" s="44">
        <v>207</v>
      </c>
      <c r="C16" s="37">
        <f>IF(B$3=0,0,B16/B$3)</f>
        <v>0.26202531645569621</v>
      </c>
      <c r="E16" s="59" t="s">
        <v>79</v>
      </c>
      <c r="F16" s="56" t="s">
        <v>34</v>
      </c>
      <c r="G16" s="44">
        <v>5</v>
      </c>
      <c r="H16" s="129">
        <f>IF(B$19=0,0,G16/B$19)</f>
        <v>2.3148148148148147E-2</v>
      </c>
      <c r="I16" s="90">
        <v>3</v>
      </c>
      <c r="K16" s="36">
        <v>14</v>
      </c>
      <c r="L16" s="95">
        <v>-51.1</v>
      </c>
      <c r="N16" s="111" t="s">
        <v>193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">
      <c r="A17" s="50" t="s">
        <v>123</v>
      </c>
      <c r="B17" s="43">
        <f>B23</f>
        <v>60</v>
      </c>
      <c r="C17" s="35">
        <f>IF(B$15=0,0,B17/B$15)</f>
        <v>0.5357142857142857</v>
      </c>
      <c r="E17" s="59" t="s">
        <v>91</v>
      </c>
      <c r="F17" s="56" t="s">
        <v>46</v>
      </c>
      <c r="G17" s="44">
        <v>4</v>
      </c>
      <c r="H17" s="129">
        <f>IF(B$19=0,0,G17/B$19)</f>
        <v>1.8518518518518517E-2</v>
      </c>
      <c r="I17" s="90">
        <v>5</v>
      </c>
      <c r="K17" s="36">
        <v>15</v>
      </c>
      <c r="L17" s="95">
        <v>-65.2</v>
      </c>
      <c r="N17" s="111" t="s">
        <v>171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">
      <c r="A18" s="50" t="s">
        <v>124</v>
      </c>
      <c r="B18" s="43">
        <f>B24</f>
        <v>82</v>
      </c>
      <c r="C18" s="35">
        <f>IF(B$16=0,0,B18/B$16)</f>
        <v>0.39613526570048307</v>
      </c>
      <c r="E18" s="59" t="s">
        <v>74</v>
      </c>
      <c r="F18" s="56" t="s">
        <v>29</v>
      </c>
      <c r="G18" s="44">
        <v>2</v>
      </c>
      <c r="H18" s="129">
        <f>IF(B$19=0,0,G18/B$19)</f>
        <v>9.2592592592592587E-3</v>
      </c>
      <c r="I18" s="90">
        <v>1</v>
      </c>
      <c r="K18" s="36">
        <v>16</v>
      </c>
      <c r="L18" s="95">
        <v>-70.600000000000009</v>
      </c>
      <c r="N18" s="111" t="s">
        <v>206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">
      <c r="A19" s="50" t="s">
        <v>10</v>
      </c>
      <c r="B19" s="43">
        <f>B22+B21</f>
        <v>216</v>
      </c>
      <c r="C19" s="35">
        <f>IF(B$3=0,0,B19/B$3)</f>
        <v>0.27341772151898736</v>
      </c>
      <c r="E19" s="59" t="s">
        <v>75</v>
      </c>
      <c r="F19" s="56" t="s">
        <v>30</v>
      </c>
      <c r="G19" s="44">
        <v>2</v>
      </c>
      <c r="H19" s="129">
        <f>IF(B$19=0,0,G19/B$19)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">
      <c r="A20" s="51" t="s">
        <v>13</v>
      </c>
      <c r="B20" s="44">
        <v>128</v>
      </c>
      <c r="C20" s="37">
        <f>IF(B$3=0,0,B20/B$3)</f>
        <v>0.16202531645569621</v>
      </c>
      <c r="E20" s="59" t="s">
        <v>78</v>
      </c>
      <c r="F20" s="56" t="s">
        <v>33</v>
      </c>
      <c r="G20" s="44">
        <v>2</v>
      </c>
      <c r="H20" s="129">
        <f>IF(B$19=0,0,G20/B$19)</f>
        <v>9.2592592592592587E-3</v>
      </c>
      <c r="I20" s="90">
        <v>10</v>
      </c>
      <c r="K20" s="36">
        <v>18</v>
      </c>
      <c r="L20" s="95">
        <v>-80.2</v>
      </c>
      <c r="N20" s="111" t="s">
        <v>194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">
      <c r="A21" s="51" t="s">
        <v>12</v>
      </c>
      <c r="B21" s="44">
        <v>94</v>
      </c>
      <c r="C21" s="37">
        <f>IF(B$19=0,0,B21/B$19)</f>
        <v>0.43518518518518517</v>
      </c>
      <c r="E21" s="59" t="s">
        <v>88</v>
      </c>
      <c r="F21" s="56" t="s">
        <v>43</v>
      </c>
      <c r="G21" s="44">
        <v>2</v>
      </c>
      <c r="H21" s="129">
        <f>IF(B$19=0,0,G21/B$19)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-12.675609756097565</v>
      </c>
      <c r="P21" s="115">
        <v>41</v>
      </c>
      <c r="Q21" s="103">
        <v>-519.70000000000016</v>
      </c>
    </row>
    <row r="22" spans="1:17" x14ac:dyDescent="0.4">
      <c r="A22" s="51" t="s">
        <v>11</v>
      </c>
      <c r="B22" s="44">
        <v>122</v>
      </c>
      <c r="C22" s="37">
        <f>IF(B$19=0,0,B22/B$19)</f>
        <v>0.56481481481481477</v>
      </c>
      <c r="E22" s="59" t="s">
        <v>93</v>
      </c>
      <c r="F22" s="56" t="s">
        <v>48</v>
      </c>
      <c r="G22" s="44">
        <v>2</v>
      </c>
      <c r="H22" s="129">
        <f>IF(B$19=0,0,G22/B$19)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-26.1</v>
      </c>
      <c r="P22" s="115">
        <v>30</v>
      </c>
      <c r="Q22" s="103">
        <v>-783</v>
      </c>
    </row>
    <row r="23" spans="1:17" x14ac:dyDescent="0.4">
      <c r="A23" s="51" t="s">
        <v>192</v>
      </c>
      <c r="B23" s="44">
        <v>60</v>
      </c>
      <c r="C23" s="37">
        <f>IF(B$19=0,0,B23/B$19)</f>
        <v>0.27777777777777779</v>
      </c>
      <c r="E23" s="59" t="s">
        <v>77</v>
      </c>
      <c r="F23" s="56" t="s">
        <v>32</v>
      </c>
      <c r="G23" s="44">
        <v>1</v>
      </c>
      <c r="H23" s="129">
        <f>IF(B$19=0,0,G23/B$19)</f>
        <v>4.6296296296296294E-3</v>
      </c>
      <c r="I23" s="90">
        <v>3</v>
      </c>
      <c r="K23" s="36">
        <v>21</v>
      </c>
      <c r="L23" s="95">
        <v>-111.4</v>
      </c>
      <c r="N23" s="111" t="s">
        <v>290</v>
      </c>
      <c r="O23" s="121">
        <f t="shared" si="2"/>
        <v>-38</v>
      </c>
      <c r="P23" s="115">
        <v>1</v>
      </c>
      <c r="Q23" s="103">
        <v>-38</v>
      </c>
    </row>
    <row r="24" spans="1:17" x14ac:dyDescent="0.4">
      <c r="A24" s="51" t="s">
        <v>190</v>
      </c>
      <c r="B24" s="44">
        <v>82</v>
      </c>
      <c r="C24" s="37">
        <f>IF(B$19=0,0,B24/B$19)</f>
        <v>0.37962962962962965</v>
      </c>
      <c r="E24" s="59" t="s">
        <v>84</v>
      </c>
      <c r="F24" s="56" t="s">
        <v>39</v>
      </c>
      <c r="G24" s="44">
        <v>1</v>
      </c>
      <c r="H24" s="129">
        <f>IF(B$19=0,0,G24/B$19)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1" t="s">
        <v>191</v>
      </c>
      <c r="B25" s="44">
        <v>74</v>
      </c>
      <c r="C25" s="37">
        <f>IF(B$19=0,0,B25/B$19)</f>
        <v>0.34259259259259262</v>
      </c>
      <c r="E25" s="59" t="s">
        <v>87</v>
      </c>
      <c r="F25" s="56" t="s">
        <v>42</v>
      </c>
      <c r="G25" s="44">
        <v>1</v>
      </c>
      <c r="H25" s="129">
        <f>IF(B$19=0,0,G25/B$19)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5</v>
      </c>
      <c r="B26" s="48">
        <f>IF(B$19=0,0,C26/B$19)</f>
        <v>7159.7222222222226</v>
      </c>
      <c r="C26" s="39">
        <v>1546500</v>
      </c>
      <c r="E26" s="59" t="s">
        <v>73</v>
      </c>
      <c r="F26" s="56" t="s">
        <v>28</v>
      </c>
      <c r="G26" s="44">
        <v>0</v>
      </c>
      <c r="H26" s="129">
        <f>IF(B$19=0,0,G26/B$19)</f>
        <v>0</v>
      </c>
      <c r="I26" s="90">
        <v>6</v>
      </c>
      <c r="K26" s="36">
        <v>24</v>
      </c>
      <c r="L26" s="95">
        <v>-111.60000000000001</v>
      </c>
    </row>
    <row r="27" spans="1:17" x14ac:dyDescent="0.4">
      <c r="A27" s="52" t="s">
        <v>174</v>
      </c>
      <c r="B27" s="136">
        <f>IF($B$19-B$18=0,0,C27/($B$19-B$18))</f>
        <v>7719.4029850746265</v>
      </c>
      <c r="C27" s="137">
        <v>1034400</v>
      </c>
      <c r="E27" s="59" t="s">
        <v>76</v>
      </c>
      <c r="F27" s="56" t="s">
        <v>31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2" t="s">
        <v>175</v>
      </c>
      <c r="B28" s="136">
        <f>IF(B$18=0,0,C28/B$18)</f>
        <v>6245.1219512195121</v>
      </c>
      <c r="C28" s="137">
        <v>512100</v>
      </c>
      <c r="E28" s="59" t="s">
        <v>80</v>
      </c>
      <c r="F28" s="56" t="s">
        <v>35</v>
      </c>
      <c r="G28" s="44">
        <v>0</v>
      </c>
      <c r="H28" s="129">
        <f>IF(B$19=0,0,G28/B$19)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2" t="s">
        <v>173</v>
      </c>
      <c r="B29" s="136">
        <f>IF(B$20=0,0,C29/B$20)</f>
        <v>-7497.65625</v>
      </c>
      <c r="C29" s="137">
        <v>-959700</v>
      </c>
      <c r="E29" s="59" t="s">
        <v>82</v>
      </c>
      <c r="F29" s="56" t="s">
        <v>37</v>
      </c>
      <c r="G29" s="44">
        <v>0</v>
      </c>
      <c r="H29" s="129">
        <f>IF(B$19=0,0,G29/B$19)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1" t="s">
        <v>164</v>
      </c>
      <c r="B30" s="44">
        <v>5</v>
      </c>
      <c r="C30" s="131">
        <v>0</v>
      </c>
      <c r="E30" s="59" t="s">
        <v>85</v>
      </c>
      <c r="F30" s="56" t="s">
        <v>40</v>
      </c>
      <c r="G30" s="44">
        <v>0</v>
      </c>
      <c r="H30" s="129">
        <f>IF(B$19=0,0,G30/B$19)</f>
        <v>0</v>
      </c>
      <c r="I30" s="90">
        <v>8</v>
      </c>
      <c r="K30" s="36">
        <v>28</v>
      </c>
      <c r="L30" s="95">
        <v>-124.40000000000002</v>
      </c>
    </row>
    <row r="31" spans="1:17" x14ac:dyDescent="0.4">
      <c r="A31" s="51" t="s">
        <v>165</v>
      </c>
      <c r="B31" s="44">
        <v>32</v>
      </c>
      <c r="C31" s="131">
        <v>2</v>
      </c>
      <c r="E31" s="59" t="s">
        <v>90</v>
      </c>
      <c r="F31" s="56" t="s">
        <v>45</v>
      </c>
      <c r="G31" s="44">
        <v>0</v>
      </c>
      <c r="H31" s="129">
        <f>IF(B$19=0,0,G31/B$19)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138</v>
      </c>
      <c r="B32" s="150">
        <v>6</v>
      </c>
      <c r="C32" s="151"/>
      <c r="E32" s="59" t="s">
        <v>92</v>
      </c>
      <c r="F32" s="56" t="s">
        <v>47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-182.90000000000003</v>
      </c>
    </row>
    <row r="33" spans="1:12" x14ac:dyDescent="0.4">
      <c r="A33" s="54" t="s">
        <v>189</v>
      </c>
      <c r="B33" s="148">
        <v>87400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3" t="s">
        <v>139</v>
      </c>
      <c r="B34" s="61">
        <v>2</v>
      </c>
      <c r="C34" s="40">
        <f>IF(B$3=0,0,B34/B$3)</f>
        <v>2.5316455696202532E-3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  <c r="K34" s="36">
        <v>32</v>
      </c>
      <c r="L34" s="95">
        <v>-211.90000000000003</v>
      </c>
    </row>
    <row r="35" spans="1:12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86" t="s">
        <v>180</v>
      </c>
      <c r="B36" s="144">
        <v>27</v>
      </c>
      <c r="C36" s="141">
        <f t="shared" ref="C36:C48" si="3">IF(B$19=0,0,B36/B$19)</f>
        <v>0.125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176</v>
      </c>
      <c r="B37" s="44">
        <v>45</v>
      </c>
      <c r="C37" s="37">
        <f t="shared" si="3"/>
        <v>0.20833333333333334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177</v>
      </c>
      <c r="B38" s="145">
        <v>44</v>
      </c>
      <c r="C38" s="37">
        <f t="shared" si="3"/>
        <v>0.20370370370370369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178</v>
      </c>
      <c r="B39" s="145">
        <v>40</v>
      </c>
      <c r="C39" s="37">
        <f t="shared" si="3"/>
        <v>0.18518518518518517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179</v>
      </c>
      <c r="B40" s="145">
        <v>22</v>
      </c>
      <c r="C40" s="37">
        <f t="shared" si="3"/>
        <v>0.10185185185185185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181</v>
      </c>
      <c r="B41" s="145">
        <v>18</v>
      </c>
      <c r="C41" s="37">
        <f t="shared" si="3"/>
        <v>8.3333333333333329E-2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182</v>
      </c>
      <c r="B42" s="145">
        <v>11</v>
      </c>
      <c r="C42" s="37">
        <f t="shared" si="3"/>
        <v>5.0925925925925923E-2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183</v>
      </c>
      <c r="B43" s="145">
        <v>6</v>
      </c>
      <c r="C43" s="37">
        <f t="shared" si="3"/>
        <v>2.7777777777777776E-2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1" t="s">
        <v>184</v>
      </c>
      <c r="B44" s="145">
        <v>1</v>
      </c>
      <c r="C44" s="37">
        <f t="shared" si="3"/>
        <v>4.6296296296296294E-3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A45" s="51" t="s">
        <v>185</v>
      </c>
      <c r="B45" s="145">
        <v>0</v>
      </c>
      <c r="C45" s="37">
        <f t="shared" si="3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A48" s="53" t="s">
        <v>188</v>
      </c>
      <c r="B48" s="140">
        <v>2</v>
      </c>
      <c r="C48" s="40">
        <f t="shared" si="3"/>
        <v>9.2592592592592587E-3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  <row r="78" spans="11:12" x14ac:dyDescent="0.4">
      <c r="K78" s="36">
        <v>76</v>
      </c>
      <c r="L78" s="95">
        <v>-520.50000000000023</v>
      </c>
    </row>
    <row r="79" spans="11:12" x14ac:dyDescent="0.4">
      <c r="K79" s="36">
        <v>77</v>
      </c>
      <c r="L79" s="95">
        <v>-490.00000000000023</v>
      </c>
    </row>
    <row r="80" spans="11:12" x14ac:dyDescent="0.4">
      <c r="K80" s="36">
        <v>78</v>
      </c>
      <c r="L80" s="95">
        <v>-427.60000000000025</v>
      </c>
    </row>
    <row r="81" spans="11:12" x14ac:dyDescent="0.4">
      <c r="K81" s="36">
        <v>79</v>
      </c>
      <c r="L81" s="95">
        <v>-419.20000000000027</v>
      </c>
    </row>
    <row r="82" spans="11:12" x14ac:dyDescent="0.4">
      <c r="K82" s="36">
        <v>80</v>
      </c>
      <c r="L82" s="95">
        <v>-427.50000000000028</v>
      </c>
    </row>
    <row r="83" spans="11:12" x14ac:dyDescent="0.4">
      <c r="K83" s="36">
        <v>81</v>
      </c>
      <c r="L83" s="95">
        <v>-430.90000000000026</v>
      </c>
    </row>
    <row r="84" spans="11:12" x14ac:dyDescent="0.4">
      <c r="K84" s="36">
        <v>82</v>
      </c>
      <c r="L84" s="95">
        <v>-468.40000000000026</v>
      </c>
    </row>
    <row r="85" spans="11:12" x14ac:dyDescent="0.4">
      <c r="K85" s="36">
        <v>83</v>
      </c>
      <c r="L85" s="95">
        <v>-502.90000000000026</v>
      </c>
    </row>
    <row r="86" spans="11:12" x14ac:dyDescent="0.4">
      <c r="K86" s="36">
        <v>84</v>
      </c>
      <c r="L86" s="95">
        <v>-564.20000000000027</v>
      </c>
    </row>
    <row r="87" spans="11:12" x14ac:dyDescent="0.4">
      <c r="K87" s="36">
        <v>85</v>
      </c>
      <c r="L87" s="95">
        <v>-589.90000000000032</v>
      </c>
    </row>
    <row r="88" spans="11:12" x14ac:dyDescent="0.4">
      <c r="K88" s="36">
        <v>86</v>
      </c>
      <c r="L88" s="95">
        <v>-582.3000000000003</v>
      </c>
    </row>
    <row r="89" spans="11:12" x14ac:dyDescent="0.4">
      <c r="K89" s="36">
        <v>87</v>
      </c>
      <c r="L89" s="95">
        <v>-606.90000000000032</v>
      </c>
    </row>
    <row r="90" spans="11:12" x14ac:dyDescent="0.4">
      <c r="K90" s="36">
        <v>88</v>
      </c>
      <c r="L90" s="95">
        <v>-597.70000000000027</v>
      </c>
    </row>
    <row r="91" spans="11:12" x14ac:dyDescent="0.4">
      <c r="K91" s="36">
        <v>89</v>
      </c>
      <c r="L91" s="95">
        <v>-581.00000000000023</v>
      </c>
    </row>
  </sheetData>
  <sortState xmlns:xlrd2="http://schemas.microsoft.com/office/spreadsheetml/2017/richdata2" ref="E2:I9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45C8B-B935-4E8F-88CF-3B2595CF96C6}">
  <sheetPr codeName="Sheet9"/>
  <dimension ref="A1:Q20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126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207</v>
      </c>
      <c r="C2" s="157"/>
      <c r="E2" s="58" t="s">
        <v>66</v>
      </c>
      <c r="F2" s="55" t="s">
        <v>22</v>
      </c>
      <c r="G2" s="43">
        <v>404</v>
      </c>
      <c r="H2" s="128">
        <f>IF(B$19=0,0,G2/B$19)</f>
        <v>0.68358714043993229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1366.990291262136</v>
      </c>
      <c r="P2" s="114">
        <v>206</v>
      </c>
      <c r="Q2" s="98">
        <v>281600</v>
      </c>
    </row>
    <row r="3" spans="1:17" x14ac:dyDescent="0.4">
      <c r="A3" s="51" t="s">
        <v>8</v>
      </c>
      <c r="B3" s="158">
        <v>1723</v>
      </c>
      <c r="C3" s="159"/>
      <c r="E3" s="59" t="s">
        <v>72</v>
      </c>
      <c r="F3" s="56" t="s">
        <v>27</v>
      </c>
      <c r="G3" s="44">
        <v>320</v>
      </c>
      <c r="H3" s="129">
        <f>IF(B$19=0,0,G3/B$19)</f>
        <v>0.54145516074450084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1723.6453201970444</v>
      </c>
      <c r="P3" s="115">
        <v>203</v>
      </c>
      <c r="Q3" s="99">
        <v>349900</v>
      </c>
    </row>
    <row r="4" spans="1:17" x14ac:dyDescent="0.4">
      <c r="A4" s="51" t="s">
        <v>6</v>
      </c>
      <c r="B4" s="160">
        <v>1977.1999999999998</v>
      </c>
      <c r="C4" s="161"/>
      <c r="E4" s="59" t="s">
        <v>64</v>
      </c>
      <c r="F4" s="56" t="s">
        <v>20</v>
      </c>
      <c r="G4" s="44">
        <v>254</v>
      </c>
      <c r="H4" s="129">
        <f>IF(B$19=0,0,G4/B$19)</f>
        <v>0.42978003384094754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1193.8461538461538</v>
      </c>
      <c r="P4" s="115">
        <v>195</v>
      </c>
      <c r="Q4" s="99">
        <v>232800</v>
      </c>
    </row>
    <row r="5" spans="1:17" x14ac:dyDescent="0.4">
      <c r="A5" s="51" t="s">
        <v>7</v>
      </c>
      <c r="B5" s="162">
        <f>IF(B$2=0,0,B$4/B$2)</f>
        <v>9.5516908212560381</v>
      </c>
      <c r="C5" s="163"/>
      <c r="E5" s="59" t="s">
        <v>166</v>
      </c>
      <c r="F5" s="56" t="s">
        <v>167</v>
      </c>
      <c r="G5" s="44">
        <v>230</v>
      </c>
      <c r="H5" s="129">
        <f>IF(B$19=0,0,G5/B$19)</f>
        <v>0.38917089678510997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162.08791208791209</v>
      </c>
      <c r="P5" s="115">
        <v>182</v>
      </c>
      <c r="Q5" s="99">
        <v>29500</v>
      </c>
    </row>
    <row r="6" spans="1:17" x14ac:dyDescent="0.4">
      <c r="A6" s="51" t="s">
        <v>1</v>
      </c>
      <c r="B6" s="152">
        <f>IF(B$2=0,0,(B$7*1+B$8*2+B$9*3)/B$2)</f>
        <v>1.7632850241545894</v>
      </c>
      <c r="C6" s="153"/>
      <c r="E6" s="59" t="s">
        <v>68</v>
      </c>
      <c r="F6" s="56" t="s">
        <v>12</v>
      </c>
      <c r="G6" s="44">
        <v>164</v>
      </c>
      <c r="H6" s="129">
        <f>IF(B$19=0,0,G6/B$19)</f>
        <v>0.27749576988155666</v>
      </c>
      <c r="I6" s="90">
        <v>11</v>
      </c>
      <c r="K6" s="36">
        <v>4</v>
      </c>
      <c r="L6" s="95">
        <v>101.60000000000001</v>
      </c>
      <c r="N6" s="111" t="s">
        <v>134</v>
      </c>
      <c r="O6" s="118">
        <f t="shared" si="0"/>
        <v>1643.7869822485206</v>
      </c>
      <c r="P6" s="115">
        <v>169</v>
      </c>
      <c r="Q6" s="99">
        <v>277800</v>
      </c>
    </row>
    <row r="7" spans="1:17" x14ac:dyDescent="0.4">
      <c r="A7" s="51" t="s">
        <v>2</v>
      </c>
      <c r="B7" s="44">
        <v>98</v>
      </c>
      <c r="C7" s="37">
        <f t="shared" ref="C7:C14" si="1">IF(B$2=0,0,B7/B$2)</f>
        <v>0.47342995169082125</v>
      </c>
      <c r="E7" s="59" t="s">
        <v>67</v>
      </c>
      <c r="F7" s="56" t="s">
        <v>23</v>
      </c>
      <c r="G7" s="44">
        <v>141</v>
      </c>
      <c r="H7" s="129">
        <f>IF(B$19=0,0,G7/B$19)</f>
        <v>0.23857868020304568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2038.4057971014493</v>
      </c>
      <c r="P7" s="116">
        <v>138</v>
      </c>
      <c r="Q7" s="100">
        <v>281300</v>
      </c>
    </row>
    <row r="8" spans="1:17" x14ac:dyDescent="0.4">
      <c r="A8" s="51" t="s">
        <v>3</v>
      </c>
      <c r="B8" s="44">
        <v>60</v>
      </c>
      <c r="C8" s="37">
        <f t="shared" si="1"/>
        <v>0.28985507246376813</v>
      </c>
      <c r="E8" s="59" t="s">
        <v>89</v>
      </c>
      <c r="F8" s="56" t="s">
        <v>44</v>
      </c>
      <c r="G8" s="44">
        <v>90</v>
      </c>
      <c r="H8" s="129">
        <f>IF(B$19=0,0,G8/B$19)</f>
        <v>0.15228426395939088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49</v>
      </c>
      <c r="C9" s="38">
        <f t="shared" si="1"/>
        <v>0.23671497584541062</v>
      </c>
      <c r="E9" s="59" t="s">
        <v>69</v>
      </c>
      <c r="F9" s="56" t="s">
        <v>24</v>
      </c>
      <c r="G9" s="44">
        <v>74</v>
      </c>
      <c r="H9" s="129">
        <f>IF(B$19=0,0,G9/B$19)</f>
        <v>0.12521150592216582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35.32346938775509</v>
      </c>
      <c r="C10" s="147">
        <v>3461.6999999999989</v>
      </c>
      <c r="E10" s="59" t="s">
        <v>65</v>
      </c>
      <c r="F10" s="56" t="s">
        <v>21</v>
      </c>
      <c r="G10" s="44">
        <v>64</v>
      </c>
      <c r="H10" s="129">
        <f>IF(B$19=0,0,G10/B$19)</f>
        <v>0.10829103214890017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">
      <c r="A11" s="52" t="s">
        <v>200</v>
      </c>
      <c r="B11" s="146">
        <f>IF(B8=0,0,C11/B8)</f>
        <v>1.156666666666667</v>
      </c>
      <c r="C11" s="147">
        <v>69.40000000000002</v>
      </c>
      <c r="E11" s="59" t="s">
        <v>71</v>
      </c>
      <c r="F11" s="56" t="s">
        <v>26</v>
      </c>
      <c r="G11" s="44">
        <v>42</v>
      </c>
      <c r="H11" s="129">
        <f>IF(B$19=0,0,G11/B$19)</f>
        <v>7.1065989847715741E-2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6.572222222222222</v>
      </c>
      <c r="P11" s="115">
        <v>72</v>
      </c>
      <c r="Q11" s="103">
        <v>473.2</v>
      </c>
    </row>
    <row r="12" spans="1:17" x14ac:dyDescent="0.4">
      <c r="A12" s="52" t="s">
        <v>201</v>
      </c>
      <c r="B12" s="146">
        <f>IF(B9=0,0,C12/B9)</f>
        <v>-31.712244897959206</v>
      </c>
      <c r="C12" s="147">
        <v>-1553.900000000001</v>
      </c>
      <c r="E12" s="59" t="s">
        <v>70</v>
      </c>
      <c r="F12" s="56" t="s">
        <v>25</v>
      </c>
      <c r="G12" s="44">
        <v>40</v>
      </c>
      <c r="H12" s="129">
        <f>IF(B$19=0,0,G12/B$19)</f>
        <v>6.7681895093062605E-2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10.439473684210524</v>
      </c>
      <c r="P12" s="116">
        <v>76</v>
      </c>
      <c r="Q12" s="104">
        <v>793.39999999999986</v>
      </c>
    </row>
    <row r="13" spans="1:17" x14ac:dyDescent="0.4">
      <c r="A13" s="52" t="s">
        <v>202</v>
      </c>
      <c r="B13" s="162">
        <f>AVERAGE(B10:B12)</f>
        <v>1.5892970521541834</v>
      </c>
      <c r="C13" s="163"/>
      <c r="E13" s="59" t="s">
        <v>86</v>
      </c>
      <c r="F13" s="56" t="s">
        <v>41</v>
      </c>
      <c r="G13" s="44">
        <v>36</v>
      </c>
      <c r="H13" s="129">
        <f>IF(B$19=0,0,G13/B$19)</f>
        <v>6.0913705583756347E-2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9</v>
      </c>
      <c r="C14" s="40">
        <f t="shared" si="1"/>
        <v>4.3478260869565216E-2</v>
      </c>
      <c r="E14" s="59" t="s">
        <v>83</v>
      </c>
      <c r="F14" s="56" t="s">
        <v>38</v>
      </c>
      <c r="G14" s="44">
        <v>30</v>
      </c>
      <c r="H14" s="129">
        <f>IF(B$19=0,0,G14/B$19)</f>
        <v>5.0761421319796954E-2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456</v>
      </c>
      <c r="C15" s="42">
        <f>IF(B$3=0,0,B15/B$3)</f>
        <v>0.26465467208357518</v>
      </c>
      <c r="E15" s="59" t="s">
        <v>78</v>
      </c>
      <c r="F15" s="56" t="s">
        <v>33</v>
      </c>
      <c r="G15" s="44">
        <v>21</v>
      </c>
      <c r="H15" s="129">
        <f>IF(B$19=0,0,G15/B$19)</f>
        <v>3.553299492385787E-2</v>
      </c>
      <c r="I15" s="90">
        <v>4</v>
      </c>
      <c r="K15" s="36">
        <v>13</v>
      </c>
      <c r="L15" s="95">
        <v>206.39999999999998</v>
      </c>
      <c r="N15" s="110" t="s">
        <v>283</v>
      </c>
      <c r="O15" s="120">
        <f t="shared" ref="O15:O23" si="2">IF(P15=0,0,Q15/P15)</f>
        <v>42.716666666666661</v>
      </c>
      <c r="P15" s="114">
        <v>6</v>
      </c>
      <c r="Q15" s="102">
        <v>256.29999999999995</v>
      </c>
    </row>
    <row r="16" spans="1:17" x14ac:dyDescent="0.4">
      <c r="A16" s="51" t="s">
        <v>118</v>
      </c>
      <c r="B16" s="44">
        <v>413</v>
      </c>
      <c r="C16" s="37">
        <f>IF(B$3=0,0,B16/B$3)</f>
        <v>0.23969820081253626</v>
      </c>
      <c r="E16" s="59" t="s">
        <v>162</v>
      </c>
      <c r="F16" s="56" t="s">
        <v>163</v>
      </c>
      <c r="G16" s="44">
        <v>15</v>
      </c>
      <c r="H16" s="129">
        <f>IF(B$19=0,0,G16/B$19)</f>
        <v>2.5380710659898477E-2</v>
      </c>
      <c r="I16" s="90">
        <v>2</v>
      </c>
      <c r="K16" s="36">
        <v>14</v>
      </c>
      <c r="L16" s="95">
        <v>240.09999999999997</v>
      </c>
      <c r="N16" s="111" t="s">
        <v>193</v>
      </c>
      <c r="O16" s="121">
        <f t="shared" si="2"/>
        <v>31.041666666666682</v>
      </c>
      <c r="P16" s="115">
        <v>12</v>
      </c>
      <c r="Q16" s="103">
        <v>372.50000000000017</v>
      </c>
    </row>
    <row r="17" spans="1:17" x14ac:dyDescent="0.4">
      <c r="A17" s="50" t="s">
        <v>123</v>
      </c>
      <c r="B17" s="43">
        <f>B23</f>
        <v>266</v>
      </c>
      <c r="C17" s="35">
        <f>IF(B$15=0,0,B17/B$15)</f>
        <v>0.58333333333333337</v>
      </c>
      <c r="E17" s="59" t="s">
        <v>81</v>
      </c>
      <c r="F17" s="56" t="s">
        <v>36</v>
      </c>
      <c r="G17" s="44">
        <v>9</v>
      </c>
      <c r="H17" s="129">
        <f>IF(B$19=0,0,G17/B$19)</f>
        <v>1.5228426395939087E-2</v>
      </c>
      <c r="I17" s="90">
        <v>8</v>
      </c>
      <c r="K17" s="36">
        <v>15</v>
      </c>
      <c r="L17" s="95">
        <v>269.49999999999994</v>
      </c>
      <c r="N17" s="111" t="s">
        <v>194</v>
      </c>
      <c r="O17" s="121">
        <f t="shared" si="2"/>
        <v>28.71200000000001</v>
      </c>
      <c r="P17" s="115">
        <v>25</v>
      </c>
      <c r="Q17" s="103">
        <v>717.8000000000003</v>
      </c>
    </row>
    <row r="18" spans="1:17" x14ac:dyDescent="0.4">
      <c r="A18" s="50" t="s">
        <v>124</v>
      </c>
      <c r="B18" s="43">
        <f>B24</f>
        <v>200</v>
      </c>
      <c r="C18" s="35">
        <f>IF(B$16=0,0,B18/B$16)</f>
        <v>0.48426150121065376</v>
      </c>
      <c r="E18" s="59" t="s">
        <v>91</v>
      </c>
      <c r="F18" s="56" t="s">
        <v>46</v>
      </c>
      <c r="G18" s="44">
        <v>6</v>
      </c>
      <c r="H18" s="129">
        <f>IF(B$19=0,0,G18/B$19)</f>
        <v>1.015228426395939E-2</v>
      </c>
      <c r="I18" s="90">
        <v>8</v>
      </c>
      <c r="K18" s="36">
        <v>16</v>
      </c>
      <c r="L18" s="95">
        <v>323.69999999999993</v>
      </c>
      <c r="N18" s="111" t="s">
        <v>171</v>
      </c>
      <c r="O18" s="121">
        <f t="shared" si="2"/>
        <v>15.939999999999998</v>
      </c>
      <c r="P18" s="115">
        <v>65</v>
      </c>
      <c r="Q18" s="103">
        <v>1036.0999999999999</v>
      </c>
    </row>
    <row r="19" spans="1:17" x14ac:dyDescent="0.4">
      <c r="A19" s="50" t="s">
        <v>10</v>
      </c>
      <c r="B19" s="43">
        <f>B22+B21</f>
        <v>591</v>
      </c>
      <c r="C19" s="35">
        <f>IF(B$3=0,0,B19/B$3)</f>
        <v>0.34300638421358098</v>
      </c>
      <c r="E19" s="59" t="s">
        <v>92</v>
      </c>
      <c r="F19" s="56" t="s">
        <v>47</v>
      </c>
      <c r="G19" s="44">
        <v>6</v>
      </c>
      <c r="H19" s="129">
        <f>IF(B$19=0,0,G19/B$19)</f>
        <v>1.015228426395939E-2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14.178151260504206</v>
      </c>
      <c r="P19" s="115">
        <v>119</v>
      </c>
      <c r="Q19" s="103">
        <v>1687.2000000000005</v>
      </c>
    </row>
    <row r="20" spans="1:17" x14ac:dyDescent="0.4">
      <c r="A20" s="51" t="s">
        <v>13</v>
      </c>
      <c r="B20" s="44">
        <v>213</v>
      </c>
      <c r="C20" s="37">
        <f>IF(B$3=0,0,B20/B$3)</f>
        <v>0.12362159024956472</v>
      </c>
      <c r="E20" s="59" t="s">
        <v>75</v>
      </c>
      <c r="F20" s="56" t="s">
        <v>30</v>
      </c>
      <c r="G20" s="44">
        <v>5</v>
      </c>
      <c r="H20" s="129">
        <f>IF(B$19=0,0,G20/B$19)</f>
        <v>8.4602368866328256E-3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 t="shared" si="2"/>
        <v>13.116666666666665</v>
      </c>
      <c r="P20" s="115">
        <v>42</v>
      </c>
      <c r="Q20" s="103">
        <v>550.9</v>
      </c>
    </row>
    <row r="21" spans="1:17" x14ac:dyDescent="0.4">
      <c r="A21" s="51" t="s">
        <v>12</v>
      </c>
      <c r="B21" s="44">
        <v>248</v>
      </c>
      <c r="C21" s="37">
        <f>IF(B$19=0,0,B21/B$19)</f>
        <v>0.41962774957698817</v>
      </c>
      <c r="E21" s="59" t="s">
        <v>79</v>
      </c>
      <c r="F21" s="56" t="s">
        <v>34</v>
      </c>
      <c r="G21" s="44">
        <v>4</v>
      </c>
      <c r="H21" s="129">
        <f>IF(B$19=0,0,G21/B$19)</f>
        <v>6.7681895093062603E-3</v>
      </c>
      <c r="I21" s="90">
        <v>9</v>
      </c>
      <c r="K21" s="36">
        <v>19</v>
      </c>
      <c r="L21" s="95">
        <v>383.19999999999993</v>
      </c>
      <c r="N21" s="111" t="s">
        <v>206</v>
      </c>
      <c r="O21" s="121">
        <f t="shared" si="2"/>
        <v>12.803896103896106</v>
      </c>
      <c r="P21" s="115">
        <v>77</v>
      </c>
      <c r="Q21" s="103">
        <v>985.9000000000002</v>
      </c>
    </row>
    <row r="22" spans="1:17" x14ac:dyDescent="0.4">
      <c r="A22" s="51" t="s">
        <v>11</v>
      </c>
      <c r="B22" s="44">
        <v>343</v>
      </c>
      <c r="C22" s="37">
        <f>IF(B$19=0,0,B22/B$19)</f>
        <v>0.58037225042301188</v>
      </c>
      <c r="E22" s="59" t="s">
        <v>85</v>
      </c>
      <c r="F22" s="56" t="s">
        <v>40</v>
      </c>
      <c r="G22" s="44">
        <v>4</v>
      </c>
      <c r="H22" s="129">
        <f>IF(B$19=0,0,G22/B$19)</f>
        <v>6.7681895093062603E-3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 t="shared" si="2"/>
        <v>5.9014925373134313</v>
      </c>
      <c r="P22" s="115">
        <v>67</v>
      </c>
      <c r="Q22" s="103">
        <v>395.39999999999992</v>
      </c>
    </row>
    <row r="23" spans="1:17" x14ac:dyDescent="0.4">
      <c r="A23" s="51" t="s">
        <v>192</v>
      </c>
      <c r="B23" s="44">
        <v>266</v>
      </c>
      <c r="C23" s="37">
        <f>IF(B$19=0,0,B23/B$19)</f>
        <v>0.45008460236886633</v>
      </c>
      <c r="E23" s="59" t="s">
        <v>77</v>
      </c>
      <c r="F23" s="56" t="s">
        <v>32</v>
      </c>
      <c r="G23" s="44">
        <v>3</v>
      </c>
      <c r="H23" s="129">
        <f>IF(B$19=0,0,G23/B$19)</f>
        <v>5.076142131979695E-3</v>
      </c>
      <c r="I23" s="90">
        <v>2</v>
      </c>
      <c r="K23" s="36">
        <v>21</v>
      </c>
      <c r="L23" s="95">
        <v>371.39999999999992</v>
      </c>
      <c r="N23" s="111" t="s">
        <v>243</v>
      </c>
      <c r="O23" s="121">
        <f t="shared" si="2"/>
        <v>-70.5</v>
      </c>
      <c r="P23" s="115">
        <v>1</v>
      </c>
      <c r="Q23" s="103">
        <v>-70.5</v>
      </c>
    </row>
    <row r="24" spans="1:17" x14ac:dyDescent="0.4">
      <c r="A24" s="51" t="s">
        <v>190</v>
      </c>
      <c r="B24" s="44">
        <v>200</v>
      </c>
      <c r="C24" s="37">
        <f>IF(B$19=0,0,B24/B$19)</f>
        <v>0.33840947546531303</v>
      </c>
      <c r="E24" s="59" t="s">
        <v>84</v>
      </c>
      <c r="F24" s="56" t="s">
        <v>39</v>
      </c>
      <c r="G24" s="44">
        <v>3</v>
      </c>
      <c r="H24" s="129">
        <f>IF(B$19=0,0,G24/B$19)</f>
        <v>5.076142131979695E-3</v>
      </c>
      <c r="I24" s="90">
        <v>2</v>
      </c>
      <c r="K24" s="36">
        <v>22</v>
      </c>
      <c r="L24" s="95">
        <v>414.2999999999999</v>
      </c>
    </row>
    <row r="25" spans="1:17" x14ac:dyDescent="0.4">
      <c r="A25" s="51" t="s">
        <v>191</v>
      </c>
      <c r="B25" s="44">
        <v>125</v>
      </c>
      <c r="C25" s="37">
        <f>IF(B$19=0,0,B25/B$19)</f>
        <v>0.21150592216582065</v>
      </c>
      <c r="E25" s="59" t="s">
        <v>74</v>
      </c>
      <c r="F25" s="56" t="s">
        <v>29</v>
      </c>
      <c r="G25" s="44">
        <v>2</v>
      </c>
      <c r="H25" s="129">
        <f>IF(B$19=0,0,G25/B$19)</f>
        <v>3.3840947546531302E-3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5</v>
      </c>
      <c r="B26" s="48">
        <f>IF(B$19=0,0,C26/B$19)</f>
        <v>8277.8341793570216</v>
      </c>
      <c r="C26" s="39">
        <v>4892200</v>
      </c>
      <c r="E26" s="59" t="s">
        <v>88</v>
      </c>
      <c r="F26" s="56" t="s">
        <v>43</v>
      </c>
      <c r="G26" s="44">
        <v>2</v>
      </c>
      <c r="H26" s="129">
        <f>IF(B$19=0,0,G26/B$19)</f>
        <v>3.3840947546531302E-3</v>
      </c>
      <c r="I26" s="90">
        <v>3</v>
      </c>
      <c r="K26" s="36">
        <v>24</v>
      </c>
      <c r="L26" s="95">
        <v>329.89999999999992</v>
      </c>
    </row>
    <row r="27" spans="1:17" x14ac:dyDescent="0.4">
      <c r="A27" s="52" t="s">
        <v>174</v>
      </c>
      <c r="B27" s="136">
        <f>IF($B$19-B$18=0,0,C27/($B$19-B$18))</f>
        <v>8850.3836317135556</v>
      </c>
      <c r="C27" s="137">
        <v>3460500</v>
      </c>
      <c r="E27" s="59" t="s">
        <v>95</v>
      </c>
      <c r="F27" s="56" t="s">
        <v>50</v>
      </c>
      <c r="G27" s="44">
        <v>2</v>
      </c>
      <c r="H27" s="129">
        <f>IF(B$19=0,0,G27/B$19)</f>
        <v>3.3840947546531302E-3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2" t="s">
        <v>175</v>
      </c>
      <c r="B28" s="136">
        <f>IF(B$18=0,0,C28/B$18)</f>
        <v>7158.5</v>
      </c>
      <c r="C28" s="137">
        <v>1431700</v>
      </c>
      <c r="E28" s="59" t="s">
        <v>87</v>
      </c>
      <c r="F28" s="56" t="s">
        <v>42</v>
      </c>
      <c r="G28" s="44">
        <v>1</v>
      </c>
      <c r="H28" s="129">
        <f>IF(B$19=0,0,G28/B$19)</f>
        <v>1.6920473773265651E-3</v>
      </c>
      <c r="I28" s="90">
        <v>6</v>
      </c>
      <c r="K28" s="36">
        <v>26</v>
      </c>
      <c r="L28" s="95">
        <v>329.29999999999995</v>
      </c>
    </row>
    <row r="29" spans="1:17" x14ac:dyDescent="0.4">
      <c r="A29" s="52" t="s">
        <v>173</v>
      </c>
      <c r="B29" s="136">
        <f>IF(B$20=0,0,C29/B$20)</f>
        <v>-7630.5164319248825</v>
      </c>
      <c r="C29" s="137">
        <v>-1625300</v>
      </c>
      <c r="E29" s="59" t="s">
        <v>90</v>
      </c>
      <c r="F29" s="56" t="s">
        <v>45</v>
      </c>
      <c r="G29" s="44">
        <v>1</v>
      </c>
      <c r="H29" s="129">
        <f>IF(B$19=0,0,G29/B$19)</f>
        <v>1.6920473773265651E-3</v>
      </c>
      <c r="I29" s="90">
        <v>4</v>
      </c>
      <c r="K29" s="36">
        <v>27</v>
      </c>
      <c r="L29" s="95">
        <v>362.4</v>
      </c>
    </row>
    <row r="30" spans="1:17" x14ac:dyDescent="0.4">
      <c r="A30" s="51" t="s">
        <v>164</v>
      </c>
      <c r="B30" s="44">
        <v>6</v>
      </c>
      <c r="C30" s="131">
        <v>0</v>
      </c>
      <c r="E30" s="59" t="s">
        <v>106</v>
      </c>
      <c r="F30" s="56" t="s">
        <v>113</v>
      </c>
      <c r="G30" s="44">
        <v>1</v>
      </c>
      <c r="H30" s="129">
        <f>IF(B$19=0,0,G30/B$19)</f>
        <v>1.6920473773265651E-3</v>
      </c>
      <c r="I30" s="90">
        <v>1</v>
      </c>
      <c r="K30" s="36">
        <v>28</v>
      </c>
      <c r="L30" s="95">
        <v>375.79999999999995</v>
      </c>
    </row>
    <row r="31" spans="1:17" x14ac:dyDescent="0.4">
      <c r="A31" s="51" t="s">
        <v>165</v>
      </c>
      <c r="B31" s="44">
        <v>43</v>
      </c>
      <c r="C31" s="131">
        <v>5</v>
      </c>
      <c r="E31" s="59" t="s">
        <v>73</v>
      </c>
      <c r="F31" s="56" t="s">
        <v>28</v>
      </c>
      <c r="G31" s="44">
        <v>0</v>
      </c>
      <c r="H31" s="129">
        <f>IF(B$19=0,0,G31/B$19)</f>
        <v>0</v>
      </c>
      <c r="I31" s="90">
        <v>6</v>
      </c>
      <c r="K31" s="36">
        <v>29</v>
      </c>
      <c r="L31" s="95">
        <v>381.09999999999997</v>
      </c>
    </row>
    <row r="32" spans="1:17" x14ac:dyDescent="0.4">
      <c r="A32" s="86" t="s">
        <v>138</v>
      </c>
      <c r="B32" s="150">
        <v>8</v>
      </c>
      <c r="C32" s="151"/>
      <c r="E32" s="59" t="s">
        <v>76</v>
      </c>
      <c r="F32" s="56" t="s">
        <v>31</v>
      </c>
      <c r="G32" s="44">
        <v>0</v>
      </c>
      <c r="H32" s="129">
        <f>IF(B$19=0,0,G32/B$19)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4" t="s">
        <v>189</v>
      </c>
      <c r="B33" s="148">
        <v>149100</v>
      </c>
      <c r="C33" s="149"/>
      <c r="E33" s="59" t="s">
        <v>80</v>
      </c>
      <c r="F33" s="56" t="s">
        <v>35</v>
      </c>
      <c r="G33" s="44">
        <v>0</v>
      </c>
      <c r="H33" s="129">
        <f>IF(B$19=0,0,G33/B$19)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3" t="s">
        <v>139</v>
      </c>
      <c r="B34" s="61">
        <v>2</v>
      </c>
      <c r="C34" s="40">
        <f>IF(B$3=0,0,B34/B$3)</f>
        <v>1.1607661056297156E-3</v>
      </c>
      <c r="E34" s="59" t="s">
        <v>82</v>
      </c>
      <c r="F34" s="56" t="s">
        <v>37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349.39999999999992</v>
      </c>
    </row>
    <row r="35" spans="1:12" x14ac:dyDescent="0.4">
      <c r="E35" s="59" t="s">
        <v>93</v>
      </c>
      <c r="F35" s="56" t="s">
        <v>48</v>
      </c>
      <c r="G35" s="44">
        <v>0</v>
      </c>
      <c r="H35" s="129">
        <f>IF(B$19=0,0,G35/B$19)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86" t="s">
        <v>180</v>
      </c>
      <c r="B36" s="144">
        <v>55</v>
      </c>
      <c r="C36" s="141">
        <f t="shared" ref="C36:C48" si="3">IF(B$19=0,0,B36/B$19)</f>
        <v>9.3062605752961089E-2</v>
      </c>
      <c r="E36" s="59" t="s">
        <v>94</v>
      </c>
      <c r="F36" s="56" t="s">
        <v>49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176</v>
      </c>
      <c r="B37" s="44">
        <v>109</v>
      </c>
      <c r="C37" s="37">
        <f t="shared" si="3"/>
        <v>0.18443316412859559</v>
      </c>
      <c r="E37" s="59" t="s">
        <v>96</v>
      </c>
      <c r="F37" s="56" t="s">
        <v>51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177</v>
      </c>
      <c r="B38" s="145">
        <v>116</v>
      </c>
      <c r="C38" s="37">
        <f t="shared" si="3"/>
        <v>0.19627749576988154</v>
      </c>
      <c r="E38" s="59" t="s">
        <v>97</v>
      </c>
      <c r="F38" s="56" t="s">
        <v>52</v>
      </c>
      <c r="G38" s="44">
        <v>0</v>
      </c>
      <c r="H38" s="129">
        <f>IF(B$19=0,0,G38/B$19)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178</v>
      </c>
      <c r="B39" s="145">
        <v>106</v>
      </c>
      <c r="C39" s="37">
        <f t="shared" si="3"/>
        <v>0.17935702199661591</v>
      </c>
      <c r="E39" s="59" t="s">
        <v>98</v>
      </c>
      <c r="F39" s="56" t="s">
        <v>53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179</v>
      </c>
      <c r="B40" s="145">
        <v>86</v>
      </c>
      <c r="C40" s="37">
        <f t="shared" si="3"/>
        <v>0.1455160744500846</v>
      </c>
      <c r="E40" s="59" t="s">
        <v>99</v>
      </c>
      <c r="F40" s="56" t="s">
        <v>54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181</v>
      </c>
      <c r="B41" s="145">
        <v>56</v>
      </c>
      <c r="C41" s="37">
        <f t="shared" si="3"/>
        <v>9.475465313028765E-2</v>
      </c>
      <c r="E41" s="59" t="s">
        <v>100</v>
      </c>
      <c r="F41" s="56" t="s">
        <v>55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182</v>
      </c>
      <c r="B42" s="145">
        <v>27</v>
      </c>
      <c r="C42" s="37">
        <f t="shared" si="3"/>
        <v>4.5685279187817257E-2</v>
      </c>
      <c r="E42" s="59" t="s">
        <v>101</v>
      </c>
      <c r="F42" s="56" t="s">
        <v>56</v>
      </c>
      <c r="G42" s="44">
        <v>0</v>
      </c>
      <c r="H42" s="129">
        <f>IF(B$19=0,0,G42/B$19)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183</v>
      </c>
      <c r="B43" s="145">
        <v>12</v>
      </c>
      <c r="C43" s="37">
        <f t="shared" si="3"/>
        <v>2.030456852791878E-2</v>
      </c>
      <c r="E43" s="59" t="s">
        <v>102</v>
      </c>
      <c r="F43" s="56" t="s">
        <v>57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1" t="s">
        <v>184</v>
      </c>
      <c r="B44" s="145">
        <v>11</v>
      </c>
      <c r="C44" s="37">
        <f t="shared" si="3"/>
        <v>1.8612521150592216E-2</v>
      </c>
      <c r="E44" s="59" t="s">
        <v>103</v>
      </c>
      <c r="F44" s="56" t="s">
        <v>58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A45" s="51" t="s">
        <v>185</v>
      </c>
      <c r="B45" s="145">
        <v>3</v>
      </c>
      <c r="C45" s="37">
        <f t="shared" si="3"/>
        <v>5.076142131979695E-3</v>
      </c>
      <c r="E45" s="59" t="s">
        <v>104</v>
      </c>
      <c r="F45" s="56" t="s">
        <v>59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A46" s="51" t="s">
        <v>186</v>
      </c>
      <c r="B46" s="145">
        <v>0</v>
      </c>
      <c r="C46" s="37">
        <f t="shared" si="3"/>
        <v>0</v>
      </c>
      <c r="E46" s="59" t="s">
        <v>105</v>
      </c>
      <c r="F46" s="56" t="s">
        <v>112</v>
      </c>
      <c r="G46" s="44">
        <v>0</v>
      </c>
      <c r="H46" s="129">
        <f>IF(B$19=0,0,G46/B$19)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A47" s="51" t="s">
        <v>187</v>
      </c>
      <c r="B47" s="145">
        <v>1</v>
      </c>
      <c r="C47" s="37">
        <f t="shared" si="3"/>
        <v>1.6920473773265651E-3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A48" s="53" t="s">
        <v>188</v>
      </c>
      <c r="B48" s="140">
        <v>9</v>
      </c>
      <c r="C48" s="40">
        <f t="shared" si="3"/>
        <v>1.5228426395939087E-2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  <row r="166" spans="11:12" x14ac:dyDescent="0.4">
      <c r="K166" s="36">
        <v>164</v>
      </c>
      <c r="L166" s="95">
        <v>1402.2</v>
      </c>
    </row>
    <row r="167" spans="11:12" x14ac:dyDescent="0.4">
      <c r="K167" s="36">
        <v>165</v>
      </c>
      <c r="L167" s="95">
        <v>1432.4</v>
      </c>
    </row>
    <row r="168" spans="11:12" x14ac:dyDescent="0.4">
      <c r="K168" s="36">
        <v>166</v>
      </c>
      <c r="L168" s="95">
        <v>1454.5</v>
      </c>
    </row>
    <row r="169" spans="11:12" x14ac:dyDescent="0.4">
      <c r="K169" s="36">
        <v>167</v>
      </c>
      <c r="L169" s="95">
        <v>1408.3</v>
      </c>
    </row>
    <row r="170" spans="11:12" x14ac:dyDescent="0.4">
      <c r="K170" s="36">
        <v>168</v>
      </c>
      <c r="L170" s="95">
        <v>1434.6</v>
      </c>
    </row>
    <row r="171" spans="11:12" x14ac:dyDescent="0.4">
      <c r="K171" s="36">
        <v>169</v>
      </c>
      <c r="L171" s="95">
        <v>1474.3999999999999</v>
      </c>
    </row>
    <row r="172" spans="11:12" x14ac:dyDescent="0.4">
      <c r="K172" s="36">
        <v>170</v>
      </c>
      <c r="L172" s="95">
        <v>1472.4999999999998</v>
      </c>
    </row>
    <row r="173" spans="11:12" x14ac:dyDescent="0.4">
      <c r="K173" s="36">
        <v>171</v>
      </c>
      <c r="L173" s="95">
        <v>1533.2999999999997</v>
      </c>
    </row>
    <row r="174" spans="11:12" x14ac:dyDescent="0.4">
      <c r="K174" s="36">
        <v>172</v>
      </c>
      <c r="L174" s="95">
        <v>1535.2999999999997</v>
      </c>
    </row>
    <row r="175" spans="11:12" x14ac:dyDescent="0.4">
      <c r="K175" s="36">
        <v>173</v>
      </c>
      <c r="L175" s="95">
        <v>1503.0999999999997</v>
      </c>
    </row>
    <row r="176" spans="11:12" x14ac:dyDescent="0.4">
      <c r="K176" s="36">
        <v>174</v>
      </c>
      <c r="L176" s="95">
        <v>1548.2999999999997</v>
      </c>
    </row>
    <row r="177" spans="11:12" x14ac:dyDescent="0.4">
      <c r="K177" s="36">
        <v>175</v>
      </c>
      <c r="L177" s="95">
        <v>1535.7999999999997</v>
      </c>
    </row>
    <row r="178" spans="11:12" x14ac:dyDescent="0.4">
      <c r="K178" s="36">
        <v>176</v>
      </c>
      <c r="L178" s="95">
        <v>1564.5999999999997</v>
      </c>
    </row>
    <row r="179" spans="11:12" x14ac:dyDescent="0.4">
      <c r="K179" s="36">
        <v>177</v>
      </c>
      <c r="L179" s="95">
        <v>1537.1999999999996</v>
      </c>
    </row>
    <row r="180" spans="11:12" x14ac:dyDescent="0.4">
      <c r="K180" s="36">
        <v>178</v>
      </c>
      <c r="L180" s="95">
        <v>1526.1999999999996</v>
      </c>
    </row>
    <row r="181" spans="11:12" x14ac:dyDescent="0.4">
      <c r="K181" s="36">
        <v>179</v>
      </c>
      <c r="L181" s="95">
        <v>1554.0999999999997</v>
      </c>
    </row>
    <row r="182" spans="11:12" x14ac:dyDescent="0.4">
      <c r="K182" s="36">
        <v>180</v>
      </c>
      <c r="L182" s="95">
        <v>1553.2999999999997</v>
      </c>
    </row>
    <row r="183" spans="11:12" x14ac:dyDescent="0.4">
      <c r="K183" s="36">
        <v>181</v>
      </c>
      <c r="L183" s="95">
        <v>1552.9999999999998</v>
      </c>
    </row>
    <row r="184" spans="11:12" x14ac:dyDescent="0.4">
      <c r="K184" s="36">
        <v>182</v>
      </c>
      <c r="L184" s="95">
        <v>1600.4999999999998</v>
      </c>
    </row>
    <row r="185" spans="11:12" x14ac:dyDescent="0.4">
      <c r="K185" s="36">
        <v>183</v>
      </c>
      <c r="L185" s="95">
        <v>1578.4999999999998</v>
      </c>
    </row>
    <row r="186" spans="11:12" x14ac:dyDescent="0.4">
      <c r="K186" s="36">
        <v>184</v>
      </c>
      <c r="L186" s="95">
        <v>1553.9999999999998</v>
      </c>
    </row>
    <row r="187" spans="11:12" x14ac:dyDescent="0.4">
      <c r="K187" s="36">
        <v>185</v>
      </c>
      <c r="L187" s="95">
        <v>1594.7999999999997</v>
      </c>
    </row>
    <row r="188" spans="11:12" x14ac:dyDescent="0.4">
      <c r="K188" s="36">
        <v>186</v>
      </c>
      <c r="L188" s="95">
        <v>1635.9999999999998</v>
      </c>
    </row>
    <row r="189" spans="11:12" x14ac:dyDescent="0.4">
      <c r="K189" s="36">
        <v>187</v>
      </c>
      <c r="L189" s="95">
        <v>1628.2999999999997</v>
      </c>
    </row>
    <row r="190" spans="11:12" x14ac:dyDescent="0.4">
      <c r="K190" s="36">
        <v>188</v>
      </c>
      <c r="L190" s="95">
        <v>1659.9999999999998</v>
      </c>
    </row>
    <row r="191" spans="11:12" x14ac:dyDescent="0.4">
      <c r="K191" s="36">
        <v>189</v>
      </c>
      <c r="L191" s="95">
        <v>1692.1999999999998</v>
      </c>
    </row>
    <row r="192" spans="11:12" x14ac:dyDescent="0.4">
      <c r="K192" s="36">
        <v>190</v>
      </c>
      <c r="L192" s="95">
        <v>1689.2999999999997</v>
      </c>
    </row>
    <row r="193" spans="11:12" x14ac:dyDescent="0.4">
      <c r="K193" s="36">
        <v>191</v>
      </c>
      <c r="L193" s="95">
        <v>1721.2999999999997</v>
      </c>
    </row>
    <row r="194" spans="11:12" x14ac:dyDescent="0.4">
      <c r="K194" s="36">
        <v>192</v>
      </c>
      <c r="L194" s="95">
        <v>1762.7999999999997</v>
      </c>
    </row>
    <row r="195" spans="11:12" x14ac:dyDescent="0.4">
      <c r="K195" s="36">
        <v>193</v>
      </c>
      <c r="L195" s="95">
        <v>1799.3999999999996</v>
      </c>
    </row>
    <row r="196" spans="11:12" x14ac:dyDescent="0.4">
      <c r="K196" s="36">
        <v>194</v>
      </c>
      <c r="L196" s="95">
        <v>1831.2999999999997</v>
      </c>
    </row>
    <row r="197" spans="11:12" x14ac:dyDescent="0.4">
      <c r="K197" s="36">
        <v>195</v>
      </c>
      <c r="L197" s="95">
        <v>1872.7999999999997</v>
      </c>
    </row>
    <row r="198" spans="11:12" x14ac:dyDescent="0.4">
      <c r="K198" s="36">
        <v>196</v>
      </c>
      <c r="L198" s="95">
        <v>1834.0999999999997</v>
      </c>
    </row>
    <row r="199" spans="11:12" x14ac:dyDescent="0.4">
      <c r="K199" s="36">
        <v>197</v>
      </c>
      <c r="L199" s="95">
        <v>1788.5999999999997</v>
      </c>
    </row>
    <row r="200" spans="11:12" x14ac:dyDescent="0.4">
      <c r="K200" s="36">
        <v>198</v>
      </c>
      <c r="L200" s="95">
        <v>1804.7999999999997</v>
      </c>
    </row>
    <row r="201" spans="11:12" x14ac:dyDescent="0.4">
      <c r="K201" s="36">
        <v>199</v>
      </c>
      <c r="L201" s="95">
        <v>1806.0999999999997</v>
      </c>
    </row>
    <row r="202" spans="11:12" x14ac:dyDescent="0.4">
      <c r="K202" s="36">
        <v>200</v>
      </c>
      <c r="L202" s="95">
        <v>1830.1999999999996</v>
      </c>
    </row>
    <row r="203" spans="11:12" x14ac:dyDescent="0.4">
      <c r="K203" s="36">
        <v>201</v>
      </c>
      <c r="L203" s="95">
        <v>1812.7999999999995</v>
      </c>
    </row>
    <row r="204" spans="11:12" x14ac:dyDescent="0.4">
      <c r="K204" s="36">
        <v>202</v>
      </c>
      <c r="L204" s="95">
        <v>1853.4999999999995</v>
      </c>
    </row>
    <row r="205" spans="11:12" x14ac:dyDescent="0.4">
      <c r="K205" s="36">
        <v>203</v>
      </c>
      <c r="L205" s="95">
        <v>1867.4999999999995</v>
      </c>
    </row>
    <row r="206" spans="11:12" x14ac:dyDescent="0.4">
      <c r="K206" s="36">
        <v>204</v>
      </c>
      <c r="L206" s="95">
        <v>1934.3999999999996</v>
      </c>
    </row>
    <row r="207" spans="11:12" x14ac:dyDescent="0.4">
      <c r="K207" s="36">
        <v>205</v>
      </c>
      <c r="L207" s="95">
        <v>1937.5999999999997</v>
      </c>
    </row>
    <row r="208" spans="11:12" x14ac:dyDescent="0.4">
      <c r="K208" s="36">
        <v>206</v>
      </c>
      <c r="L208" s="95">
        <v>1937.2999999999997</v>
      </c>
    </row>
    <row r="209" spans="11:12" x14ac:dyDescent="0.4">
      <c r="K209" s="36">
        <v>207</v>
      </c>
      <c r="L209" s="95">
        <v>1977.1999999999998</v>
      </c>
    </row>
  </sheetData>
  <sortState xmlns:xlrd2="http://schemas.microsoft.com/office/spreadsheetml/2017/richdata2" ref="E2:I21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18EE3-DCA9-4391-8CE6-DE25C86D5E97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127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179</v>
      </c>
      <c r="C2" s="157"/>
      <c r="E2" s="58" t="s">
        <v>66</v>
      </c>
      <c r="F2" s="55" t="s">
        <v>22</v>
      </c>
      <c r="G2" s="43">
        <v>349</v>
      </c>
      <c r="H2" s="128">
        <f>IF(B$19=0,0,G2/B$19)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-1120.3389830508474</v>
      </c>
      <c r="P2" s="114">
        <v>177</v>
      </c>
      <c r="Q2" s="98">
        <v>-198300</v>
      </c>
    </row>
    <row r="3" spans="1:17" x14ac:dyDescent="0.4">
      <c r="A3" s="51" t="s">
        <v>8</v>
      </c>
      <c r="B3" s="158">
        <v>1491</v>
      </c>
      <c r="C3" s="159"/>
      <c r="E3" s="59" t="s">
        <v>72</v>
      </c>
      <c r="F3" s="56" t="s">
        <v>27</v>
      </c>
      <c r="G3" s="44">
        <v>267</v>
      </c>
      <c r="H3" s="129">
        <f>IF(B$19=0,0,G3/B$19)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1104.0229885057472</v>
      </c>
      <c r="P3" s="115">
        <v>174</v>
      </c>
      <c r="Q3" s="99">
        <v>192100</v>
      </c>
    </row>
    <row r="4" spans="1:17" x14ac:dyDescent="0.4">
      <c r="A4" s="51" t="s">
        <v>6</v>
      </c>
      <c r="B4" s="160">
        <v>-101.70000000000022</v>
      </c>
      <c r="C4" s="161"/>
      <c r="E4" s="59" t="s">
        <v>166</v>
      </c>
      <c r="F4" s="56" t="s">
        <v>167</v>
      </c>
      <c r="G4" s="44">
        <v>191</v>
      </c>
      <c r="H4" s="129">
        <f>IF(B$19=0,0,G4/B$19)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-244.44444444444446</v>
      </c>
      <c r="P4" s="115">
        <v>162</v>
      </c>
      <c r="Q4" s="99">
        <v>-39600</v>
      </c>
    </row>
    <row r="5" spans="1:17" x14ac:dyDescent="0.4">
      <c r="A5" s="51" t="s">
        <v>7</v>
      </c>
      <c r="B5" s="162">
        <f>IF(B$2=0,0,B$4/B$2)</f>
        <v>-0.56815642458100679</v>
      </c>
      <c r="C5" s="163"/>
      <c r="E5" s="59" t="s">
        <v>64</v>
      </c>
      <c r="F5" s="56" t="s">
        <v>20</v>
      </c>
      <c r="G5" s="44">
        <v>174</v>
      </c>
      <c r="H5" s="129">
        <f>IF(B$19=0,0,G5/B$19)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102.59740259740259</v>
      </c>
      <c r="P5" s="115">
        <v>154</v>
      </c>
      <c r="Q5" s="99">
        <v>15800</v>
      </c>
    </row>
    <row r="6" spans="1:17" x14ac:dyDescent="0.4">
      <c r="A6" s="51" t="s">
        <v>1</v>
      </c>
      <c r="B6" s="152">
        <f>IF(B$2=0,0,(B$7*1+B$8*2+B$9*3)/B$2)</f>
        <v>1.988826815642458</v>
      </c>
      <c r="C6" s="153"/>
      <c r="E6" s="59" t="s">
        <v>68</v>
      </c>
      <c r="F6" s="56" t="s">
        <v>12</v>
      </c>
      <c r="G6" s="44">
        <v>127</v>
      </c>
      <c r="H6" s="129">
        <f>IF(B$19=0,0,G6/B$19)</f>
        <v>0.27194860813704497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-1502.127659574468</v>
      </c>
      <c r="P6" s="115">
        <v>141</v>
      </c>
      <c r="Q6" s="99">
        <v>-211800</v>
      </c>
    </row>
    <row r="7" spans="1:17" x14ac:dyDescent="0.4">
      <c r="A7" s="51" t="s">
        <v>2</v>
      </c>
      <c r="B7" s="44">
        <v>60</v>
      </c>
      <c r="C7" s="37">
        <f t="shared" ref="C7:C14" si="1">IF(B$2=0,0,B7/B$2)</f>
        <v>0.33519553072625696</v>
      </c>
      <c r="E7" s="59" t="s">
        <v>67</v>
      </c>
      <c r="F7" s="56" t="s">
        <v>23</v>
      </c>
      <c r="G7" s="44">
        <v>94</v>
      </c>
      <c r="H7" s="129">
        <f>IF(B$19=0,0,G7/B$19)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 x14ac:dyDescent="0.4">
      <c r="A8" s="51" t="s">
        <v>3</v>
      </c>
      <c r="B8" s="44">
        <v>61</v>
      </c>
      <c r="C8" s="37">
        <f t="shared" si="1"/>
        <v>0.34078212290502791</v>
      </c>
      <c r="E8" s="59" t="s">
        <v>69</v>
      </c>
      <c r="F8" s="56" t="s">
        <v>24</v>
      </c>
      <c r="G8" s="44">
        <v>51</v>
      </c>
      <c r="H8" s="129">
        <f>IF(B$19=0,0,G8/B$19)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58</v>
      </c>
      <c r="C9" s="38">
        <f t="shared" si="1"/>
        <v>0.32402234636871508</v>
      </c>
      <c r="E9" s="59" t="s">
        <v>89</v>
      </c>
      <c r="F9" s="56" t="s">
        <v>44</v>
      </c>
      <c r="G9" s="44">
        <v>49</v>
      </c>
      <c r="H9" s="129">
        <f>IF(B$19=0,0,G9/B$19)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35.055000000000021</v>
      </c>
      <c r="C10" s="147">
        <v>2103.3000000000011</v>
      </c>
      <c r="E10" s="59" t="s">
        <v>70</v>
      </c>
      <c r="F10" s="56" t="s">
        <v>25</v>
      </c>
      <c r="G10" s="44">
        <v>45</v>
      </c>
      <c r="H10" s="129">
        <f>IF(B$19=0,0,G10/B$19)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-0.99642857142857111</v>
      </c>
      <c r="P10" s="114">
        <v>56</v>
      </c>
      <c r="Q10" s="102">
        <v>-55.799999999999983</v>
      </c>
    </row>
    <row r="11" spans="1:17" x14ac:dyDescent="0.4">
      <c r="A11" s="52" t="s">
        <v>200</v>
      </c>
      <c r="B11" s="146">
        <f>IF(B8=0,0,C11/B8)</f>
        <v>-1.0278688524590165</v>
      </c>
      <c r="C11" s="147">
        <v>-62.7</v>
      </c>
      <c r="E11" s="59" t="s">
        <v>71</v>
      </c>
      <c r="F11" s="56" t="s">
        <v>26</v>
      </c>
      <c r="G11" s="44">
        <v>42</v>
      </c>
      <c r="H11" s="129">
        <f>IF(B$19=0,0,G11/B$19)</f>
        <v>8.9935760171306209E-2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">
      <c r="A12" s="52" t="s">
        <v>201</v>
      </c>
      <c r="B12" s="146">
        <f>IF(B9=0,0,C12/B9)</f>
        <v>-36.936206896551717</v>
      </c>
      <c r="C12" s="147">
        <v>-2142.2999999999997</v>
      </c>
      <c r="E12" s="59" t="s">
        <v>65</v>
      </c>
      <c r="F12" s="56" t="s">
        <v>21</v>
      </c>
      <c r="G12" s="44">
        <v>35</v>
      </c>
      <c r="H12" s="129">
        <f>IF(B$19=0,0,G12/B$19)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">
      <c r="A13" s="52" t="s">
        <v>202</v>
      </c>
      <c r="B13" s="162">
        <f>AVERAGE(B10:B12)</f>
        <v>-0.96969191633690366</v>
      </c>
      <c r="C13" s="163"/>
      <c r="E13" s="59" t="s">
        <v>86</v>
      </c>
      <c r="F13" s="56" t="s">
        <v>41</v>
      </c>
      <c r="G13" s="44">
        <v>26</v>
      </c>
      <c r="H13" s="129">
        <f>IF(B$19=0,0,G13/B$19)</f>
        <v>5.5674518201284794E-2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19</v>
      </c>
      <c r="C14" s="40">
        <f t="shared" si="1"/>
        <v>0.10614525139664804</v>
      </c>
      <c r="E14" s="59" t="s">
        <v>83</v>
      </c>
      <c r="F14" s="56" t="s">
        <v>38</v>
      </c>
      <c r="G14" s="44">
        <v>22</v>
      </c>
      <c r="H14" s="129">
        <f>IF(B$19=0,0,G14/B$19)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342</v>
      </c>
      <c r="C15" s="42">
        <f>IF(B$3=0,0,B15/B$3)</f>
        <v>0.22937625754527163</v>
      </c>
      <c r="E15" s="59" t="s">
        <v>78</v>
      </c>
      <c r="F15" s="56" t="s">
        <v>33</v>
      </c>
      <c r="G15" s="44">
        <v>18</v>
      </c>
      <c r="H15" s="129">
        <f>IF(B$19=0,0,G15/B$19)</f>
        <v>3.8543897216274089E-2</v>
      </c>
      <c r="I15" s="90">
        <v>3</v>
      </c>
      <c r="K15" s="36">
        <v>13</v>
      </c>
      <c r="L15" s="95">
        <v>-86.8</v>
      </c>
      <c r="N15" s="110" t="s">
        <v>219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">
      <c r="A16" s="51" t="s">
        <v>118</v>
      </c>
      <c r="B16" s="44">
        <v>446</v>
      </c>
      <c r="C16" s="37">
        <f>IF(B$3=0,0,B16/B$3)</f>
        <v>0.29912810194500333</v>
      </c>
      <c r="E16" s="59" t="s">
        <v>91</v>
      </c>
      <c r="F16" s="56" t="s">
        <v>46</v>
      </c>
      <c r="G16" s="44">
        <v>14</v>
      </c>
      <c r="H16" s="129">
        <f>IF(B$19=0,0,G16/B$19)</f>
        <v>2.9978586723768737E-2</v>
      </c>
      <c r="I16" s="90">
        <v>2</v>
      </c>
      <c r="K16" s="36">
        <v>14</v>
      </c>
      <c r="L16" s="95">
        <v>-138.4</v>
      </c>
      <c r="N16" s="111" t="s">
        <v>193</v>
      </c>
      <c r="O16" s="121">
        <f t="shared" si="2"/>
        <v>21.862499999999997</v>
      </c>
      <c r="P16" s="115">
        <v>8</v>
      </c>
      <c r="Q16" s="103">
        <v>174.89999999999998</v>
      </c>
    </row>
    <row r="17" spans="1:17" x14ac:dyDescent="0.4">
      <c r="A17" s="50" t="s">
        <v>123</v>
      </c>
      <c r="B17" s="43">
        <f>B23</f>
        <v>174</v>
      </c>
      <c r="C17" s="35">
        <f>IF(B$15=0,0,B17/B$15)</f>
        <v>0.50877192982456143</v>
      </c>
      <c r="E17" s="59" t="s">
        <v>81</v>
      </c>
      <c r="F17" s="56" t="s">
        <v>36</v>
      </c>
      <c r="G17" s="44">
        <v>11</v>
      </c>
      <c r="H17" s="129">
        <f>IF(B$19=0,0,G17/B$19)</f>
        <v>2.3554603854389723E-2</v>
      </c>
      <c r="I17" s="90">
        <v>4</v>
      </c>
      <c r="K17" s="36">
        <v>15</v>
      </c>
      <c r="L17" s="95">
        <v>-144.30000000000001</v>
      </c>
      <c r="N17" s="111" t="s">
        <v>171</v>
      </c>
      <c r="O17" s="121">
        <f t="shared" si="2"/>
        <v>18.434693877551016</v>
      </c>
      <c r="P17" s="115">
        <v>49</v>
      </c>
      <c r="Q17" s="103">
        <v>903.29999999999973</v>
      </c>
    </row>
    <row r="18" spans="1:17" x14ac:dyDescent="0.4">
      <c r="A18" s="50" t="s">
        <v>124</v>
      </c>
      <c r="B18" s="43">
        <f>B24</f>
        <v>176</v>
      </c>
      <c r="C18" s="35">
        <f>IF(B$16=0,0,B18/B$16)</f>
        <v>0.39461883408071746</v>
      </c>
      <c r="E18" s="59" t="s">
        <v>79</v>
      </c>
      <c r="F18" s="56" t="s">
        <v>34</v>
      </c>
      <c r="G18" s="44">
        <v>8</v>
      </c>
      <c r="H18" s="129">
        <f>IF(B$19=0,0,G18/B$19)</f>
        <v>1.7130620985010708E-2</v>
      </c>
      <c r="I18" s="90">
        <v>5</v>
      </c>
      <c r="K18" s="36">
        <v>16</v>
      </c>
      <c r="L18" s="95">
        <v>-187.3</v>
      </c>
      <c r="N18" s="111" t="s">
        <v>194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 x14ac:dyDescent="0.4">
      <c r="A19" s="50" t="s">
        <v>10</v>
      </c>
      <c r="B19" s="43">
        <f>B22+B21</f>
        <v>467</v>
      </c>
      <c r="C19" s="35">
        <f>IF(B$3=0,0,B19/B$3)</f>
        <v>0.31321260898725689</v>
      </c>
      <c r="E19" s="59" t="s">
        <v>162</v>
      </c>
      <c r="F19" s="56" t="s">
        <v>163</v>
      </c>
      <c r="G19" s="44">
        <v>5</v>
      </c>
      <c r="H19" s="129">
        <f>IF(B$19=0,0,G19/B$19)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 x14ac:dyDescent="0.4">
      <c r="A20" s="51" t="s">
        <v>13</v>
      </c>
      <c r="B20" s="44">
        <v>264</v>
      </c>
      <c r="C20" s="37">
        <f>IF(B$3=0,0,B20/B$3)</f>
        <v>0.17706237424547283</v>
      </c>
      <c r="E20" s="59" t="s">
        <v>92</v>
      </c>
      <c r="F20" s="56" t="s">
        <v>47</v>
      </c>
      <c r="G20" s="44">
        <v>3</v>
      </c>
      <c r="H20" s="129">
        <f>IF(B$19=0,0,G20/B$19)</f>
        <v>6.4239828693790149E-3</v>
      </c>
      <c r="I20" s="90">
        <v>6</v>
      </c>
      <c r="K20" s="36">
        <v>18</v>
      </c>
      <c r="L20" s="95">
        <v>-112.90000000000002</v>
      </c>
      <c r="N20" s="111" t="s">
        <v>206</v>
      </c>
      <c r="O20" s="121">
        <f t="shared" si="2"/>
        <v>-2.8540983606557364</v>
      </c>
      <c r="P20" s="115">
        <v>61</v>
      </c>
      <c r="Q20" s="103">
        <v>-174.09999999999991</v>
      </c>
    </row>
    <row r="21" spans="1:17" x14ac:dyDescent="0.4">
      <c r="A21" s="51" t="s">
        <v>12</v>
      </c>
      <c r="B21" s="44">
        <v>193</v>
      </c>
      <c r="C21" s="37">
        <f>IF(B$19=0,0,B21/B$19)</f>
        <v>0.41327623126338331</v>
      </c>
      <c r="E21" s="59" t="s">
        <v>74</v>
      </c>
      <c r="F21" s="56" t="s">
        <v>29</v>
      </c>
      <c r="G21" s="44">
        <v>2</v>
      </c>
      <c r="H21" s="129">
        <f>IF(B$19=0,0,G21/B$19)</f>
        <v>4.2826552462526769E-3</v>
      </c>
      <c r="I21" s="90">
        <v>3</v>
      </c>
      <c r="K21" s="36">
        <v>19</v>
      </c>
      <c r="L21" s="95">
        <v>-162.40000000000003</v>
      </c>
      <c r="N21" s="111" t="s">
        <v>283</v>
      </c>
      <c r="O21" s="121">
        <f t="shared" si="2"/>
        <v>-2.86</v>
      </c>
      <c r="P21" s="115">
        <v>5</v>
      </c>
      <c r="Q21" s="103">
        <v>-14.299999999999999</v>
      </c>
    </row>
    <row r="22" spans="1:17" x14ac:dyDescent="0.4">
      <c r="A22" s="51" t="s">
        <v>11</v>
      </c>
      <c r="B22" s="44">
        <v>274</v>
      </c>
      <c r="C22" s="37">
        <f>IF(B$19=0,0,B22/B$19)</f>
        <v>0.58672376873661669</v>
      </c>
      <c r="E22" s="59" t="s">
        <v>75</v>
      </c>
      <c r="F22" s="56" t="s">
        <v>30</v>
      </c>
      <c r="G22" s="44">
        <v>2</v>
      </c>
      <c r="H22" s="129">
        <f>IF(B$19=0,0,G22/B$19)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 t="shared" si="2"/>
        <v>-4.0983606557377019</v>
      </c>
      <c r="P22" s="115">
        <v>61</v>
      </c>
      <c r="Q22" s="103">
        <v>-249.99999999999983</v>
      </c>
    </row>
    <row r="23" spans="1:17" x14ac:dyDescent="0.4">
      <c r="A23" s="51" t="s">
        <v>192</v>
      </c>
      <c r="B23" s="44">
        <v>174</v>
      </c>
      <c r="C23" s="37">
        <f>IF(B$19=0,0,B23/B$19)</f>
        <v>0.37259100642398285</v>
      </c>
      <c r="E23" s="59" t="s">
        <v>90</v>
      </c>
      <c r="F23" s="56" t="s">
        <v>45</v>
      </c>
      <c r="G23" s="44">
        <v>2</v>
      </c>
      <c r="H23" s="129">
        <f>IF(B$19=0,0,G23/B$19)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 t="shared" si="2"/>
        <v>-14.178151260504206</v>
      </c>
      <c r="P23" s="115">
        <v>119</v>
      </c>
      <c r="Q23" s="103">
        <v>-1687.2000000000005</v>
      </c>
    </row>
    <row r="24" spans="1:17" x14ac:dyDescent="0.4">
      <c r="A24" s="51" t="s">
        <v>190</v>
      </c>
      <c r="B24" s="44">
        <v>176</v>
      </c>
      <c r="C24" s="37">
        <f>IF(B$19=0,0,B24/B$19)</f>
        <v>0.37687366167023556</v>
      </c>
      <c r="E24" s="59" t="s">
        <v>73</v>
      </c>
      <c r="F24" s="56" t="s">
        <v>28</v>
      </c>
      <c r="G24" s="44">
        <v>1</v>
      </c>
      <c r="H24" s="129">
        <f>IF(B$19=0,0,G24/B$19)</f>
        <v>2.1413276231263384E-3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1" t="s">
        <v>191</v>
      </c>
      <c r="B25" s="44">
        <v>117</v>
      </c>
      <c r="C25" s="37">
        <f>IF(B$19=0,0,B25/B$19)</f>
        <v>0.25053533190578159</v>
      </c>
      <c r="E25" s="59" t="s">
        <v>77</v>
      </c>
      <c r="F25" s="56" t="s">
        <v>32</v>
      </c>
      <c r="G25" s="44">
        <v>1</v>
      </c>
      <c r="H25" s="129">
        <f>IF(B$19=0,0,G25/B$19)</f>
        <v>2.1413276231263384E-3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5</v>
      </c>
      <c r="B26" s="48">
        <f>IF(B$19=0,0,C26/B$19)</f>
        <v>7886.0813704496786</v>
      </c>
      <c r="C26" s="39">
        <v>3682800</v>
      </c>
      <c r="E26" s="59" t="s">
        <v>84</v>
      </c>
      <c r="F26" s="56" t="s">
        <v>39</v>
      </c>
      <c r="G26" s="44">
        <v>1</v>
      </c>
      <c r="H26" s="129">
        <f>IF(B$19=0,0,G26/B$19)</f>
        <v>2.1413276231263384E-3</v>
      </c>
      <c r="I26" s="90">
        <v>5</v>
      </c>
      <c r="K26" s="36">
        <v>24</v>
      </c>
      <c r="L26" s="95">
        <v>-37.600000000000037</v>
      </c>
    </row>
    <row r="27" spans="1:17" x14ac:dyDescent="0.4">
      <c r="A27" s="52" t="s">
        <v>174</v>
      </c>
      <c r="B27" s="136">
        <f>IF($B$19-B$18=0,0,C27/($B$19-B$18))</f>
        <v>8494.1580756013755</v>
      </c>
      <c r="C27" s="137">
        <v>2471800</v>
      </c>
      <c r="E27" s="59" t="s">
        <v>95</v>
      </c>
      <c r="F27" s="56" t="s">
        <v>50</v>
      </c>
      <c r="G27" s="44">
        <v>1</v>
      </c>
      <c r="H27" s="129">
        <f>IF(B$19=0,0,G27/B$19)</f>
        <v>2.1413276231263384E-3</v>
      </c>
      <c r="I27" s="90">
        <v>4</v>
      </c>
      <c r="K27" s="36">
        <v>25</v>
      </c>
      <c r="L27" s="95">
        <v>-10.700000000000038</v>
      </c>
    </row>
    <row r="28" spans="1:17" x14ac:dyDescent="0.4">
      <c r="A28" s="52" t="s">
        <v>175</v>
      </c>
      <c r="B28" s="136">
        <f>IF(B$18=0,0,C28/B$18)</f>
        <v>6880.681818181818</v>
      </c>
      <c r="C28" s="137">
        <v>1211000</v>
      </c>
      <c r="E28" s="59" t="s">
        <v>76</v>
      </c>
      <c r="F28" s="56" t="s">
        <v>31</v>
      </c>
      <c r="G28" s="44">
        <v>0</v>
      </c>
      <c r="H28" s="129">
        <f>IF(B$19=0,0,G28/B$19)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2" t="s">
        <v>173</v>
      </c>
      <c r="B29" s="136">
        <f>IF(B$20=0,0,C29/B$20)</f>
        <v>-7989.772727272727</v>
      </c>
      <c r="C29" s="137">
        <v>-2109300</v>
      </c>
      <c r="E29" s="59" t="s">
        <v>80</v>
      </c>
      <c r="F29" s="56" t="s">
        <v>35</v>
      </c>
      <c r="G29" s="44">
        <v>0</v>
      </c>
      <c r="H29" s="129">
        <f>IF(B$19=0,0,G29/B$19)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1" t="s">
        <v>164</v>
      </c>
      <c r="B30" s="44">
        <v>7</v>
      </c>
      <c r="C30" s="131">
        <v>0</v>
      </c>
      <c r="E30" s="59" t="s">
        <v>82</v>
      </c>
      <c r="F30" s="56" t="s">
        <v>37</v>
      </c>
      <c r="G30" s="44">
        <v>0</v>
      </c>
      <c r="H30" s="129">
        <f>IF(B$19=0,0,G30/B$19)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A31" s="51" t="s">
        <v>165</v>
      </c>
      <c r="B31" s="44">
        <v>36</v>
      </c>
      <c r="C31" s="131">
        <v>0</v>
      </c>
      <c r="E31" s="59" t="s">
        <v>85</v>
      </c>
      <c r="F31" s="56" t="s">
        <v>40</v>
      </c>
      <c r="G31" s="44">
        <v>0</v>
      </c>
      <c r="H31" s="129">
        <f>IF(B$19=0,0,G31/B$19)</f>
        <v>0</v>
      </c>
      <c r="I31" s="90">
        <v>8</v>
      </c>
      <c r="K31" s="36">
        <v>29</v>
      </c>
      <c r="L31" s="95">
        <v>40.799999999999962</v>
      </c>
    </row>
    <row r="32" spans="1:17" x14ac:dyDescent="0.4">
      <c r="A32" s="86" t="s">
        <v>138</v>
      </c>
      <c r="B32" s="150">
        <v>8</v>
      </c>
      <c r="C32" s="151"/>
      <c r="E32" s="59" t="s">
        <v>87</v>
      </c>
      <c r="F32" s="56" t="s">
        <v>42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63.499999999999957</v>
      </c>
    </row>
    <row r="33" spans="1:12" x14ac:dyDescent="0.4">
      <c r="A33" s="54" t="s">
        <v>189</v>
      </c>
      <c r="B33" s="148">
        <v>91800</v>
      </c>
      <c r="C33" s="149"/>
      <c r="E33" s="59" t="s">
        <v>88</v>
      </c>
      <c r="F33" s="56" t="s">
        <v>43</v>
      </c>
      <c r="G33" s="44">
        <v>0</v>
      </c>
      <c r="H33" s="129">
        <f>IF(B$19=0,0,G33/B$19)</f>
        <v>0</v>
      </c>
      <c r="I33" s="90">
        <v>6</v>
      </c>
      <c r="K33" s="36">
        <v>31</v>
      </c>
      <c r="L33" s="95">
        <v>94.299999999999955</v>
      </c>
    </row>
    <row r="34" spans="1:12" x14ac:dyDescent="0.4">
      <c r="A34" s="53" t="s">
        <v>139</v>
      </c>
      <c r="B34" s="61">
        <v>6</v>
      </c>
      <c r="C34" s="40">
        <f>IF(B$3=0,0,B34/B$3)</f>
        <v>4.0241448692152921E-3</v>
      </c>
      <c r="E34" s="59" t="s">
        <v>93</v>
      </c>
      <c r="F34" s="56" t="s">
        <v>48</v>
      </c>
      <c r="G34" s="44">
        <v>0</v>
      </c>
      <c r="H34" s="129">
        <f>IF(B$19=0,0,G34/B$19)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E35" s="59" t="s">
        <v>94</v>
      </c>
      <c r="F35" s="56" t="s">
        <v>49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86" t="s">
        <v>180</v>
      </c>
      <c r="B36" s="144">
        <v>37</v>
      </c>
      <c r="C36" s="141">
        <f t="shared" ref="C36:C48" si="3">IF(B$19=0,0,B36/B$19)</f>
        <v>7.922912205567452E-2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176</v>
      </c>
      <c r="B37" s="44">
        <v>90</v>
      </c>
      <c r="C37" s="37">
        <f t="shared" si="3"/>
        <v>0.19271948608137046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177</v>
      </c>
      <c r="B38" s="145">
        <v>100</v>
      </c>
      <c r="C38" s="37">
        <f t="shared" si="3"/>
        <v>0.21413276231263384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178</v>
      </c>
      <c r="B39" s="145">
        <v>93</v>
      </c>
      <c r="C39" s="37">
        <f t="shared" si="3"/>
        <v>0.19914346895074947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179</v>
      </c>
      <c r="B40" s="145">
        <v>65</v>
      </c>
      <c r="C40" s="37">
        <f t="shared" si="3"/>
        <v>0.13918629550321199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181</v>
      </c>
      <c r="B41" s="145">
        <v>44</v>
      </c>
      <c r="C41" s="37">
        <f t="shared" si="3"/>
        <v>9.421841541755889E-2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182</v>
      </c>
      <c r="B42" s="145">
        <v>15</v>
      </c>
      <c r="C42" s="37">
        <f t="shared" si="3"/>
        <v>3.2119914346895075E-2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183</v>
      </c>
      <c r="B43" s="145">
        <v>9</v>
      </c>
      <c r="C43" s="37">
        <f t="shared" si="3"/>
        <v>1.9271948608137045E-2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1" t="s">
        <v>184</v>
      </c>
      <c r="B44" s="145">
        <v>6</v>
      </c>
      <c r="C44" s="37">
        <f t="shared" si="3"/>
        <v>1.284796573875803E-2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A45" s="51" t="s">
        <v>185</v>
      </c>
      <c r="B45" s="145">
        <v>1</v>
      </c>
      <c r="C45" s="37">
        <f t="shared" si="3"/>
        <v>2.1413276231263384E-3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A46" s="51" t="s">
        <v>186</v>
      </c>
      <c r="B46" s="145">
        <v>3</v>
      </c>
      <c r="C46" s="37">
        <f t="shared" si="3"/>
        <v>6.4239828693790149E-3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A48" s="53" t="s">
        <v>188</v>
      </c>
      <c r="B48" s="140">
        <v>4</v>
      </c>
      <c r="C48" s="40">
        <f t="shared" si="3"/>
        <v>8.5653104925053538E-3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  <row r="147" spans="11:12" x14ac:dyDescent="0.4">
      <c r="K147" s="36">
        <v>145</v>
      </c>
      <c r="L147" s="95">
        <v>56.199999999999811</v>
      </c>
    </row>
    <row r="148" spans="11:12" x14ac:dyDescent="0.4">
      <c r="K148" s="36">
        <v>146</v>
      </c>
      <c r="L148" s="95">
        <v>21.799999999999812</v>
      </c>
    </row>
    <row r="149" spans="11:12" x14ac:dyDescent="0.4">
      <c r="K149" s="36">
        <v>147</v>
      </c>
      <c r="L149" s="95">
        <v>-1.6000000000001862</v>
      </c>
    </row>
    <row r="150" spans="11:12" x14ac:dyDescent="0.4">
      <c r="K150" s="36">
        <v>148</v>
      </c>
      <c r="L150" s="95">
        <v>58.999999999999815</v>
      </c>
    </row>
    <row r="151" spans="11:12" x14ac:dyDescent="0.4">
      <c r="K151" s="36">
        <v>149</v>
      </c>
      <c r="L151" s="95">
        <v>20.499999999999815</v>
      </c>
    </row>
    <row r="152" spans="11:12" x14ac:dyDescent="0.4">
      <c r="K152" s="36">
        <v>150</v>
      </c>
      <c r="L152" s="95">
        <v>-14.500000000000185</v>
      </c>
    </row>
    <row r="153" spans="11:12" x14ac:dyDescent="0.4">
      <c r="K153" s="36">
        <v>151</v>
      </c>
      <c r="L153" s="95">
        <v>-9.1000000000001844</v>
      </c>
    </row>
    <row r="154" spans="11:12" x14ac:dyDescent="0.4">
      <c r="K154" s="36">
        <v>152</v>
      </c>
      <c r="L154" s="95">
        <v>-44.100000000000186</v>
      </c>
    </row>
    <row r="155" spans="11:12" x14ac:dyDescent="0.4">
      <c r="K155" s="36">
        <v>153</v>
      </c>
      <c r="L155" s="95">
        <v>-43.800000000000189</v>
      </c>
    </row>
    <row r="156" spans="11:12" x14ac:dyDescent="0.4">
      <c r="K156" s="36">
        <v>154</v>
      </c>
      <c r="L156" s="95">
        <v>-31.800000000000189</v>
      </c>
    </row>
    <row r="157" spans="11:12" x14ac:dyDescent="0.4">
      <c r="K157" s="36">
        <v>155</v>
      </c>
      <c r="L157" s="95">
        <v>7.8999999999998138</v>
      </c>
    </row>
    <row r="158" spans="11:12" x14ac:dyDescent="0.4">
      <c r="K158" s="36">
        <v>156</v>
      </c>
      <c r="L158" s="95">
        <v>-12.100000000000186</v>
      </c>
    </row>
    <row r="159" spans="11:12" x14ac:dyDescent="0.4">
      <c r="K159" s="36">
        <v>157</v>
      </c>
      <c r="L159" s="95">
        <v>8.8999999999998138</v>
      </c>
    </row>
    <row r="160" spans="11:12" x14ac:dyDescent="0.4">
      <c r="K160" s="36">
        <v>158</v>
      </c>
      <c r="L160" s="95">
        <v>47.099999999999817</v>
      </c>
    </row>
    <row r="161" spans="11:12" x14ac:dyDescent="0.4">
      <c r="K161" s="36">
        <v>159</v>
      </c>
      <c r="L161" s="95">
        <v>18.399999999999817</v>
      </c>
    </row>
    <row r="162" spans="11:12" x14ac:dyDescent="0.4">
      <c r="K162" s="36">
        <v>160</v>
      </c>
      <c r="L162" s="95">
        <v>-25.600000000000183</v>
      </c>
    </row>
    <row r="163" spans="11:12" x14ac:dyDescent="0.4">
      <c r="K163" s="36">
        <v>161</v>
      </c>
      <c r="L163" s="95">
        <v>-44.500000000000185</v>
      </c>
    </row>
    <row r="164" spans="11:12" x14ac:dyDescent="0.4">
      <c r="K164" s="36">
        <v>162</v>
      </c>
      <c r="L164" s="95">
        <v>-22.200000000000184</v>
      </c>
    </row>
    <row r="165" spans="11:12" x14ac:dyDescent="0.4">
      <c r="K165" s="36">
        <v>163</v>
      </c>
      <c r="L165" s="95">
        <v>25.099999999999813</v>
      </c>
    </row>
    <row r="166" spans="11:12" x14ac:dyDescent="0.4">
      <c r="K166" s="36">
        <v>164</v>
      </c>
      <c r="L166" s="95">
        <v>-9.4000000000001869</v>
      </c>
    </row>
    <row r="167" spans="11:12" x14ac:dyDescent="0.4">
      <c r="K167" s="36">
        <v>165</v>
      </c>
      <c r="L167" s="95">
        <v>-48.100000000000193</v>
      </c>
    </row>
    <row r="168" spans="11:12" x14ac:dyDescent="0.4">
      <c r="K168" s="36">
        <v>166</v>
      </c>
      <c r="L168" s="95">
        <v>-22.900000000000194</v>
      </c>
    </row>
    <row r="169" spans="11:12" x14ac:dyDescent="0.4">
      <c r="K169" s="36">
        <v>167</v>
      </c>
      <c r="L169" s="95">
        <v>-2.8000000000001926</v>
      </c>
    </row>
    <row r="170" spans="11:12" x14ac:dyDescent="0.4">
      <c r="K170" s="36">
        <v>168</v>
      </c>
      <c r="L170" s="95">
        <v>21.399999999999807</v>
      </c>
    </row>
    <row r="171" spans="11:12" x14ac:dyDescent="0.4">
      <c r="K171" s="36">
        <v>169</v>
      </c>
      <c r="L171" s="95">
        <v>20.799999999999805</v>
      </c>
    </row>
    <row r="172" spans="11:12" x14ac:dyDescent="0.4">
      <c r="K172" s="36">
        <v>170</v>
      </c>
      <c r="L172" s="95">
        <v>-3.0000000000001954</v>
      </c>
    </row>
    <row r="173" spans="11:12" x14ac:dyDescent="0.4">
      <c r="K173" s="36">
        <v>171</v>
      </c>
      <c r="L173" s="95">
        <v>-27.400000000000194</v>
      </c>
    </row>
    <row r="174" spans="11:12" x14ac:dyDescent="0.4">
      <c r="K174" s="36">
        <v>172</v>
      </c>
      <c r="L174" s="95">
        <v>-60.500000000000199</v>
      </c>
    </row>
    <row r="175" spans="11:12" x14ac:dyDescent="0.4">
      <c r="K175" s="36">
        <v>173</v>
      </c>
      <c r="L175" s="95">
        <v>-71.400000000000205</v>
      </c>
    </row>
    <row r="176" spans="11:12" x14ac:dyDescent="0.4">
      <c r="K176" s="36">
        <v>174</v>
      </c>
      <c r="L176" s="95">
        <v>-41.100000000000207</v>
      </c>
    </row>
    <row r="177" spans="11:12" x14ac:dyDescent="0.4">
      <c r="K177" s="36">
        <v>175</v>
      </c>
      <c r="L177" s="95">
        <v>-68.600000000000207</v>
      </c>
    </row>
    <row r="178" spans="11:12" x14ac:dyDescent="0.4">
      <c r="K178" s="36">
        <v>176</v>
      </c>
      <c r="L178" s="95">
        <v>-6.0000000000002061</v>
      </c>
    </row>
    <row r="179" spans="11:12" x14ac:dyDescent="0.4">
      <c r="K179" s="36">
        <v>177</v>
      </c>
      <c r="L179" s="95">
        <v>-11.000000000000206</v>
      </c>
    </row>
    <row r="180" spans="11:12" x14ac:dyDescent="0.4">
      <c r="K180" s="36">
        <v>178</v>
      </c>
      <c r="L180" s="95">
        <v>-47.000000000000206</v>
      </c>
    </row>
    <row r="181" spans="11:12" x14ac:dyDescent="0.4">
      <c r="K181" s="36">
        <v>179</v>
      </c>
      <c r="L181" s="95">
        <v>-101.70000000000022</v>
      </c>
    </row>
  </sheetData>
  <sortState xmlns:xlrd2="http://schemas.microsoft.com/office/spreadsheetml/2017/richdata2" ref="E2:I1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983AA-256E-4B3D-AF2D-2B52785CE877}">
  <sheetPr codeName="Sheet13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102</v>
      </c>
      <c r="C2" s="157"/>
      <c r="E2" s="58" t="s">
        <v>66</v>
      </c>
      <c r="F2" s="55" t="s">
        <v>22</v>
      </c>
      <c r="G2" s="43">
        <v>180</v>
      </c>
      <c r="H2" s="128">
        <f>IF(B$19=0,0,G2/B$19)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">
      <c r="A3" s="51" t="s">
        <v>8</v>
      </c>
      <c r="B3" s="158">
        <v>881</v>
      </c>
      <c r="C3" s="159"/>
      <c r="E3" s="59" t="s">
        <v>64</v>
      </c>
      <c r="F3" s="56" t="s">
        <v>20</v>
      </c>
      <c r="G3" s="44">
        <v>131</v>
      </c>
      <c r="H3" s="129">
        <f>IF(B$19=0,0,G3/B$19)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">
      <c r="A4" s="51" t="s">
        <v>6</v>
      </c>
      <c r="B4" s="160">
        <v>-759.19999999999993</v>
      </c>
      <c r="C4" s="161"/>
      <c r="E4" s="59" t="s">
        <v>72</v>
      </c>
      <c r="F4" s="56" t="s">
        <v>27</v>
      </c>
      <c r="G4" s="44">
        <v>116</v>
      </c>
      <c r="H4" s="129">
        <f>IF(B$19=0,0,G4/B$19)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">
      <c r="A5" s="51" t="s">
        <v>7</v>
      </c>
      <c r="B5" s="162">
        <f>IF(B$2=0,0,B$4/B$2)</f>
        <v>-7.4431372549019601</v>
      </c>
      <c r="C5" s="163"/>
      <c r="E5" s="59" t="s">
        <v>166</v>
      </c>
      <c r="F5" s="56" t="s">
        <v>167</v>
      </c>
      <c r="G5" s="44">
        <v>98</v>
      </c>
      <c r="H5" s="129">
        <f>IF(B$19=0,0,G5/B$19)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">
      <c r="A6" s="51" t="s">
        <v>1</v>
      </c>
      <c r="B6" s="152">
        <f>IF(B$2=0,0,(B$7*1+B$8*2+B$9*3)/B$2)</f>
        <v>2.1960784313725492</v>
      </c>
      <c r="C6" s="153"/>
      <c r="E6" s="59" t="s">
        <v>68</v>
      </c>
      <c r="F6" s="56" t="s">
        <v>12</v>
      </c>
      <c r="G6" s="44">
        <v>84</v>
      </c>
      <c r="H6" s="129">
        <f>IF(B$19=0,0,G6/B$19)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">
      <c r="A7" s="51" t="s">
        <v>2</v>
      </c>
      <c r="B7" s="44">
        <v>21</v>
      </c>
      <c r="C7" s="37">
        <f t="shared" ref="C7:C14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IF(B$19=0,0,G7/B$19)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IF(B$19=0,0,G8/B$19)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IF(B$19=0,0,G9/B$19)</f>
        <v>0.12393162393162394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25.9</v>
      </c>
      <c r="C10" s="147">
        <v>543.9</v>
      </c>
      <c r="E10" s="59" t="s">
        <v>65</v>
      </c>
      <c r="F10" s="56" t="s">
        <v>21</v>
      </c>
      <c r="G10" s="44">
        <v>28</v>
      </c>
      <c r="H10" s="129">
        <f>IF(B$19=0,0,G10/B$19)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">
      <c r="A11" s="52" t="s">
        <v>200</v>
      </c>
      <c r="B11" s="146">
        <f>IF(B8=0,0,C11/B8)</f>
        <v>1.67</v>
      </c>
      <c r="C11" s="147">
        <v>66.8</v>
      </c>
      <c r="E11" s="59" t="s">
        <v>89</v>
      </c>
      <c r="F11" s="56" t="s">
        <v>44</v>
      </c>
      <c r="G11" s="44">
        <v>26</v>
      </c>
      <c r="H11" s="129">
        <f>IF(B$19=0,0,G11/B$19)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">
      <c r="A12" s="52" t="s">
        <v>201</v>
      </c>
      <c r="B12" s="146">
        <f>IF(B9=0,0,C12/B9)</f>
        <v>-33.412195121951214</v>
      </c>
      <c r="C12" s="147">
        <v>-1369.8999999999996</v>
      </c>
      <c r="E12" s="59" t="s">
        <v>83</v>
      </c>
      <c r="F12" s="56" t="s">
        <v>38</v>
      </c>
      <c r="G12" s="44">
        <v>14</v>
      </c>
      <c r="H12" s="129">
        <f>IF(B$19=0,0,G12/B$19)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">
      <c r="A13" s="52" t="s">
        <v>202</v>
      </c>
      <c r="B13" s="162">
        <f>AVERAGE(B10:B12)</f>
        <v>-1.9473983739837379</v>
      </c>
      <c r="C13" s="163"/>
      <c r="E13" s="59" t="s">
        <v>86</v>
      </c>
      <c r="F13" s="56" t="s">
        <v>41</v>
      </c>
      <c r="G13" s="44">
        <v>10</v>
      </c>
      <c r="H13" s="129">
        <f>IF(B$19=0,0,G13/B$19)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8</v>
      </c>
      <c r="C14" s="40">
        <f t="shared" si="1"/>
        <v>7.8431372549019607E-2</v>
      </c>
      <c r="E14" s="59" t="s">
        <v>71</v>
      </c>
      <c r="F14" s="56" t="s">
        <v>26</v>
      </c>
      <c r="G14" s="44">
        <v>9</v>
      </c>
      <c r="H14" s="129">
        <f>IF(B$19=0,0,G14/B$19)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243</v>
      </c>
      <c r="C15" s="42">
        <f>IF(B$3=0,0,B15/B$3)</f>
        <v>0.27582292849035189</v>
      </c>
      <c r="E15" s="59" t="s">
        <v>78</v>
      </c>
      <c r="F15" s="56" t="s">
        <v>33</v>
      </c>
      <c r="G15" s="44">
        <v>8</v>
      </c>
      <c r="H15" s="129">
        <f>IF(B$19=0,0,G15/B$19)</f>
        <v>3.4188034188034191E-2</v>
      </c>
      <c r="I15" s="90">
        <v>5</v>
      </c>
      <c r="K15" s="36">
        <v>13</v>
      </c>
      <c r="L15" s="95">
        <v>-207.3</v>
      </c>
      <c r="N15" s="110" t="s">
        <v>194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">
      <c r="A16" s="51" t="s">
        <v>118</v>
      </c>
      <c r="B16" s="44">
        <v>168</v>
      </c>
      <c r="C16" s="37">
        <f>IF(B$3=0,0,B16/B$3)</f>
        <v>0.19069239500567536</v>
      </c>
      <c r="E16" s="59" t="s">
        <v>81</v>
      </c>
      <c r="F16" s="56" t="s">
        <v>36</v>
      </c>
      <c r="G16" s="44">
        <v>5</v>
      </c>
      <c r="H16" s="129">
        <f>IF(B$19=0,0,G16/B$19)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">
      <c r="A17" s="50" t="s">
        <v>123</v>
      </c>
      <c r="B17" s="43">
        <f>B23</f>
        <v>131</v>
      </c>
      <c r="C17" s="35">
        <f>IF(B$15=0,0,B17/B$15)</f>
        <v>0.53909465020576131</v>
      </c>
      <c r="E17" s="59" t="s">
        <v>79</v>
      </c>
      <c r="F17" s="56" t="s">
        <v>34</v>
      </c>
      <c r="G17" s="44">
        <v>4</v>
      </c>
      <c r="H17" s="129">
        <f>IF(B$19=0,0,G17/B$19)</f>
        <v>1.7094017094017096E-2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">
      <c r="A18" s="50" t="s">
        <v>124</v>
      </c>
      <c r="B18" s="43">
        <f>B24</f>
        <v>67</v>
      </c>
      <c r="C18" s="35">
        <f>IF(B$16=0,0,B18/B$16)</f>
        <v>0.39880952380952384</v>
      </c>
      <c r="E18" s="59" t="s">
        <v>162</v>
      </c>
      <c r="F18" s="56" t="s">
        <v>163</v>
      </c>
      <c r="G18" s="44">
        <v>4</v>
      </c>
      <c r="H18" s="129">
        <f>IF(B$19=0,0,G18/B$19)</f>
        <v>1.7094017094017096E-2</v>
      </c>
      <c r="I18" s="90">
        <v>5</v>
      </c>
      <c r="K18" s="36">
        <v>16</v>
      </c>
      <c r="L18" s="95">
        <v>-224.3</v>
      </c>
      <c r="N18" s="111" t="s">
        <v>193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">
      <c r="A19" s="50" t="s">
        <v>10</v>
      </c>
      <c r="B19" s="43">
        <f>B22+B21</f>
        <v>234</v>
      </c>
      <c r="C19" s="35">
        <f>IF(B$3=0,0,B19/B$3)</f>
        <v>0.26560726447219069</v>
      </c>
      <c r="E19" s="59" t="s">
        <v>75</v>
      </c>
      <c r="F19" s="56" t="s">
        <v>30</v>
      </c>
      <c r="G19" s="44">
        <v>3</v>
      </c>
      <c r="H19" s="129">
        <f>IF(B$19=0,0,G19/B$19)</f>
        <v>1.282051282051282E-2</v>
      </c>
      <c r="I19" s="90">
        <v>3</v>
      </c>
      <c r="K19" s="36">
        <v>17</v>
      </c>
      <c r="L19" s="95">
        <v>-251.4</v>
      </c>
      <c r="N19" s="111" t="s">
        <v>206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">
      <c r="A20" s="51" t="s">
        <v>13</v>
      </c>
      <c r="B20" s="44">
        <v>160</v>
      </c>
      <c r="C20" s="37">
        <f>IF(B$3=0,0,B20/B$3)</f>
        <v>0.18161180476730987</v>
      </c>
      <c r="E20" s="59" t="s">
        <v>85</v>
      </c>
      <c r="F20" s="56" t="s">
        <v>40</v>
      </c>
      <c r="G20" s="44">
        <v>1</v>
      </c>
      <c r="H20" s="129">
        <f>IF(B$19=0,0,G20/B$19)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 x14ac:dyDescent="0.4">
      <c r="A21" s="51" t="s">
        <v>12</v>
      </c>
      <c r="B21" s="44">
        <v>111</v>
      </c>
      <c r="C21" s="37">
        <f>IF(B$19=0,0,B21/B$19)</f>
        <v>0.47435897435897434</v>
      </c>
      <c r="E21" s="59" t="s">
        <v>91</v>
      </c>
      <c r="F21" s="56" t="s">
        <v>46</v>
      </c>
      <c r="G21" s="44">
        <v>1</v>
      </c>
      <c r="H21" s="129">
        <f>IF(B$19=0,0,G21/B$19)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">
      <c r="A22" s="51" t="s">
        <v>11</v>
      </c>
      <c r="B22" s="44">
        <v>123</v>
      </c>
      <c r="C22" s="37">
        <f>IF(B$19=0,0,B22/B$19)</f>
        <v>0.52564102564102566</v>
      </c>
      <c r="E22" s="59" t="s">
        <v>73</v>
      </c>
      <c r="F22" s="56" t="s">
        <v>28</v>
      </c>
      <c r="G22" s="44">
        <v>0</v>
      </c>
      <c r="H22" s="129">
        <f>IF(B$19=0,0,G22/B$19)</f>
        <v>0</v>
      </c>
      <c r="I22" s="90">
        <v>6</v>
      </c>
      <c r="K22" s="36">
        <v>20</v>
      </c>
      <c r="L22" s="95">
        <v>-177.6</v>
      </c>
      <c r="N22" s="111" t="s">
        <v>283</v>
      </c>
      <c r="O22" s="121">
        <f t="shared" si="2"/>
        <v>-19.25</v>
      </c>
      <c r="P22" s="115">
        <v>4</v>
      </c>
      <c r="Q22" s="103">
        <v>-77</v>
      </c>
    </row>
    <row r="23" spans="1:17" x14ac:dyDescent="0.4">
      <c r="A23" s="51" t="s">
        <v>192</v>
      </c>
      <c r="B23" s="44">
        <v>131</v>
      </c>
      <c r="C23" s="37">
        <f>IF(B$19=0,0,B23/B$19)</f>
        <v>0.55982905982905984</v>
      </c>
      <c r="E23" s="59" t="s">
        <v>74</v>
      </c>
      <c r="F23" s="56" t="s">
        <v>29</v>
      </c>
      <c r="G23" s="44">
        <v>0</v>
      </c>
      <c r="H23" s="129">
        <f>IF(B$19=0,0,G23/B$19)</f>
        <v>0</v>
      </c>
      <c r="I23" s="90">
        <v>7</v>
      </c>
      <c r="K23" s="36">
        <v>21</v>
      </c>
      <c r="L23" s="95">
        <v>-133.30000000000001</v>
      </c>
      <c r="N23" s="111" t="s">
        <v>219</v>
      </c>
      <c r="O23" s="121">
        <f t="shared" si="2"/>
        <v>-56.6</v>
      </c>
      <c r="P23" s="115">
        <v>1</v>
      </c>
      <c r="Q23" s="103">
        <v>-56.6</v>
      </c>
    </row>
    <row r="24" spans="1:17" x14ac:dyDescent="0.4">
      <c r="A24" s="51" t="s">
        <v>190</v>
      </c>
      <c r="B24" s="44">
        <v>67</v>
      </c>
      <c r="C24" s="37">
        <f>IF(B$19=0,0,B24/B$19)</f>
        <v>0.28632478632478631</v>
      </c>
      <c r="E24" s="59" t="s">
        <v>76</v>
      </c>
      <c r="F24" s="56" t="s">
        <v>31</v>
      </c>
      <c r="G24" s="44">
        <v>0</v>
      </c>
      <c r="H24" s="129">
        <f>IF(B$19=0,0,G24/B$19)</f>
        <v>0</v>
      </c>
      <c r="I24" s="90">
        <v>1</v>
      </c>
      <c r="K24" s="36">
        <v>22</v>
      </c>
      <c r="L24" s="95">
        <v>-164.60000000000002</v>
      </c>
    </row>
    <row r="25" spans="1:17" x14ac:dyDescent="0.4">
      <c r="A25" s="51" t="s">
        <v>191</v>
      </c>
      <c r="B25" s="44">
        <v>36</v>
      </c>
      <c r="C25" s="37">
        <f>IF(B$19=0,0,B25/B$19)</f>
        <v>0.15384615384615385</v>
      </c>
      <c r="E25" s="59" t="s">
        <v>77</v>
      </c>
      <c r="F25" s="56" t="s">
        <v>32</v>
      </c>
      <c r="G25" s="44">
        <v>0</v>
      </c>
      <c r="H25" s="129">
        <f>IF(B$19=0,0,G25/B$19)</f>
        <v>0</v>
      </c>
      <c r="I25" s="90">
        <v>6</v>
      </c>
      <c r="K25" s="36">
        <v>23</v>
      </c>
      <c r="L25" s="95">
        <v>-162.70000000000002</v>
      </c>
    </row>
    <row r="26" spans="1:17" x14ac:dyDescent="0.4">
      <c r="A26" s="51" t="s">
        <v>5</v>
      </c>
      <c r="B26" s="48">
        <f>IF(B$19=0,0,C26/B$19)</f>
        <v>7844.0170940170938</v>
      </c>
      <c r="C26" s="39">
        <v>1835500</v>
      </c>
      <c r="E26" s="59" t="s">
        <v>80</v>
      </c>
      <c r="F26" s="56" t="s">
        <v>35</v>
      </c>
      <c r="G26" s="44">
        <v>0</v>
      </c>
      <c r="H26" s="129">
        <f>IF(B$19=0,0,G26/B$19)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2" t="s">
        <v>174</v>
      </c>
      <c r="B27" s="136">
        <f>IF($B$19-B$18=0,0,C27/($B$19-B$18))</f>
        <v>8441.3173652694604</v>
      </c>
      <c r="C27" s="137">
        <v>1409700</v>
      </c>
      <c r="E27" s="59" t="s">
        <v>82</v>
      </c>
      <c r="F27" s="56" t="s">
        <v>37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-185.00000000000003</v>
      </c>
    </row>
    <row r="28" spans="1:17" x14ac:dyDescent="0.4">
      <c r="A28" s="52" t="s">
        <v>175</v>
      </c>
      <c r="B28" s="136">
        <f>IF(B$18=0,0,C28/B$18)</f>
        <v>6355.2238805970146</v>
      </c>
      <c r="C28" s="137">
        <v>425800</v>
      </c>
      <c r="E28" s="59" t="s">
        <v>84</v>
      </c>
      <c r="F28" s="56" t="s">
        <v>39</v>
      </c>
      <c r="G28" s="44">
        <v>0</v>
      </c>
      <c r="H28" s="129">
        <f>IF(B$19=0,0,G28/B$19)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2" t="s">
        <v>173</v>
      </c>
      <c r="B29" s="136">
        <f>IF(B$20=0,0,C29/B$20)</f>
        <v>-7839.375</v>
      </c>
      <c r="C29" s="137">
        <v>-1254300</v>
      </c>
      <c r="E29" s="59" t="s">
        <v>87</v>
      </c>
      <c r="F29" s="56" t="s">
        <v>42</v>
      </c>
      <c r="G29" s="44">
        <v>0</v>
      </c>
      <c r="H29" s="129">
        <f>IF(B$19=0,0,G29/B$19)</f>
        <v>0</v>
      </c>
      <c r="I29" s="90">
        <v>7</v>
      </c>
      <c r="K29" s="36">
        <v>27</v>
      </c>
      <c r="L29" s="95">
        <v>-163.00000000000003</v>
      </c>
    </row>
    <row r="30" spans="1:17" x14ac:dyDescent="0.4">
      <c r="A30" s="51" t="s">
        <v>164</v>
      </c>
      <c r="B30" s="44">
        <v>4</v>
      </c>
      <c r="C30" s="131">
        <v>0</v>
      </c>
      <c r="E30" s="59" t="s">
        <v>88</v>
      </c>
      <c r="F30" s="56" t="s">
        <v>43</v>
      </c>
      <c r="G30" s="44">
        <v>0</v>
      </c>
      <c r="H30" s="129">
        <f>IF(B$19=0,0,G30/B$19)</f>
        <v>0</v>
      </c>
      <c r="I30" s="90">
        <v>6</v>
      </c>
      <c r="K30" s="36">
        <v>28</v>
      </c>
      <c r="L30" s="95">
        <v>-181.70000000000002</v>
      </c>
    </row>
    <row r="31" spans="1:17" x14ac:dyDescent="0.4">
      <c r="A31" s="51" t="s">
        <v>165</v>
      </c>
      <c r="B31" s="44">
        <v>21</v>
      </c>
      <c r="C31" s="131">
        <v>8</v>
      </c>
      <c r="E31" s="59" t="s">
        <v>90</v>
      </c>
      <c r="F31" s="56" t="s">
        <v>45</v>
      </c>
      <c r="G31" s="44">
        <v>0</v>
      </c>
      <c r="H31" s="129">
        <f>IF(B$19=0,0,G31/B$19)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138</v>
      </c>
      <c r="B32" s="150">
        <v>8</v>
      </c>
      <c r="C32" s="151"/>
      <c r="E32" s="59" t="s">
        <v>92</v>
      </c>
      <c r="F32" s="56" t="s">
        <v>47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-175.6</v>
      </c>
    </row>
    <row r="33" spans="1:12" x14ac:dyDescent="0.4">
      <c r="A33" s="54" t="s">
        <v>189</v>
      </c>
      <c r="B33" s="148">
        <v>69500</v>
      </c>
      <c r="C33" s="149"/>
      <c r="E33" s="59" t="s">
        <v>93</v>
      </c>
      <c r="F33" s="56" t="s">
        <v>48</v>
      </c>
      <c r="G33" s="44">
        <v>0</v>
      </c>
      <c r="H33" s="129">
        <f>IF(B$19=0,0,G33/B$19)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3" t="s">
        <v>139</v>
      </c>
      <c r="B34" s="61">
        <v>3</v>
      </c>
      <c r="C34" s="40">
        <f>IF(B$3=0,0,B34/B$3)</f>
        <v>3.4052213393870601E-3</v>
      </c>
      <c r="E34" s="59" t="s">
        <v>94</v>
      </c>
      <c r="F34" s="56" t="s">
        <v>49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-244.8</v>
      </c>
    </row>
    <row r="35" spans="1:12" x14ac:dyDescent="0.4">
      <c r="E35" s="59" t="s">
        <v>95</v>
      </c>
      <c r="F35" s="56" t="s">
        <v>50</v>
      </c>
      <c r="G35" s="44">
        <v>0</v>
      </c>
      <c r="H35" s="129">
        <f>IF(B$19=0,0,G35/B$19)</f>
        <v>0</v>
      </c>
      <c r="I35" s="90">
        <v>6</v>
      </c>
      <c r="K35" s="36">
        <v>33</v>
      </c>
      <c r="L35" s="95">
        <v>-261.3</v>
      </c>
    </row>
    <row r="36" spans="1:12" x14ac:dyDescent="0.4">
      <c r="A36" s="86" t="s">
        <v>180</v>
      </c>
      <c r="B36" s="144">
        <v>18</v>
      </c>
      <c r="C36" s="141">
        <f t="shared" ref="C36:C48" si="3">IF(B$19=0,0,B36/B$19)</f>
        <v>7.6923076923076927E-2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176</v>
      </c>
      <c r="B37" s="44">
        <v>39</v>
      </c>
      <c r="C37" s="37">
        <f t="shared" si="3"/>
        <v>0.16666666666666666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177</v>
      </c>
      <c r="B38" s="145">
        <v>53</v>
      </c>
      <c r="C38" s="37">
        <f t="shared" si="3"/>
        <v>0.2264957264957265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178</v>
      </c>
      <c r="B39" s="145">
        <v>36</v>
      </c>
      <c r="C39" s="37">
        <f t="shared" si="3"/>
        <v>0.15384615384615385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179</v>
      </c>
      <c r="B40" s="145">
        <v>40</v>
      </c>
      <c r="C40" s="37">
        <f t="shared" si="3"/>
        <v>0.17094017094017094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181</v>
      </c>
      <c r="B41" s="145">
        <v>23</v>
      </c>
      <c r="C41" s="37">
        <f t="shared" si="3"/>
        <v>9.8290598290598288E-2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182</v>
      </c>
      <c r="B42" s="145">
        <v>14</v>
      </c>
      <c r="C42" s="37">
        <f t="shared" si="3"/>
        <v>5.9829059829059832E-2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183</v>
      </c>
      <c r="B43" s="145">
        <v>7</v>
      </c>
      <c r="C43" s="37">
        <f t="shared" si="3"/>
        <v>2.9914529914529916E-2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1" t="s">
        <v>184</v>
      </c>
      <c r="B44" s="145">
        <v>1</v>
      </c>
      <c r="C44" s="37">
        <f t="shared" si="3"/>
        <v>4.2735042735042739E-3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A45" s="51" t="s">
        <v>185</v>
      </c>
      <c r="B45" s="145">
        <v>0</v>
      </c>
      <c r="C45" s="37">
        <f t="shared" si="3"/>
        <v>0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A46" s="51" t="s">
        <v>186</v>
      </c>
      <c r="B46" s="145">
        <v>1</v>
      </c>
      <c r="C46" s="37">
        <f t="shared" si="3"/>
        <v>4.2735042735042739E-3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-330.7</v>
      </c>
    </row>
    <row r="47" spans="1:12" x14ac:dyDescent="0.4">
      <c r="A47" s="51" t="s">
        <v>187</v>
      </c>
      <c r="B47" s="145">
        <v>2</v>
      </c>
      <c r="C47" s="37">
        <f t="shared" si="3"/>
        <v>8.5470085470085479E-3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A48" s="53" t="s">
        <v>188</v>
      </c>
      <c r="B48" s="140">
        <v>0</v>
      </c>
      <c r="C48" s="40">
        <f t="shared" si="3"/>
        <v>0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  <row r="98" spans="11:12" x14ac:dyDescent="0.4">
      <c r="K98" s="36">
        <v>96</v>
      </c>
      <c r="L98" s="95">
        <v>-631.19999999999993</v>
      </c>
    </row>
    <row r="99" spans="11:12" x14ac:dyDescent="0.4">
      <c r="K99" s="36">
        <v>97</v>
      </c>
      <c r="L99" s="95">
        <v>-673.49999999999989</v>
      </c>
    </row>
    <row r="100" spans="11:12" x14ac:dyDescent="0.4">
      <c r="K100" s="36">
        <v>98</v>
      </c>
      <c r="L100" s="95">
        <v>-700.69999999999993</v>
      </c>
    </row>
    <row r="101" spans="11:12" x14ac:dyDescent="0.4">
      <c r="K101" s="36">
        <v>99</v>
      </c>
      <c r="L101" s="95">
        <v>-707.4</v>
      </c>
    </row>
    <row r="102" spans="11:12" x14ac:dyDescent="0.4">
      <c r="K102" s="36">
        <v>100</v>
      </c>
      <c r="L102" s="95">
        <v>-752.69999999999993</v>
      </c>
    </row>
    <row r="103" spans="11:12" x14ac:dyDescent="0.4">
      <c r="K103" s="36">
        <v>101</v>
      </c>
      <c r="L103" s="95">
        <v>-765.99999999999989</v>
      </c>
    </row>
    <row r="104" spans="11:12" x14ac:dyDescent="0.4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BF91-82F5-4ED3-B329-114E1B7E1D3A}">
  <sheetPr codeName="Sheet15"/>
  <dimension ref="A1:Q1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170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155</v>
      </c>
      <c r="C2" s="157"/>
      <c r="E2" s="58" t="s">
        <v>66</v>
      </c>
      <c r="F2" s="55" t="s">
        <v>22</v>
      </c>
      <c r="G2" s="43">
        <v>317</v>
      </c>
      <c r="H2" s="128">
        <f>IF(B$19=0,0,G2/B$19)</f>
        <v>0.91884057971014488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1777.922077922078</v>
      </c>
      <c r="P2" s="114">
        <v>154</v>
      </c>
      <c r="Q2" s="98">
        <v>273800</v>
      </c>
    </row>
    <row r="3" spans="1:17" x14ac:dyDescent="0.4">
      <c r="A3" s="51" t="s">
        <v>8</v>
      </c>
      <c r="B3" s="158">
        <v>1248</v>
      </c>
      <c r="C3" s="159"/>
      <c r="E3" s="59" t="s">
        <v>72</v>
      </c>
      <c r="F3" s="56" t="s">
        <v>27</v>
      </c>
      <c r="G3" s="44">
        <v>195</v>
      </c>
      <c r="H3" s="129">
        <f>IF(B$19=0,0,G3/B$19)</f>
        <v>0.56521739130434778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-2359.3333333333335</v>
      </c>
      <c r="P3" s="115">
        <v>150</v>
      </c>
      <c r="Q3" s="99">
        <v>-353900</v>
      </c>
    </row>
    <row r="4" spans="1:17" x14ac:dyDescent="0.4">
      <c r="A4" s="51" t="s">
        <v>6</v>
      </c>
      <c r="B4" s="160">
        <v>713.80000000000052</v>
      </c>
      <c r="C4" s="161"/>
      <c r="E4" s="59" t="s">
        <v>64</v>
      </c>
      <c r="F4" s="56" t="s">
        <v>20</v>
      </c>
      <c r="G4" s="44">
        <v>184</v>
      </c>
      <c r="H4" s="129">
        <f>IF(B$19=0,0,G4/B$19)</f>
        <v>0.53333333333333333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191.1764705882353</v>
      </c>
      <c r="P4" s="115">
        <v>136</v>
      </c>
      <c r="Q4" s="99">
        <v>26000</v>
      </c>
    </row>
    <row r="5" spans="1:17" x14ac:dyDescent="0.4">
      <c r="A5" s="51" t="s">
        <v>7</v>
      </c>
      <c r="B5" s="162">
        <f>IF(B$2=0,0,B$4/B$2)</f>
        <v>4.6051612903225836</v>
      </c>
      <c r="C5" s="163"/>
      <c r="E5" s="59" t="s">
        <v>67</v>
      </c>
      <c r="F5" s="56" t="s">
        <v>23</v>
      </c>
      <c r="G5" s="44">
        <v>133</v>
      </c>
      <c r="H5" s="129">
        <f>IF(B$19=0,0,G5/B$19)</f>
        <v>0.38550724637681161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2186.4</v>
      </c>
      <c r="P5" s="115">
        <v>125</v>
      </c>
      <c r="Q5" s="99">
        <v>273300</v>
      </c>
    </row>
    <row r="6" spans="1:17" x14ac:dyDescent="0.4">
      <c r="A6" s="51" t="s">
        <v>1</v>
      </c>
      <c r="B6" s="152">
        <f>IF(B$2=0,0,(B$7*1+B$8*2+B$9*3)/B$2)</f>
        <v>1.9096774193548387</v>
      </c>
      <c r="C6" s="153"/>
      <c r="E6" s="59" t="s">
        <v>68</v>
      </c>
      <c r="F6" s="56" t="s">
        <v>12</v>
      </c>
      <c r="G6" s="44">
        <v>133</v>
      </c>
      <c r="H6" s="129">
        <f>IF(B$19=0,0,G6/B$19)</f>
        <v>0.38550724637681161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1555.7522123893805</v>
      </c>
      <c r="P6" s="115">
        <v>113</v>
      </c>
      <c r="Q6" s="99">
        <v>175800</v>
      </c>
    </row>
    <row r="7" spans="1:17" x14ac:dyDescent="0.4">
      <c r="A7" s="51" t="s">
        <v>2</v>
      </c>
      <c r="B7" s="44">
        <v>62</v>
      </c>
      <c r="C7" s="37">
        <f t="shared" ref="C7:C14" si="1">IF(B$2=0,0,B7/B$2)</f>
        <v>0.4</v>
      </c>
      <c r="E7" s="59" t="s">
        <v>166</v>
      </c>
      <c r="F7" s="56" t="s">
        <v>167</v>
      </c>
      <c r="G7" s="44">
        <v>132</v>
      </c>
      <c r="H7" s="129">
        <f>IF(B$19=0,0,G7/B$19)</f>
        <v>0.38260869565217392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514.11764705882354</v>
      </c>
      <c r="P7" s="116">
        <v>85</v>
      </c>
      <c r="Q7" s="100">
        <v>43700</v>
      </c>
    </row>
    <row r="8" spans="1:17" x14ac:dyDescent="0.4">
      <c r="A8" s="51" t="s">
        <v>3</v>
      </c>
      <c r="B8" s="44">
        <v>45</v>
      </c>
      <c r="C8" s="37">
        <f t="shared" si="1"/>
        <v>0.29032258064516131</v>
      </c>
      <c r="E8" s="59" t="s">
        <v>89</v>
      </c>
      <c r="F8" s="56" t="s">
        <v>44</v>
      </c>
      <c r="G8" s="44">
        <v>87</v>
      </c>
      <c r="H8" s="129">
        <f>IF(B$19=0,0,G8/B$19)</f>
        <v>0.25217391304347825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48</v>
      </c>
      <c r="C9" s="38">
        <f t="shared" si="1"/>
        <v>0.30967741935483872</v>
      </c>
      <c r="E9" s="59" t="s">
        <v>69</v>
      </c>
      <c r="F9" s="56" t="s">
        <v>24</v>
      </c>
      <c r="G9" s="44">
        <v>68</v>
      </c>
      <c r="H9" s="129">
        <f>IF(B$19=0,0,G9/B$19)</f>
        <v>0.19710144927536233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40.804838709677405</v>
      </c>
      <c r="C10" s="147">
        <v>2529.8999999999992</v>
      </c>
      <c r="E10" s="59" t="s">
        <v>65</v>
      </c>
      <c r="F10" s="56" t="s">
        <v>21</v>
      </c>
      <c r="G10" s="44">
        <v>48</v>
      </c>
      <c r="H10" s="129">
        <f>IF(B$19=0,0,G10/B$19)</f>
        <v>0.1391304347826087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-8.1488372093023251</v>
      </c>
      <c r="P10" s="114">
        <v>43</v>
      </c>
      <c r="Q10" s="102">
        <v>-350.4</v>
      </c>
    </row>
    <row r="11" spans="1:17" x14ac:dyDescent="0.4">
      <c r="A11" s="52" t="s">
        <v>200</v>
      </c>
      <c r="B11" s="146">
        <f>IF(B8=0,0,C11/B8)</f>
        <v>-0.74666666666666748</v>
      </c>
      <c r="C11" s="147">
        <v>-33.600000000000037</v>
      </c>
      <c r="E11" s="59" t="s">
        <v>70</v>
      </c>
      <c r="F11" s="56" t="s">
        <v>25</v>
      </c>
      <c r="G11" s="44">
        <v>43</v>
      </c>
      <c r="H11" s="129">
        <f>IF(B$19=0,0,G11/B$19)</f>
        <v>0.1246376811594203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7.5534482758620678</v>
      </c>
      <c r="P11" s="115">
        <v>58</v>
      </c>
      <c r="Q11" s="103">
        <v>438.09999999999991</v>
      </c>
    </row>
    <row r="12" spans="1:17" x14ac:dyDescent="0.4">
      <c r="A12" s="52" t="s">
        <v>201</v>
      </c>
      <c r="B12" s="146">
        <f>IF(B9=0,0,C12/B9)</f>
        <v>-37.135416666666664</v>
      </c>
      <c r="C12" s="147">
        <v>-1782.5</v>
      </c>
      <c r="E12" s="59" t="s">
        <v>71</v>
      </c>
      <c r="F12" s="56" t="s">
        <v>26</v>
      </c>
      <c r="G12" s="44">
        <v>21</v>
      </c>
      <c r="H12" s="129">
        <f>IF(B$19=0,0,G12/B$19)</f>
        <v>6.0869565217391307E-2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11.594444444444445</v>
      </c>
      <c r="P12" s="116">
        <v>54</v>
      </c>
      <c r="Q12" s="104">
        <v>626.1</v>
      </c>
    </row>
    <row r="13" spans="1:17" x14ac:dyDescent="0.4">
      <c r="A13" s="52" t="s">
        <v>202</v>
      </c>
      <c r="B13" s="162">
        <f>AVERAGE(B10:B12)</f>
        <v>0.97425179211469037</v>
      </c>
      <c r="C13" s="163"/>
      <c r="E13" s="59" t="s">
        <v>162</v>
      </c>
      <c r="F13" s="56" t="s">
        <v>163</v>
      </c>
      <c r="G13" s="44">
        <v>17</v>
      </c>
      <c r="H13" s="129">
        <f>IF(B$19=0,0,G13/B$19)</f>
        <v>4.9275362318840582E-2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19</v>
      </c>
      <c r="C14" s="40">
        <f t="shared" si="1"/>
        <v>0.12258064516129032</v>
      </c>
      <c r="E14" s="59" t="s">
        <v>83</v>
      </c>
      <c r="F14" s="56" t="s">
        <v>38</v>
      </c>
      <c r="G14" s="44">
        <v>12</v>
      </c>
      <c r="H14" s="129">
        <f>IF(B$19=0,0,G14/B$19)</f>
        <v>3.4782608695652174E-2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367</v>
      </c>
      <c r="C15" s="42">
        <f>IF(B$3=0,0,B15/B$3)</f>
        <v>0.29407051282051283</v>
      </c>
      <c r="E15" s="59" t="s">
        <v>86</v>
      </c>
      <c r="F15" s="56" t="s">
        <v>41</v>
      </c>
      <c r="G15" s="44">
        <v>12</v>
      </c>
      <c r="H15" s="129">
        <f>IF(B$19=0,0,G15/B$19)</f>
        <v>3.4782608695652174E-2</v>
      </c>
      <c r="I15" s="90">
        <v>9</v>
      </c>
      <c r="K15" s="36">
        <v>13</v>
      </c>
      <c r="L15" s="95">
        <v>-132.39999999999998</v>
      </c>
      <c r="N15" s="110" t="s">
        <v>219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118</v>
      </c>
      <c r="B16" s="44">
        <v>233</v>
      </c>
      <c r="C16" s="37">
        <f>IF(B$3=0,0,B16/B$3)</f>
        <v>0.18669871794871795</v>
      </c>
      <c r="E16" s="59" t="s">
        <v>91</v>
      </c>
      <c r="F16" s="56" t="s">
        <v>46</v>
      </c>
      <c r="G16" s="44">
        <v>8</v>
      </c>
      <c r="H16" s="129">
        <f>IF(B$19=0,0,G16/B$19)</f>
        <v>2.318840579710145E-2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 t="shared" si="2"/>
        <v>30.121875000000003</v>
      </c>
      <c r="P16" s="115">
        <v>32</v>
      </c>
      <c r="Q16" s="103">
        <v>963.90000000000009</v>
      </c>
    </row>
    <row r="17" spans="1:17" x14ac:dyDescent="0.4">
      <c r="A17" s="50" t="s">
        <v>123</v>
      </c>
      <c r="B17" s="43">
        <f>B23</f>
        <v>200</v>
      </c>
      <c r="C17" s="35">
        <f>IF(B$15=0,0,B17/B$15)</f>
        <v>0.54495912806539515</v>
      </c>
      <c r="E17" s="59" t="s">
        <v>81</v>
      </c>
      <c r="F17" s="56" t="s">
        <v>36</v>
      </c>
      <c r="G17" s="44">
        <v>6</v>
      </c>
      <c r="H17" s="129">
        <f>IF(B$19=0,0,G17/B$19)</f>
        <v>1.7391304347826087E-2</v>
      </c>
      <c r="I17" s="90">
        <v>7</v>
      </c>
      <c r="K17" s="36">
        <v>15</v>
      </c>
      <c r="L17" s="95">
        <v>-101.79999999999997</v>
      </c>
      <c r="N17" s="111" t="s">
        <v>194</v>
      </c>
      <c r="O17" s="121">
        <f t="shared" si="2"/>
        <v>19.176470588235297</v>
      </c>
      <c r="P17" s="115">
        <v>34</v>
      </c>
      <c r="Q17" s="103">
        <v>652.00000000000011</v>
      </c>
    </row>
    <row r="18" spans="1:17" x14ac:dyDescent="0.4">
      <c r="A18" s="50" t="s">
        <v>124</v>
      </c>
      <c r="B18" s="43">
        <f>B24</f>
        <v>91</v>
      </c>
      <c r="C18" s="35">
        <f>IF(B$16=0,0,B18/B$16)</f>
        <v>0.3905579399141631</v>
      </c>
      <c r="E18" s="59" t="s">
        <v>92</v>
      </c>
      <c r="F18" s="56" t="s">
        <v>47</v>
      </c>
      <c r="G18" s="44">
        <v>6</v>
      </c>
      <c r="H18" s="129">
        <f>IF(B$19=0,0,G18/B$19)</f>
        <v>1.7391304347826087E-2</v>
      </c>
      <c r="I18" s="90">
        <v>1</v>
      </c>
      <c r="K18" s="36">
        <v>16</v>
      </c>
      <c r="L18" s="95">
        <v>-63.099999999999966</v>
      </c>
      <c r="N18" s="111" t="s">
        <v>206</v>
      </c>
      <c r="O18" s="121">
        <f t="shared" si="2"/>
        <v>8.5328571428571429</v>
      </c>
      <c r="P18" s="115">
        <v>70</v>
      </c>
      <c r="Q18" s="103">
        <v>597.29999999999995</v>
      </c>
    </row>
    <row r="19" spans="1:17" x14ac:dyDescent="0.4">
      <c r="A19" s="50" t="s">
        <v>10</v>
      </c>
      <c r="B19" s="43">
        <f>B22+B21</f>
        <v>345</v>
      </c>
      <c r="C19" s="35">
        <f>IF(B$3=0,0,B19/B$3)</f>
        <v>0.27644230769230771</v>
      </c>
      <c r="E19" s="59" t="s">
        <v>78</v>
      </c>
      <c r="F19" s="56" t="s">
        <v>33</v>
      </c>
      <c r="G19" s="44">
        <v>5</v>
      </c>
      <c r="H19" s="129">
        <f>IF(B$19=0,0,G19/B$19)</f>
        <v>1.4492753623188406E-2</v>
      </c>
      <c r="I19" s="90">
        <v>8</v>
      </c>
      <c r="K19" s="36">
        <v>17</v>
      </c>
      <c r="L19" s="95">
        <v>-55.799999999999969</v>
      </c>
      <c r="N19" s="111" t="s">
        <v>193</v>
      </c>
      <c r="O19" s="121">
        <f t="shared" si="2"/>
        <v>5.1500000000000012</v>
      </c>
      <c r="P19" s="115">
        <v>10</v>
      </c>
      <c r="Q19" s="103">
        <v>51.500000000000014</v>
      </c>
    </row>
    <row r="20" spans="1:17" x14ac:dyDescent="0.4">
      <c r="A20" s="51" t="s">
        <v>13</v>
      </c>
      <c r="B20" s="44">
        <v>215</v>
      </c>
      <c r="C20" s="37">
        <f>IF(B$3=0,0,B20/B$3)</f>
        <v>0.17227564102564102</v>
      </c>
      <c r="E20" s="59" t="s">
        <v>79</v>
      </c>
      <c r="F20" s="56" t="s">
        <v>34</v>
      </c>
      <c r="G20" s="44">
        <v>4</v>
      </c>
      <c r="H20" s="129">
        <f>IF(B$19=0,0,G20/B$19)</f>
        <v>1.1594202898550725E-2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4.0983606557377037</v>
      </c>
      <c r="P20" s="115">
        <v>61</v>
      </c>
      <c r="Q20" s="103">
        <v>249.99999999999994</v>
      </c>
    </row>
    <row r="21" spans="1:17" x14ac:dyDescent="0.4">
      <c r="A21" s="51" t="s">
        <v>12</v>
      </c>
      <c r="B21" s="44">
        <v>176</v>
      </c>
      <c r="C21" s="37">
        <f>IF(B$19=0,0,B21/B$19)</f>
        <v>0.51014492753623186</v>
      </c>
      <c r="E21" s="59" t="s">
        <v>85</v>
      </c>
      <c r="F21" s="56" t="s">
        <v>40</v>
      </c>
      <c r="G21" s="44">
        <v>4</v>
      </c>
      <c r="H21" s="129">
        <f>IF(B$19=0,0,G21/B$19)</f>
        <v>1.1594202898550725E-2</v>
      </c>
      <c r="I21" s="90">
        <v>3</v>
      </c>
      <c r="K21" s="36">
        <v>19</v>
      </c>
      <c r="L21" s="95">
        <v>-27.799999999999969</v>
      </c>
      <c r="N21" s="111" t="s">
        <v>283</v>
      </c>
      <c r="O21" s="121">
        <f t="shared" si="2"/>
        <v>-2.910000000000001</v>
      </c>
      <c r="P21" s="115">
        <v>10</v>
      </c>
      <c r="Q21" s="103">
        <v>-29.100000000000009</v>
      </c>
    </row>
    <row r="22" spans="1:17" x14ac:dyDescent="0.4">
      <c r="A22" s="51" t="s">
        <v>11</v>
      </c>
      <c r="B22" s="44">
        <v>169</v>
      </c>
      <c r="C22" s="37">
        <f>IF(B$19=0,0,B22/B$19)</f>
        <v>0.48985507246376814</v>
      </c>
      <c r="E22" s="59" t="s">
        <v>84</v>
      </c>
      <c r="F22" s="56" t="s">
        <v>39</v>
      </c>
      <c r="G22" s="44">
        <v>3</v>
      </c>
      <c r="H22" s="129">
        <f>IF(B$19=0,0,G22/B$19)</f>
        <v>8.6956521739130436E-3</v>
      </c>
      <c r="I22" s="90">
        <v>1</v>
      </c>
      <c r="K22" s="36">
        <v>20</v>
      </c>
      <c r="L22" s="95">
        <v>-50.39999999999997</v>
      </c>
      <c r="N22" s="111" t="s">
        <v>171</v>
      </c>
      <c r="O22" s="121">
        <f t="shared" si="2"/>
        <v>-2.9208333333333338</v>
      </c>
      <c r="P22" s="115">
        <v>24</v>
      </c>
      <c r="Q22" s="103">
        <v>-70.100000000000009</v>
      </c>
    </row>
    <row r="23" spans="1:17" x14ac:dyDescent="0.4">
      <c r="A23" s="51" t="s">
        <v>192</v>
      </c>
      <c r="B23" s="44">
        <v>200</v>
      </c>
      <c r="C23" s="37">
        <f>IF(B$19=0,0,B23/B$19)</f>
        <v>0.57971014492753625</v>
      </c>
      <c r="E23" s="59" t="s">
        <v>73</v>
      </c>
      <c r="F23" s="56" t="s">
        <v>28</v>
      </c>
      <c r="G23" s="44">
        <v>2</v>
      </c>
      <c r="H23" s="129">
        <f>IF(B$19=0,0,G23/B$19)</f>
        <v>5.7971014492753624E-3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 t="shared" si="2"/>
        <v>-5.901492537313433</v>
      </c>
      <c r="P23" s="115">
        <v>67</v>
      </c>
      <c r="Q23" s="103">
        <v>-395.40000000000003</v>
      </c>
    </row>
    <row r="24" spans="1:17" x14ac:dyDescent="0.4">
      <c r="A24" s="51" t="s">
        <v>190</v>
      </c>
      <c r="B24" s="44">
        <v>91</v>
      </c>
      <c r="C24" s="37">
        <f>IF(B$19=0,0,B24/B$19)</f>
        <v>0.26376811594202898</v>
      </c>
      <c r="E24" s="59" t="s">
        <v>75</v>
      </c>
      <c r="F24" s="56" t="s">
        <v>30</v>
      </c>
      <c r="G24" s="44">
        <v>2</v>
      </c>
      <c r="H24" s="129">
        <f>IF(B$19=0,0,G24/B$19)</f>
        <v>5.7971014492753624E-3</v>
      </c>
      <c r="I24" s="90">
        <v>7</v>
      </c>
      <c r="K24" s="36">
        <v>22</v>
      </c>
      <c r="L24" s="95">
        <v>-21.799999999999969</v>
      </c>
    </row>
    <row r="25" spans="1:17" x14ac:dyDescent="0.4">
      <c r="A25" s="51" t="s">
        <v>191</v>
      </c>
      <c r="B25" s="44">
        <v>54</v>
      </c>
      <c r="C25" s="37">
        <f>IF(B$19=0,0,B25/B$19)</f>
        <v>0.15652173913043479</v>
      </c>
      <c r="E25" s="59" t="s">
        <v>77</v>
      </c>
      <c r="F25" s="56" t="s">
        <v>32</v>
      </c>
      <c r="G25" s="44">
        <v>2</v>
      </c>
      <c r="H25" s="129">
        <f>IF(B$19=0,0,G25/B$19)</f>
        <v>5.7971014492753624E-3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1" t="s">
        <v>5</v>
      </c>
      <c r="B26" s="48">
        <f>IF(B$19=0,0,C26/B$19)</f>
        <v>11155.36231884058</v>
      </c>
      <c r="C26" s="39">
        <v>3848600</v>
      </c>
      <c r="E26" s="59" t="s">
        <v>90</v>
      </c>
      <c r="F26" s="56" t="s">
        <v>45</v>
      </c>
      <c r="G26" s="44">
        <v>2</v>
      </c>
      <c r="H26" s="129">
        <f>IF(B$19=0,0,G26/B$19)</f>
        <v>5.7971014492753624E-3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2" t="s">
        <v>174</v>
      </c>
      <c r="B27" s="136">
        <f>IF($B$19-B$18=0,0,C27/($B$19-B$18))</f>
        <v>11805.118110236221</v>
      </c>
      <c r="C27" s="137">
        <v>2998500</v>
      </c>
      <c r="E27" s="59" t="s">
        <v>88</v>
      </c>
      <c r="F27" s="56" t="s">
        <v>43</v>
      </c>
      <c r="G27" s="44">
        <v>1</v>
      </c>
      <c r="H27" s="129">
        <f>IF(B$19=0,0,G27/B$19)</f>
        <v>2.8985507246376812E-3</v>
      </c>
      <c r="I27" s="90">
        <v>4</v>
      </c>
      <c r="K27" s="36">
        <v>25</v>
      </c>
      <c r="L27" s="95">
        <v>-37.699999999999974</v>
      </c>
    </row>
    <row r="28" spans="1:17" x14ac:dyDescent="0.4">
      <c r="A28" s="52" t="s">
        <v>175</v>
      </c>
      <c r="B28" s="136">
        <f>IF(B$18=0,0,C28/B$18)</f>
        <v>9341.7582417582416</v>
      </c>
      <c r="C28" s="137">
        <v>850100</v>
      </c>
      <c r="E28" s="59" t="s">
        <v>93</v>
      </c>
      <c r="F28" s="56" t="s">
        <v>48</v>
      </c>
      <c r="G28" s="44">
        <v>1</v>
      </c>
      <c r="H28" s="129">
        <f>IF(B$19=0,0,G28/B$19)</f>
        <v>2.8985507246376812E-3</v>
      </c>
      <c r="I28" s="90">
        <v>2</v>
      </c>
      <c r="K28" s="36">
        <v>26</v>
      </c>
      <c r="L28" s="95">
        <v>-84.999999999999972</v>
      </c>
    </row>
    <row r="29" spans="1:17" x14ac:dyDescent="0.4">
      <c r="A29" s="52" t="s">
        <v>173</v>
      </c>
      <c r="B29" s="136">
        <f>IF(B$20=0,0,C29/B$20)</f>
        <v>-8355.8139534883721</v>
      </c>
      <c r="C29" s="137">
        <v>-1796500</v>
      </c>
      <c r="E29" s="59" t="s">
        <v>95</v>
      </c>
      <c r="F29" s="56" t="s">
        <v>50</v>
      </c>
      <c r="G29" s="44">
        <v>1</v>
      </c>
      <c r="H29" s="129">
        <f>IF(B$19=0,0,G29/B$19)</f>
        <v>2.8985507246376812E-3</v>
      </c>
      <c r="I29" s="90">
        <v>3</v>
      </c>
      <c r="K29" s="36">
        <v>27</v>
      </c>
      <c r="L29" s="95">
        <v>-31.499999999999972</v>
      </c>
    </row>
    <row r="30" spans="1:17" x14ac:dyDescent="0.4">
      <c r="A30" s="51" t="s">
        <v>164</v>
      </c>
      <c r="B30" s="44">
        <v>5</v>
      </c>
      <c r="C30" s="131">
        <v>1</v>
      </c>
      <c r="E30" s="59" t="s">
        <v>97</v>
      </c>
      <c r="F30" s="56" t="s">
        <v>52</v>
      </c>
      <c r="G30" s="44">
        <v>1</v>
      </c>
      <c r="H30" s="129">
        <f>IF(B$19=0,0,G30/B$19)</f>
        <v>2.8985507246376812E-3</v>
      </c>
      <c r="I30" s="90">
        <v>1</v>
      </c>
      <c r="K30" s="36">
        <v>28</v>
      </c>
      <c r="L30" s="95">
        <v>-10.999999999999972</v>
      </c>
    </row>
    <row r="31" spans="1:17" x14ac:dyDescent="0.4">
      <c r="A31" s="51" t="s">
        <v>165</v>
      </c>
      <c r="B31" s="44">
        <v>25</v>
      </c>
      <c r="C31" s="131">
        <v>4</v>
      </c>
      <c r="E31" s="59" t="s">
        <v>74</v>
      </c>
      <c r="F31" s="56" t="s">
        <v>29</v>
      </c>
      <c r="G31" s="44">
        <v>0</v>
      </c>
      <c r="H31" s="129">
        <f>IF(B$19=0,0,G31/B$19)</f>
        <v>0</v>
      </c>
      <c r="I31" s="90">
        <v>7</v>
      </c>
      <c r="K31" s="36">
        <v>29</v>
      </c>
      <c r="L31" s="95">
        <v>-16.499999999999972</v>
      </c>
    </row>
    <row r="32" spans="1:17" x14ac:dyDescent="0.4">
      <c r="A32" s="86" t="s">
        <v>138</v>
      </c>
      <c r="B32" s="150">
        <v>8</v>
      </c>
      <c r="C32" s="151"/>
      <c r="E32" s="59" t="s">
        <v>76</v>
      </c>
      <c r="F32" s="56" t="s">
        <v>31</v>
      </c>
      <c r="G32" s="44">
        <v>0</v>
      </c>
      <c r="H32" s="129">
        <f>IF(B$19=0,0,G32/B$19)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4" t="s">
        <v>189</v>
      </c>
      <c r="B33" s="148">
        <v>122100</v>
      </c>
      <c r="C33" s="149"/>
      <c r="E33" s="59" t="s">
        <v>80</v>
      </c>
      <c r="F33" s="56" t="s">
        <v>35</v>
      </c>
      <c r="G33" s="44">
        <v>0</v>
      </c>
      <c r="H33" s="129">
        <f>IF(B$19=0,0,G33/B$19)</f>
        <v>0</v>
      </c>
      <c r="I33" s="90">
        <v>1</v>
      </c>
      <c r="K33" s="36">
        <v>31</v>
      </c>
      <c r="L33" s="95">
        <v>73.900000000000034</v>
      </c>
    </row>
    <row r="34" spans="1:12" x14ac:dyDescent="0.4">
      <c r="A34" s="53" t="s">
        <v>139</v>
      </c>
      <c r="B34" s="61">
        <v>2</v>
      </c>
      <c r="C34" s="40">
        <f>IF(B$3=0,0,B34/B$3)</f>
        <v>1.6025641025641025E-3</v>
      </c>
      <c r="E34" s="59" t="s">
        <v>82</v>
      </c>
      <c r="F34" s="56" t="s">
        <v>37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96.100000000000037</v>
      </c>
    </row>
    <row r="35" spans="1:12" x14ac:dyDescent="0.4">
      <c r="E35" s="59" t="s">
        <v>87</v>
      </c>
      <c r="F35" s="56" t="s">
        <v>42</v>
      </c>
      <c r="G35" s="44">
        <v>0</v>
      </c>
      <c r="H35" s="129">
        <f>IF(B$19=0,0,G35/B$19)</f>
        <v>0</v>
      </c>
      <c r="I35" s="90">
        <v>7</v>
      </c>
      <c r="K35" s="36">
        <v>33</v>
      </c>
      <c r="L35" s="95">
        <v>112.00000000000004</v>
      </c>
    </row>
    <row r="36" spans="1:12" x14ac:dyDescent="0.4">
      <c r="A36" s="86" t="s">
        <v>180</v>
      </c>
      <c r="B36" s="144">
        <v>10</v>
      </c>
      <c r="C36" s="141">
        <f t="shared" ref="C36:C48" si="3">IF(B$19=0,0,B36/B$19)</f>
        <v>2.8985507246376812E-2</v>
      </c>
      <c r="E36" s="59" t="s">
        <v>94</v>
      </c>
      <c r="F36" s="56" t="s">
        <v>49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110.00000000000004</v>
      </c>
    </row>
    <row r="37" spans="1:12" x14ac:dyDescent="0.4">
      <c r="A37" s="51" t="s">
        <v>176</v>
      </c>
      <c r="B37" s="44">
        <v>27</v>
      </c>
      <c r="C37" s="37">
        <f t="shared" si="3"/>
        <v>7.8260869565217397E-2</v>
      </c>
      <c r="E37" s="59" t="s">
        <v>96</v>
      </c>
      <c r="F37" s="56" t="s">
        <v>51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177</v>
      </c>
      <c r="B38" s="145">
        <v>46</v>
      </c>
      <c r="C38" s="37">
        <f t="shared" si="3"/>
        <v>0.13333333333333333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178</v>
      </c>
      <c r="B39" s="145">
        <v>64</v>
      </c>
      <c r="C39" s="37">
        <f t="shared" si="3"/>
        <v>0.1855072463768116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179</v>
      </c>
      <c r="B40" s="145">
        <v>73</v>
      </c>
      <c r="C40" s="37">
        <f t="shared" si="3"/>
        <v>0.21159420289855072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181</v>
      </c>
      <c r="B41" s="145">
        <v>48</v>
      </c>
      <c r="C41" s="37">
        <f t="shared" si="3"/>
        <v>0.1391304347826087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182</v>
      </c>
      <c r="B42" s="145">
        <v>26</v>
      </c>
      <c r="C42" s="37">
        <f t="shared" si="3"/>
        <v>7.5362318840579715E-2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183</v>
      </c>
      <c r="B43" s="145">
        <v>22</v>
      </c>
      <c r="C43" s="37">
        <f t="shared" si="3"/>
        <v>6.3768115942028983E-2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1" t="s">
        <v>184</v>
      </c>
      <c r="B44" s="145">
        <v>11</v>
      </c>
      <c r="C44" s="37">
        <f t="shared" si="3"/>
        <v>3.1884057971014491E-2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A45" s="51" t="s">
        <v>185</v>
      </c>
      <c r="B45" s="145">
        <v>3</v>
      </c>
      <c r="C45" s="37">
        <f t="shared" si="3"/>
        <v>8.6956521739130436E-3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A46" s="51" t="s">
        <v>186</v>
      </c>
      <c r="B46" s="145">
        <v>3</v>
      </c>
      <c r="C46" s="37">
        <f t="shared" si="3"/>
        <v>8.6956521739130436E-3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A47" s="51" t="s">
        <v>187</v>
      </c>
      <c r="B47" s="145">
        <v>1</v>
      </c>
      <c r="C47" s="37">
        <f t="shared" si="3"/>
        <v>2.8985507246376812E-3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A48" s="53" t="s">
        <v>188</v>
      </c>
      <c r="B48" s="140">
        <v>11</v>
      </c>
      <c r="C48" s="40">
        <f t="shared" si="3"/>
        <v>3.1884057971014491E-2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  <row r="120" spans="11:12" x14ac:dyDescent="0.4">
      <c r="K120" s="36">
        <v>118</v>
      </c>
      <c r="L120" s="95">
        <v>706.10000000000036</v>
      </c>
    </row>
    <row r="121" spans="11:12" x14ac:dyDescent="0.4">
      <c r="K121" s="36">
        <v>119</v>
      </c>
      <c r="L121" s="95">
        <v>672.80000000000041</v>
      </c>
    </row>
    <row r="122" spans="11:12" x14ac:dyDescent="0.4">
      <c r="K122" s="36">
        <v>120</v>
      </c>
      <c r="L122" s="95">
        <v>622.40000000000043</v>
      </c>
    </row>
    <row r="123" spans="11:12" x14ac:dyDescent="0.4">
      <c r="K123" s="36">
        <v>121</v>
      </c>
      <c r="L123" s="95">
        <v>623.70000000000039</v>
      </c>
    </row>
    <row r="124" spans="11:12" x14ac:dyDescent="0.4">
      <c r="K124" s="36">
        <v>122</v>
      </c>
      <c r="L124" s="95">
        <v>609.30000000000041</v>
      </c>
    </row>
    <row r="125" spans="11:12" x14ac:dyDescent="0.4">
      <c r="K125" s="36">
        <v>123</v>
      </c>
      <c r="L125" s="95">
        <v>621.50000000000045</v>
      </c>
    </row>
    <row r="126" spans="11:12" x14ac:dyDescent="0.4">
      <c r="K126" s="36">
        <v>124</v>
      </c>
      <c r="L126" s="95">
        <v>571.00000000000045</v>
      </c>
    </row>
    <row r="127" spans="11:12" x14ac:dyDescent="0.4">
      <c r="K127" s="36">
        <v>125</v>
      </c>
      <c r="L127" s="95">
        <v>505.50000000000045</v>
      </c>
    </row>
    <row r="128" spans="11:12" x14ac:dyDescent="0.4">
      <c r="K128" s="36">
        <v>126</v>
      </c>
      <c r="L128" s="95">
        <v>475.00000000000045</v>
      </c>
    </row>
    <row r="129" spans="11:12" x14ac:dyDescent="0.4">
      <c r="K129" s="36">
        <v>127</v>
      </c>
      <c r="L129" s="95">
        <v>531.30000000000041</v>
      </c>
    </row>
    <row r="130" spans="11:12" x14ac:dyDescent="0.4">
      <c r="K130" s="36">
        <v>128</v>
      </c>
      <c r="L130" s="95">
        <v>494.10000000000042</v>
      </c>
    </row>
    <row r="131" spans="11:12" x14ac:dyDescent="0.4">
      <c r="K131" s="36">
        <v>129</v>
      </c>
      <c r="L131" s="95">
        <v>529.80000000000041</v>
      </c>
    </row>
    <row r="132" spans="11:12" x14ac:dyDescent="0.4">
      <c r="K132" s="36">
        <v>130</v>
      </c>
      <c r="L132" s="95">
        <v>512.20000000000039</v>
      </c>
    </row>
    <row r="133" spans="11:12" x14ac:dyDescent="0.4">
      <c r="K133" s="36">
        <v>131</v>
      </c>
      <c r="L133" s="95">
        <v>465.20000000000039</v>
      </c>
    </row>
    <row r="134" spans="11:12" x14ac:dyDescent="0.4">
      <c r="K134" s="36">
        <v>132</v>
      </c>
      <c r="L134" s="95">
        <v>452.20000000000039</v>
      </c>
    </row>
    <row r="135" spans="11:12" x14ac:dyDescent="0.4">
      <c r="K135" s="36">
        <v>133</v>
      </c>
      <c r="L135" s="95">
        <v>512.90000000000043</v>
      </c>
    </row>
    <row r="136" spans="11:12" x14ac:dyDescent="0.4">
      <c r="K136" s="36">
        <v>134</v>
      </c>
      <c r="L136" s="95">
        <v>544.10000000000048</v>
      </c>
    </row>
    <row r="137" spans="11:12" x14ac:dyDescent="0.4">
      <c r="K137" s="36">
        <v>135</v>
      </c>
      <c r="L137" s="95">
        <v>548.60000000000048</v>
      </c>
    </row>
    <row r="138" spans="11:12" x14ac:dyDescent="0.4">
      <c r="K138" s="36">
        <v>136</v>
      </c>
      <c r="L138" s="95">
        <v>555.10000000000048</v>
      </c>
    </row>
    <row r="139" spans="11:12" x14ac:dyDescent="0.4">
      <c r="K139" s="36">
        <v>137</v>
      </c>
      <c r="L139" s="95">
        <v>588.50000000000045</v>
      </c>
    </row>
    <row r="140" spans="11:12" x14ac:dyDescent="0.4">
      <c r="K140" s="36">
        <v>138</v>
      </c>
      <c r="L140" s="95">
        <v>556.7000000000005</v>
      </c>
    </row>
    <row r="141" spans="11:12" x14ac:dyDescent="0.4">
      <c r="K141" s="36">
        <v>139</v>
      </c>
      <c r="L141" s="95">
        <v>581.90000000000055</v>
      </c>
    </row>
    <row r="142" spans="11:12" x14ac:dyDescent="0.4">
      <c r="K142" s="36">
        <v>140</v>
      </c>
      <c r="L142" s="95">
        <v>587.90000000000055</v>
      </c>
    </row>
    <row r="143" spans="11:12" x14ac:dyDescent="0.4">
      <c r="K143" s="36">
        <v>141</v>
      </c>
      <c r="L143" s="95">
        <v>534.90000000000055</v>
      </c>
    </row>
    <row r="144" spans="11:12" x14ac:dyDescent="0.4">
      <c r="K144" s="36">
        <v>142</v>
      </c>
      <c r="L144" s="95">
        <v>551.50000000000057</v>
      </c>
    </row>
    <row r="145" spans="11:12" x14ac:dyDescent="0.4">
      <c r="K145" s="36">
        <v>143</v>
      </c>
      <c r="L145" s="95">
        <v>528.30000000000052</v>
      </c>
    </row>
    <row r="146" spans="11:12" x14ac:dyDescent="0.4">
      <c r="K146" s="36">
        <v>144</v>
      </c>
      <c r="L146" s="95">
        <v>480.90000000000055</v>
      </c>
    </row>
    <row r="147" spans="11:12" x14ac:dyDescent="0.4">
      <c r="K147" s="36">
        <v>145</v>
      </c>
      <c r="L147" s="95">
        <v>496.00000000000057</v>
      </c>
    </row>
    <row r="148" spans="11:12" x14ac:dyDescent="0.4">
      <c r="K148" s="36">
        <v>146</v>
      </c>
      <c r="L148" s="95">
        <v>449.90000000000055</v>
      </c>
    </row>
    <row r="149" spans="11:12" x14ac:dyDescent="0.4">
      <c r="K149" s="36">
        <v>147</v>
      </c>
      <c r="L149" s="95">
        <v>524.00000000000057</v>
      </c>
    </row>
    <row r="150" spans="11:12" x14ac:dyDescent="0.4">
      <c r="K150" s="36">
        <v>148</v>
      </c>
      <c r="L150" s="95">
        <v>514.50000000000057</v>
      </c>
    </row>
    <row r="151" spans="11:12" x14ac:dyDescent="0.4">
      <c r="K151" s="36">
        <v>149</v>
      </c>
      <c r="L151" s="95">
        <v>570.00000000000057</v>
      </c>
    </row>
    <row r="152" spans="11:12" x14ac:dyDescent="0.4">
      <c r="K152" s="36">
        <v>150</v>
      </c>
      <c r="L152" s="95">
        <v>598.20000000000061</v>
      </c>
    </row>
    <row r="153" spans="11:12" x14ac:dyDescent="0.4">
      <c r="K153" s="36">
        <v>151</v>
      </c>
      <c r="L153" s="95">
        <v>593.50000000000057</v>
      </c>
    </row>
    <row r="154" spans="11:12" x14ac:dyDescent="0.4">
      <c r="K154" s="36">
        <v>152</v>
      </c>
      <c r="L154" s="95">
        <v>623.50000000000057</v>
      </c>
    </row>
    <row r="155" spans="11:12" x14ac:dyDescent="0.4">
      <c r="K155" s="36">
        <v>153</v>
      </c>
      <c r="L155" s="95">
        <v>682.50000000000057</v>
      </c>
    </row>
    <row r="156" spans="11:12" x14ac:dyDescent="0.4">
      <c r="K156" s="36">
        <v>154</v>
      </c>
      <c r="L156" s="95">
        <v>699.00000000000057</v>
      </c>
    </row>
    <row r="157" spans="11:12" x14ac:dyDescent="0.4">
      <c r="K157" s="36">
        <v>155</v>
      </c>
      <c r="L157" s="95">
        <v>713.80000000000052</v>
      </c>
    </row>
  </sheetData>
  <sortState xmlns:xlrd2="http://schemas.microsoft.com/office/spreadsheetml/2017/richdata2" ref="E2:I15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42F9D-52B8-460A-98A5-28FBA896F7C4}">
  <sheetPr codeName="Sheet17"/>
  <dimension ref="A1:Q1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206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156</v>
      </c>
      <c r="C2" s="157"/>
      <c r="E2" s="58" t="s">
        <v>66</v>
      </c>
      <c r="F2" s="55" t="s">
        <v>22</v>
      </c>
      <c r="G2" s="43">
        <v>254</v>
      </c>
      <c r="H2" s="128">
        <f>IF(B$19=0,0,G2/B$19)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">
      <c r="A3" s="51" t="s">
        <v>8</v>
      </c>
      <c r="B3" s="158">
        <v>1262</v>
      </c>
      <c r="C3" s="159"/>
      <c r="E3" s="59" t="s">
        <v>72</v>
      </c>
      <c r="F3" s="56" t="s">
        <v>27</v>
      </c>
      <c r="G3" s="44">
        <v>193</v>
      </c>
      <c r="H3" s="129">
        <f>IF(B$19=0,0,G3/B$19)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">
      <c r="A4" s="51" t="s">
        <v>6</v>
      </c>
      <c r="B4" s="160">
        <v>-82.1</v>
      </c>
      <c r="C4" s="161"/>
      <c r="E4" s="59" t="s">
        <v>64</v>
      </c>
      <c r="F4" s="56" t="s">
        <v>20</v>
      </c>
      <c r="G4" s="44">
        <v>171</v>
      </c>
      <c r="H4" s="129">
        <f>IF(B$19=0,0,G4/B$19)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">
      <c r="A5" s="51" t="s">
        <v>7</v>
      </c>
      <c r="B5" s="162">
        <f>IF(B$2=0,0,B$4/B$2)</f>
        <v>-0.5262820512820513</v>
      </c>
      <c r="C5" s="163"/>
      <c r="E5" s="59" t="s">
        <v>166</v>
      </c>
      <c r="F5" s="56" t="s">
        <v>167</v>
      </c>
      <c r="G5" s="44">
        <v>154</v>
      </c>
      <c r="H5" s="129">
        <f>IF(B$19=0,0,G5/B$19)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">
      <c r="A6" s="51" t="s">
        <v>1</v>
      </c>
      <c r="B6" s="152">
        <f>IF(B$2=0,0,(B$7*1+B$8*2+B$9*3)/B$2)</f>
        <v>2.0448717948717947</v>
      </c>
      <c r="C6" s="153"/>
      <c r="E6" s="59" t="s">
        <v>67</v>
      </c>
      <c r="F6" s="56" t="s">
        <v>23</v>
      </c>
      <c r="G6" s="44">
        <v>115</v>
      </c>
      <c r="H6" s="129">
        <f>IF(B$19=0,0,G6/B$19)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">
      <c r="A7" s="51" t="s">
        <v>2</v>
      </c>
      <c r="B7" s="44">
        <v>40</v>
      </c>
      <c r="C7" s="37">
        <f t="shared" ref="C7:C14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IF(B$19=0,0,G7/B$19)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IF(B$19=0,0,G8/B$19)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IF(B$19=0,0,G9/B$19)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38.264999999999993</v>
      </c>
      <c r="C10" s="147">
        <v>1530.5999999999997</v>
      </c>
      <c r="E10" s="59" t="s">
        <v>71</v>
      </c>
      <c r="F10" s="56" t="s">
        <v>26</v>
      </c>
      <c r="G10" s="44">
        <v>36</v>
      </c>
      <c r="H10" s="129">
        <f>IF(B$19=0,0,G10/B$19)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">
      <c r="A11" s="52" t="s">
        <v>200</v>
      </c>
      <c r="B11" s="146">
        <f>IF(B8=0,0,C11/B8)</f>
        <v>0.11594202898550743</v>
      </c>
      <c r="C11" s="147">
        <v>8.0000000000000124</v>
      </c>
      <c r="E11" s="59" t="s">
        <v>65</v>
      </c>
      <c r="F11" s="56" t="s">
        <v>21</v>
      </c>
      <c r="G11" s="44">
        <v>29</v>
      </c>
      <c r="H11" s="129">
        <f>IF(B$19=0,0,G11/B$19)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">
      <c r="A12" s="52" t="s">
        <v>201</v>
      </c>
      <c r="B12" s="146">
        <f>IF(B9=0,0,C12/B9)</f>
        <v>-34.482978723404244</v>
      </c>
      <c r="C12" s="147">
        <v>-1620.6999999999996</v>
      </c>
      <c r="E12" s="59" t="s">
        <v>70</v>
      </c>
      <c r="F12" s="56" t="s">
        <v>25</v>
      </c>
      <c r="G12" s="44">
        <v>26</v>
      </c>
      <c r="H12" s="129">
        <f>IF(B$19=0,0,G12/B$19)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">
      <c r="A13" s="52" t="s">
        <v>202</v>
      </c>
      <c r="B13" s="162">
        <f>AVERAGE(B10:B12)</f>
        <v>1.2993211018604189</v>
      </c>
      <c r="C13" s="163"/>
      <c r="E13" s="59" t="s">
        <v>86</v>
      </c>
      <c r="F13" s="56" t="s">
        <v>41</v>
      </c>
      <c r="G13" s="44">
        <v>18</v>
      </c>
      <c r="H13" s="129">
        <f>IF(B$19=0,0,G13/B$19)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13</v>
      </c>
      <c r="C14" s="40">
        <f t="shared" si="1"/>
        <v>8.3333333333333329E-2</v>
      </c>
      <c r="E14" s="59" t="s">
        <v>83</v>
      </c>
      <c r="F14" s="56" t="s">
        <v>38</v>
      </c>
      <c r="G14" s="44">
        <v>13</v>
      </c>
      <c r="H14" s="129">
        <f>IF(B$19=0,0,G14/B$19)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323</v>
      </c>
      <c r="C15" s="42">
        <f>IF(B$3=0,0,B15/B$3)</f>
        <v>0.25594294770206022</v>
      </c>
      <c r="E15" s="59" t="s">
        <v>79</v>
      </c>
      <c r="F15" s="56" t="s">
        <v>34</v>
      </c>
      <c r="G15" s="44">
        <v>7</v>
      </c>
      <c r="H15" s="129">
        <f>IF(B$19=0,0,G15/B$19)</f>
        <v>0.02</v>
      </c>
      <c r="I15" s="90">
        <v>4</v>
      </c>
      <c r="K15" s="36">
        <v>13</v>
      </c>
      <c r="L15" s="95">
        <v>-68.399999999999991</v>
      </c>
      <c r="N15" s="110" t="s">
        <v>219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118</v>
      </c>
      <c r="B16" s="44">
        <v>287</v>
      </c>
      <c r="C16" s="37">
        <f>IF(B$3=0,0,B16/B$3)</f>
        <v>0.22741679873217116</v>
      </c>
      <c r="E16" s="59" t="s">
        <v>78</v>
      </c>
      <c r="F16" s="56" t="s">
        <v>33</v>
      </c>
      <c r="G16" s="44">
        <v>6</v>
      </c>
      <c r="H16" s="129">
        <f>IF(B$19=0,0,G16/B$19)</f>
        <v>1.7142857142857144E-2</v>
      </c>
      <c r="I16" s="90">
        <v>7</v>
      </c>
      <c r="K16" s="36">
        <v>14</v>
      </c>
      <c r="L16" s="95">
        <v>-25.79999999999999</v>
      </c>
      <c r="N16" s="111" t="s">
        <v>243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123</v>
      </c>
      <c r="B17" s="43">
        <f>B23</f>
        <v>177</v>
      </c>
      <c r="C17" s="35">
        <f>IF(B$15=0,0,B17/B$15)</f>
        <v>0.54798761609907121</v>
      </c>
      <c r="E17" s="59" t="s">
        <v>162</v>
      </c>
      <c r="F17" s="56" t="s">
        <v>163</v>
      </c>
      <c r="G17" s="44">
        <v>6</v>
      </c>
      <c r="H17" s="129">
        <f>IF(B$19=0,0,G17/B$19)</f>
        <v>1.7142857142857144E-2</v>
      </c>
      <c r="I17" s="90">
        <v>4</v>
      </c>
      <c r="K17" s="36">
        <v>15</v>
      </c>
      <c r="L17" s="95">
        <v>-35.499999999999986</v>
      </c>
      <c r="N17" s="111" t="s">
        <v>194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">
      <c r="A18" s="50" t="s">
        <v>124</v>
      </c>
      <c r="B18" s="43">
        <f>B24</f>
        <v>120</v>
      </c>
      <c r="C18" s="35">
        <f>IF(B$16=0,0,B18/B$16)</f>
        <v>0.41811846689895471</v>
      </c>
      <c r="E18" s="59" t="s">
        <v>73</v>
      </c>
      <c r="F18" s="56" t="s">
        <v>28</v>
      </c>
      <c r="G18" s="44">
        <v>5</v>
      </c>
      <c r="H18" s="129">
        <f>IF(B$19=0,0,G18/B$19)</f>
        <v>1.4285714285714285E-2</v>
      </c>
      <c r="I18" s="90">
        <v>1</v>
      </c>
      <c r="K18" s="36">
        <v>16</v>
      </c>
      <c r="L18" s="95">
        <v>-35.599999999999987</v>
      </c>
      <c r="N18" s="111" t="s">
        <v>171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">
      <c r="A19" s="50" t="s">
        <v>10</v>
      </c>
      <c r="B19" s="43">
        <f>B22+B21</f>
        <v>350</v>
      </c>
      <c r="C19" s="35">
        <f>IF(B$3=0,0,B19/B$3)</f>
        <v>0.27733755942947702</v>
      </c>
      <c r="E19" s="59" t="s">
        <v>81</v>
      </c>
      <c r="F19" s="56" t="s">
        <v>36</v>
      </c>
      <c r="G19" s="44">
        <v>5</v>
      </c>
      <c r="H19" s="129">
        <f>IF(B$19=0,0,G19/B$19)</f>
        <v>1.4285714285714285E-2</v>
      </c>
      <c r="I19" s="90">
        <v>9</v>
      </c>
      <c r="K19" s="36">
        <v>17</v>
      </c>
      <c r="L19" s="95">
        <v>-29.799999999999986</v>
      </c>
      <c r="N19" s="111" t="s">
        <v>193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177</v>
      </c>
      <c r="C20" s="37">
        <f>IF(B$3=0,0,B20/B$3)</f>
        <v>0.14025356576862125</v>
      </c>
      <c r="E20" s="59" t="s">
        <v>91</v>
      </c>
      <c r="F20" s="56" t="s">
        <v>46</v>
      </c>
      <c r="G20" s="44">
        <v>4</v>
      </c>
      <c r="H20" s="129">
        <f>IF(B$19=0,0,G20/B$19)</f>
        <v>1.1428571428571429E-2</v>
      </c>
      <c r="I20" s="90">
        <v>7</v>
      </c>
      <c r="K20" s="36">
        <v>18</v>
      </c>
      <c r="L20" s="95">
        <v>-62.399999999999991</v>
      </c>
      <c r="N20" s="111" t="s">
        <v>289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">
      <c r="A21" s="51" t="s">
        <v>12</v>
      </c>
      <c r="B21" s="44">
        <v>161</v>
      </c>
      <c r="C21" s="37">
        <f>IF(B$19=0,0,B21/B$19)</f>
        <v>0.46</v>
      </c>
      <c r="E21" s="59" t="s">
        <v>85</v>
      </c>
      <c r="F21" s="56" t="s">
        <v>40</v>
      </c>
      <c r="G21" s="44">
        <v>3</v>
      </c>
      <c r="H21" s="129">
        <f>IF(B$19=0,0,G21/B$19)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">
      <c r="A22" s="51" t="s">
        <v>11</v>
      </c>
      <c r="B22" s="44">
        <v>189</v>
      </c>
      <c r="C22" s="37">
        <f>IF(B$19=0,0,B22/B$19)</f>
        <v>0.54</v>
      </c>
      <c r="E22" s="59" t="s">
        <v>92</v>
      </c>
      <c r="F22" s="56" t="s">
        <v>47</v>
      </c>
      <c r="G22" s="44">
        <v>3</v>
      </c>
      <c r="H22" s="129">
        <f>IF(B$19=0,0,G22/B$19)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">
      <c r="A23" s="51" t="s">
        <v>192</v>
      </c>
      <c r="B23" s="44">
        <v>177</v>
      </c>
      <c r="C23" s="37">
        <f>IF(B$19=0,0,B23/B$19)</f>
        <v>0.50571428571428567</v>
      </c>
      <c r="E23" s="59" t="s">
        <v>75</v>
      </c>
      <c r="F23" s="56" t="s">
        <v>30</v>
      </c>
      <c r="G23" s="44">
        <v>2</v>
      </c>
      <c r="H23" s="129">
        <f>IF(B$19=0,0,G23/B$19)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">
      <c r="A24" s="51" t="s">
        <v>190</v>
      </c>
      <c r="B24" s="44">
        <v>120</v>
      </c>
      <c r="C24" s="37">
        <f>IF(B$19=0,0,B24/B$19)</f>
        <v>0.34285714285714286</v>
      </c>
      <c r="E24" s="59" t="s">
        <v>88</v>
      </c>
      <c r="F24" s="56" t="s">
        <v>43</v>
      </c>
      <c r="G24" s="44">
        <v>2</v>
      </c>
      <c r="H24" s="129">
        <f>IF(B$19=0,0,G24/B$19)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">
      <c r="A25" s="51" t="s">
        <v>191</v>
      </c>
      <c r="B25" s="44">
        <v>53</v>
      </c>
      <c r="C25" s="37">
        <f>IF(B$19=0,0,B25/B$19)</f>
        <v>0.15142857142857144</v>
      </c>
      <c r="E25" s="59" t="s">
        <v>74</v>
      </c>
      <c r="F25" s="56" t="s">
        <v>29</v>
      </c>
      <c r="G25" s="44">
        <v>1</v>
      </c>
      <c r="H25" s="129">
        <f>IF(B$19=0,0,G25/B$19)</f>
        <v>2.8571428571428571E-3</v>
      </c>
      <c r="I25" s="90">
        <v>6</v>
      </c>
      <c r="K25" s="36">
        <v>23</v>
      </c>
      <c r="L25" s="95">
        <v>-59.599999999999987</v>
      </c>
      <c r="N25" s="111" t="s">
        <v>283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">
      <c r="A26" s="51" t="s">
        <v>5</v>
      </c>
      <c r="B26" s="48">
        <f>IF(B$19=0,0,C26/B$19)</f>
        <v>8511.1428571428569</v>
      </c>
      <c r="C26" s="39">
        <v>2978900</v>
      </c>
      <c r="E26" s="59" t="s">
        <v>87</v>
      </c>
      <c r="F26" s="56" t="s">
        <v>42</v>
      </c>
      <c r="G26" s="44">
        <v>1</v>
      </c>
      <c r="H26" s="129">
        <f>IF(B$19=0,0,G26/B$19)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">
      <c r="A27" s="52" t="s">
        <v>174</v>
      </c>
      <c r="B27" s="136">
        <f>IF($B$19-B$18=0,0,C27/($B$19-B$18))</f>
        <v>9563.04347826087</v>
      </c>
      <c r="C27" s="137">
        <v>2199500</v>
      </c>
      <c r="E27" s="59" t="s">
        <v>93</v>
      </c>
      <c r="F27" s="56" t="s">
        <v>48</v>
      </c>
      <c r="G27" s="44">
        <v>1</v>
      </c>
      <c r="H27" s="129">
        <f>IF(B$19=0,0,G27/B$19)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">
      <c r="A28" s="52" t="s">
        <v>175</v>
      </c>
      <c r="B28" s="136">
        <f>IF(B$18=0,0,C28/B$18)</f>
        <v>6495</v>
      </c>
      <c r="C28" s="137">
        <v>779400</v>
      </c>
      <c r="E28" s="59" t="s">
        <v>101</v>
      </c>
      <c r="F28" s="56" t="s">
        <v>56</v>
      </c>
      <c r="G28" s="44">
        <v>1</v>
      </c>
      <c r="H28" s="129">
        <f>IF(B$19=0,0,G28/B$19)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">
      <c r="A29" s="52" t="s">
        <v>173</v>
      </c>
      <c r="B29" s="136">
        <f>IF(B$20=0,0,C29/B$20)</f>
        <v>-7195.4802259887001</v>
      </c>
      <c r="C29" s="137">
        <v>-1273600</v>
      </c>
      <c r="E29" s="59" t="s">
        <v>76</v>
      </c>
      <c r="F29" s="56" t="s">
        <v>31</v>
      </c>
      <c r="G29" s="44">
        <v>0</v>
      </c>
      <c r="H29" s="129">
        <f>IF(B$19=0,0,G29/B$19)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A30" s="51" t="s">
        <v>164</v>
      </c>
      <c r="B30" s="44">
        <v>6</v>
      </c>
      <c r="C30" s="131">
        <v>1</v>
      </c>
      <c r="E30" s="59" t="s">
        <v>77</v>
      </c>
      <c r="F30" s="56" t="s">
        <v>32</v>
      </c>
      <c r="G30" s="44">
        <v>0</v>
      </c>
      <c r="H30" s="129">
        <f>IF(B$19=0,0,G30/B$19)</f>
        <v>0</v>
      </c>
      <c r="I30" s="90">
        <v>6</v>
      </c>
      <c r="K30" s="36">
        <v>28</v>
      </c>
      <c r="L30" s="95">
        <v>-61.29999999999999</v>
      </c>
    </row>
    <row r="31" spans="1:17" x14ac:dyDescent="0.4">
      <c r="A31" s="51" t="s">
        <v>165</v>
      </c>
      <c r="B31" s="44">
        <v>44</v>
      </c>
      <c r="C31" s="131">
        <v>1</v>
      </c>
      <c r="E31" s="59" t="s">
        <v>80</v>
      </c>
      <c r="F31" s="56" t="s">
        <v>35</v>
      </c>
      <c r="G31" s="44">
        <v>0</v>
      </c>
      <c r="H31" s="129">
        <f>IF(B$19=0,0,G31/B$19)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138</v>
      </c>
      <c r="B32" s="150">
        <v>8</v>
      </c>
      <c r="C32" s="151"/>
      <c r="E32" s="59" t="s">
        <v>82</v>
      </c>
      <c r="F32" s="56" t="s">
        <v>37</v>
      </c>
      <c r="G32" s="44">
        <v>0</v>
      </c>
      <c r="H32" s="129">
        <f>IF(B$19=0,0,G32/B$19)</f>
        <v>0</v>
      </c>
      <c r="I32" s="90">
        <v>1</v>
      </c>
      <c r="K32" s="36">
        <v>30</v>
      </c>
      <c r="L32" s="95">
        <v>-107.29999999999998</v>
      </c>
    </row>
    <row r="33" spans="1:12" x14ac:dyDescent="0.4">
      <c r="A33" s="54" t="s">
        <v>189</v>
      </c>
      <c r="B33" s="148">
        <v>101400</v>
      </c>
      <c r="C33" s="149"/>
      <c r="E33" s="59" t="s">
        <v>84</v>
      </c>
      <c r="F33" s="56" t="s">
        <v>39</v>
      </c>
      <c r="G33" s="44">
        <v>0</v>
      </c>
      <c r="H33" s="129">
        <f>IF(B$19=0,0,G33/B$19)</f>
        <v>0</v>
      </c>
      <c r="I33" s="90">
        <v>6</v>
      </c>
      <c r="K33" s="36">
        <v>31</v>
      </c>
      <c r="L33" s="95">
        <v>-96.799999999999983</v>
      </c>
    </row>
    <row r="34" spans="1:12" x14ac:dyDescent="0.4">
      <c r="A34" s="53" t="s">
        <v>139</v>
      </c>
      <c r="B34" s="61">
        <v>2</v>
      </c>
      <c r="C34" s="40">
        <f>IF(B$3=0,0,B34/B$3)</f>
        <v>1.5847860538827259E-3</v>
      </c>
      <c r="E34" s="59" t="s">
        <v>90</v>
      </c>
      <c r="F34" s="56" t="s">
        <v>45</v>
      </c>
      <c r="G34" s="44">
        <v>0</v>
      </c>
      <c r="H34" s="129">
        <f>IF(B$19=0,0,G34/B$19)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E35" s="59" t="s">
        <v>94</v>
      </c>
      <c r="F35" s="56" t="s">
        <v>49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86" t="s">
        <v>180</v>
      </c>
      <c r="B36" s="144">
        <v>20</v>
      </c>
      <c r="C36" s="141">
        <f t="shared" ref="C36:C48" si="3">IF(B$19=0,0,B36/B$19)</f>
        <v>5.7142857142857141E-2</v>
      </c>
      <c r="E36" s="59" t="s">
        <v>95</v>
      </c>
      <c r="F36" s="56" t="s">
        <v>50</v>
      </c>
      <c r="G36" s="44">
        <v>0</v>
      </c>
      <c r="H36" s="129">
        <f>IF(B$19=0,0,G36/B$19)</f>
        <v>0</v>
      </c>
      <c r="I36" s="90">
        <v>6</v>
      </c>
      <c r="K36" s="36">
        <v>34</v>
      </c>
      <c r="L36" s="95">
        <v>-63.999999999999979</v>
      </c>
    </row>
    <row r="37" spans="1:12" x14ac:dyDescent="0.4">
      <c r="A37" s="51" t="s">
        <v>176</v>
      </c>
      <c r="B37" s="44">
        <v>64</v>
      </c>
      <c r="C37" s="37">
        <f t="shared" si="3"/>
        <v>0.18285714285714286</v>
      </c>
      <c r="E37" s="59" t="s">
        <v>96</v>
      </c>
      <c r="F37" s="56" t="s">
        <v>51</v>
      </c>
      <c r="G37" s="44">
        <v>0</v>
      </c>
      <c r="H37" s="129">
        <f>IF(B$19=0,0,G37/B$19)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177</v>
      </c>
      <c r="B38" s="145">
        <v>68</v>
      </c>
      <c r="C38" s="37">
        <f t="shared" si="3"/>
        <v>0.19428571428571428</v>
      </c>
      <c r="E38" s="59" t="s">
        <v>97</v>
      </c>
      <c r="F38" s="56" t="s">
        <v>52</v>
      </c>
      <c r="G38" s="44">
        <v>0</v>
      </c>
      <c r="H38" s="129">
        <f>IF(B$19=0,0,G38/B$19)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178</v>
      </c>
      <c r="B39" s="145">
        <v>67</v>
      </c>
      <c r="C39" s="37">
        <f t="shared" si="3"/>
        <v>0.19142857142857142</v>
      </c>
      <c r="E39" s="59" t="s">
        <v>98</v>
      </c>
      <c r="F39" s="56" t="s">
        <v>53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179</v>
      </c>
      <c r="B40" s="145">
        <v>49</v>
      </c>
      <c r="C40" s="37">
        <f t="shared" si="3"/>
        <v>0.14000000000000001</v>
      </c>
      <c r="E40" s="59" t="s">
        <v>99</v>
      </c>
      <c r="F40" s="56" t="s">
        <v>54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181</v>
      </c>
      <c r="B41" s="145">
        <v>41</v>
      </c>
      <c r="C41" s="37">
        <f t="shared" si="3"/>
        <v>0.11714285714285715</v>
      </c>
      <c r="E41" s="59" t="s">
        <v>100</v>
      </c>
      <c r="F41" s="56" t="s">
        <v>55</v>
      </c>
      <c r="G41" s="44">
        <v>0</v>
      </c>
      <c r="H41" s="129">
        <f>IF(B$19=0,0,G41/B$19)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182</v>
      </c>
      <c r="B42" s="145">
        <v>19</v>
      </c>
      <c r="C42" s="37">
        <f t="shared" si="3"/>
        <v>5.4285714285714284E-2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183</v>
      </c>
      <c r="B43" s="145">
        <v>9</v>
      </c>
      <c r="C43" s="37">
        <f t="shared" si="3"/>
        <v>2.5714285714285714E-2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1" t="s">
        <v>184</v>
      </c>
      <c r="B44" s="145">
        <v>3</v>
      </c>
      <c r="C44" s="37">
        <f t="shared" si="3"/>
        <v>8.5714285714285719E-3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A45" s="51" t="s">
        <v>185</v>
      </c>
      <c r="B45" s="145">
        <v>2</v>
      </c>
      <c r="C45" s="37">
        <f t="shared" si="3"/>
        <v>5.7142857142857143E-3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A46" s="51" t="s">
        <v>186</v>
      </c>
      <c r="B46" s="145">
        <v>1</v>
      </c>
      <c r="C46" s="37">
        <f t="shared" si="3"/>
        <v>2.8571428571428571E-3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A47" s="51" t="s">
        <v>187</v>
      </c>
      <c r="B47" s="145">
        <v>2</v>
      </c>
      <c r="C47" s="37">
        <f t="shared" si="3"/>
        <v>5.7142857142857143E-3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A48" s="53" t="s">
        <v>188</v>
      </c>
      <c r="B48" s="140">
        <v>5</v>
      </c>
      <c r="C48" s="40">
        <f t="shared" si="3"/>
        <v>1.4285714285714285E-2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  <row r="133" spans="11:12" x14ac:dyDescent="0.4">
      <c r="K133" s="36">
        <v>131</v>
      </c>
      <c r="L133" s="95">
        <v>-242.39999999999998</v>
      </c>
    </row>
    <row r="134" spans="11:12" x14ac:dyDescent="0.4">
      <c r="K134" s="36">
        <v>132</v>
      </c>
      <c r="L134" s="95">
        <v>-238.2</v>
      </c>
    </row>
    <row r="135" spans="11:12" x14ac:dyDescent="0.4">
      <c r="K135" s="36">
        <v>133</v>
      </c>
      <c r="L135" s="95">
        <v>-227.5</v>
      </c>
    </row>
    <row r="136" spans="11:12" x14ac:dyDescent="0.4">
      <c r="K136" s="36">
        <v>134</v>
      </c>
      <c r="L136" s="95">
        <v>-193.6</v>
      </c>
    </row>
    <row r="137" spans="11:12" x14ac:dyDescent="0.4">
      <c r="K137" s="36">
        <v>135</v>
      </c>
      <c r="L137" s="95">
        <v>-212.1</v>
      </c>
    </row>
    <row r="138" spans="11:12" x14ac:dyDescent="0.4">
      <c r="K138" s="36">
        <v>136</v>
      </c>
      <c r="L138" s="95">
        <v>-179.1</v>
      </c>
    </row>
    <row r="139" spans="11:12" x14ac:dyDescent="0.4">
      <c r="K139" s="36">
        <v>137</v>
      </c>
      <c r="L139" s="95">
        <v>-152.29999999999998</v>
      </c>
    </row>
    <row r="140" spans="11:12" x14ac:dyDescent="0.4">
      <c r="K140" s="36">
        <v>138</v>
      </c>
      <c r="L140" s="95">
        <v>-162.49999999999997</v>
      </c>
    </row>
    <row r="141" spans="11:12" x14ac:dyDescent="0.4">
      <c r="K141" s="36">
        <v>139</v>
      </c>
      <c r="L141" s="95">
        <v>-150.29999999999998</v>
      </c>
    </row>
    <row r="142" spans="11:12" x14ac:dyDescent="0.4">
      <c r="K142" s="36">
        <v>140</v>
      </c>
      <c r="L142" s="95">
        <v>-96.799999999999983</v>
      </c>
    </row>
    <row r="143" spans="11:12" x14ac:dyDescent="0.4">
      <c r="K143" s="36">
        <v>141</v>
      </c>
      <c r="L143" s="95">
        <v>-105.99999999999999</v>
      </c>
    </row>
    <row r="144" spans="11:12" x14ac:dyDescent="0.4">
      <c r="K144" s="36">
        <v>142</v>
      </c>
      <c r="L144" s="95">
        <v>-142.29999999999998</v>
      </c>
    </row>
    <row r="145" spans="11:12" x14ac:dyDescent="0.4">
      <c r="K145" s="36">
        <v>143</v>
      </c>
      <c r="L145" s="95">
        <v>-141.49999999999997</v>
      </c>
    </row>
    <row r="146" spans="11:12" x14ac:dyDescent="0.4">
      <c r="K146" s="36">
        <v>144</v>
      </c>
      <c r="L146" s="95">
        <v>-96.699999999999974</v>
      </c>
    </row>
    <row r="147" spans="11:12" x14ac:dyDescent="0.4">
      <c r="K147" s="36">
        <v>145</v>
      </c>
      <c r="L147" s="95">
        <v>-40.299999999999976</v>
      </c>
    </row>
    <row r="148" spans="11:12" x14ac:dyDescent="0.4">
      <c r="K148" s="36">
        <v>146</v>
      </c>
      <c r="L148" s="95">
        <v>-28.099999999999977</v>
      </c>
    </row>
    <row r="149" spans="11:12" x14ac:dyDescent="0.4">
      <c r="K149" s="36">
        <v>147</v>
      </c>
      <c r="L149" s="95">
        <v>-66.09999999999998</v>
      </c>
    </row>
    <row r="150" spans="11:12" x14ac:dyDescent="0.4">
      <c r="K150" s="36">
        <v>148</v>
      </c>
      <c r="L150" s="95">
        <v>-54.59999999999998</v>
      </c>
    </row>
    <row r="151" spans="11:12" x14ac:dyDescent="0.4">
      <c r="K151" s="36">
        <v>149</v>
      </c>
      <c r="L151" s="95">
        <v>-107.79999999999998</v>
      </c>
    </row>
    <row r="152" spans="11:12" x14ac:dyDescent="0.4">
      <c r="K152" s="36">
        <v>150</v>
      </c>
      <c r="L152" s="95">
        <v>-116.49999999999999</v>
      </c>
    </row>
    <row r="153" spans="11:12" x14ac:dyDescent="0.4">
      <c r="K153" s="36">
        <v>151</v>
      </c>
      <c r="L153" s="95">
        <v>-110.59999999999998</v>
      </c>
    </row>
    <row r="154" spans="11:12" x14ac:dyDescent="0.4">
      <c r="K154" s="36">
        <v>152</v>
      </c>
      <c r="L154" s="95">
        <v>-60.999999999999979</v>
      </c>
    </row>
    <row r="155" spans="11:12" x14ac:dyDescent="0.4">
      <c r="K155" s="36">
        <v>153</v>
      </c>
      <c r="L155" s="95">
        <v>-24.699999999999982</v>
      </c>
    </row>
    <row r="156" spans="11:12" x14ac:dyDescent="0.4">
      <c r="K156" s="36">
        <v>154</v>
      </c>
      <c r="L156" s="95">
        <v>-71.199999999999989</v>
      </c>
    </row>
    <row r="157" spans="11:12" x14ac:dyDescent="0.4">
      <c r="K157" s="36">
        <v>155</v>
      </c>
      <c r="L157" s="95">
        <v>-116.69999999999999</v>
      </c>
    </row>
    <row r="158" spans="11:12" x14ac:dyDescent="0.4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7EFA-D2B7-4C39-808D-0623C85115AA}">
  <sheetPr codeName="Sheet19"/>
  <dimension ref="A1:Q7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194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73</v>
      </c>
      <c r="C2" s="157"/>
      <c r="E2" s="58" t="s">
        <v>66</v>
      </c>
      <c r="F2" s="55" t="s">
        <v>22</v>
      </c>
      <c r="G2" s="43">
        <v>101</v>
      </c>
      <c r="H2" s="128">
        <f>IF(B$19=0,0,G2/B$19)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">
      <c r="A3" s="51" t="s">
        <v>8</v>
      </c>
      <c r="B3" s="158">
        <v>606</v>
      </c>
      <c r="C3" s="159"/>
      <c r="E3" s="59" t="s">
        <v>72</v>
      </c>
      <c r="F3" s="56" t="s">
        <v>27</v>
      </c>
      <c r="G3" s="44">
        <v>100</v>
      </c>
      <c r="H3" s="129">
        <f>IF(B$19=0,0,G3/B$19)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">
      <c r="A4" s="51" t="s">
        <v>6</v>
      </c>
      <c r="B4" s="160">
        <v>-864.60000000000025</v>
      </c>
      <c r="C4" s="161"/>
      <c r="E4" s="59" t="s">
        <v>64</v>
      </c>
      <c r="F4" s="56" t="s">
        <v>20</v>
      </c>
      <c r="G4" s="44">
        <v>62</v>
      </c>
      <c r="H4" s="129">
        <f>IF(B$19=0,0,G4/B$19)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">
      <c r="A5" s="51" t="s">
        <v>7</v>
      </c>
      <c r="B5" s="162">
        <f>IF(B$2=0,0,B$4/B$2)</f>
        <v>-11.84383561643836</v>
      </c>
      <c r="C5" s="163"/>
      <c r="E5" s="59" t="s">
        <v>166</v>
      </c>
      <c r="F5" s="56" t="s">
        <v>167</v>
      </c>
      <c r="G5" s="44">
        <v>53</v>
      </c>
      <c r="H5" s="129">
        <f>IF(B$19=0,0,G5/B$19)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">
      <c r="A6" s="51" t="s">
        <v>1</v>
      </c>
      <c r="B6" s="152">
        <f>IF(B$2=0,0,(B$7*1+B$8*2+B$9*3)/B$2)</f>
        <v>2.3013698630136985</v>
      </c>
      <c r="C6" s="153"/>
      <c r="E6" s="59" t="s">
        <v>68</v>
      </c>
      <c r="F6" s="56" t="s">
        <v>12</v>
      </c>
      <c r="G6" s="44">
        <v>42</v>
      </c>
      <c r="H6" s="129">
        <f>IF(B$19=0,0,G6/B$19)</f>
        <v>0.28000000000000003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">
      <c r="A7" s="51" t="s">
        <v>2</v>
      </c>
      <c r="B7" s="44">
        <v>11</v>
      </c>
      <c r="C7" s="37">
        <f t="shared" ref="C7:C14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IF(B$19=0,0,G7/B$19)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IF(B$19=0,0,G8/B$19)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IF(B$19=0,0,G9/B$19)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35.145454545454541</v>
      </c>
      <c r="C10" s="147">
        <v>386.59999999999997</v>
      </c>
      <c r="E10" s="59" t="s">
        <v>71</v>
      </c>
      <c r="F10" s="56" t="s">
        <v>26</v>
      </c>
      <c r="G10" s="44">
        <v>13</v>
      </c>
      <c r="H10" s="129">
        <f>IF(B$19=0,0,G10/B$19)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">
      <c r="A11" s="52" t="s">
        <v>200</v>
      </c>
      <c r="B11" s="146">
        <f>IF(B8=0,0,C11/B8)</f>
        <v>-0.85517241379310327</v>
      </c>
      <c r="C11" s="147">
        <v>-24.799999999999994</v>
      </c>
      <c r="E11" s="59" t="s">
        <v>69</v>
      </c>
      <c r="F11" s="56" t="s">
        <v>24</v>
      </c>
      <c r="G11" s="44">
        <v>12</v>
      </c>
      <c r="H11" s="129">
        <f>IF(B$19=0,0,G11/B$19)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">
      <c r="A12" s="52" t="s">
        <v>201</v>
      </c>
      <c r="B12" s="146">
        <f>IF(B9=0,0,C12/B9)</f>
        <v>-37.163636363636364</v>
      </c>
      <c r="C12" s="147">
        <v>-1226.4000000000001</v>
      </c>
      <c r="E12" s="59" t="s">
        <v>70</v>
      </c>
      <c r="F12" s="56" t="s">
        <v>25</v>
      </c>
      <c r="G12" s="44">
        <v>12</v>
      </c>
      <c r="H12" s="129">
        <f>IF(B$19=0,0,G12/B$19)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">
      <c r="A13" s="52" t="s">
        <v>202</v>
      </c>
      <c r="B13" s="162">
        <f>AVERAGE(B10:B12)</f>
        <v>-0.95778474399164304</v>
      </c>
      <c r="C13" s="163"/>
      <c r="E13" s="59" t="s">
        <v>81</v>
      </c>
      <c r="F13" s="56" t="s">
        <v>36</v>
      </c>
      <c r="G13" s="44">
        <v>9</v>
      </c>
      <c r="H13" s="129">
        <f>IF(B$19=0,0,G13/B$19)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13</v>
      </c>
      <c r="C14" s="40">
        <f t="shared" si="1"/>
        <v>0.17808219178082191</v>
      </c>
      <c r="E14" s="59" t="s">
        <v>83</v>
      </c>
      <c r="F14" s="56" t="s">
        <v>38</v>
      </c>
      <c r="G14" s="44">
        <v>9</v>
      </c>
      <c r="H14" s="129">
        <f>IF(B$19=0,0,G14/B$19)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128</v>
      </c>
      <c r="C15" s="42">
        <f>IF(B$3=0,0,B15/B$3)</f>
        <v>0.21122112211221122</v>
      </c>
      <c r="E15" s="59" t="s">
        <v>86</v>
      </c>
      <c r="F15" s="56" t="s">
        <v>41</v>
      </c>
      <c r="G15" s="44">
        <v>8</v>
      </c>
      <c r="H15" s="129">
        <f>IF(B$19=0,0,G15/B$19)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7.0285714285714267</v>
      </c>
      <c r="P15" s="114">
        <v>21</v>
      </c>
      <c r="Q15" s="102">
        <v>147.59999999999997</v>
      </c>
    </row>
    <row r="16" spans="1:17" x14ac:dyDescent="0.4">
      <c r="A16" s="51" t="s">
        <v>118</v>
      </c>
      <c r="B16" s="44">
        <v>138</v>
      </c>
      <c r="C16" s="37">
        <f>IF(B$3=0,0,B16/B$3)</f>
        <v>0.22772277227722773</v>
      </c>
      <c r="E16" s="59" t="s">
        <v>91</v>
      </c>
      <c r="F16" s="56" t="s">
        <v>46</v>
      </c>
      <c r="G16" s="44">
        <v>3</v>
      </c>
      <c r="H16" s="129">
        <f>IF(B$19=0,0,G16/B$19)</f>
        <v>0.02</v>
      </c>
      <c r="I16" s="90">
        <v>4</v>
      </c>
      <c r="K16" s="36">
        <v>14</v>
      </c>
      <c r="L16" s="95">
        <v>-266.90000000000003</v>
      </c>
      <c r="N16" s="111" t="s">
        <v>289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">
      <c r="A17" s="50" t="s">
        <v>123</v>
      </c>
      <c r="B17" s="43">
        <f>B23</f>
        <v>65</v>
      </c>
      <c r="C17" s="35">
        <f>IF(B$15=0,0,B17/B$15)</f>
        <v>0.5078125</v>
      </c>
      <c r="E17" s="59" t="s">
        <v>78</v>
      </c>
      <c r="F17" s="56" t="s">
        <v>33</v>
      </c>
      <c r="G17" s="44">
        <v>2</v>
      </c>
      <c r="H17" s="129">
        <f>IF(B$19=0,0,G17/B$19)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 t="shared" si="2"/>
        <v>-12.000000000000002</v>
      </c>
      <c r="P17" s="115">
        <v>17</v>
      </c>
      <c r="Q17" s="103">
        <v>-204.00000000000003</v>
      </c>
    </row>
    <row r="18" spans="1:17" x14ac:dyDescent="0.4">
      <c r="A18" s="50" t="s">
        <v>124</v>
      </c>
      <c r="B18" s="43">
        <f>B24</f>
        <v>57</v>
      </c>
      <c r="C18" s="35">
        <f>IF(B$16=0,0,B18/B$16)</f>
        <v>0.41304347826086957</v>
      </c>
      <c r="E18" s="59" t="s">
        <v>73</v>
      </c>
      <c r="F18" s="56" t="s">
        <v>28</v>
      </c>
      <c r="G18" s="44">
        <v>1</v>
      </c>
      <c r="H18" s="129">
        <f>IF(B$19=0,0,G18/B$19)</f>
        <v>6.6666666666666671E-3</v>
      </c>
      <c r="I18" s="90">
        <v>2</v>
      </c>
      <c r="K18" s="36">
        <v>16</v>
      </c>
      <c r="L18" s="95">
        <v>-320.30000000000007</v>
      </c>
      <c r="N18" s="111" t="s">
        <v>283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">
      <c r="A19" s="50" t="s">
        <v>10</v>
      </c>
      <c r="B19" s="43">
        <f>B22+B21</f>
        <v>150</v>
      </c>
      <c r="C19" s="35">
        <f>IF(B$3=0,0,B19/B$3)</f>
        <v>0.24752475247524752</v>
      </c>
      <c r="E19" s="59" t="s">
        <v>74</v>
      </c>
      <c r="F19" s="56" t="s">
        <v>29</v>
      </c>
      <c r="G19" s="44">
        <v>1</v>
      </c>
      <c r="H19" s="129">
        <f>IF(B$19=0,0,G19/B$19)</f>
        <v>6.6666666666666671E-3</v>
      </c>
      <c r="I19" s="90">
        <v>2</v>
      </c>
      <c r="K19" s="36">
        <v>17</v>
      </c>
      <c r="L19" s="95">
        <v>-352.60000000000008</v>
      </c>
      <c r="N19" s="111" t="s">
        <v>206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">
      <c r="A20" s="51" t="s">
        <v>13</v>
      </c>
      <c r="B20" s="44">
        <v>109</v>
      </c>
      <c r="C20" s="37">
        <f>IF(B$3=0,0,B20/B$3)</f>
        <v>0.17986798679867988</v>
      </c>
      <c r="E20" s="59" t="s">
        <v>79</v>
      </c>
      <c r="F20" s="56" t="s">
        <v>34</v>
      </c>
      <c r="G20" s="44">
        <v>1</v>
      </c>
      <c r="H20" s="129">
        <f>IF(B$19=0,0,G20/B$19)</f>
        <v>6.6666666666666671E-3</v>
      </c>
      <c r="I20" s="90">
        <v>10</v>
      </c>
      <c r="K20" s="36">
        <v>18</v>
      </c>
      <c r="L20" s="95">
        <v>-355.50000000000006</v>
      </c>
      <c r="N20" s="111" t="s">
        <v>243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">
      <c r="A21" s="51" t="s">
        <v>12</v>
      </c>
      <c r="B21" s="44">
        <v>69</v>
      </c>
      <c r="C21" s="37">
        <f>IF(B$19=0,0,B21/B$19)</f>
        <v>0.46</v>
      </c>
      <c r="E21" s="59" t="s">
        <v>92</v>
      </c>
      <c r="F21" s="56" t="s">
        <v>47</v>
      </c>
      <c r="G21" s="44">
        <v>1</v>
      </c>
      <c r="H21" s="129">
        <f>IF(B$19=0,0,G21/B$19)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 t="shared" si="2"/>
        <v>-19.176470588235293</v>
      </c>
      <c r="P21" s="115">
        <v>34</v>
      </c>
      <c r="Q21" s="103">
        <v>-652</v>
      </c>
    </row>
    <row r="22" spans="1:17" x14ac:dyDescent="0.4">
      <c r="A22" s="51" t="s">
        <v>11</v>
      </c>
      <c r="B22" s="44">
        <v>81</v>
      </c>
      <c r="C22" s="37">
        <f>IF(B$19=0,0,B22/B$19)</f>
        <v>0.54</v>
      </c>
      <c r="E22" s="59" t="s">
        <v>95</v>
      </c>
      <c r="F22" s="56" t="s">
        <v>50</v>
      </c>
      <c r="G22" s="44">
        <v>1</v>
      </c>
      <c r="H22" s="129">
        <f>IF(B$19=0,0,G22/B$19)</f>
        <v>6.6666666666666671E-3</v>
      </c>
      <c r="I22" s="90">
        <v>1</v>
      </c>
      <c r="K22" s="36">
        <v>20</v>
      </c>
      <c r="L22" s="95">
        <v>-428.10000000000008</v>
      </c>
      <c r="N22" s="111" t="s">
        <v>171</v>
      </c>
      <c r="O22" s="121">
        <f t="shared" si="2"/>
        <v>-21.183333333333334</v>
      </c>
      <c r="P22" s="115">
        <v>6</v>
      </c>
      <c r="Q22" s="103">
        <v>-127.1</v>
      </c>
    </row>
    <row r="23" spans="1:17" x14ac:dyDescent="0.4">
      <c r="A23" s="51" t="s">
        <v>192</v>
      </c>
      <c r="B23" s="44">
        <v>65</v>
      </c>
      <c r="C23" s="37">
        <f>IF(B$19=0,0,B23/B$19)</f>
        <v>0.43333333333333335</v>
      </c>
      <c r="E23" s="59" t="s">
        <v>162</v>
      </c>
      <c r="F23" s="56" t="s">
        <v>163</v>
      </c>
      <c r="G23" s="44">
        <v>1</v>
      </c>
      <c r="H23" s="129">
        <f>IF(B$19=0,0,G23/B$19)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 t="shared" si="2"/>
        <v>-28.712000000000018</v>
      </c>
      <c r="P23" s="115">
        <v>25</v>
      </c>
      <c r="Q23" s="103">
        <v>-717.80000000000041</v>
      </c>
    </row>
    <row r="24" spans="1:17" x14ac:dyDescent="0.4">
      <c r="A24" s="51" t="s">
        <v>190</v>
      </c>
      <c r="B24" s="44">
        <v>57</v>
      </c>
      <c r="C24" s="37">
        <f>IF(B$19=0,0,B24/B$19)</f>
        <v>0.38</v>
      </c>
      <c r="E24" s="59" t="s">
        <v>75</v>
      </c>
      <c r="F24" s="56" t="s">
        <v>30</v>
      </c>
      <c r="G24" s="44">
        <v>0</v>
      </c>
      <c r="H24" s="129">
        <f>IF(B$19=0,0,G24/B$19)</f>
        <v>0</v>
      </c>
      <c r="I24" s="90">
        <v>10</v>
      </c>
      <c r="K24" s="36">
        <v>22</v>
      </c>
      <c r="L24" s="95">
        <v>-465.00000000000011</v>
      </c>
      <c r="N24" s="111" t="s">
        <v>193</v>
      </c>
      <c r="O24" s="121">
        <f t="shared" si="2"/>
        <v>-56.614285714285721</v>
      </c>
      <c r="P24" s="115">
        <v>7</v>
      </c>
      <c r="Q24" s="103">
        <v>-396.30000000000007</v>
      </c>
    </row>
    <row r="25" spans="1:17" x14ac:dyDescent="0.4">
      <c r="A25" s="51" t="s">
        <v>191</v>
      </c>
      <c r="B25" s="44">
        <v>28</v>
      </c>
      <c r="C25" s="37">
        <f>IF(B$19=0,0,B25/B$19)</f>
        <v>0.18666666666666668</v>
      </c>
      <c r="E25" s="59" t="s">
        <v>76</v>
      </c>
      <c r="F25" s="56" t="s">
        <v>31</v>
      </c>
      <c r="G25" s="44">
        <v>0</v>
      </c>
      <c r="H25" s="129">
        <f>IF(B$19=0,0,G25/B$19)</f>
        <v>0</v>
      </c>
      <c r="I25" s="90">
        <v>1</v>
      </c>
      <c r="K25" s="36">
        <v>23</v>
      </c>
      <c r="L25" s="95">
        <v>-450.10000000000014</v>
      </c>
      <c r="N25" s="111" t="s">
        <v>219</v>
      </c>
      <c r="O25" s="121">
        <f t="shared" si="2"/>
        <v>-65.55</v>
      </c>
      <c r="P25" s="115">
        <v>2</v>
      </c>
      <c r="Q25" s="103">
        <v>-131.1</v>
      </c>
    </row>
    <row r="26" spans="1:17" x14ac:dyDescent="0.4">
      <c r="A26" s="51" t="s">
        <v>5</v>
      </c>
      <c r="B26" s="48">
        <f>IF(B$19=0,0,C26/B$19)</f>
        <v>8326.6666666666661</v>
      </c>
      <c r="C26" s="39">
        <v>1249000</v>
      </c>
      <c r="E26" s="59" t="s">
        <v>77</v>
      </c>
      <c r="F26" s="56" t="s">
        <v>32</v>
      </c>
      <c r="G26" s="44">
        <v>0</v>
      </c>
      <c r="H26" s="129">
        <f>IF(B$19=0,0,G26/B$19)</f>
        <v>0</v>
      </c>
      <c r="I26" s="90">
        <v>6</v>
      </c>
      <c r="K26" s="36">
        <v>24</v>
      </c>
      <c r="L26" s="95">
        <v>-474.10000000000014</v>
      </c>
    </row>
    <row r="27" spans="1:17" x14ac:dyDescent="0.4">
      <c r="A27" s="52" t="s">
        <v>174</v>
      </c>
      <c r="B27" s="136">
        <f>IF($B$19-B$18=0,0,C27/($B$19-B$18))</f>
        <v>8810.7526881720423</v>
      </c>
      <c r="C27" s="137">
        <v>819400</v>
      </c>
      <c r="E27" s="59" t="s">
        <v>80</v>
      </c>
      <c r="F27" s="56" t="s">
        <v>35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52" t="s">
        <v>175</v>
      </c>
      <c r="B28" s="136">
        <f>IF(B$18=0,0,C28/B$18)</f>
        <v>7536.8421052631575</v>
      </c>
      <c r="C28" s="137">
        <v>429600</v>
      </c>
      <c r="E28" s="59" t="s">
        <v>82</v>
      </c>
      <c r="F28" s="56" t="s">
        <v>37</v>
      </c>
      <c r="G28" s="44">
        <v>0</v>
      </c>
      <c r="H28" s="129">
        <f>IF(B$19=0,0,G28/B$19)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2" t="s">
        <v>173</v>
      </c>
      <c r="B29" s="136">
        <f>IF(B$20=0,0,C29/B$20)</f>
        <v>-8488.9908256880735</v>
      </c>
      <c r="C29" s="137">
        <v>-925300</v>
      </c>
      <c r="E29" s="59" t="s">
        <v>84</v>
      </c>
      <c r="F29" s="56" t="s">
        <v>39</v>
      </c>
      <c r="G29" s="44">
        <v>0</v>
      </c>
      <c r="H29" s="129">
        <f>IF(B$19=0,0,G29/B$19)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1" t="s">
        <v>164</v>
      </c>
      <c r="B30" s="44">
        <v>5</v>
      </c>
      <c r="C30" s="131">
        <v>0</v>
      </c>
      <c r="E30" s="59" t="s">
        <v>85</v>
      </c>
      <c r="F30" s="56" t="s">
        <v>40</v>
      </c>
      <c r="G30" s="44">
        <v>0</v>
      </c>
      <c r="H30" s="129">
        <f>IF(B$19=0,0,G30/B$19)</f>
        <v>0</v>
      </c>
      <c r="I30" s="90">
        <v>8</v>
      </c>
      <c r="K30" s="36">
        <v>28</v>
      </c>
      <c r="L30" s="95">
        <v>-447.30000000000013</v>
      </c>
    </row>
    <row r="31" spans="1:17" x14ac:dyDescent="0.4">
      <c r="A31" s="51" t="s">
        <v>165</v>
      </c>
      <c r="B31" s="44">
        <v>21</v>
      </c>
      <c r="C31" s="131">
        <v>3</v>
      </c>
      <c r="E31" s="59" t="s">
        <v>87</v>
      </c>
      <c r="F31" s="56" t="s">
        <v>42</v>
      </c>
      <c r="G31" s="44">
        <v>0</v>
      </c>
      <c r="H31" s="129">
        <f>IF(B$19=0,0,G31/B$19)</f>
        <v>0</v>
      </c>
      <c r="I31" s="90">
        <v>7</v>
      </c>
      <c r="K31" s="36">
        <v>29</v>
      </c>
      <c r="L31" s="95">
        <v>-442.60000000000014</v>
      </c>
    </row>
    <row r="32" spans="1:17" x14ac:dyDescent="0.4">
      <c r="A32" s="86" t="s">
        <v>138</v>
      </c>
      <c r="B32" s="150">
        <v>6</v>
      </c>
      <c r="C32" s="151"/>
      <c r="E32" s="59" t="s">
        <v>88</v>
      </c>
      <c r="F32" s="56" t="s">
        <v>43</v>
      </c>
      <c r="G32" s="44">
        <v>0</v>
      </c>
      <c r="H32" s="129">
        <f>IF(B$19=0,0,G32/B$19)</f>
        <v>0</v>
      </c>
      <c r="I32" s="90">
        <v>6</v>
      </c>
      <c r="K32" s="36">
        <v>30</v>
      </c>
      <c r="L32" s="95">
        <v>-472.50000000000011</v>
      </c>
    </row>
    <row r="33" spans="1:12" x14ac:dyDescent="0.4">
      <c r="A33" s="54" t="s">
        <v>189</v>
      </c>
      <c r="B33" s="148">
        <v>85100</v>
      </c>
      <c r="C33" s="149"/>
      <c r="E33" s="59" t="s">
        <v>90</v>
      </c>
      <c r="F33" s="56" t="s">
        <v>45</v>
      </c>
      <c r="G33" s="44">
        <v>0</v>
      </c>
      <c r="H33" s="129">
        <f>IF(B$19=0,0,G33/B$19)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3" t="s">
        <v>139</v>
      </c>
      <c r="B34" s="61">
        <v>3</v>
      </c>
      <c r="C34" s="40">
        <f>IF(B$3=0,0,B34/B$3)</f>
        <v>4.9504950495049506E-3</v>
      </c>
      <c r="E34" s="59" t="s">
        <v>93</v>
      </c>
      <c r="F34" s="56" t="s">
        <v>48</v>
      </c>
      <c r="G34" s="44">
        <v>0</v>
      </c>
      <c r="H34" s="129">
        <f>IF(B$19=0,0,G34/B$19)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E35" s="59" t="s">
        <v>94</v>
      </c>
      <c r="F35" s="56" t="s">
        <v>49</v>
      </c>
      <c r="G35" s="44">
        <v>0</v>
      </c>
      <c r="H35" s="129">
        <f>IF(B$19=0,0,G35/B$19)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86" t="s">
        <v>180</v>
      </c>
      <c r="B36" s="144">
        <v>12</v>
      </c>
      <c r="C36" s="141">
        <f t="shared" ref="C36:C48" si="3">IF(B$19=0,0,B36/B$19)</f>
        <v>0.08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176</v>
      </c>
      <c r="B37" s="44">
        <v>27</v>
      </c>
      <c r="C37" s="37">
        <f t="shared" si="3"/>
        <v>0.18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177</v>
      </c>
      <c r="B38" s="145">
        <v>30</v>
      </c>
      <c r="C38" s="37">
        <f t="shared" si="3"/>
        <v>0.2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178</v>
      </c>
      <c r="B39" s="145">
        <v>27</v>
      </c>
      <c r="C39" s="37">
        <f t="shared" si="3"/>
        <v>0.18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179</v>
      </c>
      <c r="B40" s="145">
        <v>22</v>
      </c>
      <c r="C40" s="37">
        <f t="shared" si="3"/>
        <v>0.14666666666666667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181</v>
      </c>
      <c r="B41" s="145">
        <v>12</v>
      </c>
      <c r="C41" s="37">
        <f t="shared" si="3"/>
        <v>0.08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182</v>
      </c>
      <c r="B42" s="145">
        <v>10</v>
      </c>
      <c r="C42" s="37">
        <f t="shared" si="3"/>
        <v>6.6666666666666666E-2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183</v>
      </c>
      <c r="B43" s="145">
        <v>6</v>
      </c>
      <c r="C43" s="37">
        <f t="shared" si="3"/>
        <v>0.04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1" t="s">
        <v>184</v>
      </c>
      <c r="B44" s="145">
        <v>0</v>
      </c>
      <c r="C44" s="37">
        <f t="shared" si="3"/>
        <v>0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A45" s="51" t="s">
        <v>185</v>
      </c>
      <c r="B45" s="145">
        <v>1</v>
      </c>
      <c r="C45" s="37">
        <f t="shared" si="3"/>
        <v>6.6666666666666671E-3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A46" s="51" t="s">
        <v>186</v>
      </c>
      <c r="B46" s="145">
        <v>1</v>
      </c>
      <c r="C46" s="37">
        <f t="shared" si="3"/>
        <v>6.6666666666666671E-3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  <c r="K46" s="36">
        <v>44</v>
      </c>
      <c r="L46" s="95">
        <v>-588.1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A48" s="53" t="s">
        <v>188</v>
      </c>
      <c r="B48" s="140">
        <v>2</v>
      </c>
      <c r="C48" s="40">
        <f t="shared" si="3"/>
        <v>1.3333333333333334E-2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  <row r="62" spans="5:12" x14ac:dyDescent="0.4">
      <c r="K62" s="36">
        <v>60</v>
      </c>
      <c r="L62" s="95">
        <v>-656.2</v>
      </c>
    </row>
    <row r="63" spans="5:12" x14ac:dyDescent="0.4">
      <c r="K63" s="36">
        <v>61</v>
      </c>
      <c r="L63" s="95">
        <v>-653.40000000000009</v>
      </c>
    </row>
    <row r="64" spans="5:12" x14ac:dyDescent="0.4">
      <c r="K64" s="36">
        <v>62</v>
      </c>
      <c r="L64" s="95">
        <v>-665.40000000000009</v>
      </c>
    </row>
    <row r="65" spans="11:12" x14ac:dyDescent="0.4">
      <c r="K65" s="36">
        <v>63</v>
      </c>
      <c r="L65" s="95">
        <v>-697.10000000000014</v>
      </c>
    </row>
    <row r="66" spans="11:12" x14ac:dyDescent="0.4">
      <c r="K66" s="36">
        <v>64</v>
      </c>
      <c r="L66" s="95">
        <v>-704.90000000000009</v>
      </c>
    </row>
    <row r="67" spans="11:12" x14ac:dyDescent="0.4">
      <c r="K67" s="36">
        <v>65</v>
      </c>
      <c r="L67" s="95">
        <v>-668.90000000000009</v>
      </c>
    </row>
    <row r="68" spans="11:12" x14ac:dyDescent="0.4">
      <c r="K68" s="36">
        <v>66</v>
      </c>
      <c r="L68" s="95">
        <v>-672.40000000000009</v>
      </c>
    </row>
    <row r="69" spans="11:12" x14ac:dyDescent="0.4">
      <c r="K69" s="36">
        <v>67</v>
      </c>
      <c r="L69" s="95">
        <v>-655.40000000000009</v>
      </c>
    </row>
    <row r="70" spans="11:12" x14ac:dyDescent="0.4">
      <c r="K70" s="36">
        <v>68</v>
      </c>
      <c r="L70" s="95">
        <v>-656.10000000000014</v>
      </c>
    </row>
    <row r="71" spans="11:12" x14ac:dyDescent="0.4">
      <c r="K71" s="36">
        <v>69</v>
      </c>
      <c r="L71" s="95">
        <v>-691.90000000000009</v>
      </c>
    </row>
    <row r="72" spans="11:12" x14ac:dyDescent="0.4">
      <c r="K72" s="36">
        <v>70</v>
      </c>
      <c r="L72" s="95">
        <v>-739.50000000000011</v>
      </c>
    </row>
    <row r="73" spans="11:12" x14ac:dyDescent="0.4">
      <c r="K73" s="36">
        <v>71</v>
      </c>
      <c r="L73" s="95">
        <v>-786.20000000000016</v>
      </c>
    </row>
    <row r="74" spans="11:12" x14ac:dyDescent="0.4">
      <c r="K74" s="36">
        <v>72</v>
      </c>
      <c r="L74" s="95">
        <v>-848.4000000000002</v>
      </c>
    </row>
    <row r="75" spans="11:12" x14ac:dyDescent="0.4">
      <c r="K75" s="36">
        <v>73</v>
      </c>
      <c r="L75" s="95">
        <v>-864.60000000000025</v>
      </c>
    </row>
  </sheetData>
  <sortState xmlns:xlrd2="http://schemas.microsoft.com/office/spreadsheetml/2017/richdata2" ref="E2:I7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8752-A713-4401-992E-9A4E38769E1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193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32</v>
      </c>
      <c r="C2" s="157"/>
      <c r="E2" s="58" t="s">
        <v>66</v>
      </c>
      <c r="F2" s="55" t="s">
        <v>22</v>
      </c>
      <c r="G2" s="43">
        <v>67</v>
      </c>
      <c r="H2" s="128">
        <f>IF(B$19=0,0,G2/B$19)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">
      <c r="A3" s="51" t="s">
        <v>8</v>
      </c>
      <c r="B3" s="158">
        <v>298</v>
      </c>
      <c r="C3" s="159"/>
      <c r="E3" s="59" t="s">
        <v>64</v>
      </c>
      <c r="F3" s="56" t="s">
        <v>20</v>
      </c>
      <c r="G3" s="44">
        <v>47</v>
      </c>
      <c r="H3" s="129">
        <f>IF(B$19=0,0,G3/B$19)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">
      <c r="A4" s="51" t="s">
        <v>6</v>
      </c>
      <c r="B4" s="160">
        <v>-96.699999999999974</v>
      </c>
      <c r="C4" s="161"/>
      <c r="E4" s="59" t="s">
        <v>68</v>
      </c>
      <c r="F4" s="56" t="s">
        <v>12</v>
      </c>
      <c r="G4" s="44">
        <v>36</v>
      </c>
      <c r="H4" s="129">
        <f>IF(B$19=0,0,G4/B$19)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">
      <c r="A5" s="51" t="s">
        <v>7</v>
      </c>
      <c r="B5" s="162">
        <f>IF(B$2=0,0,B$4/B$2)</f>
        <v>-3.0218749999999992</v>
      </c>
      <c r="C5" s="163"/>
      <c r="E5" s="59" t="s">
        <v>166</v>
      </c>
      <c r="F5" s="56" t="s">
        <v>167</v>
      </c>
      <c r="G5" s="44">
        <v>31</v>
      </c>
      <c r="H5" s="129">
        <f>IF(B$19=0,0,G5/B$19)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72</v>
      </c>
      <c r="F6" s="56" t="s">
        <v>27</v>
      </c>
      <c r="G6" s="44">
        <v>29</v>
      </c>
      <c r="H6" s="129">
        <f>IF(B$19=0,0,G6/B$19)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">
      <c r="A7" s="51" t="s">
        <v>2</v>
      </c>
      <c r="B7" s="44">
        <v>12</v>
      </c>
      <c r="C7" s="37">
        <f t="shared" ref="C7:C14" si="1">IF(B$2=0,0,B7/B$2)</f>
        <v>0.375</v>
      </c>
      <c r="E7" s="59" t="s">
        <v>67</v>
      </c>
      <c r="F7" s="56" t="s">
        <v>23</v>
      </c>
      <c r="G7" s="44">
        <v>17</v>
      </c>
      <c r="H7" s="129">
        <f>IF(B$19=0,0,G7/B$19)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IF(B$19=0,0,G8/B$19)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IF(B$19=0,0,G9/B$19)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28.716666666666669</v>
      </c>
      <c r="C10" s="147">
        <v>344.6</v>
      </c>
      <c r="E10" s="59" t="s">
        <v>70</v>
      </c>
      <c r="F10" s="56" t="s">
        <v>25</v>
      </c>
      <c r="G10" s="44">
        <v>8</v>
      </c>
      <c r="H10" s="129">
        <f>IF(B$19=0,0,G10/B$19)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">
      <c r="A11" s="52" t="s">
        <v>200</v>
      </c>
      <c r="B11" s="146">
        <f>IF(B8=0,0,C11/B8)</f>
        <v>-0.31249999999999956</v>
      </c>
      <c r="C11" s="147">
        <v>-2.4999999999999964</v>
      </c>
      <c r="E11" s="59" t="s">
        <v>89</v>
      </c>
      <c r="F11" s="56" t="s">
        <v>44</v>
      </c>
      <c r="G11" s="44">
        <v>7</v>
      </c>
      <c r="H11" s="129">
        <f>IF(B$19=0,0,G11/B$19)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">
      <c r="A12" s="52" t="s">
        <v>201</v>
      </c>
      <c r="B12" s="146">
        <f>IF(B9=0,0,C12/B9)</f>
        <v>-36.56666666666667</v>
      </c>
      <c r="C12" s="147">
        <v>-438.80000000000007</v>
      </c>
      <c r="E12" s="59" t="s">
        <v>71</v>
      </c>
      <c r="F12" s="56" t="s">
        <v>26</v>
      </c>
      <c r="G12" s="44">
        <v>6</v>
      </c>
      <c r="H12" s="129">
        <f>IF(B$19=0,0,G12/B$19)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">
      <c r="A13" s="52" t="s">
        <v>202</v>
      </c>
      <c r="B13" s="162">
        <f>AVERAGE(B10:B12)</f>
        <v>-2.7208333333333337</v>
      </c>
      <c r="C13" s="163"/>
      <c r="E13" s="59" t="s">
        <v>78</v>
      </c>
      <c r="F13" s="56" t="s">
        <v>33</v>
      </c>
      <c r="G13" s="44">
        <v>5</v>
      </c>
      <c r="H13" s="129">
        <f>IF(B$19=0,0,G13/B$19)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5</v>
      </c>
      <c r="C14" s="40">
        <f t="shared" si="1"/>
        <v>0.15625</v>
      </c>
      <c r="E14" s="59" t="s">
        <v>86</v>
      </c>
      <c r="F14" s="56" t="s">
        <v>41</v>
      </c>
      <c r="G14" s="44">
        <v>4</v>
      </c>
      <c r="H14" s="129">
        <f>IF(B$19=0,0,G14/B$19)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83</v>
      </c>
      <c r="C15" s="42">
        <f>IF(B$3=0,0,B15/B$3)</f>
        <v>0.27852348993288589</v>
      </c>
      <c r="E15" s="59" t="s">
        <v>83</v>
      </c>
      <c r="F15" s="56" t="s">
        <v>38</v>
      </c>
      <c r="G15" s="44">
        <v>2</v>
      </c>
      <c r="H15" s="129">
        <f>IF(B$19=0,0,G15/B$19)</f>
        <v>2.5974025974025976E-2</v>
      </c>
      <c r="I15" s="90">
        <v>12</v>
      </c>
      <c r="K15" s="36">
        <v>13</v>
      </c>
      <c r="L15" s="95">
        <v>76.7</v>
      </c>
      <c r="N15" s="110" t="s">
        <v>194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">
      <c r="A16" s="51" t="s">
        <v>118</v>
      </c>
      <c r="B16" s="44">
        <v>48</v>
      </c>
      <c r="C16" s="37">
        <f>IF(B$3=0,0,B16/B$3)</f>
        <v>0.16107382550335569</v>
      </c>
      <c r="E16" s="59" t="s">
        <v>75</v>
      </c>
      <c r="F16" s="56" t="s">
        <v>30</v>
      </c>
      <c r="G16" s="44">
        <v>1</v>
      </c>
      <c r="H16" s="129">
        <f>IF(B$19=0,0,G16/B$19)</f>
        <v>1.2987012987012988E-2</v>
      </c>
      <c r="I16" s="90">
        <v>2</v>
      </c>
      <c r="K16" s="36">
        <v>14</v>
      </c>
      <c r="L16" s="95">
        <v>49.900000000000006</v>
      </c>
      <c r="N16" s="111" t="s">
        <v>171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">
      <c r="A17" s="50" t="s">
        <v>123</v>
      </c>
      <c r="B17" s="43">
        <f>B23</f>
        <v>47</v>
      </c>
      <c r="C17" s="35">
        <f>IF(B$15=0,0,B17/B$15)</f>
        <v>0.5662650602409639</v>
      </c>
      <c r="E17" s="59" t="s">
        <v>81</v>
      </c>
      <c r="F17" s="56" t="s">
        <v>36</v>
      </c>
      <c r="G17" s="44">
        <v>1</v>
      </c>
      <c r="H17" s="129">
        <f>IF(B$19=0,0,G17/B$19)</f>
        <v>1.2987012987012988E-2</v>
      </c>
      <c r="I17" s="90">
        <v>10</v>
      </c>
      <c r="K17" s="36">
        <v>15</v>
      </c>
      <c r="L17" s="95">
        <v>73.7</v>
      </c>
      <c r="N17" s="111" t="s">
        <v>283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">
      <c r="A18" s="50" t="s">
        <v>124</v>
      </c>
      <c r="B18" s="43">
        <f>B24</f>
        <v>15</v>
      </c>
      <c r="C18" s="35">
        <f>IF(B$16=0,0,B18/B$16)</f>
        <v>0.3125</v>
      </c>
      <c r="E18" s="59" t="s">
        <v>85</v>
      </c>
      <c r="F18" s="56" t="s">
        <v>40</v>
      </c>
      <c r="G18" s="44">
        <v>1</v>
      </c>
      <c r="H18" s="129">
        <f>IF(B$19=0,0,G18/B$19)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">
      <c r="A19" s="50" t="s">
        <v>10</v>
      </c>
      <c r="B19" s="43">
        <f>B22+B21</f>
        <v>77</v>
      </c>
      <c r="C19" s="35">
        <f>IF(B$3=0,0,B19/B$3)</f>
        <v>0.25838926174496646</v>
      </c>
      <c r="E19" s="59" t="s">
        <v>87</v>
      </c>
      <c r="F19" s="56" t="s">
        <v>42</v>
      </c>
      <c r="G19" s="44">
        <v>1</v>
      </c>
      <c r="H19" s="129">
        <f>IF(B$19=0,0,G19/B$19)</f>
        <v>1.2987012987012988E-2</v>
      </c>
      <c r="I19" s="90">
        <v>2</v>
      </c>
      <c r="K19" s="36">
        <v>17</v>
      </c>
      <c r="L19" s="95">
        <v>49.800000000000004</v>
      </c>
      <c r="N19" s="111" t="s">
        <v>206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">
      <c r="A20" s="51" t="s">
        <v>13</v>
      </c>
      <c r="B20" s="44">
        <v>50</v>
      </c>
      <c r="C20" s="37">
        <f>IF(B$3=0,0,B20/B$3)</f>
        <v>0.16778523489932887</v>
      </c>
      <c r="E20" s="59" t="s">
        <v>162</v>
      </c>
      <c r="F20" s="56" t="s">
        <v>163</v>
      </c>
      <c r="G20" s="44">
        <v>1</v>
      </c>
      <c r="H20" s="129">
        <f>IF(B$19=0,0,G20/B$19)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">
      <c r="A21" s="51" t="s">
        <v>12</v>
      </c>
      <c r="B21" s="44">
        <v>45</v>
      </c>
      <c r="C21" s="37">
        <f>IF(B$19=0,0,B21/B$19)</f>
        <v>0.58441558441558439</v>
      </c>
      <c r="E21" s="59" t="s">
        <v>73</v>
      </c>
      <c r="F21" s="56" t="s">
        <v>28</v>
      </c>
      <c r="G21" s="44">
        <v>0</v>
      </c>
      <c r="H21" s="129">
        <f>IF(B$19=0,0,G21/B$19)</f>
        <v>0</v>
      </c>
      <c r="I21" s="90">
        <v>6</v>
      </c>
      <c r="K21" s="36">
        <v>19</v>
      </c>
      <c r="L21" s="95">
        <v>8.7000000000000028</v>
      </c>
      <c r="N21" s="111" t="s">
        <v>219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11</v>
      </c>
      <c r="B22" s="44">
        <v>32</v>
      </c>
      <c r="C22" s="37">
        <f>IF(B$19=0,0,B22/B$19)</f>
        <v>0.41558441558441561</v>
      </c>
      <c r="E22" s="59" t="s">
        <v>74</v>
      </c>
      <c r="F22" s="56" t="s">
        <v>29</v>
      </c>
      <c r="G22" s="44">
        <v>0</v>
      </c>
      <c r="H22" s="129">
        <f>IF(B$19=0,0,G22/B$19)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">
      <c r="A23" s="51" t="s">
        <v>192</v>
      </c>
      <c r="B23" s="44">
        <v>47</v>
      </c>
      <c r="C23" s="37">
        <f>IF(B$19=0,0,B23/B$19)</f>
        <v>0.61038961038961037</v>
      </c>
      <c r="E23" s="59" t="s">
        <v>76</v>
      </c>
      <c r="F23" s="56" t="s">
        <v>31</v>
      </c>
      <c r="G23" s="44">
        <v>0</v>
      </c>
      <c r="H23" s="129">
        <f>IF(B$19=0,0,G23/B$19)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">
      <c r="A24" s="51" t="s">
        <v>190</v>
      </c>
      <c r="B24" s="44">
        <v>15</v>
      </c>
      <c r="C24" s="37">
        <f>IF(B$19=0,0,B24/B$19)</f>
        <v>0.19480519480519481</v>
      </c>
      <c r="E24" s="59" t="s">
        <v>77</v>
      </c>
      <c r="F24" s="56" t="s">
        <v>32</v>
      </c>
      <c r="G24" s="44">
        <v>0</v>
      </c>
      <c r="H24" s="129">
        <f>IF(B$19=0,0,G24/B$19)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1" t="s">
        <v>191</v>
      </c>
      <c r="B25" s="44">
        <v>15</v>
      </c>
      <c r="C25" s="37">
        <f>IF(B$19=0,0,B25/B$19)</f>
        <v>0.19480519480519481</v>
      </c>
      <c r="E25" s="59" t="s">
        <v>79</v>
      </c>
      <c r="F25" s="56" t="s">
        <v>34</v>
      </c>
      <c r="G25" s="44">
        <v>0</v>
      </c>
      <c r="H25" s="129">
        <f>IF(B$19=0,0,G25/B$19)</f>
        <v>0</v>
      </c>
      <c r="I25" s="90">
        <v>11</v>
      </c>
      <c r="K25" s="36">
        <v>23</v>
      </c>
      <c r="L25" s="95">
        <v>27.299999999999997</v>
      </c>
    </row>
    <row r="26" spans="1:17" x14ac:dyDescent="0.4">
      <c r="A26" s="51" t="s">
        <v>5</v>
      </c>
      <c r="B26" s="48">
        <f>IF(B$19=0,0,C26/B$19)</f>
        <v>8164.9350649350654</v>
      </c>
      <c r="C26" s="39">
        <v>628700</v>
      </c>
      <c r="E26" s="59" t="s">
        <v>80</v>
      </c>
      <c r="F26" s="56" t="s">
        <v>35</v>
      </c>
      <c r="G26" s="44">
        <v>0</v>
      </c>
      <c r="H26" s="129">
        <f>IF(B$19=0,0,G26/B$19)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2" t="s">
        <v>174</v>
      </c>
      <c r="B27" s="136">
        <f>IF($B$19-B$18=0,0,C27/($B$19-B$18))</f>
        <v>8512.9032258064508</v>
      </c>
      <c r="C27" s="137">
        <v>527800</v>
      </c>
      <c r="E27" s="59" t="s">
        <v>82</v>
      </c>
      <c r="F27" s="56" t="s">
        <v>37</v>
      </c>
      <c r="G27" s="44">
        <v>0</v>
      </c>
      <c r="H27" s="129">
        <f>IF(B$19=0,0,G27/B$19)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52" t="s">
        <v>175</v>
      </c>
      <c r="B28" s="136">
        <f>IF(B$18=0,0,C28/B$18)</f>
        <v>6726.666666666667</v>
      </c>
      <c r="C28" s="137">
        <v>100900</v>
      </c>
      <c r="E28" s="59" t="s">
        <v>84</v>
      </c>
      <c r="F28" s="56" t="s">
        <v>39</v>
      </c>
      <c r="G28" s="44">
        <v>0</v>
      </c>
      <c r="H28" s="129">
        <f>IF(B$19=0,0,G28/B$19)</f>
        <v>0</v>
      </c>
      <c r="I28" s="90">
        <v>6</v>
      </c>
      <c r="K28" s="36">
        <v>26</v>
      </c>
      <c r="L28" s="95">
        <v>-29.900000000000002</v>
      </c>
    </row>
    <row r="29" spans="1:17" x14ac:dyDescent="0.4">
      <c r="A29" s="52" t="s">
        <v>173</v>
      </c>
      <c r="B29" s="136">
        <f>IF(B$20=0,0,C29/B$20)</f>
        <v>-7102</v>
      </c>
      <c r="C29" s="137">
        <v>-355100</v>
      </c>
      <c r="E29" s="59" t="s">
        <v>88</v>
      </c>
      <c r="F29" s="56" t="s">
        <v>43</v>
      </c>
      <c r="G29" s="44">
        <v>0</v>
      </c>
      <c r="H29" s="129">
        <f>IF(B$19=0,0,G29/B$19)</f>
        <v>0</v>
      </c>
      <c r="I29" s="90">
        <v>6</v>
      </c>
      <c r="K29" s="36">
        <v>27</v>
      </c>
      <c r="L29" s="95">
        <v>-76.5</v>
      </c>
    </row>
    <row r="30" spans="1:17" x14ac:dyDescent="0.4">
      <c r="A30" s="51" t="s">
        <v>164</v>
      </c>
      <c r="B30" s="44">
        <v>3</v>
      </c>
      <c r="C30" s="131">
        <v>0</v>
      </c>
      <c r="E30" s="59" t="s">
        <v>90</v>
      </c>
      <c r="F30" s="56" t="s">
        <v>45</v>
      </c>
      <c r="G30" s="44">
        <v>0</v>
      </c>
      <c r="H30" s="129">
        <f>IF(B$19=0,0,G30/B$19)</f>
        <v>0</v>
      </c>
      <c r="I30" s="90">
        <v>5</v>
      </c>
      <c r="K30" s="36">
        <v>28</v>
      </c>
      <c r="L30" s="95">
        <v>-129.6</v>
      </c>
    </row>
    <row r="31" spans="1:17" x14ac:dyDescent="0.4">
      <c r="A31" s="51" t="s">
        <v>165</v>
      </c>
      <c r="B31" s="44">
        <v>19</v>
      </c>
      <c r="C31" s="131">
        <v>8</v>
      </c>
      <c r="E31" s="59" t="s">
        <v>91</v>
      </c>
      <c r="F31" s="56" t="s">
        <v>46</v>
      </c>
      <c r="G31" s="44">
        <v>0</v>
      </c>
      <c r="H31" s="129">
        <f>IF(B$19=0,0,G31/B$19)</f>
        <v>0</v>
      </c>
      <c r="I31" s="90">
        <v>10</v>
      </c>
      <c r="K31" s="36">
        <v>29</v>
      </c>
      <c r="L31" s="95">
        <v>-128.79999999999998</v>
      </c>
    </row>
    <row r="32" spans="1:17" x14ac:dyDescent="0.4">
      <c r="A32" s="86" t="s">
        <v>138</v>
      </c>
      <c r="B32" s="150">
        <v>7</v>
      </c>
      <c r="C32" s="151"/>
      <c r="E32" s="59" t="s">
        <v>92</v>
      </c>
      <c r="F32" s="56" t="s">
        <v>47</v>
      </c>
      <c r="G32" s="44">
        <v>0</v>
      </c>
      <c r="H32" s="129">
        <f>IF(B$19=0,0,G32/B$19)</f>
        <v>0</v>
      </c>
      <c r="I32" s="90">
        <v>7</v>
      </c>
      <c r="K32" s="36">
        <v>30</v>
      </c>
      <c r="L32" s="95">
        <v>-106.39999999999998</v>
      </c>
    </row>
    <row r="33" spans="1:12" x14ac:dyDescent="0.4">
      <c r="A33" s="54" t="s">
        <v>189</v>
      </c>
      <c r="B33" s="148">
        <v>95200</v>
      </c>
      <c r="C33" s="149"/>
      <c r="E33" s="59" t="s">
        <v>93</v>
      </c>
      <c r="F33" s="56" t="s">
        <v>48</v>
      </c>
      <c r="G33" s="44">
        <v>0</v>
      </c>
      <c r="H33" s="129">
        <f>IF(B$19=0,0,G33/B$19)</f>
        <v>0</v>
      </c>
      <c r="I33" s="90">
        <v>5</v>
      </c>
      <c r="K33" s="36">
        <v>31</v>
      </c>
      <c r="L33" s="95">
        <v>-77.399999999999977</v>
      </c>
    </row>
    <row r="34" spans="1:12" x14ac:dyDescent="0.4">
      <c r="A34" s="53" t="s">
        <v>139</v>
      </c>
      <c r="B34" s="61">
        <v>1</v>
      </c>
      <c r="C34" s="40">
        <f>IF(B$3=0,0,B34/B$3)</f>
        <v>3.3557046979865771E-3</v>
      </c>
      <c r="E34" s="59" t="s">
        <v>94</v>
      </c>
      <c r="F34" s="56" t="s">
        <v>49</v>
      </c>
      <c r="G34" s="44">
        <v>0</v>
      </c>
      <c r="H34" s="129">
        <f>IF(B$19=0,0,G34/B$19)</f>
        <v>0</v>
      </c>
      <c r="I34" s="90">
        <v>1</v>
      </c>
      <c r="K34" s="36">
        <v>32</v>
      </c>
      <c r="L34" s="95">
        <v>-96.699999999999974</v>
      </c>
    </row>
    <row r="35" spans="1:12" x14ac:dyDescent="0.4">
      <c r="E35" s="59" t="s">
        <v>95</v>
      </c>
      <c r="F35" s="56" t="s">
        <v>50</v>
      </c>
      <c r="G35" s="44">
        <v>0</v>
      </c>
      <c r="H35" s="129">
        <f>IF(B$19=0,0,G35/B$19)</f>
        <v>0</v>
      </c>
      <c r="I35" s="90">
        <v>6</v>
      </c>
    </row>
    <row r="36" spans="1:12" x14ac:dyDescent="0.4">
      <c r="A36" s="86" t="s">
        <v>180</v>
      </c>
      <c r="B36" s="144">
        <v>9</v>
      </c>
      <c r="C36" s="141">
        <f t="shared" ref="C36:C48" si="3">IF(B$19=0,0,B36/B$19)</f>
        <v>0.11688311688311688</v>
      </c>
      <c r="E36" s="59" t="s">
        <v>96</v>
      </c>
      <c r="F36" s="56" t="s">
        <v>51</v>
      </c>
      <c r="G36" s="44">
        <v>0</v>
      </c>
      <c r="H36" s="129">
        <f>IF(B$19=0,0,G36/B$19)</f>
        <v>0</v>
      </c>
      <c r="I36" s="90">
        <v>1</v>
      </c>
    </row>
    <row r="37" spans="1:12" x14ac:dyDescent="0.4">
      <c r="A37" s="51" t="s">
        <v>176</v>
      </c>
      <c r="B37" s="44">
        <v>11</v>
      </c>
      <c r="C37" s="37">
        <f t="shared" si="3"/>
        <v>0.14285714285714285</v>
      </c>
      <c r="E37" s="59" t="s">
        <v>97</v>
      </c>
      <c r="F37" s="56" t="s">
        <v>52</v>
      </c>
      <c r="G37" s="44">
        <v>0</v>
      </c>
      <c r="H37" s="129">
        <f>IF(B$19=0,0,G37/B$19)</f>
        <v>0</v>
      </c>
      <c r="I37" s="90">
        <v>3</v>
      </c>
    </row>
    <row r="38" spans="1:12" x14ac:dyDescent="0.4">
      <c r="A38" s="51" t="s">
        <v>177</v>
      </c>
      <c r="B38" s="145">
        <v>13</v>
      </c>
      <c r="C38" s="37">
        <f t="shared" si="3"/>
        <v>0.16883116883116883</v>
      </c>
      <c r="E38" s="59" t="s">
        <v>98</v>
      </c>
      <c r="F38" s="56" t="s">
        <v>53</v>
      </c>
      <c r="G38" s="44">
        <v>0</v>
      </c>
      <c r="H38" s="129">
        <f>IF(B$19=0,0,G38/B$19)</f>
        <v>0</v>
      </c>
      <c r="I38" s="90">
        <v>1</v>
      </c>
    </row>
    <row r="39" spans="1:12" x14ac:dyDescent="0.4">
      <c r="A39" s="51" t="s">
        <v>178</v>
      </c>
      <c r="B39" s="145">
        <v>10</v>
      </c>
      <c r="C39" s="37">
        <f t="shared" si="3"/>
        <v>0.12987012987012986</v>
      </c>
      <c r="E39" s="59" t="s">
        <v>99</v>
      </c>
      <c r="F39" s="56" t="s">
        <v>54</v>
      </c>
      <c r="G39" s="44">
        <v>0</v>
      </c>
      <c r="H39" s="129">
        <f>IF(B$19=0,0,G39/B$19)</f>
        <v>0</v>
      </c>
      <c r="I39" s="90">
        <v>1</v>
      </c>
    </row>
    <row r="40" spans="1:12" x14ac:dyDescent="0.4">
      <c r="A40" s="51" t="s">
        <v>179</v>
      </c>
      <c r="B40" s="145">
        <v>13</v>
      </c>
      <c r="C40" s="37">
        <f t="shared" si="3"/>
        <v>0.16883116883116883</v>
      </c>
      <c r="E40" s="59" t="s">
        <v>100</v>
      </c>
      <c r="F40" s="56" t="s">
        <v>55</v>
      </c>
      <c r="G40" s="44">
        <v>0</v>
      </c>
      <c r="H40" s="129">
        <f>IF(B$19=0,0,G40/B$19)</f>
        <v>0</v>
      </c>
      <c r="I40" s="90">
        <v>1</v>
      </c>
    </row>
    <row r="41" spans="1:12" x14ac:dyDescent="0.4">
      <c r="A41" s="51" t="s">
        <v>181</v>
      </c>
      <c r="B41" s="145">
        <v>14</v>
      </c>
      <c r="C41" s="37">
        <f t="shared" si="3"/>
        <v>0.18181818181818182</v>
      </c>
      <c r="E41" s="59" t="s">
        <v>101</v>
      </c>
      <c r="F41" s="56" t="s">
        <v>56</v>
      </c>
      <c r="G41" s="44">
        <v>0</v>
      </c>
      <c r="H41" s="129">
        <f>IF(B$19=0,0,G41/B$19)</f>
        <v>0</v>
      </c>
      <c r="I41" s="90">
        <v>3</v>
      </c>
    </row>
    <row r="42" spans="1:12" x14ac:dyDescent="0.4">
      <c r="A42" s="51" t="s">
        <v>182</v>
      </c>
      <c r="B42" s="145">
        <v>4</v>
      </c>
      <c r="C42" s="37">
        <f t="shared" si="3"/>
        <v>5.1948051948051951E-2</v>
      </c>
      <c r="E42" s="59" t="s">
        <v>102</v>
      </c>
      <c r="F42" s="56" t="s">
        <v>57</v>
      </c>
      <c r="G42" s="44">
        <v>0</v>
      </c>
      <c r="H42" s="129">
        <f>IF(B$19=0,0,G42/B$19)</f>
        <v>0</v>
      </c>
      <c r="I42" s="90">
        <v>1</v>
      </c>
    </row>
    <row r="43" spans="1:12" x14ac:dyDescent="0.4">
      <c r="A43" s="51" t="s">
        <v>183</v>
      </c>
      <c r="B43" s="145">
        <v>2</v>
      </c>
      <c r="C43" s="37">
        <f t="shared" si="3"/>
        <v>2.5974025974025976E-2</v>
      </c>
      <c r="E43" s="59" t="s">
        <v>103</v>
      </c>
      <c r="F43" s="56" t="s">
        <v>58</v>
      </c>
      <c r="G43" s="44">
        <v>0</v>
      </c>
      <c r="H43" s="129">
        <f>IF(B$19=0,0,G43/B$19)</f>
        <v>0</v>
      </c>
      <c r="I43" s="90">
        <v>1</v>
      </c>
    </row>
    <row r="44" spans="1:12" x14ac:dyDescent="0.4">
      <c r="A44" s="51" t="s">
        <v>184</v>
      </c>
      <c r="B44" s="145">
        <v>0</v>
      </c>
      <c r="C44" s="37">
        <f t="shared" si="3"/>
        <v>0</v>
      </c>
      <c r="E44" s="59" t="s">
        <v>104</v>
      </c>
      <c r="F44" s="56" t="s">
        <v>59</v>
      </c>
      <c r="G44" s="44">
        <v>0</v>
      </c>
      <c r="H44" s="129">
        <f>IF(B$19=0,0,G44/B$19)</f>
        <v>0</v>
      </c>
      <c r="I44" s="90">
        <v>1</v>
      </c>
    </row>
    <row r="45" spans="1:12" x14ac:dyDescent="0.4">
      <c r="A45" s="51" t="s">
        <v>185</v>
      </c>
      <c r="B45" s="145">
        <v>1</v>
      </c>
      <c r="C45" s="37">
        <f t="shared" si="3"/>
        <v>1.2987012987012988E-2</v>
      </c>
      <c r="E45" s="59" t="s">
        <v>105</v>
      </c>
      <c r="F45" s="56" t="s">
        <v>112</v>
      </c>
      <c r="G45" s="44">
        <v>0</v>
      </c>
      <c r="H45" s="129">
        <f>IF(B$19=0,0,G45/B$19)</f>
        <v>0</v>
      </c>
      <c r="I45" s="90">
        <v>1</v>
      </c>
    </row>
    <row r="46" spans="1:12" x14ac:dyDescent="0.4">
      <c r="A46" s="51" t="s">
        <v>186</v>
      </c>
      <c r="B46" s="145">
        <v>0</v>
      </c>
      <c r="C46" s="37">
        <f t="shared" si="3"/>
        <v>0</v>
      </c>
      <c r="E46" s="59" t="s">
        <v>106</v>
      </c>
      <c r="F46" s="56" t="s">
        <v>113</v>
      </c>
      <c r="G46" s="44">
        <v>0</v>
      </c>
      <c r="H46" s="129">
        <f>IF(B$19=0,0,G46/B$19)</f>
        <v>0</v>
      </c>
      <c r="I46" s="90">
        <v>3</v>
      </c>
    </row>
    <row r="47" spans="1:12" x14ac:dyDescent="0.4">
      <c r="A47" s="51" t="s">
        <v>187</v>
      </c>
      <c r="B47" s="145">
        <v>0</v>
      </c>
      <c r="C47" s="37">
        <f t="shared" si="3"/>
        <v>0</v>
      </c>
      <c r="E47" s="59" t="s">
        <v>107</v>
      </c>
      <c r="F47" s="56" t="s">
        <v>114</v>
      </c>
      <c r="G47" s="44">
        <v>0</v>
      </c>
      <c r="H47" s="129">
        <f>IF(B$19=0,0,G47/B$19)</f>
        <v>0</v>
      </c>
      <c r="I47" s="90">
        <v>1</v>
      </c>
    </row>
    <row r="48" spans="1:12" x14ac:dyDescent="0.4">
      <c r="A48" s="53" t="s">
        <v>188</v>
      </c>
      <c r="B48" s="140">
        <v>0</v>
      </c>
      <c r="C48" s="40">
        <f t="shared" si="3"/>
        <v>0</v>
      </c>
      <c r="E48" s="59" t="s">
        <v>108</v>
      </c>
      <c r="F48" s="56" t="s">
        <v>60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IF(B$19=0,0,G51/B$19)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6144A-0BCD-4A69-A985-4BFB745F7CE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219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7</v>
      </c>
      <c r="C2" s="157"/>
      <c r="E2" s="58" t="s">
        <v>66</v>
      </c>
      <c r="F2" s="55" t="s">
        <v>22</v>
      </c>
      <c r="G2" s="43">
        <v>11</v>
      </c>
      <c r="H2" s="128">
        <f>IF(B$19=0,0,G2/B$19)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8">
        <v>62</v>
      </c>
      <c r="C3" s="159"/>
      <c r="E3" s="59" t="s">
        <v>64</v>
      </c>
      <c r="F3" s="56" t="s">
        <v>20</v>
      </c>
      <c r="G3" s="44">
        <v>8</v>
      </c>
      <c r="H3" s="129">
        <f>IF(B$19=0,0,G3/B$19)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60">
        <v>-104.80000000000001</v>
      </c>
      <c r="C4" s="161"/>
      <c r="E4" s="59" t="s">
        <v>67</v>
      </c>
      <c r="F4" s="56" t="s">
        <v>23</v>
      </c>
      <c r="G4" s="44">
        <v>7</v>
      </c>
      <c r="H4" s="129">
        <f>IF(B$19=0,0,G4/B$19)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2">
        <f>IF(B$2=0,0,B$4/B$2)</f>
        <v>-14.971428571428573</v>
      </c>
      <c r="C5" s="163"/>
      <c r="E5" s="59" t="s">
        <v>72</v>
      </c>
      <c r="F5" s="56" t="s">
        <v>27</v>
      </c>
      <c r="G5" s="44">
        <v>7</v>
      </c>
      <c r="H5" s="129">
        <f>IF(B$19=0,0,G5/B$19)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2">
        <f>IF(B$2=0,0,(B$7*1+B$8*2+B$9*3)/B$2)</f>
        <v>2.1428571428571428</v>
      </c>
      <c r="C6" s="153"/>
      <c r="E6" s="59" t="s">
        <v>166</v>
      </c>
      <c r="F6" s="56" t="s">
        <v>167</v>
      </c>
      <c r="G6" s="44">
        <v>5</v>
      </c>
      <c r="H6" s="129">
        <f>IF(B$19=0,0,G6/B$19)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4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IF(B$19=0,0,G7/B$19)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IF(B$19=0,0,G8/B$19)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IF(B$19=0,0,G9/B$19)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26.966666666666669</v>
      </c>
      <c r="C10" s="147">
        <v>80.900000000000006</v>
      </c>
      <c r="E10" s="59" t="s">
        <v>69</v>
      </c>
      <c r="F10" s="56" t="s">
        <v>24</v>
      </c>
      <c r="G10" s="44">
        <v>1</v>
      </c>
      <c r="H10" s="129">
        <f>IF(B$19=0,0,G10/B$19)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200</v>
      </c>
      <c r="B11" s="146">
        <f>IF(B8=0,0,C11/B8)</f>
        <v>0</v>
      </c>
      <c r="C11" s="147">
        <v>0</v>
      </c>
      <c r="E11" s="59" t="s">
        <v>70</v>
      </c>
      <c r="F11" s="56" t="s">
        <v>25</v>
      </c>
      <c r="G11" s="44">
        <v>1</v>
      </c>
      <c r="H11" s="129">
        <f>IF(B$19=0,0,G11/B$19)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2" t="s">
        <v>201</v>
      </c>
      <c r="B12" s="146">
        <f>IF(B9=0,0,C12/B9)</f>
        <v>-46.424999999999997</v>
      </c>
      <c r="C12" s="147">
        <v>-185.7</v>
      </c>
      <c r="E12" s="59" t="s">
        <v>71</v>
      </c>
      <c r="F12" s="56" t="s">
        <v>26</v>
      </c>
      <c r="G12" s="44">
        <v>1</v>
      </c>
      <c r="H12" s="129">
        <f>IF(B$19=0,0,G12/B$19)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2" t="s">
        <v>202</v>
      </c>
      <c r="B13" s="162">
        <f>AVERAGE(B10:B12)</f>
        <v>-6.4861111111111098</v>
      </c>
      <c r="C13" s="163"/>
      <c r="E13" s="59" t="s">
        <v>79</v>
      </c>
      <c r="F13" s="56" t="s">
        <v>34</v>
      </c>
      <c r="G13" s="44">
        <v>1</v>
      </c>
      <c r="H13" s="129">
        <f>IF(B$19=0,0,G13/B$19)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4</v>
      </c>
      <c r="C14" s="40">
        <f t="shared" si="1"/>
        <v>0.5714285714285714</v>
      </c>
      <c r="E14" s="59" t="s">
        <v>83</v>
      </c>
      <c r="F14" s="56" t="s">
        <v>38</v>
      </c>
      <c r="G14" s="44">
        <v>1</v>
      </c>
      <c r="H14" s="129">
        <f>IF(B$19=0,0,G14/B$19)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15</v>
      </c>
      <c r="C15" s="42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IF(B$19=0,0,G15/B$19)</f>
        <v>6.6666666666666666E-2</v>
      </c>
      <c r="I15" s="90">
        <v>1</v>
      </c>
      <c r="N15" s="110" t="s">
        <v>194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118</v>
      </c>
      <c r="B16" s="44">
        <v>22</v>
      </c>
      <c r="C16" s="37">
        <f>IF(B$3=0,0,B16/B$3)</f>
        <v>0.35483870967741937</v>
      </c>
      <c r="E16" s="59" t="s">
        <v>73</v>
      </c>
      <c r="F16" s="56" t="s">
        <v>28</v>
      </c>
      <c r="G16" s="44">
        <v>0</v>
      </c>
      <c r="H16" s="129">
        <f>IF(B$19=0,0,G16/B$19)</f>
        <v>0</v>
      </c>
      <c r="I16" s="90">
        <v>6</v>
      </c>
      <c r="N16" s="111" t="s">
        <v>171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123</v>
      </c>
      <c r="B17" s="43">
        <f>B23</f>
        <v>8</v>
      </c>
      <c r="C17" s="35">
        <f>IF(B$15=0,0,B17/B$15)</f>
        <v>0.53333333333333333</v>
      </c>
      <c r="E17" s="59" t="s">
        <v>74</v>
      </c>
      <c r="F17" s="56" t="s">
        <v>29</v>
      </c>
      <c r="G17" s="44">
        <v>0</v>
      </c>
      <c r="H17" s="129">
        <f>IF(B$19=0,0,G17/B$19)</f>
        <v>0</v>
      </c>
      <c r="I17" s="90">
        <v>7</v>
      </c>
      <c r="N17" s="111" t="s">
        <v>193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0" t="s">
        <v>124</v>
      </c>
      <c r="B18" s="43">
        <f>B24</f>
        <v>6</v>
      </c>
      <c r="C18" s="35">
        <f>IF(B$16=0,0,B18/B$16)</f>
        <v>0.27272727272727271</v>
      </c>
      <c r="E18" s="59" t="s">
        <v>75</v>
      </c>
      <c r="F18" s="56" t="s">
        <v>30</v>
      </c>
      <c r="G18" s="44">
        <v>0</v>
      </c>
      <c r="H18" s="129">
        <f>IF(B$19=0,0,G18/B$19)</f>
        <v>0</v>
      </c>
      <c r="I18" s="90">
        <v>10</v>
      </c>
      <c r="N18" s="111" t="s">
        <v>206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0" t="s">
        <v>10</v>
      </c>
      <c r="B19" s="43">
        <f>B22+B21</f>
        <v>15</v>
      </c>
      <c r="C19" s="35">
        <f>IF(B$3=0,0,B19/B$3)</f>
        <v>0.24193548387096775</v>
      </c>
      <c r="E19" s="59" t="s">
        <v>76</v>
      </c>
      <c r="F19" s="56" t="s">
        <v>31</v>
      </c>
      <c r="G19" s="44">
        <v>0</v>
      </c>
      <c r="H19" s="129">
        <f>IF(B$19=0,0,G19/B$19)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IF(B$19=0,0,G20/B$19)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12</v>
      </c>
      <c r="B21" s="44">
        <v>5</v>
      </c>
      <c r="C21" s="37">
        <f>IF(B$19=0,0,B21/B$19)</f>
        <v>0.33333333333333331</v>
      </c>
      <c r="E21" s="59" t="s">
        <v>78</v>
      </c>
      <c r="F21" s="56" t="s">
        <v>33</v>
      </c>
      <c r="G21" s="44">
        <v>0</v>
      </c>
      <c r="H21" s="129">
        <f>IF(B$19=0,0,G21/B$19)</f>
        <v>0</v>
      </c>
      <c r="I21" s="90">
        <v>11</v>
      </c>
    </row>
    <row r="22" spans="1:17" x14ac:dyDescent="0.4">
      <c r="A22" s="51" t="s">
        <v>11</v>
      </c>
      <c r="B22" s="44">
        <v>10</v>
      </c>
      <c r="C22" s="37">
        <f>IF(B$19=0,0,B22/B$19)</f>
        <v>0.66666666666666663</v>
      </c>
      <c r="E22" s="59" t="s">
        <v>80</v>
      </c>
      <c r="F22" s="56" t="s">
        <v>35</v>
      </c>
      <c r="G22" s="44">
        <v>0</v>
      </c>
      <c r="H22" s="129">
        <f>IF(B$19=0,0,G22/B$19)</f>
        <v>0</v>
      </c>
      <c r="I22" s="90">
        <v>1</v>
      </c>
    </row>
    <row r="23" spans="1:17" x14ac:dyDescent="0.4">
      <c r="A23" s="51" t="s">
        <v>192</v>
      </c>
      <c r="B23" s="44">
        <v>8</v>
      </c>
      <c r="C23" s="37">
        <f>IF(B$19=0,0,B23/B$19)</f>
        <v>0.53333333333333333</v>
      </c>
      <c r="E23" s="59" t="s">
        <v>81</v>
      </c>
      <c r="F23" s="56" t="s">
        <v>36</v>
      </c>
      <c r="G23" s="44">
        <v>0</v>
      </c>
      <c r="H23" s="129">
        <f>IF(B$19=0,0,G23/B$19)</f>
        <v>0</v>
      </c>
      <c r="I23" s="90">
        <v>11</v>
      </c>
    </row>
    <row r="24" spans="1:17" x14ac:dyDescent="0.4">
      <c r="A24" s="51" t="s">
        <v>190</v>
      </c>
      <c r="B24" s="44">
        <v>6</v>
      </c>
      <c r="C24" s="37">
        <f>IF(B$19=0,0,B24/B$19)</f>
        <v>0.4</v>
      </c>
      <c r="E24" s="59" t="s">
        <v>82</v>
      </c>
      <c r="F24" s="56" t="s">
        <v>37</v>
      </c>
      <c r="G24" s="44">
        <v>0</v>
      </c>
      <c r="H24" s="129">
        <f>IF(B$19=0,0,G24/B$19)</f>
        <v>0</v>
      </c>
      <c r="I24" s="90">
        <v>1</v>
      </c>
    </row>
    <row r="25" spans="1:17" x14ac:dyDescent="0.4">
      <c r="A25" s="51" t="s">
        <v>191</v>
      </c>
      <c r="B25" s="44">
        <v>1</v>
      </c>
      <c r="C25" s="37">
        <f>IF(B$19=0,0,B25/B$19)</f>
        <v>6.6666666666666666E-2</v>
      </c>
      <c r="E25" s="59" t="s">
        <v>84</v>
      </c>
      <c r="F25" s="56" t="s">
        <v>39</v>
      </c>
      <c r="G25" s="44">
        <v>0</v>
      </c>
      <c r="H25" s="129">
        <f>IF(B$19=0,0,G25/B$19)</f>
        <v>0</v>
      </c>
      <c r="I25" s="90">
        <v>6</v>
      </c>
    </row>
    <row r="26" spans="1:17" x14ac:dyDescent="0.4">
      <c r="A26" s="51" t="s">
        <v>5</v>
      </c>
      <c r="B26" s="48">
        <f>IF(B$19=0,0,C26/B$19)</f>
        <v>7473.333333333333</v>
      </c>
      <c r="C26" s="39">
        <v>112100</v>
      </c>
      <c r="E26" s="59" t="s">
        <v>85</v>
      </c>
      <c r="F26" s="56" t="s">
        <v>40</v>
      </c>
      <c r="G26" s="44">
        <v>0</v>
      </c>
      <c r="H26" s="129">
        <f>IF(B$19=0,0,G26/B$19)</f>
        <v>0</v>
      </c>
      <c r="I26" s="90">
        <v>8</v>
      </c>
    </row>
    <row r="27" spans="1:17" x14ac:dyDescent="0.4">
      <c r="A27" s="52" t="s">
        <v>174</v>
      </c>
      <c r="B27" s="136">
        <f>IF($B$19-B$18=0,0,C27/($B$19-B$18))</f>
        <v>7855.5555555555557</v>
      </c>
      <c r="C27" s="137">
        <v>70700</v>
      </c>
      <c r="E27" s="59" t="s">
        <v>87</v>
      </c>
      <c r="F27" s="56" t="s">
        <v>42</v>
      </c>
      <c r="G27" s="44">
        <v>0</v>
      </c>
      <c r="H27" s="129">
        <f>IF(B$19=0,0,G27/B$19)</f>
        <v>0</v>
      </c>
      <c r="I27" s="90">
        <v>7</v>
      </c>
    </row>
    <row r="28" spans="1:17" x14ac:dyDescent="0.4">
      <c r="A28" s="52" t="s">
        <v>175</v>
      </c>
      <c r="B28" s="136">
        <f>IF(B$18=0,0,C28/B$18)</f>
        <v>6900</v>
      </c>
      <c r="C28" s="137">
        <v>41400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-9075</v>
      </c>
      <c r="C29" s="137">
        <v>-108900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2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13</v>
      </c>
      <c r="C31" s="131">
        <v>0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4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59500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0</v>
      </c>
      <c r="C34" s="40">
        <f>IF(B$3=0,0,B34/B$3)</f>
        <v>0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2</v>
      </c>
      <c r="C36" s="141">
        <f t="shared" ref="C36:C48" si="3">IF(B$19=0,0,B36/B$19)</f>
        <v>0.13333333333333333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3</v>
      </c>
      <c r="C37" s="37">
        <f t="shared" si="3"/>
        <v>0.2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3</v>
      </c>
      <c r="C39" s="37">
        <f t="shared" si="3"/>
        <v>0.2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4</v>
      </c>
      <c r="C40" s="37">
        <f t="shared" si="3"/>
        <v>0.26666666666666666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1</v>
      </c>
      <c r="C41" s="37">
        <f t="shared" si="3"/>
        <v>6.6666666666666666E-2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1</v>
      </c>
      <c r="C42" s="37">
        <f t="shared" si="3"/>
        <v>6.6666666666666666E-2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3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3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D9EDF-0098-4E88-87F3-1F9F8A4C29FC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243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2</v>
      </c>
      <c r="C2" s="157"/>
      <c r="E2" s="58" t="s">
        <v>72</v>
      </c>
      <c r="F2" s="55" t="s">
        <v>27</v>
      </c>
      <c r="G2" s="43">
        <v>7</v>
      </c>
      <c r="H2" s="128">
        <f>IF(B$19=0,0,G2/B$19)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8">
        <v>15</v>
      </c>
      <c r="C3" s="159"/>
      <c r="E3" s="59" t="s">
        <v>66</v>
      </c>
      <c r="F3" s="56" t="s">
        <v>22</v>
      </c>
      <c r="G3" s="44">
        <v>3</v>
      </c>
      <c r="H3" s="129">
        <f>IF(B$19=0,0,G3/B$19)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60">
        <v>26.2</v>
      </c>
      <c r="C4" s="161"/>
      <c r="E4" s="59" t="s">
        <v>67</v>
      </c>
      <c r="F4" s="56" t="s">
        <v>23</v>
      </c>
      <c r="G4" s="44">
        <v>3</v>
      </c>
      <c r="H4" s="129">
        <f>IF(B$19=0,0,G4/B$19)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2">
        <f>IF(B$2=0,0,B$4/B$2)</f>
        <v>13.1</v>
      </c>
      <c r="C5" s="163"/>
      <c r="E5" s="59" t="s">
        <v>89</v>
      </c>
      <c r="F5" s="56" t="s">
        <v>44</v>
      </c>
      <c r="G5" s="44">
        <v>3</v>
      </c>
      <c r="H5" s="129">
        <f>IF(B$19=0,0,G5/B$19)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2">
        <f>IF(B$2=0,0,(B$7*1+B$8*2+B$9*3)/B$2)</f>
        <v>1.5</v>
      </c>
      <c r="C6" s="153"/>
      <c r="E6" s="59" t="s">
        <v>64</v>
      </c>
      <c r="F6" s="56" t="s">
        <v>20</v>
      </c>
      <c r="G6" s="44">
        <v>2</v>
      </c>
      <c r="H6" s="129">
        <f>IF(B$19=0,0,G6/B$19)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4" si="1">IF(B$2=0,0,B7/B$2)</f>
        <v>0.5</v>
      </c>
      <c r="E7" s="59" t="s">
        <v>68</v>
      </c>
      <c r="F7" s="56" t="s">
        <v>12</v>
      </c>
      <c r="G7" s="44">
        <v>2</v>
      </c>
      <c r="H7" s="129">
        <f>IF(B$19=0,0,G7/B$19)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IF(B$19=0,0,G8/B$19)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IF(B$19=0,0,G9/B$19)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27.8</v>
      </c>
      <c r="C10" s="147">
        <v>27.8</v>
      </c>
      <c r="E10" s="59" t="s">
        <v>71</v>
      </c>
      <c r="F10" s="56" t="s">
        <v>26</v>
      </c>
      <c r="G10" s="44">
        <v>1</v>
      </c>
      <c r="H10" s="129">
        <f>IF(B$19=0,0,G10/B$19)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200</v>
      </c>
      <c r="B11" s="146">
        <f>IF(B8=0,0,C11/B8)</f>
        <v>-1.6</v>
      </c>
      <c r="C11" s="147">
        <v>-1.6</v>
      </c>
      <c r="E11" s="59" t="s">
        <v>166</v>
      </c>
      <c r="F11" s="56" t="s">
        <v>167</v>
      </c>
      <c r="G11" s="44">
        <v>1</v>
      </c>
      <c r="H11" s="129">
        <f>IF(B$19=0,0,G11/B$19)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2" t="s">
        <v>201</v>
      </c>
      <c r="B12" s="146">
        <f>IF(B9=0,0,C12/B9)</f>
        <v>0</v>
      </c>
      <c r="C12" s="147">
        <v>0</v>
      </c>
      <c r="E12" s="59" t="s">
        <v>65</v>
      </c>
      <c r="F12" s="56" t="s">
        <v>21</v>
      </c>
      <c r="G12" s="44">
        <v>0</v>
      </c>
      <c r="H12" s="129">
        <f>IF(B$19=0,0,G12/B$19)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2" t="s">
        <v>202</v>
      </c>
      <c r="B13" s="162">
        <f>AVERAGE(B10:B12)</f>
        <v>8.7333333333333325</v>
      </c>
      <c r="C13" s="163"/>
      <c r="E13" s="59" t="s">
        <v>69</v>
      </c>
      <c r="F13" s="56" t="s">
        <v>24</v>
      </c>
      <c r="G13" s="44">
        <v>0</v>
      </c>
      <c r="H13" s="129">
        <f>IF(B$19=0,0,G13/B$19)</f>
        <v>0</v>
      </c>
      <c r="I13" s="90">
        <v>14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0</v>
      </c>
      <c r="C14" s="40">
        <f t="shared" si="1"/>
        <v>0</v>
      </c>
      <c r="E14" s="59" t="s">
        <v>73</v>
      </c>
      <c r="F14" s="56" t="s">
        <v>28</v>
      </c>
      <c r="G14" s="44">
        <v>0</v>
      </c>
      <c r="H14" s="129">
        <f>IF(B$19=0,0,G14/B$19)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4</v>
      </c>
      <c r="C15" s="42">
        <f>IF(B$3=0,0,B15/B$3)</f>
        <v>0.26666666666666666</v>
      </c>
      <c r="E15" s="59" t="s">
        <v>74</v>
      </c>
      <c r="F15" s="56" t="s">
        <v>29</v>
      </c>
      <c r="G15" s="44">
        <v>0</v>
      </c>
      <c r="H15" s="129">
        <f>IF(B$19=0,0,G15/B$19)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118</v>
      </c>
      <c r="B16" s="44">
        <v>5</v>
      </c>
      <c r="C16" s="37">
        <f>IF(B$3=0,0,B16/B$3)</f>
        <v>0.33333333333333331</v>
      </c>
      <c r="E16" s="59" t="s">
        <v>75</v>
      </c>
      <c r="F16" s="56" t="s">
        <v>30</v>
      </c>
      <c r="G16" s="44">
        <v>0</v>
      </c>
      <c r="H16" s="129">
        <f>IF(B$19=0,0,G16/B$19)</f>
        <v>0</v>
      </c>
      <c r="I16" s="90">
        <v>10</v>
      </c>
      <c r="N16" s="111" t="s">
        <v>194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123</v>
      </c>
      <c r="B17" s="43">
        <f>B23</f>
        <v>2</v>
      </c>
      <c r="C17" s="35">
        <f>IF(B$15=0,0,B17/B$15)</f>
        <v>0.5</v>
      </c>
      <c r="E17" s="59" t="s">
        <v>76</v>
      </c>
      <c r="F17" s="56" t="s">
        <v>31</v>
      </c>
      <c r="G17" s="44">
        <v>0</v>
      </c>
      <c r="H17" s="129">
        <f>IF(B$19=0,0,G17/B$19)</f>
        <v>0</v>
      </c>
      <c r="I17" s="90">
        <v>1</v>
      </c>
      <c r="N17" s="111" t="s">
        <v>206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0" t="s">
        <v>124</v>
      </c>
      <c r="B18" s="43">
        <f>B24</f>
        <v>5</v>
      </c>
      <c r="C18" s="35">
        <f>IF(B$16=0,0,B18/B$16)</f>
        <v>1</v>
      </c>
      <c r="E18" s="59" t="s">
        <v>77</v>
      </c>
      <c r="F18" s="56" t="s">
        <v>32</v>
      </c>
      <c r="G18" s="44">
        <v>0</v>
      </c>
      <c r="H18" s="129">
        <f>IF(B$19=0,0,G18/B$19)</f>
        <v>0</v>
      </c>
      <c r="I18" s="90">
        <v>6</v>
      </c>
    </row>
    <row r="19" spans="1:17" x14ac:dyDescent="0.4">
      <c r="A19" s="50" t="s">
        <v>10</v>
      </c>
      <c r="B19" s="43">
        <f>B22+B21</f>
        <v>7</v>
      </c>
      <c r="C19" s="35">
        <f>IF(B$3=0,0,B19/B$3)</f>
        <v>0.46666666666666667</v>
      </c>
      <c r="E19" s="59" t="s">
        <v>78</v>
      </c>
      <c r="F19" s="56" t="s">
        <v>33</v>
      </c>
      <c r="G19" s="44">
        <v>0</v>
      </c>
      <c r="H19" s="129">
        <f>IF(B$19=0,0,G19/B$19)</f>
        <v>0</v>
      </c>
      <c r="I19" s="90">
        <v>11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IF(B$19=0,0,G20/B$19)</f>
        <v>0</v>
      </c>
      <c r="I20" s="90">
        <v>11</v>
      </c>
    </row>
    <row r="21" spans="1:17" x14ac:dyDescent="0.4">
      <c r="A21" s="51" t="s">
        <v>12</v>
      </c>
      <c r="B21" s="44">
        <v>2</v>
      </c>
      <c r="C21" s="37">
        <f>IF(B$19=0,0,B21/B$19)</f>
        <v>0.2857142857142857</v>
      </c>
      <c r="E21" s="59" t="s">
        <v>80</v>
      </c>
      <c r="F21" s="56" t="s">
        <v>35</v>
      </c>
      <c r="G21" s="44">
        <v>0</v>
      </c>
      <c r="H21" s="129">
        <f>IF(B$19=0,0,G21/B$19)</f>
        <v>0</v>
      </c>
      <c r="I21" s="90">
        <v>1</v>
      </c>
    </row>
    <row r="22" spans="1:17" x14ac:dyDescent="0.4">
      <c r="A22" s="51" t="s">
        <v>11</v>
      </c>
      <c r="B22" s="44">
        <v>5</v>
      </c>
      <c r="C22" s="37">
        <f>IF(B$19=0,0,B22/B$19)</f>
        <v>0.7142857142857143</v>
      </c>
      <c r="E22" s="59" t="s">
        <v>81</v>
      </c>
      <c r="F22" s="56" t="s">
        <v>36</v>
      </c>
      <c r="G22" s="44">
        <v>0</v>
      </c>
      <c r="H22" s="129">
        <f>IF(B$19=0,0,G22/B$19)</f>
        <v>0</v>
      </c>
      <c r="I22" s="90">
        <v>11</v>
      </c>
    </row>
    <row r="23" spans="1:17" x14ac:dyDescent="0.4">
      <c r="A23" s="51" t="s">
        <v>192</v>
      </c>
      <c r="B23" s="44">
        <v>2</v>
      </c>
      <c r="C23" s="37">
        <f>IF(B$19=0,0,B23/B$19)</f>
        <v>0.2857142857142857</v>
      </c>
      <c r="E23" s="59" t="s">
        <v>82</v>
      </c>
      <c r="F23" s="56" t="s">
        <v>37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5</v>
      </c>
      <c r="C24" s="37">
        <f>IF(B$19=0,0,B24/B$19)</f>
        <v>0.7142857142857143</v>
      </c>
      <c r="E24" s="59" t="s">
        <v>84</v>
      </c>
      <c r="F24" s="56" t="s">
        <v>39</v>
      </c>
      <c r="G24" s="44">
        <v>0</v>
      </c>
      <c r="H24" s="129">
        <f>IF(B$19=0,0,G24/B$19)</f>
        <v>0</v>
      </c>
      <c r="I24" s="90">
        <v>6</v>
      </c>
    </row>
    <row r="25" spans="1:17" x14ac:dyDescent="0.4">
      <c r="A25" s="51" t="s">
        <v>191</v>
      </c>
      <c r="B25" s="44">
        <v>0</v>
      </c>
      <c r="C25" s="37">
        <f>IF(B$19=0,0,B25/B$19)</f>
        <v>0</v>
      </c>
      <c r="E25" s="59" t="s">
        <v>85</v>
      </c>
      <c r="F25" s="56" t="s">
        <v>40</v>
      </c>
      <c r="G25" s="44">
        <v>0</v>
      </c>
      <c r="H25" s="129">
        <f>IF(B$19=0,0,G25/B$19)</f>
        <v>0</v>
      </c>
      <c r="I25" s="90">
        <v>8</v>
      </c>
    </row>
    <row r="26" spans="1:17" x14ac:dyDescent="0.4">
      <c r="A26" s="51" t="s">
        <v>5</v>
      </c>
      <c r="B26" s="48">
        <f>IF(B$19=0,0,C26/B$19)</f>
        <v>7385.7142857142853</v>
      </c>
      <c r="C26" s="39">
        <v>51700</v>
      </c>
      <c r="E26" s="59" t="s">
        <v>86</v>
      </c>
      <c r="F26" s="56" t="s">
        <v>41</v>
      </c>
      <c r="G26" s="44">
        <v>0</v>
      </c>
      <c r="H26" s="129">
        <f>IF(B$19=0,0,G26/B$19)</f>
        <v>0</v>
      </c>
      <c r="I26" s="90">
        <v>12</v>
      </c>
    </row>
    <row r="27" spans="1:17" x14ac:dyDescent="0.4">
      <c r="A27" s="52" t="s">
        <v>174</v>
      </c>
      <c r="B27" s="136">
        <f>IF($B$19-B$18=0,0,C27/($B$19-B$18))</f>
        <v>8000</v>
      </c>
      <c r="C27" s="137">
        <v>16000</v>
      </c>
      <c r="E27" s="59" t="s">
        <v>87</v>
      </c>
      <c r="F27" s="56" t="s">
        <v>42</v>
      </c>
      <c r="G27" s="44">
        <v>0</v>
      </c>
      <c r="H27" s="129">
        <f>IF(B$19=0,0,G27/B$19)</f>
        <v>0</v>
      </c>
      <c r="I27" s="90">
        <v>7</v>
      </c>
    </row>
    <row r="28" spans="1:17" x14ac:dyDescent="0.4">
      <c r="A28" s="52" t="s">
        <v>175</v>
      </c>
      <c r="B28" s="136">
        <f>IF(B$18=0,0,C28/B$18)</f>
        <v>7140</v>
      </c>
      <c r="C28" s="137">
        <v>35700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-8000</v>
      </c>
      <c r="C29" s="137">
        <v>-8000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2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9</v>
      </c>
      <c r="C31" s="131">
        <v>5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4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52800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1</v>
      </c>
      <c r="C34" s="40">
        <f>IF(B$3=0,0,B34/B$3)</f>
        <v>6.6666666666666666E-2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0</v>
      </c>
      <c r="C36" s="141">
        <f t="shared" ref="C36:C48" si="2">IF(B$19=0,0,B36/B$19)</f>
        <v>0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1</v>
      </c>
      <c r="C37" s="37">
        <f t="shared" si="2"/>
        <v>0.14285714285714285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3</v>
      </c>
      <c r="C38" s="37">
        <f t="shared" si="2"/>
        <v>0.42857142857142855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2</v>
      </c>
      <c r="C41" s="37">
        <f t="shared" si="2"/>
        <v>0.2857142857142857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1</v>
      </c>
      <c r="C42" s="37">
        <f t="shared" si="2"/>
        <v>0.14285714285714285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2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2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2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2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AA984-926E-4F64-876D-CC74E5A2B8A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283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18</v>
      </c>
      <c r="C2" s="157"/>
      <c r="E2" s="58" t="s">
        <v>64</v>
      </c>
      <c r="F2" s="55" t="s">
        <v>20</v>
      </c>
      <c r="G2" s="43">
        <v>32</v>
      </c>
      <c r="H2" s="128">
        <f>IF(B$19=0,0,G2/B$19)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">
      <c r="A3" s="51" t="s">
        <v>8</v>
      </c>
      <c r="B3" s="158">
        <v>155</v>
      </c>
      <c r="C3" s="159"/>
      <c r="E3" s="59" t="s">
        <v>66</v>
      </c>
      <c r="F3" s="56" t="s">
        <v>22</v>
      </c>
      <c r="G3" s="44">
        <v>32</v>
      </c>
      <c r="H3" s="129">
        <f>IF(B$19=0,0,G3/B$19)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">
      <c r="A4" s="51" t="s">
        <v>6</v>
      </c>
      <c r="B4" s="160">
        <v>-55.6</v>
      </c>
      <c r="C4" s="161"/>
      <c r="E4" s="59" t="s">
        <v>67</v>
      </c>
      <c r="F4" s="56" t="s">
        <v>23</v>
      </c>
      <c r="G4" s="44">
        <v>26</v>
      </c>
      <c r="H4" s="129">
        <f>IF(B$19=0,0,G4/B$19)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">
      <c r="A5" s="51" t="s">
        <v>7</v>
      </c>
      <c r="B5" s="162">
        <f>IF(B$2=0,0,B$4/B$2)</f>
        <v>-3.088888888888889</v>
      </c>
      <c r="C5" s="163"/>
      <c r="E5" s="59" t="s">
        <v>72</v>
      </c>
      <c r="F5" s="56" t="s">
        <v>27</v>
      </c>
      <c r="G5" s="44">
        <v>23</v>
      </c>
      <c r="H5" s="129">
        <f>IF(B$19=0,0,G5/B$19)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">
      <c r="A6" s="51" t="s">
        <v>1</v>
      </c>
      <c r="B6" s="152">
        <f>IF(B$2=0,0,(B$7*1+B$8*2+B$9*3)/B$2)</f>
        <v>2.0555555555555554</v>
      </c>
      <c r="C6" s="153"/>
      <c r="E6" s="59" t="s">
        <v>68</v>
      </c>
      <c r="F6" s="56" t="s">
        <v>12</v>
      </c>
      <c r="G6" s="44">
        <v>22</v>
      </c>
      <c r="H6" s="129">
        <f>IF(B$19=0,0,G6/B$19)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">
      <c r="A7" s="51" t="s">
        <v>2</v>
      </c>
      <c r="B7" s="44">
        <v>6</v>
      </c>
      <c r="C7" s="37">
        <f t="shared" ref="C7:C14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IF(B$19=0,0,G7/B$19)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IF(B$19=0,0,G8/B$19)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IF(B$19=0,0,G9/B$19)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29.700000000000003</v>
      </c>
      <c r="C10" s="147">
        <v>178.20000000000002</v>
      </c>
      <c r="E10" s="59" t="s">
        <v>69</v>
      </c>
      <c r="F10" s="56" t="s">
        <v>24</v>
      </c>
      <c r="G10" s="44">
        <v>5</v>
      </c>
      <c r="H10" s="129">
        <f>IF(B$19=0,0,G10/B$19)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">
      <c r="A11" s="52" t="s">
        <v>200</v>
      </c>
      <c r="B11" s="146">
        <f>IF(B8=0,0,C11/B8)</f>
        <v>2.5599999999999996</v>
      </c>
      <c r="C11" s="147">
        <v>12.799999999999999</v>
      </c>
      <c r="E11" s="59" t="s">
        <v>89</v>
      </c>
      <c r="F11" s="56" t="s">
        <v>44</v>
      </c>
      <c r="G11" s="44">
        <v>3</v>
      </c>
      <c r="H11" s="129">
        <f>IF(B$19=0,0,G11/B$19)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">
      <c r="A12" s="52" t="s">
        <v>201</v>
      </c>
      <c r="B12" s="146">
        <f>IF(B9=0,0,C12/B9)</f>
        <v>-35.228571428571435</v>
      </c>
      <c r="C12" s="147">
        <v>-246.60000000000002</v>
      </c>
      <c r="E12" s="59" t="s">
        <v>75</v>
      </c>
      <c r="F12" s="56" t="s">
        <v>30</v>
      </c>
      <c r="G12" s="44">
        <v>2</v>
      </c>
      <c r="H12" s="129">
        <f>IF(B$19=0,0,G12/B$19)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">
      <c r="A13" s="52" t="s">
        <v>202</v>
      </c>
      <c r="B13" s="162">
        <f>AVERAGE(B10:B12)</f>
        <v>-0.98952380952380992</v>
      </c>
      <c r="C13" s="163"/>
      <c r="E13" s="59" t="s">
        <v>79</v>
      </c>
      <c r="F13" s="56" t="s">
        <v>34</v>
      </c>
      <c r="G13" s="44">
        <v>2</v>
      </c>
      <c r="H13" s="129">
        <f>IF(B$19=0,0,G13/B$19)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3</v>
      </c>
      <c r="C14" s="40">
        <f t="shared" si="1"/>
        <v>0.16666666666666666</v>
      </c>
      <c r="E14" s="59" t="s">
        <v>83</v>
      </c>
      <c r="F14" s="56" t="s">
        <v>38</v>
      </c>
      <c r="G14" s="44">
        <v>2</v>
      </c>
      <c r="H14" s="129">
        <f>IF(B$19=0,0,G14/B$19)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54</v>
      </c>
      <c r="C15" s="42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IF(B$19=0,0,G15/B$19)</f>
        <v>3.7037037037037035E-2</v>
      </c>
      <c r="I15" s="90">
        <v>1</v>
      </c>
      <c r="K15" s="36">
        <v>13</v>
      </c>
      <c r="L15" s="95">
        <v>-47.6</v>
      </c>
      <c r="N15" s="110" t="s">
        <v>206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">
      <c r="A16" s="51" t="s">
        <v>118</v>
      </c>
      <c r="B16" s="44">
        <v>19</v>
      </c>
      <c r="C16" s="37">
        <f>IF(B$3=0,0,B16/B$3)</f>
        <v>0.12258064516129032</v>
      </c>
      <c r="E16" s="59" t="s">
        <v>71</v>
      </c>
      <c r="F16" s="56" t="s">
        <v>26</v>
      </c>
      <c r="G16" s="44">
        <v>1</v>
      </c>
      <c r="H16" s="129">
        <f>IF(B$19=0,0,G16/B$19)</f>
        <v>1.8518518518518517E-2</v>
      </c>
      <c r="I16" s="90">
        <v>13</v>
      </c>
      <c r="K16" s="36">
        <v>14</v>
      </c>
      <c r="L16" s="95">
        <v>-55.5</v>
      </c>
      <c r="N16" s="111" t="s">
        <v>171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">
      <c r="A17" s="50" t="s">
        <v>123</v>
      </c>
      <c r="B17" s="43">
        <f>B23</f>
        <v>31</v>
      </c>
      <c r="C17" s="35">
        <f>IF(B$15=0,0,B17/B$15)</f>
        <v>0.57407407407407407</v>
      </c>
      <c r="E17" s="59" t="s">
        <v>86</v>
      </c>
      <c r="F17" s="56" t="s">
        <v>41</v>
      </c>
      <c r="G17" s="44">
        <v>1</v>
      </c>
      <c r="H17" s="129">
        <f>IF(B$19=0,0,G17/B$19)</f>
        <v>1.8518518518518517E-2</v>
      </c>
      <c r="I17" s="90">
        <v>11</v>
      </c>
      <c r="K17" s="36">
        <v>15</v>
      </c>
      <c r="L17" s="95">
        <v>-25.1</v>
      </c>
      <c r="N17" s="111" t="s">
        <v>194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">
      <c r="A18" s="50" t="s">
        <v>124</v>
      </c>
      <c r="B18" s="43">
        <f>B24</f>
        <v>13</v>
      </c>
      <c r="C18" s="35">
        <f>IF(B$16=0,0,B18/B$16)</f>
        <v>0.68421052631578949</v>
      </c>
      <c r="E18" s="59" t="s">
        <v>73</v>
      </c>
      <c r="F18" s="56" t="s">
        <v>28</v>
      </c>
      <c r="G18" s="44">
        <v>0</v>
      </c>
      <c r="H18" s="129">
        <f>IF(B$19=0,0,G18/B$19)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">
      <c r="A19" s="50" t="s">
        <v>10</v>
      </c>
      <c r="B19" s="43">
        <f>B22+B21</f>
        <v>54</v>
      </c>
      <c r="C19" s="35">
        <f>IF(B$3=0,0,B19/B$3)</f>
        <v>0.34838709677419355</v>
      </c>
      <c r="E19" s="59" t="s">
        <v>74</v>
      </c>
      <c r="F19" s="56" t="s">
        <v>29</v>
      </c>
      <c r="G19" s="44">
        <v>0</v>
      </c>
      <c r="H19" s="129">
        <f>IF(B$19=0,0,G19/B$19)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">
      <c r="A20" s="51" t="s">
        <v>13</v>
      </c>
      <c r="B20" s="44">
        <v>25</v>
      </c>
      <c r="C20" s="37">
        <f>IF(B$3=0,0,B20/B$3)</f>
        <v>0.16129032258064516</v>
      </c>
      <c r="E20" s="59" t="s">
        <v>76</v>
      </c>
      <c r="F20" s="56" t="s">
        <v>31</v>
      </c>
      <c r="G20" s="44">
        <v>0</v>
      </c>
      <c r="H20" s="129">
        <f>IF(B$19=0,0,G20/B$19)</f>
        <v>0</v>
      </c>
      <c r="I20" s="90">
        <v>1</v>
      </c>
      <c r="K20" s="36">
        <v>18</v>
      </c>
      <c r="L20" s="95">
        <v>-55.6</v>
      </c>
      <c r="N20" s="111" t="s">
        <v>193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">
      <c r="A21" s="51" t="s">
        <v>12</v>
      </c>
      <c r="B21" s="44">
        <v>29</v>
      </c>
      <c r="C21" s="37">
        <f>IF(B$19=0,0,B21/B$19)</f>
        <v>0.53703703703703709</v>
      </c>
      <c r="E21" s="59" t="s">
        <v>77</v>
      </c>
      <c r="F21" s="56" t="s">
        <v>32</v>
      </c>
      <c r="G21" s="44">
        <v>0</v>
      </c>
      <c r="H21" s="129">
        <f>IF(B$19=0,0,G21/B$19)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">
      <c r="A22" s="51" t="s">
        <v>11</v>
      </c>
      <c r="B22" s="44">
        <v>25</v>
      </c>
      <c r="C22" s="37">
        <f>IF(B$19=0,0,B22/B$19)</f>
        <v>0.46296296296296297</v>
      </c>
      <c r="E22" s="59" t="s">
        <v>78</v>
      </c>
      <c r="F22" s="56" t="s">
        <v>33</v>
      </c>
      <c r="G22" s="44">
        <v>0</v>
      </c>
      <c r="H22" s="129">
        <f>IF(B$19=0,0,G22/B$19)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1" t="s">
        <v>192</v>
      </c>
      <c r="B23" s="44">
        <v>31</v>
      </c>
      <c r="C23" s="37">
        <f>IF(B$19=0,0,B23/B$19)</f>
        <v>0.57407407407407407</v>
      </c>
      <c r="E23" s="59" t="s">
        <v>80</v>
      </c>
      <c r="F23" s="56" t="s">
        <v>35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13</v>
      </c>
      <c r="C24" s="37">
        <f>IF(B$19=0,0,B24/B$19)</f>
        <v>0.24074074074074073</v>
      </c>
      <c r="E24" s="59" t="s">
        <v>81</v>
      </c>
      <c r="F24" s="56" t="s">
        <v>36</v>
      </c>
      <c r="G24" s="44">
        <v>0</v>
      </c>
      <c r="H24" s="129">
        <f>IF(B$19=0,0,G24/B$19)</f>
        <v>0</v>
      </c>
      <c r="I24" s="90">
        <v>11</v>
      </c>
    </row>
    <row r="25" spans="1:17" x14ac:dyDescent="0.4">
      <c r="A25" s="51" t="s">
        <v>191</v>
      </c>
      <c r="B25" s="44">
        <v>10</v>
      </c>
      <c r="C25" s="37">
        <f>IF(B$19=0,0,B25/B$19)</f>
        <v>0.18518518518518517</v>
      </c>
      <c r="E25" s="59" t="s">
        <v>82</v>
      </c>
      <c r="F25" s="56" t="s">
        <v>37</v>
      </c>
      <c r="G25" s="44">
        <v>0</v>
      </c>
      <c r="H25" s="129">
        <f>IF(B$19=0,0,G25/B$19)</f>
        <v>0</v>
      </c>
      <c r="I25" s="90">
        <v>1</v>
      </c>
    </row>
    <row r="26" spans="1:17" x14ac:dyDescent="0.4">
      <c r="A26" s="51" t="s">
        <v>5</v>
      </c>
      <c r="B26" s="48">
        <f>IF(B$19=0,0,C26/B$19)</f>
        <v>6648.1481481481478</v>
      </c>
      <c r="C26" s="39">
        <v>359000</v>
      </c>
      <c r="E26" s="59" t="s">
        <v>84</v>
      </c>
      <c r="F26" s="56" t="s">
        <v>39</v>
      </c>
      <c r="G26" s="44">
        <v>0</v>
      </c>
      <c r="H26" s="129">
        <f>IF(B$19=0,0,G26/B$19)</f>
        <v>0</v>
      </c>
      <c r="I26" s="90">
        <v>6</v>
      </c>
    </row>
    <row r="27" spans="1:17" x14ac:dyDescent="0.4">
      <c r="A27" s="52" t="s">
        <v>174</v>
      </c>
      <c r="B27" s="136">
        <f>IF($B$19-B$18=0,0,C27/($B$19-B$18))</f>
        <v>7278.0487804878048</v>
      </c>
      <c r="C27" s="137">
        <v>298400</v>
      </c>
      <c r="E27" s="59" t="s">
        <v>87</v>
      </c>
      <c r="F27" s="56" t="s">
        <v>42</v>
      </c>
      <c r="G27" s="44">
        <v>0</v>
      </c>
      <c r="H27" s="129">
        <f>IF(B$19=0,0,G27/B$19)</f>
        <v>0</v>
      </c>
      <c r="I27" s="90">
        <v>7</v>
      </c>
    </row>
    <row r="28" spans="1:17" x14ac:dyDescent="0.4">
      <c r="A28" s="52" t="s">
        <v>175</v>
      </c>
      <c r="B28" s="136">
        <f>IF(B$18=0,0,C28/B$18)</f>
        <v>4661.5384615384619</v>
      </c>
      <c r="C28" s="137">
        <v>60600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-8220</v>
      </c>
      <c r="C29" s="137">
        <v>-205500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3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20</v>
      </c>
      <c r="C31" s="131">
        <v>0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7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65900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2</v>
      </c>
      <c r="C34" s="40">
        <f>IF(B$3=0,0,B34/B$3)</f>
        <v>1.2903225806451613E-2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6</v>
      </c>
      <c r="C36" s="141">
        <f t="shared" ref="C36:C48" si="3">IF(B$19=0,0,B36/B$19)</f>
        <v>0.1111111111111111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15</v>
      </c>
      <c r="C37" s="37">
        <f t="shared" si="3"/>
        <v>0.27777777777777779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8</v>
      </c>
      <c r="C38" s="37">
        <f t="shared" si="3"/>
        <v>0.14814814814814814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9</v>
      </c>
      <c r="C39" s="37">
        <f t="shared" si="3"/>
        <v>0.16666666666666666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9</v>
      </c>
      <c r="C40" s="37">
        <f t="shared" si="3"/>
        <v>0.16666666666666666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2</v>
      </c>
      <c r="C41" s="37">
        <f t="shared" si="3"/>
        <v>3.7037037037037035E-2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3</v>
      </c>
      <c r="C42" s="37">
        <f t="shared" si="3"/>
        <v>5.5555555555555552E-2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1</v>
      </c>
      <c r="C43" s="37">
        <f t="shared" si="3"/>
        <v>1.8518518518518517E-2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1</v>
      </c>
      <c r="C45" s="37">
        <f t="shared" si="3"/>
        <v>1.8518518518518517E-2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3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A6E0F-B16F-415A-A38C-B7095CCE149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290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10</v>
      </c>
      <c r="C2" s="157"/>
      <c r="E2" s="58" t="s">
        <v>66</v>
      </c>
      <c r="F2" s="55" t="s">
        <v>22</v>
      </c>
      <c r="G2" s="43">
        <v>26</v>
      </c>
      <c r="H2" s="128">
        <f>IF(B$19=0,0,G2/B$19)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">
      <c r="A3" s="51" t="s">
        <v>8</v>
      </c>
      <c r="B3" s="158">
        <v>78</v>
      </c>
      <c r="C3" s="159"/>
      <c r="E3" s="59" t="s">
        <v>64</v>
      </c>
      <c r="F3" s="56" t="s">
        <v>20</v>
      </c>
      <c r="G3" s="44">
        <v>19</v>
      </c>
      <c r="H3" s="129">
        <f>IF(B$19=0,0,G3/B$19)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">
      <c r="A4" s="51" t="s">
        <v>6</v>
      </c>
      <c r="B4" s="160">
        <v>9.2999999999999972</v>
      </c>
      <c r="C4" s="161"/>
      <c r="E4" s="59" t="s">
        <v>67</v>
      </c>
      <c r="F4" s="56" t="s">
        <v>23</v>
      </c>
      <c r="G4" s="44">
        <v>17</v>
      </c>
      <c r="H4" s="129">
        <f>IF(B$19=0,0,G4/B$19)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2">
        <f>IF(B$2=0,0,B$4/B$2)</f>
        <v>0.92999999999999972</v>
      </c>
      <c r="C5" s="163"/>
      <c r="E5" s="59" t="s">
        <v>166</v>
      </c>
      <c r="F5" s="56" t="s">
        <v>167</v>
      </c>
      <c r="G5" s="44">
        <v>12</v>
      </c>
      <c r="H5" s="129">
        <f>IF(B$19=0,0,G5/B$19)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68</v>
      </c>
      <c r="F6" s="56" t="s">
        <v>12</v>
      </c>
      <c r="G6" s="44">
        <v>8</v>
      </c>
      <c r="H6" s="129">
        <f>IF(B$19=0,0,G6/B$19)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4" si="1">IF(B$2=0,0,B7/B$2)</f>
        <v>0.5</v>
      </c>
      <c r="E7" s="59" t="s">
        <v>69</v>
      </c>
      <c r="F7" s="56" t="s">
        <v>24</v>
      </c>
      <c r="G7" s="44">
        <v>5</v>
      </c>
      <c r="H7" s="129">
        <f>IF(B$19=0,0,G7/B$19)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IF(B$19=0,0,G8/B$19)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IF(B$19=0,0,G9/B$19)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37.980000000000004</v>
      </c>
      <c r="C10" s="147">
        <v>189.9</v>
      </c>
      <c r="E10" s="59" t="s">
        <v>70</v>
      </c>
      <c r="F10" s="56" t="s">
        <v>25</v>
      </c>
      <c r="G10" s="44">
        <v>4</v>
      </c>
      <c r="H10" s="129">
        <f>IF(B$19=0,0,G10/B$19)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">
      <c r="A11" s="52" t="s">
        <v>200</v>
      </c>
      <c r="B11" s="146">
        <f>IF(B8=0,0,C11/B8)</f>
        <v>0</v>
      </c>
      <c r="C11" s="147">
        <v>0</v>
      </c>
      <c r="E11" s="59" t="s">
        <v>71</v>
      </c>
      <c r="F11" s="56" t="s">
        <v>26</v>
      </c>
      <c r="G11" s="44">
        <v>3</v>
      </c>
      <c r="H11" s="129">
        <f>IF(B$19=0,0,G11/B$19)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2" t="s">
        <v>201</v>
      </c>
      <c r="B12" s="146">
        <f>IF(B9=0,0,C12/B9)</f>
        <v>-36.120000000000005</v>
      </c>
      <c r="C12" s="147">
        <v>-180.60000000000002</v>
      </c>
      <c r="E12" s="59" t="s">
        <v>81</v>
      </c>
      <c r="F12" s="56" t="s">
        <v>36</v>
      </c>
      <c r="G12" s="44">
        <v>2</v>
      </c>
      <c r="H12" s="129">
        <f>IF(B$19=0,0,G12/B$19)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2" t="s">
        <v>202</v>
      </c>
      <c r="B13" s="162">
        <f>AVERAGE(B10:B12)</f>
        <v>0.61999999999999977</v>
      </c>
      <c r="C13" s="163"/>
      <c r="E13" s="59" t="s">
        <v>89</v>
      </c>
      <c r="F13" s="56" t="s">
        <v>44</v>
      </c>
      <c r="G13" s="44">
        <v>1</v>
      </c>
      <c r="H13" s="129">
        <f>IF(B$19=0,0,G13/B$19)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2</v>
      </c>
      <c r="C14" s="40">
        <f t="shared" si="1"/>
        <v>0.2</v>
      </c>
      <c r="E14" s="59" t="s">
        <v>91</v>
      </c>
      <c r="F14" s="56" t="s">
        <v>46</v>
      </c>
      <c r="G14" s="44">
        <v>1</v>
      </c>
      <c r="H14" s="129">
        <f>IF(B$19=0,0,G14/B$19)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30</v>
      </c>
      <c r="C15" s="42">
        <f>IF(B$3=0,0,B15/B$3)</f>
        <v>0.38461538461538464</v>
      </c>
      <c r="E15" s="59" t="s">
        <v>73</v>
      </c>
      <c r="F15" s="56" t="s">
        <v>28</v>
      </c>
      <c r="G15" s="44">
        <v>0</v>
      </c>
      <c r="H15" s="129">
        <f>IF(B$19=0,0,G15/B$19)</f>
        <v>0</v>
      </c>
      <c r="I15" s="90">
        <v>6</v>
      </c>
      <c r="N15" s="110" t="s">
        <v>289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">
      <c r="A16" s="51" t="s">
        <v>118</v>
      </c>
      <c r="B16" s="44">
        <v>13</v>
      </c>
      <c r="C16" s="37">
        <f>IF(B$3=0,0,B16/B$3)</f>
        <v>0.16666666666666666</v>
      </c>
      <c r="E16" s="59" t="s">
        <v>74</v>
      </c>
      <c r="F16" s="56" t="s">
        <v>29</v>
      </c>
      <c r="G16" s="44">
        <v>0</v>
      </c>
      <c r="H16" s="129">
        <f>IF(B$19=0,0,G16/B$19)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">
      <c r="A17" s="50" t="s">
        <v>123</v>
      </c>
      <c r="B17" s="43">
        <f>B23</f>
        <v>19</v>
      </c>
      <c r="C17" s="35">
        <f>IF(B$15=0,0,B17/B$15)</f>
        <v>0.6333333333333333</v>
      </c>
      <c r="E17" s="59" t="s">
        <v>75</v>
      </c>
      <c r="F17" s="56" t="s">
        <v>30</v>
      </c>
      <c r="G17" s="44">
        <v>0</v>
      </c>
      <c r="H17" s="129">
        <f>IF(B$19=0,0,G17/B$19)</f>
        <v>0</v>
      </c>
      <c r="I17" s="90">
        <v>10</v>
      </c>
      <c r="N17" s="111" t="s">
        <v>194</v>
      </c>
      <c r="O17" s="121">
        <f t="shared" si="2"/>
        <v>1.0625</v>
      </c>
      <c r="P17" s="115">
        <v>8</v>
      </c>
      <c r="Q17" s="103">
        <v>8.5</v>
      </c>
    </row>
    <row r="18" spans="1:17" x14ac:dyDescent="0.4">
      <c r="A18" s="50" t="s">
        <v>124</v>
      </c>
      <c r="B18" s="43">
        <f>B24</f>
        <v>5</v>
      </c>
      <c r="C18" s="35">
        <f>IF(B$16=0,0,B18/B$16)</f>
        <v>0.38461538461538464</v>
      </c>
      <c r="E18" s="59" t="s">
        <v>76</v>
      </c>
      <c r="F18" s="56" t="s">
        <v>31</v>
      </c>
      <c r="G18" s="44">
        <v>0</v>
      </c>
      <c r="H18" s="129">
        <f>IF(B$19=0,0,G18/B$19)</f>
        <v>0</v>
      </c>
      <c r="I18" s="90">
        <v>1</v>
      </c>
      <c r="N18" s="111" t="s">
        <v>206</v>
      </c>
      <c r="O18" s="121">
        <f t="shared" si="2"/>
        <v>-11</v>
      </c>
      <c r="P18" s="115">
        <v>3</v>
      </c>
      <c r="Q18" s="103">
        <v>-33</v>
      </c>
    </row>
    <row r="19" spans="1:17" x14ac:dyDescent="0.4">
      <c r="A19" s="50" t="s">
        <v>10</v>
      </c>
      <c r="B19" s="43">
        <f>B22+B21</f>
        <v>26</v>
      </c>
      <c r="C19" s="35">
        <f>IF(B$3=0,0,B19/B$3)</f>
        <v>0.33333333333333331</v>
      </c>
      <c r="E19" s="59" t="s">
        <v>77</v>
      </c>
      <c r="F19" s="56" t="s">
        <v>32</v>
      </c>
      <c r="G19" s="44">
        <v>0</v>
      </c>
      <c r="H19" s="129">
        <f>IF(B$19=0,0,G19/B$19)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13</v>
      </c>
      <c r="B20" s="44">
        <v>19</v>
      </c>
      <c r="C20" s="37">
        <f>IF(B$3=0,0,B20/B$3)</f>
        <v>0.24358974358974358</v>
      </c>
      <c r="E20" s="59" t="s">
        <v>78</v>
      </c>
      <c r="F20" s="56" t="s">
        <v>33</v>
      </c>
      <c r="G20" s="44">
        <v>0</v>
      </c>
      <c r="H20" s="129">
        <f>IF(B$19=0,0,G20/B$19)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">
      <c r="A21" s="51" t="s">
        <v>12</v>
      </c>
      <c r="B21" s="44">
        <v>12</v>
      </c>
      <c r="C21" s="37">
        <f>IF(B$19=0,0,B21/B$19)</f>
        <v>0.46153846153846156</v>
      </c>
      <c r="E21" s="59" t="s">
        <v>79</v>
      </c>
      <c r="F21" s="56" t="s">
        <v>34</v>
      </c>
      <c r="G21" s="44">
        <v>0</v>
      </c>
      <c r="H21" s="129">
        <f>IF(B$19=0,0,G21/B$19)</f>
        <v>0</v>
      </c>
      <c r="I21" s="90">
        <v>11</v>
      </c>
    </row>
    <row r="22" spans="1:17" x14ac:dyDescent="0.4">
      <c r="A22" s="51" t="s">
        <v>11</v>
      </c>
      <c r="B22" s="44">
        <v>14</v>
      </c>
      <c r="C22" s="37">
        <f>IF(B$19=0,0,B22/B$19)</f>
        <v>0.53846153846153844</v>
      </c>
      <c r="E22" s="59" t="s">
        <v>80</v>
      </c>
      <c r="F22" s="56" t="s">
        <v>35</v>
      </c>
      <c r="G22" s="44">
        <v>0</v>
      </c>
      <c r="H22" s="129">
        <f>IF(B$19=0,0,G22/B$19)</f>
        <v>0</v>
      </c>
      <c r="I22" s="90">
        <v>1</v>
      </c>
    </row>
    <row r="23" spans="1:17" x14ac:dyDescent="0.4">
      <c r="A23" s="51" t="s">
        <v>192</v>
      </c>
      <c r="B23" s="44">
        <v>19</v>
      </c>
      <c r="C23" s="37">
        <f>IF(B$19=0,0,B23/B$19)</f>
        <v>0.73076923076923073</v>
      </c>
      <c r="E23" s="59" t="s">
        <v>82</v>
      </c>
      <c r="F23" s="56" t="s">
        <v>37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5</v>
      </c>
      <c r="C24" s="37">
        <f>IF(B$19=0,0,B24/B$19)</f>
        <v>0.19230769230769232</v>
      </c>
      <c r="E24" s="59" t="s">
        <v>83</v>
      </c>
      <c r="F24" s="56" t="s">
        <v>38</v>
      </c>
      <c r="G24" s="44">
        <v>0</v>
      </c>
      <c r="H24" s="129">
        <f>IF(B$19=0,0,G24/B$19)</f>
        <v>0</v>
      </c>
      <c r="I24" s="90">
        <v>13</v>
      </c>
    </row>
    <row r="25" spans="1:17" x14ac:dyDescent="0.4">
      <c r="A25" s="51" t="s">
        <v>191</v>
      </c>
      <c r="B25" s="44">
        <v>2</v>
      </c>
      <c r="C25" s="37">
        <f>IF(B$19=0,0,B25/B$19)</f>
        <v>7.6923076923076927E-2</v>
      </c>
      <c r="E25" s="59" t="s">
        <v>84</v>
      </c>
      <c r="F25" s="56" t="s">
        <v>39</v>
      </c>
      <c r="G25" s="44">
        <v>0</v>
      </c>
      <c r="H25" s="129">
        <f>IF(B$19=0,0,G25/B$19)</f>
        <v>0</v>
      </c>
      <c r="I25" s="90">
        <v>6</v>
      </c>
    </row>
    <row r="26" spans="1:17" x14ac:dyDescent="0.4">
      <c r="A26" s="51" t="s">
        <v>5</v>
      </c>
      <c r="B26" s="48">
        <f>IF(B$19=0,0,C26/B$19)</f>
        <v>9534.6153846153848</v>
      </c>
      <c r="C26" s="39">
        <v>247900</v>
      </c>
      <c r="E26" s="59" t="s">
        <v>85</v>
      </c>
      <c r="F26" s="56" t="s">
        <v>40</v>
      </c>
      <c r="G26" s="44">
        <v>0</v>
      </c>
      <c r="H26" s="129">
        <f>IF(B$19=0,0,G26/B$19)</f>
        <v>0</v>
      </c>
      <c r="I26" s="90">
        <v>8</v>
      </c>
    </row>
    <row r="27" spans="1:17" x14ac:dyDescent="0.4">
      <c r="A27" s="52" t="s">
        <v>174</v>
      </c>
      <c r="B27" s="136">
        <f>IF($B$19-B$18=0,0,C27/($B$19-B$18))</f>
        <v>9661.9047619047615</v>
      </c>
      <c r="C27" s="137">
        <v>202900</v>
      </c>
      <c r="E27" s="59" t="s">
        <v>86</v>
      </c>
      <c r="F27" s="56" t="s">
        <v>41</v>
      </c>
      <c r="G27" s="44">
        <v>0</v>
      </c>
      <c r="H27" s="129">
        <f>IF(B$19=0,0,G27/B$19)</f>
        <v>0</v>
      </c>
      <c r="I27" s="90">
        <v>12</v>
      </c>
    </row>
    <row r="28" spans="1:17" x14ac:dyDescent="0.4">
      <c r="A28" s="52" t="s">
        <v>175</v>
      </c>
      <c r="B28" s="136">
        <f>IF(B$18=0,0,C28/B$18)</f>
        <v>9000</v>
      </c>
      <c r="C28" s="137">
        <v>45000</v>
      </c>
      <c r="E28" s="59" t="s">
        <v>87</v>
      </c>
      <c r="F28" s="56" t="s">
        <v>42</v>
      </c>
      <c r="G28" s="44">
        <v>0</v>
      </c>
      <c r="H28" s="129">
        <f>IF(B$19=0,0,G28/B$19)</f>
        <v>0</v>
      </c>
      <c r="I28" s="90">
        <v>7</v>
      </c>
    </row>
    <row r="29" spans="1:17" x14ac:dyDescent="0.4">
      <c r="A29" s="52" t="s">
        <v>173</v>
      </c>
      <c r="B29" s="136">
        <f>IF(B$20=0,0,C29/B$20)</f>
        <v>-10010.526315789473</v>
      </c>
      <c r="C29" s="137">
        <v>-190200</v>
      </c>
      <c r="E29" s="59" t="s">
        <v>88</v>
      </c>
      <c r="F29" s="56" t="s">
        <v>43</v>
      </c>
      <c r="G29" s="44">
        <v>0</v>
      </c>
      <c r="H29" s="129">
        <f>IF(B$19=0,0,G29/B$19)</f>
        <v>0</v>
      </c>
      <c r="I29" s="90">
        <v>6</v>
      </c>
    </row>
    <row r="30" spans="1:17" x14ac:dyDescent="0.4">
      <c r="A30" s="51" t="s">
        <v>164</v>
      </c>
      <c r="B30" s="44">
        <v>5</v>
      </c>
      <c r="C30" s="131">
        <v>0</v>
      </c>
      <c r="E30" s="59" t="s">
        <v>90</v>
      </c>
      <c r="F30" s="56" t="s">
        <v>45</v>
      </c>
      <c r="G30" s="44">
        <v>0</v>
      </c>
      <c r="H30" s="129">
        <f>IF(B$19=0,0,G30/B$19)</f>
        <v>0</v>
      </c>
      <c r="I30" s="90">
        <v>5</v>
      </c>
    </row>
    <row r="31" spans="1:17" x14ac:dyDescent="0.4">
      <c r="A31" s="51" t="s">
        <v>165</v>
      </c>
      <c r="B31" s="44">
        <v>11</v>
      </c>
      <c r="C31" s="131">
        <v>0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5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70900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0</v>
      </c>
      <c r="C34" s="40">
        <f>IF(B$3=0,0,B34/B$3)</f>
        <v>0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1</v>
      </c>
      <c r="C36" s="141">
        <f t="shared" ref="C36:C48" si="3">IF(B$19=0,0,B36/B$19)</f>
        <v>3.8461538461538464E-2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3</v>
      </c>
      <c r="C37" s="37">
        <f t="shared" si="3"/>
        <v>0.11538461538461539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6</v>
      </c>
      <c r="C38" s="37">
        <f t="shared" si="3"/>
        <v>0.23076923076923078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1</v>
      </c>
      <c r="C39" s="37">
        <f t="shared" si="3"/>
        <v>3.8461538461538464E-2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8</v>
      </c>
      <c r="C40" s="37">
        <f t="shared" si="3"/>
        <v>0.30769230769230771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6</v>
      </c>
      <c r="C41" s="37">
        <f t="shared" si="3"/>
        <v>0.23076923076923078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1</v>
      </c>
      <c r="C44" s="37">
        <f t="shared" si="3"/>
        <v>3.8461538461538464E-2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3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3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3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3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7CF33-FEE1-42BE-A9D9-DB777269949A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289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6">
        <v>5</v>
      </c>
      <c r="C2" s="157"/>
      <c r="E2" s="58" t="s">
        <v>64</v>
      </c>
      <c r="F2" s="55" t="s">
        <v>20</v>
      </c>
      <c r="G2" s="43">
        <v>6</v>
      </c>
      <c r="H2" s="128">
        <f>IF(B$19=0,0,G2/B$19)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8">
        <v>40</v>
      </c>
      <c r="C3" s="159"/>
      <c r="E3" s="59" t="s">
        <v>66</v>
      </c>
      <c r="F3" s="56" t="s">
        <v>22</v>
      </c>
      <c r="G3" s="44">
        <v>5</v>
      </c>
      <c r="H3" s="129">
        <f>IF(B$19=0,0,G3/B$19)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60">
        <v>-80.800000000000011</v>
      </c>
      <c r="C4" s="161"/>
      <c r="E4" s="59" t="s">
        <v>166</v>
      </c>
      <c r="F4" s="56" t="s">
        <v>167</v>
      </c>
      <c r="G4" s="44">
        <v>4</v>
      </c>
      <c r="H4" s="129">
        <f>IF(B$19=0,0,G4/B$19)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2">
        <f>IF(B$2=0,0,B$4/B$2)</f>
        <v>-16.160000000000004</v>
      </c>
      <c r="C5" s="163"/>
      <c r="E5" s="59" t="s">
        <v>78</v>
      </c>
      <c r="F5" s="56" t="s">
        <v>33</v>
      </c>
      <c r="G5" s="44">
        <v>3</v>
      </c>
      <c r="H5" s="129">
        <f>IF(B$19=0,0,G5/B$19)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2">
        <f>IF(B$2=0,0,(B$7*1+B$8*2+B$9*3)/B$2)</f>
        <v>2.2000000000000002</v>
      </c>
      <c r="C6" s="153"/>
      <c r="E6" s="59" t="s">
        <v>68</v>
      </c>
      <c r="F6" s="56" t="s">
        <v>12</v>
      </c>
      <c r="G6" s="44">
        <v>2</v>
      </c>
      <c r="H6" s="129">
        <f>IF(B$19=0,0,G6/B$19)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4" si="1">IF(B$2=0,0,B7/B$2)</f>
        <v>0.2</v>
      </c>
      <c r="E7" s="59" t="s">
        <v>69</v>
      </c>
      <c r="F7" s="56" t="s">
        <v>24</v>
      </c>
      <c r="G7" s="44">
        <v>2</v>
      </c>
      <c r="H7" s="129">
        <f>IF(B$19=0,0,G7/B$19)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IF(B$19=0,0,G8/B$19)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IF(B$19=0,0,G9/B$19)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2" t="s">
        <v>199</v>
      </c>
      <c r="B10" s="146">
        <f>IF(B7=0,0,C10/B7)</f>
        <v>27</v>
      </c>
      <c r="C10" s="147">
        <v>27</v>
      </c>
      <c r="E10" s="59" t="s">
        <v>65</v>
      </c>
      <c r="F10" s="56" t="s">
        <v>21</v>
      </c>
      <c r="G10" s="44">
        <v>1</v>
      </c>
      <c r="H10" s="129">
        <f>IF(B$19=0,0,G10/B$19)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2" t="s">
        <v>200</v>
      </c>
      <c r="B11" s="146">
        <f>IF(B8=0,0,C11/B8)</f>
        <v>-4.5999999999999996</v>
      </c>
      <c r="C11" s="147">
        <v>-9.1999999999999993</v>
      </c>
      <c r="E11" s="59" t="s">
        <v>67</v>
      </c>
      <c r="F11" s="56" t="s">
        <v>23</v>
      </c>
      <c r="G11" s="44">
        <v>1</v>
      </c>
      <c r="H11" s="129">
        <f>IF(B$19=0,0,G11/B$19)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2" t="s">
        <v>201</v>
      </c>
      <c r="B12" s="146">
        <f>IF(B9=0,0,C12/B9)</f>
        <v>-49.3</v>
      </c>
      <c r="C12" s="147">
        <v>-98.6</v>
      </c>
      <c r="E12" s="59" t="s">
        <v>87</v>
      </c>
      <c r="F12" s="56" t="s">
        <v>42</v>
      </c>
      <c r="G12" s="44">
        <v>1</v>
      </c>
      <c r="H12" s="129">
        <f>IF(B$19=0,0,G12/B$19)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2" t="s">
        <v>202</v>
      </c>
      <c r="B13" s="162">
        <f>AVERAGE(B10:B12)</f>
        <v>-8.9666666666666668</v>
      </c>
      <c r="C13" s="163"/>
      <c r="E13" s="59" t="s">
        <v>70</v>
      </c>
      <c r="F13" s="56" t="s">
        <v>25</v>
      </c>
      <c r="G13" s="44">
        <v>0</v>
      </c>
      <c r="H13" s="129">
        <f>IF(B$19=0,0,G13/B$19)</f>
        <v>0</v>
      </c>
      <c r="I13" s="90">
        <v>14</v>
      </c>
      <c r="N13" s="31"/>
      <c r="O13" s="106"/>
      <c r="P13" s="108"/>
      <c r="Q13" s="106"/>
    </row>
    <row r="14" spans="1:17" x14ac:dyDescent="0.4">
      <c r="A14" s="53" t="s">
        <v>18</v>
      </c>
      <c r="B14" s="46">
        <v>1</v>
      </c>
      <c r="C14" s="40">
        <f t="shared" si="1"/>
        <v>0.2</v>
      </c>
      <c r="E14" s="59" t="s">
        <v>71</v>
      </c>
      <c r="F14" s="56" t="s">
        <v>26</v>
      </c>
      <c r="G14" s="44">
        <v>0</v>
      </c>
      <c r="H14" s="129">
        <f>IF(B$19=0,0,G14/B$19)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4" t="s">
        <v>121</v>
      </c>
      <c r="B15" s="47">
        <v>15</v>
      </c>
      <c r="C15" s="42">
        <f>IF(B$3=0,0,B15/B$3)</f>
        <v>0.375</v>
      </c>
      <c r="E15" s="59" t="s">
        <v>73</v>
      </c>
      <c r="F15" s="56" t="s">
        <v>28</v>
      </c>
      <c r="G15" s="44">
        <v>0</v>
      </c>
      <c r="H15" s="129">
        <f>IF(B$19=0,0,G15/B$19)</f>
        <v>0</v>
      </c>
      <c r="I15" s="90">
        <v>6</v>
      </c>
      <c r="N15" s="110" t="s">
        <v>194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118</v>
      </c>
      <c r="B16" s="44">
        <v>6</v>
      </c>
      <c r="C16" s="37">
        <f>IF(B$3=0,0,B16/B$3)</f>
        <v>0.15</v>
      </c>
      <c r="E16" s="59" t="s">
        <v>74</v>
      </c>
      <c r="F16" s="56" t="s">
        <v>29</v>
      </c>
      <c r="G16" s="44">
        <v>0</v>
      </c>
      <c r="H16" s="129">
        <f>IF(B$19=0,0,G16/B$19)</f>
        <v>0</v>
      </c>
      <c r="I16" s="90">
        <v>7</v>
      </c>
      <c r="N16" s="111" t="s">
        <v>206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0" t="s">
        <v>123</v>
      </c>
      <c r="B17" s="43">
        <f>B23</f>
        <v>6</v>
      </c>
      <c r="C17" s="35">
        <f>IF(B$15=0,0,B17/B$15)</f>
        <v>0.4</v>
      </c>
      <c r="E17" s="59" t="s">
        <v>75</v>
      </c>
      <c r="F17" s="56" t="s">
        <v>30</v>
      </c>
      <c r="G17" s="44">
        <v>0</v>
      </c>
      <c r="H17" s="129">
        <f>IF(B$19=0,0,G17/B$19)</f>
        <v>0</v>
      </c>
      <c r="I17" s="90">
        <v>10</v>
      </c>
      <c r="N17" s="111" t="s">
        <v>290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0" t="s">
        <v>124</v>
      </c>
      <c r="B18" s="43">
        <f>B24</f>
        <v>2</v>
      </c>
      <c r="C18" s="35">
        <f>IF(B$16=0,0,B18/B$16)</f>
        <v>0.33333333333333331</v>
      </c>
      <c r="E18" s="59" t="s">
        <v>76</v>
      </c>
      <c r="F18" s="56" t="s">
        <v>31</v>
      </c>
      <c r="G18" s="44">
        <v>0</v>
      </c>
      <c r="H18" s="129">
        <f>IF(B$19=0,0,G18/B$19)</f>
        <v>0</v>
      </c>
      <c r="I18" s="90">
        <v>1</v>
      </c>
    </row>
    <row r="19" spans="1:17" x14ac:dyDescent="0.4">
      <c r="A19" s="50" t="s">
        <v>10</v>
      </c>
      <c r="B19" s="43">
        <f>B22+B21</f>
        <v>8</v>
      </c>
      <c r="C19" s="35">
        <f>IF(B$3=0,0,B19/B$3)</f>
        <v>0.2</v>
      </c>
      <c r="E19" s="59" t="s">
        <v>77</v>
      </c>
      <c r="F19" s="56" t="s">
        <v>32</v>
      </c>
      <c r="G19" s="44">
        <v>0</v>
      </c>
      <c r="H19" s="129">
        <f>IF(B$19=0,0,G19/B$19)</f>
        <v>0</v>
      </c>
      <c r="I19" s="90">
        <v>6</v>
      </c>
    </row>
    <row r="20" spans="1:17" x14ac:dyDescent="0.4">
      <c r="A20" s="51" t="s">
        <v>13</v>
      </c>
      <c r="B20" s="44">
        <v>8</v>
      </c>
      <c r="C20" s="37">
        <f>IF(B$3=0,0,B20/B$3)</f>
        <v>0.2</v>
      </c>
      <c r="E20" s="59" t="s">
        <v>79</v>
      </c>
      <c r="F20" s="56" t="s">
        <v>34</v>
      </c>
      <c r="G20" s="44">
        <v>0</v>
      </c>
      <c r="H20" s="129">
        <f>IF(B$19=0,0,G20/B$19)</f>
        <v>0</v>
      </c>
      <c r="I20" s="90">
        <v>11</v>
      </c>
    </row>
    <row r="21" spans="1:17" x14ac:dyDescent="0.4">
      <c r="A21" s="51" t="s">
        <v>12</v>
      </c>
      <c r="B21" s="44">
        <v>2</v>
      </c>
      <c r="C21" s="37">
        <f>IF(B$19=0,0,B21/B$19)</f>
        <v>0.25</v>
      </c>
      <c r="E21" s="59" t="s">
        <v>80</v>
      </c>
      <c r="F21" s="56" t="s">
        <v>35</v>
      </c>
      <c r="G21" s="44">
        <v>0</v>
      </c>
      <c r="H21" s="129">
        <f>IF(B$19=0,0,G21/B$19)</f>
        <v>0</v>
      </c>
      <c r="I21" s="90">
        <v>1</v>
      </c>
    </row>
    <row r="22" spans="1:17" x14ac:dyDescent="0.4">
      <c r="A22" s="51" t="s">
        <v>11</v>
      </c>
      <c r="B22" s="44">
        <v>6</v>
      </c>
      <c r="C22" s="37">
        <f>IF(B$19=0,0,B22/B$19)</f>
        <v>0.75</v>
      </c>
      <c r="E22" s="59" t="s">
        <v>81</v>
      </c>
      <c r="F22" s="56" t="s">
        <v>36</v>
      </c>
      <c r="G22" s="44">
        <v>0</v>
      </c>
      <c r="H22" s="129">
        <f>IF(B$19=0,0,G22/B$19)</f>
        <v>0</v>
      </c>
      <c r="I22" s="90">
        <v>11</v>
      </c>
    </row>
    <row r="23" spans="1:17" x14ac:dyDescent="0.4">
      <c r="A23" s="51" t="s">
        <v>192</v>
      </c>
      <c r="B23" s="44">
        <v>6</v>
      </c>
      <c r="C23" s="37">
        <f>IF(B$19=0,0,B23/B$19)</f>
        <v>0.75</v>
      </c>
      <c r="E23" s="59" t="s">
        <v>82</v>
      </c>
      <c r="F23" s="56" t="s">
        <v>37</v>
      </c>
      <c r="G23" s="44">
        <v>0</v>
      </c>
      <c r="H23" s="129">
        <f>IF(B$19=0,0,G23/B$19)</f>
        <v>0</v>
      </c>
      <c r="I23" s="90">
        <v>1</v>
      </c>
    </row>
    <row r="24" spans="1:17" x14ac:dyDescent="0.4">
      <c r="A24" s="51" t="s">
        <v>190</v>
      </c>
      <c r="B24" s="44">
        <v>2</v>
      </c>
      <c r="C24" s="37">
        <f>IF(B$19=0,0,B24/B$19)</f>
        <v>0.25</v>
      </c>
      <c r="E24" s="59" t="s">
        <v>83</v>
      </c>
      <c r="F24" s="56" t="s">
        <v>38</v>
      </c>
      <c r="G24" s="44">
        <v>0</v>
      </c>
      <c r="H24" s="129">
        <f>IF(B$19=0,0,G24/B$19)</f>
        <v>0</v>
      </c>
      <c r="I24" s="90">
        <v>13</v>
      </c>
    </row>
    <row r="25" spans="1:17" x14ac:dyDescent="0.4">
      <c r="A25" s="51" t="s">
        <v>191</v>
      </c>
      <c r="B25" s="44">
        <v>0</v>
      </c>
      <c r="C25" s="37">
        <f>IF(B$19=0,0,B25/B$19)</f>
        <v>0</v>
      </c>
      <c r="E25" s="59" t="s">
        <v>84</v>
      </c>
      <c r="F25" s="56" t="s">
        <v>39</v>
      </c>
      <c r="G25" s="44">
        <v>0</v>
      </c>
      <c r="H25" s="129">
        <f>IF(B$19=0,0,G25/B$19)</f>
        <v>0</v>
      </c>
      <c r="I25" s="90">
        <v>6</v>
      </c>
    </row>
    <row r="26" spans="1:17" x14ac:dyDescent="0.4">
      <c r="A26" s="51" t="s">
        <v>5</v>
      </c>
      <c r="B26" s="48">
        <f>IF(B$19=0,0,C26/B$19)</f>
        <v>8512.5</v>
      </c>
      <c r="C26" s="39">
        <v>68100</v>
      </c>
      <c r="E26" s="59" t="s">
        <v>85</v>
      </c>
      <c r="F26" s="56" t="s">
        <v>40</v>
      </c>
      <c r="G26" s="44">
        <v>0</v>
      </c>
      <c r="H26" s="129">
        <f>IF(B$19=0,0,G26/B$19)</f>
        <v>0</v>
      </c>
      <c r="I26" s="90">
        <v>8</v>
      </c>
    </row>
    <row r="27" spans="1:17" x14ac:dyDescent="0.4">
      <c r="A27" s="52" t="s">
        <v>174</v>
      </c>
      <c r="B27" s="136">
        <f>IF($B$19-B$18=0,0,C27/($B$19-B$18))</f>
        <v>9766.6666666666661</v>
      </c>
      <c r="C27" s="137">
        <v>58600</v>
      </c>
      <c r="E27" s="59" t="s">
        <v>86</v>
      </c>
      <c r="F27" s="56" t="s">
        <v>41</v>
      </c>
      <c r="G27" s="44">
        <v>0</v>
      </c>
      <c r="H27" s="129">
        <f>IF(B$19=0,0,G27/B$19)</f>
        <v>0</v>
      </c>
      <c r="I27" s="90">
        <v>12</v>
      </c>
    </row>
    <row r="28" spans="1:17" x14ac:dyDescent="0.4">
      <c r="A28" s="52" t="s">
        <v>175</v>
      </c>
      <c r="B28" s="136">
        <f>IF(B$18=0,0,C28/B$18)</f>
        <v>4750</v>
      </c>
      <c r="C28" s="137">
        <v>9500</v>
      </c>
      <c r="E28" s="59" t="s">
        <v>88</v>
      </c>
      <c r="F28" s="56" t="s">
        <v>43</v>
      </c>
      <c r="G28" s="44">
        <v>0</v>
      </c>
      <c r="H28" s="129">
        <f>IF(B$19=0,0,G28/B$19)</f>
        <v>0</v>
      </c>
      <c r="I28" s="90">
        <v>6</v>
      </c>
    </row>
    <row r="29" spans="1:17" x14ac:dyDescent="0.4">
      <c r="A29" s="52" t="s">
        <v>173</v>
      </c>
      <c r="B29" s="136">
        <f>IF(B$20=0,0,C29/B$20)</f>
        <v>-7987.5</v>
      </c>
      <c r="C29" s="137">
        <v>-63900</v>
      </c>
      <c r="E29" s="59" t="s">
        <v>90</v>
      </c>
      <c r="F29" s="56" t="s">
        <v>45</v>
      </c>
      <c r="G29" s="44">
        <v>0</v>
      </c>
      <c r="H29" s="129">
        <f>IF(B$19=0,0,G29/B$19)</f>
        <v>0</v>
      </c>
      <c r="I29" s="90">
        <v>5</v>
      </c>
    </row>
    <row r="30" spans="1:17" x14ac:dyDescent="0.4">
      <c r="A30" s="51" t="s">
        <v>164</v>
      </c>
      <c r="B30" s="44">
        <v>3</v>
      </c>
      <c r="C30" s="131">
        <v>0</v>
      </c>
      <c r="E30" s="59" t="s">
        <v>91</v>
      </c>
      <c r="F30" s="56" t="s">
        <v>46</v>
      </c>
      <c r="G30" s="44">
        <v>0</v>
      </c>
      <c r="H30" s="129">
        <f>IF(B$19=0,0,G30/B$19)</f>
        <v>0</v>
      </c>
      <c r="I30" s="90">
        <v>10</v>
      </c>
    </row>
    <row r="31" spans="1:17" x14ac:dyDescent="0.4">
      <c r="A31" s="51" t="s">
        <v>165</v>
      </c>
      <c r="B31" s="44">
        <v>7</v>
      </c>
      <c r="C31" s="131">
        <v>1</v>
      </c>
      <c r="E31" s="59" t="s">
        <v>92</v>
      </c>
      <c r="F31" s="56" t="s">
        <v>47</v>
      </c>
      <c r="G31" s="44">
        <v>0</v>
      </c>
      <c r="H31" s="129">
        <f>IF(B$19=0,0,G31/B$19)</f>
        <v>0</v>
      </c>
      <c r="I31" s="90">
        <v>7</v>
      </c>
    </row>
    <row r="32" spans="1:17" x14ac:dyDescent="0.4">
      <c r="A32" s="86" t="s">
        <v>138</v>
      </c>
      <c r="B32" s="150">
        <v>4</v>
      </c>
      <c r="C32" s="151"/>
      <c r="E32" s="59" t="s">
        <v>93</v>
      </c>
      <c r="F32" s="56" t="s">
        <v>48</v>
      </c>
      <c r="G32" s="44">
        <v>0</v>
      </c>
      <c r="H32" s="129">
        <f>IF(B$19=0,0,G32/B$19)</f>
        <v>0</v>
      </c>
      <c r="I32" s="90">
        <v>5</v>
      </c>
    </row>
    <row r="33" spans="1:9" x14ac:dyDescent="0.4">
      <c r="A33" s="54" t="s">
        <v>189</v>
      </c>
      <c r="B33" s="148">
        <v>52000</v>
      </c>
      <c r="C33" s="149"/>
      <c r="E33" s="59" t="s">
        <v>94</v>
      </c>
      <c r="F33" s="56" t="s">
        <v>49</v>
      </c>
      <c r="G33" s="44">
        <v>0</v>
      </c>
      <c r="H33" s="129">
        <f>IF(B$19=0,0,G33/B$19)</f>
        <v>0</v>
      </c>
      <c r="I33" s="90">
        <v>1</v>
      </c>
    </row>
    <row r="34" spans="1:9" x14ac:dyDescent="0.4">
      <c r="A34" s="53" t="s">
        <v>139</v>
      </c>
      <c r="B34" s="61">
        <v>0</v>
      </c>
      <c r="C34" s="40">
        <f>IF(B$3=0,0,B34/B$3)</f>
        <v>0</v>
      </c>
      <c r="E34" s="59" t="s">
        <v>95</v>
      </c>
      <c r="F34" s="56" t="s">
        <v>50</v>
      </c>
      <c r="G34" s="44">
        <v>0</v>
      </c>
      <c r="H34" s="129">
        <f>IF(B$19=0,0,G34/B$19)</f>
        <v>0</v>
      </c>
      <c r="I34" s="90">
        <v>6</v>
      </c>
    </row>
    <row r="35" spans="1:9" x14ac:dyDescent="0.4">
      <c r="E35" s="59" t="s">
        <v>96</v>
      </c>
      <c r="F35" s="56" t="s">
        <v>51</v>
      </c>
      <c r="G35" s="44">
        <v>0</v>
      </c>
      <c r="H35" s="129">
        <f>IF(B$19=0,0,G35/B$19)</f>
        <v>0</v>
      </c>
      <c r="I35" s="90">
        <v>1</v>
      </c>
    </row>
    <row r="36" spans="1:9" x14ac:dyDescent="0.4">
      <c r="A36" s="86" t="s">
        <v>180</v>
      </c>
      <c r="B36" s="144">
        <v>1</v>
      </c>
      <c r="C36" s="141">
        <f t="shared" ref="C36:C48" si="2">IF(B$19=0,0,B36/B$19)</f>
        <v>0.125</v>
      </c>
      <c r="E36" s="59" t="s">
        <v>97</v>
      </c>
      <c r="F36" s="56" t="s">
        <v>52</v>
      </c>
      <c r="G36" s="44">
        <v>0</v>
      </c>
      <c r="H36" s="129">
        <f>IF(B$19=0,0,G36/B$19)</f>
        <v>0</v>
      </c>
      <c r="I36" s="90">
        <v>3</v>
      </c>
    </row>
    <row r="37" spans="1:9" x14ac:dyDescent="0.4">
      <c r="A37" s="51" t="s">
        <v>176</v>
      </c>
      <c r="B37" s="44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IF(B$19=0,0,G37/B$19)</f>
        <v>0</v>
      </c>
      <c r="I37" s="90">
        <v>1</v>
      </c>
    </row>
    <row r="38" spans="1:9" x14ac:dyDescent="0.4">
      <c r="A38" s="51" t="s">
        <v>177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IF(B$19=0,0,G38/B$19)</f>
        <v>0</v>
      </c>
      <c r="I38" s="90">
        <v>1</v>
      </c>
    </row>
    <row r="39" spans="1:9" x14ac:dyDescent="0.4">
      <c r="A39" s="51" t="s">
        <v>178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IF(B$19=0,0,G39/B$19)</f>
        <v>0</v>
      </c>
      <c r="I39" s="90">
        <v>1</v>
      </c>
    </row>
    <row r="40" spans="1:9" x14ac:dyDescent="0.4">
      <c r="A40" s="51" t="s">
        <v>179</v>
      </c>
      <c r="B40" s="145">
        <v>4</v>
      </c>
      <c r="C40" s="37">
        <f t="shared" si="2"/>
        <v>0.5</v>
      </c>
      <c r="E40" s="59" t="s">
        <v>101</v>
      </c>
      <c r="F40" s="56" t="s">
        <v>56</v>
      </c>
      <c r="G40" s="44">
        <v>0</v>
      </c>
      <c r="H40" s="129">
        <f>IF(B$19=0,0,G40/B$19)</f>
        <v>0</v>
      </c>
      <c r="I40" s="90">
        <v>3</v>
      </c>
    </row>
    <row r="41" spans="1:9" x14ac:dyDescent="0.4">
      <c r="A41" s="51" t="s">
        <v>181</v>
      </c>
      <c r="B41" s="145">
        <v>1</v>
      </c>
      <c r="C41" s="37">
        <f t="shared" si="2"/>
        <v>0.125</v>
      </c>
      <c r="E41" s="59" t="s">
        <v>102</v>
      </c>
      <c r="F41" s="56" t="s">
        <v>57</v>
      </c>
      <c r="G41" s="44">
        <v>0</v>
      </c>
      <c r="H41" s="129">
        <f>IF(B$19=0,0,G41/B$19)</f>
        <v>0</v>
      </c>
      <c r="I41" s="90">
        <v>1</v>
      </c>
    </row>
    <row r="42" spans="1:9" x14ac:dyDescent="0.4">
      <c r="A42" s="51" t="s">
        <v>182</v>
      </c>
      <c r="B42" s="145">
        <v>1</v>
      </c>
      <c r="C42" s="37">
        <f t="shared" si="2"/>
        <v>0.125</v>
      </c>
      <c r="E42" s="59" t="s">
        <v>103</v>
      </c>
      <c r="F42" s="56" t="s">
        <v>58</v>
      </c>
      <c r="G42" s="44">
        <v>0</v>
      </c>
      <c r="H42" s="129">
        <f>IF(B$19=0,0,G42/B$19)</f>
        <v>0</v>
      </c>
      <c r="I42" s="90">
        <v>1</v>
      </c>
    </row>
    <row r="43" spans="1:9" x14ac:dyDescent="0.4">
      <c r="A43" s="51" t="s">
        <v>183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IF(B$19=0,0,G43/B$19)</f>
        <v>0</v>
      </c>
      <c r="I43" s="90">
        <v>1</v>
      </c>
    </row>
    <row r="44" spans="1:9" x14ac:dyDescent="0.4">
      <c r="A44" s="51" t="s">
        <v>184</v>
      </c>
      <c r="B44" s="145">
        <v>0</v>
      </c>
      <c r="C44" s="37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IF(B$19=0,0,G44/B$19)</f>
        <v>0</v>
      </c>
      <c r="I44" s="90">
        <v>1</v>
      </c>
    </row>
    <row r="45" spans="1:9" x14ac:dyDescent="0.4">
      <c r="A45" s="51" t="s">
        <v>185</v>
      </c>
      <c r="B45" s="145">
        <v>0</v>
      </c>
      <c r="C45" s="37">
        <f t="shared" si="2"/>
        <v>0</v>
      </c>
      <c r="E45" s="59" t="s">
        <v>106</v>
      </c>
      <c r="F45" s="56" t="s">
        <v>113</v>
      </c>
      <c r="G45" s="44">
        <v>0</v>
      </c>
      <c r="H45" s="129">
        <f>IF(B$19=0,0,G45/B$19)</f>
        <v>0</v>
      </c>
      <c r="I45" s="90">
        <v>3</v>
      </c>
    </row>
    <row r="46" spans="1:9" x14ac:dyDescent="0.4">
      <c r="A46" s="51" t="s">
        <v>186</v>
      </c>
      <c r="B46" s="145">
        <v>0</v>
      </c>
      <c r="C46" s="37">
        <f t="shared" si="2"/>
        <v>0</v>
      </c>
      <c r="E46" s="59" t="s">
        <v>107</v>
      </c>
      <c r="F46" s="56" t="s">
        <v>114</v>
      </c>
      <c r="G46" s="44">
        <v>0</v>
      </c>
      <c r="H46" s="129">
        <f>IF(B$19=0,0,G46/B$19)</f>
        <v>0</v>
      </c>
      <c r="I46" s="90">
        <v>1</v>
      </c>
    </row>
    <row r="47" spans="1:9" x14ac:dyDescent="0.4">
      <c r="A47" s="51" t="s">
        <v>187</v>
      </c>
      <c r="B47" s="145">
        <v>0</v>
      </c>
      <c r="C47" s="37">
        <f t="shared" si="2"/>
        <v>0</v>
      </c>
      <c r="E47" s="59" t="s">
        <v>108</v>
      </c>
      <c r="F47" s="56" t="s">
        <v>60</v>
      </c>
      <c r="G47" s="44">
        <v>0</v>
      </c>
      <c r="H47" s="129">
        <f>IF(B$19=0,0,G47/B$19)</f>
        <v>0</v>
      </c>
      <c r="I47" s="90">
        <v>1</v>
      </c>
    </row>
    <row r="48" spans="1:9" x14ac:dyDescent="0.4">
      <c r="A48" s="53" t="s">
        <v>188</v>
      </c>
      <c r="B48" s="140">
        <v>0</v>
      </c>
      <c r="C48" s="40">
        <f t="shared" si="2"/>
        <v>0</v>
      </c>
      <c r="E48" s="59" t="s">
        <v>109</v>
      </c>
      <c r="F48" s="56" t="s">
        <v>61</v>
      </c>
      <c r="G48" s="44">
        <v>0</v>
      </c>
      <c r="H48" s="129">
        <f>IF(B$19=0,0,G48/B$19)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IF(B$19=0,0,G49/B$19)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IF(B$19=0,0,G50/B$19)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IF(B$19=0,0,G51/B$19)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IF(B$19=0,0,G52/B$19)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4472-F266-4E57-AE52-07B7720522EB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289</v>
      </c>
      <c r="B1" s="66" t="s">
        <v>289</v>
      </c>
      <c r="C1" s="66" t="s">
        <v>289</v>
      </c>
      <c r="D1" s="67" t="s">
        <v>289</v>
      </c>
      <c r="E1" s="66" t="s">
        <v>289</v>
      </c>
      <c r="F1" s="66" t="s">
        <v>289</v>
      </c>
      <c r="G1" s="66" t="s">
        <v>289</v>
      </c>
      <c r="H1" s="66" t="s">
        <v>289</v>
      </c>
      <c r="I1" s="66" t="s">
        <v>289</v>
      </c>
      <c r="J1" s="66" t="s">
        <v>289</v>
      </c>
      <c r="K1" s="66" t="s">
        <v>289</v>
      </c>
      <c r="L1" s="66" t="s">
        <v>289</v>
      </c>
      <c r="M1" s="66" t="s">
        <v>289</v>
      </c>
      <c r="N1" s="66" t="s">
        <v>289</v>
      </c>
      <c r="O1" s="66" t="s">
        <v>289</v>
      </c>
      <c r="P1" s="66" t="s">
        <v>289</v>
      </c>
      <c r="Q1" s="66" t="s">
        <v>289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9843E-10DF-4AFF-9951-CCB65D1FA9D5}">
  <sheetPr codeName="Sheet30"/>
  <dimension ref="A1:Q1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290</v>
      </c>
      <c r="B1" s="66" t="s">
        <v>290</v>
      </c>
      <c r="C1" s="66" t="s">
        <v>290</v>
      </c>
      <c r="D1" s="67" t="s">
        <v>290</v>
      </c>
      <c r="E1" s="66" t="s">
        <v>290</v>
      </c>
      <c r="F1" s="66" t="s">
        <v>290</v>
      </c>
      <c r="G1" s="66" t="s">
        <v>290</v>
      </c>
      <c r="H1" s="66" t="s">
        <v>290</v>
      </c>
      <c r="I1" s="66" t="s">
        <v>290</v>
      </c>
      <c r="J1" s="66" t="s">
        <v>290</v>
      </c>
      <c r="K1" s="66" t="s">
        <v>290</v>
      </c>
      <c r="L1" s="66" t="s">
        <v>290</v>
      </c>
      <c r="M1" s="66" t="s">
        <v>290</v>
      </c>
      <c r="N1" s="66" t="s">
        <v>290</v>
      </c>
      <c r="O1" s="66" t="s">
        <v>290</v>
      </c>
      <c r="P1" s="66" t="s">
        <v>290</v>
      </c>
      <c r="Q1" s="66" t="s">
        <v>290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2DC7F-0B00-4198-8004-04C58B557C40}">
  <sheetPr codeName="Sheet28"/>
  <dimension ref="A1:Q2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283</v>
      </c>
      <c r="B1" s="66" t="s">
        <v>283</v>
      </c>
      <c r="C1" s="66" t="s">
        <v>283</v>
      </c>
      <c r="D1" s="67" t="s">
        <v>283</v>
      </c>
      <c r="E1" s="66" t="s">
        <v>283</v>
      </c>
      <c r="F1" s="66" t="s">
        <v>283</v>
      </c>
      <c r="G1" s="66" t="s">
        <v>283</v>
      </c>
      <c r="H1" s="66" t="s">
        <v>283</v>
      </c>
      <c r="I1" s="66" t="s">
        <v>283</v>
      </c>
      <c r="J1" s="66" t="s">
        <v>283</v>
      </c>
      <c r="K1" s="66" t="s">
        <v>283</v>
      </c>
      <c r="L1" s="66" t="s">
        <v>283</v>
      </c>
      <c r="M1" s="66" t="s">
        <v>283</v>
      </c>
      <c r="N1" s="66" t="s">
        <v>283</v>
      </c>
      <c r="O1" s="66" t="s">
        <v>283</v>
      </c>
      <c r="P1" s="66" t="s">
        <v>283</v>
      </c>
      <c r="Q1" s="66" t="s">
        <v>283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B5A45-92AA-4F33-8DC1-E0E7998ABE18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243</v>
      </c>
      <c r="B1" s="66" t="s">
        <v>243</v>
      </c>
      <c r="C1" s="66" t="s">
        <v>243</v>
      </c>
      <c r="D1" s="67" t="s">
        <v>243</v>
      </c>
      <c r="E1" s="66" t="s">
        <v>243</v>
      </c>
      <c r="F1" s="66" t="s">
        <v>243</v>
      </c>
      <c r="G1" s="66" t="s">
        <v>243</v>
      </c>
      <c r="H1" s="66" t="s">
        <v>243</v>
      </c>
      <c r="I1" s="66" t="s">
        <v>243</v>
      </c>
      <c r="J1" s="66" t="s">
        <v>243</v>
      </c>
      <c r="K1" s="66" t="s">
        <v>243</v>
      </c>
      <c r="L1" s="66" t="s">
        <v>243</v>
      </c>
      <c r="M1" s="66" t="s">
        <v>243</v>
      </c>
      <c r="N1" s="66" t="s">
        <v>243</v>
      </c>
      <c r="O1" s="66" t="s">
        <v>243</v>
      </c>
      <c r="P1" s="66" t="s">
        <v>243</v>
      </c>
      <c r="Q1" s="66" t="s">
        <v>243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5767C-9106-4E44-B877-594BA3804EC2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219</v>
      </c>
      <c r="B1" s="66" t="s">
        <v>219</v>
      </c>
      <c r="C1" s="66" t="s">
        <v>219</v>
      </c>
      <c r="D1" s="67" t="s">
        <v>219</v>
      </c>
      <c r="E1" s="66" t="s">
        <v>219</v>
      </c>
      <c r="F1" s="66" t="s">
        <v>219</v>
      </c>
      <c r="G1" s="66" t="s">
        <v>219</v>
      </c>
      <c r="H1" s="66" t="s">
        <v>219</v>
      </c>
      <c r="I1" s="66" t="s">
        <v>219</v>
      </c>
      <c r="J1" s="66" t="s">
        <v>219</v>
      </c>
      <c r="K1" s="66" t="s">
        <v>219</v>
      </c>
      <c r="L1" s="66" t="s">
        <v>219</v>
      </c>
      <c r="M1" s="66" t="s">
        <v>219</v>
      </c>
      <c r="N1" s="66" t="s">
        <v>219</v>
      </c>
      <c r="O1" s="66" t="s">
        <v>219</v>
      </c>
      <c r="P1" s="66" t="s">
        <v>219</v>
      </c>
      <c r="Q1" s="66" t="s">
        <v>219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146FB-1D00-4853-AEB1-B848D49E89E0}">
  <sheetPr codeName="Sheet22"/>
  <dimension ref="A1:Q3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193</v>
      </c>
      <c r="B1" s="66" t="s">
        <v>193</v>
      </c>
      <c r="C1" s="66" t="s">
        <v>193</v>
      </c>
      <c r="D1" s="67" t="s">
        <v>193</v>
      </c>
      <c r="E1" s="66" t="s">
        <v>193</v>
      </c>
      <c r="F1" s="66" t="s">
        <v>193</v>
      </c>
      <c r="G1" s="66" t="s">
        <v>193</v>
      </c>
      <c r="H1" s="66" t="s">
        <v>193</v>
      </c>
      <c r="I1" s="66" t="s">
        <v>193</v>
      </c>
      <c r="J1" s="66" t="s">
        <v>193</v>
      </c>
      <c r="K1" s="66" t="s">
        <v>193</v>
      </c>
      <c r="L1" s="66" t="s">
        <v>193</v>
      </c>
      <c r="M1" s="66" t="s">
        <v>193</v>
      </c>
      <c r="N1" s="66" t="s">
        <v>193</v>
      </c>
      <c r="O1" s="66" t="s">
        <v>193</v>
      </c>
      <c r="P1" s="66" t="s">
        <v>193</v>
      </c>
      <c r="Q1" s="66" t="s">
        <v>193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0234F-82E4-4E5B-B44B-EB4736C1AFD1}">
  <sheetPr codeName="Sheet20"/>
  <dimension ref="A1:Q7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194</v>
      </c>
      <c r="B1" s="66" t="s">
        <v>194</v>
      </c>
      <c r="C1" s="66" t="s">
        <v>194</v>
      </c>
      <c r="D1" s="67" t="s">
        <v>194</v>
      </c>
      <c r="E1" s="66" t="s">
        <v>194</v>
      </c>
      <c r="F1" s="66" t="s">
        <v>194</v>
      </c>
      <c r="G1" s="66" t="s">
        <v>194</v>
      </c>
      <c r="H1" s="66" t="s">
        <v>194</v>
      </c>
      <c r="I1" s="66" t="s">
        <v>194</v>
      </c>
      <c r="J1" s="66" t="s">
        <v>194</v>
      </c>
      <c r="K1" s="66" t="s">
        <v>194</v>
      </c>
      <c r="L1" s="66" t="s">
        <v>194</v>
      </c>
      <c r="M1" s="66" t="s">
        <v>194</v>
      </c>
      <c r="N1" s="66" t="s">
        <v>194</v>
      </c>
      <c r="O1" s="66" t="s">
        <v>194</v>
      </c>
      <c r="P1" s="66" t="s">
        <v>194</v>
      </c>
      <c r="Q1" s="66" t="s">
        <v>194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9B8D1-8376-471D-9832-DCD79BC30BE8}">
  <sheetPr codeName="Sheet18"/>
  <dimension ref="A1:Q1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206</v>
      </c>
      <c r="B1" s="66" t="s">
        <v>206</v>
      </c>
      <c r="C1" s="66" t="s">
        <v>206</v>
      </c>
      <c r="D1" s="67" t="s">
        <v>206</v>
      </c>
      <c r="E1" s="66" t="s">
        <v>206</v>
      </c>
      <c r="F1" s="66" t="s">
        <v>206</v>
      </c>
      <c r="G1" s="66" t="s">
        <v>206</v>
      </c>
      <c r="H1" s="66" t="s">
        <v>206</v>
      </c>
      <c r="I1" s="66" t="s">
        <v>206</v>
      </c>
      <c r="J1" s="66" t="s">
        <v>206</v>
      </c>
      <c r="K1" s="66" t="s">
        <v>206</v>
      </c>
      <c r="L1" s="66" t="s">
        <v>206</v>
      </c>
      <c r="M1" s="66" t="s">
        <v>206</v>
      </c>
      <c r="N1" s="66" t="s">
        <v>206</v>
      </c>
      <c r="O1" s="66" t="s">
        <v>206</v>
      </c>
      <c r="P1" s="66" t="s">
        <v>206</v>
      </c>
      <c r="Q1" s="66" t="s">
        <v>206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F0598-7945-4E10-80BA-DA004412ED19}">
  <sheetPr codeName="Sheet16"/>
  <dimension ref="A1:Q1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7389-F78E-4F0B-8180-E96975909F35}">
  <sheetPr codeName="Sheet14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74D73-6E0B-4B44-83DB-D616C82AC64D}">
  <sheetPr codeName="Sheet12"/>
  <dimension ref="A1:Q18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FBDF-38A7-4BFF-9AC0-804D681E7DAD}">
  <sheetPr codeName="Sheet10"/>
  <dimension ref="A1:Q2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740B-56C3-4DDB-82E5-A2B91827872A}">
  <sheetPr codeName="Sheet8"/>
  <dimension ref="A1:Q9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7DE34-8C63-4F43-9A05-69421EDA8DF9}">
  <sheetPr codeName="Sheet6"/>
  <dimension ref="A1:Q34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2020-02-08T00:52:03Z</dcterms:modified>
</cp:coreProperties>
</file>