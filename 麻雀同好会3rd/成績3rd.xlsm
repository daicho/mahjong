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9E68662A-890F-4CD3-8923-FF52075BBEB0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335" r:id="rId6"/>
    <sheet name="たかの" sheetId="6337" r:id="rId7"/>
    <sheet name="だいち" sheetId="6339" r:id="rId8"/>
    <sheet name="ただ" sheetId="6341" r:id="rId9"/>
    <sheet name="りくと" sheetId="6343" r:id="rId10"/>
    <sheet name="れんたろう" sheetId="6345" r:id="rId11"/>
    <sheet name="まっつん" sheetId="6347" r:id="rId12"/>
    <sheet name="のり" sheetId="6349" r:id="rId13"/>
    <sheet name="ぱぱ" sheetId="6351" r:id="rId14"/>
    <sheet name="ほたに" sheetId="6353" r:id="rId15"/>
    <sheet name="いっしー" sheetId="6355" r:id="rId16"/>
    <sheet name="ともき" sheetId="6357" r:id="rId17"/>
    <sheet name="たか" sheetId="6359" r:id="rId18"/>
    <sheet name="ゆう" sheetId="6361" r:id="rId19"/>
    <sheet name="ゆう2" sheetId="6362" state="hidden" r:id="rId20"/>
    <sheet name="たか2" sheetId="6360" state="hidden" r:id="rId21"/>
    <sheet name="ともき2" sheetId="6358" state="hidden" r:id="rId22"/>
    <sheet name="いっしー2" sheetId="6356" state="hidden" r:id="rId23"/>
    <sheet name="ほたに2" sheetId="6354" state="hidden" r:id="rId24"/>
    <sheet name="ぱぱ2" sheetId="6352" state="hidden" r:id="rId25"/>
    <sheet name="のり2" sheetId="6350" state="hidden" r:id="rId26"/>
    <sheet name="まっつん2" sheetId="6348" state="hidden" r:id="rId27"/>
    <sheet name="れんたろう2" sheetId="6346" state="hidden" r:id="rId28"/>
    <sheet name="りくと2" sheetId="6344" state="hidden" r:id="rId29"/>
    <sheet name="ただ2" sheetId="6342" state="hidden" r:id="rId30"/>
    <sheet name="だいち2" sheetId="6340" state="hidden" r:id="rId31"/>
    <sheet name="たかの2" sheetId="6338" state="hidden" r:id="rId32"/>
    <sheet name="全体2" sheetId="633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347" l="1"/>
  <c r="O16" i="6357"/>
  <c r="O16" i="6359" l="1"/>
  <c r="O23" i="6337"/>
  <c r="O20" i="6347" l="1"/>
  <c r="O16" i="6361"/>
  <c r="O18" i="6359"/>
  <c r="O15" i="6337" l="1"/>
  <c r="O22" i="6357"/>
  <c r="O19" i="6359" l="1"/>
  <c r="O15" i="6361"/>
  <c r="O17" i="6361"/>
  <c r="C30" i="6361"/>
  <c r="B25" i="6361"/>
  <c r="C16" i="6361"/>
  <c r="B15" i="6361"/>
  <c r="H50" i="6361" s="1"/>
  <c r="B14" i="6361"/>
  <c r="B24" i="6361" s="1"/>
  <c r="B13" i="6361"/>
  <c r="C13" i="6361" s="1"/>
  <c r="O12" i="6361"/>
  <c r="C12" i="6361"/>
  <c r="O11" i="6361"/>
  <c r="C11" i="6361"/>
  <c r="O10" i="6361"/>
  <c r="C10" i="6361"/>
  <c r="C9" i="6361"/>
  <c r="C8" i="6361"/>
  <c r="O7" i="6361"/>
  <c r="C7" i="6361"/>
  <c r="O6" i="6361"/>
  <c r="B6" i="6361"/>
  <c r="O5" i="6361"/>
  <c r="B5" i="6361"/>
  <c r="O4" i="6361"/>
  <c r="O3" i="6361"/>
  <c r="O2" i="6361"/>
  <c r="O16" i="6349"/>
  <c r="O15" i="6359"/>
  <c r="O17" i="6359"/>
  <c r="C30" i="6359"/>
  <c r="B25" i="6359"/>
  <c r="C16" i="6359"/>
  <c r="B15" i="6359"/>
  <c r="H51" i="6359" s="1"/>
  <c r="B14" i="6359"/>
  <c r="B24" i="6359" s="1"/>
  <c r="B13" i="6359"/>
  <c r="C13" i="6359" s="1"/>
  <c r="O12" i="6359"/>
  <c r="C12" i="6359"/>
  <c r="O11" i="6359"/>
  <c r="C11" i="6359"/>
  <c r="O10" i="6359"/>
  <c r="C10" i="6359"/>
  <c r="C9" i="6359"/>
  <c r="C8" i="6359"/>
  <c r="O7" i="6359"/>
  <c r="C7" i="6359"/>
  <c r="O6" i="6359"/>
  <c r="B6" i="6359"/>
  <c r="O5" i="6359"/>
  <c r="B5" i="6359"/>
  <c r="O4" i="6359"/>
  <c r="O3" i="6359"/>
  <c r="O2" i="6359"/>
  <c r="O15" i="6335"/>
  <c r="H9" i="6359" l="1"/>
  <c r="C14" i="6359"/>
  <c r="C14" i="6361"/>
  <c r="H17" i="6361"/>
  <c r="H2" i="6361"/>
  <c r="H6" i="6361"/>
  <c r="H16" i="6361"/>
  <c r="H10" i="6361"/>
  <c r="H11" i="6361"/>
  <c r="H14" i="6361"/>
  <c r="C17" i="6361"/>
  <c r="H22" i="6361"/>
  <c r="B22" i="6361"/>
  <c r="H12" i="6361"/>
  <c r="H34" i="6361"/>
  <c r="C36" i="6361"/>
  <c r="H39" i="6361"/>
  <c r="H42" i="6361"/>
  <c r="C44" i="6361"/>
  <c r="H49" i="6361"/>
  <c r="H15" i="6361"/>
  <c r="C15" i="6361"/>
  <c r="H20" i="6361"/>
  <c r="C20" i="6361"/>
  <c r="B23" i="6361"/>
  <c r="H28" i="6361"/>
  <c r="H32" i="6361"/>
  <c r="C34" i="6361"/>
  <c r="H37" i="6361"/>
  <c r="H40" i="6361"/>
  <c r="C42" i="6361"/>
  <c r="H45" i="6361"/>
  <c r="H51" i="6361"/>
  <c r="H3" i="6361"/>
  <c r="H13" i="6361"/>
  <c r="H8" i="6361"/>
  <c r="H19" i="6361"/>
  <c r="C18" i="6361"/>
  <c r="C21" i="6361"/>
  <c r="H26" i="6361"/>
  <c r="H29" i="6361"/>
  <c r="C32" i="6361"/>
  <c r="H35" i="6361"/>
  <c r="H38" i="6361"/>
  <c r="C40" i="6361"/>
  <c r="H43" i="6361"/>
  <c r="H47" i="6361"/>
  <c r="H4" i="6361"/>
  <c r="H7" i="6361"/>
  <c r="H18" i="6361"/>
  <c r="C19" i="6361"/>
  <c r="H24" i="6361"/>
  <c r="H30" i="6361"/>
  <c r="H33" i="6361"/>
  <c r="H36" i="6361"/>
  <c r="C38" i="6361"/>
  <c r="H41" i="6361"/>
  <c r="H44" i="6361"/>
  <c r="H48" i="6361"/>
  <c r="H52" i="6361"/>
  <c r="H5" i="6361"/>
  <c r="H21" i="6361"/>
  <c r="H23" i="6361"/>
  <c r="H25" i="6361"/>
  <c r="H27" i="6361"/>
  <c r="H9" i="6361"/>
  <c r="H31" i="6361"/>
  <c r="C33" i="6361"/>
  <c r="C35" i="6361"/>
  <c r="C37" i="6361"/>
  <c r="C39" i="6361"/>
  <c r="C41" i="6361"/>
  <c r="C43" i="6361"/>
  <c r="H46" i="6361"/>
  <c r="C18" i="6359"/>
  <c r="H8" i="6359"/>
  <c r="H10" i="6359"/>
  <c r="H18" i="6359"/>
  <c r="H24" i="6359"/>
  <c r="C34" i="6359"/>
  <c r="C38" i="6359"/>
  <c r="H3" i="6359"/>
  <c r="H2" i="6359"/>
  <c r="H7" i="6359"/>
  <c r="C19" i="6359"/>
  <c r="H6" i="6359"/>
  <c r="H19" i="6359"/>
  <c r="C21" i="6359"/>
  <c r="H14" i="6359"/>
  <c r="C42" i="6359"/>
  <c r="H48" i="6359"/>
  <c r="H35" i="6359"/>
  <c r="H39" i="6359"/>
  <c r="H43" i="6359"/>
  <c r="H49" i="6359"/>
  <c r="H11" i="6359"/>
  <c r="H16" i="6359"/>
  <c r="H17" i="6359"/>
  <c r="C17" i="6359"/>
  <c r="B22" i="6359"/>
  <c r="H28" i="6359"/>
  <c r="C32" i="6359"/>
  <c r="C36" i="6359"/>
  <c r="C40" i="6359"/>
  <c r="C44" i="6359"/>
  <c r="H5" i="6359"/>
  <c r="H12" i="6359"/>
  <c r="H4" i="6359"/>
  <c r="H15" i="6359"/>
  <c r="B23" i="6359"/>
  <c r="C15" i="6359"/>
  <c r="H21" i="6359"/>
  <c r="C20" i="6359"/>
  <c r="H26" i="6359"/>
  <c r="H29" i="6359"/>
  <c r="H33" i="6359"/>
  <c r="H37" i="6359"/>
  <c r="H41" i="6359"/>
  <c r="H45" i="6359"/>
  <c r="H52" i="6359"/>
  <c r="H20" i="6359"/>
  <c r="H22" i="6359"/>
  <c r="H23" i="6359"/>
  <c r="H25" i="6359"/>
  <c r="H27" i="6359"/>
  <c r="H13" i="6359"/>
  <c r="H31" i="6359"/>
  <c r="C33" i="6359"/>
  <c r="C35" i="6359"/>
  <c r="C37" i="6359"/>
  <c r="C39" i="6359"/>
  <c r="C41" i="6359"/>
  <c r="C43" i="6359"/>
  <c r="H46" i="6359"/>
  <c r="H50" i="6359"/>
  <c r="H30" i="6359"/>
  <c r="H32" i="6359"/>
  <c r="H34" i="6359"/>
  <c r="H36" i="6359"/>
  <c r="H38" i="6359"/>
  <c r="H40" i="6359"/>
  <c r="H42" i="6359"/>
  <c r="H44" i="6359"/>
  <c r="H47" i="6359"/>
  <c r="O21" i="6357" l="1"/>
  <c r="O15" i="6339"/>
  <c r="O21" i="6341" l="1"/>
  <c r="O17" i="6357"/>
  <c r="O19" i="6357"/>
  <c r="O22" i="6343"/>
  <c r="O23" i="6351" l="1"/>
  <c r="O15" i="6357"/>
  <c r="O19" i="6345" l="1"/>
  <c r="O18" i="6357"/>
  <c r="O20" i="6357"/>
  <c r="C30" i="6357"/>
  <c r="B25" i="6357"/>
  <c r="C16" i="6357"/>
  <c r="B15" i="6357"/>
  <c r="H50" i="6357" s="1"/>
  <c r="C14" i="6357"/>
  <c r="B14" i="6357"/>
  <c r="B24" i="6357" s="1"/>
  <c r="B13" i="6357"/>
  <c r="C13" i="6357" s="1"/>
  <c r="O12" i="6357"/>
  <c r="C12" i="6357"/>
  <c r="O11" i="6357"/>
  <c r="C11" i="6357"/>
  <c r="O10" i="6357"/>
  <c r="C10" i="6357"/>
  <c r="C9" i="6357"/>
  <c r="C8" i="6357"/>
  <c r="O7" i="6357"/>
  <c r="C7" i="6357"/>
  <c r="O6" i="6357"/>
  <c r="B6" i="6357"/>
  <c r="O5" i="6357"/>
  <c r="B5" i="6357"/>
  <c r="O4" i="6357"/>
  <c r="O3" i="6357"/>
  <c r="O2" i="6357"/>
  <c r="O17" i="6349"/>
  <c r="O20" i="6335"/>
  <c r="C19" i="6357" l="1"/>
  <c r="H8" i="6357"/>
  <c r="H9" i="6357"/>
  <c r="H5" i="6357"/>
  <c r="H20" i="6357"/>
  <c r="H13" i="6357"/>
  <c r="H27" i="6357"/>
  <c r="H34" i="6357"/>
  <c r="C36" i="6357"/>
  <c r="H39" i="6357"/>
  <c r="H42" i="6357"/>
  <c r="C44" i="6357"/>
  <c r="H49" i="6357"/>
  <c r="B22" i="6357"/>
  <c r="H28" i="6357"/>
  <c r="H32" i="6357"/>
  <c r="C34" i="6357"/>
  <c r="H37" i="6357"/>
  <c r="H40" i="6357"/>
  <c r="C42" i="6357"/>
  <c r="H45" i="6357"/>
  <c r="H51" i="6357"/>
  <c r="H19" i="6357"/>
  <c r="C17" i="6357"/>
  <c r="H18" i="6357"/>
  <c r="C20" i="6357"/>
  <c r="H14" i="6357"/>
  <c r="C32" i="6357"/>
  <c r="H35" i="6357"/>
  <c r="H38" i="6357"/>
  <c r="C40" i="6357"/>
  <c r="H43" i="6357"/>
  <c r="H47" i="6357"/>
  <c r="H7" i="6357"/>
  <c r="H15" i="6357"/>
  <c r="H12" i="6357"/>
  <c r="H24" i="6357"/>
  <c r="H6" i="6357"/>
  <c r="C15" i="6357"/>
  <c r="H16" i="6357"/>
  <c r="H29" i="6357"/>
  <c r="H3" i="6357"/>
  <c r="H2" i="6357"/>
  <c r="H10" i="6357"/>
  <c r="H4" i="6357"/>
  <c r="H21" i="6357"/>
  <c r="C18" i="6357"/>
  <c r="C21" i="6357"/>
  <c r="H30" i="6357"/>
  <c r="H33" i="6357"/>
  <c r="H36" i="6357"/>
  <c r="C38" i="6357"/>
  <c r="H41" i="6357"/>
  <c r="H44" i="6357"/>
  <c r="H48" i="6357"/>
  <c r="H52" i="6357"/>
  <c r="B23" i="6357"/>
  <c r="H22" i="6357"/>
  <c r="H23" i="6357"/>
  <c r="H25" i="6357"/>
  <c r="H26" i="6357"/>
  <c r="H17" i="6357"/>
  <c r="H11" i="6357"/>
  <c r="H31" i="6357"/>
  <c r="C33" i="6357"/>
  <c r="C35" i="6357"/>
  <c r="C37" i="6357"/>
  <c r="C39" i="6357"/>
  <c r="C41" i="6357"/>
  <c r="C43" i="6357"/>
  <c r="H46" i="6357"/>
  <c r="O16" i="6347" l="1"/>
  <c r="O17" i="6355"/>
  <c r="O23" i="6339"/>
  <c r="O16" i="6355"/>
  <c r="O15" i="6355"/>
  <c r="C30" i="6355"/>
  <c r="B25" i="6355"/>
  <c r="C16" i="6355"/>
  <c r="B15" i="6355"/>
  <c r="H50" i="6355" s="1"/>
  <c r="B14" i="6355"/>
  <c r="B24" i="6355" s="1"/>
  <c r="C13" i="6355"/>
  <c r="B13" i="6355"/>
  <c r="O12" i="6355"/>
  <c r="C12" i="6355"/>
  <c r="O11" i="6355"/>
  <c r="C11" i="6355"/>
  <c r="O10" i="6355"/>
  <c r="C10" i="6355"/>
  <c r="C9" i="6355"/>
  <c r="C8" i="6355"/>
  <c r="O7" i="6355"/>
  <c r="C7" i="6355"/>
  <c r="O6" i="6355"/>
  <c r="B6" i="6355"/>
  <c r="O5" i="6355"/>
  <c r="B5" i="6355"/>
  <c r="O4" i="6355"/>
  <c r="O3" i="6355"/>
  <c r="O2" i="6355"/>
  <c r="O21" i="6349"/>
  <c r="O26" i="6335"/>
  <c r="H12" i="6355" l="1"/>
  <c r="C19" i="6355"/>
  <c r="H13" i="6355"/>
  <c r="H7" i="6355"/>
  <c r="H17" i="6355"/>
  <c r="C14" i="6355"/>
  <c r="H8" i="6355"/>
  <c r="H27" i="6355"/>
  <c r="H34" i="6355"/>
  <c r="C36" i="6355"/>
  <c r="H39" i="6355"/>
  <c r="H42" i="6355"/>
  <c r="C44" i="6355"/>
  <c r="H49" i="6355"/>
  <c r="H10" i="6355"/>
  <c r="H16" i="6355"/>
  <c r="C17" i="6355"/>
  <c r="B22" i="6355"/>
  <c r="H32" i="6355"/>
  <c r="H37" i="6355"/>
  <c r="H40" i="6355"/>
  <c r="C42" i="6355"/>
  <c r="H45" i="6355"/>
  <c r="H51" i="6355"/>
  <c r="H28" i="6355"/>
  <c r="C15" i="6355"/>
  <c r="C20" i="6355"/>
  <c r="H29" i="6355"/>
  <c r="C32" i="6355"/>
  <c r="H35" i="6355"/>
  <c r="H38" i="6355"/>
  <c r="C40" i="6355"/>
  <c r="H43" i="6355"/>
  <c r="H47" i="6355"/>
  <c r="H11" i="6355"/>
  <c r="H15" i="6355"/>
  <c r="H22" i="6355"/>
  <c r="C34" i="6355"/>
  <c r="H4" i="6355"/>
  <c r="H14" i="6355"/>
  <c r="H20" i="6355"/>
  <c r="H25" i="6355"/>
  <c r="H6" i="6355"/>
  <c r="H3" i="6355"/>
  <c r="H9" i="6355"/>
  <c r="H2" i="6355"/>
  <c r="H18" i="6355"/>
  <c r="C18" i="6355"/>
  <c r="C21" i="6355"/>
  <c r="H30" i="6355"/>
  <c r="H33" i="6355"/>
  <c r="H36" i="6355"/>
  <c r="C38" i="6355"/>
  <c r="H41" i="6355"/>
  <c r="H44" i="6355"/>
  <c r="H48" i="6355"/>
  <c r="H52" i="6355"/>
  <c r="B23" i="6355"/>
  <c r="H19" i="6355"/>
  <c r="H21" i="6355"/>
  <c r="H23" i="6355"/>
  <c r="H24" i="6355"/>
  <c r="H26" i="6355"/>
  <c r="H5" i="6355"/>
  <c r="H31" i="6355"/>
  <c r="C33" i="6355"/>
  <c r="C35" i="6355"/>
  <c r="C37" i="6355"/>
  <c r="C39" i="6355"/>
  <c r="C41" i="6355"/>
  <c r="C43" i="6355"/>
  <c r="H46" i="6355"/>
  <c r="O22" i="6337" l="1"/>
  <c r="O16" i="6345"/>
  <c r="O15" i="6345" l="1"/>
  <c r="O19" i="6353"/>
  <c r="O15" i="6343" l="1"/>
  <c r="O23" i="6349"/>
  <c r="O16" i="6353" l="1"/>
  <c r="O23" i="6343"/>
  <c r="O21" i="6337" l="1"/>
  <c r="O17" i="6339"/>
  <c r="O15" i="6349"/>
  <c r="O22" i="6349"/>
  <c r="O19" i="6347" l="1"/>
  <c r="O18" i="6351"/>
  <c r="O18" i="6341" l="1"/>
  <c r="O17" i="6347"/>
  <c r="O18" i="6349"/>
  <c r="O20" i="6349"/>
  <c r="O16" i="6337" l="1"/>
  <c r="O17" i="6351"/>
  <c r="O19" i="6351"/>
  <c r="O18" i="6343"/>
  <c r="O20" i="6341" l="1"/>
  <c r="O20" i="6345"/>
  <c r="O22" i="6345" l="1"/>
  <c r="O22" i="6339"/>
  <c r="O25" i="6349"/>
  <c r="O17" i="6353"/>
  <c r="O15" i="6353"/>
  <c r="O21" i="6351"/>
  <c r="O15" i="6341" l="1"/>
  <c r="O22" i="6341"/>
  <c r="O18" i="6353"/>
  <c r="O20" i="6353"/>
  <c r="C30" i="6353"/>
  <c r="B25" i="6353"/>
  <c r="C16" i="6353"/>
  <c r="B15" i="6353"/>
  <c r="H51" i="6353" s="1"/>
  <c r="B14" i="6353"/>
  <c r="C14" i="6353" s="1"/>
  <c r="B13" i="6353"/>
  <c r="C13" i="6353" s="1"/>
  <c r="O12" i="6353"/>
  <c r="C12" i="6353"/>
  <c r="O11" i="6353"/>
  <c r="C11" i="6353"/>
  <c r="O10" i="6353"/>
  <c r="C10" i="6353"/>
  <c r="C9" i="6353"/>
  <c r="C8" i="6353"/>
  <c r="O7" i="6353"/>
  <c r="C7" i="6353"/>
  <c r="O6" i="6353"/>
  <c r="B6" i="6353"/>
  <c r="O5" i="6353"/>
  <c r="B5" i="6353"/>
  <c r="O4" i="6353"/>
  <c r="O3" i="6353"/>
  <c r="O2" i="6353"/>
  <c r="O21" i="6347"/>
  <c r="O15" i="6347"/>
  <c r="O16" i="6335"/>
  <c r="H14" i="6353" l="1"/>
  <c r="H7" i="6353"/>
  <c r="H5" i="6353"/>
  <c r="H19" i="6353"/>
  <c r="H11" i="6353"/>
  <c r="C42" i="6353"/>
  <c r="H10" i="6353"/>
  <c r="H3" i="6353"/>
  <c r="H2" i="6353"/>
  <c r="C18" i="6353"/>
  <c r="C34" i="6353"/>
  <c r="B24" i="6353"/>
  <c r="H35" i="6353"/>
  <c r="C19" i="6353"/>
  <c r="H8" i="6353"/>
  <c r="H20" i="6353"/>
  <c r="C21" i="6353"/>
  <c r="H30" i="6353"/>
  <c r="C38" i="6353"/>
  <c r="H48" i="6353"/>
  <c r="H39" i="6353"/>
  <c r="H43" i="6353"/>
  <c r="H49" i="6353"/>
  <c r="H23" i="6353"/>
  <c r="H27" i="6353"/>
  <c r="C32" i="6353"/>
  <c r="C36" i="6353"/>
  <c r="C40" i="6353"/>
  <c r="C44" i="6353"/>
  <c r="H6" i="6353"/>
  <c r="H12" i="6353"/>
  <c r="H17" i="6353"/>
  <c r="H18" i="6353"/>
  <c r="C17" i="6353"/>
  <c r="B22" i="6353"/>
  <c r="H4" i="6353"/>
  <c r="H16" i="6353"/>
  <c r="B23" i="6353"/>
  <c r="C15" i="6353"/>
  <c r="H13" i="6353"/>
  <c r="C20" i="6353"/>
  <c r="H26" i="6353"/>
  <c r="H28" i="6353"/>
  <c r="H33" i="6353"/>
  <c r="H37" i="6353"/>
  <c r="H41" i="6353"/>
  <c r="H45" i="6353"/>
  <c r="H52" i="6353"/>
  <c r="H21" i="6353"/>
  <c r="H22" i="6353"/>
  <c r="H24" i="6353"/>
  <c r="H25" i="6353"/>
  <c r="H15" i="6353"/>
  <c r="H9" i="6353"/>
  <c r="H31" i="6353"/>
  <c r="C33" i="6353"/>
  <c r="C35" i="6353"/>
  <c r="C37" i="6353"/>
  <c r="C39" i="6353"/>
  <c r="C41" i="6353"/>
  <c r="C43" i="6353"/>
  <c r="H46" i="6353"/>
  <c r="H50" i="6353"/>
  <c r="H29" i="6353"/>
  <c r="H32" i="6353"/>
  <c r="H34" i="6353"/>
  <c r="H36" i="6353"/>
  <c r="H38" i="6353"/>
  <c r="H40" i="6353"/>
  <c r="H42" i="6353"/>
  <c r="H44" i="6353"/>
  <c r="H47" i="6353"/>
  <c r="O18" i="6339" l="1"/>
  <c r="O20" i="6343"/>
  <c r="O20" i="6339" l="1"/>
  <c r="O22" i="6347"/>
  <c r="O24" i="6347"/>
  <c r="O17" i="6337"/>
  <c r="O16" i="6341"/>
  <c r="O17" i="6343"/>
  <c r="O21" i="6343"/>
  <c r="O18" i="6337"/>
  <c r="O17" i="6341"/>
  <c r="O16" i="6339"/>
  <c r="O20" i="6351"/>
  <c r="O22" i="6351"/>
  <c r="O23" i="6345" l="1"/>
  <c r="O17" i="6345"/>
  <c r="O15" i="6351"/>
  <c r="O16" i="6351"/>
  <c r="C30" i="6351"/>
  <c r="B25" i="6351"/>
  <c r="C16" i="6351"/>
  <c r="B15" i="6351"/>
  <c r="H51" i="6351" s="1"/>
  <c r="B14" i="6351"/>
  <c r="C14" i="6351" s="1"/>
  <c r="B13" i="6351"/>
  <c r="C13" i="6351" s="1"/>
  <c r="O12" i="6351"/>
  <c r="C12" i="6351"/>
  <c r="O11" i="6351"/>
  <c r="C11" i="6351"/>
  <c r="O10" i="6351"/>
  <c r="C10" i="6351"/>
  <c r="C9" i="6351"/>
  <c r="C8" i="6351"/>
  <c r="O7" i="6351"/>
  <c r="C7" i="6351"/>
  <c r="O6" i="6351"/>
  <c r="B6" i="6351"/>
  <c r="O5" i="6351"/>
  <c r="B5" i="6351"/>
  <c r="O4" i="6351"/>
  <c r="O3" i="6351"/>
  <c r="O2" i="6351"/>
  <c r="O17" i="6335"/>
  <c r="O19" i="6349"/>
  <c r="O24" i="6349"/>
  <c r="C30" i="6349"/>
  <c r="B25" i="6349"/>
  <c r="C16" i="6349"/>
  <c r="B15" i="6349"/>
  <c r="H51" i="6349" s="1"/>
  <c r="B14" i="6349"/>
  <c r="B24" i="6349" s="1"/>
  <c r="B13" i="6349"/>
  <c r="C13" i="6349" s="1"/>
  <c r="O12" i="6349"/>
  <c r="C12" i="6349"/>
  <c r="O11" i="6349"/>
  <c r="C11" i="6349"/>
  <c r="O10" i="6349"/>
  <c r="C10" i="6349"/>
  <c r="C9" i="6349"/>
  <c r="C8" i="6349"/>
  <c r="O7" i="6349"/>
  <c r="C7" i="6349"/>
  <c r="O6" i="6349"/>
  <c r="B6" i="6349"/>
  <c r="O5" i="6349"/>
  <c r="B5" i="6349"/>
  <c r="O4" i="6349"/>
  <c r="O3" i="6349"/>
  <c r="O2" i="6349"/>
  <c r="O21" i="6335"/>
  <c r="C14" i="6349" l="1"/>
  <c r="H12" i="6349"/>
  <c r="H52" i="6349"/>
  <c r="H3" i="6349"/>
  <c r="H11" i="6351"/>
  <c r="H9" i="6351"/>
  <c r="H4" i="6351"/>
  <c r="H22" i="6351"/>
  <c r="H16" i="6351"/>
  <c r="C17" i="6351"/>
  <c r="B22" i="6351"/>
  <c r="H33" i="6351"/>
  <c r="H38" i="6351"/>
  <c r="H20" i="6351"/>
  <c r="B23" i="6351"/>
  <c r="H8" i="6351"/>
  <c r="H23" i="6351"/>
  <c r="C19" i="6351"/>
  <c r="H15" i="6351"/>
  <c r="H19" i="6351"/>
  <c r="H35" i="6351"/>
  <c r="C36" i="6351"/>
  <c r="H40" i="6351"/>
  <c r="H43" i="6351"/>
  <c r="C44" i="6351"/>
  <c r="H50" i="6351"/>
  <c r="H17" i="6351"/>
  <c r="H29" i="6351"/>
  <c r="C34" i="6351"/>
  <c r="H41" i="6351"/>
  <c r="C42" i="6351"/>
  <c r="H46" i="6351"/>
  <c r="H7" i="6351"/>
  <c r="H21" i="6351"/>
  <c r="C15" i="6351"/>
  <c r="H25" i="6351"/>
  <c r="C20" i="6351"/>
  <c r="H18" i="6351"/>
  <c r="H30" i="6351"/>
  <c r="C32" i="6351"/>
  <c r="H36" i="6351"/>
  <c r="H39" i="6351"/>
  <c r="C40" i="6351"/>
  <c r="H44" i="6351"/>
  <c r="H48" i="6351"/>
  <c r="H5" i="6351"/>
  <c r="H3" i="6351"/>
  <c r="H2" i="6351"/>
  <c r="H10" i="6351"/>
  <c r="H6" i="6351"/>
  <c r="H24" i="6351"/>
  <c r="C18" i="6351"/>
  <c r="C21" i="6351"/>
  <c r="H31" i="6351"/>
  <c r="H34" i="6351"/>
  <c r="H37" i="6351"/>
  <c r="C38" i="6351"/>
  <c r="H42" i="6351"/>
  <c r="H45" i="6351"/>
  <c r="H49" i="6351"/>
  <c r="H52" i="6351"/>
  <c r="B24" i="6351"/>
  <c r="H13" i="6351"/>
  <c r="H26" i="6351"/>
  <c r="H27" i="6351"/>
  <c r="H28" i="6351"/>
  <c r="H14" i="6351"/>
  <c r="H12" i="6351"/>
  <c r="H32" i="6351"/>
  <c r="C33" i="6351"/>
  <c r="C35" i="6351"/>
  <c r="C37" i="6351"/>
  <c r="C39" i="6351"/>
  <c r="C41" i="6351"/>
  <c r="C43" i="6351"/>
  <c r="H47" i="6351"/>
  <c r="H16" i="6349"/>
  <c r="H9" i="6349"/>
  <c r="H10" i="6349"/>
  <c r="H6" i="6349"/>
  <c r="C38" i="6349"/>
  <c r="C18" i="6349"/>
  <c r="H42" i="6349"/>
  <c r="H45" i="6349"/>
  <c r="C21" i="6349"/>
  <c r="H35" i="6349"/>
  <c r="H4" i="6349"/>
  <c r="H2" i="6349"/>
  <c r="H11" i="6349"/>
  <c r="H17" i="6349"/>
  <c r="H24" i="6349"/>
  <c r="H26" i="6349"/>
  <c r="H37" i="6349"/>
  <c r="H49" i="6349"/>
  <c r="H25" i="6349"/>
  <c r="C19" i="6349"/>
  <c r="H13" i="6349"/>
  <c r="H31" i="6349"/>
  <c r="H21" i="6349"/>
  <c r="C36" i="6349"/>
  <c r="H40" i="6349"/>
  <c r="H43" i="6349"/>
  <c r="C44" i="6349"/>
  <c r="H50" i="6349"/>
  <c r="C17" i="6349"/>
  <c r="H14" i="6349"/>
  <c r="B22" i="6349"/>
  <c r="H32" i="6349"/>
  <c r="H34" i="6349"/>
  <c r="C34" i="6349"/>
  <c r="H38" i="6349"/>
  <c r="H41" i="6349"/>
  <c r="C42" i="6349"/>
  <c r="H46" i="6349"/>
  <c r="H22" i="6349"/>
  <c r="H7" i="6349"/>
  <c r="H23" i="6349"/>
  <c r="C15" i="6349"/>
  <c r="H19" i="6349"/>
  <c r="C20" i="6349"/>
  <c r="H30" i="6349"/>
  <c r="H33" i="6349"/>
  <c r="C32" i="6349"/>
  <c r="H36" i="6349"/>
  <c r="H39" i="6349"/>
  <c r="C40" i="6349"/>
  <c r="H44" i="6349"/>
  <c r="H48" i="6349"/>
  <c r="H5" i="6349"/>
  <c r="B23" i="6349"/>
  <c r="H18" i="6349"/>
  <c r="H27" i="6349"/>
  <c r="H28" i="6349"/>
  <c r="H29" i="6349"/>
  <c r="H15" i="6349"/>
  <c r="H8" i="6349"/>
  <c r="H20" i="6349"/>
  <c r="C33" i="6349"/>
  <c r="C35" i="6349"/>
  <c r="C37" i="6349"/>
  <c r="C39" i="6349"/>
  <c r="C41" i="6349"/>
  <c r="C43" i="6349"/>
  <c r="H47" i="6349"/>
  <c r="O23" i="6347" l="1"/>
  <c r="O18" i="6347"/>
  <c r="C30" i="6347"/>
  <c r="B25" i="6347"/>
  <c r="C16" i="6347"/>
  <c r="B15" i="6347"/>
  <c r="H51" i="6347" s="1"/>
  <c r="B14" i="6347"/>
  <c r="B24" i="6347" s="1"/>
  <c r="B13" i="6347"/>
  <c r="C13" i="6347" s="1"/>
  <c r="O12" i="6347"/>
  <c r="C12" i="6347"/>
  <c r="O11" i="6347"/>
  <c r="C11" i="6347"/>
  <c r="O10" i="6347"/>
  <c r="C10" i="6347"/>
  <c r="C9" i="6347"/>
  <c r="C8" i="6347"/>
  <c r="O7" i="6347"/>
  <c r="C7" i="6347"/>
  <c r="O6" i="6347"/>
  <c r="B6" i="6347"/>
  <c r="O5" i="6347"/>
  <c r="B5" i="6347"/>
  <c r="O4" i="6347"/>
  <c r="O3" i="6347"/>
  <c r="O2" i="6347"/>
  <c r="O21" i="6345"/>
  <c r="O18" i="6345"/>
  <c r="C30" i="6345"/>
  <c r="B25" i="6345"/>
  <c r="C16" i="6345"/>
  <c r="B15" i="6345"/>
  <c r="H51" i="6345" s="1"/>
  <c r="B14" i="6345"/>
  <c r="B24" i="6345" s="1"/>
  <c r="B13" i="6345"/>
  <c r="C13" i="6345" s="1"/>
  <c r="O12" i="6345"/>
  <c r="C12" i="6345"/>
  <c r="O11" i="6345"/>
  <c r="C11" i="6345"/>
  <c r="O10" i="6345"/>
  <c r="C10" i="6345"/>
  <c r="C9" i="6345"/>
  <c r="C8" i="6345"/>
  <c r="O7" i="6345"/>
  <c r="C7" i="6345"/>
  <c r="O6" i="6345"/>
  <c r="B6" i="6345"/>
  <c r="O5" i="6345"/>
  <c r="B5" i="6345"/>
  <c r="O4" i="6345"/>
  <c r="O3" i="6345"/>
  <c r="O2" i="6345"/>
  <c r="O18" i="6335"/>
  <c r="O19" i="6343"/>
  <c r="O16" i="6343"/>
  <c r="C30" i="6343"/>
  <c r="B25" i="6343"/>
  <c r="C16" i="6343"/>
  <c r="B15" i="6343"/>
  <c r="H18" i="6343" s="1"/>
  <c r="B14" i="6343"/>
  <c r="B24" i="6343" s="1"/>
  <c r="B13" i="6343"/>
  <c r="C13" i="6343" s="1"/>
  <c r="O12" i="6343"/>
  <c r="C12" i="6343"/>
  <c r="O11" i="6343"/>
  <c r="C11" i="6343"/>
  <c r="O10" i="6343"/>
  <c r="C10" i="6343"/>
  <c r="C9" i="6343"/>
  <c r="C8" i="6343"/>
  <c r="O7" i="6343"/>
  <c r="C7" i="6343"/>
  <c r="O6" i="6343"/>
  <c r="B6" i="6343"/>
  <c r="O5" i="6343"/>
  <c r="B5" i="6343"/>
  <c r="O4" i="6343"/>
  <c r="O3" i="6343"/>
  <c r="O2" i="6343"/>
  <c r="O22" i="6335"/>
  <c r="O24" i="6335"/>
  <c r="C34" i="6343" l="1"/>
  <c r="C18" i="6343"/>
  <c r="C14" i="6345"/>
  <c r="C14" i="6343"/>
  <c r="H24" i="6343"/>
  <c r="H2" i="6343"/>
  <c r="H3" i="6343"/>
  <c r="H10" i="6343"/>
  <c r="H8" i="6343"/>
  <c r="H4" i="6343"/>
  <c r="C42" i="6343"/>
  <c r="C19" i="6343"/>
  <c r="H36" i="6343"/>
  <c r="H23" i="6343"/>
  <c r="H19" i="6343"/>
  <c r="H14" i="6343"/>
  <c r="C21" i="6343"/>
  <c r="H21" i="6343"/>
  <c r="C38" i="6343"/>
  <c r="H6" i="6343"/>
  <c r="H25" i="6343"/>
  <c r="H9" i="6343"/>
  <c r="H12" i="6343"/>
  <c r="H40" i="6343"/>
  <c r="C14" i="6347"/>
  <c r="H7" i="6347"/>
  <c r="H11" i="6347"/>
  <c r="H28" i="6347"/>
  <c r="H9" i="6347"/>
  <c r="H29" i="6347"/>
  <c r="C19" i="6347"/>
  <c r="H14" i="6347"/>
  <c r="H26" i="6347"/>
  <c r="H36" i="6347"/>
  <c r="C36" i="6347"/>
  <c r="H41" i="6347"/>
  <c r="H43" i="6347"/>
  <c r="C44" i="6347"/>
  <c r="H50" i="6347"/>
  <c r="B22" i="6347"/>
  <c r="C34" i="6347"/>
  <c r="H46" i="6347"/>
  <c r="H6" i="6347"/>
  <c r="H18" i="6347"/>
  <c r="H15" i="6347"/>
  <c r="C20" i="6347"/>
  <c r="H34" i="6347"/>
  <c r="C32" i="6347"/>
  <c r="H37" i="6347"/>
  <c r="H40" i="6347"/>
  <c r="C40" i="6347"/>
  <c r="H44" i="6347"/>
  <c r="H48" i="6347"/>
  <c r="H5" i="6347"/>
  <c r="H10" i="6347"/>
  <c r="H25" i="6347"/>
  <c r="H22" i="6347"/>
  <c r="C17" i="6347"/>
  <c r="H19" i="6347"/>
  <c r="H23" i="6347"/>
  <c r="H27" i="6347"/>
  <c r="H39" i="6347"/>
  <c r="C42" i="6347"/>
  <c r="H17" i="6347"/>
  <c r="C15" i="6347"/>
  <c r="H20" i="6347"/>
  <c r="H4" i="6347"/>
  <c r="H2" i="6347"/>
  <c r="H12" i="6347"/>
  <c r="H3" i="6347"/>
  <c r="H30" i="6347"/>
  <c r="C18" i="6347"/>
  <c r="C21" i="6347"/>
  <c r="H21" i="6347"/>
  <c r="H35" i="6347"/>
  <c r="H38" i="6347"/>
  <c r="C38" i="6347"/>
  <c r="H42" i="6347"/>
  <c r="H45" i="6347"/>
  <c r="H49" i="6347"/>
  <c r="H52" i="6347"/>
  <c r="B23" i="6347"/>
  <c r="H16" i="6347"/>
  <c r="H31" i="6347"/>
  <c r="H32" i="6347"/>
  <c r="H33" i="6347"/>
  <c r="H13" i="6347"/>
  <c r="H8" i="6347"/>
  <c r="H24" i="6347"/>
  <c r="C33" i="6347"/>
  <c r="C35" i="6347"/>
  <c r="C37" i="6347"/>
  <c r="C39" i="6347"/>
  <c r="C41" i="6347"/>
  <c r="C43" i="6347"/>
  <c r="H47" i="6347"/>
  <c r="H6" i="6345"/>
  <c r="H10" i="6345"/>
  <c r="H12" i="6345"/>
  <c r="H30" i="6345"/>
  <c r="H20" i="6345"/>
  <c r="H9" i="6345"/>
  <c r="H31" i="6345"/>
  <c r="C20" i="6345"/>
  <c r="H37" i="6345"/>
  <c r="C40" i="6345"/>
  <c r="H48" i="6345"/>
  <c r="H34" i="6345"/>
  <c r="C32" i="6345"/>
  <c r="H42" i="6345"/>
  <c r="H5" i="6345"/>
  <c r="H23" i="6345"/>
  <c r="C18" i="6345"/>
  <c r="H15" i="6345"/>
  <c r="H35" i="6345"/>
  <c r="H39" i="6345"/>
  <c r="H44" i="6345"/>
  <c r="H7" i="6345"/>
  <c r="H24" i="6345"/>
  <c r="C21" i="6345"/>
  <c r="H29" i="6345"/>
  <c r="H49" i="6345"/>
  <c r="C15" i="6345"/>
  <c r="H25" i="6345"/>
  <c r="H3" i="6345"/>
  <c r="H2" i="6345"/>
  <c r="H11" i="6345"/>
  <c r="H4" i="6345"/>
  <c r="H26" i="6345"/>
  <c r="C19" i="6345"/>
  <c r="H22" i="6345"/>
  <c r="H16" i="6345"/>
  <c r="H36" i="6345"/>
  <c r="C38" i="6345"/>
  <c r="H45" i="6345"/>
  <c r="H52" i="6345"/>
  <c r="C36" i="6345"/>
  <c r="H40" i="6345"/>
  <c r="H43" i="6345"/>
  <c r="C44" i="6345"/>
  <c r="H50" i="6345"/>
  <c r="C17" i="6345"/>
  <c r="H18" i="6345"/>
  <c r="B22" i="6345"/>
  <c r="H27" i="6345"/>
  <c r="H28" i="6345"/>
  <c r="C34" i="6345"/>
  <c r="H38" i="6345"/>
  <c r="H41" i="6345"/>
  <c r="C42" i="6345"/>
  <c r="H46" i="6345"/>
  <c r="H13" i="6345"/>
  <c r="B23" i="6345"/>
  <c r="H19" i="6345"/>
  <c r="H32" i="6345"/>
  <c r="H33" i="6345"/>
  <c r="H21" i="6345"/>
  <c r="H14" i="6345"/>
  <c r="H8" i="6345"/>
  <c r="H17" i="6345"/>
  <c r="C33" i="6345"/>
  <c r="C35" i="6345"/>
  <c r="C37" i="6345"/>
  <c r="C39" i="6345"/>
  <c r="C41" i="6345"/>
  <c r="C43" i="6345"/>
  <c r="H47" i="6345"/>
  <c r="H49" i="6343"/>
  <c r="H44" i="6343"/>
  <c r="H50" i="6343"/>
  <c r="C17" i="6343"/>
  <c r="H17" i="6343"/>
  <c r="B22" i="6343"/>
  <c r="H29" i="6343"/>
  <c r="C32" i="6343"/>
  <c r="C36" i="6343"/>
  <c r="C40" i="6343"/>
  <c r="C44" i="6343"/>
  <c r="H5" i="6343"/>
  <c r="H7" i="6343"/>
  <c r="H22" i="6343"/>
  <c r="B23" i="6343"/>
  <c r="C15" i="6343"/>
  <c r="H16" i="6343"/>
  <c r="C20" i="6343"/>
  <c r="H20" i="6343"/>
  <c r="H30" i="6343"/>
  <c r="H34" i="6343"/>
  <c r="H38" i="6343"/>
  <c r="H42" i="6343"/>
  <c r="H46" i="6343"/>
  <c r="H52" i="6343"/>
  <c r="H15" i="6343"/>
  <c r="H26" i="6343"/>
  <c r="H27" i="6343"/>
  <c r="H28" i="6343"/>
  <c r="H13" i="6343"/>
  <c r="H11" i="6343"/>
  <c r="H32" i="6343"/>
  <c r="C33" i="6343"/>
  <c r="C35" i="6343"/>
  <c r="C37" i="6343"/>
  <c r="C39" i="6343"/>
  <c r="C41" i="6343"/>
  <c r="C43" i="6343"/>
  <c r="H47" i="6343"/>
  <c r="H51" i="6343"/>
  <c r="H31" i="6343"/>
  <c r="H33" i="6343"/>
  <c r="H35" i="6343"/>
  <c r="H37" i="6343"/>
  <c r="H39" i="6343"/>
  <c r="H41" i="6343"/>
  <c r="H43" i="6343"/>
  <c r="H45" i="6343"/>
  <c r="H48" i="6343"/>
  <c r="O23" i="6341" l="1"/>
  <c r="O19" i="6341"/>
  <c r="C30" i="6341"/>
  <c r="B25" i="6341"/>
  <c r="C16" i="6341"/>
  <c r="B15" i="6341"/>
  <c r="H52" i="6341" s="1"/>
  <c r="B14" i="6341"/>
  <c r="B24" i="6341" s="1"/>
  <c r="B13" i="6341"/>
  <c r="C13" i="6341" s="1"/>
  <c r="O12" i="6341"/>
  <c r="C12" i="6341"/>
  <c r="O11" i="6341"/>
  <c r="C11" i="6341"/>
  <c r="O10" i="6341"/>
  <c r="C10" i="6341"/>
  <c r="C9" i="6341"/>
  <c r="C8" i="6341"/>
  <c r="O7" i="6341"/>
  <c r="C7" i="6341"/>
  <c r="O6" i="6341"/>
  <c r="B6" i="6341"/>
  <c r="O5" i="6341"/>
  <c r="B5" i="6341"/>
  <c r="O4" i="6341"/>
  <c r="O3" i="6341"/>
  <c r="O2" i="6341"/>
  <c r="O19" i="6339"/>
  <c r="O21" i="6339"/>
  <c r="C30" i="6339"/>
  <c r="B25" i="6339"/>
  <c r="C16" i="6339"/>
  <c r="B15" i="6339"/>
  <c r="H51" i="6339" s="1"/>
  <c r="B14" i="6339"/>
  <c r="C14" i="6339" s="1"/>
  <c r="B13" i="6339"/>
  <c r="C13" i="6339" s="1"/>
  <c r="O12" i="6339"/>
  <c r="C12" i="6339"/>
  <c r="O11" i="6339"/>
  <c r="C11" i="6339"/>
  <c r="O10" i="6339"/>
  <c r="C10" i="6339"/>
  <c r="C9" i="6339"/>
  <c r="C8" i="6339"/>
  <c r="O7" i="6339"/>
  <c r="C7" i="6339"/>
  <c r="O6" i="6339"/>
  <c r="B6" i="6339"/>
  <c r="O5" i="6339"/>
  <c r="B5" i="6339"/>
  <c r="O4" i="6339"/>
  <c r="O3" i="6339"/>
  <c r="O2" i="6339"/>
  <c r="O19" i="6335"/>
  <c r="O19" i="6337"/>
  <c r="O20" i="6337"/>
  <c r="C30" i="6337"/>
  <c r="B25" i="6337"/>
  <c r="C16" i="6337"/>
  <c r="B15" i="6337"/>
  <c r="H50" i="6337" s="1"/>
  <c r="B14" i="6337"/>
  <c r="B24" i="6337" s="1"/>
  <c r="B13" i="6337"/>
  <c r="C13" i="6337" s="1"/>
  <c r="O12" i="6337"/>
  <c r="C12" i="6337"/>
  <c r="O11" i="6337"/>
  <c r="C11" i="6337"/>
  <c r="O10" i="6337"/>
  <c r="C10" i="6337"/>
  <c r="C9" i="6337"/>
  <c r="C8" i="6337"/>
  <c r="O7" i="6337"/>
  <c r="C7" i="6337"/>
  <c r="O6" i="6337"/>
  <c r="B6" i="6337"/>
  <c r="O5" i="6337"/>
  <c r="B5" i="6337"/>
  <c r="O4" i="6337"/>
  <c r="O3" i="6337"/>
  <c r="O2" i="6337"/>
  <c r="O23" i="6335"/>
  <c r="O25" i="6335"/>
  <c r="C30" i="6335"/>
  <c r="B25" i="6335"/>
  <c r="C16" i="6335"/>
  <c r="B15" i="6335"/>
  <c r="H51" i="6335" s="1"/>
  <c r="B14" i="6335"/>
  <c r="B24" i="6335" s="1"/>
  <c r="B13" i="6335"/>
  <c r="C13" i="6335" s="1"/>
  <c r="O12" i="6335"/>
  <c r="C12" i="6335"/>
  <c r="O11" i="6335"/>
  <c r="C11" i="6335"/>
  <c r="O10" i="6335"/>
  <c r="C10" i="6335"/>
  <c r="C9" i="6335"/>
  <c r="C8" i="6335"/>
  <c r="O7" i="6335"/>
  <c r="C7" i="6335"/>
  <c r="O6" i="6335"/>
  <c r="B6" i="6335"/>
  <c r="O5" i="6335"/>
  <c r="B5" i="6335"/>
  <c r="O4" i="6335"/>
  <c r="O3" i="6335"/>
  <c r="O2" i="6335"/>
  <c r="H11" i="6341" l="1"/>
  <c r="H12" i="6341"/>
  <c r="H13" i="6337"/>
  <c r="H11" i="6337"/>
  <c r="H27" i="6337"/>
  <c r="C14" i="6337"/>
  <c r="C14" i="6341"/>
  <c r="C15" i="6341"/>
  <c r="H6" i="6341"/>
  <c r="H21" i="6341"/>
  <c r="H8" i="6337"/>
  <c r="H9" i="6337"/>
  <c r="H22" i="6341"/>
  <c r="H15" i="6341"/>
  <c r="H30" i="6341"/>
  <c r="H13" i="6341"/>
  <c r="H20" i="6341"/>
  <c r="C35" i="6341"/>
  <c r="C37" i="6341"/>
  <c r="C41" i="6341"/>
  <c r="C43" i="6341"/>
  <c r="H51" i="6341"/>
  <c r="C42" i="6341"/>
  <c r="H29" i="6341"/>
  <c r="H25" i="6341"/>
  <c r="H9" i="6341"/>
  <c r="C33" i="6341"/>
  <c r="C39" i="6341"/>
  <c r="H47" i="6341"/>
  <c r="H7" i="6341"/>
  <c r="H23" i="6341"/>
  <c r="C17" i="6341"/>
  <c r="C19" i="6341"/>
  <c r="C21" i="6341"/>
  <c r="B23" i="6341"/>
  <c r="H26" i="6341"/>
  <c r="H34" i="6341"/>
  <c r="H27" i="6341"/>
  <c r="H37" i="6341"/>
  <c r="H39" i="6341"/>
  <c r="H41" i="6341"/>
  <c r="H43" i="6341"/>
  <c r="H45" i="6341"/>
  <c r="H48" i="6341"/>
  <c r="H19" i="6341"/>
  <c r="H5" i="6341"/>
  <c r="H2" i="6341"/>
  <c r="H10" i="6341"/>
  <c r="H3" i="6341"/>
  <c r="H24" i="6341"/>
  <c r="H18" i="6341"/>
  <c r="H17" i="6341"/>
  <c r="H14" i="6341"/>
  <c r="H31" i="6341"/>
  <c r="H32" i="6341"/>
  <c r="H16" i="6341"/>
  <c r="C32" i="6341"/>
  <c r="C34" i="6341"/>
  <c r="C36" i="6341"/>
  <c r="C38" i="6341"/>
  <c r="C40" i="6341"/>
  <c r="C44" i="6341"/>
  <c r="H49" i="6341"/>
  <c r="H4" i="6341"/>
  <c r="H8" i="6341"/>
  <c r="H28" i="6341"/>
  <c r="C18" i="6341"/>
  <c r="C20" i="6341"/>
  <c r="B22" i="6341"/>
  <c r="H33" i="6341"/>
  <c r="H35" i="6341"/>
  <c r="H36" i="6341"/>
  <c r="H38" i="6341"/>
  <c r="H40" i="6341"/>
  <c r="H42" i="6341"/>
  <c r="H44" i="6341"/>
  <c r="H46" i="6341"/>
  <c r="H50" i="6341"/>
  <c r="C14" i="6335"/>
  <c r="H10" i="6335"/>
  <c r="H16" i="6339"/>
  <c r="H25" i="6339"/>
  <c r="H17" i="6339"/>
  <c r="H4" i="6339"/>
  <c r="H23" i="6339"/>
  <c r="H9" i="6339"/>
  <c r="H32" i="6339"/>
  <c r="C19" i="6339"/>
  <c r="H14" i="6339"/>
  <c r="H28" i="6339"/>
  <c r="H27" i="6339"/>
  <c r="C36" i="6339"/>
  <c r="H41" i="6339"/>
  <c r="H44" i="6339"/>
  <c r="C44" i="6339"/>
  <c r="H50" i="6339"/>
  <c r="H10" i="6339"/>
  <c r="H6" i="6339"/>
  <c r="H11" i="6339"/>
  <c r="H19" i="6339"/>
  <c r="C17" i="6339"/>
  <c r="B22" i="6339"/>
  <c r="H26" i="6339"/>
  <c r="H35" i="6339"/>
  <c r="C34" i="6339"/>
  <c r="H39" i="6339"/>
  <c r="H42" i="6339"/>
  <c r="C42" i="6339"/>
  <c r="H30" i="6339"/>
  <c r="H7" i="6339"/>
  <c r="H31" i="6339"/>
  <c r="B23" i="6339"/>
  <c r="C15" i="6339"/>
  <c r="H21" i="6339"/>
  <c r="C20" i="6339"/>
  <c r="H22" i="6339"/>
  <c r="H29" i="6339"/>
  <c r="C32" i="6339"/>
  <c r="H37" i="6339"/>
  <c r="H40" i="6339"/>
  <c r="C40" i="6339"/>
  <c r="H45" i="6339"/>
  <c r="H48" i="6339"/>
  <c r="H5" i="6339"/>
  <c r="H2" i="6339"/>
  <c r="H13" i="6339"/>
  <c r="H3" i="6339"/>
  <c r="C18" i="6339"/>
  <c r="C21" i="6339"/>
  <c r="H18" i="6339"/>
  <c r="H36" i="6339"/>
  <c r="H38" i="6339"/>
  <c r="C38" i="6339"/>
  <c r="H43" i="6339"/>
  <c r="H46" i="6339"/>
  <c r="H49" i="6339"/>
  <c r="H52" i="6339"/>
  <c r="B24" i="6339"/>
  <c r="H15" i="6339"/>
  <c r="H33" i="6339"/>
  <c r="H34" i="6339"/>
  <c r="H24" i="6339"/>
  <c r="H12" i="6339"/>
  <c r="H8" i="6339"/>
  <c r="H20" i="6339"/>
  <c r="C33" i="6339"/>
  <c r="C35" i="6339"/>
  <c r="C37" i="6339"/>
  <c r="C39" i="6339"/>
  <c r="C41" i="6339"/>
  <c r="C43" i="6339"/>
  <c r="H47" i="6339"/>
  <c r="H25" i="6337"/>
  <c r="H6" i="6337"/>
  <c r="C19" i="6337"/>
  <c r="H34" i="6337"/>
  <c r="C36" i="6337"/>
  <c r="H39" i="6337"/>
  <c r="H42" i="6337"/>
  <c r="C44" i="6337"/>
  <c r="H49" i="6337"/>
  <c r="C17" i="6337"/>
  <c r="H14" i="6337"/>
  <c r="B22" i="6337"/>
  <c r="H21" i="6337"/>
  <c r="H22" i="6337"/>
  <c r="C34" i="6337"/>
  <c r="H37" i="6337"/>
  <c r="H40" i="6337"/>
  <c r="C42" i="6337"/>
  <c r="H45" i="6337"/>
  <c r="H51" i="6337"/>
  <c r="C15" i="6337"/>
  <c r="C20" i="6337"/>
  <c r="H30" i="6337"/>
  <c r="H31" i="6337"/>
  <c r="C32" i="6337"/>
  <c r="H35" i="6337"/>
  <c r="H38" i="6337"/>
  <c r="C40" i="6337"/>
  <c r="H43" i="6337"/>
  <c r="H47" i="6337"/>
  <c r="H4" i="6337"/>
  <c r="H18" i="6337"/>
  <c r="H19" i="6337"/>
  <c r="H7" i="6337"/>
  <c r="H26" i="6337"/>
  <c r="H16" i="6337"/>
  <c r="H5" i="6337"/>
  <c r="H2" i="6337"/>
  <c r="H10" i="6337"/>
  <c r="H3" i="6337"/>
  <c r="H23" i="6337"/>
  <c r="C18" i="6337"/>
  <c r="C21" i="6337"/>
  <c r="H17" i="6337"/>
  <c r="H33" i="6337"/>
  <c r="H36" i="6337"/>
  <c r="C38" i="6337"/>
  <c r="H41" i="6337"/>
  <c r="H44" i="6337"/>
  <c r="H48" i="6337"/>
  <c r="H52" i="6337"/>
  <c r="B23" i="6337"/>
  <c r="H20" i="6337"/>
  <c r="H28" i="6337"/>
  <c r="H29" i="6337"/>
  <c r="H24" i="6337"/>
  <c r="H15" i="6337"/>
  <c r="H12" i="6337"/>
  <c r="H32" i="6337"/>
  <c r="C33" i="6337"/>
  <c r="C35" i="6337"/>
  <c r="C37" i="6337"/>
  <c r="C39" i="6337"/>
  <c r="C41" i="6337"/>
  <c r="C43" i="6337"/>
  <c r="H46" i="6337"/>
  <c r="H12" i="6335"/>
  <c r="H8" i="6335"/>
  <c r="H6" i="6335"/>
  <c r="H35" i="6335"/>
  <c r="C19" i="6335"/>
  <c r="H14" i="6335"/>
  <c r="H28" i="6335"/>
  <c r="H31" i="6335"/>
  <c r="C36" i="6335"/>
  <c r="H42" i="6335"/>
  <c r="H44" i="6335"/>
  <c r="C44" i="6335"/>
  <c r="H50" i="6335"/>
  <c r="H20" i="6335"/>
  <c r="C17" i="6335"/>
  <c r="H26" i="6335"/>
  <c r="H30" i="6335"/>
  <c r="H40" i="6335"/>
  <c r="H33" i="6335"/>
  <c r="H34" i="6335"/>
  <c r="H17" i="6335"/>
  <c r="B22" i="6335"/>
  <c r="C34" i="6335"/>
  <c r="C15" i="6335"/>
  <c r="H19" i="6335"/>
  <c r="C20" i="6335"/>
  <c r="H29" i="6335"/>
  <c r="C32" i="6335"/>
  <c r="H39" i="6335"/>
  <c r="H41" i="6335"/>
  <c r="C40" i="6335"/>
  <c r="H45" i="6335"/>
  <c r="H48" i="6335"/>
  <c r="H5" i="6335"/>
  <c r="H24" i="6335"/>
  <c r="H16" i="6335"/>
  <c r="C42" i="6335"/>
  <c r="H7" i="6335"/>
  <c r="H23" i="6335"/>
  <c r="H22" i="6335"/>
  <c r="H4" i="6335"/>
  <c r="H2" i="6335"/>
  <c r="H11" i="6335"/>
  <c r="H3" i="6335"/>
  <c r="H27" i="6335"/>
  <c r="C18" i="6335"/>
  <c r="C21" i="6335"/>
  <c r="H18" i="6335"/>
  <c r="H38" i="6335"/>
  <c r="H32" i="6335"/>
  <c r="C38" i="6335"/>
  <c r="H43" i="6335"/>
  <c r="H46" i="6335"/>
  <c r="H49" i="6335"/>
  <c r="H52" i="6335"/>
  <c r="B23" i="6335"/>
  <c r="H15" i="6335"/>
  <c r="H36" i="6335"/>
  <c r="H37" i="6335"/>
  <c r="H25" i="6335"/>
  <c r="H13" i="6335"/>
  <c r="H9" i="6335"/>
  <c r="H21" i="6335"/>
  <c r="C33" i="6335"/>
  <c r="C35" i="6335"/>
  <c r="C37" i="6335"/>
  <c r="C39" i="6335"/>
  <c r="C41" i="6335"/>
  <c r="C43" i="6335"/>
  <c r="H47" i="633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<sst xmlns="http://schemas.openxmlformats.org/spreadsheetml/2006/main" count="3878" uniqueCount="308">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</sst>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全体!$K$2:$K$971</c:f>
              <c:numCache>
                <c:formatCode>General</c:formatCode>
                <c:ptCount val="9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</c:numCache>
            </c:numRef>
          </c:xVal>
          <c:yVal>
            <c:numRef>
              <c:f>全体!$L$2:$L$971</c:f>
              <c:numCache>
                <c:formatCode>\+0.0;\-0.0;\±0</c:formatCode>
                <c:ptCount val="970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7-445E-90C4-721645F4A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-27.950310559006212</c:v>
                </c:pt>
                <c:pt idx="1">
                  <c:v>7.3606729758149321</c:v>
                </c:pt>
                <c:pt idx="2">
                  <c:v>-1.1148272017837235</c:v>
                </c:pt>
                <c:pt idx="3">
                  <c:v>3.5460992907801416</c:v>
                </c:pt>
                <c:pt idx="4">
                  <c:v>6.3856960408684547</c:v>
                </c:pt>
                <c:pt idx="5">
                  <c:v>17.054263565891471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38-42F9-83D5-B15157FA9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187</c:v>
                </c:pt>
                <c:pt idx="1">
                  <c:v>410</c:v>
                </c:pt>
                <c:pt idx="2">
                  <c:v>465</c:v>
                </c:pt>
                <c:pt idx="3">
                  <c:v>422</c:v>
                </c:pt>
                <c:pt idx="4">
                  <c:v>371</c:v>
                </c:pt>
                <c:pt idx="5">
                  <c:v>251</c:v>
                </c:pt>
                <c:pt idx="6">
                  <c:v>126</c:v>
                </c:pt>
                <c:pt idx="7">
                  <c:v>70</c:v>
                </c:pt>
                <c:pt idx="8">
                  <c:v>31</c:v>
                </c:pt>
                <c:pt idx="9">
                  <c:v>10</c:v>
                </c:pt>
                <c:pt idx="10">
                  <c:v>7</c:v>
                </c:pt>
                <c:pt idx="11">
                  <c:v>6</c:v>
                </c:pt>
                <c:pt idx="12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3-445E-BF87-C5B99FA54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たかの!$K$2:$K$89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たかの!$L$2:$L$89</c:f>
              <c:numCache>
                <c:formatCode>\+0.0;\-0.0;\±0</c:formatCode>
                <c:ptCount val="88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5-498E-AD83-94B77E06B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1810.344827586207</c:v>
                </c:pt>
                <c:pt idx="1">
                  <c:v>-1944.1860465116279</c:v>
                </c:pt>
                <c:pt idx="2">
                  <c:v>-1697.5903614457832</c:v>
                </c:pt>
                <c:pt idx="3">
                  <c:v>-1089.7435897435898</c:v>
                </c:pt>
                <c:pt idx="4">
                  <c:v>-235.52631578947367</c:v>
                </c:pt>
                <c:pt idx="5">
                  <c:v>-2642.1875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98-4CAD-8437-A35A491D0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27</c:v>
                </c:pt>
                <c:pt idx="1">
                  <c:v>44</c:v>
                </c:pt>
                <c:pt idx="2">
                  <c:v>43</c:v>
                </c:pt>
                <c:pt idx="3">
                  <c:v>37</c:v>
                </c:pt>
                <c:pt idx="4">
                  <c:v>22</c:v>
                </c:pt>
                <c:pt idx="5">
                  <c:v>17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8-42B0-8AD6-78D86EBF1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だいち!$K$2:$K$195</c:f>
              <c:numCache>
                <c:formatCode>General</c:formatCode>
                <c:ptCount val="1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</c:numCache>
            </c:numRef>
          </c:xVal>
          <c:yVal>
            <c:numRef>
              <c:f>だいち!$L$2:$L$195</c:f>
              <c:numCache>
                <c:formatCode>\+0.0;\-0.0;\±0</c:formatCode>
                <c:ptCount val="194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04-4E9C-B256-F9C54AD2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1454.1666666666667</c:v>
                </c:pt>
                <c:pt idx="1">
                  <c:v>1111.7021276595744</c:v>
                </c:pt>
                <c:pt idx="2">
                  <c:v>1209.3922651933701</c:v>
                </c:pt>
                <c:pt idx="3">
                  <c:v>234.31952662721895</c:v>
                </c:pt>
                <c:pt idx="4">
                  <c:v>1976.5822784810127</c:v>
                </c:pt>
                <c:pt idx="5">
                  <c:v>1744.9612403100775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35-4A34-9FA0-9C016793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53</c:v>
                </c:pt>
                <c:pt idx="1">
                  <c:v>102</c:v>
                </c:pt>
                <c:pt idx="2">
                  <c:v>109</c:v>
                </c:pt>
                <c:pt idx="3">
                  <c:v>98</c:v>
                </c:pt>
                <c:pt idx="4">
                  <c:v>78</c:v>
                </c:pt>
                <c:pt idx="5">
                  <c:v>52</c:v>
                </c:pt>
                <c:pt idx="6">
                  <c:v>25</c:v>
                </c:pt>
                <c:pt idx="7">
                  <c:v>11</c:v>
                </c:pt>
                <c:pt idx="8">
                  <c:v>10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2-432A-922E-6BC7EA50C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ただ!$K$2:$K$174</c:f>
              <c:numCache>
                <c:formatCode>General</c:formatCode>
                <c:ptCount val="1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</c:numCache>
            </c:numRef>
          </c:xVal>
          <c:yVal>
            <c:numRef>
              <c:f>ただ!$L$2:$L$174</c:f>
              <c:numCache>
                <c:formatCode>\+0.0;\-0.0;\±0</c:formatCode>
                <c:ptCount val="17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2B-44C3-A53D-077AB27E0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-908.77192982456143</c:v>
                </c:pt>
                <c:pt idx="1">
                  <c:v>1283.4319526627219</c:v>
                </c:pt>
                <c:pt idx="2">
                  <c:v>-59.235668789808919</c:v>
                </c:pt>
                <c:pt idx="3">
                  <c:v>-48.322147651006709</c:v>
                </c:pt>
                <c:pt idx="4">
                  <c:v>-1624.087591240876</c:v>
                </c:pt>
                <c:pt idx="5">
                  <c:v>1261.4035087719299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E5-403B-99FA-1FC40641B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34</c:v>
                </c:pt>
                <c:pt idx="1">
                  <c:v>84</c:v>
                </c:pt>
                <c:pt idx="2">
                  <c:v>96</c:v>
                </c:pt>
                <c:pt idx="3">
                  <c:v>89</c:v>
                </c:pt>
                <c:pt idx="4">
                  <c:v>63</c:v>
                </c:pt>
                <c:pt idx="5">
                  <c:v>42</c:v>
                </c:pt>
                <c:pt idx="6">
                  <c:v>15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89-409F-9865-FDE36D02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りくと!$L$2:$L$102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79-4E06-9499-35612FAD5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-637.37373737373741</c:v>
                </c:pt>
                <c:pt idx="1">
                  <c:v>-893.93939393939399</c:v>
                </c:pt>
                <c:pt idx="2">
                  <c:v>469.89247311827955</c:v>
                </c:pt>
                <c:pt idx="3">
                  <c:v>-779.12087912087907</c:v>
                </c:pt>
                <c:pt idx="4">
                  <c:v>-2894.1860465116279</c:v>
                </c:pt>
                <c:pt idx="5">
                  <c:v>-1877.3333333333333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E9-4124-822B-3D5DDE381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17</c:v>
                </c:pt>
                <c:pt idx="1">
                  <c:v>39</c:v>
                </c:pt>
                <c:pt idx="2">
                  <c:v>52</c:v>
                </c:pt>
                <c:pt idx="3">
                  <c:v>35</c:v>
                </c:pt>
                <c:pt idx="4">
                  <c:v>39</c:v>
                </c:pt>
                <c:pt idx="5">
                  <c:v>23</c:v>
                </c:pt>
                <c:pt idx="6">
                  <c:v>14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2-45FC-985C-150825F0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れんたろう!$L$2:$L$144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9F-4CDC-B77C-C6D843CD2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909.15492957746483</c:v>
                </c:pt>
                <c:pt idx="1">
                  <c:v>-1876.9784172661871</c:v>
                </c:pt>
                <c:pt idx="2">
                  <c:v>-354.3307086614173</c:v>
                </c:pt>
                <c:pt idx="3">
                  <c:v>2260.8333333333335</c:v>
                </c:pt>
                <c:pt idx="4">
                  <c:v>1543.5185185185185</c:v>
                </c:pt>
                <c:pt idx="5">
                  <c:v>638.27160493827159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26-4246-AF38-EF944017D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8</c:v>
                </c:pt>
                <c:pt idx="1">
                  <c:v>24</c:v>
                </c:pt>
                <c:pt idx="2">
                  <c:v>42</c:v>
                </c:pt>
                <c:pt idx="3">
                  <c:v>57</c:v>
                </c:pt>
                <c:pt idx="4">
                  <c:v>69</c:v>
                </c:pt>
                <c:pt idx="5">
                  <c:v>43</c:v>
                </c:pt>
                <c:pt idx="6">
                  <c:v>24</c:v>
                </c:pt>
                <c:pt idx="7">
                  <c:v>21</c:v>
                </c:pt>
                <c:pt idx="8">
                  <c:v>9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2-4FDB-8E26-243A6557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まっつん!$K$2:$K$151</c:f>
              <c:numCache>
                <c:formatCode>General</c:formatCode>
                <c:ptCount val="1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</c:numCache>
            </c:numRef>
          </c:xVal>
          <c:yVal>
            <c:numRef>
              <c:f>まっつん!$L$2:$L$151</c:f>
              <c:numCache>
                <c:formatCode>\+0.0;\-0.0;\±0</c:formatCode>
                <c:ptCount val="150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2-4EB9-A559-7DCB9C27D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-95.973154362416111</c:v>
                </c:pt>
                <c:pt idx="1">
                  <c:v>334.48275862068965</c:v>
                </c:pt>
                <c:pt idx="2">
                  <c:v>-108.75912408759125</c:v>
                </c:pt>
                <c:pt idx="3">
                  <c:v>362.69841269841271</c:v>
                </c:pt>
                <c:pt idx="4">
                  <c:v>29.565217391304348</c:v>
                </c:pt>
                <c:pt idx="5">
                  <c:v>-822.68041237113403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81-4738-8DF2-CD7991DC6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20</c:v>
                </c:pt>
                <c:pt idx="1">
                  <c:v>62</c:v>
                </c:pt>
                <c:pt idx="2">
                  <c:v>67</c:v>
                </c:pt>
                <c:pt idx="3">
                  <c:v>61</c:v>
                </c:pt>
                <c:pt idx="4">
                  <c:v>48</c:v>
                </c:pt>
                <c:pt idx="5">
                  <c:v>39</c:v>
                </c:pt>
                <c:pt idx="6">
                  <c:v>19</c:v>
                </c:pt>
                <c:pt idx="7">
                  <c:v>8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2-4541-A085-9C6DE07C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のり!$L$2:$L$67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B-4C27-88F6-9657DAF50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-2886.1538461538462</c:v>
                </c:pt>
                <c:pt idx="1">
                  <c:v>1089.2307692307693</c:v>
                </c:pt>
                <c:pt idx="2">
                  <c:v>-591.93548387096769</c:v>
                </c:pt>
                <c:pt idx="3">
                  <c:v>-1503.5714285714287</c:v>
                </c:pt>
                <c:pt idx="4">
                  <c:v>-1926.4150943396226</c:v>
                </c:pt>
                <c:pt idx="5">
                  <c:v>-2106.9767441860463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AE-40C6-8B9E-7705277E8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26</c:v>
                </c:pt>
                <c:pt idx="2">
                  <c:v>29</c:v>
                </c:pt>
                <c:pt idx="3">
                  <c:v>23</c:v>
                </c:pt>
                <c:pt idx="4">
                  <c:v>20</c:v>
                </c:pt>
                <c:pt idx="5">
                  <c:v>11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07-4F69-84C8-E5E9046E8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6-4CE7-96A7-268B603D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4-49C2-A91B-1BB2889A8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304-915F-D35A1F1D7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7A-42CF-8F73-FBB870107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C-4D3D-9497-E0059D81F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F-49A6-A31B-EF2C64608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EB-47FB-98BA-F456A527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F-4DD9-B49C-03DC0E65F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3-4C1A-B036-2162F6DA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ともき!$L$2:$L$16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7E-4935-8016-F35F29F67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-3857.1428571428573</c:v>
                </c:pt>
                <c:pt idx="1">
                  <c:v>-578.57142857142856</c:v>
                </c:pt>
                <c:pt idx="2">
                  <c:v>-2921.4285714285716</c:v>
                </c:pt>
                <c:pt idx="3">
                  <c:v>692.85714285714289</c:v>
                </c:pt>
                <c:pt idx="4">
                  <c:v>-841.66666666666663</c:v>
                </c:pt>
                <c:pt idx="5">
                  <c:v>5020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C4-4F91-A109-A14AFFCF8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5</c:v>
                </c:pt>
                <c:pt idx="1">
                  <c:v>12</c:v>
                </c:pt>
                <c:pt idx="2">
                  <c:v>7</c:v>
                </c:pt>
                <c:pt idx="3">
                  <c:v>9</c:v>
                </c:pt>
                <c:pt idx="4">
                  <c:v>6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2F-4B67-8C5D-71CA68A87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1-4443-994E-5EBA92DBD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1387.5</c:v>
                </c:pt>
                <c:pt idx="1">
                  <c:v>5162.5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5-48B0-A4D5-D161A5086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F-4AA3-8044-2D0F7928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2-40EB-B216-C01322854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C7-4ACD-87D6-D2FBEDD2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3-45A0-A3EA-AE53835B6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まっつん2!$A$3:$A$152</c:f>
              <c:numCache>
                <c:formatCode>0\ "回"</c:formatCode>
                <c:ptCount val="1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</c:numCache>
            </c:numRef>
          </c:xVal>
          <c:yVal>
            <c:numRef>
              <c:f>まっつん2!$B$3:$B$152</c:f>
              <c:numCache>
                <c:formatCode>\+0.0;\-0.0;\±0</c:formatCode>
                <c:ptCount val="150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394884621840901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まっつん2!$A$3:$A$152</c:f>
              <c:numCache>
                <c:formatCode>0\ "回"</c:formatCode>
                <c:ptCount val="1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</c:numCache>
            </c:numRef>
          </c:xVal>
          <c:yVal>
            <c:numRef>
              <c:f>まっつん2!$C$3:$C$152</c:f>
              <c:numCache>
                <c:formatCode>\+0.0;\-0.0;\±0</c:formatCode>
                <c:ptCount val="150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  <c:pt idx="32">
                  <c:v>-1.6906249999999994</c:v>
                </c:pt>
                <c:pt idx="33">
                  <c:v>-1.481818181818181</c:v>
                </c:pt>
                <c:pt idx="34">
                  <c:v>-1.8823529411764699</c:v>
                </c:pt>
                <c:pt idx="35">
                  <c:v>-2.0685714285714281</c:v>
                </c:pt>
                <c:pt idx="36">
                  <c:v>-1.816666666666666</c:v>
                </c:pt>
                <c:pt idx="37">
                  <c:v>-1.5837837837837832</c:v>
                </c:pt>
                <c:pt idx="38">
                  <c:v>-1.3631578947368417</c:v>
                </c:pt>
                <c:pt idx="39">
                  <c:v>-1.7410256410256404</c:v>
                </c:pt>
                <c:pt idx="40">
                  <c:v>-1.5324999999999993</c:v>
                </c:pt>
                <c:pt idx="41">
                  <c:v>-1.3878048780487799</c:v>
                </c:pt>
                <c:pt idx="42">
                  <c:v>-1.3928571428571423</c:v>
                </c:pt>
                <c:pt idx="43">
                  <c:v>-1.1604651162790693</c:v>
                </c:pt>
                <c:pt idx="44">
                  <c:v>0.26363636363636417</c:v>
                </c:pt>
                <c:pt idx="45">
                  <c:v>-0.51777777777777723</c:v>
                </c:pt>
                <c:pt idx="46">
                  <c:v>-0.24130434782608645</c:v>
                </c:pt>
                <c:pt idx="47">
                  <c:v>-0.66170212765957392</c:v>
                </c:pt>
                <c:pt idx="48">
                  <c:v>-0.38541666666666624</c:v>
                </c:pt>
                <c:pt idx="49">
                  <c:v>0.14489795918367393</c:v>
                </c:pt>
                <c:pt idx="50">
                  <c:v>0.13000000000000045</c:v>
                </c:pt>
                <c:pt idx="51">
                  <c:v>-5.8823529411760143E-3</c:v>
                </c:pt>
                <c:pt idx="52">
                  <c:v>0.16923076923076966</c:v>
                </c:pt>
                <c:pt idx="53">
                  <c:v>0.10943396226415136</c:v>
                </c:pt>
                <c:pt idx="54">
                  <c:v>-0.23148148148148109</c:v>
                </c:pt>
                <c:pt idx="55">
                  <c:v>0.66181818181818219</c:v>
                </c:pt>
                <c:pt idx="56">
                  <c:v>-6.607142857142824E-2</c:v>
                </c:pt>
                <c:pt idx="57">
                  <c:v>0.22631578947368455</c:v>
                </c:pt>
                <c:pt idx="58">
                  <c:v>0.65000000000000024</c:v>
                </c:pt>
                <c:pt idx="59">
                  <c:v>1.3050847457627122</c:v>
                </c:pt>
                <c:pt idx="60">
                  <c:v>0.3516666666666669</c:v>
                </c:pt>
                <c:pt idx="61">
                  <c:v>0.44426229508196746</c:v>
                </c:pt>
                <c:pt idx="62">
                  <c:v>0.19032258064516153</c:v>
                </c:pt>
                <c:pt idx="63">
                  <c:v>0.73650793650793678</c:v>
                </c:pt>
                <c:pt idx="64">
                  <c:v>0.62343750000000031</c:v>
                </c:pt>
                <c:pt idx="65">
                  <c:v>0.22461538461538491</c:v>
                </c:pt>
                <c:pt idx="66">
                  <c:v>-9.5454545454545139E-2</c:v>
                </c:pt>
                <c:pt idx="67">
                  <c:v>-4.1791044776119092E-2</c:v>
                </c:pt>
                <c:pt idx="68">
                  <c:v>-0.52647058823529391</c:v>
                </c:pt>
                <c:pt idx="69">
                  <c:v>-0.86811594202898523</c:v>
                </c:pt>
                <c:pt idx="70">
                  <c:v>-0.7085714285714283</c:v>
                </c:pt>
                <c:pt idx="71">
                  <c:v>-0.76056338028168979</c:v>
                </c:pt>
                <c:pt idx="72">
                  <c:v>-0.94722222222222185</c:v>
                </c:pt>
                <c:pt idx="73">
                  <c:v>-0.89999999999999969</c:v>
                </c:pt>
                <c:pt idx="74">
                  <c:v>-0.48108108108108072</c:v>
                </c:pt>
                <c:pt idx="75">
                  <c:v>-0.49999999999999961</c:v>
                </c:pt>
                <c:pt idx="76">
                  <c:v>-0.37105263157894697</c:v>
                </c:pt>
                <c:pt idx="77">
                  <c:v>-1.1337662337662333</c:v>
                </c:pt>
                <c:pt idx="78">
                  <c:v>-1.71025641025641</c:v>
                </c:pt>
                <c:pt idx="79">
                  <c:v>-2.1518987341772147</c:v>
                </c:pt>
                <c:pt idx="80">
                  <c:v>-2.0724999999999998</c:v>
                </c:pt>
                <c:pt idx="81">
                  <c:v>-1.4320987654320987</c:v>
                </c:pt>
                <c:pt idx="82">
                  <c:v>-1.4292682926829268</c:v>
                </c:pt>
                <c:pt idx="83">
                  <c:v>-1.5493975903614456</c:v>
                </c:pt>
                <c:pt idx="84">
                  <c:v>-1.4261904761904762</c:v>
                </c:pt>
                <c:pt idx="85">
                  <c:v>-1.1458823529411766</c:v>
                </c:pt>
                <c:pt idx="86">
                  <c:v>-0.97441860465116292</c:v>
                </c:pt>
                <c:pt idx="87">
                  <c:v>-0.65977011494252891</c:v>
                </c:pt>
                <c:pt idx="88">
                  <c:v>-0.71818181818181825</c:v>
                </c:pt>
                <c:pt idx="89">
                  <c:v>-1.3438202247191011</c:v>
                </c:pt>
                <c:pt idx="90">
                  <c:v>-0.64000000000000012</c:v>
                </c:pt>
                <c:pt idx="91">
                  <c:v>-0.60329670329670337</c:v>
                </c:pt>
                <c:pt idx="92">
                  <c:v>-0.1858695652173914</c:v>
                </c:pt>
                <c:pt idx="93">
                  <c:v>9.4623655913978394E-2</c:v>
                </c:pt>
                <c:pt idx="94">
                  <c:v>-4.3617021276595856E-2</c:v>
                </c:pt>
                <c:pt idx="95">
                  <c:v>0.33578947368421042</c:v>
                </c:pt>
                <c:pt idx="96">
                  <c:v>0.54479166666666656</c:v>
                </c:pt>
                <c:pt idx="97">
                  <c:v>0.14432989690721643</c:v>
                </c:pt>
                <c:pt idx="98">
                  <c:v>0.21836734693877544</c:v>
                </c:pt>
                <c:pt idx="99">
                  <c:v>-5.454545454545464E-2</c:v>
                </c:pt>
                <c:pt idx="100">
                  <c:v>-0.25600000000000006</c:v>
                </c:pt>
                <c:pt idx="101">
                  <c:v>0.31881188118811871</c:v>
                </c:pt>
                <c:pt idx="102">
                  <c:v>0.27156862745098026</c:v>
                </c:pt>
                <c:pt idx="103">
                  <c:v>0.44466019417475716</c:v>
                </c:pt>
                <c:pt idx="104">
                  <c:v>1.1749999999999998</c:v>
                </c:pt>
                <c:pt idx="105">
                  <c:v>0.82190476190476169</c:v>
                </c:pt>
                <c:pt idx="106">
                  <c:v>0.79528301886792441</c:v>
                </c:pt>
                <c:pt idx="107">
                  <c:v>0.99345794392523346</c:v>
                </c:pt>
                <c:pt idx="108">
                  <c:v>0.9185185185185184</c:v>
                </c:pt>
                <c:pt idx="109">
                  <c:v>1.2128440366972475</c:v>
                </c:pt>
                <c:pt idx="110">
                  <c:v>1.0918181818181818</c:v>
                </c:pt>
                <c:pt idx="111">
                  <c:v>0.95765765765765765</c:v>
                </c:pt>
                <c:pt idx="112">
                  <c:v>0.9330357142857143</c:v>
                </c:pt>
                <c:pt idx="113">
                  <c:v>0.89823008849557517</c:v>
                </c:pt>
                <c:pt idx="114">
                  <c:v>1.025438596491228</c:v>
                </c:pt>
                <c:pt idx="115">
                  <c:v>0.76347826086956527</c:v>
                </c:pt>
                <c:pt idx="116">
                  <c:v>0.61034482758620701</c:v>
                </c:pt>
                <c:pt idx="117">
                  <c:v>0.54358974358974366</c:v>
                </c:pt>
                <c:pt idx="118">
                  <c:v>0.83389830508474583</c:v>
                </c:pt>
                <c:pt idx="119">
                  <c:v>0.81176470588235305</c:v>
                </c:pt>
                <c:pt idx="120">
                  <c:v>0.55583333333333351</c:v>
                </c:pt>
                <c:pt idx="121">
                  <c:v>0.28264462809917368</c:v>
                </c:pt>
                <c:pt idx="122">
                  <c:v>8.1967213114766914E-4</c:v>
                </c:pt>
                <c:pt idx="123">
                  <c:v>-0.30081300813008116</c:v>
                </c:pt>
                <c:pt idx="124">
                  <c:v>-0.53951612903225787</c:v>
                </c:pt>
                <c:pt idx="125">
                  <c:v>-0.6791999999999998</c:v>
                </c:pt>
                <c:pt idx="126">
                  <c:v>-1.049206349206349</c:v>
                </c:pt>
                <c:pt idx="127">
                  <c:v>-1.0433070866141732</c:v>
                </c:pt>
                <c:pt idx="128">
                  <c:v>-1.41484375</c:v>
                </c:pt>
                <c:pt idx="129">
                  <c:v>-1.6302325581395347</c:v>
                </c:pt>
                <c:pt idx="130">
                  <c:v>-1.776153846153846</c:v>
                </c:pt>
                <c:pt idx="131">
                  <c:v>-1.8503816793893129</c:v>
                </c:pt>
                <c:pt idx="132">
                  <c:v>-1.8045454545454545</c:v>
                </c:pt>
                <c:pt idx="133">
                  <c:v>-1.7105263157894737</c:v>
                </c:pt>
                <c:pt idx="134">
                  <c:v>-1.4447761194029851</c:v>
                </c:pt>
                <c:pt idx="135">
                  <c:v>-1.5711111111111111</c:v>
                </c:pt>
                <c:pt idx="136">
                  <c:v>-1.3169117647058823</c:v>
                </c:pt>
                <c:pt idx="137">
                  <c:v>-1.1116788321167883</c:v>
                </c:pt>
                <c:pt idx="138">
                  <c:v>-1.1775362318840579</c:v>
                </c:pt>
                <c:pt idx="139">
                  <c:v>-1.0812949640287768</c:v>
                </c:pt>
                <c:pt idx="140">
                  <c:v>-0.69142857142857128</c:v>
                </c:pt>
                <c:pt idx="141">
                  <c:v>-0.75177304964538993</c:v>
                </c:pt>
                <c:pt idx="142">
                  <c:v>-1.0021126760563379</c:v>
                </c:pt>
                <c:pt idx="143">
                  <c:v>-0.98951048951048937</c:v>
                </c:pt>
                <c:pt idx="144">
                  <c:v>-0.67152777777777761</c:v>
                </c:pt>
                <c:pt idx="145">
                  <c:v>-0.27793103448275847</c:v>
                </c:pt>
                <c:pt idx="146">
                  <c:v>-0.19246575342465738</c:v>
                </c:pt>
                <c:pt idx="147">
                  <c:v>-0.44965986394557811</c:v>
                </c:pt>
                <c:pt idx="148">
                  <c:v>-0.36891891891891876</c:v>
                </c:pt>
                <c:pt idx="149">
                  <c:v>-0.72348993288590591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5994681339947383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まっつん2!$A$3:$A$152</c:f>
              <c:numCache>
                <c:formatCode>0\ "回"</c:formatCode>
                <c:ptCount val="1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</c:numCache>
            </c:numRef>
          </c:xVal>
          <c:yVal>
            <c:numRef>
              <c:f>まっつん2!$D$3:$D$152</c:f>
              <c:numCache>
                <c:formatCode>0.00\ "位"</c:formatCode>
                <c:ptCount val="150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2.1470588235294117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2.1282051282051282</c:v>
                </c:pt>
                <c:pt idx="40">
                  <c:v>2.125</c:v>
                </c:pt>
                <c:pt idx="41">
                  <c:v>2.1219512195121952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2.0909090909090908</c:v>
                </c:pt>
                <c:pt idx="45">
                  <c:v>2.1111111111111112</c:v>
                </c:pt>
                <c:pt idx="46">
                  <c:v>2.1086956521739131</c:v>
                </c:pt>
                <c:pt idx="47">
                  <c:v>2.1063829787234041</c:v>
                </c:pt>
                <c:pt idx="48">
                  <c:v>2.1041666666666665</c:v>
                </c:pt>
                <c:pt idx="49">
                  <c:v>2.0816326530612246</c:v>
                </c:pt>
                <c:pt idx="50">
                  <c:v>2.08</c:v>
                </c:pt>
                <c:pt idx="51">
                  <c:v>2.0784313725490198</c:v>
                </c:pt>
                <c:pt idx="52">
                  <c:v>2.0769230769230771</c:v>
                </c:pt>
                <c:pt idx="53">
                  <c:v>2.0754716981132075</c:v>
                </c:pt>
                <c:pt idx="54">
                  <c:v>2.0925925925925926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2.0701754385964914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2.0499999999999998</c:v>
                </c:pt>
                <c:pt idx="61">
                  <c:v>2.0491803278688523</c:v>
                </c:pt>
                <c:pt idx="62">
                  <c:v>2.064516129032258</c:v>
                </c:pt>
                <c:pt idx="63">
                  <c:v>2.0476190476190474</c:v>
                </c:pt>
                <c:pt idx="64">
                  <c:v>2.046875</c:v>
                </c:pt>
                <c:pt idx="65">
                  <c:v>2.0615384615384613</c:v>
                </c:pt>
                <c:pt idx="66">
                  <c:v>2.0757575757575757</c:v>
                </c:pt>
                <c:pt idx="67">
                  <c:v>2.0746268656716418</c:v>
                </c:pt>
                <c:pt idx="68">
                  <c:v>2.0735294117647061</c:v>
                </c:pt>
                <c:pt idx="69">
                  <c:v>2.0869565217391304</c:v>
                </c:pt>
                <c:pt idx="70">
                  <c:v>2.0857142857142859</c:v>
                </c:pt>
                <c:pt idx="71">
                  <c:v>2.084507042253521</c:v>
                </c:pt>
                <c:pt idx="72">
                  <c:v>2.0833333333333335</c:v>
                </c:pt>
                <c:pt idx="73">
                  <c:v>2.0821917808219177</c:v>
                </c:pt>
                <c:pt idx="74">
                  <c:v>2.0675675675675675</c:v>
                </c:pt>
                <c:pt idx="75">
                  <c:v>2.0666666666666669</c:v>
                </c:pt>
                <c:pt idx="76">
                  <c:v>2.0657894736842106</c:v>
                </c:pt>
                <c:pt idx="77">
                  <c:v>2.0779220779220777</c:v>
                </c:pt>
                <c:pt idx="78">
                  <c:v>2.0897435897435899</c:v>
                </c:pt>
                <c:pt idx="79">
                  <c:v>2.1012658227848102</c:v>
                </c:pt>
                <c:pt idx="80">
                  <c:v>2.1</c:v>
                </c:pt>
                <c:pt idx="81">
                  <c:v>2.0864197530864197</c:v>
                </c:pt>
                <c:pt idx="82">
                  <c:v>2.0853658536585367</c:v>
                </c:pt>
                <c:pt idx="83">
                  <c:v>2.0843373493975905</c:v>
                </c:pt>
                <c:pt idx="84">
                  <c:v>2.0833333333333335</c:v>
                </c:pt>
                <c:pt idx="85">
                  <c:v>2.0705882352941178</c:v>
                </c:pt>
                <c:pt idx="86">
                  <c:v>2.058139534883721</c:v>
                </c:pt>
                <c:pt idx="87">
                  <c:v>2.0459770114942528</c:v>
                </c:pt>
                <c:pt idx="88">
                  <c:v>2.0454545454545454</c:v>
                </c:pt>
                <c:pt idx="89">
                  <c:v>2.0561797752808988</c:v>
                </c:pt>
                <c:pt idx="90">
                  <c:v>2.0444444444444443</c:v>
                </c:pt>
                <c:pt idx="91">
                  <c:v>2.0439560439560438</c:v>
                </c:pt>
                <c:pt idx="92">
                  <c:v>2.0326086956521738</c:v>
                </c:pt>
                <c:pt idx="93">
                  <c:v>2.021505376344086</c:v>
                </c:pt>
                <c:pt idx="94">
                  <c:v>2.021276595744681</c:v>
                </c:pt>
                <c:pt idx="95">
                  <c:v>2.0105263157894737</c:v>
                </c:pt>
                <c:pt idx="96">
                  <c:v>2.0104166666666665</c:v>
                </c:pt>
                <c:pt idx="97">
                  <c:v>2.0206185567010309</c:v>
                </c:pt>
                <c:pt idx="98">
                  <c:v>2.0204081632653059</c:v>
                </c:pt>
                <c:pt idx="99">
                  <c:v>2.0303030303030303</c:v>
                </c:pt>
                <c:pt idx="100">
                  <c:v>2.04</c:v>
                </c:pt>
                <c:pt idx="101">
                  <c:v>2.0297029702970297</c:v>
                </c:pt>
                <c:pt idx="102">
                  <c:v>2.0294117647058822</c:v>
                </c:pt>
                <c:pt idx="103">
                  <c:v>2.0194174757281553</c:v>
                </c:pt>
                <c:pt idx="104">
                  <c:v>2.0096153846153846</c:v>
                </c:pt>
                <c:pt idx="105">
                  <c:v>2.019047619047619</c:v>
                </c:pt>
                <c:pt idx="106">
                  <c:v>2.0188679245283021</c:v>
                </c:pt>
                <c:pt idx="107">
                  <c:v>2.0093457943925235</c:v>
                </c:pt>
                <c:pt idx="108">
                  <c:v>2.0092592592592591</c:v>
                </c:pt>
                <c:pt idx="109">
                  <c:v>2</c:v>
                </c:pt>
                <c:pt idx="110">
                  <c:v>2.0090909090909093</c:v>
                </c:pt>
                <c:pt idx="111">
                  <c:v>2.0180180180180178</c:v>
                </c:pt>
                <c:pt idx="112">
                  <c:v>2.0178571428571428</c:v>
                </c:pt>
                <c:pt idx="113">
                  <c:v>2.0176991150442478</c:v>
                </c:pt>
                <c:pt idx="114">
                  <c:v>2.0175438596491229</c:v>
                </c:pt>
                <c:pt idx="115">
                  <c:v>2.026086956521739</c:v>
                </c:pt>
                <c:pt idx="116">
                  <c:v>2.0344827586206895</c:v>
                </c:pt>
                <c:pt idx="117">
                  <c:v>2.0341880341880341</c:v>
                </c:pt>
                <c:pt idx="118">
                  <c:v>2.0254237288135593</c:v>
                </c:pt>
                <c:pt idx="119">
                  <c:v>2.0252100840336134</c:v>
                </c:pt>
                <c:pt idx="120">
                  <c:v>2.0333333333333332</c:v>
                </c:pt>
                <c:pt idx="121">
                  <c:v>2.0413223140495869</c:v>
                </c:pt>
                <c:pt idx="122">
                  <c:v>2.0491803278688523</c:v>
                </c:pt>
                <c:pt idx="123">
                  <c:v>2.0569105691056913</c:v>
                </c:pt>
                <c:pt idx="124">
                  <c:v>2.064516129032258</c:v>
                </c:pt>
                <c:pt idx="125">
                  <c:v>2.0720000000000001</c:v>
                </c:pt>
                <c:pt idx="126">
                  <c:v>2.0793650793650795</c:v>
                </c:pt>
                <c:pt idx="127">
                  <c:v>2.0787401574803148</c:v>
                </c:pt>
                <c:pt idx="128">
                  <c:v>2.0859375</c:v>
                </c:pt>
                <c:pt idx="129">
                  <c:v>2.0930232558139537</c:v>
                </c:pt>
                <c:pt idx="130">
                  <c:v>2.0923076923076924</c:v>
                </c:pt>
                <c:pt idx="131">
                  <c:v>2.0916030534351147</c:v>
                </c:pt>
                <c:pt idx="132">
                  <c:v>2.0909090909090908</c:v>
                </c:pt>
                <c:pt idx="133">
                  <c:v>2.0902255639097747</c:v>
                </c:pt>
                <c:pt idx="134">
                  <c:v>2.0820895522388061</c:v>
                </c:pt>
                <c:pt idx="135">
                  <c:v>2.0814814814814815</c:v>
                </c:pt>
                <c:pt idx="136">
                  <c:v>2.0735294117647061</c:v>
                </c:pt>
                <c:pt idx="137">
                  <c:v>2.0656934306569341</c:v>
                </c:pt>
                <c:pt idx="138">
                  <c:v>2.0652173913043477</c:v>
                </c:pt>
                <c:pt idx="139">
                  <c:v>2.0575539568345325</c:v>
                </c:pt>
                <c:pt idx="140">
                  <c:v>2.0499999999999998</c:v>
                </c:pt>
                <c:pt idx="141">
                  <c:v>2.0496453900709222</c:v>
                </c:pt>
                <c:pt idx="142">
                  <c:v>2.056338028169014</c:v>
                </c:pt>
                <c:pt idx="143">
                  <c:v>2.0559440559440558</c:v>
                </c:pt>
                <c:pt idx="144">
                  <c:v>2.0486111111111112</c:v>
                </c:pt>
                <c:pt idx="145">
                  <c:v>2.0413793103448277</c:v>
                </c:pt>
                <c:pt idx="146">
                  <c:v>2.0410958904109591</c:v>
                </c:pt>
                <c:pt idx="147">
                  <c:v>2.0476190476190474</c:v>
                </c:pt>
                <c:pt idx="148">
                  <c:v>2.0472972972972974</c:v>
                </c:pt>
                <c:pt idx="149">
                  <c:v>2.0536912751677852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まっつん2!$A$3:$A$152</c:f>
              <c:numCache>
                <c:formatCode>0\ "回"</c:formatCode>
                <c:ptCount val="1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</c:numCache>
            </c:numRef>
          </c:xVal>
          <c:yVal>
            <c:numRef>
              <c:f>まっつん2!$E$3:$E$152</c:f>
              <c:numCache>
                <c:formatCode>0.0%</c:formatCode>
                <c:ptCount val="150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0.22950819672131148</c:v>
                </c:pt>
                <c:pt idx="62">
                  <c:v>0.22580645161290322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0.21428571428571427</c:v>
                </c:pt>
                <c:pt idx="71">
                  <c:v>0.21126760563380281</c:v>
                </c:pt>
                <c:pt idx="72">
                  <c:v>0.20833333333333334</c:v>
                </c:pt>
                <c:pt idx="73">
                  <c:v>0.20547945205479451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0.20779220779220781</c:v>
                </c:pt>
                <c:pt idx="78">
                  <c:v>0.20512820512820512</c:v>
                </c:pt>
                <c:pt idx="79">
                  <c:v>0.20253164556962025</c:v>
                </c:pt>
                <c:pt idx="80">
                  <c:v>0.2</c:v>
                </c:pt>
                <c:pt idx="81">
                  <c:v>0.20987654320987653</c:v>
                </c:pt>
                <c:pt idx="82">
                  <c:v>0.2073170731707317</c:v>
                </c:pt>
                <c:pt idx="83">
                  <c:v>0.20481927710843373</c:v>
                </c:pt>
                <c:pt idx="84">
                  <c:v>0.20238095238095238</c:v>
                </c:pt>
                <c:pt idx="85">
                  <c:v>0.21176470588235294</c:v>
                </c:pt>
                <c:pt idx="86">
                  <c:v>0.22093023255813954</c:v>
                </c:pt>
                <c:pt idx="87">
                  <c:v>0.22988505747126436</c:v>
                </c:pt>
                <c:pt idx="88">
                  <c:v>0.22727272727272727</c:v>
                </c:pt>
                <c:pt idx="89">
                  <c:v>0.2247191011235955</c:v>
                </c:pt>
                <c:pt idx="90">
                  <c:v>0.23333333333333334</c:v>
                </c:pt>
                <c:pt idx="91">
                  <c:v>0.23076923076923078</c:v>
                </c:pt>
                <c:pt idx="92">
                  <c:v>0.2391304347826087</c:v>
                </c:pt>
                <c:pt idx="93">
                  <c:v>0.24731182795698925</c:v>
                </c:pt>
                <c:pt idx="94">
                  <c:v>0.24468085106382978</c:v>
                </c:pt>
                <c:pt idx="95">
                  <c:v>0.25263157894736843</c:v>
                </c:pt>
                <c:pt idx="96">
                  <c:v>0.25</c:v>
                </c:pt>
                <c:pt idx="97">
                  <c:v>0.24742268041237114</c:v>
                </c:pt>
                <c:pt idx="98">
                  <c:v>0.24489795918367346</c:v>
                </c:pt>
                <c:pt idx="99">
                  <c:v>0.24242424242424243</c:v>
                </c:pt>
                <c:pt idx="100">
                  <c:v>0.24</c:v>
                </c:pt>
                <c:pt idx="101">
                  <c:v>0.24752475247524752</c:v>
                </c:pt>
                <c:pt idx="102">
                  <c:v>0.24509803921568626</c:v>
                </c:pt>
                <c:pt idx="103">
                  <c:v>0.25242718446601942</c:v>
                </c:pt>
                <c:pt idx="104">
                  <c:v>0.25961538461538464</c:v>
                </c:pt>
                <c:pt idx="105">
                  <c:v>0.25714285714285712</c:v>
                </c:pt>
                <c:pt idx="106">
                  <c:v>0.25471698113207547</c:v>
                </c:pt>
                <c:pt idx="107">
                  <c:v>0.26168224299065418</c:v>
                </c:pt>
                <c:pt idx="108">
                  <c:v>0.25925925925925924</c:v>
                </c:pt>
                <c:pt idx="109">
                  <c:v>0.26605504587155965</c:v>
                </c:pt>
                <c:pt idx="110">
                  <c:v>0.26363636363636361</c:v>
                </c:pt>
                <c:pt idx="111">
                  <c:v>0.26126126126126126</c:v>
                </c:pt>
                <c:pt idx="112">
                  <c:v>0.25892857142857145</c:v>
                </c:pt>
                <c:pt idx="113">
                  <c:v>0.25663716814159293</c:v>
                </c:pt>
                <c:pt idx="114">
                  <c:v>0.25438596491228072</c:v>
                </c:pt>
                <c:pt idx="115">
                  <c:v>0.25217391304347825</c:v>
                </c:pt>
                <c:pt idx="116">
                  <c:v>0.25</c:v>
                </c:pt>
                <c:pt idx="117">
                  <c:v>0.24786324786324787</c:v>
                </c:pt>
                <c:pt idx="118">
                  <c:v>0.25423728813559321</c:v>
                </c:pt>
                <c:pt idx="119">
                  <c:v>0.25210084033613445</c:v>
                </c:pt>
                <c:pt idx="120">
                  <c:v>0.25</c:v>
                </c:pt>
                <c:pt idx="121">
                  <c:v>0.24793388429752067</c:v>
                </c:pt>
                <c:pt idx="122">
                  <c:v>0.24590163934426229</c:v>
                </c:pt>
                <c:pt idx="123">
                  <c:v>0.24390243902439024</c:v>
                </c:pt>
                <c:pt idx="124">
                  <c:v>0.24193548387096775</c:v>
                </c:pt>
                <c:pt idx="125">
                  <c:v>0.24</c:v>
                </c:pt>
                <c:pt idx="126">
                  <c:v>0.23809523809523808</c:v>
                </c:pt>
                <c:pt idx="127">
                  <c:v>0.23622047244094488</c:v>
                </c:pt>
                <c:pt idx="128">
                  <c:v>0.234375</c:v>
                </c:pt>
                <c:pt idx="129">
                  <c:v>0.23255813953488372</c:v>
                </c:pt>
                <c:pt idx="130">
                  <c:v>0.23076923076923078</c:v>
                </c:pt>
                <c:pt idx="131">
                  <c:v>0.22900763358778625</c:v>
                </c:pt>
                <c:pt idx="132">
                  <c:v>0.22727272727272727</c:v>
                </c:pt>
                <c:pt idx="133">
                  <c:v>0.22556390977443608</c:v>
                </c:pt>
                <c:pt idx="134">
                  <c:v>0.23134328358208955</c:v>
                </c:pt>
                <c:pt idx="135">
                  <c:v>0.22962962962962963</c:v>
                </c:pt>
                <c:pt idx="136">
                  <c:v>0.23529411764705882</c:v>
                </c:pt>
                <c:pt idx="137">
                  <c:v>0.24087591240875914</c:v>
                </c:pt>
                <c:pt idx="138">
                  <c:v>0.2391304347826087</c:v>
                </c:pt>
                <c:pt idx="139">
                  <c:v>0.2446043165467626</c:v>
                </c:pt>
                <c:pt idx="140">
                  <c:v>0.25</c:v>
                </c:pt>
                <c:pt idx="141">
                  <c:v>0.24822695035460993</c:v>
                </c:pt>
                <c:pt idx="142">
                  <c:v>0.24647887323943662</c:v>
                </c:pt>
                <c:pt idx="143">
                  <c:v>0.24475524475524477</c:v>
                </c:pt>
                <c:pt idx="144">
                  <c:v>0.25</c:v>
                </c:pt>
                <c:pt idx="145">
                  <c:v>0.25517241379310346</c:v>
                </c:pt>
                <c:pt idx="146">
                  <c:v>0.25342465753424659</c:v>
                </c:pt>
                <c:pt idx="147">
                  <c:v>0.25170068027210885</c:v>
                </c:pt>
                <c:pt idx="148">
                  <c:v>0.25</c:v>
                </c:pt>
                <c:pt idx="149">
                  <c:v>0.24832214765100671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まっつん2!$A$3:$A$152</c:f>
              <c:numCache>
                <c:formatCode>0\ "回"</c:formatCode>
                <c:ptCount val="1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</c:numCache>
            </c:numRef>
          </c:xVal>
          <c:yVal>
            <c:numRef>
              <c:f>まっつん2!$F$3:$F$152</c:f>
              <c:numCache>
                <c:formatCode>0.0%</c:formatCode>
                <c:ptCount val="150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0.30232558139534882</c:v>
                </c:pt>
                <c:pt idx="44">
                  <c:v>0.29545454545454547</c:v>
                </c:pt>
                <c:pt idx="45">
                  <c:v>0.31111111111111112</c:v>
                </c:pt>
                <c:pt idx="46">
                  <c:v>0.30434782608695654</c:v>
                </c:pt>
                <c:pt idx="47">
                  <c:v>0.2978723404255319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0.27450980392156865</c:v>
                </c:pt>
                <c:pt idx="52">
                  <c:v>0.26923076923076922</c:v>
                </c:pt>
                <c:pt idx="53">
                  <c:v>0.26415094339622641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0.2857142857142857</c:v>
                </c:pt>
                <c:pt idx="57">
                  <c:v>0.2807017543859649</c:v>
                </c:pt>
                <c:pt idx="58">
                  <c:v>0.27586206896551724</c:v>
                </c:pt>
                <c:pt idx="59">
                  <c:v>0.2711864406779661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0.29032258064516131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0.30434782608695654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0.28378378378378377</c:v>
                </c:pt>
                <c:pt idx="75">
                  <c:v>0.28000000000000003</c:v>
                </c:pt>
                <c:pt idx="76">
                  <c:v>0.27631578947368424</c:v>
                </c:pt>
                <c:pt idx="77">
                  <c:v>0.2857142857142857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0.28915662650602408</c:v>
                </c:pt>
                <c:pt idx="84">
                  <c:v>0.2857142857142857</c:v>
                </c:pt>
                <c:pt idx="85">
                  <c:v>0.28235294117647058</c:v>
                </c:pt>
                <c:pt idx="86">
                  <c:v>0.27906976744186046</c:v>
                </c:pt>
                <c:pt idx="87">
                  <c:v>0.27586206896551724</c:v>
                </c:pt>
                <c:pt idx="88">
                  <c:v>0.27272727272727271</c:v>
                </c:pt>
                <c:pt idx="89">
                  <c:v>0.2808988764044944</c:v>
                </c:pt>
                <c:pt idx="90">
                  <c:v>0.27777777777777779</c:v>
                </c:pt>
                <c:pt idx="91">
                  <c:v>0.27472527472527475</c:v>
                </c:pt>
                <c:pt idx="92">
                  <c:v>0.27173913043478259</c:v>
                </c:pt>
                <c:pt idx="93">
                  <c:v>0.26881720430107525</c:v>
                </c:pt>
                <c:pt idx="94">
                  <c:v>0.26595744680851063</c:v>
                </c:pt>
                <c:pt idx="95">
                  <c:v>0.26315789473684209</c:v>
                </c:pt>
                <c:pt idx="96">
                  <c:v>0.26041666666666669</c:v>
                </c:pt>
                <c:pt idx="97">
                  <c:v>0.26804123711340205</c:v>
                </c:pt>
                <c:pt idx="98">
                  <c:v>0.26530612244897961</c:v>
                </c:pt>
                <c:pt idx="99">
                  <c:v>0.27272727272727271</c:v>
                </c:pt>
                <c:pt idx="100">
                  <c:v>0.28000000000000003</c:v>
                </c:pt>
                <c:pt idx="101">
                  <c:v>0.27722772277227725</c:v>
                </c:pt>
                <c:pt idx="102">
                  <c:v>0.27450980392156865</c:v>
                </c:pt>
                <c:pt idx="103">
                  <c:v>0.27184466019417475</c:v>
                </c:pt>
                <c:pt idx="104">
                  <c:v>0.26923076923076922</c:v>
                </c:pt>
                <c:pt idx="105">
                  <c:v>0.27619047619047621</c:v>
                </c:pt>
                <c:pt idx="106">
                  <c:v>0.27358490566037735</c:v>
                </c:pt>
                <c:pt idx="107">
                  <c:v>0.27102803738317754</c:v>
                </c:pt>
                <c:pt idx="108">
                  <c:v>0.26851851851851855</c:v>
                </c:pt>
                <c:pt idx="109">
                  <c:v>0.26605504587155965</c:v>
                </c:pt>
                <c:pt idx="110">
                  <c:v>0.27272727272727271</c:v>
                </c:pt>
                <c:pt idx="111">
                  <c:v>0.27927927927927926</c:v>
                </c:pt>
                <c:pt idx="112">
                  <c:v>0.2767857142857143</c:v>
                </c:pt>
                <c:pt idx="113">
                  <c:v>0.27433628318584069</c:v>
                </c:pt>
                <c:pt idx="114">
                  <c:v>0.27192982456140352</c:v>
                </c:pt>
                <c:pt idx="115">
                  <c:v>0.27826086956521739</c:v>
                </c:pt>
                <c:pt idx="116">
                  <c:v>0.28448275862068967</c:v>
                </c:pt>
                <c:pt idx="117">
                  <c:v>0.28205128205128205</c:v>
                </c:pt>
                <c:pt idx="118">
                  <c:v>0.27966101694915252</c:v>
                </c:pt>
                <c:pt idx="119">
                  <c:v>0.27731092436974791</c:v>
                </c:pt>
                <c:pt idx="120">
                  <c:v>0.28333333333333333</c:v>
                </c:pt>
                <c:pt idx="121">
                  <c:v>0.28925619834710742</c:v>
                </c:pt>
                <c:pt idx="122">
                  <c:v>0.29508196721311475</c:v>
                </c:pt>
                <c:pt idx="123">
                  <c:v>0.30081300813008133</c:v>
                </c:pt>
                <c:pt idx="124">
                  <c:v>0.30645161290322581</c:v>
                </c:pt>
                <c:pt idx="125">
                  <c:v>0.312</c:v>
                </c:pt>
                <c:pt idx="126">
                  <c:v>0.31746031746031744</c:v>
                </c:pt>
                <c:pt idx="127">
                  <c:v>0.31496062992125984</c:v>
                </c:pt>
                <c:pt idx="128">
                  <c:v>0.3203125</c:v>
                </c:pt>
                <c:pt idx="129">
                  <c:v>0.32558139534883723</c:v>
                </c:pt>
                <c:pt idx="130">
                  <c:v>0.32307692307692309</c:v>
                </c:pt>
                <c:pt idx="131">
                  <c:v>0.32061068702290074</c:v>
                </c:pt>
                <c:pt idx="132">
                  <c:v>0.31818181818181818</c:v>
                </c:pt>
                <c:pt idx="133">
                  <c:v>0.31578947368421051</c:v>
                </c:pt>
                <c:pt idx="134">
                  <c:v>0.31343283582089554</c:v>
                </c:pt>
                <c:pt idx="135">
                  <c:v>0.31111111111111112</c:v>
                </c:pt>
                <c:pt idx="136">
                  <c:v>0.30882352941176472</c:v>
                </c:pt>
                <c:pt idx="137">
                  <c:v>0.30656934306569344</c:v>
                </c:pt>
                <c:pt idx="138">
                  <c:v>0.30434782608695654</c:v>
                </c:pt>
                <c:pt idx="139">
                  <c:v>0.30215827338129497</c:v>
                </c:pt>
                <c:pt idx="140">
                  <c:v>0.3</c:v>
                </c:pt>
                <c:pt idx="141">
                  <c:v>0.2978723404255319</c:v>
                </c:pt>
                <c:pt idx="142">
                  <c:v>0.30281690140845069</c:v>
                </c:pt>
                <c:pt idx="143">
                  <c:v>0.30069930069930068</c:v>
                </c:pt>
                <c:pt idx="144">
                  <c:v>0.2986111111111111</c:v>
                </c:pt>
                <c:pt idx="145">
                  <c:v>0.29655172413793102</c:v>
                </c:pt>
                <c:pt idx="146">
                  <c:v>0.29452054794520549</c:v>
                </c:pt>
                <c:pt idx="147">
                  <c:v>0.29931972789115646</c:v>
                </c:pt>
                <c:pt idx="148">
                  <c:v>0.29729729729729731</c:v>
                </c:pt>
                <c:pt idx="149">
                  <c:v>0.30201342281879195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まっつん2!$A$3:$A$152</c:f>
              <c:numCache>
                <c:formatCode>0\ "回"</c:formatCode>
                <c:ptCount val="1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</c:numCache>
            </c:numRef>
          </c:xVal>
          <c:yVal>
            <c:numRef>
              <c:f>まっつん2!$G$3:$G$152</c:f>
              <c:numCache>
                <c:formatCode>0.0%</c:formatCode>
                <c:ptCount val="150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  <c:pt idx="32">
                  <c:v>0.27376425855513309</c:v>
                </c:pt>
                <c:pt idx="33">
                  <c:v>0.26568265682656828</c:v>
                </c:pt>
                <c:pt idx="34">
                  <c:v>0.26618705035971224</c:v>
                </c:pt>
                <c:pt idx="35">
                  <c:v>0.26923076923076922</c:v>
                </c:pt>
                <c:pt idx="36">
                  <c:v>0.27397260273972601</c:v>
                </c:pt>
                <c:pt idx="37">
                  <c:v>0.28052805280528054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0.27522935779816515</c:v>
                </c:pt>
                <c:pt idx="41">
                  <c:v>0.27844311377245506</c:v>
                </c:pt>
                <c:pt idx="42">
                  <c:v>0.28279883381924198</c:v>
                </c:pt>
                <c:pt idx="43">
                  <c:v>0.28285714285714286</c:v>
                </c:pt>
                <c:pt idx="44">
                  <c:v>0.28732394366197184</c:v>
                </c:pt>
                <c:pt idx="45">
                  <c:v>0.28415300546448086</c:v>
                </c:pt>
                <c:pt idx="46">
                  <c:v>0.28301886792452829</c:v>
                </c:pt>
                <c:pt idx="47">
                  <c:v>0.28238341968911918</c:v>
                </c:pt>
                <c:pt idx="48">
                  <c:v>0.28498727735368956</c:v>
                </c:pt>
                <c:pt idx="49">
                  <c:v>0.28499999999999998</c:v>
                </c:pt>
                <c:pt idx="50">
                  <c:v>0.28186274509803921</c:v>
                </c:pt>
                <c:pt idx="51">
                  <c:v>0.27751196172248804</c:v>
                </c:pt>
                <c:pt idx="52">
                  <c:v>0.28000000000000003</c:v>
                </c:pt>
                <c:pt idx="53">
                  <c:v>0.28175519630484991</c:v>
                </c:pt>
                <c:pt idx="54">
                  <c:v>0.28018223234624146</c:v>
                </c:pt>
                <c:pt idx="55">
                  <c:v>0.28442437923250563</c:v>
                </c:pt>
                <c:pt idx="56">
                  <c:v>0.2807017543859649</c:v>
                </c:pt>
                <c:pt idx="57">
                  <c:v>0.2832618025751073</c:v>
                </c:pt>
                <c:pt idx="58">
                  <c:v>0.28361344537815125</c:v>
                </c:pt>
                <c:pt idx="59">
                  <c:v>0.28985507246376813</c:v>
                </c:pt>
                <c:pt idx="60">
                  <c:v>0.28888888888888886</c:v>
                </c:pt>
                <c:pt idx="61">
                  <c:v>0.28769841269841268</c:v>
                </c:pt>
                <c:pt idx="62">
                  <c:v>0.287109375</c:v>
                </c:pt>
                <c:pt idx="63">
                  <c:v>0.28875968992248063</c:v>
                </c:pt>
                <c:pt idx="64">
                  <c:v>0.28927203065134099</c:v>
                </c:pt>
                <c:pt idx="65">
                  <c:v>0.28625235404896421</c:v>
                </c:pt>
                <c:pt idx="66">
                  <c:v>0.28491620111731841</c:v>
                </c:pt>
                <c:pt idx="67">
                  <c:v>0.28623853211009176</c:v>
                </c:pt>
                <c:pt idx="68">
                  <c:v>0.28442028985507245</c:v>
                </c:pt>
                <c:pt idx="69">
                  <c:v>0.28264758497316639</c:v>
                </c:pt>
                <c:pt idx="70">
                  <c:v>0.28368794326241137</c:v>
                </c:pt>
                <c:pt idx="71">
                  <c:v>0.28196147110332748</c:v>
                </c:pt>
                <c:pt idx="72">
                  <c:v>0.28151986183074268</c:v>
                </c:pt>
                <c:pt idx="73">
                  <c:v>0.28034188034188035</c:v>
                </c:pt>
                <c:pt idx="74">
                  <c:v>0.28499156829679595</c:v>
                </c:pt>
                <c:pt idx="75">
                  <c:v>0.28499999999999998</c:v>
                </c:pt>
                <c:pt idx="76">
                  <c:v>0.28547854785478549</c:v>
                </c:pt>
                <c:pt idx="77">
                  <c:v>0.28038897893030795</c:v>
                </c:pt>
                <c:pt idx="78">
                  <c:v>0.27768860353130015</c:v>
                </c:pt>
                <c:pt idx="79">
                  <c:v>0.27760252365930599</c:v>
                </c:pt>
                <c:pt idx="80">
                  <c:v>0.27856025039123633</c:v>
                </c:pt>
                <c:pt idx="81">
                  <c:v>0.28328173374613003</c:v>
                </c:pt>
                <c:pt idx="82">
                  <c:v>0.28287461773700306</c:v>
                </c:pt>
                <c:pt idx="83">
                  <c:v>0.27987897125567324</c:v>
                </c:pt>
                <c:pt idx="84">
                  <c:v>0.28035982008995503</c:v>
                </c:pt>
                <c:pt idx="85">
                  <c:v>0.28041543026706234</c:v>
                </c:pt>
                <c:pt idx="86">
                  <c:v>0.28111273792093705</c:v>
                </c:pt>
                <c:pt idx="87">
                  <c:v>0.28260869565217389</c:v>
                </c:pt>
                <c:pt idx="88">
                  <c:v>0.28307254623044098</c:v>
                </c:pt>
                <c:pt idx="89">
                  <c:v>0.28212290502793297</c:v>
                </c:pt>
                <c:pt idx="90">
                  <c:v>0.28393351800554018</c:v>
                </c:pt>
                <c:pt idx="91">
                  <c:v>0.28434065934065933</c:v>
                </c:pt>
                <c:pt idx="92">
                  <c:v>0.2857142857142857</c:v>
                </c:pt>
                <c:pt idx="93">
                  <c:v>0.28936742934051146</c:v>
                </c:pt>
                <c:pt idx="94">
                  <c:v>0.28894806924101196</c:v>
                </c:pt>
                <c:pt idx="95">
                  <c:v>0.28912466843501328</c:v>
                </c:pt>
                <c:pt idx="96">
                  <c:v>0.29040735873850199</c:v>
                </c:pt>
                <c:pt idx="97">
                  <c:v>0.28793774319066145</c:v>
                </c:pt>
                <c:pt idx="98">
                  <c:v>0.28937259923175418</c:v>
                </c:pt>
                <c:pt idx="99">
                  <c:v>0.2878787878787879</c:v>
                </c:pt>
                <c:pt idx="100">
                  <c:v>0.28714107365792757</c:v>
                </c:pt>
                <c:pt idx="101">
                  <c:v>0.28888888888888886</c:v>
                </c:pt>
                <c:pt idx="102">
                  <c:v>0.28886168910648713</c:v>
                </c:pt>
                <c:pt idx="103">
                  <c:v>0.28950542822677927</c:v>
                </c:pt>
                <c:pt idx="104">
                  <c:v>0.2930622009569378</c:v>
                </c:pt>
                <c:pt idx="105">
                  <c:v>0.29078014184397161</c:v>
                </c:pt>
                <c:pt idx="106">
                  <c:v>0.29024676850763809</c:v>
                </c:pt>
                <c:pt idx="107">
                  <c:v>0.29254079254079252</c:v>
                </c:pt>
                <c:pt idx="108">
                  <c:v>0.29032258064516131</c:v>
                </c:pt>
                <c:pt idx="109">
                  <c:v>0.29142857142857143</c:v>
                </c:pt>
                <c:pt idx="110">
                  <c:v>0.29171396140749151</c:v>
                </c:pt>
                <c:pt idx="111">
                  <c:v>0.29021372328458944</c:v>
                </c:pt>
                <c:pt idx="112">
                  <c:v>0.28938547486033517</c:v>
                </c:pt>
                <c:pt idx="113">
                  <c:v>0.28839779005524863</c:v>
                </c:pt>
                <c:pt idx="114">
                  <c:v>0.28758169934640521</c:v>
                </c:pt>
                <c:pt idx="115">
                  <c:v>0.28663793103448276</c:v>
                </c:pt>
                <c:pt idx="116">
                  <c:v>0.28678038379530918</c:v>
                </c:pt>
                <c:pt idx="117">
                  <c:v>0.28752642706131076</c:v>
                </c:pt>
                <c:pt idx="118">
                  <c:v>0.28856243441762852</c:v>
                </c:pt>
                <c:pt idx="119">
                  <c:v>0.28838174273858919</c:v>
                </c:pt>
                <c:pt idx="120">
                  <c:v>0.28717948717948716</c:v>
                </c:pt>
                <c:pt idx="121">
                  <c:v>0.28629441624365481</c:v>
                </c:pt>
                <c:pt idx="122">
                  <c:v>0.28528225806451613</c:v>
                </c:pt>
                <c:pt idx="123">
                  <c:v>0.28243512974051899</c:v>
                </c:pt>
                <c:pt idx="124">
                  <c:v>0.28019801980198022</c:v>
                </c:pt>
                <c:pt idx="125">
                  <c:v>0.27952755905511811</c:v>
                </c:pt>
                <c:pt idx="126">
                  <c:v>0.27918287937743191</c:v>
                </c:pt>
                <c:pt idx="127">
                  <c:v>0.27895752895752896</c:v>
                </c:pt>
                <c:pt idx="128">
                  <c:v>0.27681992337164751</c:v>
                </c:pt>
                <c:pt idx="129">
                  <c:v>0.27619047619047621</c:v>
                </c:pt>
                <c:pt idx="130">
                  <c:v>0.27573182247403211</c:v>
                </c:pt>
                <c:pt idx="131">
                  <c:v>0.27450980392156865</c:v>
                </c:pt>
                <c:pt idx="132">
                  <c:v>0.27525486561631141</c:v>
                </c:pt>
                <c:pt idx="133">
                  <c:v>0.27532228360957645</c:v>
                </c:pt>
                <c:pt idx="134">
                  <c:v>0.2783882783882784</c:v>
                </c:pt>
                <c:pt idx="135">
                  <c:v>0.27636363636363637</c:v>
                </c:pt>
                <c:pt idx="136">
                  <c:v>0.2788808664259928</c:v>
                </c:pt>
                <c:pt idx="137">
                  <c:v>0.28071748878923769</c:v>
                </c:pt>
                <c:pt idx="138">
                  <c:v>0.27960819234194123</c:v>
                </c:pt>
                <c:pt idx="139">
                  <c:v>0.27939876215738285</c:v>
                </c:pt>
                <c:pt idx="140">
                  <c:v>0.27978817299205649</c:v>
                </c:pt>
                <c:pt idx="141">
                  <c:v>0.27982456140350875</c:v>
                </c:pt>
                <c:pt idx="142">
                  <c:v>0.2795138888888889</c:v>
                </c:pt>
                <c:pt idx="143">
                  <c:v>0.27906976744186046</c:v>
                </c:pt>
                <c:pt idx="144">
                  <c:v>0.28082191780821919</c:v>
                </c:pt>
                <c:pt idx="145">
                  <c:v>0.28194207836456558</c:v>
                </c:pt>
                <c:pt idx="146">
                  <c:v>0.28172588832487311</c:v>
                </c:pt>
                <c:pt idx="147">
                  <c:v>0.28067226890756303</c:v>
                </c:pt>
                <c:pt idx="148">
                  <c:v>0.28056951423785592</c:v>
                </c:pt>
                <c:pt idx="149">
                  <c:v>0.2793017456359102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895562971202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まっつん2!$A$3:$A$152</c:f>
              <c:numCache>
                <c:formatCode>0\ "回"</c:formatCode>
                <c:ptCount val="1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</c:numCache>
            </c:numRef>
          </c:xVal>
          <c:yVal>
            <c:numRef>
              <c:f>まっつん2!$H$3:$H$152</c:f>
              <c:numCache>
                <c:formatCode>0.0%</c:formatCode>
                <c:ptCount val="150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  <c:pt idx="32">
                  <c:v>0.14828897338403041</c:v>
                </c:pt>
                <c:pt idx="33">
                  <c:v>0.14391143911439114</c:v>
                </c:pt>
                <c:pt idx="34">
                  <c:v>0.14388489208633093</c:v>
                </c:pt>
                <c:pt idx="35">
                  <c:v>0.13986013986013987</c:v>
                </c:pt>
                <c:pt idx="36">
                  <c:v>0.1404109589041096</c:v>
                </c:pt>
                <c:pt idx="37">
                  <c:v>0.14191419141914191</c:v>
                </c:pt>
                <c:pt idx="38">
                  <c:v>0.14376996805111822</c:v>
                </c:pt>
                <c:pt idx="39">
                  <c:v>0.14374999999999999</c:v>
                </c:pt>
                <c:pt idx="40">
                  <c:v>0.14678899082568808</c:v>
                </c:pt>
                <c:pt idx="41">
                  <c:v>0.1497005988023952</c:v>
                </c:pt>
                <c:pt idx="42">
                  <c:v>0.14868804664723032</c:v>
                </c:pt>
                <c:pt idx="43">
                  <c:v>0.14857142857142858</c:v>
                </c:pt>
                <c:pt idx="44">
                  <c:v>0.14647887323943662</c:v>
                </c:pt>
                <c:pt idx="45">
                  <c:v>0.1448087431693989</c:v>
                </c:pt>
                <c:pt idx="46">
                  <c:v>0.14285714285714285</c:v>
                </c:pt>
                <c:pt idx="47">
                  <c:v>0.14248704663212436</c:v>
                </c:pt>
                <c:pt idx="48">
                  <c:v>0.13994910941475827</c:v>
                </c:pt>
                <c:pt idx="49">
                  <c:v>0.14000000000000001</c:v>
                </c:pt>
                <c:pt idx="50">
                  <c:v>0.13970588235294118</c:v>
                </c:pt>
                <c:pt idx="51">
                  <c:v>0.13636363636363635</c:v>
                </c:pt>
                <c:pt idx="52">
                  <c:v>0.13411764705882354</c:v>
                </c:pt>
                <c:pt idx="53">
                  <c:v>0.13163972286374134</c:v>
                </c:pt>
                <c:pt idx="54">
                  <c:v>0.12984054669703873</c:v>
                </c:pt>
                <c:pt idx="55">
                  <c:v>0.12866817155756208</c:v>
                </c:pt>
                <c:pt idx="56">
                  <c:v>0.1337719298245614</c:v>
                </c:pt>
                <c:pt idx="57">
                  <c:v>0.13304721030042918</c:v>
                </c:pt>
                <c:pt idx="58">
                  <c:v>0.13025210084033614</c:v>
                </c:pt>
                <c:pt idx="59">
                  <c:v>0.13043478260869565</c:v>
                </c:pt>
                <c:pt idx="60">
                  <c:v>0.13333333333333333</c:v>
                </c:pt>
                <c:pt idx="61">
                  <c:v>0.13095238095238096</c:v>
                </c:pt>
                <c:pt idx="62">
                  <c:v>0.130859375</c:v>
                </c:pt>
                <c:pt idx="63">
                  <c:v>0.12984496124031009</c:v>
                </c:pt>
                <c:pt idx="64">
                  <c:v>0.13026819923371646</c:v>
                </c:pt>
                <c:pt idx="65">
                  <c:v>0.128060263653484</c:v>
                </c:pt>
                <c:pt idx="66">
                  <c:v>0.1266294227188082</c:v>
                </c:pt>
                <c:pt idx="67">
                  <c:v>0.12477064220183487</c:v>
                </c:pt>
                <c:pt idx="68">
                  <c:v>0.125</c:v>
                </c:pt>
                <c:pt idx="69">
                  <c:v>0.12701252236135957</c:v>
                </c:pt>
                <c:pt idx="70">
                  <c:v>0.12588652482269502</c:v>
                </c:pt>
                <c:pt idx="71">
                  <c:v>0.12784588441330999</c:v>
                </c:pt>
                <c:pt idx="72">
                  <c:v>0.12780656303972365</c:v>
                </c:pt>
                <c:pt idx="73">
                  <c:v>0.12820512820512819</c:v>
                </c:pt>
                <c:pt idx="74">
                  <c:v>0.12816188870151771</c:v>
                </c:pt>
                <c:pt idx="75">
                  <c:v>0.13</c:v>
                </c:pt>
                <c:pt idx="76">
                  <c:v>0.132013201320132</c:v>
                </c:pt>
                <c:pt idx="77">
                  <c:v>0.13452188006482982</c:v>
                </c:pt>
                <c:pt idx="78">
                  <c:v>0.13643659711075443</c:v>
                </c:pt>
                <c:pt idx="79">
                  <c:v>0.13880126182965299</c:v>
                </c:pt>
                <c:pt idx="80">
                  <c:v>0.13771517996870108</c:v>
                </c:pt>
                <c:pt idx="81">
                  <c:v>0.13777089783281735</c:v>
                </c:pt>
                <c:pt idx="82">
                  <c:v>0.13608562691131498</c:v>
                </c:pt>
                <c:pt idx="83">
                  <c:v>0.13615733736762481</c:v>
                </c:pt>
                <c:pt idx="84">
                  <c:v>0.13493253373313344</c:v>
                </c:pt>
                <c:pt idx="85">
                  <c:v>0.13649851632047477</c:v>
                </c:pt>
                <c:pt idx="86">
                  <c:v>0.13469985358711567</c:v>
                </c:pt>
                <c:pt idx="87">
                  <c:v>0.13333333333333333</c:v>
                </c:pt>
                <c:pt idx="88">
                  <c:v>0.1337126600284495</c:v>
                </c:pt>
                <c:pt idx="89">
                  <c:v>0.13547486033519554</c:v>
                </c:pt>
                <c:pt idx="90">
                  <c:v>0.13434903047091412</c:v>
                </c:pt>
                <c:pt idx="91">
                  <c:v>0.13461538461538461</c:v>
                </c:pt>
                <c:pt idx="92">
                  <c:v>0.13469387755102041</c:v>
                </c:pt>
                <c:pt idx="93">
                  <c:v>0.13458950201884254</c:v>
                </c:pt>
                <c:pt idx="94">
                  <c:v>0.13448735019973368</c:v>
                </c:pt>
                <c:pt idx="95">
                  <c:v>0.13395225464190982</c:v>
                </c:pt>
                <c:pt idx="96">
                  <c:v>0.13403416557161629</c:v>
                </c:pt>
                <c:pt idx="97">
                  <c:v>0.13618677042801555</c:v>
                </c:pt>
                <c:pt idx="98">
                  <c:v>0.13444302176696543</c:v>
                </c:pt>
                <c:pt idx="99">
                  <c:v>0.13636363636363635</c:v>
                </c:pt>
                <c:pt idx="100">
                  <c:v>0.13732833957553059</c:v>
                </c:pt>
                <c:pt idx="101">
                  <c:v>0.13580246913580246</c:v>
                </c:pt>
                <c:pt idx="102">
                  <c:v>0.13586291309669524</c:v>
                </c:pt>
                <c:pt idx="103">
                  <c:v>0.13751507840772015</c:v>
                </c:pt>
                <c:pt idx="104">
                  <c:v>0.13755980861244019</c:v>
                </c:pt>
                <c:pt idx="105">
                  <c:v>0.13593380614657211</c:v>
                </c:pt>
                <c:pt idx="106">
                  <c:v>0.13513513513513514</c:v>
                </c:pt>
                <c:pt idx="107">
                  <c:v>0.1351981351981352</c:v>
                </c:pt>
                <c:pt idx="108">
                  <c:v>0.1347926267281106</c:v>
                </c:pt>
                <c:pt idx="109">
                  <c:v>0.13485714285714287</c:v>
                </c:pt>
                <c:pt idx="110">
                  <c:v>0.1362088535754824</c:v>
                </c:pt>
                <c:pt idx="111">
                  <c:v>0.13610798650168729</c:v>
                </c:pt>
                <c:pt idx="112">
                  <c:v>0.13519553072625698</c:v>
                </c:pt>
                <c:pt idx="113">
                  <c:v>0.13370165745856355</c:v>
                </c:pt>
                <c:pt idx="114">
                  <c:v>0.13180827886710239</c:v>
                </c:pt>
                <c:pt idx="115">
                  <c:v>0.13254310344827586</c:v>
                </c:pt>
                <c:pt idx="116">
                  <c:v>0.13326226012793177</c:v>
                </c:pt>
                <c:pt idx="117">
                  <c:v>0.1331923890063425</c:v>
                </c:pt>
                <c:pt idx="118">
                  <c:v>0.13326337880377753</c:v>
                </c:pt>
                <c:pt idx="119">
                  <c:v>0.13278008298755187</c:v>
                </c:pt>
                <c:pt idx="120">
                  <c:v>0.13435897435897437</c:v>
                </c:pt>
                <c:pt idx="121">
                  <c:v>0.13604060913705585</c:v>
                </c:pt>
                <c:pt idx="122">
                  <c:v>0.13608870967741934</c:v>
                </c:pt>
                <c:pt idx="123">
                  <c:v>0.13672654690618763</c:v>
                </c:pt>
                <c:pt idx="124">
                  <c:v>0.13663366336633664</c:v>
                </c:pt>
                <c:pt idx="125">
                  <c:v>0.13681102362204725</c:v>
                </c:pt>
                <c:pt idx="126">
                  <c:v>0.13910505836575876</c:v>
                </c:pt>
                <c:pt idx="127">
                  <c:v>0.13996138996138996</c:v>
                </c:pt>
                <c:pt idx="128">
                  <c:v>0.1417624521072797</c:v>
                </c:pt>
                <c:pt idx="129">
                  <c:v>0.14190476190476189</c:v>
                </c:pt>
                <c:pt idx="130">
                  <c:v>0.14069877242681775</c:v>
                </c:pt>
                <c:pt idx="131">
                  <c:v>0.1419234360410831</c:v>
                </c:pt>
                <c:pt idx="132">
                  <c:v>0.14179796107506951</c:v>
                </c:pt>
                <c:pt idx="133">
                  <c:v>0.14088397790055249</c:v>
                </c:pt>
                <c:pt idx="134">
                  <c:v>0.14010989010989011</c:v>
                </c:pt>
                <c:pt idx="135">
                  <c:v>0.1390909090909091</c:v>
                </c:pt>
                <c:pt idx="136">
                  <c:v>0.13898916967509026</c:v>
                </c:pt>
                <c:pt idx="137">
                  <c:v>0.13901345291479822</c:v>
                </c:pt>
                <c:pt idx="138">
                  <c:v>0.13802315227070347</c:v>
                </c:pt>
                <c:pt idx="139">
                  <c:v>0.13881520778072501</c:v>
                </c:pt>
                <c:pt idx="140">
                  <c:v>0.13857016769638128</c:v>
                </c:pt>
                <c:pt idx="141">
                  <c:v>0.13859649122807016</c:v>
                </c:pt>
                <c:pt idx="142">
                  <c:v>0.1388888888888889</c:v>
                </c:pt>
                <c:pt idx="143">
                  <c:v>0.13953488372093023</c:v>
                </c:pt>
                <c:pt idx="144">
                  <c:v>0.1386986301369863</c:v>
                </c:pt>
                <c:pt idx="145">
                  <c:v>0.13798977853492334</c:v>
                </c:pt>
                <c:pt idx="146">
                  <c:v>0.13874788494077833</c:v>
                </c:pt>
                <c:pt idx="147">
                  <c:v>0.13781512605042018</c:v>
                </c:pt>
                <c:pt idx="148">
                  <c:v>0.13735343383584589</c:v>
                </c:pt>
                <c:pt idx="149">
                  <c:v>0.1396508728179551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1043134346805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まっつん2!$A$3:$A$152</c:f>
              <c:numCache>
                <c:formatCode>0\ "回"</c:formatCode>
                <c:ptCount val="1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</c:numCache>
            </c:numRef>
          </c:xVal>
          <c:yVal>
            <c:numRef>
              <c:f>まっつん2!$I$3:$I$152</c:f>
              <c:numCache>
                <c:formatCode>0</c:formatCode>
                <c:ptCount val="150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  <c:pt idx="32">
                  <c:v>8494.4444444444453</c:v>
                </c:pt>
                <c:pt idx="33">
                  <c:v>8494.4444444444453</c:v>
                </c:pt>
                <c:pt idx="34">
                  <c:v>8339.1891891891901</c:v>
                </c:pt>
                <c:pt idx="35">
                  <c:v>8112.9870129870133</c:v>
                </c:pt>
                <c:pt idx="36">
                  <c:v>8108.75</c:v>
                </c:pt>
                <c:pt idx="37">
                  <c:v>8100</c:v>
                </c:pt>
                <c:pt idx="38">
                  <c:v>8111.4942528735628</c:v>
                </c:pt>
                <c:pt idx="39">
                  <c:v>8063.636363636364</c:v>
                </c:pt>
                <c:pt idx="40">
                  <c:v>8151.1111111111113</c:v>
                </c:pt>
                <c:pt idx="41">
                  <c:v>8081.7204301075271</c:v>
                </c:pt>
                <c:pt idx="42">
                  <c:v>8176.2886597938141</c:v>
                </c:pt>
                <c:pt idx="43">
                  <c:v>8213.1313131313127</c:v>
                </c:pt>
                <c:pt idx="44">
                  <c:v>8383.3333333333339</c:v>
                </c:pt>
                <c:pt idx="45">
                  <c:v>8318.2692307692305</c:v>
                </c:pt>
                <c:pt idx="46">
                  <c:v>8353.3333333333339</c:v>
                </c:pt>
                <c:pt idx="47">
                  <c:v>8305.5045871559632</c:v>
                </c:pt>
                <c:pt idx="48">
                  <c:v>8366.0714285714294</c:v>
                </c:pt>
                <c:pt idx="49">
                  <c:v>8429.8245614035095</c:v>
                </c:pt>
                <c:pt idx="50">
                  <c:v>8460.8695652173919</c:v>
                </c:pt>
                <c:pt idx="51">
                  <c:v>8543.1034482758623</c:v>
                </c:pt>
                <c:pt idx="52">
                  <c:v>8626.8907563025205</c:v>
                </c:pt>
                <c:pt idx="53">
                  <c:v>8558.1967213114749</c:v>
                </c:pt>
                <c:pt idx="54">
                  <c:v>8553.6585365853662</c:v>
                </c:pt>
                <c:pt idx="55">
                  <c:v>8650.7936507936502</c:v>
                </c:pt>
                <c:pt idx="56">
                  <c:v>8638.28125</c:v>
                </c:pt>
                <c:pt idx="57">
                  <c:v>8578.0303030303039</c:v>
                </c:pt>
                <c:pt idx="58">
                  <c:v>8562.2222222222226</c:v>
                </c:pt>
                <c:pt idx="59">
                  <c:v>8480.7142857142862</c:v>
                </c:pt>
                <c:pt idx="60">
                  <c:v>8379.720279720279</c:v>
                </c:pt>
                <c:pt idx="61">
                  <c:v>8366.8965517241377</c:v>
                </c:pt>
                <c:pt idx="62">
                  <c:v>8375.5102040816328</c:v>
                </c:pt>
                <c:pt idx="63">
                  <c:v>8461.7449664429532</c:v>
                </c:pt>
                <c:pt idx="64">
                  <c:v>8508.6092715231789</c:v>
                </c:pt>
                <c:pt idx="65">
                  <c:v>8490.78947368421</c:v>
                </c:pt>
                <c:pt idx="66">
                  <c:v>8461.4379084967313</c:v>
                </c:pt>
                <c:pt idx="67">
                  <c:v>8463.461538461539</c:v>
                </c:pt>
                <c:pt idx="68">
                  <c:v>8428.6624203821648</c:v>
                </c:pt>
                <c:pt idx="69">
                  <c:v>8400</c:v>
                </c:pt>
                <c:pt idx="70">
                  <c:v>8493.75</c:v>
                </c:pt>
                <c:pt idx="71">
                  <c:v>8490.6832298136651</c:v>
                </c:pt>
                <c:pt idx="72">
                  <c:v>8430.6748466257668</c:v>
                </c:pt>
                <c:pt idx="73">
                  <c:v>8476.8292682926822</c:v>
                </c:pt>
                <c:pt idx="74">
                  <c:v>8431.9526627218929</c:v>
                </c:pt>
                <c:pt idx="75">
                  <c:v>8415.78947368421</c:v>
                </c:pt>
                <c:pt idx="76">
                  <c:v>8409.2485549132944</c:v>
                </c:pt>
                <c:pt idx="77">
                  <c:v>8409.2485549132944</c:v>
                </c:pt>
                <c:pt idx="78">
                  <c:v>8409.2485549132944</c:v>
                </c:pt>
                <c:pt idx="79">
                  <c:v>8336.931818181818</c:v>
                </c:pt>
                <c:pt idx="80">
                  <c:v>8320.2247191011229</c:v>
                </c:pt>
                <c:pt idx="81">
                  <c:v>8359.5628415300544</c:v>
                </c:pt>
                <c:pt idx="82">
                  <c:v>8345.405405405405</c:v>
                </c:pt>
                <c:pt idx="83">
                  <c:v>8345.405405405405</c:v>
                </c:pt>
                <c:pt idx="84">
                  <c:v>8304.8128342245982</c:v>
                </c:pt>
                <c:pt idx="85">
                  <c:v>8407.4074074074069</c:v>
                </c:pt>
                <c:pt idx="86">
                  <c:v>8382.2916666666661</c:v>
                </c:pt>
                <c:pt idx="87">
                  <c:v>8352.8205128205136</c:v>
                </c:pt>
                <c:pt idx="88">
                  <c:v>8317.5879396984928</c:v>
                </c:pt>
                <c:pt idx="89">
                  <c:v>8315.8415841584156</c:v>
                </c:pt>
                <c:pt idx="90">
                  <c:v>8426.3414634146338</c:v>
                </c:pt>
                <c:pt idx="91">
                  <c:v>8408.6956521739139</c:v>
                </c:pt>
                <c:pt idx="92">
                  <c:v>8431.9047619047615</c:v>
                </c:pt>
                <c:pt idx="93">
                  <c:v>8365.1162790697672</c:v>
                </c:pt>
                <c:pt idx="94">
                  <c:v>8335.9447004608301</c:v>
                </c:pt>
                <c:pt idx="95">
                  <c:v>8407.798165137614</c:v>
                </c:pt>
                <c:pt idx="96">
                  <c:v>8432.1266968325799</c:v>
                </c:pt>
                <c:pt idx="97">
                  <c:v>8403.6036036036039</c:v>
                </c:pt>
                <c:pt idx="98">
                  <c:v>8381.858407079646</c:v>
                </c:pt>
                <c:pt idx="99">
                  <c:v>8326.3157894736851</c:v>
                </c:pt>
                <c:pt idx="100">
                  <c:v>8340.8695652173919</c:v>
                </c:pt>
                <c:pt idx="101">
                  <c:v>8434.6153846153848</c:v>
                </c:pt>
                <c:pt idx="102">
                  <c:v>8447.8813559322025</c:v>
                </c:pt>
                <c:pt idx="103">
                  <c:v>8495</c:v>
                </c:pt>
                <c:pt idx="104">
                  <c:v>8576.7346938775518</c:v>
                </c:pt>
                <c:pt idx="105">
                  <c:v>8552.4390243902435</c:v>
                </c:pt>
                <c:pt idx="106">
                  <c:v>8550.2024291497983</c:v>
                </c:pt>
                <c:pt idx="107">
                  <c:v>8514.3426294820711</c:v>
                </c:pt>
                <c:pt idx="108">
                  <c:v>8511.5079365079364</c:v>
                </c:pt>
                <c:pt idx="109">
                  <c:v>8554.1176470588234</c:v>
                </c:pt>
                <c:pt idx="110">
                  <c:v>8537.7431906614784</c:v>
                </c:pt>
                <c:pt idx="111">
                  <c:v>8524.8062015503874</c:v>
                </c:pt>
                <c:pt idx="112">
                  <c:v>8521.6216216216217</c:v>
                </c:pt>
                <c:pt idx="113">
                  <c:v>8486.9731800766276</c:v>
                </c:pt>
                <c:pt idx="114">
                  <c:v>8470.8333333333339</c:v>
                </c:pt>
                <c:pt idx="115">
                  <c:v>8427.8195488721813</c:v>
                </c:pt>
                <c:pt idx="116">
                  <c:v>8381.0408921933085</c:v>
                </c:pt>
                <c:pt idx="117">
                  <c:v>8388.6029411764703</c:v>
                </c:pt>
                <c:pt idx="118">
                  <c:v>8393.818181818182</c:v>
                </c:pt>
                <c:pt idx="119">
                  <c:v>8341.0071942446048</c:v>
                </c:pt>
                <c:pt idx="120">
                  <c:v>8314.2857142857138</c:v>
                </c:pt>
                <c:pt idx="121">
                  <c:v>8310.9929078014193</c:v>
                </c:pt>
                <c:pt idx="122">
                  <c:v>8295.4063604240291</c:v>
                </c:pt>
                <c:pt idx="123">
                  <c:v>8295.4063604240291</c:v>
                </c:pt>
                <c:pt idx="124">
                  <c:v>8295.4063604240291</c:v>
                </c:pt>
                <c:pt idx="125">
                  <c:v>8294.3661971830988</c:v>
                </c:pt>
                <c:pt idx="126">
                  <c:v>8252.6132404181189</c:v>
                </c:pt>
                <c:pt idx="127">
                  <c:v>8278.5467128027685</c:v>
                </c:pt>
                <c:pt idx="128">
                  <c:v>8278.5467128027685</c:v>
                </c:pt>
                <c:pt idx="129">
                  <c:v>8276.5517241379312</c:v>
                </c:pt>
                <c:pt idx="130">
                  <c:v>8255.1369863013697</c:v>
                </c:pt>
                <c:pt idx="131">
                  <c:v>8236.3945578231287</c:v>
                </c:pt>
                <c:pt idx="132">
                  <c:v>8234.0067340067344</c:v>
                </c:pt>
                <c:pt idx="133">
                  <c:v>8245.8193979933112</c:v>
                </c:pt>
                <c:pt idx="134">
                  <c:v>8185.5263157894733</c:v>
                </c:pt>
                <c:pt idx="135">
                  <c:v>8185.5263157894733</c:v>
                </c:pt>
                <c:pt idx="136">
                  <c:v>8178.9644012944982</c:v>
                </c:pt>
                <c:pt idx="137">
                  <c:v>8156.2300319488822</c:v>
                </c:pt>
                <c:pt idx="138">
                  <c:v>8147.1337579617839</c:v>
                </c:pt>
                <c:pt idx="139">
                  <c:v>8158.8607594936711</c:v>
                </c:pt>
                <c:pt idx="140">
                  <c:v>8284.5425867507893</c:v>
                </c:pt>
                <c:pt idx="141">
                  <c:v>8274.2946708463951</c:v>
                </c:pt>
                <c:pt idx="142">
                  <c:v>8240.9937888198765</c:v>
                </c:pt>
                <c:pt idx="143">
                  <c:v>8250.9259259259252</c:v>
                </c:pt>
                <c:pt idx="144">
                  <c:v>8271.0365853658532</c:v>
                </c:pt>
                <c:pt idx="145">
                  <c:v>8345.9214501510578</c:v>
                </c:pt>
                <c:pt idx="146">
                  <c:v>8336.3363363363369</c:v>
                </c:pt>
                <c:pt idx="147">
                  <c:v>8347.3053892215576</c:v>
                </c:pt>
                <c:pt idx="148">
                  <c:v>8358.2089552238813</c:v>
                </c:pt>
                <c:pt idx="149">
                  <c:v>8404.7619047619046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99.41324392288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まっつん2!$A$3:$A$152</c:f>
              <c:numCache>
                <c:formatCode>0\ "回"</c:formatCode>
                <c:ptCount val="1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</c:numCache>
            </c:numRef>
          </c:xVal>
          <c:yVal>
            <c:numRef>
              <c:f>まっつん2!$J$3:$J$152</c:f>
              <c:numCache>
                <c:formatCode>0</c:formatCode>
                <c:ptCount val="150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  <c:pt idx="32">
                  <c:v>-7305.1282051282051</c:v>
                </c:pt>
                <c:pt idx="33">
                  <c:v>-7305.1282051282051</c:v>
                </c:pt>
                <c:pt idx="34">
                  <c:v>-7187.5</c:v>
                </c:pt>
                <c:pt idx="35">
                  <c:v>-7187.5</c:v>
                </c:pt>
                <c:pt idx="36">
                  <c:v>-7207.3170731707314</c:v>
                </c:pt>
                <c:pt idx="37">
                  <c:v>-7476.7441860465115</c:v>
                </c:pt>
                <c:pt idx="38">
                  <c:v>-7408.8888888888887</c:v>
                </c:pt>
                <c:pt idx="39">
                  <c:v>-7415.217391304348</c:v>
                </c:pt>
                <c:pt idx="40">
                  <c:v>-7381.25</c:v>
                </c:pt>
                <c:pt idx="41">
                  <c:v>-7318</c:v>
                </c:pt>
                <c:pt idx="42">
                  <c:v>-7801.9607843137255</c:v>
                </c:pt>
                <c:pt idx="43">
                  <c:v>-7682.6923076923076</c:v>
                </c:pt>
                <c:pt idx="44">
                  <c:v>-7682.6923076923076</c:v>
                </c:pt>
                <c:pt idx="45">
                  <c:v>-7688.6792452830186</c:v>
                </c:pt>
                <c:pt idx="46">
                  <c:v>-7688.6792452830186</c:v>
                </c:pt>
                <c:pt idx="47">
                  <c:v>-7827.272727272727</c:v>
                </c:pt>
                <c:pt idx="48">
                  <c:v>-7827.272727272727</c:v>
                </c:pt>
                <c:pt idx="49">
                  <c:v>-7757.1428571428569</c:v>
                </c:pt>
                <c:pt idx="50">
                  <c:v>-7705.2631578947367</c:v>
                </c:pt>
                <c:pt idx="51">
                  <c:v>-7705.2631578947367</c:v>
                </c:pt>
                <c:pt idx="52">
                  <c:v>-7705.2631578947367</c:v>
                </c:pt>
                <c:pt idx="53">
                  <c:v>-7705.2631578947367</c:v>
                </c:pt>
                <c:pt idx="54">
                  <c:v>-7705.2631578947367</c:v>
                </c:pt>
                <c:pt idx="55">
                  <c:v>-7705.2631578947367</c:v>
                </c:pt>
                <c:pt idx="56">
                  <c:v>-7642.622950819672</c:v>
                </c:pt>
                <c:pt idx="57">
                  <c:v>-7777.4193548387093</c:v>
                </c:pt>
                <c:pt idx="58">
                  <c:v>-7777.4193548387093</c:v>
                </c:pt>
                <c:pt idx="59">
                  <c:v>-7695.2380952380954</c:v>
                </c:pt>
                <c:pt idx="60">
                  <c:v>-7790.909090909091</c:v>
                </c:pt>
                <c:pt idx="61">
                  <c:v>-7790.909090909091</c:v>
                </c:pt>
                <c:pt idx="62">
                  <c:v>-7943.2835820895525</c:v>
                </c:pt>
                <c:pt idx="63">
                  <c:v>-7943.2835820895525</c:v>
                </c:pt>
                <c:pt idx="64">
                  <c:v>-8179.411764705882</c:v>
                </c:pt>
                <c:pt idx="65">
                  <c:v>-8179.411764705882</c:v>
                </c:pt>
                <c:pt idx="66">
                  <c:v>-8179.411764705882</c:v>
                </c:pt>
                <c:pt idx="67">
                  <c:v>-8179.411764705882</c:v>
                </c:pt>
                <c:pt idx="68">
                  <c:v>-8321.7391304347821</c:v>
                </c:pt>
                <c:pt idx="69">
                  <c:v>-8270.422535211268</c:v>
                </c:pt>
                <c:pt idx="70">
                  <c:v>-8270.422535211268</c:v>
                </c:pt>
                <c:pt idx="71">
                  <c:v>-8079.4520547945203</c:v>
                </c:pt>
                <c:pt idx="72">
                  <c:v>-8078.3783783783783</c:v>
                </c:pt>
                <c:pt idx="73">
                  <c:v>-7997.333333333333</c:v>
                </c:pt>
                <c:pt idx="74">
                  <c:v>-7993.4210526315792</c:v>
                </c:pt>
                <c:pt idx="75">
                  <c:v>-7903.8461538461543</c:v>
                </c:pt>
                <c:pt idx="76">
                  <c:v>-7811.25</c:v>
                </c:pt>
                <c:pt idx="77">
                  <c:v>-8059.0361445783128</c:v>
                </c:pt>
                <c:pt idx="78">
                  <c:v>-7997.6470588235297</c:v>
                </c:pt>
                <c:pt idx="79">
                  <c:v>-7967.045454545455</c:v>
                </c:pt>
                <c:pt idx="80">
                  <c:v>-7967.045454545455</c:v>
                </c:pt>
                <c:pt idx="81">
                  <c:v>-7967.4157303370785</c:v>
                </c:pt>
                <c:pt idx="82">
                  <c:v>-7967.4157303370785</c:v>
                </c:pt>
                <c:pt idx="83">
                  <c:v>-7911.1111111111113</c:v>
                </c:pt>
                <c:pt idx="84">
                  <c:v>-7911.1111111111113</c:v>
                </c:pt>
                <c:pt idx="85">
                  <c:v>-7886.95652173913</c:v>
                </c:pt>
                <c:pt idx="86">
                  <c:v>-7886.95652173913</c:v>
                </c:pt>
                <c:pt idx="87">
                  <c:v>-7886.95652173913</c:v>
                </c:pt>
                <c:pt idx="88">
                  <c:v>-7886.1702127659573</c:v>
                </c:pt>
                <c:pt idx="89">
                  <c:v>-8062.8865979381444</c:v>
                </c:pt>
                <c:pt idx="90">
                  <c:v>-8062.8865979381444</c:v>
                </c:pt>
                <c:pt idx="91">
                  <c:v>-7990.8163265306121</c:v>
                </c:pt>
                <c:pt idx="92">
                  <c:v>-7936.363636363636</c:v>
                </c:pt>
                <c:pt idx="93">
                  <c:v>-7896</c:v>
                </c:pt>
                <c:pt idx="94">
                  <c:v>-7936.6336633663368</c:v>
                </c:pt>
                <c:pt idx="95">
                  <c:v>-7936.6336633663368</c:v>
                </c:pt>
                <c:pt idx="96">
                  <c:v>-7909.8039215686276</c:v>
                </c:pt>
                <c:pt idx="97">
                  <c:v>-7902.8571428571431</c:v>
                </c:pt>
                <c:pt idx="98">
                  <c:v>-7902.8571428571431</c:v>
                </c:pt>
                <c:pt idx="99">
                  <c:v>-7774.0740740740739</c:v>
                </c:pt>
                <c:pt idx="100">
                  <c:v>-7714.545454545455</c:v>
                </c:pt>
                <c:pt idx="101">
                  <c:v>-7714.545454545455</c:v>
                </c:pt>
                <c:pt idx="102">
                  <c:v>-7671.1711711711714</c:v>
                </c:pt>
                <c:pt idx="103">
                  <c:v>-7662.2807017543855</c:v>
                </c:pt>
                <c:pt idx="104">
                  <c:v>-7618.260869565217</c:v>
                </c:pt>
                <c:pt idx="105">
                  <c:v>-7618.260869565217</c:v>
                </c:pt>
                <c:pt idx="106">
                  <c:v>-7618.260869565217</c:v>
                </c:pt>
                <c:pt idx="107">
                  <c:v>-7597.4137931034484</c:v>
                </c:pt>
                <c:pt idx="108">
                  <c:v>-7554.7008547008545</c:v>
                </c:pt>
                <c:pt idx="109">
                  <c:v>-7523.7288135593217</c:v>
                </c:pt>
                <c:pt idx="110">
                  <c:v>-7435.833333333333</c:v>
                </c:pt>
                <c:pt idx="111">
                  <c:v>-7440.4958677685954</c:v>
                </c:pt>
                <c:pt idx="112">
                  <c:v>-7440.4958677685954</c:v>
                </c:pt>
                <c:pt idx="113">
                  <c:v>-7440.4958677685954</c:v>
                </c:pt>
                <c:pt idx="114">
                  <c:v>-7440.4958677685954</c:v>
                </c:pt>
                <c:pt idx="115">
                  <c:v>-7348.7804878048782</c:v>
                </c:pt>
                <c:pt idx="116">
                  <c:v>-7272.8</c:v>
                </c:pt>
                <c:pt idx="117">
                  <c:v>-7310.3174603174602</c:v>
                </c:pt>
                <c:pt idx="118">
                  <c:v>-7262.9921259842522</c:v>
                </c:pt>
                <c:pt idx="119">
                  <c:v>-7268.75</c:v>
                </c:pt>
                <c:pt idx="120">
                  <c:v>-7283.2061068702287</c:v>
                </c:pt>
                <c:pt idx="121">
                  <c:v>-7288.8059701492539</c:v>
                </c:pt>
                <c:pt idx="122">
                  <c:v>-7273.333333333333</c:v>
                </c:pt>
                <c:pt idx="123">
                  <c:v>-7233.5766423357663</c:v>
                </c:pt>
                <c:pt idx="124">
                  <c:v>-7192.753623188406</c:v>
                </c:pt>
                <c:pt idx="125">
                  <c:v>-7198.5611510791368</c:v>
                </c:pt>
                <c:pt idx="126">
                  <c:v>-7162.9370629370633</c:v>
                </c:pt>
                <c:pt idx="127">
                  <c:v>-7157.2413793103451</c:v>
                </c:pt>
                <c:pt idx="128">
                  <c:v>-7159.4594594594591</c:v>
                </c:pt>
                <c:pt idx="129">
                  <c:v>-7191.9463087248323</c:v>
                </c:pt>
                <c:pt idx="130">
                  <c:v>-7191.9463087248323</c:v>
                </c:pt>
                <c:pt idx="131">
                  <c:v>-7076.3157894736842</c:v>
                </c:pt>
                <c:pt idx="132">
                  <c:v>-7108.4967320261439</c:v>
                </c:pt>
                <c:pt idx="133">
                  <c:v>-7108.4967320261439</c:v>
                </c:pt>
                <c:pt idx="134">
                  <c:v>-7108.4967320261439</c:v>
                </c:pt>
                <c:pt idx="135">
                  <c:v>-7108.4967320261439</c:v>
                </c:pt>
                <c:pt idx="136">
                  <c:v>-7140.2597402597403</c:v>
                </c:pt>
                <c:pt idx="137">
                  <c:v>-7102.5806451612907</c:v>
                </c:pt>
                <c:pt idx="138">
                  <c:v>-7102.5806451612907</c:v>
                </c:pt>
                <c:pt idx="139">
                  <c:v>-7075.7961783439487</c:v>
                </c:pt>
                <c:pt idx="140">
                  <c:v>-7075.7961783439487</c:v>
                </c:pt>
                <c:pt idx="141">
                  <c:v>-7106.9620253164558</c:v>
                </c:pt>
                <c:pt idx="142">
                  <c:v>-7051.875</c:v>
                </c:pt>
                <c:pt idx="143">
                  <c:v>-7036.4197530864194</c:v>
                </c:pt>
                <c:pt idx="144">
                  <c:v>-7036.4197530864194</c:v>
                </c:pt>
                <c:pt idx="145">
                  <c:v>-7036.4197530864194</c:v>
                </c:pt>
                <c:pt idx="146">
                  <c:v>-6992.0731707317073</c:v>
                </c:pt>
                <c:pt idx="147">
                  <c:v>-6992.0731707317073</c:v>
                </c:pt>
                <c:pt idx="148">
                  <c:v>-6992.0731707317073</c:v>
                </c:pt>
                <c:pt idx="149">
                  <c:v>-7115.4761904761908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08.13507290867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まっつん2!$A$3:$A$152</c:f>
              <c:numCache>
                <c:formatCode>0\ "回"</c:formatCode>
                <c:ptCount val="1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</c:numCache>
            </c:numRef>
          </c:xVal>
          <c:yVal>
            <c:numRef>
              <c:f>まっつん2!$K$3:$K$152</c:f>
              <c:numCache>
                <c:formatCode>0.0%</c:formatCode>
                <c:ptCount val="1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  <c:pt idx="41">
                  <c:v>9.7560975609756101E-2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7.8125E-2</c:v>
                </c:pt>
                <c:pt idx="65">
                  <c:v>7.6923076923076927E-2</c:v>
                </c:pt>
                <c:pt idx="66">
                  <c:v>7.575757575757576E-2</c:v>
                </c:pt>
                <c:pt idx="67">
                  <c:v>7.4626865671641784E-2</c:v>
                </c:pt>
                <c:pt idx="68">
                  <c:v>7.3529411764705885E-2</c:v>
                </c:pt>
                <c:pt idx="69">
                  <c:v>7.2463768115942032E-2</c:v>
                </c:pt>
                <c:pt idx="70">
                  <c:v>7.1428571428571425E-2</c:v>
                </c:pt>
                <c:pt idx="71">
                  <c:v>7.0422535211267609E-2</c:v>
                </c:pt>
                <c:pt idx="72">
                  <c:v>6.9444444444444448E-2</c:v>
                </c:pt>
                <c:pt idx="73">
                  <c:v>6.8493150684931503E-2</c:v>
                </c:pt>
                <c:pt idx="74">
                  <c:v>6.7567567567567571E-2</c:v>
                </c:pt>
                <c:pt idx="75">
                  <c:v>6.6666666666666666E-2</c:v>
                </c:pt>
                <c:pt idx="76">
                  <c:v>6.5789473684210523E-2</c:v>
                </c:pt>
                <c:pt idx="77">
                  <c:v>7.792207792207792E-2</c:v>
                </c:pt>
                <c:pt idx="78">
                  <c:v>8.9743589743589744E-2</c:v>
                </c:pt>
                <c:pt idx="79">
                  <c:v>8.8607594936708861E-2</c:v>
                </c:pt>
                <c:pt idx="80">
                  <c:v>8.7499999999999994E-2</c:v>
                </c:pt>
                <c:pt idx="81">
                  <c:v>8.6419753086419748E-2</c:v>
                </c:pt>
                <c:pt idx="82">
                  <c:v>8.5365853658536592E-2</c:v>
                </c:pt>
                <c:pt idx="83">
                  <c:v>8.4337349397590355E-2</c:v>
                </c:pt>
                <c:pt idx="84">
                  <c:v>8.3333333333333329E-2</c:v>
                </c:pt>
                <c:pt idx="85">
                  <c:v>8.2352941176470587E-2</c:v>
                </c:pt>
                <c:pt idx="86">
                  <c:v>8.1395348837209308E-2</c:v>
                </c:pt>
                <c:pt idx="87">
                  <c:v>8.0459770114942528E-2</c:v>
                </c:pt>
                <c:pt idx="88">
                  <c:v>7.9545454545454544E-2</c:v>
                </c:pt>
                <c:pt idx="89">
                  <c:v>8.98876404494382E-2</c:v>
                </c:pt>
                <c:pt idx="90">
                  <c:v>8.8888888888888892E-2</c:v>
                </c:pt>
                <c:pt idx="91">
                  <c:v>8.7912087912087919E-2</c:v>
                </c:pt>
                <c:pt idx="92">
                  <c:v>8.6956521739130432E-2</c:v>
                </c:pt>
                <c:pt idx="93">
                  <c:v>8.6021505376344093E-2</c:v>
                </c:pt>
                <c:pt idx="94">
                  <c:v>8.5106382978723402E-2</c:v>
                </c:pt>
                <c:pt idx="95">
                  <c:v>8.4210526315789472E-2</c:v>
                </c:pt>
                <c:pt idx="96">
                  <c:v>8.3333333333333329E-2</c:v>
                </c:pt>
                <c:pt idx="97">
                  <c:v>8.247422680412371E-2</c:v>
                </c:pt>
                <c:pt idx="98">
                  <c:v>8.1632653061224483E-2</c:v>
                </c:pt>
                <c:pt idx="99">
                  <c:v>8.0808080808080815E-2</c:v>
                </c:pt>
                <c:pt idx="100">
                  <c:v>0.08</c:v>
                </c:pt>
                <c:pt idx="101">
                  <c:v>7.9207920792079209E-2</c:v>
                </c:pt>
                <c:pt idx="102">
                  <c:v>7.8431372549019607E-2</c:v>
                </c:pt>
                <c:pt idx="103">
                  <c:v>7.7669902912621352E-2</c:v>
                </c:pt>
                <c:pt idx="104">
                  <c:v>7.6923076923076927E-2</c:v>
                </c:pt>
                <c:pt idx="105">
                  <c:v>7.6190476190476197E-2</c:v>
                </c:pt>
                <c:pt idx="106">
                  <c:v>7.5471698113207544E-2</c:v>
                </c:pt>
                <c:pt idx="107">
                  <c:v>7.476635514018691E-2</c:v>
                </c:pt>
                <c:pt idx="108">
                  <c:v>7.407407407407407E-2</c:v>
                </c:pt>
                <c:pt idx="109">
                  <c:v>7.3394495412844041E-2</c:v>
                </c:pt>
                <c:pt idx="110">
                  <c:v>7.2727272727272724E-2</c:v>
                </c:pt>
                <c:pt idx="111">
                  <c:v>7.2072072072072071E-2</c:v>
                </c:pt>
                <c:pt idx="112">
                  <c:v>7.1428571428571425E-2</c:v>
                </c:pt>
                <c:pt idx="113">
                  <c:v>7.0796460176991149E-2</c:v>
                </c:pt>
                <c:pt idx="114">
                  <c:v>7.0175438596491224E-2</c:v>
                </c:pt>
                <c:pt idx="115">
                  <c:v>6.9565217391304349E-2</c:v>
                </c:pt>
                <c:pt idx="116">
                  <c:v>6.8965517241379309E-2</c:v>
                </c:pt>
                <c:pt idx="117">
                  <c:v>6.8376068376068383E-2</c:v>
                </c:pt>
                <c:pt idx="118">
                  <c:v>6.7796610169491525E-2</c:v>
                </c:pt>
                <c:pt idx="119">
                  <c:v>6.7226890756302518E-2</c:v>
                </c:pt>
                <c:pt idx="120">
                  <c:v>6.6666666666666666E-2</c:v>
                </c:pt>
                <c:pt idx="121">
                  <c:v>6.6115702479338845E-2</c:v>
                </c:pt>
                <c:pt idx="122">
                  <c:v>6.5573770491803282E-2</c:v>
                </c:pt>
                <c:pt idx="123">
                  <c:v>6.5040650406504072E-2</c:v>
                </c:pt>
                <c:pt idx="124">
                  <c:v>6.4516129032258063E-2</c:v>
                </c:pt>
                <c:pt idx="125">
                  <c:v>6.4000000000000001E-2</c:v>
                </c:pt>
                <c:pt idx="126">
                  <c:v>7.1428571428571425E-2</c:v>
                </c:pt>
                <c:pt idx="127">
                  <c:v>7.0866141732283464E-2</c:v>
                </c:pt>
                <c:pt idx="128">
                  <c:v>7.8125E-2</c:v>
                </c:pt>
                <c:pt idx="129">
                  <c:v>7.7519379844961239E-2</c:v>
                </c:pt>
                <c:pt idx="130">
                  <c:v>7.6923076923076927E-2</c:v>
                </c:pt>
                <c:pt idx="131">
                  <c:v>7.6335877862595422E-2</c:v>
                </c:pt>
                <c:pt idx="132">
                  <c:v>7.575757575757576E-2</c:v>
                </c:pt>
                <c:pt idx="133">
                  <c:v>7.5187969924812026E-2</c:v>
                </c:pt>
                <c:pt idx="134">
                  <c:v>7.4626865671641784E-2</c:v>
                </c:pt>
                <c:pt idx="135">
                  <c:v>7.407407407407407E-2</c:v>
                </c:pt>
                <c:pt idx="136">
                  <c:v>7.3529411764705885E-2</c:v>
                </c:pt>
                <c:pt idx="137">
                  <c:v>7.2992700729927001E-2</c:v>
                </c:pt>
                <c:pt idx="138">
                  <c:v>7.2463768115942032E-2</c:v>
                </c:pt>
                <c:pt idx="139">
                  <c:v>7.1942446043165464E-2</c:v>
                </c:pt>
                <c:pt idx="140">
                  <c:v>7.1428571428571425E-2</c:v>
                </c:pt>
                <c:pt idx="141">
                  <c:v>7.0921985815602842E-2</c:v>
                </c:pt>
                <c:pt idx="142">
                  <c:v>7.0422535211267609E-2</c:v>
                </c:pt>
                <c:pt idx="143">
                  <c:v>6.9930069930069935E-2</c:v>
                </c:pt>
                <c:pt idx="144">
                  <c:v>6.9444444444444448E-2</c:v>
                </c:pt>
                <c:pt idx="145">
                  <c:v>6.8965517241379309E-2</c:v>
                </c:pt>
                <c:pt idx="146">
                  <c:v>6.8493150684931503E-2</c:v>
                </c:pt>
                <c:pt idx="147">
                  <c:v>6.8027210884353748E-2</c:v>
                </c:pt>
                <c:pt idx="148">
                  <c:v>6.7567567567567571E-2</c:v>
                </c:pt>
                <c:pt idx="149">
                  <c:v>7.3825503355704702E-2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2879256965944276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まっつん2!$A$3:$A$152</c:f>
              <c:numCache>
                <c:formatCode>0\ "回"</c:formatCode>
                <c:ptCount val="1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</c:numCache>
            </c:numRef>
          </c:xVal>
          <c:yVal>
            <c:numRef>
              <c:f>まっつん2!$L$3:$L$152</c:f>
              <c:numCache>
                <c:formatCode>0.0%</c:formatCode>
                <c:ptCount val="150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  <c:pt idx="32">
                  <c:v>0.2509505703422053</c:v>
                </c:pt>
                <c:pt idx="33">
                  <c:v>0.24723247232472326</c:v>
                </c:pt>
                <c:pt idx="34">
                  <c:v>0.24100719424460432</c:v>
                </c:pt>
                <c:pt idx="35">
                  <c:v>0.23426573426573427</c:v>
                </c:pt>
                <c:pt idx="36">
                  <c:v>0.2363013698630137</c:v>
                </c:pt>
                <c:pt idx="37">
                  <c:v>0.24092409240924093</c:v>
                </c:pt>
                <c:pt idx="38">
                  <c:v>0.24600638977635783</c:v>
                </c:pt>
                <c:pt idx="39">
                  <c:v>0.24374999999999999</c:v>
                </c:pt>
                <c:pt idx="40">
                  <c:v>0.24464831804281345</c:v>
                </c:pt>
                <c:pt idx="41">
                  <c:v>0.24850299401197604</c:v>
                </c:pt>
                <c:pt idx="42">
                  <c:v>0.25072886297376096</c:v>
                </c:pt>
                <c:pt idx="43">
                  <c:v>0.25714285714285712</c:v>
                </c:pt>
                <c:pt idx="44">
                  <c:v>0.26197183098591548</c:v>
                </c:pt>
                <c:pt idx="45">
                  <c:v>0.25683060109289618</c:v>
                </c:pt>
                <c:pt idx="46">
                  <c:v>0.25336927223719674</c:v>
                </c:pt>
                <c:pt idx="47">
                  <c:v>0.25129533678756477</c:v>
                </c:pt>
                <c:pt idx="48">
                  <c:v>0.25190839694656486</c:v>
                </c:pt>
                <c:pt idx="49">
                  <c:v>0.2525</c:v>
                </c:pt>
                <c:pt idx="50">
                  <c:v>0.25245098039215685</c:v>
                </c:pt>
                <c:pt idx="51">
                  <c:v>0.25358851674641147</c:v>
                </c:pt>
                <c:pt idx="52">
                  <c:v>0.2541176470588235</c:v>
                </c:pt>
                <c:pt idx="53">
                  <c:v>0.25635103926096997</c:v>
                </c:pt>
                <c:pt idx="54">
                  <c:v>0.25740318906605925</c:v>
                </c:pt>
                <c:pt idx="55">
                  <c:v>0.25733634311512416</c:v>
                </c:pt>
                <c:pt idx="56">
                  <c:v>0.26096491228070173</c:v>
                </c:pt>
                <c:pt idx="57">
                  <c:v>0.25751072961373389</c:v>
                </c:pt>
                <c:pt idx="58">
                  <c:v>0.25420168067226889</c:v>
                </c:pt>
                <c:pt idx="59">
                  <c:v>0.25465838509316768</c:v>
                </c:pt>
                <c:pt idx="60">
                  <c:v>0.25454545454545452</c:v>
                </c:pt>
                <c:pt idx="61">
                  <c:v>0.25595238095238093</c:v>
                </c:pt>
                <c:pt idx="62">
                  <c:v>0.255859375</c:v>
                </c:pt>
                <c:pt idx="63">
                  <c:v>0.2558139534883721</c:v>
                </c:pt>
                <c:pt idx="64">
                  <c:v>0.25478927203065133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0.25504587155963304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0.25354609929078015</c:v>
                </c:pt>
                <c:pt idx="71">
                  <c:v>0.25043782837127848</c:v>
                </c:pt>
                <c:pt idx="72">
                  <c:v>0.25043177892918828</c:v>
                </c:pt>
                <c:pt idx="73">
                  <c:v>0.24957264957264957</c:v>
                </c:pt>
                <c:pt idx="74">
                  <c:v>0.25126475548060706</c:v>
                </c:pt>
                <c:pt idx="75">
                  <c:v>0.25666666666666665</c:v>
                </c:pt>
                <c:pt idx="76">
                  <c:v>0.25577557755775576</c:v>
                </c:pt>
                <c:pt idx="77">
                  <c:v>0.25283630470016205</c:v>
                </c:pt>
                <c:pt idx="78">
                  <c:v>0.2504012841091493</c:v>
                </c:pt>
                <c:pt idx="79">
                  <c:v>0.25078864353312302</c:v>
                </c:pt>
                <c:pt idx="80">
                  <c:v>0.25039123630672927</c:v>
                </c:pt>
                <c:pt idx="81">
                  <c:v>0.25386996904024767</c:v>
                </c:pt>
                <c:pt idx="82">
                  <c:v>0.25229357798165136</c:v>
                </c:pt>
                <c:pt idx="83">
                  <c:v>0.25264750378214829</c:v>
                </c:pt>
                <c:pt idx="84">
                  <c:v>0.25337331334332835</c:v>
                </c:pt>
                <c:pt idx="85">
                  <c:v>0.25370919881305637</c:v>
                </c:pt>
                <c:pt idx="86">
                  <c:v>0.25768667642752563</c:v>
                </c:pt>
                <c:pt idx="87">
                  <c:v>0.2608695652173913</c:v>
                </c:pt>
                <c:pt idx="88">
                  <c:v>0.26315789473684209</c:v>
                </c:pt>
                <c:pt idx="89">
                  <c:v>0.26396648044692739</c:v>
                </c:pt>
                <c:pt idx="90">
                  <c:v>0.26592797783933519</c:v>
                </c:pt>
                <c:pt idx="91">
                  <c:v>0.26648351648351648</c:v>
                </c:pt>
                <c:pt idx="92">
                  <c:v>0.26666666666666666</c:v>
                </c:pt>
                <c:pt idx="93">
                  <c:v>0.27052489905787347</c:v>
                </c:pt>
                <c:pt idx="94">
                  <c:v>0.27030625832223704</c:v>
                </c:pt>
                <c:pt idx="95">
                  <c:v>0.27055702917771884</c:v>
                </c:pt>
                <c:pt idx="96">
                  <c:v>0.26938239159001315</c:v>
                </c:pt>
                <c:pt idx="97">
                  <c:v>0.26848249027237353</c:v>
                </c:pt>
                <c:pt idx="98">
                  <c:v>0.26632522407170295</c:v>
                </c:pt>
                <c:pt idx="99">
                  <c:v>0.26767676767676768</c:v>
                </c:pt>
                <c:pt idx="100">
                  <c:v>0.26716604244694131</c:v>
                </c:pt>
                <c:pt idx="101">
                  <c:v>0.26790123456790121</c:v>
                </c:pt>
                <c:pt idx="102">
                  <c:v>0.27050183598531213</c:v>
                </c:pt>
                <c:pt idx="103">
                  <c:v>0.27020506634499397</c:v>
                </c:pt>
                <c:pt idx="104">
                  <c:v>0.27272727272727271</c:v>
                </c:pt>
                <c:pt idx="105">
                  <c:v>0.27304964539007093</c:v>
                </c:pt>
                <c:pt idx="106">
                  <c:v>0.27379553466509987</c:v>
                </c:pt>
                <c:pt idx="107">
                  <c:v>0.27272727272727271</c:v>
                </c:pt>
                <c:pt idx="108">
                  <c:v>0.27073732718894011</c:v>
                </c:pt>
                <c:pt idx="109">
                  <c:v>0.27085714285714285</c:v>
                </c:pt>
                <c:pt idx="110">
                  <c:v>0.26901248581157777</c:v>
                </c:pt>
                <c:pt idx="111">
                  <c:v>0.26884139482564678</c:v>
                </c:pt>
                <c:pt idx="112">
                  <c:v>0.26703910614525139</c:v>
                </c:pt>
                <c:pt idx="113">
                  <c:v>0.26629834254143647</c:v>
                </c:pt>
                <c:pt idx="114">
                  <c:v>0.26361655773420478</c:v>
                </c:pt>
                <c:pt idx="115">
                  <c:v>0.26400862068965519</c:v>
                </c:pt>
                <c:pt idx="116">
                  <c:v>0.26545842217484006</c:v>
                </c:pt>
                <c:pt idx="117">
                  <c:v>0.26427061310782241</c:v>
                </c:pt>
                <c:pt idx="118">
                  <c:v>0.26652675760755506</c:v>
                </c:pt>
                <c:pt idx="119">
                  <c:v>0.26763485477178423</c:v>
                </c:pt>
                <c:pt idx="120">
                  <c:v>0.26871794871794874</c:v>
                </c:pt>
                <c:pt idx="121">
                  <c:v>0.26802030456852793</c:v>
                </c:pt>
                <c:pt idx="122">
                  <c:v>0.26915322580645162</c:v>
                </c:pt>
                <c:pt idx="123">
                  <c:v>0.27045908183632733</c:v>
                </c:pt>
                <c:pt idx="124">
                  <c:v>0.26831683168316833</c:v>
                </c:pt>
                <c:pt idx="125">
                  <c:v>0.26771653543307089</c:v>
                </c:pt>
                <c:pt idx="126">
                  <c:v>0.26653696498054474</c:v>
                </c:pt>
                <c:pt idx="127">
                  <c:v>0.2673745173745174</c:v>
                </c:pt>
                <c:pt idx="128">
                  <c:v>0.26532567049808431</c:v>
                </c:pt>
                <c:pt idx="129">
                  <c:v>0.26476190476190475</c:v>
                </c:pt>
                <c:pt idx="130">
                  <c:v>0.26628895184135976</c:v>
                </c:pt>
                <c:pt idx="131">
                  <c:v>0.26610644257703081</c:v>
                </c:pt>
                <c:pt idx="132">
                  <c:v>0.26413345690454126</c:v>
                </c:pt>
                <c:pt idx="133">
                  <c:v>0.26427255985267034</c:v>
                </c:pt>
                <c:pt idx="134">
                  <c:v>0.26465201465201466</c:v>
                </c:pt>
                <c:pt idx="135">
                  <c:v>0.26363636363636361</c:v>
                </c:pt>
                <c:pt idx="136">
                  <c:v>0.26353790613718414</c:v>
                </c:pt>
                <c:pt idx="137">
                  <c:v>0.26457399103139012</c:v>
                </c:pt>
                <c:pt idx="138">
                  <c:v>0.26357969723953695</c:v>
                </c:pt>
                <c:pt idx="139">
                  <c:v>0.2625994694960212</c:v>
                </c:pt>
                <c:pt idx="140">
                  <c:v>0.26213592233009708</c:v>
                </c:pt>
                <c:pt idx="141">
                  <c:v>0.26315789473684209</c:v>
                </c:pt>
                <c:pt idx="142">
                  <c:v>0.26041666666666669</c:v>
                </c:pt>
                <c:pt idx="143">
                  <c:v>0.26012058570198104</c:v>
                </c:pt>
                <c:pt idx="144">
                  <c:v>0.26113013698630139</c:v>
                </c:pt>
                <c:pt idx="145">
                  <c:v>0.26064735945485518</c:v>
                </c:pt>
                <c:pt idx="146">
                  <c:v>0.25888324873096447</c:v>
                </c:pt>
                <c:pt idx="147">
                  <c:v>0.25798319327731095</c:v>
                </c:pt>
                <c:pt idx="148">
                  <c:v>0.25795644891122277</c:v>
                </c:pt>
                <c:pt idx="149">
                  <c:v>0.256857855361596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0525274996910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まっつん2!$A$3:$A$152</c:f>
              <c:numCache>
                <c:formatCode>0\ "回"</c:formatCode>
                <c:ptCount val="1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</c:numCache>
            </c:numRef>
          </c:xVal>
          <c:yVal>
            <c:numRef>
              <c:f>まっつん2!$M$3:$M$152</c:f>
              <c:numCache>
                <c:formatCode>0.0%</c:formatCode>
                <c:ptCount val="150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  <c:pt idx="32">
                  <c:v>0.28136882129277568</c:v>
                </c:pt>
                <c:pt idx="33">
                  <c:v>0.28413284132841327</c:v>
                </c:pt>
                <c:pt idx="34">
                  <c:v>0.29136690647482016</c:v>
                </c:pt>
                <c:pt idx="35">
                  <c:v>0.2937062937062937</c:v>
                </c:pt>
                <c:pt idx="36">
                  <c:v>0.28767123287671231</c:v>
                </c:pt>
                <c:pt idx="37">
                  <c:v>0.28382838283828382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0.27217125382262997</c:v>
                </c:pt>
                <c:pt idx="41">
                  <c:v>0.26946107784431139</c:v>
                </c:pt>
                <c:pt idx="42">
                  <c:v>0.26822157434402333</c:v>
                </c:pt>
                <c:pt idx="43">
                  <c:v>0.26285714285714284</c:v>
                </c:pt>
                <c:pt idx="44">
                  <c:v>0.25915492957746478</c:v>
                </c:pt>
                <c:pt idx="45">
                  <c:v>0.25683060109289618</c:v>
                </c:pt>
                <c:pt idx="46">
                  <c:v>0.2587601078167116</c:v>
                </c:pt>
                <c:pt idx="47">
                  <c:v>0.25647668393782386</c:v>
                </c:pt>
                <c:pt idx="48">
                  <c:v>0.2544529262086514</c:v>
                </c:pt>
                <c:pt idx="49">
                  <c:v>0.255</c:v>
                </c:pt>
                <c:pt idx="50">
                  <c:v>0.25</c:v>
                </c:pt>
                <c:pt idx="51">
                  <c:v>0.25119617224880381</c:v>
                </c:pt>
                <c:pt idx="52">
                  <c:v>0.25176470588235295</c:v>
                </c:pt>
                <c:pt idx="53">
                  <c:v>0.24942263279445728</c:v>
                </c:pt>
                <c:pt idx="54">
                  <c:v>0.24601366742596811</c:v>
                </c:pt>
                <c:pt idx="55">
                  <c:v>0.24830699774266365</c:v>
                </c:pt>
                <c:pt idx="56">
                  <c:v>0.24561403508771928</c:v>
                </c:pt>
                <c:pt idx="57">
                  <c:v>0.24678111587982832</c:v>
                </c:pt>
                <c:pt idx="58">
                  <c:v>0.24789915966386555</c:v>
                </c:pt>
                <c:pt idx="59">
                  <c:v>0.2484472049689441</c:v>
                </c:pt>
                <c:pt idx="60">
                  <c:v>0.25050505050505051</c:v>
                </c:pt>
                <c:pt idx="61">
                  <c:v>0.25198412698412698</c:v>
                </c:pt>
                <c:pt idx="62">
                  <c:v>0.251953125</c:v>
                </c:pt>
                <c:pt idx="63">
                  <c:v>0.25193798449612403</c:v>
                </c:pt>
                <c:pt idx="64">
                  <c:v>0.25287356321839083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0.25321100917431194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0.25177304964539005</c:v>
                </c:pt>
                <c:pt idx="71">
                  <c:v>0.24868651488616461</c:v>
                </c:pt>
                <c:pt idx="72">
                  <c:v>0.24525043177892919</c:v>
                </c:pt>
                <c:pt idx="73">
                  <c:v>0.24615384615384617</c:v>
                </c:pt>
                <c:pt idx="74">
                  <c:v>0.24283305227655985</c:v>
                </c:pt>
                <c:pt idx="75">
                  <c:v>0.24166666666666667</c:v>
                </c:pt>
                <c:pt idx="76">
                  <c:v>0.24092409240924093</c:v>
                </c:pt>
                <c:pt idx="77">
                  <c:v>0.23824959481361427</c:v>
                </c:pt>
                <c:pt idx="78">
                  <c:v>0.23595505617977527</c:v>
                </c:pt>
                <c:pt idx="79">
                  <c:v>0.23501577287066247</c:v>
                </c:pt>
                <c:pt idx="80">
                  <c:v>0.23630672926447574</c:v>
                </c:pt>
                <c:pt idx="81">
                  <c:v>0.23529411764705882</c:v>
                </c:pt>
                <c:pt idx="82">
                  <c:v>0.23547400611620795</c:v>
                </c:pt>
                <c:pt idx="83">
                  <c:v>0.2329803328290469</c:v>
                </c:pt>
                <c:pt idx="84">
                  <c:v>0.23088455772113944</c:v>
                </c:pt>
                <c:pt idx="85">
                  <c:v>0.2314540059347181</c:v>
                </c:pt>
                <c:pt idx="86">
                  <c:v>0.22986822840409957</c:v>
                </c:pt>
                <c:pt idx="87">
                  <c:v>0.22898550724637681</c:v>
                </c:pt>
                <c:pt idx="88">
                  <c:v>0.22759601706970128</c:v>
                </c:pt>
                <c:pt idx="89">
                  <c:v>0.22346368715083798</c:v>
                </c:pt>
                <c:pt idx="90">
                  <c:v>0.22160664819944598</c:v>
                </c:pt>
                <c:pt idx="91">
                  <c:v>0.22115384615384615</c:v>
                </c:pt>
                <c:pt idx="92">
                  <c:v>0.22040816326530613</c:v>
                </c:pt>
                <c:pt idx="93">
                  <c:v>0.21938088829071331</c:v>
                </c:pt>
                <c:pt idx="94">
                  <c:v>0.21970705725699069</c:v>
                </c:pt>
                <c:pt idx="95">
                  <c:v>0.21883289124668434</c:v>
                </c:pt>
                <c:pt idx="96">
                  <c:v>0.21944809461235218</c:v>
                </c:pt>
                <c:pt idx="97">
                  <c:v>0.21789883268482491</c:v>
                </c:pt>
                <c:pt idx="98">
                  <c:v>0.22023047375160051</c:v>
                </c:pt>
                <c:pt idx="99">
                  <c:v>0.2196969696969697</c:v>
                </c:pt>
                <c:pt idx="100">
                  <c:v>0.22097378277153559</c:v>
                </c:pt>
                <c:pt idx="101">
                  <c:v>0.21975308641975308</c:v>
                </c:pt>
                <c:pt idx="102">
                  <c:v>0.21787025703794369</c:v>
                </c:pt>
                <c:pt idx="103">
                  <c:v>0.21833534378769601</c:v>
                </c:pt>
                <c:pt idx="104">
                  <c:v>0.21770334928229665</c:v>
                </c:pt>
                <c:pt idx="105">
                  <c:v>0.21631205673758866</c:v>
                </c:pt>
                <c:pt idx="106">
                  <c:v>0.21504112808460635</c:v>
                </c:pt>
                <c:pt idx="107">
                  <c:v>0.21678321678321677</c:v>
                </c:pt>
                <c:pt idx="108">
                  <c:v>0.21658986175115208</c:v>
                </c:pt>
                <c:pt idx="109">
                  <c:v>0.216</c:v>
                </c:pt>
                <c:pt idx="110">
                  <c:v>0.21793416572077184</c:v>
                </c:pt>
                <c:pt idx="111">
                  <c:v>0.21934758155230596</c:v>
                </c:pt>
                <c:pt idx="112">
                  <c:v>0.2212290502793296</c:v>
                </c:pt>
                <c:pt idx="113">
                  <c:v>0.22209944751381216</c:v>
                </c:pt>
                <c:pt idx="114">
                  <c:v>0.22222222222222221</c:v>
                </c:pt>
                <c:pt idx="115">
                  <c:v>0.22306034482758622</c:v>
                </c:pt>
                <c:pt idx="116">
                  <c:v>0.22388059701492538</c:v>
                </c:pt>
                <c:pt idx="117">
                  <c:v>0.22410147991543342</c:v>
                </c:pt>
                <c:pt idx="118">
                  <c:v>0.22350472193074503</c:v>
                </c:pt>
                <c:pt idx="119">
                  <c:v>0.22095435684647302</c:v>
                </c:pt>
                <c:pt idx="120">
                  <c:v>0.2194871794871795</c:v>
                </c:pt>
                <c:pt idx="121">
                  <c:v>0.22030456852791877</c:v>
                </c:pt>
                <c:pt idx="122">
                  <c:v>0.22076612903225806</c:v>
                </c:pt>
                <c:pt idx="123">
                  <c:v>0.21956087824351297</c:v>
                </c:pt>
                <c:pt idx="124">
                  <c:v>0.22079207920792079</c:v>
                </c:pt>
                <c:pt idx="125">
                  <c:v>0.22244094488188976</c:v>
                </c:pt>
                <c:pt idx="126">
                  <c:v>0.2227626459143969</c:v>
                </c:pt>
                <c:pt idx="127">
                  <c:v>0.22200772200772201</c:v>
                </c:pt>
                <c:pt idx="128">
                  <c:v>0.22318007662835249</c:v>
                </c:pt>
                <c:pt idx="129">
                  <c:v>0.22476190476190477</c:v>
                </c:pt>
                <c:pt idx="130">
                  <c:v>0.22379603399433429</c:v>
                </c:pt>
                <c:pt idx="131">
                  <c:v>0.2250233426704015</c:v>
                </c:pt>
                <c:pt idx="132">
                  <c:v>0.22613531047265986</c:v>
                </c:pt>
                <c:pt idx="133">
                  <c:v>0.22559852670349909</c:v>
                </c:pt>
                <c:pt idx="134">
                  <c:v>0.2271062271062271</c:v>
                </c:pt>
                <c:pt idx="135">
                  <c:v>0.22818181818181818</c:v>
                </c:pt>
                <c:pt idx="136">
                  <c:v>0.23104693140794225</c:v>
                </c:pt>
                <c:pt idx="137">
                  <c:v>0.23139013452914797</c:v>
                </c:pt>
                <c:pt idx="138">
                  <c:v>0.23063223508459482</c:v>
                </c:pt>
                <c:pt idx="139">
                  <c:v>0.23076923076923078</c:v>
                </c:pt>
                <c:pt idx="140">
                  <c:v>0.23036187113857018</c:v>
                </c:pt>
                <c:pt idx="141">
                  <c:v>0.22982456140350876</c:v>
                </c:pt>
                <c:pt idx="142">
                  <c:v>0.23177083333333334</c:v>
                </c:pt>
                <c:pt idx="143">
                  <c:v>0.23083548664944015</c:v>
                </c:pt>
                <c:pt idx="144">
                  <c:v>0.23202054794520549</c:v>
                </c:pt>
                <c:pt idx="145">
                  <c:v>0.23168654173764908</c:v>
                </c:pt>
                <c:pt idx="146">
                  <c:v>0.2326565143824027</c:v>
                </c:pt>
                <c:pt idx="147">
                  <c:v>0.23193277310924371</c:v>
                </c:pt>
                <c:pt idx="148">
                  <c:v>0.23115577889447236</c:v>
                </c:pt>
                <c:pt idx="149">
                  <c:v>0.23108894430590191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986157458904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まっつん2!$A$3:$A$152</c:f>
              <c:numCache>
                <c:formatCode>0\ "回"</c:formatCode>
                <c:ptCount val="1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</c:numCache>
            </c:numRef>
          </c:xVal>
          <c:yVal>
            <c:numRef>
              <c:f>まっつん2!$N$3:$N$152</c:f>
              <c:numCache>
                <c:formatCode>0.0%</c:formatCode>
                <c:ptCount val="150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  <c:pt idx="32">
                  <c:v>0.51515151515151514</c:v>
                </c:pt>
                <c:pt idx="33">
                  <c:v>0.5074626865671642</c:v>
                </c:pt>
                <c:pt idx="34">
                  <c:v>0.5074626865671642</c:v>
                </c:pt>
                <c:pt idx="35">
                  <c:v>0.5074626865671642</c:v>
                </c:pt>
                <c:pt idx="36">
                  <c:v>0.52173913043478259</c:v>
                </c:pt>
                <c:pt idx="37">
                  <c:v>0.54794520547945202</c:v>
                </c:pt>
                <c:pt idx="38">
                  <c:v>0.53246753246753242</c:v>
                </c:pt>
                <c:pt idx="39">
                  <c:v>0.52564102564102566</c:v>
                </c:pt>
                <c:pt idx="40">
                  <c:v>0.53749999999999998</c:v>
                </c:pt>
                <c:pt idx="41">
                  <c:v>0.54216867469879515</c:v>
                </c:pt>
                <c:pt idx="42">
                  <c:v>0.55813953488372092</c:v>
                </c:pt>
                <c:pt idx="43">
                  <c:v>0.55555555555555558</c:v>
                </c:pt>
                <c:pt idx="44">
                  <c:v>0.56989247311827962</c:v>
                </c:pt>
                <c:pt idx="45">
                  <c:v>0.57446808510638303</c:v>
                </c:pt>
                <c:pt idx="46">
                  <c:v>0.57446808510638303</c:v>
                </c:pt>
                <c:pt idx="47">
                  <c:v>0.57731958762886593</c:v>
                </c:pt>
                <c:pt idx="48">
                  <c:v>0.58585858585858586</c:v>
                </c:pt>
                <c:pt idx="49">
                  <c:v>0.59405940594059403</c:v>
                </c:pt>
                <c:pt idx="50">
                  <c:v>0.59223300970873782</c:v>
                </c:pt>
                <c:pt idx="51">
                  <c:v>0.58490566037735847</c:v>
                </c:pt>
                <c:pt idx="52">
                  <c:v>0.59259259259259256</c:v>
                </c:pt>
                <c:pt idx="53">
                  <c:v>0.5855855855855856</c:v>
                </c:pt>
                <c:pt idx="54">
                  <c:v>0.58407079646017701</c:v>
                </c:pt>
                <c:pt idx="55">
                  <c:v>0.58771929824561409</c:v>
                </c:pt>
                <c:pt idx="56">
                  <c:v>0.5714285714285714</c:v>
                </c:pt>
                <c:pt idx="57">
                  <c:v>0.57499999999999996</c:v>
                </c:pt>
                <c:pt idx="58">
                  <c:v>0.57851239669421484</c:v>
                </c:pt>
                <c:pt idx="59">
                  <c:v>0.58536585365853655</c:v>
                </c:pt>
                <c:pt idx="60">
                  <c:v>0.57936507936507942</c:v>
                </c:pt>
                <c:pt idx="61">
                  <c:v>0.5736434108527132</c:v>
                </c:pt>
                <c:pt idx="62">
                  <c:v>0.58015267175572516</c:v>
                </c:pt>
                <c:pt idx="63">
                  <c:v>0.58333333333333337</c:v>
                </c:pt>
                <c:pt idx="64">
                  <c:v>0.5864661654135338</c:v>
                </c:pt>
                <c:pt idx="65">
                  <c:v>0.58208955223880599</c:v>
                </c:pt>
                <c:pt idx="66">
                  <c:v>0.58518518518518514</c:v>
                </c:pt>
                <c:pt idx="67">
                  <c:v>0.58273381294964033</c:v>
                </c:pt>
                <c:pt idx="68">
                  <c:v>0.57857142857142863</c:v>
                </c:pt>
                <c:pt idx="69">
                  <c:v>0.57446808510638303</c:v>
                </c:pt>
                <c:pt idx="70">
                  <c:v>0.57342657342657344</c:v>
                </c:pt>
                <c:pt idx="71">
                  <c:v>0.57342657342657344</c:v>
                </c:pt>
                <c:pt idx="72">
                  <c:v>0.57241379310344831</c:v>
                </c:pt>
                <c:pt idx="73">
                  <c:v>0.57534246575342463</c:v>
                </c:pt>
                <c:pt idx="74">
                  <c:v>0.57718120805369133</c:v>
                </c:pt>
                <c:pt idx="75">
                  <c:v>0.5714285714285714</c:v>
                </c:pt>
                <c:pt idx="76">
                  <c:v>0.5741935483870968</c:v>
                </c:pt>
                <c:pt idx="77">
                  <c:v>0.57051282051282048</c:v>
                </c:pt>
                <c:pt idx="78">
                  <c:v>0.57051282051282048</c:v>
                </c:pt>
                <c:pt idx="79">
                  <c:v>0.55974842767295596</c:v>
                </c:pt>
                <c:pt idx="80">
                  <c:v>0.5625</c:v>
                </c:pt>
                <c:pt idx="81">
                  <c:v>0.56707317073170727</c:v>
                </c:pt>
                <c:pt idx="82">
                  <c:v>0.5696969696969697</c:v>
                </c:pt>
                <c:pt idx="83">
                  <c:v>0.56287425149700598</c:v>
                </c:pt>
                <c:pt idx="84">
                  <c:v>0.56804733727810652</c:v>
                </c:pt>
                <c:pt idx="85">
                  <c:v>0.56140350877192979</c:v>
                </c:pt>
                <c:pt idx="86">
                  <c:v>0.55681818181818177</c:v>
                </c:pt>
                <c:pt idx="87">
                  <c:v>0.56111111111111112</c:v>
                </c:pt>
                <c:pt idx="88">
                  <c:v>0.56216216216216219</c:v>
                </c:pt>
                <c:pt idx="89">
                  <c:v>0.56084656084656082</c:v>
                </c:pt>
                <c:pt idx="90">
                  <c:v>0.56770833333333337</c:v>
                </c:pt>
                <c:pt idx="91">
                  <c:v>0.57216494845360821</c:v>
                </c:pt>
                <c:pt idx="92">
                  <c:v>0.57653061224489799</c:v>
                </c:pt>
                <c:pt idx="93">
                  <c:v>0.58208955223880599</c:v>
                </c:pt>
                <c:pt idx="94">
                  <c:v>0.58128078817733986</c:v>
                </c:pt>
                <c:pt idx="95">
                  <c:v>0.58333333333333337</c:v>
                </c:pt>
                <c:pt idx="96">
                  <c:v>0.58536585365853655</c:v>
                </c:pt>
                <c:pt idx="97">
                  <c:v>0.57971014492753625</c:v>
                </c:pt>
                <c:pt idx="98">
                  <c:v>0.58173076923076927</c:v>
                </c:pt>
                <c:pt idx="99">
                  <c:v>0.57075471698113212</c:v>
                </c:pt>
                <c:pt idx="100">
                  <c:v>0.57009345794392519</c:v>
                </c:pt>
                <c:pt idx="101">
                  <c:v>0.57603686635944695</c:v>
                </c:pt>
                <c:pt idx="102">
                  <c:v>0.57466063348416285</c:v>
                </c:pt>
                <c:pt idx="103">
                  <c:v>0.5758928571428571</c:v>
                </c:pt>
                <c:pt idx="104">
                  <c:v>0.58333333333333337</c:v>
                </c:pt>
                <c:pt idx="105">
                  <c:v>0.58008658008658009</c:v>
                </c:pt>
                <c:pt idx="106">
                  <c:v>0.57510729613733902</c:v>
                </c:pt>
                <c:pt idx="107">
                  <c:v>0.57692307692307687</c:v>
                </c:pt>
                <c:pt idx="108">
                  <c:v>0.5787234042553191</c:v>
                </c:pt>
                <c:pt idx="109">
                  <c:v>0.57805907172995785</c:v>
                </c:pt>
                <c:pt idx="110">
                  <c:v>0.57805907172995785</c:v>
                </c:pt>
                <c:pt idx="111">
                  <c:v>0.57740585774058573</c:v>
                </c:pt>
                <c:pt idx="112">
                  <c:v>0.57740585774058573</c:v>
                </c:pt>
                <c:pt idx="113">
                  <c:v>0.57676348547717837</c:v>
                </c:pt>
                <c:pt idx="114">
                  <c:v>0.57438016528925617</c:v>
                </c:pt>
                <c:pt idx="115">
                  <c:v>0.56734693877551023</c:v>
                </c:pt>
                <c:pt idx="116">
                  <c:v>0.56224899598393574</c:v>
                </c:pt>
                <c:pt idx="117">
                  <c:v>0.56399999999999995</c:v>
                </c:pt>
                <c:pt idx="118">
                  <c:v>0.56692913385826771</c:v>
                </c:pt>
                <c:pt idx="119">
                  <c:v>0.56589147286821706</c:v>
                </c:pt>
                <c:pt idx="120">
                  <c:v>0.56106870229007633</c:v>
                </c:pt>
                <c:pt idx="121">
                  <c:v>0.56060606060606055</c:v>
                </c:pt>
                <c:pt idx="122">
                  <c:v>0.55805243445692887</c:v>
                </c:pt>
                <c:pt idx="123">
                  <c:v>0.54981549815498154</c:v>
                </c:pt>
                <c:pt idx="124">
                  <c:v>0.54981549815498154</c:v>
                </c:pt>
                <c:pt idx="125">
                  <c:v>0.54779411764705888</c:v>
                </c:pt>
                <c:pt idx="126">
                  <c:v>0.54744525547445255</c:v>
                </c:pt>
                <c:pt idx="127">
                  <c:v>0.54512635379061369</c:v>
                </c:pt>
                <c:pt idx="128">
                  <c:v>0.54512635379061369</c:v>
                </c:pt>
                <c:pt idx="129">
                  <c:v>0.5467625899280576</c:v>
                </c:pt>
                <c:pt idx="130">
                  <c:v>0.54609929078014185</c:v>
                </c:pt>
                <c:pt idx="131">
                  <c:v>0.54736842105263162</c:v>
                </c:pt>
                <c:pt idx="132">
                  <c:v>0.54736842105263162</c:v>
                </c:pt>
                <c:pt idx="133">
                  <c:v>0.54703832752613235</c:v>
                </c:pt>
                <c:pt idx="134">
                  <c:v>0.55017301038062283</c:v>
                </c:pt>
                <c:pt idx="135">
                  <c:v>0.5482758620689655</c:v>
                </c:pt>
                <c:pt idx="136">
                  <c:v>0.54794520547945202</c:v>
                </c:pt>
                <c:pt idx="137">
                  <c:v>0.54915254237288136</c:v>
                </c:pt>
                <c:pt idx="138">
                  <c:v>0.55067567567567566</c:v>
                </c:pt>
                <c:pt idx="139">
                  <c:v>0.55218855218855223</c:v>
                </c:pt>
                <c:pt idx="140">
                  <c:v>0.55218855218855223</c:v>
                </c:pt>
                <c:pt idx="141">
                  <c:v>0.55333333333333334</c:v>
                </c:pt>
                <c:pt idx="142">
                  <c:v>0.55333333333333334</c:v>
                </c:pt>
                <c:pt idx="143">
                  <c:v>0.55298013245033117</c:v>
                </c:pt>
                <c:pt idx="144">
                  <c:v>0.5540983606557377</c:v>
                </c:pt>
                <c:pt idx="145">
                  <c:v>0.55555555555555558</c:v>
                </c:pt>
                <c:pt idx="146">
                  <c:v>0.55555555555555558</c:v>
                </c:pt>
                <c:pt idx="147">
                  <c:v>0.55374592833876224</c:v>
                </c:pt>
                <c:pt idx="148">
                  <c:v>0.55519480519480524</c:v>
                </c:pt>
                <c:pt idx="149">
                  <c:v>0.55663430420711979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1554020720276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まっつん2!$A$3:$A$152</c:f>
              <c:numCache>
                <c:formatCode>0\ "回"</c:formatCode>
                <c:ptCount val="1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</c:numCache>
            </c:numRef>
          </c:xVal>
          <c:yVal>
            <c:numRef>
              <c:f>まっつん2!$O$3:$O$152</c:f>
              <c:numCache>
                <c:formatCode>0.0%</c:formatCode>
                <c:ptCount val="150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  <c:pt idx="32">
                  <c:v>0.40540540540540543</c:v>
                </c:pt>
                <c:pt idx="33">
                  <c:v>0.38961038961038963</c:v>
                </c:pt>
                <c:pt idx="34">
                  <c:v>0.39506172839506171</c:v>
                </c:pt>
                <c:pt idx="35">
                  <c:v>0.40476190476190477</c:v>
                </c:pt>
                <c:pt idx="36">
                  <c:v>0.40476190476190477</c:v>
                </c:pt>
                <c:pt idx="37">
                  <c:v>0.39534883720930231</c:v>
                </c:pt>
                <c:pt idx="38">
                  <c:v>0.39080459770114945</c:v>
                </c:pt>
                <c:pt idx="39">
                  <c:v>0.38636363636363635</c:v>
                </c:pt>
                <c:pt idx="40">
                  <c:v>0.38202247191011235</c:v>
                </c:pt>
                <c:pt idx="41">
                  <c:v>0.3888888888888889</c:v>
                </c:pt>
                <c:pt idx="42">
                  <c:v>0.39130434782608697</c:v>
                </c:pt>
                <c:pt idx="43">
                  <c:v>0.39130434782608697</c:v>
                </c:pt>
                <c:pt idx="44">
                  <c:v>0.39130434782608697</c:v>
                </c:pt>
                <c:pt idx="45">
                  <c:v>0.39361702127659576</c:v>
                </c:pt>
                <c:pt idx="46">
                  <c:v>0.38541666666666669</c:v>
                </c:pt>
                <c:pt idx="47">
                  <c:v>0.39393939393939392</c:v>
                </c:pt>
                <c:pt idx="48">
                  <c:v>0.4</c:v>
                </c:pt>
                <c:pt idx="49">
                  <c:v>0.39215686274509803</c:v>
                </c:pt>
                <c:pt idx="50">
                  <c:v>0.39215686274509803</c:v>
                </c:pt>
                <c:pt idx="51">
                  <c:v>0.38095238095238093</c:v>
                </c:pt>
                <c:pt idx="52">
                  <c:v>0.38317757009345793</c:v>
                </c:pt>
                <c:pt idx="53">
                  <c:v>0.3888888888888889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0.40869565217391307</c:v>
                </c:pt>
                <c:pt idx="58">
                  <c:v>0.4152542372881356</c:v>
                </c:pt>
                <c:pt idx="59">
                  <c:v>0.42499999999999999</c:v>
                </c:pt>
                <c:pt idx="60">
                  <c:v>0.41935483870967744</c:v>
                </c:pt>
                <c:pt idx="61">
                  <c:v>0.41732283464566927</c:v>
                </c:pt>
                <c:pt idx="62">
                  <c:v>0.41085271317829458</c:v>
                </c:pt>
                <c:pt idx="63">
                  <c:v>0.41538461538461541</c:v>
                </c:pt>
                <c:pt idx="64">
                  <c:v>0.40909090909090912</c:v>
                </c:pt>
                <c:pt idx="65">
                  <c:v>0.41044776119402987</c:v>
                </c:pt>
                <c:pt idx="66">
                  <c:v>0.40740740740740738</c:v>
                </c:pt>
                <c:pt idx="67">
                  <c:v>0.40579710144927539</c:v>
                </c:pt>
                <c:pt idx="68">
                  <c:v>0.4</c:v>
                </c:pt>
                <c:pt idx="69">
                  <c:v>0.40425531914893614</c:v>
                </c:pt>
                <c:pt idx="70">
                  <c:v>0.40845070422535212</c:v>
                </c:pt>
                <c:pt idx="71">
                  <c:v>0.40845070422535212</c:v>
                </c:pt>
                <c:pt idx="72">
                  <c:v>0.40845070422535212</c:v>
                </c:pt>
                <c:pt idx="73">
                  <c:v>0.40277777777777779</c:v>
                </c:pt>
                <c:pt idx="74">
                  <c:v>0.40277777777777779</c:v>
                </c:pt>
                <c:pt idx="75">
                  <c:v>0.4</c:v>
                </c:pt>
                <c:pt idx="76">
                  <c:v>0.4041095890410959</c:v>
                </c:pt>
                <c:pt idx="77">
                  <c:v>0.40136054421768708</c:v>
                </c:pt>
                <c:pt idx="78">
                  <c:v>0.40136054421768708</c:v>
                </c:pt>
                <c:pt idx="79">
                  <c:v>0.40268456375838924</c:v>
                </c:pt>
                <c:pt idx="80">
                  <c:v>0.40397350993377484</c:v>
                </c:pt>
                <c:pt idx="81">
                  <c:v>0.40789473684210525</c:v>
                </c:pt>
                <c:pt idx="82">
                  <c:v>0.40909090909090912</c:v>
                </c:pt>
                <c:pt idx="83">
                  <c:v>0.40909090909090912</c:v>
                </c:pt>
                <c:pt idx="84">
                  <c:v>0.40909090909090912</c:v>
                </c:pt>
                <c:pt idx="85">
                  <c:v>0.41025641025641024</c:v>
                </c:pt>
                <c:pt idx="86">
                  <c:v>0.4140127388535032</c:v>
                </c:pt>
                <c:pt idx="87">
                  <c:v>0.41139240506329117</c:v>
                </c:pt>
                <c:pt idx="88">
                  <c:v>0.41249999999999998</c:v>
                </c:pt>
                <c:pt idx="89">
                  <c:v>0.41249999999999998</c:v>
                </c:pt>
                <c:pt idx="90">
                  <c:v>0.41249999999999998</c:v>
                </c:pt>
                <c:pt idx="91">
                  <c:v>0.40993788819875776</c:v>
                </c:pt>
                <c:pt idx="92">
                  <c:v>0.41358024691358025</c:v>
                </c:pt>
                <c:pt idx="93">
                  <c:v>0.41717791411042943</c:v>
                </c:pt>
                <c:pt idx="94">
                  <c:v>0.41212121212121211</c:v>
                </c:pt>
                <c:pt idx="95">
                  <c:v>0.41212121212121211</c:v>
                </c:pt>
                <c:pt idx="96">
                  <c:v>0.41317365269461076</c:v>
                </c:pt>
                <c:pt idx="97">
                  <c:v>0.4107142857142857</c:v>
                </c:pt>
                <c:pt idx="98">
                  <c:v>0.41860465116279072</c:v>
                </c:pt>
                <c:pt idx="99">
                  <c:v>0.42528735632183906</c:v>
                </c:pt>
                <c:pt idx="100">
                  <c:v>0.42372881355932202</c:v>
                </c:pt>
                <c:pt idx="101">
                  <c:v>0.42696629213483145</c:v>
                </c:pt>
                <c:pt idx="102">
                  <c:v>0.42696629213483145</c:v>
                </c:pt>
                <c:pt idx="103">
                  <c:v>0.43093922651933703</c:v>
                </c:pt>
                <c:pt idx="104">
                  <c:v>0.43406593406593408</c:v>
                </c:pt>
                <c:pt idx="105">
                  <c:v>0.43169398907103823</c:v>
                </c:pt>
                <c:pt idx="106">
                  <c:v>0.43169398907103823</c:v>
                </c:pt>
                <c:pt idx="107">
                  <c:v>0.43548387096774194</c:v>
                </c:pt>
                <c:pt idx="108">
                  <c:v>0.43085106382978722</c:v>
                </c:pt>
                <c:pt idx="109">
                  <c:v>0.43386243386243384</c:v>
                </c:pt>
                <c:pt idx="110">
                  <c:v>0.4375</c:v>
                </c:pt>
                <c:pt idx="111">
                  <c:v>0.43076923076923079</c:v>
                </c:pt>
                <c:pt idx="112">
                  <c:v>0.42929292929292928</c:v>
                </c:pt>
                <c:pt idx="113">
                  <c:v>0.42786069651741293</c:v>
                </c:pt>
                <c:pt idx="114">
                  <c:v>0.43627450980392157</c:v>
                </c:pt>
                <c:pt idx="115">
                  <c:v>0.43961352657004832</c:v>
                </c:pt>
                <c:pt idx="116">
                  <c:v>0.43809523809523809</c:v>
                </c:pt>
                <c:pt idx="117">
                  <c:v>0.44339622641509435</c:v>
                </c:pt>
                <c:pt idx="118">
                  <c:v>0.44131455399061031</c:v>
                </c:pt>
                <c:pt idx="119">
                  <c:v>0.44131455399061031</c:v>
                </c:pt>
                <c:pt idx="120">
                  <c:v>0.44392523364485981</c:v>
                </c:pt>
                <c:pt idx="121">
                  <c:v>0.44239631336405533</c:v>
                </c:pt>
                <c:pt idx="122">
                  <c:v>0.43835616438356162</c:v>
                </c:pt>
                <c:pt idx="123">
                  <c:v>0.43636363636363634</c:v>
                </c:pt>
                <c:pt idx="124">
                  <c:v>0.43049327354260092</c:v>
                </c:pt>
                <c:pt idx="125">
                  <c:v>0.42920353982300885</c:v>
                </c:pt>
                <c:pt idx="126">
                  <c:v>0.43231441048034935</c:v>
                </c:pt>
                <c:pt idx="127">
                  <c:v>0.43043478260869567</c:v>
                </c:pt>
                <c:pt idx="128">
                  <c:v>0.42489270386266093</c:v>
                </c:pt>
                <c:pt idx="129">
                  <c:v>0.41949152542372881</c:v>
                </c:pt>
                <c:pt idx="130">
                  <c:v>0.41772151898734178</c:v>
                </c:pt>
                <c:pt idx="131">
                  <c:v>0.41078838174273857</c:v>
                </c:pt>
                <c:pt idx="132">
                  <c:v>0.41393442622950821</c:v>
                </c:pt>
                <c:pt idx="133">
                  <c:v>0.41632653061224489</c:v>
                </c:pt>
                <c:pt idx="134">
                  <c:v>0.42338709677419356</c:v>
                </c:pt>
                <c:pt idx="135">
                  <c:v>0.41832669322709165</c:v>
                </c:pt>
                <c:pt idx="136">
                  <c:v>0.42578125</c:v>
                </c:pt>
                <c:pt idx="137">
                  <c:v>0.43023255813953487</c:v>
                </c:pt>
                <c:pt idx="138">
                  <c:v>0.42857142857142855</c:v>
                </c:pt>
                <c:pt idx="139">
                  <c:v>0.42528735632183906</c:v>
                </c:pt>
                <c:pt idx="140">
                  <c:v>0.42528735632183906</c:v>
                </c:pt>
                <c:pt idx="141">
                  <c:v>0.42366412213740456</c:v>
                </c:pt>
                <c:pt idx="142">
                  <c:v>0.42322097378277151</c:v>
                </c:pt>
                <c:pt idx="143">
                  <c:v>0.42537313432835822</c:v>
                </c:pt>
                <c:pt idx="144">
                  <c:v>0.4280442804428044</c:v>
                </c:pt>
                <c:pt idx="145">
                  <c:v>0.43014705882352944</c:v>
                </c:pt>
                <c:pt idx="146">
                  <c:v>0.42545454545454547</c:v>
                </c:pt>
                <c:pt idx="147">
                  <c:v>0.42391304347826086</c:v>
                </c:pt>
                <c:pt idx="148">
                  <c:v>0.42391304347826086</c:v>
                </c:pt>
                <c:pt idx="149">
                  <c:v>0.42086330935251798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9818859882791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まっつん2!$A$3:$A$152</c:f>
              <c:numCache>
                <c:formatCode>0\ "回"</c:formatCode>
                <c:ptCount val="1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</c:numCache>
            </c:numRef>
          </c:xVal>
          <c:yVal>
            <c:numRef>
              <c:f>まっつん2!$P$3:$P$152</c:f>
              <c:numCache>
                <c:formatCode>0.0%</c:formatCode>
                <c:ptCount val="150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  <c:pt idx="32">
                  <c:v>0.40277777777777779</c:v>
                </c:pt>
                <c:pt idx="33">
                  <c:v>0.40277777777777779</c:v>
                </c:pt>
                <c:pt idx="34">
                  <c:v>0.40540540540540543</c:v>
                </c:pt>
                <c:pt idx="35">
                  <c:v>0.41558441558441561</c:v>
                </c:pt>
                <c:pt idx="36">
                  <c:v>0.42499999999999999</c:v>
                </c:pt>
                <c:pt idx="37">
                  <c:v>0.4</c:v>
                </c:pt>
                <c:pt idx="38">
                  <c:v>0.40229885057471265</c:v>
                </c:pt>
                <c:pt idx="39">
                  <c:v>0.39772727272727271</c:v>
                </c:pt>
                <c:pt idx="40">
                  <c:v>0.3888888888888889</c:v>
                </c:pt>
                <c:pt idx="41">
                  <c:v>0.39784946236559138</c:v>
                </c:pt>
                <c:pt idx="42">
                  <c:v>0.40206185567010311</c:v>
                </c:pt>
                <c:pt idx="43">
                  <c:v>0.41414141414141414</c:v>
                </c:pt>
                <c:pt idx="44">
                  <c:v>0.42156862745098039</c:v>
                </c:pt>
                <c:pt idx="45">
                  <c:v>0.41346153846153844</c:v>
                </c:pt>
                <c:pt idx="46">
                  <c:v>0.41904761904761906</c:v>
                </c:pt>
                <c:pt idx="47">
                  <c:v>0.42201834862385323</c:v>
                </c:pt>
                <c:pt idx="48">
                  <c:v>0.41964285714285715</c:v>
                </c:pt>
                <c:pt idx="49">
                  <c:v>0.42982456140350878</c:v>
                </c:pt>
                <c:pt idx="50">
                  <c:v>0.43478260869565216</c:v>
                </c:pt>
                <c:pt idx="51">
                  <c:v>0.43965517241379309</c:v>
                </c:pt>
                <c:pt idx="52">
                  <c:v>0.43697478991596639</c:v>
                </c:pt>
                <c:pt idx="53">
                  <c:v>0.4344262295081967</c:v>
                </c:pt>
                <c:pt idx="54">
                  <c:v>0.43089430894308944</c:v>
                </c:pt>
                <c:pt idx="55">
                  <c:v>0.42063492063492064</c:v>
                </c:pt>
                <c:pt idx="56">
                  <c:v>0.421875</c:v>
                </c:pt>
                <c:pt idx="57">
                  <c:v>0.41666666666666669</c:v>
                </c:pt>
                <c:pt idx="58">
                  <c:v>0.42222222222222222</c:v>
                </c:pt>
                <c:pt idx="59">
                  <c:v>0.44285714285714284</c:v>
                </c:pt>
                <c:pt idx="60">
                  <c:v>0.44055944055944057</c:v>
                </c:pt>
                <c:pt idx="61">
                  <c:v>0.43448275862068964</c:v>
                </c:pt>
                <c:pt idx="62">
                  <c:v>0.44217687074829931</c:v>
                </c:pt>
                <c:pt idx="63">
                  <c:v>0.44295302013422821</c:v>
                </c:pt>
                <c:pt idx="64">
                  <c:v>0.44370860927152317</c:v>
                </c:pt>
                <c:pt idx="65">
                  <c:v>0.44078947368421051</c:v>
                </c:pt>
                <c:pt idx="66">
                  <c:v>0.44444444444444442</c:v>
                </c:pt>
                <c:pt idx="67">
                  <c:v>0.44871794871794873</c:v>
                </c:pt>
                <c:pt idx="68">
                  <c:v>0.45222929936305734</c:v>
                </c:pt>
                <c:pt idx="69">
                  <c:v>0.44936708860759494</c:v>
                </c:pt>
                <c:pt idx="70">
                  <c:v>0.45624999999999999</c:v>
                </c:pt>
                <c:pt idx="71">
                  <c:v>0.453416149068323</c:v>
                </c:pt>
                <c:pt idx="72">
                  <c:v>0.46012269938650308</c:v>
                </c:pt>
                <c:pt idx="73">
                  <c:v>0.46341463414634149</c:v>
                </c:pt>
                <c:pt idx="74">
                  <c:v>0.44970414201183434</c:v>
                </c:pt>
                <c:pt idx="75">
                  <c:v>0.45029239766081869</c:v>
                </c:pt>
                <c:pt idx="76">
                  <c:v>0.45086705202312138</c:v>
                </c:pt>
                <c:pt idx="77">
                  <c:v>0.45086705202312138</c:v>
                </c:pt>
                <c:pt idx="78">
                  <c:v>0.45086705202312138</c:v>
                </c:pt>
                <c:pt idx="79">
                  <c:v>0.44886363636363635</c:v>
                </c:pt>
                <c:pt idx="80">
                  <c:v>0.449438202247191</c:v>
                </c:pt>
                <c:pt idx="81">
                  <c:v>0.44808743169398907</c:v>
                </c:pt>
                <c:pt idx="82">
                  <c:v>0.44864864864864867</c:v>
                </c:pt>
                <c:pt idx="83">
                  <c:v>0.44864864864864867</c:v>
                </c:pt>
                <c:pt idx="84">
                  <c:v>0.44385026737967914</c:v>
                </c:pt>
                <c:pt idx="85">
                  <c:v>0.44973544973544971</c:v>
                </c:pt>
                <c:pt idx="86">
                  <c:v>0.44791666666666669</c:v>
                </c:pt>
                <c:pt idx="87">
                  <c:v>0.44615384615384618</c:v>
                </c:pt>
                <c:pt idx="88">
                  <c:v>0.44221105527638194</c:v>
                </c:pt>
                <c:pt idx="89">
                  <c:v>0.4405940594059406</c:v>
                </c:pt>
                <c:pt idx="90">
                  <c:v>0.44878048780487806</c:v>
                </c:pt>
                <c:pt idx="91">
                  <c:v>0.44927536231884058</c:v>
                </c:pt>
                <c:pt idx="92">
                  <c:v>0.45714285714285713</c:v>
                </c:pt>
                <c:pt idx="93">
                  <c:v>0.46046511627906977</c:v>
                </c:pt>
                <c:pt idx="94">
                  <c:v>0.45622119815668205</c:v>
                </c:pt>
                <c:pt idx="95">
                  <c:v>0.45412844036697247</c:v>
                </c:pt>
                <c:pt idx="96">
                  <c:v>0.45248868778280543</c:v>
                </c:pt>
                <c:pt idx="97">
                  <c:v>0.45495495495495497</c:v>
                </c:pt>
                <c:pt idx="98">
                  <c:v>0.44690265486725661</c:v>
                </c:pt>
                <c:pt idx="99">
                  <c:v>0.44736842105263158</c:v>
                </c:pt>
                <c:pt idx="100">
                  <c:v>0.45217391304347826</c:v>
                </c:pt>
                <c:pt idx="101">
                  <c:v>0.45299145299145299</c:v>
                </c:pt>
                <c:pt idx="102">
                  <c:v>0.45338983050847459</c:v>
                </c:pt>
                <c:pt idx="103">
                  <c:v>0.44583333333333336</c:v>
                </c:pt>
                <c:pt idx="104">
                  <c:v>0.44897959183673469</c:v>
                </c:pt>
                <c:pt idx="105">
                  <c:v>0.44715447154471544</c:v>
                </c:pt>
                <c:pt idx="106">
                  <c:v>0.44534412955465585</c:v>
                </c:pt>
                <c:pt idx="107">
                  <c:v>0.44621513944223107</c:v>
                </c:pt>
                <c:pt idx="108">
                  <c:v>0.44841269841269843</c:v>
                </c:pt>
                <c:pt idx="109">
                  <c:v>0.45098039215686275</c:v>
                </c:pt>
                <c:pt idx="110">
                  <c:v>0.44747081712062259</c:v>
                </c:pt>
                <c:pt idx="111">
                  <c:v>0.44573643410852715</c:v>
                </c:pt>
                <c:pt idx="112">
                  <c:v>0.44401544401544402</c:v>
                </c:pt>
                <c:pt idx="113">
                  <c:v>0.44827586206896552</c:v>
                </c:pt>
                <c:pt idx="114">
                  <c:v>0.44696969696969696</c:v>
                </c:pt>
                <c:pt idx="115">
                  <c:v>0.44736842105263158</c:v>
                </c:pt>
                <c:pt idx="116">
                  <c:v>0.44981412639405205</c:v>
                </c:pt>
                <c:pt idx="117">
                  <c:v>0.4485294117647059</c:v>
                </c:pt>
                <c:pt idx="118">
                  <c:v>0.44727272727272727</c:v>
                </c:pt>
                <c:pt idx="119">
                  <c:v>0.4460431654676259</c:v>
                </c:pt>
                <c:pt idx="120">
                  <c:v>0.44642857142857145</c:v>
                </c:pt>
                <c:pt idx="121">
                  <c:v>0.44680851063829785</c:v>
                </c:pt>
                <c:pt idx="122">
                  <c:v>0.44522968197879859</c:v>
                </c:pt>
                <c:pt idx="123">
                  <c:v>0.44522968197879859</c:v>
                </c:pt>
                <c:pt idx="124">
                  <c:v>0.44522968197879859</c:v>
                </c:pt>
                <c:pt idx="125">
                  <c:v>0.44718309859154931</c:v>
                </c:pt>
                <c:pt idx="126">
                  <c:v>0.44599303135888502</c:v>
                </c:pt>
                <c:pt idx="127">
                  <c:v>0.44636678200692043</c:v>
                </c:pt>
                <c:pt idx="128">
                  <c:v>0.44636678200692043</c:v>
                </c:pt>
                <c:pt idx="129">
                  <c:v>0.44827586206896552</c:v>
                </c:pt>
                <c:pt idx="130">
                  <c:v>0.4452054794520548</c:v>
                </c:pt>
                <c:pt idx="131">
                  <c:v>0.445578231292517</c:v>
                </c:pt>
                <c:pt idx="132">
                  <c:v>0.44444444444444442</c:v>
                </c:pt>
                <c:pt idx="133">
                  <c:v>0.44481605351170567</c:v>
                </c:pt>
                <c:pt idx="134">
                  <c:v>0.44407894736842107</c:v>
                </c:pt>
                <c:pt idx="135">
                  <c:v>0.44407894736842107</c:v>
                </c:pt>
                <c:pt idx="136">
                  <c:v>0.44336569579288027</c:v>
                </c:pt>
                <c:pt idx="137">
                  <c:v>0.44089456869009586</c:v>
                </c:pt>
                <c:pt idx="138">
                  <c:v>0.4426751592356688</c:v>
                </c:pt>
                <c:pt idx="139">
                  <c:v>0.44303797468354428</c:v>
                </c:pt>
                <c:pt idx="140">
                  <c:v>0.44164037854889587</c:v>
                </c:pt>
                <c:pt idx="141">
                  <c:v>0.44200626959247646</c:v>
                </c:pt>
                <c:pt idx="142">
                  <c:v>0.44409937888198758</c:v>
                </c:pt>
                <c:pt idx="143">
                  <c:v>0.44753086419753085</c:v>
                </c:pt>
                <c:pt idx="144">
                  <c:v>0.44817073170731708</c:v>
                </c:pt>
                <c:pt idx="145">
                  <c:v>0.44712990936555891</c:v>
                </c:pt>
                <c:pt idx="146">
                  <c:v>0.44744744744744747</c:v>
                </c:pt>
                <c:pt idx="147">
                  <c:v>0.44610778443113774</c:v>
                </c:pt>
                <c:pt idx="148">
                  <c:v>0.44776119402985076</c:v>
                </c:pt>
                <c:pt idx="149">
                  <c:v>0.44642857142857145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8868398994132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01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275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276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277</v>
      </c>
      <c r="B73" s="29">
        <v>43805.880937499998</v>
      </c>
      <c r="C73" s="28" t="s">
        <v>128</v>
      </c>
    </row>
    <row r="74" spans="1:12" x14ac:dyDescent="0.45">
      <c r="A74" s="28" t="s">
        <v>278</v>
      </c>
      <c r="B74" s="29">
        <v>43806.068379629629</v>
      </c>
      <c r="C74" s="28" t="s">
        <v>128</v>
      </c>
    </row>
    <row r="75" spans="1:12" x14ac:dyDescent="0.45">
      <c r="A75" s="28" t="s">
        <v>279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282</v>
      </c>
      <c r="B76" s="29">
        <v>43809.906898148147</v>
      </c>
      <c r="C76" s="28" t="s">
        <v>128</v>
      </c>
    </row>
    <row r="77" spans="1:12" x14ac:dyDescent="0.45">
      <c r="A77" s="28" t="s">
        <v>283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285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284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5">
      <c r="A80" s="28" t="s">
        <v>286</v>
      </c>
      <c r="B80" s="29">
        <v>43812.000752314816</v>
      </c>
      <c r="C80" s="28" t="s">
        <v>128</v>
      </c>
    </row>
    <row r="81" spans="1:9" x14ac:dyDescent="0.45">
      <c r="A81" s="28" t="s">
        <v>287</v>
      </c>
      <c r="B81" s="29">
        <v>43813.948321759257</v>
      </c>
      <c r="C81" s="28" t="s">
        <v>128</v>
      </c>
      <c r="D81" s="28" t="s">
        <v>129</v>
      </c>
      <c r="E81" s="28" t="s">
        <v>173</v>
      </c>
    </row>
    <row r="82" spans="1:9" x14ac:dyDescent="0.45">
      <c r="A82" s="28" t="s">
        <v>288</v>
      </c>
      <c r="B82" s="29">
        <v>43814.578449074077</v>
      </c>
      <c r="C82" s="28" t="s">
        <v>128</v>
      </c>
    </row>
    <row r="83" spans="1:9" x14ac:dyDescent="0.45">
      <c r="A83" s="28" t="s">
        <v>289</v>
      </c>
      <c r="B83" s="29">
        <v>43817.934259259258</v>
      </c>
      <c r="C83" s="28" t="s">
        <v>128</v>
      </c>
      <c r="D83" s="28" t="s">
        <v>129</v>
      </c>
      <c r="E83" s="28" t="s">
        <v>173</v>
      </c>
    </row>
    <row r="84" spans="1:9" x14ac:dyDescent="0.45">
      <c r="A84" s="28" t="s">
        <v>290</v>
      </c>
      <c r="B84" s="29">
        <v>43818.430601851855</v>
      </c>
      <c r="C84" s="28" t="s">
        <v>128</v>
      </c>
      <c r="D84" s="28" t="s">
        <v>129</v>
      </c>
    </row>
    <row r="85" spans="1:9" x14ac:dyDescent="0.45">
      <c r="A85" s="28" t="s">
        <v>291</v>
      </c>
      <c r="B85" s="29">
        <v>43818.433738425927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9" x14ac:dyDescent="0.45">
      <c r="A86" s="28" t="s">
        <v>292</v>
      </c>
      <c r="B86" s="29">
        <v>43819.091747685183</v>
      </c>
      <c r="C86" s="28" t="s">
        <v>128</v>
      </c>
      <c r="D86" s="28" t="s">
        <v>129</v>
      </c>
    </row>
    <row r="87" spans="1:9" x14ac:dyDescent="0.45">
      <c r="A87" s="28" t="s">
        <v>293</v>
      </c>
      <c r="B87" s="29">
        <v>43836.020520833335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9" x14ac:dyDescent="0.45">
      <c r="A88" s="28" t="s">
        <v>294</v>
      </c>
      <c r="B88" s="29">
        <v>43838.76290509259</v>
      </c>
      <c r="C88" s="28" t="s">
        <v>128</v>
      </c>
    </row>
    <row r="89" spans="1:9" x14ac:dyDescent="0.45">
      <c r="A89" s="28" t="s">
        <v>295</v>
      </c>
      <c r="B89" s="29">
        <v>43839.021249999998</v>
      </c>
      <c r="C89" s="28" t="s">
        <v>128</v>
      </c>
      <c r="D89" s="28" t="s">
        <v>129</v>
      </c>
      <c r="E89" s="28" t="s">
        <v>173</v>
      </c>
      <c r="F89" s="28" t="s">
        <v>174</v>
      </c>
    </row>
    <row r="90" spans="1:9" x14ac:dyDescent="0.45">
      <c r="A90" s="28" t="s">
        <v>296</v>
      </c>
      <c r="B90" s="29">
        <v>43840.436331018522</v>
      </c>
      <c r="C90" s="28" t="s">
        <v>128</v>
      </c>
    </row>
    <row r="91" spans="1:9" x14ac:dyDescent="0.45">
      <c r="A91" s="28" t="s">
        <v>297</v>
      </c>
      <c r="B91" s="29">
        <v>43840.602083333331</v>
      </c>
      <c r="C91" s="28" t="s">
        <v>128</v>
      </c>
      <c r="D91" s="28" t="s">
        <v>129</v>
      </c>
      <c r="E91" s="28" t="s">
        <v>173</v>
      </c>
    </row>
    <row r="92" spans="1:9" x14ac:dyDescent="0.45">
      <c r="A92" s="28" t="s">
        <v>298</v>
      </c>
      <c r="B92" s="29">
        <v>43843.027384259258</v>
      </c>
      <c r="C92" s="28" t="s">
        <v>128</v>
      </c>
      <c r="D92" s="28" t="s">
        <v>129</v>
      </c>
      <c r="E92" s="28" t="s">
        <v>173</v>
      </c>
      <c r="F92" s="28" t="s">
        <v>174</v>
      </c>
      <c r="G92" s="28" t="s">
        <v>175</v>
      </c>
      <c r="H92" s="28" t="s">
        <v>198</v>
      </c>
      <c r="I92" s="28" t="s">
        <v>199</v>
      </c>
    </row>
    <row r="93" spans="1:9" x14ac:dyDescent="0.45">
      <c r="A93" s="28" t="s">
        <v>299</v>
      </c>
      <c r="B93" s="29">
        <v>43844.951261574075</v>
      </c>
      <c r="C93" s="28" t="s">
        <v>128</v>
      </c>
      <c r="D93" s="28" t="s">
        <v>129</v>
      </c>
      <c r="E93" s="28" t="s">
        <v>173</v>
      </c>
    </row>
    <row r="94" spans="1:9" x14ac:dyDescent="0.45">
      <c r="A94" s="28" t="s">
        <v>300</v>
      </c>
      <c r="B94" s="29">
        <v>43845.034178240741</v>
      </c>
      <c r="C94" s="28" t="s">
        <v>128</v>
      </c>
      <c r="D94" s="28" t="s">
        <v>129</v>
      </c>
      <c r="E94" s="28" t="s">
        <v>173</v>
      </c>
    </row>
    <row r="95" spans="1:9" x14ac:dyDescent="0.45">
      <c r="A95" s="28" t="s">
        <v>301</v>
      </c>
      <c r="B95" s="29">
        <v>43846.004641203705</v>
      </c>
      <c r="C95" s="28" t="s">
        <v>128</v>
      </c>
    </row>
    <row r="96" spans="1:9" x14ac:dyDescent="0.45">
      <c r="A96" s="28" t="s">
        <v>302</v>
      </c>
      <c r="B96" s="29">
        <v>43847.005300925928</v>
      </c>
      <c r="C96" s="28" t="s">
        <v>128</v>
      </c>
      <c r="D96" s="28" t="s">
        <v>129</v>
      </c>
      <c r="E96" s="28" t="s">
        <v>173</v>
      </c>
      <c r="F96" s="28" t="s">
        <v>174</v>
      </c>
    </row>
    <row r="97" spans="1:7" x14ac:dyDescent="0.45">
      <c r="A97" s="28" t="s">
        <v>303</v>
      </c>
      <c r="B97" s="29">
        <v>43847.644155092596</v>
      </c>
      <c r="C97" s="28" t="s">
        <v>128</v>
      </c>
      <c r="D97" s="28" t="s">
        <v>129</v>
      </c>
      <c r="E97" s="28" t="s">
        <v>173</v>
      </c>
    </row>
    <row r="98" spans="1:7" x14ac:dyDescent="0.45">
      <c r="A98" s="28" t="s">
        <v>304</v>
      </c>
      <c r="B98" s="29">
        <v>43848.686238425929</v>
      </c>
      <c r="C98" s="28" t="s">
        <v>128</v>
      </c>
      <c r="D98" s="28" t="s">
        <v>129</v>
      </c>
    </row>
    <row r="99" spans="1:7" x14ac:dyDescent="0.45">
      <c r="A99" s="28" t="s">
        <v>305</v>
      </c>
      <c r="B99" s="29">
        <v>43852.043136574073</v>
      </c>
      <c r="C99" s="28" t="s">
        <v>128</v>
      </c>
      <c r="D99" s="28" t="s">
        <v>129</v>
      </c>
      <c r="E99" s="28" t="s">
        <v>173</v>
      </c>
      <c r="F99" s="28" t="s">
        <v>174</v>
      </c>
      <c r="G99" s="28" t="s">
        <v>175</v>
      </c>
    </row>
    <row r="100" spans="1:7" x14ac:dyDescent="0.45">
      <c r="A100" s="28" t="s">
        <v>306</v>
      </c>
      <c r="B100" s="29">
        <v>43856.016423611109</v>
      </c>
      <c r="C100" s="28" t="s">
        <v>128</v>
      </c>
      <c r="D100" s="28" t="s">
        <v>129</v>
      </c>
      <c r="E100" s="28" t="s">
        <v>173</v>
      </c>
    </row>
    <row r="101" spans="1:7" x14ac:dyDescent="0.45">
      <c r="A101" s="28" t="s">
        <v>307</v>
      </c>
      <c r="B101" s="29">
        <v>43857.063576388886</v>
      </c>
      <c r="C101" s="28" t="s">
        <v>128</v>
      </c>
      <c r="D101" s="28" t="s">
        <v>129</v>
      </c>
      <c r="E101" s="28" t="s">
        <v>173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969</v>
      </c>
    </row>
    <row r="2" spans="1:2" x14ac:dyDescent="0.45">
      <c r="A2" t="s">
        <v>161</v>
      </c>
      <c r="B2">
        <v>87</v>
      </c>
    </row>
    <row r="3" spans="1:2" x14ac:dyDescent="0.45">
      <c r="A3" t="s">
        <v>126</v>
      </c>
      <c r="B3">
        <v>193</v>
      </c>
    </row>
    <row r="4" spans="1:2" x14ac:dyDescent="0.45">
      <c r="A4" t="s">
        <v>127</v>
      </c>
      <c r="B4">
        <v>172</v>
      </c>
    </row>
    <row r="5" spans="1:2" x14ac:dyDescent="0.45">
      <c r="A5" t="s">
        <v>172</v>
      </c>
      <c r="B5">
        <v>100</v>
      </c>
    </row>
    <row r="6" spans="1:2" x14ac:dyDescent="0.45">
      <c r="A6" t="s">
        <v>170</v>
      </c>
      <c r="B6">
        <v>142</v>
      </c>
    </row>
    <row r="7" spans="1:2" x14ac:dyDescent="0.45">
      <c r="A7" t="s">
        <v>171</v>
      </c>
      <c r="B7">
        <v>149</v>
      </c>
    </row>
    <row r="8" spans="1:2" x14ac:dyDescent="0.45">
      <c r="A8" t="s">
        <v>197</v>
      </c>
      <c r="B8">
        <v>65</v>
      </c>
    </row>
    <row r="9" spans="1:2" x14ac:dyDescent="0.45">
      <c r="A9" t="s">
        <v>196</v>
      </c>
      <c r="B9">
        <v>25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14</v>
      </c>
    </row>
    <row r="13" spans="1:2" x14ac:dyDescent="0.45">
      <c r="A13" t="s">
        <v>281</v>
      </c>
      <c r="B13">
        <v>8</v>
      </c>
    </row>
    <row r="14" spans="1:2" x14ac:dyDescent="0.45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155</v>
      </c>
      <c r="K1" s="163"/>
      <c r="L1" s="162" t="s">
        <v>145</v>
      </c>
      <c r="M1" s="163"/>
      <c r="N1" s="162" t="s">
        <v>146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122</v>
      </c>
      <c r="W1" s="163"/>
      <c r="X1" s="162" t="s">
        <v>119</v>
      </c>
      <c r="Y1" s="163"/>
      <c r="Z1" s="162" t="s">
        <v>125</v>
      </c>
      <c r="AA1" s="163"/>
      <c r="AB1" s="162" t="s">
        <v>147</v>
      </c>
      <c r="AC1" s="163"/>
      <c r="AD1" s="162" t="s">
        <v>140</v>
      </c>
      <c r="AE1" s="163"/>
      <c r="AF1" s="162" t="s">
        <v>192</v>
      </c>
      <c r="AG1" s="163"/>
    </row>
    <row r="2" spans="1:33" x14ac:dyDescent="0.45">
      <c r="A2" s="68" t="s">
        <v>154</v>
      </c>
      <c r="B2" s="164"/>
      <c r="C2" s="165"/>
      <c r="D2" s="164"/>
      <c r="E2" s="165"/>
      <c r="F2" s="166">
        <v>0.96857200819053857</v>
      </c>
      <c r="G2" s="167"/>
      <c r="H2" s="166">
        <v>0.87344875529062349</v>
      </c>
      <c r="I2" s="167"/>
      <c r="J2" s="166">
        <v>0.90513998231903592</v>
      </c>
      <c r="K2" s="167"/>
      <c r="L2" s="166">
        <v>0.51996588934135068</v>
      </c>
      <c r="M2" s="167"/>
      <c r="N2" s="166">
        <v>0.63109315412799094</v>
      </c>
      <c r="O2" s="167"/>
      <c r="P2" s="166">
        <v>0.45067885080351583</v>
      </c>
      <c r="Q2" s="167"/>
      <c r="R2" s="166">
        <v>0.14342841739108433</v>
      </c>
      <c r="S2" s="167"/>
      <c r="T2" s="166">
        <v>0.41490971338822902</v>
      </c>
      <c r="U2" s="167"/>
      <c r="V2" s="166">
        <v>0.42434079590296231</v>
      </c>
      <c r="W2" s="167"/>
      <c r="X2" s="166">
        <v>5.3966920188050757E-2</v>
      </c>
      <c r="Y2" s="167"/>
      <c r="Z2" s="166">
        <v>0.48338393343821007</v>
      </c>
      <c r="AA2" s="167"/>
      <c r="AB2" s="166">
        <v>-2.1973082318449789E-2</v>
      </c>
      <c r="AC2" s="167"/>
      <c r="AD2" s="166">
        <v>-5.0714178795204359E-2</v>
      </c>
      <c r="AE2" s="167"/>
      <c r="AF2" s="166">
        <v>0.87053454726093027</v>
      </c>
      <c r="AG2" s="167"/>
    </row>
    <row r="3" spans="1:33" x14ac:dyDescent="0.45">
      <c r="A3" s="70">
        <v>1</v>
      </c>
      <c r="B3" s="71" t="s">
        <v>126</v>
      </c>
      <c r="C3" s="72">
        <v>1799.3999999999996</v>
      </c>
      <c r="D3" s="73" t="s">
        <v>281</v>
      </c>
      <c r="E3" s="92">
        <v>13.3125</v>
      </c>
      <c r="F3" s="73" t="s">
        <v>203</v>
      </c>
      <c r="G3" s="74">
        <v>1.5</v>
      </c>
      <c r="H3" s="73" t="s">
        <v>281</v>
      </c>
      <c r="I3" s="75">
        <v>0.625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11062.300319488819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0.40579710144927539</v>
      </c>
      <c r="X3" s="73" t="s">
        <v>228</v>
      </c>
      <c r="Y3" s="76">
        <v>0.35483870967741937</v>
      </c>
      <c r="Z3" s="73" t="s">
        <v>281</v>
      </c>
      <c r="AA3" s="76">
        <v>0.6785714285714286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551.50000000000057</v>
      </c>
      <c r="D4" s="81" t="s">
        <v>203</v>
      </c>
      <c r="E4" s="93">
        <v>13.1</v>
      </c>
      <c r="F4" s="81" t="s">
        <v>281</v>
      </c>
      <c r="G4" s="82">
        <v>1.75</v>
      </c>
      <c r="H4" s="81" t="s">
        <v>203</v>
      </c>
      <c r="I4" s="83">
        <v>0.5</v>
      </c>
      <c r="J4" s="81" t="s">
        <v>126</v>
      </c>
      <c r="K4" s="83">
        <v>0.23834196891191708</v>
      </c>
      <c r="L4" s="81" t="s">
        <v>281</v>
      </c>
      <c r="M4" s="84">
        <v>0.37681159420289856</v>
      </c>
      <c r="N4" s="81" t="s">
        <v>126</v>
      </c>
      <c r="O4" s="84">
        <v>0.12421185372005045</v>
      </c>
      <c r="P4" s="81" t="s">
        <v>281</v>
      </c>
      <c r="Q4" s="85">
        <v>9534.6153846153848</v>
      </c>
      <c r="R4" s="81" t="s">
        <v>171</v>
      </c>
      <c r="S4" s="85">
        <v>-7115.4761904761908</v>
      </c>
      <c r="T4" s="81" t="s">
        <v>281</v>
      </c>
      <c r="U4" s="83">
        <v>0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196</v>
      </c>
      <c r="AA4" s="84">
        <v>0.59677419354838712</v>
      </c>
      <c r="AB4" s="81" t="s">
        <v>274</v>
      </c>
      <c r="AC4" s="84">
        <v>0.75</v>
      </c>
      <c r="AD4" s="81" t="s">
        <v>274</v>
      </c>
      <c r="AE4" s="84">
        <v>0.52272727272727271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281</v>
      </c>
      <c r="C5" s="80">
        <v>106.5</v>
      </c>
      <c r="D5" s="81" t="s">
        <v>126</v>
      </c>
      <c r="E5" s="93">
        <v>9.323316062176163</v>
      </c>
      <c r="F5" s="81" t="s">
        <v>126</v>
      </c>
      <c r="G5" s="82">
        <v>1.766839378238342</v>
      </c>
      <c r="H5" s="81" t="s">
        <v>126</v>
      </c>
      <c r="I5" s="83">
        <v>0.47150259067357514</v>
      </c>
      <c r="J5" s="81" t="s">
        <v>171</v>
      </c>
      <c r="K5" s="83">
        <v>0.30201342281879195</v>
      </c>
      <c r="L5" s="81" t="s">
        <v>274</v>
      </c>
      <c r="M5" s="84">
        <v>0.34920634920634919</v>
      </c>
      <c r="N5" s="81" t="s">
        <v>171</v>
      </c>
      <c r="O5" s="84">
        <v>0.1396508728179551</v>
      </c>
      <c r="P5" s="81" t="s">
        <v>280</v>
      </c>
      <c r="Q5" s="85">
        <v>8512.5</v>
      </c>
      <c r="R5" s="81" t="s">
        <v>161</v>
      </c>
      <c r="S5" s="85">
        <v>-7537.3015873015875</v>
      </c>
      <c r="T5" s="81" t="s">
        <v>126</v>
      </c>
      <c r="U5" s="83">
        <v>4.145077720207254E-2</v>
      </c>
      <c r="V5" s="81" t="s">
        <v>274</v>
      </c>
      <c r="W5" s="84">
        <v>0.30952380952380953</v>
      </c>
      <c r="X5" s="81" t="s">
        <v>127</v>
      </c>
      <c r="Y5" s="84">
        <v>0.29852838121934128</v>
      </c>
      <c r="Z5" s="81" t="s">
        <v>126</v>
      </c>
      <c r="AA5" s="84">
        <v>0.59330143540669855</v>
      </c>
      <c r="AB5" s="81" t="s">
        <v>126</v>
      </c>
      <c r="AC5" s="84">
        <v>0.49333333333333335</v>
      </c>
      <c r="AD5" s="81" t="s">
        <v>170</v>
      </c>
      <c r="AE5" s="84">
        <v>0.51757188498402551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203</v>
      </c>
      <c r="C6" s="80">
        <v>26.2</v>
      </c>
      <c r="D6" s="81" t="s">
        <v>170</v>
      </c>
      <c r="E6" s="93">
        <v>3.8838028169014125</v>
      </c>
      <c r="F6" s="81" t="s">
        <v>170</v>
      </c>
      <c r="G6" s="82">
        <v>1.9225352112676057</v>
      </c>
      <c r="H6" s="81" t="s">
        <v>228</v>
      </c>
      <c r="I6" s="83">
        <v>0.42857142857142855</v>
      </c>
      <c r="J6" s="81" t="s">
        <v>170</v>
      </c>
      <c r="K6" s="83">
        <v>0.31690140845070425</v>
      </c>
      <c r="L6" s="81" t="s">
        <v>126</v>
      </c>
      <c r="M6" s="84">
        <v>0.34615384615384615</v>
      </c>
      <c r="N6" s="81" t="s">
        <v>141</v>
      </c>
      <c r="O6" s="84">
        <v>0.16104313434680509</v>
      </c>
      <c r="P6" s="81" t="s">
        <v>171</v>
      </c>
      <c r="Q6" s="85">
        <v>8404.7619047619046</v>
      </c>
      <c r="R6" s="81" t="s">
        <v>141</v>
      </c>
      <c r="S6" s="85">
        <v>-7808.1350729086726</v>
      </c>
      <c r="T6" s="81" t="s">
        <v>171</v>
      </c>
      <c r="U6" s="83">
        <v>7.3825503355704702E-2</v>
      </c>
      <c r="V6" s="81" t="s">
        <v>170</v>
      </c>
      <c r="W6" s="84">
        <v>0.29835212489158719</v>
      </c>
      <c r="X6" s="81" t="s">
        <v>161</v>
      </c>
      <c r="Y6" s="84">
        <v>0.26336375488917863</v>
      </c>
      <c r="Z6" s="81" t="s">
        <v>274</v>
      </c>
      <c r="AA6" s="84">
        <v>0.58974358974358976</v>
      </c>
      <c r="AB6" s="81" t="s">
        <v>281</v>
      </c>
      <c r="AC6" s="84">
        <v>0.45454545454545453</v>
      </c>
      <c r="AD6" s="81" t="s">
        <v>172</v>
      </c>
      <c r="AE6" s="84">
        <v>0.46724890829694321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141</v>
      </c>
      <c r="C7" s="80">
        <v>-6.3948846218409017E-14</v>
      </c>
      <c r="D7" s="81" t="s">
        <v>141</v>
      </c>
      <c r="E7" s="93">
        <v>-6.5994681339947383E-17</v>
      </c>
      <c r="F7" s="81" t="s">
        <v>127</v>
      </c>
      <c r="G7" s="82">
        <v>1.9883720930232558</v>
      </c>
      <c r="H7" s="81" t="s">
        <v>170</v>
      </c>
      <c r="I7" s="83">
        <v>0.39436619718309857</v>
      </c>
      <c r="J7" s="81" t="s">
        <v>127</v>
      </c>
      <c r="K7" s="83">
        <v>0.32558139534883723</v>
      </c>
      <c r="L7" s="81" t="s">
        <v>127</v>
      </c>
      <c r="M7" s="84">
        <v>0.31254379817799577</v>
      </c>
      <c r="N7" s="81" t="s">
        <v>161</v>
      </c>
      <c r="O7" s="84">
        <v>0.16427640156453716</v>
      </c>
      <c r="P7" s="81" t="s">
        <v>141</v>
      </c>
      <c r="Q7" s="85">
        <v>8399.4132439228833</v>
      </c>
      <c r="R7" s="81" t="s">
        <v>172</v>
      </c>
      <c r="S7" s="85">
        <v>-7813.9240506329115</v>
      </c>
      <c r="T7" s="81" t="s">
        <v>172</v>
      </c>
      <c r="U7" s="83">
        <v>0.08</v>
      </c>
      <c r="V7" s="81" t="s">
        <v>172</v>
      </c>
      <c r="W7" s="84">
        <v>0.27346465816917731</v>
      </c>
      <c r="X7" s="81" t="s">
        <v>126</v>
      </c>
      <c r="Y7" s="84">
        <v>0.2364438839848676</v>
      </c>
      <c r="Z7" s="81" t="s">
        <v>171</v>
      </c>
      <c r="AA7" s="84">
        <v>0.55663430420711979</v>
      </c>
      <c r="AB7" s="81" t="s">
        <v>197</v>
      </c>
      <c r="AC7" s="84">
        <v>0.43548387096774194</v>
      </c>
      <c r="AD7" s="81" t="s">
        <v>281</v>
      </c>
      <c r="AE7" s="84">
        <v>0.46153846153846156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196</v>
      </c>
      <c r="C8" s="80">
        <v>-45.7</v>
      </c>
      <c r="D8" s="81" t="s">
        <v>127</v>
      </c>
      <c r="E8" s="93">
        <v>-0.35174418604651281</v>
      </c>
      <c r="F8" s="81" t="s">
        <v>274</v>
      </c>
      <c r="G8" s="82">
        <v>2</v>
      </c>
      <c r="H8" s="81" t="s">
        <v>196</v>
      </c>
      <c r="I8" s="83">
        <v>0.36</v>
      </c>
      <c r="J8" s="81" t="s">
        <v>141</v>
      </c>
      <c r="K8" s="83">
        <v>0.33333333333333331</v>
      </c>
      <c r="L8" s="81" t="s">
        <v>141</v>
      </c>
      <c r="M8" s="84">
        <v>0.29489556297120256</v>
      </c>
      <c r="N8" s="81" t="s">
        <v>274</v>
      </c>
      <c r="O8" s="84">
        <v>0.16666666666666666</v>
      </c>
      <c r="P8" s="81" t="s">
        <v>196</v>
      </c>
      <c r="Q8" s="85">
        <v>8385.7142857142862</v>
      </c>
      <c r="R8" s="81" t="s">
        <v>126</v>
      </c>
      <c r="S8" s="85">
        <v>-7815.2284263959391</v>
      </c>
      <c r="T8" s="81" t="s">
        <v>161</v>
      </c>
      <c r="U8" s="83">
        <v>8.0459770114942528E-2</v>
      </c>
      <c r="V8" s="81" t="s">
        <v>203</v>
      </c>
      <c r="W8" s="84">
        <v>0.26666666666666666</v>
      </c>
      <c r="X8" s="81" t="s">
        <v>141</v>
      </c>
      <c r="Y8" s="84">
        <v>0.23198615745890497</v>
      </c>
      <c r="Z8" s="81" t="s">
        <v>141</v>
      </c>
      <c r="AA8" s="84">
        <v>0.55155402072027626</v>
      </c>
      <c r="AB8" s="81" t="s">
        <v>171</v>
      </c>
      <c r="AC8" s="84">
        <v>0.42086330935251798</v>
      </c>
      <c r="AD8" s="81" t="s">
        <v>197</v>
      </c>
      <c r="AE8" s="84">
        <v>0.45714285714285713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274</v>
      </c>
      <c r="C9" s="80">
        <v>-55.5</v>
      </c>
      <c r="D9" s="81" t="s">
        <v>171</v>
      </c>
      <c r="E9" s="93">
        <v>-0.72348993288590591</v>
      </c>
      <c r="F9" s="81" t="s">
        <v>141</v>
      </c>
      <c r="G9" s="82">
        <v>2</v>
      </c>
      <c r="H9" s="81" t="s">
        <v>274</v>
      </c>
      <c r="I9" s="83">
        <v>0.35714285714285715</v>
      </c>
      <c r="J9" s="81" t="s">
        <v>274</v>
      </c>
      <c r="K9" s="83">
        <v>0.35714285714285715</v>
      </c>
      <c r="L9" s="81" t="s">
        <v>171</v>
      </c>
      <c r="M9" s="84">
        <v>0.2793017456359102</v>
      </c>
      <c r="N9" s="81" t="s">
        <v>196</v>
      </c>
      <c r="O9" s="84">
        <v>0.17499999999999999</v>
      </c>
      <c r="P9" s="81" t="s">
        <v>197</v>
      </c>
      <c r="Q9" s="85">
        <v>8176.4285714285716</v>
      </c>
      <c r="R9" s="81" t="s">
        <v>127</v>
      </c>
      <c r="S9" s="85">
        <v>-7970.3125</v>
      </c>
      <c r="T9" s="81" t="s">
        <v>141</v>
      </c>
      <c r="U9" s="83">
        <v>9.2879256965944276E-2</v>
      </c>
      <c r="V9" s="81" t="s">
        <v>126</v>
      </c>
      <c r="W9" s="84">
        <v>0.2635561160151324</v>
      </c>
      <c r="X9" s="81" t="s">
        <v>171</v>
      </c>
      <c r="Y9" s="84">
        <v>0.23108894430590191</v>
      </c>
      <c r="Z9" s="81" t="s">
        <v>170</v>
      </c>
      <c r="AA9" s="84">
        <v>0.54360465116279066</v>
      </c>
      <c r="AB9" s="81" t="s">
        <v>141</v>
      </c>
      <c r="AC9" s="84">
        <v>0.41981885988279166</v>
      </c>
      <c r="AD9" s="81" t="s">
        <v>141</v>
      </c>
      <c r="AE9" s="84">
        <v>0.44886839899413244</v>
      </c>
      <c r="AF9" s="81" t="s">
        <v>161</v>
      </c>
      <c r="AG9" s="88">
        <v>87400</v>
      </c>
    </row>
    <row r="10" spans="1:33" x14ac:dyDescent="0.45">
      <c r="A10" s="78">
        <v>8</v>
      </c>
      <c r="B10" s="79" t="s">
        <v>127</v>
      </c>
      <c r="C10" s="80">
        <v>-60.500000000000199</v>
      </c>
      <c r="D10" s="81" t="s">
        <v>196</v>
      </c>
      <c r="E10" s="93">
        <v>-1.8280000000000001</v>
      </c>
      <c r="F10" s="81" t="s">
        <v>196</v>
      </c>
      <c r="G10" s="82">
        <v>2.04</v>
      </c>
      <c r="H10" s="81" t="s">
        <v>127</v>
      </c>
      <c r="I10" s="83">
        <v>0.33720930232558138</v>
      </c>
      <c r="J10" s="81" t="s">
        <v>281</v>
      </c>
      <c r="K10" s="83">
        <v>0.375</v>
      </c>
      <c r="L10" s="81" t="s">
        <v>161</v>
      </c>
      <c r="M10" s="84">
        <v>0.27379400260756193</v>
      </c>
      <c r="N10" s="81" t="s">
        <v>170</v>
      </c>
      <c r="O10" s="84">
        <v>0.17519514310494363</v>
      </c>
      <c r="P10" s="81" t="s">
        <v>126</v>
      </c>
      <c r="Q10" s="85">
        <v>8168.3060109289618</v>
      </c>
      <c r="R10" s="81" t="s">
        <v>280</v>
      </c>
      <c r="S10" s="85">
        <v>-7987.5</v>
      </c>
      <c r="T10" s="81" t="s">
        <v>127</v>
      </c>
      <c r="U10" s="83">
        <v>0.10465116279069768</v>
      </c>
      <c r="V10" s="81" t="s">
        <v>196</v>
      </c>
      <c r="W10" s="84">
        <v>0.25833333333333336</v>
      </c>
      <c r="X10" s="81" t="s">
        <v>197</v>
      </c>
      <c r="Y10" s="84">
        <v>0.22962962962962963</v>
      </c>
      <c r="Z10" s="81" t="s">
        <v>172</v>
      </c>
      <c r="AA10" s="84">
        <v>0.53813559322033899</v>
      </c>
      <c r="AB10" s="81" t="s">
        <v>172</v>
      </c>
      <c r="AC10" s="84">
        <v>0.40606060606060607</v>
      </c>
      <c r="AD10" s="81" t="s">
        <v>171</v>
      </c>
      <c r="AE10" s="84">
        <v>0.44642857142857145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280</v>
      </c>
      <c r="C11" s="80">
        <v>-80.800000000000011</v>
      </c>
      <c r="D11" s="81" t="s">
        <v>274</v>
      </c>
      <c r="E11" s="93">
        <v>-3.9642857142857144</v>
      </c>
      <c r="F11" s="81" t="s">
        <v>171</v>
      </c>
      <c r="G11" s="82">
        <v>2.0536912751677852</v>
      </c>
      <c r="H11" s="81" t="s">
        <v>141</v>
      </c>
      <c r="I11" s="83">
        <v>0.33333333333333331</v>
      </c>
      <c r="J11" s="81" t="s">
        <v>172</v>
      </c>
      <c r="K11" s="83">
        <v>0.4</v>
      </c>
      <c r="L11" s="81" t="s">
        <v>170</v>
      </c>
      <c r="M11" s="84">
        <v>0.27146574154379877</v>
      </c>
      <c r="N11" s="81" t="s">
        <v>197</v>
      </c>
      <c r="O11" s="84">
        <v>0.17777777777777778</v>
      </c>
      <c r="P11" s="81" t="s">
        <v>127</v>
      </c>
      <c r="Q11" s="85">
        <v>7948.6547085201792</v>
      </c>
      <c r="R11" s="81" t="s">
        <v>203</v>
      </c>
      <c r="S11" s="85">
        <v>-8000</v>
      </c>
      <c r="T11" s="81" t="s">
        <v>170</v>
      </c>
      <c r="U11" s="83">
        <v>0.11971830985915492</v>
      </c>
      <c r="V11" s="81" t="s">
        <v>171</v>
      </c>
      <c r="W11" s="84">
        <v>0.256857855361596</v>
      </c>
      <c r="X11" s="81" t="s">
        <v>172</v>
      </c>
      <c r="Y11" s="84">
        <v>0.19119351100811124</v>
      </c>
      <c r="Z11" s="81" t="s">
        <v>228</v>
      </c>
      <c r="AA11" s="84">
        <v>0.53333333333333333</v>
      </c>
      <c r="AB11" s="81" t="s">
        <v>161</v>
      </c>
      <c r="AC11" s="84">
        <v>0.40099009900990101</v>
      </c>
      <c r="AD11" s="81" t="s">
        <v>161</v>
      </c>
      <c r="AE11" s="84">
        <v>0.42857142857142855</v>
      </c>
      <c r="AF11" s="81" t="s">
        <v>281</v>
      </c>
      <c r="AG11" s="88">
        <v>70900</v>
      </c>
    </row>
    <row r="12" spans="1:33" x14ac:dyDescent="0.45">
      <c r="A12" s="78">
        <v>10</v>
      </c>
      <c r="B12" s="79" t="s">
        <v>228</v>
      </c>
      <c r="C12" s="80">
        <v>-104.80000000000001</v>
      </c>
      <c r="D12" s="81" t="s">
        <v>161</v>
      </c>
      <c r="E12" s="93">
        <v>-6.9758620689655206</v>
      </c>
      <c r="F12" s="81" t="s">
        <v>228</v>
      </c>
      <c r="G12" s="82">
        <v>2.1428571428571428</v>
      </c>
      <c r="H12" s="81" t="s">
        <v>161</v>
      </c>
      <c r="I12" s="83">
        <v>0.28735632183908044</v>
      </c>
      <c r="J12" s="81" t="s">
        <v>196</v>
      </c>
      <c r="K12" s="83">
        <v>0.4</v>
      </c>
      <c r="L12" s="81" t="s">
        <v>172</v>
      </c>
      <c r="M12" s="84">
        <v>0.26535341830822712</v>
      </c>
      <c r="N12" s="81" t="s">
        <v>127</v>
      </c>
      <c r="O12" s="84">
        <v>0.17939733707077785</v>
      </c>
      <c r="P12" s="81" t="s">
        <v>172</v>
      </c>
      <c r="Q12" s="85">
        <v>7835.8078602620089</v>
      </c>
      <c r="R12" s="81" t="s">
        <v>170</v>
      </c>
      <c r="S12" s="85">
        <v>-8076.2376237623766</v>
      </c>
      <c r="T12" s="81" t="s">
        <v>196</v>
      </c>
      <c r="U12" s="83">
        <v>0.12</v>
      </c>
      <c r="V12" s="81" t="s">
        <v>141</v>
      </c>
      <c r="W12" s="84">
        <v>0.25052527499691013</v>
      </c>
      <c r="X12" s="81" t="s">
        <v>170</v>
      </c>
      <c r="Y12" s="84">
        <v>0.18300086730268864</v>
      </c>
      <c r="Z12" s="81" t="s">
        <v>161</v>
      </c>
      <c r="AA12" s="84">
        <v>0.5321100917431193</v>
      </c>
      <c r="AB12" s="81" t="s">
        <v>127</v>
      </c>
      <c r="AC12" s="84">
        <v>0.38497652582159625</v>
      </c>
      <c r="AD12" s="81" t="s">
        <v>126</v>
      </c>
      <c r="AE12" s="84">
        <v>0.42258652094717669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171</v>
      </c>
      <c r="C13" s="80">
        <v>-107.79999999999998</v>
      </c>
      <c r="D13" s="81" t="s">
        <v>172</v>
      </c>
      <c r="E13" s="93">
        <v>-7.5269999999999992</v>
      </c>
      <c r="F13" s="81" t="s">
        <v>161</v>
      </c>
      <c r="G13" s="82">
        <v>2.1609195402298851</v>
      </c>
      <c r="H13" s="81" t="s">
        <v>171</v>
      </c>
      <c r="I13" s="83">
        <v>0.24832214765100671</v>
      </c>
      <c r="J13" s="81" t="s">
        <v>280</v>
      </c>
      <c r="K13" s="83">
        <v>0.4</v>
      </c>
      <c r="L13" s="81" t="s">
        <v>196</v>
      </c>
      <c r="M13" s="84">
        <v>0.26250000000000001</v>
      </c>
      <c r="N13" s="81" t="s">
        <v>172</v>
      </c>
      <c r="O13" s="84">
        <v>0.18308227114716108</v>
      </c>
      <c r="P13" s="81" t="s">
        <v>228</v>
      </c>
      <c r="Q13" s="85">
        <v>7473.333333333333</v>
      </c>
      <c r="R13" s="81" t="s">
        <v>274</v>
      </c>
      <c r="S13" s="85">
        <v>-8195.2380952380954</v>
      </c>
      <c r="T13" s="81" t="s">
        <v>197</v>
      </c>
      <c r="U13" s="83">
        <v>0.15384615384615385</v>
      </c>
      <c r="V13" s="81" t="s">
        <v>228</v>
      </c>
      <c r="W13" s="84">
        <v>0.24193548387096775</v>
      </c>
      <c r="X13" s="81" t="s">
        <v>281</v>
      </c>
      <c r="Y13" s="84">
        <v>0.15942028985507245</v>
      </c>
      <c r="Z13" s="81" t="s">
        <v>197</v>
      </c>
      <c r="AA13" s="84">
        <v>0.51754385964912286</v>
      </c>
      <c r="AB13" s="81" t="s">
        <v>170</v>
      </c>
      <c r="AC13" s="84">
        <v>0.36966824644549762</v>
      </c>
      <c r="AD13" s="81" t="s">
        <v>127</v>
      </c>
      <c r="AE13" s="84">
        <v>0.4170403587443946</v>
      </c>
      <c r="AF13" s="81" t="s">
        <v>274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-606.90000000000032</v>
      </c>
      <c r="D14" s="81" t="s">
        <v>197</v>
      </c>
      <c r="E14" s="93">
        <v>-10.290769230769232</v>
      </c>
      <c r="F14" s="81" t="s">
        <v>172</v>
      </c>
      <c r="G14" s="82">
        <v>2.19</v>
      </c>
      <c r="H14" s="81" t="s">
        <v>172</v>
      </c>
      <c r="I14" s="83">
        <v>0.21</v>
      </c>
      <c r="J14" s="81" t="s">
        <v>197</v>
      </c>
      <c r="K14" s="83">
        <v>0.43076923076923079</v>
      </c>
      <c r="L14" s="81" t="s">
        <v>197</v>
      </c>
      <c r="M14" s="84">
        <v>0.25925925925925924</v>
      </c>
      <c r="N14" s="81" t="s">
        <v>228</v>
      </c>
      <c r="O14" s="84">
        <v>0.19354838709677419</v>
      </c>
      <c r="P14" s="81" t="s">
        <v>203</v>
      </c>
      <c r="Q14" s="85">
        <v>7385.7142857142853</v>
      </c>
      <c r="R14" s="81" t="s">
        <v>197</v>
      </c>
      <c r="S14" s="85">
        <v>-8397.9166666666661</v>
      </c>
      <c r="T14" s="81" t="s">
        <v>280</v>
      </c>
      <c r="U14" s="83">
        <v>0.2</v>
      </c>
      <c r="V14" s="81" t="s">
        <v>127</v>
      </c>
      <c r="W14" s="84">
        <v>0.23405746320953047</v>
      </c>
      <c r="X14" s="81" t="s">
        <v>196</v>
      </c>
      <c r="Y14" s="84">
        <v>0.15</v>
      </c>
      <c r="Z14" s="81" t="s">
        <v>127</v>
      </c>
      <c r="AA14" s="84">
        <v>0.51497005988023947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5">
      <c r="A15" s="78">
        <v>13</v>
      </c>
      <c r="B15" s="79" t="s">
        <v>197</v>
      </c>
      <c r="C15" s="80">
        <v>-668.90000000000009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161</v>
      </c>
      <c r="K15" s="83">
        <v>0.44827586206896552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161</v>
      </c>
      <c r="Q15" s="85">
        <v>7096.666666666667</v>
      </c>
      <c r="R15" s="81" t="s">
        <v>281</v>
      </c>
      <c r="S15" s="85">
        <v>-8437.5</v>
      </c>
      <c r="T15" s="81" t="s">
        <v>274</v>
      </c>
      <c r="U15" s="83">
        <v>0.21428571428571427</v>
      </c>
      <c r="V15" s="81" t="s">
        <v>197</v>
      </c>
      <c r="W15" s="84">
        <v>0.21111111111111111</v>
      </c>
      <c r="X15" s="81" t="s">
        <v>280</v>
      </c>
      <c r="Y15" s="84">
        <v>0.15</v>
      </c>
      <c r="Z15" s="81" t="s">
        <v>203</v>
      </c>
      <c r="AA15" s="84">
        <v>0.5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5">
      <c r="A16" s="78">
        <v>14</v>
      </c>
      <c r="B16" s="79" t="s">
        <v>172</v>
      </c>
      <c r="C16" s="80">
        <v>-752.69999999999993</v>
      </c>
      <c r="D16" s="81" t="s">
        <v>280</v>
      </c>
      <c r="E16" s="93">
        <v>-16.160000000000004</v>
      </c>
      <c r="F16" s="81" t="s">
        <v>197</v>
      </c>
      <c r="G16" s="82">
        <v>2.2615384615384615</v>
      </c>
      <c r="H16" s="81" t="s">
        <v>197</v>
      </c>
      <c r="I16" s="83">
        <v>0.16923076923076924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0.2318840579710145</v>
      </c>
      <c r="P16" s="81" t="s">
        <v>274</v>
      </c>
      <c r="Q16" s="85">
        <v>6534.090909090909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0.14211212516297261</v>
      </c>
      <c r="X16" s="81" t="s">
        <v>274</v>
      </c>
      <c r="Y16" s="84">
        <v>0.12698412698412698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A6EC4-2334-478F-98A5-E0D233397B9F}">
  <sheetPr codeName="Sheet4"/>
  <dimension ref="A1:Q97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969</v>
      </c>
      <c r="C2" s="155"/>
      <c r="E2" s="58" t="s">
        <v>66</v>
      </c>
      <c r="F2" s="55" t="s">
        <v>22</v>
      </c>
      <c r="G2" s="43">
        <v>1785</v>
      </c>
      <c r="H2" s="128">
        <f>IF(B$15=0,0,G2/B$15)</f>
        <v>0.74811399832355407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-27.950310559006212</v>
      </c>
      <c r="P2" s="114">
        <v>966</v>
      </c>
      <c r="Q2" s="98">
        <v>-27000</v>
      </c>
    </row>
    <row r="3" spans="1:17" x14ac:dyDescent="0.45">
      <c r="A3" s="51" t="s">
        <v>8</v>
      </c>
      <c r="B3" s="156">
        <v>8091</v>
      </c>
      <c r="C3" s="157"/>
      <c r="E3" s="59" t="s">
        <v>72</v>
      </c>
      <c r="F3" s="56" t="s">
        <v>27</v>
      </c>
      <c r="G3" s="44">
        <v>1293</v>
      </c>
      <c r="H3" s="129">
        <f>IF(B$15=0,0,G3/B$15)</f>
        <v>0.54191114836546517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7.3606729758149321</v>
      </c>
      <c r="P3" s="115">
        <v>951</v>
      </c>
      <c r="Q3" s="99">
        <v>7000</v>
      </c>
    </row>
    <row r="4" spans="1:17" x14ac:dyDescent="0.45">
      <c r="A4" s="51" t="s">
        <v>6</v>
      </c>
      <c r="B4" s="158">
        <v>-6.3948846218409017E-14</v>
      </c>
      <c r="C4" s="159"/>
      <c r="E4" s="59" t="s">
        <v>64</v>
      </c>
      <c r="F4" s="56" t="s">
        <v>20</v>
      </c>
      <c r="G4" s="44">
        <v>1081</v>
      </c>
      <c r="H4" s="129">
        <f>IF(B$15=0,0,G4/B$15)</f>
        <v>0.45305951383067894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-1.1148272017837235</v>
      </c>
      <c r="P4" s="115">
        <v>897</v>
      </c>
      <c r="Q4" s="99">
        <v>-1000</v>
      </c>
    </row>
    <row r="5" spans="1:17" x14ac:dyDescent="0.45">
      <c r="A5" s="51" t="s">
        <v>7</v>
      </c>
      <c r="B5" s="160">
        <f>IF(B$2=0,0,B$4/B$2)</f>
        <v>-6.5994681339947383E-17</v>
      </c>
      <c r="C5" s="161"/>
      <c r="E5" s="59" t="s">
        <v>166</v>
      </c>
      <c r="F5" s="56" t="s">
        <v>167</v>
      </c>
      <c r="G5" s="44">
        <v>935</v>
      </c>
      <c r="H5" s="129">
        <f>IF(B$15=0,0,G5/B$15)</f>
        <v>0.39186923721709976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3.5460992907801416</v>
      </c>
      <c r="P5" s="115">
        <v>846</v>
      </c>
      <c r="Q5" s="99">
        <v>3000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744</v>
      </c>
      <c r="H6" s="129">
        <f>IF(B$15=0,0,G6/B$15)</f>
        <v>0.31181894383906117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6.3856960408684547</v>
      </c>
      <c r="P6" s="115">
        <v>783</v>
      </c>
      <c r="Q6" s="99">
        <v>5000</v>
      </c>
    </row>
    <row r="7" spans="1:17" x14ac:dyDescent="0.45">
      <c r="A7" s="51" t="s">
        <v>2</v>
      </c>
      <c r="B7" s="44">
        <v>323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663</v>
      </c>
      <c r="H7" s="129">
        <f>IF(B$15=0,0,G7/B$15)</f>
        <v>0.27787091366303435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17.054263565891471</v>
      </c>
      <c r="P7" s="116">
        <v>645</v>
      </c>
      <c r="Q7" s="100">
        <v>11000</v>
      </c>
    </row>
    <row r="8" spans="1:17" x14ac:dyDescent="0.45">
      <c r="A8" s="51" t="s">
        <v>3</v>
      </c>
      <c r="B8" s="44">
        <v>323</v>
      </c>
      <c r="C8" s="37">
        <f t="shared" si="1"/>
        <v>0.33333333333333331</v>
      </c>
      <c r="E8" s="59" t="s">
        <v>69</v>
      </c>
      <c r="F8" s="56" t="s">
        <v>24</v>
      </c>
      <c r="G8" s="44">
        <v>335</v>
      </c>
      <c r="H8" s="129">
        <f>IF(B$15=0,0,G8/B$15)</f>
        <v>0.14040234702430845</v>
      </c>
      <c r="I8" s="90">
        <v>7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323</v>
      </c>
      <c r="C9" s="38">
        <f t="shared" si="1"/>
        <v>0.33333333333333331</v>
      </c>
      <c r="E9" s="59" t="s">
        <v>89</v>
      </c>
      <c r="F9" s="56" t="s">
        <v>44</v>
      </c>
      <c r="G9" s="44">
        <v>329</v>
      </c>
      <c r="H9" s="129">
        <f>IF(B$15=0,0,G9/B$15)</f>
        <v>0.13788767812238056</v>
      </c>
      <c r="I9" s="90">
        <v>6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90</v>
      </c>
      <c r="C10" s="40">
        <f t="shared" si="1"/>
        <v>9.2879256965944276E-2</v>
      </c>
      <c r="E10" s="59" t="s">
        <v>65</v>
      </c>
      <c r="F10" s="56" t="s">
        <v>21</v>
      </c>
      <c r="G10" s="44">
        <v>249</v>
      </c>
      <c r="H10" s="129">
        <f>IF(B$15=0,0,G10/B$15)</f>
        <v>0.10435875943000839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-4.3538699690402467</v>
      </c>
      <c r="P10" s="114">
        <v>323</v>
      </c>
      <c r="Q10" s="102">
        <v>-1406.2999999999997</v>
      </c>
    </row>
    <row r="11" spans="1:17" x14ac:dyDescent="0.45">
      <c r="A11" s="54" t="s">
        <v>121</v>
      </c>
      <c r="B11" s="47">
        <v>2027</v>
      </c>
      <c r="C11" s="42">
        <f>IF(B$3=0,0,B11/B$3)</f>
        <v>0.25052527499691013</v>
      </c>
      <c r="E11" s="59" t="s">
        <v>70</v>
      </c>
      <c r="F11" s="56" t="s">
        <v>25</v>
      </c>
      <c r="G11" s="44">
        <v>220</v>
      </c>
      <c r="H11" s="129">
        <f>IF(B$15=0,0,G11/B$15)</f>
        <v>9.2204526404023476E-2</v>
      </c>
      <c r="I11" s="90">
        <v>8</v>
      </c>
      <c r="K11" s="36">
        <v>9</v>
      </c>
      <c r="L11" s="95">
        <v>0</v>
      </c>
      <c r="N11" s="111" t="s">
        <v>158</v>
      </c>
      <c r="O11" s="121">
        <f>IF(P11=0,0,Q11/P11)</f>
        <v>1.2436532507739941</v>
      </c>
      <c r="P11" s="115">
        <v>323</v>
      </c>
      <c r="Q11" s="103">
        <v>401.7000000000001</v>
      </c>
    </row>
    <row r="12" spans="1:17" x14ac:dyDescent="0.45">
      <c r="A12" s="51" t="s">
        <v>118</v>
      </c>
      <c r="B12" s="44">
        <v>1877</v>
      </c>
      <c r="C12" s="37">
        <f>IF(B$3=0,0,B12/B$3)</f>
        <v>0.23198615745890497</v>
      </c>
      <c r="E12" s="59" t="s">
        <v>71</v>
      </c>
      <c r="F12" s="56" t="s">
        <v>26</v>
      </c>
      <c r="G12" s="44">
        <v>190</v>
      </c>
      <c r="H12" s="129">
        <f>IF(B$15=0,0,G12/B$15)</f>
        <v>7.9631181894383909E-2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3.110216718266253</v>
      </c>
      <c r="P12" s="116">
        <v>323</v>
      </c>
      <c r="Q12" s="104">
        <v>1004.5999999999997</v>
      </c>
    </row>
    <row r="13" spans="1:17" x14ac:dyDescent="0.45">
      <c r="A13" s="50" t="s">
        <v>123</v>
      </c>
      <c r="B13" s="43">
        <f>B19</f>
        <v>1118</v>
      </c>
      <c r="C13" s="35">
        <f>IF(B$11=0,0,B13/B$11)</f>
        <v>0.55155402072027626</v>
      </c>
      <c r="E13" s="59" t="s">
        <v>86</v>
      </c>
      <c r="F13" s="56" t="s">
        <v>41</v>
      </c>
      <c r="G13" s="44">
        <v>119</v>
      </c>
      <c r="H13" s="129">
        <f>IF(B$15=0,0,G13/B$15)</f>
        <v>4.9874266554903603E-2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788</v>
      </c>
      <c r="C14" s="35">
        <f>IF(B$12=0,0,B14/B$12)</f>
        <v>0.41981885988279166</v>
      </c>
      <c r="E14" s="59" t="s">
        <v>83</v>
      </c>
      <c r="F14" s="56" t="s">
        <v>38</v>
      </c>
      <c r="G14" s="44">
        <v>118</v>
      </c>
      <c r="H14" s="129">
        <f>IF(B$15=0,0,G14/B$15)</f>
        <v>4.9455155071248952E-2</v>
      </c>
      <c r="I14" s="90">
        <v>6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2386</v>
      </c>
      <c r="C15" s="35">
        <f>IF(B$3=0,0,B15/B$3)</f>
        <v>0.29489556297120256</v>
      </c>
      <c r="E15" s="59" t="s">
        <v>78</v>
      </c>
      <c r="F15" s="56" t="s">
        <v>33</v>
      </c>
      <c r="G15" s="44">
        <v>66</v>
      </c>
      <c r="H15" s="129">
        <f>IF(B$15=0,0,G15/B$15)</f>
        <v>2.7661357921207042E-2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1303</v>
      </c>
      <c r="C16" s="37">
        <f>IF(B$3=0,0,B16/B$3)</f>
        <v>0.16104313434680509</v>
      </c>
      <c r="E16" s="59" t="s">
        <v>81</v>
      </c>
      <c r="F16" s="56" t="s">
        <v>36</v>
      </c>
      <c r="G16" s="44">
        <v>53</v>
      </c>
      <c r="H16" s="129">
        <f>IF(B$15=0,0,G16/B$15)</f>
        <v>2.2212908633696564E-2</v>
      </c>
      <c r="I16" s="90">
        <v>5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1071</v>
      </c>
      <c r="C17" s="37">
        <f>IF(B$15=0,0,B17/B$15)</f>
        <v>0.44886839899413244</v>
      </c>
      <c r="E17" s="59" t="s">
        <v>162</v>
      </c>
      <c r="F17" s="56" t="s">
        <v>163</v>
      </c>
      <c r="G17" s="44">
        <v>49</v>
      </c>
      <c r="H17" s="129">
        <f>IF(B$15=0,0,G17/B$15)</f>
        <v>2.0536462699077954E-2</v>
      </c>
      <c r="I17" s="90">
        <v>3</v>
      </c>
      <c r="K17" s="36">
        <v>15</v>
      </c>
      <c r="L17" s="95">
        <v>0</v>
      </c>
      <c r="N17" s="111" t="s">
        <v>197</v>
      </c>
      <c r="O17" s="121">
        <f>IF(P17=0,0,Q17/P17)</f>
        <v>15.436153846153831</v>
      </c>
      <c r="P17" s="115">
        <v>130</v>
      </c>
      <c r="Q17" s="103">
        <v>2006.699999999998</v>
      </c>
    </row>
    <row r="18" spans="1:17" x14ac:dyDescent="0.45">
      <c r="A18" s="51" t="s">
        <v>11</v>
      </c>
      <c r="B18" s="44">
        <v>1315</v>
      </c>
      <c r="C18" s="37">
        <f>IF(B$15=0,0,B18/B$15)</f>
        <v>0.55113160100586756</v>
      </c>
      <c r="E18" s="59" t="s">
        <v>91</v>
      </c>
      <c r="F18" s="56" t="s">
        <v>46</v>
      </c>
      <c r="G18" s="44">
        <v>38</v>
      </c>
      <c r="H18" s="129">
        <f>IF(B$15=0,0,G18/B$15)</f>
        <v>1.5926236378876781E-2</v>
      </c>
      <c r="I18" s="90">
        <v>5</v>
      </c>
      <c r="K18" s="36">
        <v>16</v>
      </c>
      <c r="L18" s="95">
        <v>-28.2</v>
      </c>
      <c r="N18" s="111" t="s">
        <v>172</v>
      </c>
      <c r="O18" s="121">
        <f>IF(P18=0,0,Q18/P18)</f>
        <v>11.290499999999994</v>
      </c>
      <c r="P18" s="115">
        <v>200</v>
      </c>
      <c r="Q18" s="103">
        <v>2258.099999999999</v>
      </c>
    </row>
    <row r="19" spans="1:17" x14ac:dyDescent="0.45">
      <c r="A19" s="51" t="s">
        <v>195</v>
      </c>
      <c r="B19" s="44">
        <v>1118</v>
      </c>
      <c r="C19" s="37">
        <f>IF(B$15=0,0,B19/B$15)</f>
        <v>0.4685666387259011</v>
      </c>
      <c r="E19" s="59" t="s">
        <v>79</v>
      </c>
      <c r="F19" s="56" t="s">
        <v>34</v>
      </c>
      <c r="G19" s="44">
        <v>35</v>
      </c>
      <c r="H19" s="129">
        <f>IF(B$15=0,0,G19/B$15)</f>
        <v>1.4668901927912825E-2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7.901052631578942</v>
      </c>
      <c r="P19" s="115">
        <v>190</v>
      </c>
      <c r="Q19" s="103">
        <v>1501.1999999999989</v>
      </c>
    </row>
    <row r="20" spans="1:17" x14ac:dyDescent="0.45">
      <c r="A20" s="51" t="s">
        <v>193</v>
      </c>
      <c r="B20" s="44">
        <v>788</v>
      </c>
      <c r="C20" s="37">
        <f>IF(B$15=0,0,B20/B$15)</f>
        <v>0.33025984911986589</v>
      </c>
      <c r="E20" s="59" t="s">
        <v>75</v>
      </c>
      <c r="F20" s="56" t="s">
        <v>30</v>
      </c>
      <c r="G20" s="44">
        <v>19</v>
      </c>
      <c r="H20" s="129">
        <f>IF(B$15=0,0,G20/B$15)</f>
        <v>7.9631181894383903E-3</v>
      </c>
      <c r="I20" s="90">
        <v>6</v>
      </c>
      <c r="K20" s="36">
        <v>18</v>
      </c>
      <c r="L20" s="95">
        <v>0</v>
      </c>
      <c r="N20" s="111" t="s">
        <v>274</v>
      </c>
      <c r="O20" s="121">
        <f>IF(P20=0,0,Q20/P20)</f>
        <v>5.9464285714285685</v>
      </c>
      <c r="P20" s="115">
        <v>28</v>
      </c>
      <c r="Q20" s="103">
        <v>166.49999999999991</v>
      </c>
    </row>
    <row r="21" spans="1:17" x14ac:dyDescent="0.45">
      <c r="A21" s="51" t="s">
        <v>194</v>
      </c>
      <c r="B21" s="44">
        <v>480</v>
      </c>
      <c r="C21" s="37">
        <f>IF(B$15=0,0,B21/B$15)</f>
        <v>0.20117351215423301</v>
      </c>
      <c r="E21" s="59" t="s">
        <v>92</v>
      </c>
      <c r="F21" s="56" t="s">
        <v>47</v>
      </c>
      <c r="G21" s="44">
        <v>17</v>
      </c>
      <c r="H21" s="129">
        <f>IF(B$15=0,0,G21/B$15)</f>
        <v>7.124895222129086E-3</v>
      </c>
      <c r="I21" s="90">
        <v>4</v>
      </c>
      <c r="K21" s="36">
        <v>19</v>
      </c>
      <c r="L21" s="95">
        <v>-22.4</v>
      </c>
      <c r="N21" s="111" t="s">
        <v>196</v>
      </c>
      <c r="O21" s="121">
        <f>IF(P21=0,0,Q21/P21)</f>
        <v>2.742</v>
      </c>
      <c r="P21" s="115">
        <v>50</v>
      </c>
      <c r="Q21" s="103">
        <v>137.1</v>
      </c>
    </row>
    <row r="22" spans="1:17" x14ac:dyDescent="0.45">
      <c r="A22" s="51" t="s">
        <v>5</v>
      </c>
      <c r="B22" s="48">
        <f>IF(B$15=0,0,C22/B$15)</f>
        <v>8399.4132439228833</v>
      </c>
      <c r="C22" s="39">
        <v>20041000</v>
      </c>
      <c r="E22" s="59" t="s">
        <v>85</v>
      </c>
      <c r="F22" s="56" t="s">
        <v>40</v>
      </c>
      <c r="G22" s="44">
        <v>14</v>
      </c>
      <c r="H22" s="129">
        <f>IF(B$15=0,0,G22/B$15)</f>
        <v>5.86756077116513E-3</v>
      </c>
      <c r="I22" s="90">
        <v>6</v>
      </c>
      <c r="K22" s="36">
        <v>20</v>
      </c>
      <c r="L22" s="95">
        <v>-61.199999999999996</v>
      </c>
      <c r="N22" s="111" t="s">
        <v>171</v>
      </c>
      <c r="O22" s="121">
        <f>IF(P22=0,0,Q22/P22)</f>
        <v>1.0852348993288594</v>
      </c>
      <c r="P22" s="115">
        <v>298</v>
      </c>
      <c r="Q22" s="103">
        <v>323.40000000000009</v>
      </c>
    </row>
    <row r="23" spans="1:17" x14ac:dyDescent="0.45">
      <c r="A23" s="52" t="s">
        <v>177</v>
      </c>
      <c r="B23" s="136">
        <f>IF($B$15-B$14=0,0,C23/($B$15-B$14))</f>
        <v>9093.2415519399256</v>
      </c>
      <c r="C23" s="137">
        <v>14531000</v>
      </c>
      <c r="E23" s="59" t="s">
        <v>73</v>
      </c>
      <c r="F23" s="56" t="s">
        <v>28</v>
      </c>
      <c r="G23" s="44">
        <v>8</v>
      </c>
      <c r="H23" s="129">
        <f>IF(B$15=0,0,G23/B$15)</f>
        <v>3.3528918692372171E-3</v>
      </c>
      <c r="I23" s="90">
        <v>3</v>
      </c>
      <c r="K23" s="36">
        <v>21</v>
      </c>
      <c r="L23" s="95">
        <v>7.1054273576010019E-15</v>
      </c>
      <c r="N23" s="111" t="s">
        <v>127</v>
      </c>
      <c r="O23" s="121">
        <f>IF(P23=0,0,Q23/P23)</f>
        <v>0.52761627906976394</v>
      </c>
      <c r="P23" s="115">
        <v>344</v>
      </c>
      <c r="Q23" s="103">
        <v>181.49999999999881</v>
      </c>
    </row>
    <row r="24" spans="1:17" x14ac:dyDescent="0.45">
      <c r="A24" s="52" t="s">
        <v>178</v>
      </c>
      <c r="B24" s="136">
        <f>IF(B$14=0,0,C24/B$14)</f>
        <v>6992.3857868020305</v>
      </c>
      <c r="C24" s="137">
        <v>5510000</v>
      </c>
      <c r="E24" s="59" t="s">
        <v>74</v>
      </c>
      <c r="F24" s="56" t="s">
        <v>29</v>
      </c>
      <c r="G24" s="44">
        <v>8</v>
      </c>
      <c r="H24" s="129">
        <f>IF(B$15=0,0,G24/B$15)</f>
        <v>3.3528918692372171E-3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-5.8257042253521076</v>
      </c>
      <c r="P24" s="115">
        <v>284</v>
      </c>
      <c r="Q24" s="103">
        <v>-1654.4999999999986</v>
      </c>
    </row>
    <row r="25" spans="1:17" x14ac:dyDescent="0.45">
      <c r="A25" s="52" t="s">
        <v>176</v>
      </c>
      <c r="B25" s="136">
        <f>IF(B$16=0,0,C25/B$16)</f>
        <v>-7808.1350729086726</v>
      </c>
      <c r="C25" s="137">
        <v>-10174000</v>
      </c>
      <c r="E25" s="59" t="s">
        <v>84</v>
      </c>
      <c r="F25" s="56" t="s">
        <v>39</v>
      </c>
      <c r="G25" s="44">
        <v>8</v>
      </c>
      <c r="H25" s="129">
        <f>IF(B$15=0,0,G25/B$15)</f>
        <v>3.3528918692372171E-3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-13.984974093264253</v>
      </c>
      <c r="P25" s="115">
        <v>386</v>
      </c>
      <c r="Q25" s="103">
        <v>-5398.2000000000016</v>
      </c>
    </row>
    <row r="26" spans="1:17" x14ac:dyDescent="0.45">
      <c r="A26" s="51" t="s">
        <v>164</v>
      </c>
      <c r="B26" s="44">
        <v>7</v>
      </c>
      <c r="C26" s="131">
        <v>2</v>
      </c>
      <c r="E26" s="59" t="s">
        <v>88</v>
      </c>
      <c r="F26" s="56" t="s">
        <v>43</v>
      </c>
      <c r="G26" s="44">
        <v>7</v>
      </c>
      <c r="H26" s="129">
        <f>IF(B$15=0,0,G26/B$15)</f>
        <v>2.933780385582565E-3</v>
      </c>
      <c r="I26" s="90">
        <v>5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3</v>
      </c>
      <c r="E27" s="59" t="s">
        <v>77</v>
      </c>
      <c r="F27" s="56" t="s">
        <v>32</v>
      </c>
      <c r="G27" s="44">
        <v>6</v>
      </c>
      <c r="H27" s="129">
        <f>IF(B$15=0,0,G27/B$15)</f>
        <v>2.5146689019279128E-3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5</v>
      </c>
      <c r="H28" s="129">
        <f>IF(B$15=0,0,G28/B$15)</f>
        <v>2.0955574182732607E-3</v>
      </c>
      <c r="I28" s="90">
        <v>5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4</v>
      </c>
      <c r="H29" s="129">
        <f>IF(B$15=0,0,G29/B$15)</f>
        <v>1.6764459346186086E-3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22</v>
      </c>
      <c r="C30" s="40">
        <f>IF(B$3=0,0,B30/B$3)</f>
        <v>2.7190705722407614E-3</v>
      </c>
      <c r="E30" s="59" t="s">
        <v>93</v>
      </c>
      <c r="F30" s="56" t="s">
        <v>48</v>
      </c>
      <c r="G30" s="44">
        <v>4</v>
      </c>
      <c r="H30" s="129">
        <f>IF(B$15=0,0,G30/B$15)</f>
        <v>1.6764459346186086E-3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95</v>
      </c>
      <c r="F31" s="56" t="s">
        <v>50</v>
      </c>
      <c r="G31" s="44">
        <v>4</v>
      </c>
      <c r="H31" s="129">
        <f>IF(B$15=0,0,G31/B$15)</f>
        <v>1.6764459346186086E-3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187</v>
      </c>
      <c r="C32" s="141">
        <f>IF(B$15=0,0,B32/B$15)</f>
        <v>7.837384744341995E-2</v>
      </c>
      <c r="E32" s="59" t="s">
        <v>97</v>
      </c>
      <c r="F32" s="56" t="s">
        <v>52</v>
      </c>
      <c r="G32" s="44">
        <v>1</v>
      </c>
      <c r="H32" s="129">
        <f>IF(B$15=0,0,G32/B$15)</f>
        <v>4.1911148365465214E-4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410</v>
      </c>
      <c r="C33" s="37">
        <f t="shared" ref="C33:C44" si="2">IF(B$15=0,0,B33/B$15)</f>
        <v>0.17183570829840739</v>
      </c>
      <c r="E33" s="59" t="s">
        <v>101</v>
      </c>
      <c r="F33" s="56" t="s">
        <v>56</v>
      </c>
      <c r="G33" s="44">
        <v>1</v>
      </c>
      <c r="H33" s="129">
        <f>IF(B$15=0,0,G33/B$15)</f>
        <v>4.1911148365465214E-4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465</v>
      </c>
      <c r="C34" s="37">
        <f>IF(B$15=0,0,B34/B$15)</f>
        <v>0.19488683989941324</v>
      </c>
      <c r="E34" s="59" t="s">
        <v>106</v>
      </c>
      <c r="F34" s="56" t="s">
        <v>113</v>
      </c>
      <c r="G34" s="44">
        <v>1</v>
      </c>
      <c r="H34" s="129">
        <f>IF(B$15=0,0,G34/B$15)</f>
        <v>4.1911148365465214E-4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422</v>
      </c>
      <c r="C35" s="37">
        <f t="shared" si="2"/>
        <v>0.1768650461022632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371</v>
      </c>
      <c r="C36" s="37">
        <f t="shared" si="2"/>
        <v>0.15549036043587594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251</v>
      </c>
      <c r="C37" s="37">
        <f t="shared" si="2"/>
        <v>0.10519698239731769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126</v>
      </c>
      <c r="C38" s="37">
        <f t="shared" si="2"/>
        <v>5.2808046940486172E-2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70</v>
      </c>
      <c r="C39" s="37">
        <f t="shared" si="2"/>
        <v>2.9337803855825649E-2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31</v>
      </c>
      <c r="C40" s="37">
        <f t="shared" si="2"/>
        <v>1.2992455993294216E-2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10</v>
      </c>
      <c r="C41" s="37">
        <f t="shared" si="2"/>
        <v>4.1911148365465214E-3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7</v>
      </c>
      <c r="C42" s="37">
        <f t="shared" si="2"/>
        <v>2.933780385582565E-3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2.5146689019279128E-3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30</v>
      </c>
      <c r="C44" s="40">
        <f t="shared" si="2"/>
        <v>1.2573344509639563E-2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  <row r="777" spans="11:12" x14ac:dyDescent="0.45">
      <c r="K777" s="36">
        <v>775</v>
      </c>
      <c r="L777" s="95">
        <v>-19.000000000000043</v>
      </c>
    </row>
    <row r="778" spans="11:12" x14ac:dyDescent="0.45">
      <c r="K778" s="36">
        <v>776</v>
      </c>
      <c r="L778" s="95">
        <v>-4.2632564145606011E-14</v>
      </c>
    </row>
    <row r="779" spans="11:12" x14ac:dyDescent="0.45">
      <c r="K779" s="36">
        <v>777</v>
      </c>
      <c r="L779" s="95">
        <v>-4.2632564145606011E-14</v>
      </c>
    </row>
    <row r="780" spans="11:12" x14ac:dyDescent="0.45">
      <c r="K780" s="36">
        <v>778</v>
      </c>
      <c r="L780" s="95">
        <v>6.599999999999957</v>
      </c>
    </row>
    <row r="781" spans="11:12" x14ac:dyDescent="0.45">
      <c r="K781" s="36">
        <v>779</v>
      </c>
      <c r="L781" s="95">
        <v>-18.200000000000045</v>
      </c>
    </row>
    <row r="782" spans="11:12" x14ac:dyDescent="0.45">
      <c r="K782" s="36">
        <v>780</v>
      </c>
      <c r="L782" s="95">
        <v>-4.6185277824406512E-14</v>
      </c>
    </row>
    <row r="783" spans="11:12" x14ac:dyDescent="0.45">
      <c r="K783" s="36">
        <v>781</v>
      </c>
      <c r="L783" s="95">
        <v>-36.600000000000051</v>
      </c>
    </row>
    <row r="784" spans="11:12" x14ac:dyDescent="0.45">
      <c r="K784" s="36">
        <v>782</v>
      </c>
      <c r="L784" s="95">
        <v>1.7999999999999474</v>
      </c>
    </row>
    <row r="785" spans="11:12" x14ac:dyDescent="0.45">
      <c r="K785" s="36">
        <v>783</v>
      </c>
      <c r="L785" s="95">
        <v>-5.262457136723242E-14</v>
      </c>
    </row>
    <row r="786" spans="11:12" x14ac:dyDescent="0.45">
      <c r="K786" s="36">
        <v>784</v>
      </c>
      <c r="L786" s="95">
        <v>23.499999999999947</v>
      </c>
    </row>
    <row r="787" spans="11:12" x14ac:dyDescent="0.45">
      <c r="K787" s="36">
        <v>785</v>
      </c>
      <c r="L787" s="95">
        <v>29.899999999999949</v>
      </c>
    </row>
    <row r="788" spans="11:12" x14ac:dyDescent="0.45">
      <c r="K788" s="36">
        <v>786</v>
      </c>
      <c r="L788" s="95">
        <v>-4.9737991503207013E-14</v>
      </c>
    </row>
    <row r="789" spans="11:12" x14ac:dyDescent="0.45">
      <c r="K789" s="36">
        <v>787</v>
      </c>
      <c r="L789" s="95">
        <v>36.199999999999953</v>
      </c>
    </row>
    <row r="790" spans="11:12" x14ac:dyDescent="0.45">
      <c r="K790" s="36">
        <v>788</v>
      </c>
      <c r="L790" s="95">
        <v>9.8999999999999524</v>
      </c>
    </row>
    <row r="791" spans="11:12" x14ac:dyDescent="0.45">
      <c r="K791" s="36">
        <v>789</v>
      </c>
      <c r="L791" s="95">
        <v>-4.7961634663806763E-14</v>
      </c>
    </row>
    <row r="792" spans="11:12" x14ac:dyDescent="0.45">
      <c r="K792" s="36">
        <v>790</v>
      </c>
      <c r="L792" s="95">
        <v>-32.50000000000005</v>
      </c>
    </row>
    <row r="793" spans="11:12" x14ac:dyDescent="0.45">
      <c r="K793" s="36">
        <v>791</v>
      </c>
      <c r="L793" s="95">
        <v>-30.400000000000048</v>
      </c>
    </row>
    <row r="794" spans="11:12" x14ac:dyDescent="0.45">
      <c r="K794" s="36">
        <v>792</v>
      </c>
      <c r="L794" s="95">
        <v>-4.9737991503207013E-14</v>
      </c>
    </row>
    <row r="795" spans="11:12" x14ac:dyDescent="0.45">
      <c r="K795" s="36">
        <v>793</v>
      </c>
      <c r="L795" s="95">
        <v>42.399999999999949</v>
      </c>
    </row>
    <row r="796" spans="11:12" x14ac:dyDescent="0.45">
      <c r="K796" s="36">
        <v>794</v>
      </c>
      <c r="L796" s="95">
        <v>34.099999999999952</v>
      </c>
    </row>
    <row r="797" spans="11:12" x14ac:dyDescent="0.45">
      <c r="K797" s="36">
        <v>795</v>
      </c>
      <c r="L797" s="95">
        <v>-4.9737991503207013E-14</v>
      </c>
    </row>
    <row r="798" spans="11:12" x14ac:dyDescent="0.45">
      <c r="K798" s="36">
        <v>796</v>
      </c>
      <c r="L798" s="95">
        <v>32.899999999999949</v>
      </c>
    </row>
    <row r="799" spans="11:12" x14ac:dyDescent="0.45">
      <c r="K799" s="36">
        <v>797</v>
      </c>
      <c r="L799" s="95">
        <v>37.099999999999952</v>
      </c>
    </row>
    <row r="800" spans="11:12" x14ac:dyDescent="0.45">
      <c r="K800" s="36">
        <v>798</v>
      </c>
      <c r="L800" s="95">
        <v>-4.9737991503207013E-14</v>
      </c>
    </row>
    <row r="801" spans="11:12" x14ac:dyDescent="0.45">
      <c r="K801" s="36">
        <v>799</v>
      </c>
      <c r="L801" s="95">
        <v>-31.900000000000048</v>
      </c>
    </row>
    <row r="802" spans="11:12" x14ac:dyDescent="0.45">
      <c r="K802" s="36">
        <v>800</v>
      </c>
      <c r="L802" s="95">
        <v>-36.700000000000045</v>
      </c>
    </row>
    <row r="803" spans="11:12" x14ac:dyDescent="0.45">
      <c r="K803" s="36">
        <v>801</v>
      </c>
      <c r="L803" s="95">
        <v>-4.2632564145606011E-14</v>
      </c>
    </row>
    <row r="804" spans="11:12" x14ac:dyDescent="0.45">
      <c r="K804" s="36">
        <v>802</v>
      </c>
      <c r="L804" s="95">
        <v>50.099999999999959</v>
      </c>
    </row>
    <row r="805" spans="11:12" x14ac:dyDescent="0.45">
      <c r="K805" s="36">
        <v>803</v>
      </c>
      <c r="L805" s="95">
        <v>39.599999999999959</v>
      </c>
    </row>
    <row r="806" spans="11:12" x14ac:dyDescent="0.45">
      <c r="K806" s="36">
        <v>804</v>
      </c>
      <c r="L806" s="95">
        <v>-4.2632564145606011E-14</v>
      </c>
    </row>
    <row r="807" spans="11:12" x14ac:dyDescent="0.45">
      <c r="K807" s="36">
        <v>805</v>
      </c>
      <c r="L807" s="95">
        <v>6.3999999999999577</v>
      </c>
    </row>
    <row r="808" spans="11:12" x14ac:dyDescent="0.45">
      <c r="K808" s="36">
        <v>806</v>
      </c>
      <c r="L808" s="95">
        <v>-23.500000000000043</v>
      </c>
    </row>
    <row r="809" spans="11:12" x14ac:dyDescent="0.45">
      <c r="K809" s="36">
        <v>807</v>
      </c>
      <c r="L809" s="95">
        <v>-4.2632564145606011E-14</v>
      </c>
    </row>
    <row r="810" spans="11:12" x14ac:dyDescent="0.45">
      <c r="K810" s="36">
        <v>808</v>
      </c>
      <c r="L810" s="95">
        <v>-3.6000000000000427</v>
      </c>
    </row>
    <row r="811" spans="11:12" x14ac:dyDescent="0.45">
      <c r="K811" s="36">
        <v>809</v>
      </c>
      <c r="L811" s="95">
        <v>17.999999999999957</v>
      </c>
    </row>
    <row r="812" spans="11:12" x14ac:dyDescent="0.45">
      <c r="K812" s="36">
        <v>810</v>
      </c>
      <c r="L812" s="95">
        <v>-4.2632564145606011E-14</v>
      </c>
    </row>
    <row r="813" spans="11:12" x14ac:dyDescent="0.45">
      <c r="K813" s="36">
        <v>811</v>
      </c>
      <c r="L813" s="95">
        <v>9.3999999999999577</v>
      </c>
    </row>
    <row r="814" spans="11:12" x14ac:dyDescent="0.45">
      <c r="K814" s="36">
        <v>812</v>
      </c>
      <c r="L814" s="95">
        <v>47.299999999999955</v>
      </c>
    </row>
    <row r="815" spans="11:12" x14ac:dyDescent="0.45">
      <c r="K815" s="36">
        <v>813</v>
      </c>
      <c r="L815" s="95">
        <v>-4.2632564145606011E-14</v>
      </c>
    </row>
    <row r="816" spans="11:12" x14ac:dyDescent="0.45">
      <c r="K816" s="36">
        <v>814</v>
      </c>
      <c r="L816" s="95">
        <v>-13.200000000000042</v>
      </c>
    </row>
    <row r="817" spans="11:12" x14ac:dyDescent="0.45">
      <c r="K817" s="36">
        <v>815</v>
      </c>
      <c r="L817" s="95">
        <v>-13.500000000000043</v>
      </c>
    </row>
    <row r="818" spans="11:12" x14ac:dyDescent="0.45">
      <c r="K818" s="36">
        <v>816</v>
      </c>
      <c r="L818" s="95">
        <v>-4.2632564145606011E-14</v>
      </c>
    </row>
    <row r="819" spans="11:12" x14ac:dyDescent="0.45">
      <c r="K819" s="36">
        <v>817</v>
      </c>
      <c r="L819" s="95">
        <v>-29.000000000000043</v>
      </c>
    </row>
    <row r="820" spans="11:12" x14ac:dyDescent="0.45">
      <c r="K820" s="36">
        <v>818</v>
      </c>
      <c r="L820" s="95">
        <v>49.299999999999955</v>
      </c>
    </row>
    <row r="821" spans="11:12" x14ac:dyDescent="0.45">
      <c r="K821" s="36">
        <v>819</v>
      </c>
      <c r="L821" s="95">
        <v>-4.2632564145606011E-14</v>
      </c>
    </row>
    <row r="822" spans="11:12" x14ac:dyDescent="0.45">
      <c r="K822" s="36">
        <v>820</v>
      </c>
      <c r="L822" s="95">
        <v>15.599999999999957</v>
      </c>
    </row>
    <row r="823" spans="11:12" x14ac:dyDescent="0.45">
      <c r="K823" s="36">
        <v>821</v>
      </c>
      <c r="L823" s="95">
        <v>52.499999999999957</v>
      </c>
    </row>
    <row r="824" spans="11:12" x14ac:dyDescent="0.45">
      <c r="K824" s="36">
        <v>822</v>
      </c>
      <c r="L824" s="95">
        <v>-4.2632564145606011E-14</v>
      </c>
    </row>
    <row r="825" spans="11:12" x14ac:dyDescent="0.45">
      <c r="K825" s="36">
        <v>823</v>
      </c>
      <c r="L825" s="95">
        <v>-1.5000000000000426</v>
      </c>
    </row>
    <row r="826" spans="11:12" x14ac:dyDescent="0.45">
      <c r="K826" s="36">
        <v>824</v>
      </c>
      <c r="L826" s="95">
        <v>20.199999999999957</v>
      </c>
    </row>
    <row r="827" spans="11:12" x14ac:dyDescent="0.45">
      <c r="K827" s="36">
        <v>825</v>
      </c>
      <c r="L827" s="95">
        <v>-4.2632564145606011E-14</v>
      </c>
    </row>
    <row r="828" spans="11:12" x14ac:dyDescent="0.45">
      <c r="K828" s="36">
        <v>826</v>
      </c>
      <c r="L828" s="95">
        <v>-30.000000000000043</v>
      </c>
    </row>
    <row r="829" spans="11:12" x14ac:dyDescent="0.45">
      <c r="K829" s="36">
        <v>827</v>
      </c>
      <c r="L829" s="95">
        <v>0.99999999999995737</v>
      </c>
    </row>
    <row r="830" spans="11:12" x14ac:dyDescent="0.45">
      <c r="K830" s="36">
        <v>828</v>
      </c>
      <c r="L830" s="95">
        <v>-4.2632564145606011E-14</v>
      </c>
    </row>
    <row r="831" spans="11:12" x14ac:dyDescent="0.45">
      <c r="K831" s="36">
        <v>829</v>
      </c>
      <c r="L831" s="95">
        <v>-56.000000000000043</v>
      </c>
    </row>
    <row r="832" spans="11:12" x14ac:dyDescent="0.45">
      <c r="K832" s="36">
        <v>830</v>
      </c>
      <c r="L832" s="95">
        <v>-46.500000000000043</v>
      </c>
    </row>
    <row r="833" spans="11:12" x14ac:dyDescent="0.45">
      <c r="K833" s="36">
        <v>831</v>
      </c>
      <c r="L833" s="95">
        <v>-4.2632564145606011E-14</v>
      </c>
    </row>
    <row r="834" spans="11:12" x14ac:dyDescent="0.45">
      <c r="K834" s="36">
        <v>832</v>
      </c>
      <c r="L834" s="95">
        <v>-22.300000000000043</v>
      </c>
    </row>
    <row r="835" spans="11:12" x14ac:dyDescent="0.45">
      <c r="K835" s="36">
        <v>833</v>
      </c>
      <c r="L835" s="95">
        <v>-19.100000000000044</v>
      </c>
    </row>
    <row r="836" spans="11:12" x14ac:dyDescent="0.45">
      <c r="K836" s="36">
        <v>834</v>
      </c>
      <c r="L836" s="95">
        <v>-4.2632564145606011E-14</v>
      </c>
    </row>
    <row r="837" spans="11:12" x14ac:dyDescent="0.45">
      <c r="K837" s="36">
        <v>835</v>
      </c>
      <c r="L837" s="95">
        <v>-48.600000000000044</v>
      </c>
    </row>
    <row r="838" spans="11:12" x14ac:dyDescent="0.45">
      <c r="K838" s="36">
        <v>836</v>
      </c>
      <c r="L838" s="95">
        <v>-48.800000000000047</v>
      </c>
    </row>
    <row r="839" spans="11:12" x14ac:dyDescent="0.45">
      <c r="K839" s="36">
        <v>837</v>
      </c>
      <c r="L839" s="95">
        <v>-4.9737991503207013E-14</v>
      </c>
    </row>
    <row r="840" spans="11:12" x14ac:dyDescent="0.45">
      <c r="K840" s="36">
        <v>838</v>
      </c>
      <c r="L840" s="95">
        <v>-29.200000000000049</v>
      </c>
    </row>
    <row r="841" spans="11:12" x14ac:dyDescent="0.45">
      <c r="K841" s="36">
        <v>839</v>
      </c>
      <c r="L841" s="95">
        <v>-30.700000000000049</v>
      </c>
    </row>
    <row r="842" spans="11:12" x14ac:dyDescent="0.45">
      <c r="K842" s="36">
        <v>840</v>
      </c>
      <c r="L842" s="95">
        <v>-4.9737991503207013E-14</v>
      </c>
    </row>
    <row r="843" spans="11:12" x14ac:dyDescent="0.45">
      <c r="K843" s="36">
        <v>841</v>
      </c>
      <c r="L843" s="95">
        <v>-20.600000000000051</v>
      </c>
    </row>
    <row r="844" spans="11:12" x14ac:dyDescent="0.45">
      <c r="K844" s="36">
        <v>842</v>
      </c>
      <c r="L844" s="95">
        <v>39.599999999999952</v>
      </c>
    </row>
    <row r="845" spans="11:12" x14ac:dyDescent="0.45">
      <c r="K845" s="36">
        <v>843</v>
      </c>
      <c r="L845" s="95">
        <v>-4.9737991503207013E-14</v>
      </c>
    </row>
    <row r="846" spans="11:12" x14ac:dyDescent="0.45">
      <c r="K846" s="36">
        <v>844</v>
      </c>
      <c r="L846" s="95">
        <v>34.399999999999949</v>
      </c>
    </row>
    <row r="847" spans="11:12" x14ac:dyDescent="0.45">
      <c r="K847" s="36">
        <v>845</v>
      </c>
      <c r="L847" s="95">
        <v>22.899999999999949</v>
      </c>
    </row>
    <row r="848" spans="11:12" x14ac:dyDescent="0.45">
      <c r="K848" s="36">
        <v>846</v>
      </c>
      <c r="L848" s="95">
        <v>-4.9737991503207013E-14</v>
      </c>
    </row>
    <row r="849" spans="11:12" x14ac:dyDescent="0.45">
      <c r="K849" s="36">
        <v>847</v>
      </c>
      <c r="L849" s="95">
        <v>4.1999999999999504</v>
      </c>
    </row>
    <row r="850" spans="11:12" x14ac:dyDescent="0.45">
      <c r="K850" s="36">
        <v>848</v>
      </c>
      <c r="L850" s="95">
        <v>34.399999999999949</v>
      </c>
    </row>
    <row r="851" spans="11:12" x14ac:dyDescent="0.45">
      <c r="K851" s="36">
        <v>849</v>
      </c>
      <c r="L851" s="95">
        <v>-4.9737991503207013E-14</v>
      </c>
    </row>
    <row r="852" spans="11:12" x14ac:dyDescent="0.45">
      <c r="K852" s="36">
        <v>850</v>
      </c>
      <c r="L852" s="95">
        <v>-28.80000000000005</v>
      </c>
    </row>
    <row r="853" spans="11:12" x14ac:dyDescent="0.45">
      <c r="K853" s="36">
        <v>851</v>
      </c>
      <c r="L853" s="95">
        <v>-87.100000000000051</v>
      </c>
    </row>
    <row r="854" spans="11:12" x14ac:dyDescent="0.45">
      <c r="K854" s="36">
        <v>852</v>
      </c>
      <c r="L854" s="95">
        <v>-5.6843418860808015E-14</v>
      </c>
    </row>
    <row r="855" spans="11:12" x14ac:dyDescent="0.45">
      <c r="K855" s="36">
        <v>853</v>
      </c>
      <c r="L855" s="95">
        <v>2.799999999999943</v>
      </c>
    </row>
    <row r="856" spans="11:12" x14ac:dyDescent="0.45">
      <c r="K856" s="36">
        <v>854</v>
      </c>
      <c r="L856" s="95">
        <v>33.29999999999994</v>
      </c>
    </row>
    <row r="857" spans="11:12" x14ac:dyDescent="0.45">
      <c r="K857" s="36">
        <v>855</v>
      </c>
      <c r="L857" s="95">
        <v>-5.6843418860808015E-14</v>
      </c>
    </row>
    <row r="858" spans="11:12" x14ac:dyDescent="0.45">
      <c r="K858" s="36">
        <v>856</v>
      </c>
      <c r="L858" s="95">
        <v>-12.000000000000057</v>
      </c>
    </row>
    <row r="859" spans="11:12" x14ac:dyDescent="0.45">
      <c r="K859" s="36">
        <v>857</v>
      </c>
      <c r="L859" s="95">
        <v>-62.400000000000055</v>
      </c>
    </row>
    <row r="860" spans="11:12" x14ac:dyDescent="0.45">
      <c r="K860" s="36">
        <v>858</v>
      </c>
      <c r="L860" s="95">
        <v>-5.6843418860808015E-14</v>
      </c>
    </row>
    <row r="861" spans="11:12" x14ac:dyDescent="0.45">
      <c r="K861" s="36">
        <v>859</v>
      </c>
      <c r="L861" s="95">
        <v>22.099999999999945</v>
      </c>
    </row>
    <row r="862" spans="11:12" x14ac:dyDescent="0.45">
      <c r="K862" s="36">
        <v>860</v>
      </c>
      <c r="L862" s="95">
        <v>23.399999999999945</v>
      </c>
    </row>
    <row r="863" spans="11:12" x14ac:dyDescent="0.45">
      <c r="K863" s="36">
        <v>861</v>
      </c>
      <c r="L863" s="95">
        <v>-5.3290705182007514E-14</v>
      </c>
    </row>
    <row r="864" spans="11:12" x14ac:dyDescent="0.45">
      <c r="K864" s="36">
        <v>862</v>
      </c>
      <c r="L864" s="95">
        <v>60.599999999999952</v>
      </c>
    </row>
    <row r="865" spans="11:12" x14ac:dyDescent="0.45">
      <c r="K865" s="36">
        <v>863</v>
      </c>
      <c r="L865" s="95">
        <v>46.199999999999953</v>
      </c>
    </row>
    <row r="866" spans="11:12" x14ac:dyDescent="0.45">
      <c r="K866" s="36">
        <v>864</v>
      </c>
      <c r="L866" s="95">
        <v>-4.9737991503207013E-14</v>
      </c>
    </row>
    <row r="867" spans="11:12" x14ac:dyDescent="0.45">
      <c r="K867" s="36">
        <v>865</v>
      </c>
      <c r="L867" s="95">
        <v>-38.50000000000005</v>
      </c>
    </row>
    <row r="868" spans="11:12" x14ac:dyDescent="0.45">
      <c r="K868" s="36">
        <v>866</v>
      </c>
      <c r="L868" s="95">
        <v>-26.30000000000005</v>
      </c>
    </row>
    <row r="869" spans="11:12" x14ac:dyDescent="0.45">
      <c r="K869" s="36">
        <v>867</v>
      </c>
      <c r="L869" s="95">
        <v>-4.9737991503207013E-14</v>
      </c>
    </row>
    <row r="870" spans="11:12" x14ac:dyDescent="0.45">
      <c r="K870" s="36">
        <v>868</v>
      </c>
      <c r="L870" s="95">
        <v>39.799999999999947</v>
      </c>
    </row>
    <row r="871" spans="11:12" x14ac:dyDescent="0.45">
      <c r="K871" s="36">
        <v>869</v>
      </c>
      <c r="L871" s="95">
        <v>-10.700000000000053</v>
      </c>
    </row>
    <row r="872" spans="11:12" x14ac:dyDescent="0.45">
      <c r="K872" s="36">
        <v>870</v>
      </c>
      <c r="L872" s="95">
        <v>-5.3290705182007514E-14</v>
      </c>
    </row>
    <row r="873" spans="11:12" x14ac:dyDescent="0.45">
      <c r="K873" s="36">
        <v>871</v>
      </c>
      <c r="L873" s="95">
        <v>-32.000000000000057</v>
      </c>
    </row>
    <row r="874" spans="11:12" x14ac:dyDescent="0.45">
      <c r="K874" s="36">
        <v>872</v>
      </c>
      <c r="L874" s="95">
        <v>1.8999999999999417</v>
      </c>
    </row>
    <row r="875" spans="11:12" x14ac:dyDescent="0.45">
      <c r="K875" s="36">
        <v>873</v>
      </c>
      <c r="L875" s="95">
        <v>-5.8175686490358203E-14</v>
      </c>
    </row>
    <row r="876" spans="11:12" x14ac:dyDescent="0.45">
      <c r="K876" s="36">
        <v>874</v>
      </c>
      <c r="L876" s="95">
        <v>-42.300000000000054</v>
      </c>
    </row>
    <row r="877" spans="11:12" x14ac:dyDescent="0.45">
      <c r="K877" s="36">
        <v>875</v>
      </c>
      <c r="L877" s="95">
        <v>-60.800000000000054</v>
      </c>
    </row>
    <row r="878" spans="11:12" x14ac:dyDescent="0.45">
      <c r="K878" s="36">
        <v>876</v>
      </c>
      <c r="L878" s="95">
        <v>-5.6843418860808015E-14</v>
      </c>
    </row>
    <row r="879" spans="11:12" x14ac:dyDescent="0.45">
      <c r="K879" s="36">
        <v>877</v>
      </c>
      <c r="L879" s="95">
        <v>32.999999999999943</v>
      </c>
    </row>
    <row r="880" spans="11:12" x14ac:dyDescent="0.45">
      <c r="K880" s="36">
        <v>878</v>
      </c>
      <c r="L880" s="95">
        <v>-2.0000000000000568</v>
      </c>
    </row>
    <row r="881" spans="11:12" x14ac:dyDescent="0.45">
      <c r="K881" s="36">
        <v>879</v>
      </c>
      <c r="L881" s="95">
        <v>-5.6843418860808015E-14</v>
      </c>
    </row>
    <row r="882" spans="11:12" x14ac:dyDescent="0.45">
      <c r="K882" s="36">
        <v>880</v>
      </c>
      <c r="L882" s="95">
        <v>26.799999999999944</v>
      </c>
    </row>
    <row r="883" spans="11:12" x14ac:dyDescent="0.45">
      <c r="K883" s="36">
        <v>881</v>
      </c>
      <c r="L883" s="95">
        <v>32.199999999999946</v>
      </c>
    </row>
    <row r="884" spans="11:12" x14ac:dyDescent="0.45">
      <c r="K884" s="36">
        <v>882</v>
      </c>
      <c r="L884" s="95">
        <v>-5.6843418860808015E-14</v>
      </c>
    </row>
    <row r="885" spans="11:12" x14ac:dyDescent="0.45">
      <c r="K885" s="36">
        <v>883</v>
      </c>
      <c r="L885" s="95">
        <v>45.199999999999946</v>
      </c>
    </row>
    <row r="886" spans="11:12" x14ac:dyDescent="0.45">
      <c r="K886" s="36">
        <v>884</v>
      </c>
      <c r="L886" s="95">
        <v>10.199999999999946</v>
      </c>
    </row>
    <row r="887" spans="11:12" x14ac:dyDescent="0.45">
      <c r="K887" s="36">
        <v>885</v>
      </c>
      <c r="L887" s="95">
        <v>-5.3290705182007514E-14</v>
      </c>
    </row>
    <row r="888" spans="11:12" x14ac:dyDescent="0.45">
      <c r="K888" s="36">
        <v>886</v>
      </c>
      <c r="L888" s="95">
        <v>-12.500000000000053</v>
      </c>
    </row>
    <row r="889" spans="11:12" x14ac:dyDescent="0.45">
      <c r="K889" s="36">
        <v>887</v>
      </c>
      <c r="L889" s="95">
        <v>-12.200000000000053</v>
      </c>
    </row>
    <row r="890" spans="11:12" x14ac:dyDescent="0.45">
      <c r="K890" s="36">
        <v>888</v>
      </c>
      <c r="L890" s="95">
        <v>-5.3290705182007514E-14</v>
      </c>
    </row>
    <row r="891" spans="11:12" x14ac:dyDescent="0.45">
      <c r="K891" s="36">
        <v>889</v>
      </c>
      <c r="L891" s="95">
        <v>-65.500000000000057</v>
      </c>
    </row>
    <row r="892" spans="11:12" x14ac:dyDescent="0.45">
      <c r="K892" s="36">
        <v>890</v>
      </c>
      <c r="L892" s="95">
        <v>-12.000000000000057</v>
      </c>
    </row>
    <row r="893" spans="11:12" x14ac:dyDescent="0.45">
      <c r="K893" s="36">
        <v>891</v>
      </c>
      <c r="L893" s="95">
        <v>-5.6843418860808015E-14</v>
      </c>
    </row>
    <row r="894" spans="11:12" x14ac:dyDescent="0.45">
      <c r="K894" s="36">
        <v>892</v>
      </c>
      <c r="L894" s="95">
        <v>-9.2000000000000561</v>
      </c>
    </row>
    <row r="895" spans="11:12" x14ac:dyDescent="0.45">
      <c r="K895" s="36">
        <v>893</v>
      </c>
      <c r="L895" s="95">
        <v>-39.70000000000006</v>
      </c>
    </row>
    <row r="896" spans="11:12" x14ac:dyDescent="0.45">
      <c r="K896" s="36">
        <v>894</v>
      </c>
      <c r="L896" s="95">
        <v>-5.6843418860808015E-14</v>
      </c>
    </row>
    <row r="897" spans="11:12" x14ac:dyDescent="0.45">
      <c r="K897" s="36">
        <v>895</v>
      </c>
      <c r="L897" s="95">
        <v>-36.300000000000054</v>
      </c>
    </row>
    <row r="898" spans="11:12" x14ac:dyDescent="0.45">
      <c r="K898" s="36">
        <v>896</v>
      </c>
      <c r="L898" s="95">
        <v>-56.300000000000054</v>
      </c>
    </row>
    <row r="899" spans="11:12" x14ac:dyDescent="0.45">
      <c r="K899" s="36">
        <v>897</v>
      </c>
      <c r="L899" s="95">
        <v>-5.6843418860808015E-14</v>
      </c>
    </row>
    <row r="900" spans="11:12" x14ac:dyDescent="0.45">
      <c r="K900" s="36">
        <v>898</v>
      </c>
      <c r="L900" s="95">
        <v>-37.20000000000006</v>
      </c>
    </row>
    <row r="901" spans="11:12" x14ac:dyDescent="0.45">
      <c r="K901" s="36">
        <v>899</v>
      </c>
      <c r="L901" s="95">
        <v>-8.400000000000059</v>
      </c>
    </row>
    <row r="902" spans="11:12" x14ac:dyDescent="0.45">
      <c r="K902" s="36">
        <v>900</v>
      </c>
      <c r="L902" s="95">
        <v>-5.8619775700208265E-14</v>
      </c>
    </row>
    <row r="903" spans="11:12" x14ac:dyDescent="0.45">
      <c r="K903" s="36">
        <v>901</v>
      </c>
      <c r="L903" s="95">
        <v>-27.400000000000055</v>
      </c>
    </row>
    <row r="904" spans="11:12" x14ac:dyDescent="0.45">
      <c r="K904" s="36">
        <v>902</v>
      </c>
      <c r="L904" s="95">
        <v>-35.70000000000006</v>
      </c>
    </row>
    <row r="905" spans="11:12" x14ac:dyDescent="0.45">
      <c r="K905" s="36">
        <v>903</v>
      </c>
      <c r="L905" s="95">
        <v>-5.6843418860808015E-14</v>
      </c>
    </row>
    <row r="906" spans="11:12" x14ac:dyDescent="0.45">
      <c r="K906" s="36">
        <v>904</v>
      </c>
      <c r="L906" s="95">
        <v>-3.4000000000000568</v>
      </c>
    </row>
    <row r="907" spans="11:12" x14ac:dyDescent="0.45">
      <c r="K907" s="36">
        <v>905</v>
      </c>
      <c r="L907" s="95">
        <v>17.599999999999945</v>
      </c>
    </row>
    <row r="908" spans="11:12" x14ac:dyDescent="0.45">
      <c r="K908" s="36">
        <v>906</v>
      </c>
      <c r="L908" s="95">
        <v>-5.6843418860808015E-14</v>
      </c>
    </row>
    <row r="909" spans="11:12" x14ac:dyDescent="0.45">
      <c r="K909" s="36">
        <v>907</v>
      </c>
      <c r="L909" s="95">
        <v>-11.000000000000057</v>
      </c>
    </row>
    <row r="910" spans="11:12" x14ac:dyDescent="0.45">
      <c r="K910" s="36">
        <v>908</v>
      </c>
      <c r="L910" s="95">
        <v>27.199999999999946</v>
      </c>
    </row>
    <row r="911" spans="11:12" x14ac:dyDescent="0.45">
      <c r="K911" s="36">
        <v>909</v>
      </c>
      <c r="L911" s="95">
        <v>-5.3290705182007514E-14</v>
      </c>
    </row>
    <row r="912" spans="11:12" x14ac:dyDescent="0.45">
      <c r="K912" s="36">
        <v>910</v>
      </c>
      <c r="L912" s="95">
        <v>-28.700000000000053</v>
      </c>
    </row>
    <row r="913" spans="11:12" x14ac:dyDescent="0.45">
      <c r="K913" s="36">
        <v>911</v>
      </c>
      <c r="L913" s="95">
        <v>-27.900000000000052</v>
      </c>
    </row>
    <row r="914" spans="11:12" x14ac:dyDescent="0.45">
      <c r="K914" s="36">
        <v>912</v>
      </c>
      <c r="L914" s="95">
        <v>-5.3290705182007514E-14</v>
      </c>
    </row>
    <row r="915" spans="11:12" x14ac:dyDescent="0.45">
      <c r="K915" s="36">
        <v>913</v>
      </c>
      <c r="L915" s="95">
        <v>-44.000000000000057</v>
      </c>
    </row>
    <row r="916" spans="11:12" x14ac:dyDescent="0.45">
      <c r="K916" s="36">
        <v>914</v>
      </c>
      <c r="L916" s="95">
        <v>0.79999999999994031</v>
      </c>
    </row>
    <row r="917" spans="11:12" x14ac:dyDescent="0.45">
      <c r="K917" s="36">
        <v>915</v>
      </c>
      <c r="L917" s="95">
        <v>-5.9729998724833422E-14</v>
      </c>
    </row>
    <row r="918" spans="11:12" x14ac:dyDescent="0.45">
      <c r="K918" s="36">
        <v>916</v>
      </c>
      <c r="L918" s="95">
        <v>-18.900000000000059</v>
      </c>
    </row>
    <row r="919" spans="11:12" x14ac:dyDescent="0.45">
      <c r="K919" s="36">
        <v>917</v>
      </c>
      <c r="L919" s="95">
        <v>-56.400000000000063</v>
      </c>
    </row>
    <row r="920" spans="11:12" x14ac:dyDescent="0.45">
      <c r="K920" s="36">
        <v>918</v>
      </c>
      <c r="L920" s="95">
        <v>-6.3948846218409017E-14</v>
      </c>
    </row>
    <row r="921" spans="11:12" x14ac:dyDescent="0.45">
      <c r="K921" s="36">
        <v>919</v>
      </c>
      <c r="L921" s="95">
        <v>12.199999999999935</v>
      </c>
    </row>
    <row r="922" spans="11:12" x14ac:dyDescent="0.45">
      <c r="K922" s="36">
        <v>920</v>
      </c>
      <c r="L922" s="95">
        <v>34.499999999999936</v>
      </c>
    </row>
    <row r="923" spans="11:12" x14ac:dyDescent="0.45">
      <c r="K923" s="36">
        <v>921</v>
      </c>
      <c r="L923" s="95">
        <v>-6.3948846218409017E-14</v>
      </c>
    </row>
    <row r="924" spans="11:12" x14ac:dyDescent="0.45">
      <c r="K924" s="36">
        <v>922</v>
      </c>
      <c r="L924" s="95">
        <v>-47.000000000000064</v>
      </c>
    </row>
    <row r="925" spans="11:12" x14ac:dyDescent="0.45">
      <c r="K925" s="36">
        <v>923</v>
      </c>
      <c r="L925" s="95">
        <v>-47.300000000000061</v>
      </c>
    </row>
    <row r="926" spans="11:12" x14ac:dyDescent="0.45">
      <c r="K926" s="36">
        <v>924</v>
      </c>
      <c r="L926" s="95">
        <v>-6.3948846218409017E-14</v>
      </c>
    </row>
    <row r="927" spans="11:12" x14ac:dyDescent="0.45">
      <c r="K927" s="36">
        <v>925</v>
      </c>
      <c r="L927" s="95">
        <v>-34.500000000000064</v>
      </c>
    </row>
    <row r="928" spans="11:12" x14ac:dyDescent="0.45">
      <c r="K928" s="36">
        <v>926</v>
      </c>
      <c r="L928" s="95">
        <v>-47.500000000000064</v>
      </c>
    </row>
    <row r="929" spans="11:12" x14ac:dyDescent="0.45">
      <c r="K929" s="36">
        <v>927</v>
      </c>
      <c r="L929" s="95">
        <v>-6.3948846218409017E-14</v>
      </c>
    </row>
    <row r="930" spans="11:12" x14ac:dyDescent="0.45">
      <c r="K930" s="36">
        <v>928</v>
      </c>
      <c r="L930" s="95">
        <v>-22.000000000000064</v>
      </c>
    </row>
    <row r="931" spans="11:12" x14ac:dyDescent="0.45">
      <c r="K931" s="36">
        <v>929</v>
      </c>
      <c r="L931" s="95">
        <v>-60.700000000000067</v>
      </c>
    </row>
    <row r="932" spans="11:12" x14ac:dyDescent="0.45">
      <c r="K932" s="36">
        <v>930</v>
      </c>
      <c r="L932" s="95">
        <v>-6.3948846218409017E-14</v>
      </c>
    </row>
    <row r="933" spans="11:12" x14ac:dyDescent="0.45">
      <c r="K933" s="36">
        <v>931</v>
      </c>
      <c r="L933" s="95">
        <v>31.199999999999935</v>
      </c>
    </row>
    <row r="934" spans="11:12" x14ac:dyDescent="0.45">
      <c r="K934" s="36">
        <v>932</v>
      </c>
      <c r="L934" s="95">
        <v>6.6999999999999353</v>
      </c>
    </row>
    <row r="935" spans="11:12" x14ac:dyDescent="0.45">
      <c r="K935" s="36">
        <v>933</v>
      </c>
      <c r="L935" s="95">
        <v>-6.4837024638109142E-14</v>
      </c>
    </row>
    <row r="936" spans="11:12" x14ac:dyDescent="0.45">
      <c r="K936" s="36">
        <v>934</v>
      </c>
      <c r="L936" s="95">
        <v>-45.300000000000061</v>
      </c>
    </row>
    <row r="937" spans="11:12" x14ac:dyDescent="0.45">
      <c r="K937" s="36">
        <v>935</v>
      </c>
      <c r="L937" s="95">
        <v>-4.5000000000000639</v>
      </c>
    </row>
    <row r="938" spans="11:12" x14ac:dyDescent="0.45">
      <c r="K938" s="36">
        <v>936</v>
      </c>
      <c r="L938" s="95">
        <v>-6.3948846218409017E-14</v>
      </c>
    </row>
    <row r="939" spans="11:12" x14ac:dyDescent="0.45">
      <c r="K939" s="36">
        <v>937</v>
      </c>
      <c r="L939" s="95">
        <v>-31.700000000000063</v>
      </c>
    </row>
    <row r="940" spans="11:12" x14ac:dyDescent="0.45">
      <c r="K940" s="36">
        <v>938</v>
      </c>
      <c r="L940" s="95">
        <v>-25.200000000000063</v>
      </c>
    </row>
    <row r="941" spans="11:12" x14ac:dyDescent="0.45">
      <c r="K941" s="36">
        <v>939</v>
      </c>
      <c r="L941" s="95">
        <v>-6.3948846218409017E-14</v>
      </c>
    </row>
    <row r="942" spans="11:12" x14ac:dyDescent="0.45">
      <c r="K942" s="36">
        <v>940</v>
      </c>
      <c r="L942" s="95">
        <v>-61.300000000000061</v>
      </c>
    </row>
    <row r="943" spans="11:12" x14ac:dyDescent="0.45">
      <c r="K943" s="36">
        <v>941</v>
      </c>
      <c r="L943" s="95">
        <v>-20.100000000000058</v>
      </c>
    </row>
    <row r="944" spans="11:12" x14ac:dyDescent="0.45">
      <c r="K944" s="36">
        <v>942</v>
      </c>
      <c r="L944" s="95">
        <v>-5.6843418860808015E-14</v>
      </c>
    </row>
    <row r="945" spans="11:12" x14ac:dyDescent="0.45">
      <c r="K945" s="36">
        <v>943</v>
      </c>
      <c r="L945" s="95">
        <v>-25.700000000000056</v>
      </c>
    </row>
    <row r="946" spans="11:12" x14ac:dyDescent="0.45">
      <c r="K946" s="36">
        <v>944</v>
      </c>
      <c r="L946" s="95">
        <v>7.6999999999999424</v>
      </c>
    </row>
    <row r="947" spans="11:12" x14ac:dyDescent="0.45">
      <c r="K947" s="36">
        <v>945</v>
      </c>
      <c r="L947" s="95">
        <v>-5.773159728050814E-14</v>
      </c>
    </row>
    <row r="948" spans="11:12" x14ac:dyDescent="0.45">
      <c r="K948" s="36">
        <v>946</v>
      </c>
      <c r="L948" s="95">
        <v>-31.800000000000058</v>
      </c>
    </row>
    <row r="949" spans="11:12" x14ac:dyDescent="0.45">
      <c r="K949" s="36">
        <v>947</v>
      </c>
      <c r="L949" s="95">
        <v>-24.20000000000006</v>
      </c>
    </row>
    <row r="950" spans="11:12" x14ac:dyDescent="0.45">
      <c r="K950" s="36">
        <v>948</v>
      </c>
      <c r="L950" s="95">
        <v>-6.0396132539608516E-14</v>
      </c>
    </row>
    <row r="951" spans="11:12" x14ac:dyDescent="0.45">
      <c r="K951" s="36">
        <v>949</v>
      </c>
      <c r="L951" s="95">
        <v>-0.60000000000006037</v>
      </c>
    </row>
    <row r="952" spans="11:12" x14ac:dyDescent="0.45">
      <c r="K952" s="36">
        <v>950</v>
      </c>
      <c r="L952" s="95">
        <v>-25.200000000000063</v>
      </c>
    </row>
    <row r="953" spans="11:12" x14ac:dyDescent="0.45">
      <c r="K953" s="36">
        <v>951</v>
      </c>
      <c r="L953" s="95">
        <v>-6.3948846218409017E-14</v>
      </c>
    </row>
    <row r="954" spans="11:12" x14ac:dyDescent="0.45">
      <c r="K954" s="36">
        <v>952</v>
      </c>
      <c r="L954" s="95">
        <v>31.699999999999935</v>
      </c>
    </row>
    <row r="955" spans="11:12" x14ac:dyDescent="0.45">
      <c r="K955" s="36">
        <v>953</v>
      </c>
      <c r="L955" s="95">
        <v>23.799999999999933</v>
      </c>
    </row>
    <row r="956" spans="11:12" x14ac:dyDescent="0.45">
      <c r="K956" s="36">
        <v>954</v>
      </c>
      <c r="L956" s="95">
        <v>-6.7501559897209518E-14</v>
      </c>
    </row>
    <row r="957" spans="11:12" x14ac:dyDescent="0.45">
      <c r="K957" s="36">
        <v>955</v>
      </c>
      <c r="L957" s="95">
        <v>-7.8000000000000673</v>
      </c>
    </row>
    <row r="958" spans="11:12" x14ac:dyDescent="0.45">
      <c r="K958" s="36">
        <v>956</v>
      </c>
      <c r="L958" s="95">
        <v>-32.200000000000067</v>
      </c>
    </row>
    <row r="959" spans="11:12" x14ac:dyDescent="0.45">
      <c r="K959" s="36">
        <v>957</v>
      </c>
      <c r="L959" s="95">
        <v>-6.3948846218409017E-14</v>
      </c>
    </row>
    <row r="960" spans="11:12" x14ac:dyDescent="0.45">
      <c r="K960" s="36">
        <v>958</v>
      </c>
      <c r="L960" s="95">
        <v>-2.9000000000000639</v>
      </c>
    </row>
    <row r="961" spans="11:12" x14ac:dyDescent="0.45">
      <c r="K961" s="36">
        <v>959</v>
      </c>
      <c r="L961" s="95">
        <v>33.099999999999937</v>
      </c>
    </row>
    <row r="962" spans="11:12" x14ac:dyDescent="0.45">
      <c r="K962" s="36">
        <v>960</v>
      </c>
      <c r="L962" s="95">
        <v>-6.3948846218409017E-14</v>
      </c>
    </row>
    <row r="963" spans="11:12" x14ac:dyDescent="0.45">
      <c r="K963" s="36">
        <v>961</v>
      </c>
      <c r="L963" s="95">
        <v>31.999999999999936</v>
      </c>
    </row>
    <row r="964" spans="11:12" x14ac:dyDescent="0.45">
      <c r="K964" s="36">
        <v>962</v>
      </c>
      <c r="L964" s="95">
        <v>37.999999999999936</v>
      </c>
    </row>
    <row r="965" spans="11:12" x14ac:dyDescent="0.45">
      <c r="K965" s="36">
        <v>963</v>
      </c>
      <c r="L965" s="95">
        <v>-6.3948846218409017E-14</v>
      </c>
    </row>
    <row r="966" spans="11:12" x14ac:dyDescent="0.45">
      <c r="K966" s="36">
        <v>964</v>
      </c>
      <c r="L966" s="95">
        <v>-53.000000000000064</v>
      </c>
    </row>
    <row r="967" spans="11:12" x14ac:dyDescent="0.45">
      <c r="K967" s="36">
        <v>965</v>
      </c>
      <c r="L967" s="95">
        <v>-11.500000000000064</v>
      </c>
    </row>
    <row r="968" spans="11:12" x14ac:dyDescent="0.45">
      <c r="K968" s="36">
        <v>966</v>
      </c>
      <c r="L968" s="95">
        <v>-6.3948846218409017E-14</v>
      </c>
    </row>
    <row r="969" spans="11:12" x14ac:dyDescent="0.45">
      <c r="K969" s="36">
        <v>967</v>
      </c>
      <c r="L969" s="95">
        <v>-53.200000000000067</v>
      </c>
    </row>
    <row r="970" spans="11:12" x14ac:dyDescent="0.45">
      <c r="K970" s="36">
        <v>968</v>
      </c>
      <c r="L970" s="95">
        <v>-16.600000000000065</v>
      </c>
    </row>
    <row r="971" spans="11:12" x14ac:dyDescent="0.45">
      <c r="K971" s="36">
        <v>969</v>
      </c>
      <c r="L971" s="95">
        <v>-6.3948846218409017E-14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EB5EA-E0CA-4ACC-A701-109180EC8838}">
  <sheetPr codeName="Sheet7"/>
  <dimension ref="A1:Q8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87</v>
      </c>
      <c r="C2" s="155"/>
      <c r="E2" s="58" t="s">
        <v>66</v>
      </c>
      <c r="F2" s="55" t="s">
        <v>22</v>
      </c>
      <c r="G2" s="43">
        <v>145</v>
      </c>
      <c r="H2" s="128">
        <f>IF(B$15=0,0,G2/B$15)</f>
        <v>0.69047619047619047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1810.344827586207</v>
      </c>
      <c r="P2" s="114">
        <v>87</v>
      </c>
      <c r="Q2" s="98">
        <v>157500</v>
      </c>
    </row>
    <row r="3" spans="1:17" x14ac:dyDescent="0.45">
      <c r="A3" s="51" t="s">
        <v>8</v>
      </c>
      <c r="B3" s="156">
        <v>767</v>
      </c>
      <c r="C3" s="157"/>
      <c r="E3" s="59" t="s">
        <v>72</v>
      </c>
      <c r="F3" s="56" t="s">
        <v>27</v>
      </c>
      <c r="G3" s="44">
        <v>119</v>
      </c>
      <c r="H3" s="129">
        <f>IF(B$15=0,0,G3/B$15)</f>
        <v>0.56666666666666665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0"/>
        <v>-1944.1860465116279</v>
      </c>
      <c r="P3" s="115">
        <v>86</v>
      </c>
      <c r="Q3" s="99">
        <v>-167200</v>
      </c>
    </row>
    <row r="4" spans="1:17" x14ac:dyDescent="0.45">
      <c r="A4" s="51" t="s">
        <v>6</v>
      </c>
      <c r="B4" s="158">
        <v>-606.90000000000032</v>
      </c>
      <c r="C4" s="159"/>
      <c r="E4" s="59" t="s">
        <v>166</v>
      </c>
      <c r="F4" s="56" t="s">
        <v>167</v>
      </c>
      <c r="G4" s="44">
        <v>73</v>
      </c>
      <c r="H4" s="129">
        <f>IF(B$15=0,0,G4/B$15)</f>
        <v>0.34761904761904761</v>
      </c>
      <c r="I4" s="90">
        <v>10</v>
      </c>
      <c r="K4" s="36">
        <v>2</v>
      </c>
      <c r="L4" s="95">
        <v>19.899999999999999</v>
      </c>
      <c r="N4" s="111" t="s">
        <v>132</v>
      </c>
      <c r="O4" s="118">
        <f t="shared" si="0"/>
        <v>-1697.5903614457832</v>
      </c>
      <c r="P4" s="115">
        <v>83</v>
      </c>
      <c r="Q4" s="99">
        <v>-140900</v>
      </c>
    </row>
    <row r="5" spans="1:17" x14ac:dyDescent="0.45">
      <c r="A5" s="51" t="s">
        <v>7</v>
      </c>
      <c r="B5" s="160">
        <f>IF(B$2=0,0,B$4/B$2)</f>
        <v>-6.9758620689655206</v>
      </c>
      <c r="C5" s="161"/>
      <c r="E5" s="59" t="s">
        <v>64</v>
      </c>
      <c r="F5" s="56" t="s">
        <v>20</v>
      </c>
      <c r="G5" s="44">
        <v>57</v>
      </c>
      <c r="H5" s="129">
        <f>IF(B$15=0,0,G5/B$15)</f>
        <v>0.27142857142857141</v>
      </c>
      <c r="I5" s="90">
        <v>14</v>
      </c>
      <c r="K5" s="36">
        <v>3</v>
      </c>
      <c r="L5" s="95">
        <v>-8.3000000000000007</v>
      </c>
      <c r="N5" s="111" t="s">
        <v>133</v>
      </c>
      <c r="O5" s="118">
        <f t="shared" si="0"/>
        <v>-1089.7435897435898</v>
      </c>
      <c r="P5" s="115">
        <v>78</v>
      </c>
      <c r="Q5" s="99">
        <v>-85000</v>
      </c>
    </row>
    <row r="6" spans="1:17" x14ac:dyDescent="0.45">
      <c r="A6" s="51" t="s">
        <v>1</v>
      </c>
      <c r="B6" s="150">
        <f>IF(B$2=0,0,(B$7*1+B$8*2+B$9*3)/B$2)</f>
        <v>2.1609195402298851</v>
      </c>
      <c r="C6" s="151"/>
      <c r="E6" s="59" t="s">
        <v>68</v>
      </c>
      <c r="F6" s="56" t="s">
        <v>12</v>
      </c>
      <c r="G6" s="44">
        <v>57</v>
      </c>
      <c r="H6" s="129">
        <f>IF(B$15=0,0,G6/B$15)</f>
        <v>0.27142857142857141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-235.52631578947367</v>
      </c>
      <c r="P6" s="115">
        <v>76</v>
      </c>
      <c r="Q6" s="99">
        <v>-17900</v>
      </c>
    </row>
    <row r="7" spans="1:17" x14ac:dyDescent="0.45">
      <c r="A7" s="51" t="s">
        <v>2</v>
      </c>
      <c r="B7" s="44">
        <v>25</v>
      </c>
      <c r="C7" s="37">
        <f t="shared" ref="C7:C10" si="1">IF(B$2=0,0,B7/B$2)</f>
        <v>0.28735632183908044</v>
      </c>
      <c r="E7" s="59" t="s">
        <v>67</v>
      </c>
      <c r="F7" s="56" t="s">
        <v>23</v>
      </c>
      <c r="G7" s="44">
        <v>38</v>
      </c>
      <c r="H7" s="129">
        <f>IF(B$15=0,0,G7/B$15)</f>
        <v>0.18095238095238095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-2642.1875</v>
      </c>
      <c r="P7" s="116">
        <v>64</v>
      </c>
      <c r="Q7" s="100">
        <v>-169100</v>
      </c>
    </row>
    <row r="8" spans="1:17" x14ac:dyDescent="0.45">
      <c r="A8" s="51" t="s">
        <v>3</v>
      </c>
      <c r="B8" s="44">
        <v>23</v>
      </c>
      <c r="C8" s="37">
        <f t="shared" si="1"/>
        <v>0.26436781609195403</v>
      </c>
      <c r="E8" s="59" t="s">
        <v>69</v>
      </c>
      <c r="F8" s="56" t="s">
        <v>24</v>
      </c>
      <c r="G8" s="44">
        <v>35</v>
      </c>
      <c r="H8" s="129">
        <f>IF(B$15=0,0,G8/B$15)</f>
        <v>0.16666666666666666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39</v>
      </c>
      <c r="C9" s="38">
        <f t="shared" si="1"/>
        <v>0.44827586206896552</v>
      </c>
      <c r="E9" s="59" t="s">
        <v>71</v>
      </c>
      <c r="F9" s="56" t="s">
        <v>26</v>
      </c>
      <c r="G9" s="44">
        <v>27</v>
      </c>
      <c r="H9" s="129">
        <f>IF(B$15=0,0,G9/B$15)</f>
        <v>0.12857142857142856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8.0459770114942528E-2</v>
      </c>
      <c r="E10" s="59" t="s">
        <v>70</v>
      </c>
      <c r="F10" s="56" t="s">
        <v>25</v>
      </c>
      <c r="G10" s="44">
        <v>24</v>
      </c>
      <c r="H10" s="129">
        <f>IF(B$15=0,0,G10/B$15)</f>
        <v>0.11428571428571428</v>
      </c>
      <c r="I10" s="90">
        <v>5</v>
      </c>
      <c r="K10" s="36">
        <v>8</v>
      </c>
      <c r="L10" s="95">
        <v>-76.900000000000006</v>
      </c>
      <c r="N10" s="110" t="s">
        <v>157</v>
      </c>
      <c r="O10" s="120">
        <f>IF(P10=0,0,Q10/P10)</f>
        <v>-13.446666666666665</v>
      </c>
      <c r="P10" s="114">
        <v>30</v>
      </c>
      <c r="Q10" s="102">
        <v>-403.4</v>
      </c>
    </row>
    <row r="11" spans="1:17" x14ac:dyDescent="0.45">
      <c r="A11" s="54" t="s">
        <v>121</v>
      </c>
      <c r="B11" s="47">
        <v>109</v>
      </c>
      <c r="C11" s="42">
        <f>IF(B$3=0,0,B11/B$3)</f>
        <v>0.14211212516297261</v>
      </c>
      <c r="E11" s="59" t="s">
        <v>83</v>
      </c>
      <c r="F11" s="56" t="s">
        <v>38</v>
      </c>
      <c r="G11" s="44">
        <v>19</v>
      </c>
      <c r="H11" s="129">
        <f>IF(B$15=0,0,G11/B$15)</f>
        <v>9.0476190476190474E-2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-6.7178571428571425</v>
      </c>
      <c r="P11" s="115">
        <v>28</v>
      </c>
      <c r="Q11" s="103">
        <v>-188.1</v>
      </c>
    </row>
    <row r="12" spans="1:17" x14ac:dyDescent="0.45">
      <c r="A12" s="51" t="s">
        <v>118</v>
      </c>
      <c r="B12" s="44">
        <v>202</v>
      </c>
      <c r="C12" s="37">
        <f>IF(B$3=0,0,B12/B$3)</f>
        <v>0.26336375488917863</v>
      </c>
      <c r="E12" s="59" t="s">
        <v>89</v>
      </c>
      <c r="F12" s="56" t="s">
        <v>44</v>
      </c>
      <c r="G12" s="44">
        <v>14</v>
      </c>
      <c r="H12" s="129">
        <f>IF(B$15=0,0,G12/B$15)</f>
        <v>6.6666666666666666E-2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-0.53103448275862042</v>
      </c>
      <c r="P12" s="116">
        <v>29</v>
      </c>
      <c r="Q12" s="104">
        <v>-15.399999999999991</v>
      </c>
    </row>
    <row r="13" spans="1:17" x14ac:dyDescent="0.45">
      <c r="A13" s="50" t="s">
        <v>123</v>
      </c>
      <c r="B13" s="43">
        <f>B19</f>
        <v>58</v>
      </c>
      <c r="C13" s="35">
        <f>IF(B$11=0,0,B13/B$11)</f>
        <v>0.5321100917431193</v>
      </c>
      <c r="E13" s="59" t="s">
        <v>65</v>
      </c>
      <c r="F13" s="56" t="s">
        <v>21</v>
      </c>
      <c r="G13" s="44">
        <v>13</v>
      </c>
      <c r="H13" s="129">
        <f>IF(B$15=0,0,G13/B$15)</f>
        <v>6.1904761904761907E-2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81</v>
      </c>
      <c r="C14" s="35">
        <f>IF(B$12=0,0,B14/B$12)</f>
        <v>0.40099009900990101</v>
      </c>
      <c r="E14" s="59" t="s">
        <v>81</v>
      </c>
      <c r="F14" s="56" t="s">
        <v>36</v>
      </c>
      <c r="G14" s="44">
        <v>9</v>
      </c>
      <c r="H14" s="129">
        <f>IF(B$15=0,0,G14/B$15)</f>
        <v>4.2857142857142858E-2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210</v>
      </c>
      <c r="C15" s="35">
        <f>IF(B$3=0,0,B15/B$3)</f>
        <v>0.27379400260756193</v>
      </c>
      <c r="E15" s="59" t="s">
        <v>86</v>
      </c>
      <c r="F15" s="56" t="s">
        <v>41</v>
      </c>
      <c r="G15" s="44">
        <v>7</v>
      </c>
      <c r="H15" s="129">
        <f>IF(B$15=0,0,G15/B$15)</f>
        <v>3.3333333333333333E-2</v>
      </c>
      <c r="I15" s="90">
        <v>10</v>
      </c>
      <c r="K15" s="36">
        <v>13</v>
      </c>
      <c r="L15" s="95">
        <v>-66.2</v>
      </c>
      <c r="N15" s="110" t="s">
        <v>274</v>
      </c>
      <c r="O15" s="120">
        <f t="shared" ref="O15:O23" si="2">IF(P15=0,0,Q15/P15)</f>
        <v>57.233333333333341</v>
      </c>
      <c r="P15" s="114">
        <v>3</v>
      </c>
      <c r="Q15" s="102">
        <v>171.70000000000002</v>
      </c>
    </row>
    <row r="16" spans="1:17" x14ac:dyDescent="0.45">
      <c r="A16" s="51" t="s">
        <v>13</v>
      </c>
      <c r="B16" s="44">
        <v>126</v>
      </c>
      <c r="C16" s="37">
        <f>IF(B$3=0,0,B16/B$3)</f>
        <v>0.16427640156453716</v>
      </c>
      <c r="E16" s="59" t="s">
        <v>79</v>
      </c>
      <c r="F16" s="56" t="s">
        <v>34</v>
      </c>
      <c r="G16" s="44">
        <v>5</v>
      </c>
      <c r="H16" s="129">
        <f>IF(B$15=0,0,G16/B$15)</f>
        <v>2.3809523809523808E-2</v>
      </c>
      <c r="I16" s="90">
        <v>2</v>
      </c>
      <c r="K16" s="36">
        <v>14</v>
      </c>
      <c r="L16" s="95">
        <v>-51.1</v>
      </c>
      <c r="N16" s="111" t="s">
        <v>196</v>
      </c>
      <c r="O16" s="121">
        <f t="shared" si="2"/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90</v>
      </c>
      <c r="C17" s="37">
        <f>IF(B$15=0,0,B17/B$15)</f>
        <v>0.42857142857142855</v>
      </c>
      <c r="E17" s="59" t="s">
        <v>91</v>
      </c>
      <c r="F17" s="56" t="s">
        <v>46</v>
      </c>
      <c r="G17" s="44">
        <v>4</v>
      </c>
      <c r="H17" s="129">
        <f>IF(B$15=0,0,G17/B$15)</f>
        <v>1.9047619047619049E-2</v>
      </c>
      <c r="I17" s="90">
        <v>4</v>
      </c>
      <c r="K17" s="36">
        <v>15</v>
      </c>
      <c r="L17" s="95">
        <v>-65.2</v>
      </c>
      <c r="N17" s="111" t="s">
        <v>171</v>
      </c>
      <c r="O17" s="121">
        <f t="shared" si="2"/>
        <v>-0.73448275862068968</v>
      </c>
      <c r="P17" s="115">
        <v>29</v>
      </c>
      <c r="Q17" s="103">
        <v>-21.3</v>
      </c>
    </row>
    <row r="18" spans="1:17" x14ac:dyDescent="0.45">
      <c r="A18" s="51" t="s">
        <v>11</v>
      </c>
      <c r="B18" s="44">
        <v>120</v>
      </c>
      <c r="C18" s="37">
        <f>IF(B$15=0,0,B18/B$15)</f>
        <v>0.5714285714285714</v>
      </c>
      <c r="E18" s="59" t="s">
        <v>74</v>
      </c>
      <c r="F18" s="56" t="s">
        <v>29</v>
      </c>
      <c r="G18" s="44">
        <v>2</v>
      </c>
      <c r="H18" s="129">
        <f>IF(B$15=0,0,G18/B$15)</f>
        <v>9.5238095238095247E-3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 t="shared" si="2"/>
        <v>-1.4666666666666697</v>
      </c>
      <c r="P18" s="115">
        <v>18</v>
      </c>
      <c r="Q18" s="103">
        <v>-26.400000000000055</v>
      </c>
    </row>
    <row r="19" spans="1:17" x14ac:dyDescent="0.45">
      <c r="A19" s="51" t="s">
        <v>195</v>
      </c>
      <c r="B19" s="44">
        <v>58</v>
      </c>
      <c r="C19" s="37">
        <f>IF(B$15=0,0,B19/B$15)</f>
        <v>0.27619047619047621</v>
      </c>
      <c r="E19" s="59" t="s">
        <v>75</v>
      </c>
      <c r="F19" s="56" t="s">
        <v>30</v>
      </c>
      <c r="G19" s="44">
        <v>2</v>
      </c>
      <c r="H19" s="129">
        <f>IF(B$15=0,0,G19/B$15)</f>
        <v>9.5238095238095247E-3</v>
      </c>
      <c r="I19" s="90">
        <v>4</v>
      </c>
      <c r="K19" s="36">
        <v>17</v>
      </c>
      <c r="L19" s="95">
        <v>-65.2</v>
      </c>
      <c r="N19" s="111" t="s">
        <v>127</v>
      </c>
      <c r="O19" s="121">
        <f t="shared" si="2"/>
        <v>-10.769444444444446</v>
      </c>
      <c r="P19" s="115">
        <v>36</v>
      </c>
      <c r="Q19" s="103">
        <v>-387.70000000000005</v>
      </c>
    </row>
    <row r="20" spans="1:17" x14ac:dyDescent="0.45">
      <c r="A20" s="51" t="s">
        <v>193</v>
      </c>
      <c r="B20" s="44">
        <v>81</v>
      </c>
      <c r="C20" s="37">
        <f>IF(B$15=0,0,B20/B$15)</f>
        <v>0.38571428571428573</v>
      </c>
      <c r="E20" s="59" t="s">
        <v>78</v>
      </c>
      <c r="F20" s="56" t="s">
        <v>33</v>
      </c>
      <c r="G20" s="44">
        <v>2</v>
      </c>
      <c r="H20" s="129">
        <f>IF(B$15=0,0,G20/B$15)</f>
        <v>9.5238095238095247E-3</v>
      </c>
      <c r="I20" s="90">
        <v>9</v>
      </c>
      <c r="K20" s="36">
        <v>18</v>
      </c>
      <c r="L20" s="95">
        <v>-80.2</v>
      </c>
      <c r="N20" s="111" t="s">
        <v>126</v>
      </c>
      <c r="O20" s="121">
        <f t="shared" si="2"/>
        <v>-14.360000000000005</v>
      </c>
      <c r="P20" s="115">
        <v>40</v>
      </c>
      <c r="Q20" s="103">
        <v>-574.4000000000002</v>
      </c>
    </row>
    <row r="21" spans="1:17" x14ac:dyDescent="0.45">
      <c r="A21" s="51" t="s">
        <v>194</v>
      </c>
      <c r="B21" s="44">
        <v>71</v>
      </c>
      <c r="C21" s="37">
        <f>IF(B$15=0,0,B21/B$15)</f>
        <v>0.33809523809523812</v>
      </c>
      <c r="E21" s="59" t="s">
        <v>88</v>
      </c>
      <c r="F21" s="56" t="s">
        <v>43</v>
      </c>
      <c r="G21" s="44">
        <v>2</v>
      </c>
      <c r="H21" s="129">
        <f>IF(B$15=0,0,G21/B$15)</f>
        <v>9.5238095238095247E-3</v>
      </c>
      <c r="I21" s="90">
        <v>1</v>
      </c>
      <c r="K21" s="36">
        <v>19</v>
      </c>
      <c r="L21" s="95">
        <v>-115.1</v>
      </c>
      <c r="N21" s="111" t="s">
        <v>197</v>
      </c>
      <c r="O21" s="121">
        <f t="shared" si="2"/>
        <v>-18.291666666666664</v>
      </c>
      <c r="P21" s="115">
        <v>12</v>
      </c>
      <c r="Q21" s="103">
        <v>-219.49999999999997</v>
      </c>
    </row>
    <row r="22" spans="1:17" x14ac:dyDescent="0.45">
      <c r="A22" s="51" t="s">
        <v>5</v>
      </c>
      <c r="B22" s="48">
        <f>IF(B$15=0,0,C22/B$15)</f>
        <v>7096.666666666667</v>
      </c>
      <c r="C22" s="39">
        <v>1490300</v>
      </c>
      <c r="E22" s="59" t="s">
        <v>93</v>
      </c>
      <c r="F22" s="56" t="s">
        <v>48</v>
      </c>
      <c r="G22" s="44">
        <v>2</v>
      </c>
      <c r="H22" s="129">
        <f>IF(B$15=0,0,G22/B$15)</f>
        <v>9.5238095238095247E-3</v>
      </c>
      <c r="I22" s="90">
        <v>1</v>
      </c>
      <c r="K22" s="36">
        <v>20</v>
      </c>
      <c r="L22" s="95">
        <v>-88.8</v>
      </c>
      <c r="N22" s="111" t="s">
        <v>170</v>
      </c>
      <c r="O22" s="121">
        <f t="shared" si="2"/>
        <v>-26.54137931034483</v>
      </c>
      <c r="P22" s="115">
        <v>29</v>
      </c>
      <c r="Q22" s="103">
        <v>-769.7</v>
      </c>
    </row>
    <row r="23" spans="1:17" x14ac:dyDescent="0.45">
      <c r="A23" s="52" t="s">
        <v>177</v>
      </c>
      <c r="B23" s="136">
        <f>IF($B$15-B$14=0,0,C23/($B$15-B$14))</f>
        <v>7605.426356589147</v>
      </c>
      <c r="C23" s="137">
        <v>981100</v>
      </c>
      <c r="E23" s="59" t="s">
        <v>77</v>
      </c>
      <c r="F23" s="56" t="s">
        <v>32</v>
      </c>
      <c r="G23" s="44">
        <v>1</v>
      </c>
      <c r="H23" s="129">
        <f>IF(B$15=0,0,G23/B$15)</f>
        <v>4.7619047619047623E-3</v>
      </c>
      <c r="I23" s="90">
        <v>2</v>
      </c>
      <c r="K23" s="36">
        <v>21</v>
      </c>
      <c r="L23" s="95">
        <v>-111.4</v>
      </c>
      <c r="N23" s="111" t="s">
        <v>281</v>
      </c>
      <c r="O23" s="121">
        <f t="shared" si="2"/>
        <v>-38</v>
      </c>
      <c r="P23" s="115">
        <v>1</v>
      </c>
      <c r="Q23" s="103">
        <v>-38</v>
      </c>
    </row>
    <row r="24" spans="1:17" x14ac:dyDescent="0.45">
      <c r="A24" s="52" t="s">
        <v>178</v>
      </c>
      <c r="B24" s="136">
        <f>IF(B$14=0,0,C24/B$14)</f>
        <v>6286.4197530864194</v>
      </c>
      <c r="C24" s="137">
        <v>509200</v>
      </c>
      <c r="E24" s="59" t="s">
        <v>84</v>
      </c>
      <c r="F24" s="56" t="s">
        <v>39</v>
      </c>
      <c r="G24" s="44">
        <v>1</v>
      </c>
      <c r="H24" s="129">
        <f>IF(B$15=0,0,G24/B$15)</f>
        <v>4.7619047619047623E-3</v>
      </c>
      <c r="I24" s="90">
        <v>3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-7537.3015873015875</v>
      </c>
      <c r="C25" s="137">
        <v>-949700</v>
      </c>
      <c r="E25" s="59" t="s">
        <v>87</v>
      </c>
      <c r="F25" s="56" t="s">
        <v>42</v>
      </c>
      <c r="G25" s="44">
        <v>1</v>
      </c>
      <c r="H25" s="129">
        <f>IF(B$15=0,0,G25/B$15)</f>
        <v>4.7619047619047623E-3</v>
      </c>
      <c r="I25" s="90">
        <v>3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5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4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87400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2.6075619295958278E-3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27</v>
      </c>
      <c r="C32" s="141">
        <f>IF(B$15=0,0,B32/B$15)</f>
        <v>0.12857142857142856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44</v>
      </c>
      <c r="C33" s="37">
        <f t="shared" ref="C33:C44" si="3">IF(B$15=0,0,B33/B$15)</f>
        <v>0.20952380952380953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43</v>
      </c>
      <c r="C34" s="37">
        <f>IF(B$15=0,0,B34/B$15)</f>
        <v>0.20476190476190476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37</v>
      </c>
      <c r="C35" s="37">
        <f t="shared" si="3"/>
        <v>0.1761904761904762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22</v>
      </c>
      <c r="C36" s="37">
        <f t="shared" si="3"/>
        <v>0.10476190476190476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17</v>
      </c>
      <c r="C37" s="37">
        <f t="shared" si="3"/>
        <v>8.0952380952380956E-2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11</v>
      </c>
      <c r="C38" s="37">
        <f t="shared" si="3"/>
        <v>5.2380952380952382E-2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6</v>
      </c>
      <c r="C39" s="37">
        <f t="shared" si="3"/>
        <v>2.8571428571428571E-2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1</v>
      </c>
      <c r="C40" s="37">
        <f t="shared" si="3"/>
        <v>4.7619047619047623E-3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2</v>
      </c>
      <c r="C44" s="40">
        <f t="shared" si="3"/>
        <v>9.5238095238095247E-3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  <row r="70" spans="11:12" x14ac:dyDescent="0.45">
      <c r="K70" s="36">
        <v>68</v>
      </c>
      <c r="L70" s="95">
        <v>-513.00000000000023</v>
      </c>
    </row>
    <row r="71" spans="11:12" x14ac:dyDescent="0.45">
      <c r="K71" s="36">
        <v>69</v>
      </c>
      <c r="L71" s="95">
        <v>-482.60000000000025</v>
      </c>
    </row>
    <row r="72" spans="11:12" x14ac:dyDescent="0.45">
      <c r="K72" s="36">
        <v>70</v>
      </c>
      <c r="L72" s="95">
        <v>-490.90000000000026</v>
      </c>
    </row>
    <row r="73" spans="11:12" x14ac:dyDescent="0.45">
      <c r="K73" s="36">
        <v>71</v>
      </c>
      <c r="L73" s="95">
        <v>-486.70000000000027</v>
      </c>
    </row>
    <row r="74" spans="11:12" x14ac:dyDescent="0.45">
      <c r="K74" s="36">
        <v>72</v>
      </c>
      <c r="L74" s="95">
        <v>-450.00000000000028</v>
      </c>
    </row>
    <row r="75" spans="11:12" x14ac:dyDescent="0.45">
      <c r="K75" s="36">
        <v>73</v>
      </c>
      <c r="L75" s="95">
        <v>-460.50000000000028</v>
      </c>
    </row>
    <row r="76" spans="11:12" x14ac:dyDescent="0.45">
      <c r="K76" s="36">
        <v>74</v>
      </c>
      <c r="L76" s="95">
        <v>-460.70000000000027</v>
      </c>
    </row>
    <row r="77" spans="11:12" x14ac:dyDescent="0.45">
      <c r="K77" s="36">
        <v>75</v>
      </c>
      <c r="L77" s="95">
        <v>-462.20000000000027</v>
      </c>
    </row>
    <row r="78" spans="11:12" x14ac:dyDescent="0.45">
      <c r="K78" s="36">
        <v>76</v>
      </c>
      <c r="L78" s="95">
        <v>-520.50000000000023</v>
      </c>
    </row>
    <row r="79" spans="11:12" x14ac:dyDescent="0.45">
      <c r="K79" s="36">
        <v>77</v>
      </c>
      <c r="L79" s="95">
        <v>-490.00000000000023</v>
      </c>
    </row>
    <row r="80" spans="11:12" x14ac:dyDescent="0.45">
      <c r="K80" s="36">
        <v>78</v>
      </c>
      <c r="L80" s="95">
        <v>-427.60000000000025</v>
      </c>
    </row>
    <row r="81" spans="11:12" x14ac:dyDescent="0.45">
      <c r="K81" s="36">
        <v>79</v>
      </c>
      <c r="L81" s="95">
        <v>-419.20000000000027</v>
      </c>
    </row>
    <row r="82" spans="11:12" x14ac:dyDescent="0.45">
      <c r="K82" s="36">
        <v>80</v>
      </c>
      <c r="L82" s="95">
        <v>-427.50000000000028</v>
      </c>
    </row>
    <row r="83" spans="11:12" x14ac:dyDescent="0.45">
      <c r="K83" s="36">
        <v>81</v>
      </c>
      <c r="L83" s="95">
        <v>-430.90000000000026</v>
      </c>
    </row>
    <row r="84" spans="11:12" x14ac:dyDescent="0.45">
      <c r="K84" s="36">
        <v>82</v>
      </c>
      <c r="L84" s="95">
        <v>-468.40000000000026</v>
      </c>
    </row>
    <row r="85" spans="11:12" x14ac:dyDescent="0.45">
      <c r="K85" s="36">
        <v>83</v>
      </c>
      <c r="L85" s="95">
        <v>-502.90000000000026</v>
      </c>
    </row>
    <row r="86" spans="11:12" x14ac:dyDescent="0.45">
      <c r="K86" s="36">
        <v>84</v>
      </c>
      <c r="L86" s="95">
        <v>-564.20000000000027</v>
      </c>
    </row>
    <row r="87" spans="11:12" x14ac:dyDescent="0.45">
      <c r="K87" s="36">
        <v>85</v>
      </c>
      <c r="L87" s="95">
        <v>-589.90000000000032</v>
      </c>
    </row>
    <row r="88" spans="11:12" x14ac:dyDescent="0.45">
      <c r="K88" s="36">
        <v>86</v>
      </c>
      <c r="L88" s="95">
        <v>-582.3000000000003</v>
      </c>
    </row>
    <row r="89" spans="11:12" x14ac:dyDescent="0.45">
      <c r="K89" s="36">
        <v>87</v>
      </c>
      <c r="L89" s="95">
        <v>-606.90000000000032</v>
      </c>
    </row>
  </sheetData>
  <sortState xmlns:xlrd2="http://schemas.microsoft.com/office/spreadsheetml/2017/richdata2" ref="E2:I90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CE4EF-9CC7-4B01-BCDE-8541105FEBD1}">
  <sheetPr codeName="Sheet9"/>
  <dimension ref="A1:Q19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193</v>
      </c>
      <c r="C2" s="155"/>
      <c r="E2" s="58" t="s">
        <v>66</v>
      </c>
      <c r="F2" s="55" t="s">
        <v>22</v>
      </c>
      <c r="G2" s="43">
        <v>371</v>
      </c>
      <c r="H2" s="128">
        <f>IF(B$15=0,0,G2/B$15)</f>
        <v>0.67577413479052828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1454.1666666666667</v>
      </c>
      <c r="P2" s="114">
        <v>192</v>
      </c>
      <c r="Q2" s="98">
        <v>279200</v>
      </c>
    </row>
    <row r="3" spans="1:17" x14ac:dyDescent="0.45">
      <c r="A3" s="51" t="s">
        <v>8</v>
      </c>
      <c r="B3" s="156">
        <v>1586</v>
      </c>
      <c r="C3" s="157"/>
      <c r="E3" s="59" t="s">
        <v>72</v>
      </c>
      <c r="F3" s="56" t="s">
        <v>27</v>
      </c>
      <c r="G3" s="44">
        <v>294</v>
      </c>
      <c r="H3" s="129">
        <f>IF(B$15=0,0,G3/B$15)</f>
        <v>0.53551912568306015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1111.7021276595744</v>
      </c>
      <c r="P3" s="115">
        <v>188</v>
      </c>
      <c r="Q3" s="99">
        <v>209000</v>
      </c>
    </row>
    <row r="4" spans="1:17" x14ac:dyDescent="0.45">
      <c r="A4" s="51" t="s">
        <v>6</v>
      </c>
      <c r="B4" s="158">
        <v>1799.3999999999996</v>
      </c>
      <c r="C4" s="159"/>
      <c r="E4" s="59" t="s">
        <v>64</v>
      </c>
      <c r="F4" s="56" t="s">
        <v>20</v>
      </c>
      <c r="G4" s="44">
        <v>235</v>
      </c>
      <c r="H4" s="129">
        <f>IF(B$15=0,0,G4/B$15)</f>
        <v>0.42805100182149364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1209.3922651933701</v>
      </c>
      <c r="P4" s="115">
        <v>181</v>
      </c>
      <c r="Q4" s="99">
        <v>218900</v>
      </c>
    </row>
    <row r="5" spans="1:17" x14ac:dyDescent="0.45">
      <c r="A5" s="51" t="s">
        <v>7</v>
      </c>
      <c r="B5" s="160">
        <f>IF(B$2=0,0,B$4/B$2)</f>
        <v>9.323316062176163</v>
      </c>
      <c r="C5" s="161"/>
      <c r="E5" s="59" t="s">
        <v>166</v>
      </c>
      <c r="F5" s="56" t="s">
        <v>167</v>
      </c>
      <c r="G5" s="44">
        <v>211</v>
      </c>
      <c r="H5" s="129">
        <f>IF(B$15=0,0,G5/B$15)</f>
        <v>0.38433515482695813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234.31952662721895</v>
      </c>
      <c r="P5" s="115">
        <v>169</v>
      </c>
      <c r="Q5" s="99">
        <v>39600</v>
      </c>
    </row>
    <row r="6" spans="1:17" x14ac:dyDescent="0.45">
      <c r="A6" s="51" t="s">
        <v>1</v>
      </c>
      <c r="B6" s="150">
        <f>IF(B$2=0,0,(B$7*1+B$8*2+B$9*3)/B$2)</f>
        <v>1.766839378238342</v>
      </c>
      <c r="C6" s="151"/>
      <c r="E6" s="59" t="s">
        <v>68</v>
      </c>
      <c r="F6" s="56" t="s">
        <v>12</v>
      </c>
      <c r="G6" s="44">
        <v>153</v>
      </c>
      <c r="H6" s="129">
        <f>IF(B$15=0,0,G6/B$15)</f>
        <v>0.27868852459016391</v>
      </c>
      <c r="I6" s="90">
        <v>10</v>
      </c>
      <c r="K6" s="36">
        <v>4</v>
      </c>
      <c r="L6" s="95">
        <v>101.60000000000001</v>
      </c>
      <c r="N6" s="111" t="s">
        <v>134</v>
      </c>
      <c r="O6" s="118">
        <f t="shared" si="0"/>
        <v>1976.5822784810127</v>
      </c>
      <c r="P6" s="115">
        <v>158</v>
      </c>
      <c r="Q6" s="99">
        <v>312300</v>
      </c>
    </row>
    <row r="7" spans="1:17" x14ac:dyDescent="0.45">
      <c r="A7" s="51" t="s">
        <v>2</v>
      </c>
      <c r="B7" s="44">
        <v>91</v>
      </c>
      <c r="C7" s="37">
        <f t="shared" ref="C7:C10" si="1">IF(B$2=0,0,B7/B$2)</f>
        <v>0.47150259067357514</v>
      </c>
      <c r="E7" s="59" t="s">
        <v>67</v>
      </c>
      <c r="F7" s="56" t="s">
        <v>23</v>
      </c>
      <c r="G7" s="44">
        <v>130</v>
      </c>
      <c r="H7" s="129">
        <f>IF(B$15=0,0,G7/B$15)</f>
        <v>0.23679417122040072</v>
      </c>
      <c r="I7" s="90">
        <v>11</v>
      </c>
      <c r="K7" s="36">
        <v>5</v>
      </c>
      <c r="L7" s="95">
        <v>99.9</v>
      </c>
      <c r="N7" s="112" t="s">
        <v>135</v>
      </c>
      <c r="O7" s="119">
        <f t="shared" si="0"/>
        <v>1744.9612403100775</v>
      </c>
      <c r="P7" s="116">
        <v>129</v>
      </c>
      <c r="Q7" s="100">
        <v>225100</v>
      </c>
    </row>
    <row r="8" spans="1:17" x14ac:dyDescent="0.45">
      <c r="A8" s="51" t="s">
        <v>3</v>
      </c>
      <c r="B8" s="44">
        <v>56</v>
      </c>
      <c r="C8" s="37">
        <f t="shared" si="1"/>
        <v>0.29015544041450775</v>
      </c>
      <c r="E8" s="59" t="s">
        <v>89</v>
      </c>
      <c r="F8" s="56" t="s">
        <v>44</v>
      </c>
      <c r="G8" s="44">
        <v>80</v>
      </c>
      <c r="H8" s="129">
        <f>IF(B$15=0,0,G8/B$15)</f>
        <v>0.14571948998178508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46</v>
      </c>
      <c r="C9" s="38">
        <f t="shared" si="1"/>
        <v>0.23834196891191708</v>
      </c>
      <c r="E9" s="59" t="s">
        <v>69</v>
      </c>
      <c r="F9" s="56" t="s">
        <v>24</v>
      </c>
      <c r="G9" s="44">
        <v>69</v>
      </c>
      <c r="H9" s="129">
        <f>IF(B$15=0,0,G9/B$15)</f>
        <v>0.12568306010928962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4.145077720207254E-2</v>
      </c>
      <c r="E10" s="59" t="s">
        <v>65</v>
      </c>
      <c r="F10" s="56" t="s">
        <v>21</v>
      </c>
      <c r="G10" s="44">
        <v>60</v>
      </c>
      <c r="H10" s="129">
        <f>IF(B$15=0,0,G10/B$15)</f>
        <v>0.10928961748633879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12.021052631578947</v>
      </c>
      <c r="P10" s="114">
        <v>57</v>
      </c>
      <c r="Q10" s="102">
        <v>685.19999999999993</v>
      </c>
    </row>
    <row r="11" spans="1:17" x14ac:dyDescent="0.45">
      <c r="A11" s="54" t="s">
        <v>121</v>
      </c>
      <c r="B11" s="47">
        <v>418</v>
      </c>
      <c r="C11" s="42">
        <f>IF(B$3=0,0,B11/B$3)</f>
        <v>0.2635561160151324</v>
      </c>
      <c r="E11" s="59" t="s">
        <v>71</v>
      </c>
      <c r="F11" s="56" t="s">
        <v>26</v>
      </c>
      <c r="G11" s="44">
        <v>39</v>
      </c>
      <c r="H11" s="129">
        <f>IF(B$15=0,0,G11/B$15)</f>
        <v>7.1038251366120214E-2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5.2803030303030303</v>
      </c>
      <c r="P11" s="115">
        <v>66</v>
      </c>
      <c r="Q11" s="103">
        <v>348.5</v>
      </c>
    </row>
    <row r="12" spans="1:17" x14ac:dyDescent="0.45">
      <c r="A12" s="51" t="s">
        <v>118</v>
      </c>
      <c r="B12" s="44">
        <v>375</v>
      </c>
      <c r="C12" s="37">
        <f>IF(B$3=0,0,B12/B$3)</f>
        <v>0.2364438839848676</v>
      </c>
      <c r="E12" s="59" t="s">
        <v>86</v>
      </c>
      <c r="F12" s="56" t="s">
        <v>41</v>
      </c>
      <c r="G12" s="44">
        <v>35</v>
      </c>
      <c r="H12" s="129">
        <f>IF(B$15=0,0,G12/B$15)</f>
        <v>6.3752276867030971E-2</v>
      </c>
      <c r="I12" s="90">
        <v>2</v>
      </c>
      <c r="K12" s="36">
        <v>10</v>
      </c>
      <c r="L12" s="95">
        <v>158.19999999999999</v>
      </c>
      <c r="N12" s="112" t="s">
        <v>159</v>
      </c>
      <c r="O12" s="122">
        <f>IF(P12=0,0,Q12/P12)</f>
        <v>10.938571428571427</v>
      </c>
      <c r="P12" s="116">
        <v>70</v>
      </c>
      <c r="Q12" s="104">
        <v>765.69999999999982</v>
      </c>
    </row>
    <row r="13" spans="1:17" x14ac:dyDescent="0.45">
      <c r="A13" s="50" t="s">
        <v>123</v>
      </c>
      <c r="B13" s="43">
        <f>B19</f>
        <v>248</v>
      </c>
      <c r="C13" s="35">
        <f>IF(B$11=0,0,B13/B$11)</f>
        <v>0.59330143540669855</v>
      </c>
      <c r="E13" s="59" t="s">
        <v>70</v>
      </c>
      <c r="F13" s="56" t="s">
        <v>25</v>
      </c>
      <c r="G13" s="44">
        <v>33</v>
      </c>
      <c r="H13" s="129">
        <f>IF(B$15=0,0,G13/B$15)</f>
        <v>6.0109289617486336E-2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185</v>
      </c>
      <c r="C14" s="35">
        <f>IF(B$12=0,0,B14/B$12)</f>
        <v>0.49333333333333335</v>
      </c>
      <c r="E14" s="59" t="s">
        <v>83</v>
      </c>
      <c r="F14" s="56" t="s">
        <v>38</v>
      </c>
      <c r="G14" s="44">
        <v>25</v>
      </c>
      <c r="H14" s="129">
        <f>IF(B$15=0,0,G14/B$15)</f>
        <v>4.553734061930783E-2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549</v>
      </c>
      <c r="C15" s="35">
        <f>IF(B$3=0,0,B15/B$3)</f>
        <v>0.34615384615384615</v>
      </c>
      <c r="E15" s="59" t="s">
        <v>78</v>
      </c>
      <c r="F15" s="56" t="s">
        <v>33</v>
      </c>
      <c r="G15" s="44">
        <v>21</v>
      </c>
      <c r="H15" s="129">
        <f>IF(B$15=0,0,G15/B$15)</f>
        <v>3.825136612021858E-2</v>
      </c>
      <c r="I15" s="90">
        <v>4</v>
      </c>
      <c r="K15" s="36">
        <v>13</v>
      </c>
      <c r="L15" s="95">
        <v>206.39999999999998</v>
      </c>
      <c r="N15" s="110" t="s">
        <v>274</v>
      </c>
      <c r="O15" s="120">
        <f>IF(P15=0,0,Q15/P15)</f>
        <v>47.224999999999994</v>
      </c>
      <c r="P15" s="114">
        <v>4</v>
      </c>
      <c r="Q15" s="102">
        <v>188.89999999999998</v>
      </c>
    </row>
    <row r="16" spans="1:17" x14ac:dyDescent="0.45">
      <c r="A16" s="51" t="s">
        <v>13</v>
      </c>
      <c r="B16" s="44">
        <v>197</v>
      </c>
      <c r="C16" s="37">
        <f>IF(B$3=0,0,B16/B$3)</f>
        <v>0.12421185372005045</v>
      </c>
      <c r="E16" s="59" t="s">
        <v>162</v>
      </c>
      <c r="F16" s="56" t="s">
        <v>163</v>
      </c>
      <c r="G16" s="44">
        <v>15</v>
      </c>
      <c r="H16" s="129">
        <f>IF(B$15=0,0,G16/B$15)</f>
        <v>2.7322404371584699E-2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>IF(P16=0,0,Q16/P16)</f>
        <v>39.662500000000009</v>
      </c>
      <c r="P16" s="115">
        <v>8</v>
      </c>
      <c r="Q16" s="103">
        <v>317.30000000000007</v>
      </c>
    </row>
    <row r="17" spans="1:17" x14ac:dyDescent="0.45">
      <c r="A17" s="51" t="s">
        <v>12</v>
      </c>
      <c r="B17" s="44">
        <v>232</v>
      </c>
      <c r="C17" s="37">
        <f>IF(B$15=0,0,B17/B$15)</f>
        <v>0.42258652094717669</v>
      </c>
      <c r="E17" s="59" t="s">
        <v>81</v>
      </c>
      <c r="F17" s="56" t="s">
        <v>36</v>
      </c>
      <c r="G17" s="44">
        <v>9</v>
      </c>
      <c r="H17" s="129">
        <f>IF(B$15=0,0,G17/B$15)</f>
        <v>1.6393442622950821E-2</v>
      </c>
      <c r="I17" s="90">
        <v>7</v>
      </c>
      <c r="K17" s="36">
        <v>15</v>
      </c>
      <c r="L17" s="95">
        <v>269.49999999999994</v>
      </c>
      <c r="N17" s="111" t="s">
        <v>197</v>
      </c>
      <c r="O17" s="121">
        <f>IF(P17=0,0,Q17/P17)</f>
        <v>24.157142857142862</v>
      </c>
      <c r="P17" s="115">
        <v>21</v>
      </c>
      <c r="Q17" s="103">
        <v>507.30000000000007</v>
      </c>
    </row>
    <row r="18" spans="1:17" x14ac:dyDescent="0.45">
      <c r="A18" s="51" t="s">
        <v>11</v>
      </c>
      <c r="B18" s="44">
        <v>317</v>
      </c>
      <c r="C18" s="37">
        <f>IF(B$15=0,0,B18/B$15)</f>
        <v>0.57741347905282336</v>
      </c>
      <c r="E18" s="59" t="s">
        <v>91</v>
      </c>
      <c r="F18" s="56" t="s">
        <v>46</v>
      </c>
      <c r="G18" s="44">
        <v>6</v>
      </c>
      <c r="H18" s="129">
        <f>IF(B$15=0,0,G18/B$15)</f>
        <v>1.092896174863388E-2</v>
      </c>
      <c r="I18" s="90">
        <v>7</v>
      </c>
      <c r="K18" s="36">
        <v>16</v>
      </c>
      <c r="L18" s="95">
        <v>323.69999999999993</v>
      </c>
      <c r="N18" s="111" t="s">
        <v>172</v>
      </c>
      <c r="O18" s="121">
        <f>IF(P18=0,0,Q18/P18)</f>
        <v>15.762499999999999</v>
      </c>
      <c r="P18" s="115">
        <v>64</v>
      </c>
      <c r="Q18" s="103">
        <v>1008.8</v>
      </c>
    </row>
    <row r="19" spans="1:17" x14ac:dyDescent="0.45">
      <c r="A19" s="51" t="s">
        <v>195</v>
      </c>
      <c r="B19" s="44">
        <v>248</v>
      </c>
      <c r="C19" s="37">
        <f>IF(B$15=0,0,B19/B$15)</f>
        <v>0.45173041894353372</v>
      </c>
      <c r="E19" s="59" t="s">
        <v>75</v>
      </c>
      <c r="F19" s="56" t="s">
        <v>30</v>
      </c>
      <c r="G19" s="44">
        <v>5</v>
      </c>
      <c r="H19" s="129">
        <f>IF(B$15=0,0,G19/B$15)</f>
        <v>9.1074681238615673E-3</v>
      </c>
      <c r="I19" s="90">
        <v>5</v>
      </c>
      <c r="K19" s="36">
        <v>17</v>
      </c>
      <c r="L19" s="95">
        <v>359.09999999999991</v>
      </c>
      <c r="N19" s="111" t="s">
        <v>161</v>
      </c>
      <c r="O19" s="121">
        <f>IF(P19=0,0,Q19/P19)</f>
        <v>14.770731707317074</v>
      </c>
      <c r="P19" s="115">
        <v>41</v>
      </c>
      <c r="Q19" s="103">
        <v>605.6</v>
      </c>
    </row>
    <row r="20" spans="1:17" x14ac:dyDescent="0.45">
      <c r="A20" s="51" t="s">
        <v>193</v>
      </c>
      <c r="B20" s="44">
        <v>185</v>
      </c>
      <c r="C20" s="37">
        <f>IF(B$15=0,0,B20/B$15)</f>
        <v>0.33697632058287796</v>
      </c>
      <c r="E20" s="59" t="s">
        <v>92</v>
      </c>
      <c r="F20" s="56" t="s">
        <v>47</v>
      </c>
      <c r="G20" s="44">
        <v>5</v>
      </c>
      <c r="H20" s="129">
        <f>IF(B$15=0,0,G20/B$15)</f>
        <v>9.1074681238615673E-3</v>
      </c>
      <c r="I20" s="90">
        <v>2</v>
      </c>
      <c r="K20" s="36">
        <v>18</v>
      </c>
      <c r="L20" s="95">
        <v>352.39999999999992</v>
      </c>
      <c r="N20" s="111" t="s">
        <v>171</v>
      </c>
      <c r="O20" s="121">
        <f>IF(P20=0,0,Q20/P20)</f>
        <v>14.12638888888889</v>
      </c>
      <c r="P20" s="115">
        <v>72</v>
      </c>
      <c r="Q20" s="103">
        <v>1017.1000000000001</v>
      </c>
    </row>
    <row r="21" spans="1:17" x14ac:dyDescent="0.45">
      <c r="A21" s="51" t="s">
        <v>194</v>
      </c>
      <c r="B21" s="44">
        <v>116</v>
      </c>
      <c r="C21" s="37">
        <f>IF(B$15=0,0,B21/B$15)</f>
        <v>0.21129326047358835</v>
      </c>
      <c r="E21" s="59" t="s">
        <v>79</v>
      </c>
      <c r="F21" s="56" t="s">
        <v>34</v>
      </c>
      <c r="G21" s="44">
        <v>4</v>
      </c>
      <c r="H21" s="129">
        <f>IF(B$15=0,0,G21/B$15)</f>
        <v>7.2859744990892532E-3</v>
      </c>
      <c r="I21" s="90">
        <v>9</v>
      </c>
      <c r="K21" s="36">
        <v>19</v>
      </c>
      <c r="L21" s="95">
        <v>383.19999999999993</v>
      </c>
      <c r="N21" s="111" t="s">
        <v>127</v>
      </c>
      <c r="O21" s="121">
        <f>IF(P21=0,0,Q21/P21)</f>
        <v>13.773684210526318</v>
      </c>
      <c r="P21" s="115">
        <v>114</v>
      </c>
      <c r="Q21" s="103">
        <v>1570.2000000000003</v>
      </c>
    </row>
    <row r="22" spans="1:17" x14ac:dyDescent="0.45">
      <c r="A22" s="51" t="s">
        <v>5</v>
      </c>
      <c r="B22" s="48">
        <f>IF(B$15=0,0,C22/B$15)</f>
        <v>8168.3060109289618</v>
      </c>
      <c r="C22" s="39">
        <v>4484400</v>
      </c>
      <c r="E22" s="59" t="s">
        <v>85</v>
      </c>
      <c r="F22" s="56" t="s">
        <v>40</v>
      </c>
      <c r="G22" s="44">
        <v>4</v>
      </c>
      <c r="H22" s="129">
        <f>IF(B$15=0,0,G22/B$15)</f>
        <v>7.2859744990892532E-3</v>
      </c>
      <c r="I22" s="90">
        <v>5</v>
      </c>
      <c r="K22" s="36">
        <v>20</v>
      </c>
      <c r="L22" s="95">
        <v>365.49999999999994</v>
      </c>
      <c r="N22" s="111" t="s">
        <v>170</v>
      </c>
      <c r="O22" s="121">
        <f>IF(P22=0,0,Q22/P22)</f>
        <v>4.1557377049180335</v>
      </c>
      <c r="P22" s="115">
        <v>61</v>
      </c>
      <c r="Q22" s="103">
        <v>253.50000000000003</v>
      </c>
    </row>
    <row r="23" spans="1:17" x14ac:dyDescent="0.45">
      <c r="A23" s="52" t="s">
        <v>177</v>
      </c>
      <c r="B23" s="136">
        <f>IF($B$15-B$14=0,0,C23/($B$15-B$14))</f>
        <v>8744.7802197802193</v>
      </c>
      <c r="C23" s="137">
        <v>3183100</v>
      </c>
      <c r="E23" s="59" t="s">
        <v>77</v>
      </c>
      <c r="F23" s="56" t="s">
        <v>32</v>
      </c>
      <c r="G23" s="44">
        <v>3</v>
      </c>
      <c r="H23" s="129">
        <f>IF(B$15=0,0,G23/B$15)</f>
        <v>5.4644808743169399E-3</v>
      </c>
      <c r="I23" s="90">
        <v>1</v>
      </c>
      <c r="K23" s="36">
        <v>21</v>
      </c>
      <c r="L23" s="95">
        <v>371.39999999999992</v>
      </c>
      <c r="N23" s="111" t="s">
        <v>203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7034.0540540540542</v>
      </c>
      <c r="C24" s="137">
        <v>1301300</v>
      </c>
      <c r="E24" s="59" t="s">
        <v>84</v>
      </c>
      <c r="F24" s="56" t="s">
        <v>39</v>
      </c>
      <c r="G24" s="44">
        <v>3</v>
      </c>
      <c r="H24" s="129">
        <f>IF(B$15=0,0,G24/B$15)</f>
        <v>5.4644808743169399E-3</v>
      </c>
      <c r="I24" s="90">
        <v>2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-7815.2284263959391</v>
      </c>
      <c r="C25" s="137">
        <v>-1539600</v>
      </c>
      <c r="E25" s="59" t="s">
        <v>74</v>
      </c>
      <c r="F25" s="56" t="s">
        <v>29</v>
      </c>
      <c r="G25" s="44">
        <v>2</v>
      </c>
      <c r="H25" s="129">
        <f>IF(B$15=0,0,G25/B$15)</f>
        <v>3.6429872495446266E-3</v>
      </c>
      <c r="I25" s="90">
        <v>4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88</v>
      </c>
      <c r="F26" s="56" t="s">
        <v>43</v>
      </c>
      <c r="G26" s="44">
        <v>2</v>
      </c>
      <c r="H26" s="129">
        <f>IF(B$15=0,0,G26/B$15)</f>
        <v>3.6429872495446266E-3</v>
      </c>
      <c r="I26" s="90">
        <v>3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26</v>
      </c>
      <c r="E27" s="59" t="s">
        <v>95</v>
      </c>
      <c r="F27" s="56" t="s">
        <v>50</v>
      </c>
      <c r="G27" s="44">
        <v>2</v>
      </c>
      <c r="H27" s="129">
        <f>IF(B$15=0,0,G27/B$15)</f>
        <v>3.6429872495446266E-3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1</v>
      </c>
      <c r="H28" s="129">
        <f>IF(B$15=0,0,G28/B$15)</f>
        <v>1.8214936247723133E-3</v>
      </c>
      <c r="I28" s="90">
        <v>6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1</v>
      </c>
      <c r="H29" s="129">
        <f>IF(B$15=0,0,G29/B$15)</f>
        <v>1.8214936247723133E-3</v>
      </c>
      <c r="I29" s="90">
        <v>3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2</v>
      </c>
      <c r="C30" s="40">
        <f>IF(B$3=0,0,B30/B$3)</f>
        <v>1.2610340479192938E-3</v>
      </c>
      <c r="E30" s="59" t="s">
        <v>106</v>
      </c>
      <c r="F30" s="56" t="s">
        <v>113</v>
      </c>
      <c r="G30" s="44">
        <v>1</v>
      </c>
      <c r="H30" s="129">
        <f>IF(B$15=0,0,G30/B$15)</f>
        <v>1.8214936247723133E-3</v>
      </c>
      <c r="I30" s="90">
        <v>1</v>
      </c>
      <c r="K30" s="36">
        <v>28</v>
      </c>
      <c r="L30" s="95">
        <v>375.79999999999995</v>
      </c>
    </row>
    <row r="31" spans="1:17" x14ac:dyDescent="0.45">
      <c r="E31" s="59" t="s">
        <v>73</v>
      </c>
      <c r="F31" s="56" t="s">
        <v>28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53</v>
      </c>
      <c r="C32" s="141">
        <f>IF(B$15=0,0,B32/B$15)</f>
        <v>9.6539162112932606E-2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102</v>
      </c>
      <c r="C33" s="37">
        <f t="shared" ref="C33:C44" si="2">IF(B$15=0,0,B33/B$15)</f>
        <v>0.18579234972677597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109</v>
      </c>
      <c r="C34" s="37">
        <f>IF(B$15=0,0,B34/B$15)</f>
        <v>0.19854280510018216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98</v>
      </c>
      <c r="C35" s="37">
        <f t="shared" si="2"/>
        <v>0.1785063752276867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78</v>
      </c>
      <c r="C36" s="37">
        <f t="shared" si="2"/>
        <v>0.14207650273224043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52</v>
      </c>
      <c r="C37" s="37">
        <f t="shared" si="2"/>
        <v>9.4717668488160295E-2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25</v>
      </c>
      <c r="C38" s="37">
        <f t="shared" si="2"/>
        <v>4.553734061930783E-2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11</v>
      </c>
      <c r="C39" s="37">
        <f t="shared" si="2"/>
        <v>2.0036429872495445E-2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10</v>
      </c>
      <c r="C40" s="37">
        <f t="shared" si="2"/>
        <v>1.8214936247723135E-2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2</v>
      </c>
      <c r="C41" s="37">
        <f t="shared" si="2"/>
        <v>3.6429872495446266E-3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1.8214936247723133E-3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8</v>
      </c>
      <c r="C44" s="40">
        <f t="shared" si="2"/>
        <v>1.4571948998178506E-2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  <row r="157" spans="11:12" x14ac:dyDescent="0.45">
      <c r="K157" s="36">
        <v>155</v>
      </c>
      <c r="L157" s="95">
        <v>1213.8000000000002</v>
      </c>
    </row>
    <row r="158" spans="11:12" x14ac:dyDescent="0.45">
      <c r="K158" s="36">
        <v>156</v>
      </c>
      <c r="L158" s="95">
        <v>1263.9000000000001</v>
      </c>
    </row>
    <row r="159" spans="11:12" x14ac:dyDescent="0.45">
      <c r="K159" s="36">
        <v>157</v>
      </c>
      <c r="L159" s="95">
        <v>1287.4000000000001</v>
      </c>
    </row>
    <row r="160" spans="11:12" x14ac:dyDescent="0.45">
      <c r="K160" s="36">
        <v>158</v>
      </c>
      <c r="L160" s="95">
        <v>1309</v>
      </c>
    </row>
    <row r="161" spans="11:12" x14ac:dyDescent="0.45">
      <c r="K161" s="36">
        <v>159</v>
      </c>
      <c r="L161" s="95">
        <v>1345.9</v>
      </c>
    </row>
    <row r="162" spans="11:12" x14ac:dyDescent="0.45">
      <c r="K162" s="36">
        <v>160</v>
      </c>
      <c r="L162" s="95">
        <v>1344.4</v>
      </c>
    </row>
    <row r="163" spans="11:12" x14ac:dyDescent="0.45">
      <c r="K163" s="36">
        <v>161</v>
      </c>
      <c r="L163" s="95">
        <v>1375.4</v>
      </c>
    </row>
    <row r="164" spans="11:12" x14ac:dyDescent="0.45">
      <c r="K164" s="36">
        <v>162</v>
      </c>
      <c r="L164" s="95">
        <v>1421.9</v>
      </c>
    </row>
    <row r="165" spans="11:12" x14ac:dyDescent="0.45">
      <c r="K165" s="36">
        <v>163</v>
      </c>
      <c r="L165" s="95">
        <v>1425.1000000000001</v>
      </c>
    </row>
    <row r="166" spans="11:12" x14ac:dyDescent="0.45">
      <c r="K166" s="36">
        <v>164</v>
      </c>
      <c r="L166" s="95">
        <v>1402.2</v>
      </c>
    </row>
    <row r="167" spans="11:12" x14ac:dyDescent="0.45">
      <c r="K167" s="36">
        <v>165</v>
      </c>
      <c r="L167" s="95">
        <v>1432.4</v>
      </c>
    </row>
    <row r="168" spans="11:12" x14ac:dyDescent="0.45">
      <c r="K168" s="36">
        <v>166</v>
      </c>
      <c r="L168" s="95">
        <v>1454.5</v>
      </c>
    </row>
    <row r="169" spans="11:12" x14ac:dyDescent="0.45">
      <c r="K169" s="36">
        <v>167</v>
      </c>
      <c r="L169" s="95">
        <v>1408.3</v>
      </c>
    </row>
    <row r="170" spans="11:12" x14ac:dyDescent="0.45">
      <c r="K170" s="36">
        <v>168</v>
      </c>
      <c r="L170" s="95">
        <v>1434.6</v>
      </c>
    </row>
    <row r="171" spans="11:12" x14ac:dyDescent="0.45">
      <c r="K171" s="36">
        <v>169</v>
      </c>
      <c r="L171" s="95">
        <v>1474.3999999999999</v>
      </c>
    </row>
    <row r="172" spans="11:12" x14ac:dyDescent="0.45">
      <c r="K172" s="36">
        <v>170</v>
      </c>
      <c r="L172" s="95">
        <v>1472.4999999999998</v>
      </c>
    </row>
    <row r="173" spans="11:12" x14ac:dyDescent="0.45">
      <c r="K173" s="36">
        <v>171</v>
      </c>
      <c r="L173" s="95">
        <v>1533.2999999999997</v>
      </c>
    </row>
    <row r="174" spans="11:12" x14ac:dyDescent="0.45">
      <c r="K174" s="36">
        <v>172</v>
      </c>
      <c r="L174" s="95">
        <v>1535.2999999999997</v>
      </c>
    </row>
    <row r="175" spans="11:12" x14ac:dyDescent="0.45">
      <c r="K175" s="36">
        <v>173</v>
      </c>
      <c r="L175" s="95">
        <v>1503.0999999999997</v>
      </c>
    </row>
    <row r="176" spans="11:12" x14ac:dyDescent="0.45">
      <c r="K176" s="36">
        <v>174</v>
      </c>
      <c r="L176" s="95">
        <v>1548.2999999999997</v>
      </c>
    </row>
    <row r="177" spans="11:12" x14ac:dyDescent="0.45">
      <c r="K177" s="36">
        <v>175</v>
      </c>
      <c r="L177" s="95">
        <v>1535.7999999999997</v>
      </c>
    </row>
    <row r="178" spans="11:12" x14ac:dyDescent="0.45">
      <c r="K178" s="36">
        <v>176</v>
      </c>
      <c r="L178" s="95">
        <v>1564.5999999999997</v>
      </c>
    </row>
    <row r="179" spans="11:12" x14ac:dyDescent="0.45">
      <c r="K179" s="36">
        <v>177</v>
      </c>
      <c r="L179" s="95">
        <v>1537.1999999999996</v>
      </c>
    </row>
    <row r="180" spans="11:12" x14ac:dyDescent="0.45">
      <c r="K180" s="36">
        <v>178</v>
      </c>
      <c r="L180" s="95">
        <v>1526.1999999999996</v>
      </c>
    </row>
    <row r="181" spans="11:12" x14ac:dyDescent="0.45">
      <c r="K181" s="36">
        <v>179</v>
      </c>
      <c r="L181" s="95">
        <v>1554.0999999999997</v>
      </c>
    </row>
    <row r="182" spans="11:12" x14ac:dyDescent="0.45">
      <c r="K182" s="36">
        <v>180</v>
      </c>
      <c r="L182" s="95">
        <v>1553.2999999999997</v>
      </c>
    </row>
    <row r="183" spans="11:12" x14ac:dyDescent="0.45">
      <c r="K183" s="36">
        <v>181</v>
      </c>
      <c r="L183" s="95">
        <v>1552.9999999999998</v>
      </c>
    </row>
    <row r="184" spans="11:12" x14ac:dyDescent="0.45">
      <c r="K184" s="36">
        <v>182</v>
      </c>
      <c r="L184" s="95">
        <v>1600.4999999999998</v>
      </c>
    </row>
    <row r="185" spans="11:12" x14ac:dyDescent="0.45">
      <c r="K185" s="36">
        <v>183</v>
      </c>
      <c r="L185" s="95">
        <v>1578.4999999999998</v>
      </c>
    </row>
    <row r="186" spans="11:12" x14ac:dyDescent="0.45">
      <c r="K186" s="36">
        <v>184</v>
      </c>
      <c r="L186" s="95">
        <v>1553.9999999999998</v>
      </c>
    </row>
    <row r="187" spans="11:12" x14ac:dyDescent="0.45">
      <c r="K187" s="36">
        <v>185</v>
      </c>
      <c r="L187" s="95">
        <v>1594.7999999999997</v>
      </c>
    </row>
    <row r="188" spans="11:12" x14ac:dyDescent="0.45">
      <c r="K188" s="36">
        <v>186</v>
      </c>
      <c r="L188" s="95">
        <v>1635.9999999999998</v>
      </c>
    </row>
    <row r="189" spans="11:12" x14ac:dyDescent="0.45">
      <c r="K189" s="36">
        <v>187</v>
      </c>
      <c r="L189" s="95">
        <v>1628.2999999999997</v>
      </c>
    </row>
    <row r="190" spans="11:12" x14ac:dyDescent="0.45">
      <c r="K190" s="36">
        <v>188</v>
      </c>
      <c r="L190" s="95">
        <v>1659.9999999999998</v>
      </c>
    </row>
    <row r="191" spans="11:12" x14ac:dyDescent="0.45">
      <c r="K191" s="36">
        <v>189</v>
      </c>
      <c r="L191" s="95">
        <v>1692.1999999999998</v>
      </c>
    </row>
    <row r="192" spans="11:12" x14ac:dyDescent="0.45">
      <c r="K192" s="36">
        <v>190</v>
      </c>
      <c r="L192" s="95">
        <v>1689.2999999999997</v>
      </c>
    </row>
    <row r="193" spans="11:12" x14ac:dyDescent="0.45">
      <c r="K193" s="36">
        <v>191</v>
      </c>
      <c r="L193" s="95">
        <v>1721.2999999999997</v>
      </c>
    </row>
    <row r="194" spans="11:12" x14ac:dyDescent="0.45">
      <c r="K194" s="36">
        <v>192</v>
      </c>
      <c r="L194" s="95">
        <v>1762.7999999999997</v>
      </c>
    </row>
    <row r="195" spans="11:12" x14ac:dyDescent="0.45">
      <c r="K195" s="36">
        <v>193</v>
      </c>
      <c r="L195" s="95">
        <v>1799.3999999999996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158BD-7ADD-4470-B658-64B4471980A9}">
  <sheetPr codeName="Sheet11"/>
  <dimension ref="A1:Q17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172</v>
      </c>
      <c r="C2" s="155"/>
      <c r="E2" s="58" t="s">
        <v>66</v>
      </c>
      <c r="F2" s="55" t="s">
        <v>22</v>
      </c>
      <c r="G2" s="43">
        <v>333</v>
      </c>
      <c r="H2" s="128">
        <f>IF(B$15=0,0,G2/B$15)</f>
        <v>0.74663677130044848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-908.77192982456143</v>
      </c>
      <c r="P2" s="114">
        <v>171</v>
      </c>
      <c r="Q2" s="98">
        <v>-155400</v>
      </c>
    </row>
    <row r="3" spans="1:17" x14ac:dyDescent="0.45">
      <c r="A3" s="51" t="s">
        <v>8</v>
      </c>
      <c r="B3" s="156">
        <v>1427</v>
      </c>
      <c r="C3" s="157"/>
      <c r="E3" s="59" t="s">
        <v>72</v>
      </c>
      <c r="F3" s="56" t="s">
        <v>27</v>
      </c>
      <c r="G3" s="44">
        <v>253</v>
      </c>
      <c r="H3" s="129">
        <f>IF(B$15=0,0,G3/B$15)</f>
        <v>0.56726457399103136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1283.4319526627219</v>
      </c>
      <c r="P3" s="115">
        <v>169</v>
      </c>
      <c r="Q3" s="99">
        <v>216900</v>
      </c>
    </row>
    <row r="4" spans="1:17" x14ac:dyDescent="0.45">
      <c r="A4" s="51" t="s">
        <v>6</v>
      </c>
      <c r="B4" s="158">
        <v>-60.500000000000199</v>
      </c>
      <c r="C4" s="159"/>
      <c r="E4" s="59" t="s">
        <v>166</v>
      </c>
      <c r="F4" s="56" t="s">
        <v>167</v>
      </c>
      <c r="G4" s="44">
        <v>183</v>
      </c>
      <c r="H4" s="129">
        <f>IF(B$15=0,0,G4/B$15)</f>
        <v>0.4103139013452915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-59.235668789808919</v>
      </c>
      <c r="P4" s="115">
        <v>157</v>
      </c>
      <c r="Q4" s="99">
        <v>-9300</v>
      </c>
    </row>
    <row r="5" spans="1:17" x14ac:dyDescent="0.45">
      <c r="A5" s="51" t="s">
        <v>7</v>
      </c>
      <c r="B5" s="160">
        <f>IF(B$2=0,0,B$4/B$2)</f>
        <v>-0.35174418604651281</v>
      </c>
      <c r="C5" s="161"/>
      <c r="E5" s="59" t="s">
        <v>64</v>
      </c>
      <c r="F5" s="56" t="s">
        <v>20</v>
      </c>
      <c r="G5" s="44">
        <v>172</v>
      </c>
      <c r="H5" s="129">
        <f>IF(B$15=0,0,G5/B$15)</f>
        <v>0.38565022421524664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-48.322147651006709</v>
      </c>
      <c r="P5" s="115">
        <v>149</v>
      </c>
      <c r="Q5" s="99">
        <v>-7200</v>
      </c>
    </row>
    <row r="6" spans="1:17" x14ac:dyDescent="0.45">
      <c r="A6" s="51" t="s">
        <v>1</v>
      </c>
      <c r="B6" s="150">
        <f>IF(B$2=0,0,(B$7*1+B$8*2+B$9*3)/B$2)</f>
        <v>1.9883720930232558</v>
      </c>
      <c r="C6" s="151"/>
      <c r="E6" s="59" t="s">
        <v>68</v>
      </c>
      <c r="F6" s="56" t="s">
        <v>12</v>
      </c>
      <c r="G6" s="44">
        <v>125</v>
      </c>
      <c r="H6" s="129">
        <f>IF(B$15=0,0,G6/B$15)</f>
        <v>0.2802690582959641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-1624.087591240876</v>
      </c>
      <c r="P6" s="115">
        <v>137</v>
      </c>
      <c r="Q6" s="99">
        <v>-222500</v>
      </c>
    </row>
    <row r="7" spans="1:17" x14ac:dyDescent="0.45">
      <c r="A7" s="51" t="s">
        <v>2</v>
      </c>
      <c r="B7" s="44">
        <v>58</v>
      </c>
      <c r="C7" s="37">
        <f t="shared" ref="C7:C10" si="1">IF(B$2=0,0,B7/B$2)</f>
        <v>0.33720930232558138</v>
      </c>
      <c r="E7" s="59" t="s">
        <v>67</v>
      </c>
      <c r="F7" s="56" t="s">
        <v>23</v>
      </c>
      <c r="G7" s="44">
        <v>94</v>
      </c>
      <c r="H7" s="129">
        <f>IF(B$15=0,0,G7/B$15)</f>
        <v>0.21076233183856502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1261.4035087719299</v>
      </c>
      <c r="P7" s="116">
        <v>114</v>
      </c>
      <c r="Q7" s="100">
        <v>143800</v>
      </c>
    </row>
    <row r="8" spans="1:17" x14ac:dyDescent="0.45">
      <c r="A8" s="51" t="s">
        <v>3</v>
      </c>
      <c r="B8" s="44">
        <v>58</v>
      </c>
      <c r="C8" s="37">
        <f t="shared" si="1"/>
        <v>0.33720930232558138</v>
      </c>
      <c r="E8" s="59" t="s">
        <v>69</v>
      </c>
      <c r="F8" s="56" t="s">
        <v>24</v>
      </c>
      <c r="G8" s="44">
        <v>49</v>
      </c>
      <c r="H8" s="129">
        <f>IF(B$15=0,0,G8/B$15)</f>
        <v>0.10986547085201794</v>
      </c>
      <c r="I8" s="90">
        <v>11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56</v>
      </c>
      <c r="C9" s="38">
        <f t="shared" si="1"/>
        <v>0.32558139534883723</v>
      </c>
      <c r="E9" s="59" t="s">
        <v>89</v>
      </c>
      <c r="F9" s="56" t="s">
        <v>44</v>
      </c>
      <c r="G9" s="44">
        <v>46</v>
      </c>
      <c r="H9" s="129">
        <f>IF(B$15=0,0,G9/B$15)</f>
        <v>0.1031390134529148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0.10465116279069768</v>
      </c>
      <c r="E10" s="59" t="s">
        <v>70</v>
      </c>
      <c r="F10" s="56" t="s">
        <v>25</v>
      </c>
      <c r="G10" s="44">
        <v>44</v>
      </c>
      <c r="H10" s="129">
        <f>IF(B$15=0,0,G10/B$15)</f>
        <v>9.8654708520179366E-2</v>
      </c>
      <c r="I10" s="90">
        <v>7</v>
      </c>
      <c r="K10" s="36">
        <v>8</v>
      </c>
      <c r="L10" s="95">
        <v>-56.79999999999999</v>
      </c>
      <c r="N10" s="110" t="s">
        <v>157</v>
      </c>
      <c r="O10" s="120">
        <f>IF(P10=0,0,Q10/P10)</f>
        <v>-0.92352941176470549</v>
      </c>
      <c r="P10" s="114">
        <v>51</v>
      </c>
      <c r="Q10" s="102">
        <v>-47.09999999999998</v>
      </c>
    </row>
    <row r="11" spans="1:17" x14ac:dyDescent="0.45">
      <c r="A11" s="54" t="s">
        <v>121</v>
      </c>
      <c r="B11" s="47">
        <v>334</v>
      </c>
      <c r="C11" s="42">
        <f>IF(B$3=0,0,B11/B$3)</f>
        <v>0.23405746320953047</v>
      </c>
      <c r="E11" s="59" t="s">
        <v>71</v>
      </c>
      <c r="F11" s="56" t="s">
        <v>26</v>
      </c>
      <c r="G11" s="44">
        <v>40</v>
      </c>
      <c r="H11" s="129">
        <f>IF(B$15=0,0,G11/B$15)</f>
        <v>8.9686098654708515E-2</v>
      </c>
      <c r="I11" s="90">
        <v>7</v>
      </c>
      <c r="K11" s="36">
        <v>9</v>
      </c>
      <c r="L11" s="95">
        <v>-83.699999999999989</v>
      </c>
      <c r="N11" s="111" t="s">
        <v>158</v>
      </c>
      <c r="O11" s="121">
        <f>IF(P11=0,0,Q11/P11)</f>
        <v>2.9418181818181837</v>
      </c>
      <c r="P11" s="115">
        <v>55</v>
      </c>
      <c r="Q11" s="103">
        <v>161.8000000000001</v>
      </c>
    </row>
    <row r="12" spans="1:17" x14ac:dyDescent="0.45">
      <c r="A12" s="51" t="s">
        <v>118</v>
      </c>
      <c r="B12" s="44">
        <v>426</v>
      </c>
      <c r="C12" s="37">
        <f>IF(B$3=0,0,B12/B$3)</f>
        <v>0.29852838121934128</v>
      </c>
      <c r="E12" s="59" t="s">
        <v>65</v>
      </c>
      <c r="F12" s="56" t="s">
        <v>21</v>
      </c>
      <c r="G12" s="44">
        <v>34</v>
      </c>
      <c r="H12" s="129">
        <f>IF(B$15=0,0,G12/B$15)</f>
        <v>7.623318385650224E-2</v>
      </c>
      <c r="I12" s="90">
        <v>12</v>
      </c>
      <c r="K12" s="36">
        <v>10</v>
      </c>
      <c r="L12" s="95">
        <v>-78.399999999999991</v>
      </c>
      <c r="N12" s="112" t="s">
        <v>159</v>
      </c>
      <c r="O12" s="122">
        <f>IF(P12=0,0,Q12/P12)</f>
        <v>-2.6545454545454548</v>
      </c>
      <c r="P12" s="116">
        <v>66</v>
      </c>
      <c r="Q12" s="104">
        <v>-175.20000000000002</v>
      </c>
    </row>
    <row r="13" spans="1:17" x14ac:dyDescent="0.45">
      <c r="A13" s="50" t="s">
        <v>123</v>
      </c>
      <c r="B13" s="43">
        <f>B19</f>
        <v>172</v>
      </c>
      <c r="C13" s="35">
        <f>IF(B$11=0,0,B13/B$11)</f>
        <v>0.51497005988023947</v>
      </c>
      <c r="E13" s="59" t="s">
        <v>86</v>
      </c>
      <c r="F13" s="56" t="s">
        <v>41</v>
      </c>
      <c r="G13" s="44">
        <v>25</v>
      </c>
      <c r="H13" s="129">
        <f>IF(B$15=0,0,G13/B$15)</f>
        <v>5.6053811659192827E-2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164</v>
      </c>
      <c r="C14" s="35">
        <f>IF(B$12=0,0,B14/B$12)</f>
        <v>0.38497652582159625</v>
      </c>
      <c r="E14" s="59" t="s">
        <v>83</v>
      </c>
      <c r="F14" s="56" t="s">
        <v>38</v>
      </c>
      <c r="G14" s="44">
        <v>21</v>
      </c>
      <c r="H14" s="129">
        <f>IF(B$15=0,0,G14/B$15)</f>
        <v>4.708520179372197E-2</v>
      </c>
      <c r="I14" s="90">
        <v>7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446</v>
      </c>
      <c r="C15" s="35">
        <f>IF(B$3=0,0,B15/B$3)</f>
        <v>0.31254379817799577</v>
      </c>
      <c r="E15" s="59" t="s">
        <v>78</v>
      </c>
      <c r="F15" s="56" t="s">
        <v>33</v>
      </c>
      <c r="G15" s="44">
        <v>18</v>
      </c>
      <c r="H15" s="129">
        <f>IF(B$15=0,0,G15/B$15)</f>
        <v>4.0358744394618833E-2</v>
      </c>
      <c r="I15" s="90">
        <v>3</v>
      </c>
      <c r="K15" s="36">
        <v>13</v>
      </c>
      <c r="L15" s="95">
        <v>-86.8</v>
      </c>
      <c r="N15" s="110" t="s">
        <v>228</v>
      </c>
      <c r="O15" s="120">
        <f t="shared" ref="O15:O23" si="2"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256</v>
      </c>
      <c r="C16" s="37">
        <f>IF(B$3=0,0,B16/B$3)</f>
        <v>0.17939733707077785</v>
      </c>
      <c r="E16" s="59" t="s">
        <v>91</v>
      </c>
      <c r="F16" s="56" t="s">
        <v>46</v>
      </c>
      <c r="G16" s="44">
        <v>14</v>
      </c>
      <c r="H16" s="129">
        <f>IF(B$15=0,0,G16/B$15)</f>
        <v>3.1390134529147982E-2</v>
      </c>
      <c r="I16" s="90">
        <v>2</v>
      </c>
      <c r="K16" s="36">
        <v>14</v>
      </c>
      <c r="L16" s="95">
        <v>-138.4</v>
      </c>
      <c r="N16" s="111" t="s">
        <v>172</v>
      </c>
      <c r="O16" s="121">
        <f t="shared" si="2"/>
        <v>18.434693877551016</v>
      </c>
      <c r="P16" s="115">
        <v>49</v>
      </c>
      <c r="Q16" s="103">
        <v>903.29999999999973</v>
      </c>
    </row>
    <row r="17" spans="1:17" x14ac:dyDescent="0.45">
      <c r="A17" s="51" t="s">
        <v>12</v>
      </c>
      <c r="B17" s="44">
        <v>186</v>
      </c>
      <c r="C17" s="37">
        <f>IF(B$15=0,0,B17/B$15)</f>
        <v>0.4170403587443946</v>
      </c>
      <c r="E17" s="59" t="s">
        <v>81</v>
      </c>
      <c r="F17" s="56" t="s">
        <v>36</v>
      </c>
      <c r="G17" s="44">
        <v>10</v>
      </c>
      <c r="H17" s="129">
        <f>IF(B$15=0,0,G17/B$15)</f>
        <v>2.2421524663677129E-2</v>
      </c>
      <c r="I17" s="90">
        <v>4</v>
      </c>
      <c r="K17" s="36">
        <v>15</v>
      </c>
      <c r="L17" s="95">
        <v>-144.30000000000001</v>
      </c>
      <c r="N17" s="111" t="s">
        <v>196</v>
      </c>
      <c r="O17" s="121">
        <f t="shared" si="2"/>
        <v>13.5</v>
      </c>
      <c r="P17" s="115">
        <v>5</v>
      </c>
      <c r="Q17" s="103">
        <v>67.5</v>
      </c>
    </row>
    <row r="18" spans="1:17" x14ac:dyDescent="0.45">
      <c r="A18" s="51" t="s">
        <v>11</v>
      </c>
      <c r="B18" s="44">
        <v>260</v>
      </c>
      <c r="C18" s="37">
        <f>IF(B$15=0,0,B18/B$15)</f>
        <v>0.5829596412556054</v>
      </c>
      <c r="E18" s="59" t="s">
        <v>79</v>
      </c>
      <c r="F18" s="56" t="s">
        <v>34</v>
      </c>
      <c r="G18" s="44">
        <v>8</v>
      </c>
      <c r="H18" s="129">
        <f>IF(B$15=0,0,G18/B$15)</f>
        <v>1.7937219730941704E-2</v>
      </c>
      <c r="I18" s="90">
        <v>5</v>
      </c>
      <c r="K18" s="36">
        <v>16</v>
      </c>
      <c r="L18" s="95">
        <v>-187.3</v>
      </c>
      <c r="N18" s="111" t="s">
        <v>197</v>
      </c>
      <c r="O18" s="121">
        <f t="shared" si="2"/>
        <v>12.000000000000002</v>
      </c>
      <c r="P18" s="115">
        <v>17</v>
      </c>
      <c r="Q18" s="103">
        <v>204.00000000000003</v>
      </c>
    </row>
    <row r="19" spans="1:17" x14ac:dyDescent="0.45">
      <c r="A19" s="51" t="s">
        <v>195</v>
      </c>
      <c r="B19" s="44">
        <v>172</v>
      </c>
      <c r="C19" s="37">
        <f>IF(B$15=0,0,B19/B$15)</f>
        <v>0.38565022421524664</v>
      </c>
      <c r="E19" s="59" t="s">
        <v>162</v>
      </c>
      <c r="F19" s="56" t="s">
        <v>163</v>
      </c>
      <c r="G19" s="44">
        <v>5</v>
      </c>
      <c r="H19" s="129">
        <f>IF(B$15=0,0,G19/B$15)</f>
        <v>1.1210762331838564E-2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 t="shared" si="2"/>
        <v>10.769444444444444</v>
      </c>
      <c r="P19" s="115">
        <v>36</v>
      </c>
      <c r="Q19" s="103">
        <v>387.7</v>
      </c>
    </row>
    <row r="20" spans="1:17" x14ac:dyDescent="0.45">
      <c r="A20" s="51" t="s">
        <v>193</v>
      </c>
      <c r="B20" s="44">
        <v>164</v>
      </c>
      <c r="C20" s="37">
        <f>IF(B$15=0,0,B20/B$15)</f>
        <v>0.36771300448430494</v>
      </c>
      <c r="E20" s="59" t="s">
        <v>92</v>
      </c>
      <c r="F20" s="56" t="s">
        <v>47</v>
      </c>
      <c r="G20" s="44">
        <v>3</v>
      </c>
      <c r="H20" s="129">
        <f>IF(B$15=0,0,G20/B$15)</f>
        <v>6.7264573991031393E-3</v>
      </c>
      <c r="I20" s="90">
        <v>5</v>
      </c>
      <c r="K20" s="36">
        <v>18</v>
      </c>
      <c r="L20" s="95">
        <v>-112.90000000000002</v>
      </c>
      <c r="N20" s="111" t="s">
        <v>170</v>
      </c>
      <c r="O20" s="121">
        <f t="shared" si="2"/>
        <v>-2.0999999999999965</v>
      </c>
      <c r="P20" s="115">
        <v>57</v>
      </c>
      <c r="Q20" s="103">
        <v>-119.6999999999998</v>
      </c>
    </row>
    <row r="21" spans="1:17" x14ac:dyDescent="0.45">
      <c r="A21" s="51" t="s">
        <v>194</v>
      </c>
      <c r="B21" s="44">
        <v>110</v>
      </c>
      <c r="C21" s="37">
        <f>IF(B$15=0,0,B21/B$15)</f>
        <v>0.24663677130044842</v>
      </c>
      <c r="E21" s="59" t="s">
        <v>74</v>
      </c>
      <c r="F21" s="56" t="s">
        <v>29</v>
      </c>
      <c r="G21" s="44">
        <v>2</v>
      </c>
      <c r="H21" s="129">
        <f>IF(B$15=0,0,G21/B$15)</f>
        <v>4.4843049327354259E-3</v>
      </c>
      <c r="I21" s="90">
        <v>3</v>
      </c>
      <c r="K21" s="36">
        <v>19</v>
      </c>
      <c r="L21" s="95">
        <v>-162.40000000000003</v>
      </c>
      <c r="N21" s="111" t="s">
        <v>274</v>
      </c>
      <c r="O21" s="121">
        <f t="shared" si="2"/>
        <v>-2.86</v>
      </c>
      <c r="P21" s="115">
        <v>5</v>
      </c>
      <c r="Q21" s="103">
        <v>-14.299999999999999</v>
      </c>
    </row>
    <row r="22" spans="1:17" x14ac:dyDescent="0.45">
      <c r="A22" s="51" t="s">
        <v>5</v>
      </c>
      <c r="B22" s="48">
        <f>IF(B$15=0,0,C22/B$15)</f>
        <v>7948.6547085201792</v>
      </c>
      <c r="C22" s="39">
        <v>3545100</v>
      </c>
      <c r="E22" s="59" t="s">
        <v>75</v>
      </c>
      <c r="F22" s="56" t="s">
        <v>30</v>
      </c>
      <c r="G22" s="44">
        <v>2</v>
      </c>
      <c r="H22" s="129">
        <f>IF(B$15=0,0,G22/B$15)</f>
        <v>4.4843049327354259E-3</v>
      </c>
      <c r="I22" s="90">
        <v>9</v>
      </c>
      <c r="K22" s="36">
        <v>20</v>
      </c>
      <c r="L22" s="95">
        <v>-96.000000000000028</v>
      </c>
      <c r="N22" s="111" t="s">
        <v>171</v>
      </c>
      <c r="O22" s="121">
        <f t="shared" si="2"/>
        <v>-3.2271186440677955</v>
      </c>
      <c r="P22" s="115">
        <v>59</v>
      </c>
      <c r="Q22" s="103">
        <v>-190.39999999999992</v>
      </c>
    </row>
    <row r="23" spans="1:17" x14ac:dyDescent="0.45">
      <c r="A23" s="52" t="s">
        <v>177</v>
      </c>
      <c r="B23" s="136">
        <f>IF($B$15-B$14=0,0,C23/($B$15-B$14))</f>
        <v>8569.8581560283692</v>
      </c>
      <c r="C23" s="137">
        <v>2416700</v>
      </c>
      <c r="E23" s="59" t="s">
        <v>73</v>
      </c>
      <c r="F23" s="56" t="s">
        <v>28</v>
      </c>
      <c r="G23" s="44">
        <v>1</v>
      </c>
      <c r="H23" s="129">
        <f>IF(B$15=0,0,G23/B$15)</f>
        <v>2.242152466367713E-3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 t="shared" si="2"/>
        <v>-13.773684210526318</v>
      </c>
      <c r="P23" s="115">
        <v>114</v>
      </c>
      <c r="Q23" s="103">
        <v>-1570.2000000000003</v>
      </c>
    </row>
    <row r="24" spans="1:17" x14ac:dyDescent="0.45">
      <c r="A24" s="52" t="s">
        <v>178</v>
      </c>
      <c r="B24" s="136">
        <f>IF(B$14=0,0,C24/B$14)</f>
        <v>6880.4878048780483</v>
      </c>
      <c r="C24" s="137">
        <v>1128400</v>
      </c>
      <c r="E24" s="59" t="s">
        <v>77</v>
      </c>
      <c r="F24" s="56" t="s">
        <v>32</v>
      </c>
      <c r="G24" s="44">
        <v>1</v>
      </c>
      <c r="H24" s="129">
        <f>IF(B$15=0,0,G24/B$15)</f>
        <v>2.242152466367713E-3</v>
      </c>
      <c r="I24" s="90">
        <v>5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-7970.3125</v>
      </c>
      <c r="C25" s="137">
        <v>-2040400</v>
      </c>
      <c r="E25" s="59" t="s">
        <v>84</v>
      </c>
      <c r="F25" s="56" t="s">
        <v>39</v>
      </c>
      <c r="G25" s="44">
        <v>1</v>
      </c>
      <c r="H25" s="129">
        <f>IF(B$15=0,0,G25/B$15)</f>
        <v>2.242152466367713E-3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2.242152466367713E-3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0</v>
      </c>
      <c r="E27" s="59" t="s">
        <v>95</v>
      </c>
      <c r="F27" s="56" t="s">
        <v>50</v>
      </c>
      <c r="G27" s="44">
        <v>1</v>
      </c>
      <c r="H27" s="129">
        <f>IF(B$15=0,0,G27/B$15)</f>
        <v>2.242152466367713E-3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5</v>
      </c>
      <c r="C30" s="40">
        <f>IF(B$3=0,0,B30/B$3)</f>
        <v>3.5038542396636299E-3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8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34</v>
      </c>
      <c r="C32" s="141">
        <f>IF(B$15=0,0,B32/B$15)</f>
        <v>7.623318385650224E-2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84</v>
      </c>
      <c r="C33" s="37">
        <f t="shared" ref="C33:C44" si="3">IF(B$15=0,0,B33/B$15)</f>
        <v>0.18834080717488788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96</v>
      </c>
      <c r="C34" s="37">
        <f>IF(B$15=0,0,B34/B$15)</f>
        <v>0.21524663677130046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89</v>
      </c>
      <c r="C35" s="37">
        <f t="shared" si="3"/>
        <v>0.19955156950672645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63</v>
      </c>
      <c r="C36" s="37">
        <f t="shared" si="3"/>
        <v>0.14125560538116591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42</v>
      </c>
      <c r="C37" s="37">
        <f t="shared" si="3"/>
        <v>9.417040358744394E-2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15</v>
      </c>
      <c r="C38" s="37">
        <f t="shared" si="3"/>
        <v>3.3632286995515695E-2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9</v>
      </c>
      <c r="C39" s="37">
        <f t="shared" si="3"/>
        <v>2.0179372197309416E-2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6</v>
      </c>
      <c r="C40" s="37">
        <f t="shared" si="3"/>
        <v>1.3452914798206279E-2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3"/>
        <v>2.242152466367713E-3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3</v>
      </c>
      <c r="C42" s="37">
        <f t="shared" si="3"/>
        <v>6.7264573991031393E-3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3"/>
        <v>8.9686098654708519E-3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  <row r="138" spans="11:12" x14ac:dyDescent="0.45">
      <c r="K138" s="36">
        <v>136</v>
      </c>
      <c r="L138" s="95">
        <v>22.799999999999809</v>
      </c>
    </row>
    <row r="139" spans="11:12" x14ac:dyDescent="0.45">
      <c r="K139" s="36">
        <v>137</v>
      </c>
      <c r="L139" s="95">
        <v>58.999999999999815</v>
      </c>
    </row>
    <row r="140" spans="11:12" x14ac:dyDescent="0.45">
      <c r="K140" s="36">
        <v>138</v>
      </c>
      <c r="L140" s="95">
        <v>61.099999999999817</v>
      </c>
    </row>
    <row r="141" spans="11:12" x14ac:dyDescent="0.45">
      <c r="K141" s="36">
        <v>139</v>
      </c>
      <c r="L141" s="95">
        <v>32.099999999999817</v>
      </c>
    </row>
    <row r="142" spans="11:12" x14ac:dyDescent="0.45">
      <c r="K142" s="36">
        <v>140</v>
      </c>
      <c r="L142" s="95">
        <v>11.899999999999817</v>
      </c>
    </row>
    <row r="143" spans="11:12" x14ac:dyDescent="0.45">
      <c r="K143" s="36">
        <v>141</v>
      </c>
      <c r="L143" s="95">
        <v>-18.100000000000183</v>
      </c>
    </row>
    <row r="144" spans="11:12" x14ac:dyDescent="0.45">
      <c r="K144" s="36">
        <v>142</v>
      </c>
      <c r="L144" s="95">
        <v>30.699999999999815</v>
      </c>
    </row>
    <row r="145" spans="11:12" x14ac:dyDescent="0.45">
      <c r="K145" s="36">
        <v>143</v>
      </c>
      <c r="L145" s="95">
        <v>61.399999999999814</v>
      </c>
    </row>
    <row r="146" spans="11:12" x14ac:dyDescent="0.45">
      <c r="K146" s="36">
        <v>144</v>
      </c>
      <c r="L146" s="95">
        <v>21.799999999999812</v>
      </c>
    </row>
    <row r="147" spans="11:12" x14ac:dyDescent="0.45">
      <c r="K147" s="36">
        <v>145</v>
      </c>
      <c r="L147" s="95">
        <v>56.199999999999811</v>
      </c>
    </row>
    <row r="148" spans="11:12" x14ac:dyDescent="0.45">
      <c r="K148" s="36">
        <v>146</v>
      </c>
      <c r="L148" s="95">
        <v>21.799999999999812</v>
      </c>
    </row>
    <row r="149" spans="11:12" x14ac:dyDescent="0.45">
      <c r="K149" s="36">
        <v>147</v>
      </c>
      <c r="L149" s="95">
        <v>-1.6000000000001862</v>
      </c>
    </row>
    <row r="150" spans="11:12" x14ac:dyDescent="0.45">
      <c r="K150" s="36">
        <v>148</v>
      </c>
      <c r="L150" s="95">
        <v>58.999999999999815</v>
      </c>
    </row>
    <row r="151" spans="11:12" x14ac:dyDescent="0.45">
      <c r="K151" s="36">
        <v>149</v>
      </c>
      <c r="L151" s="95">
        <v>20.499999999999815</v>
      </c>
    </row>
    <row r="152" spans="11:12" x14ac:dyDescent="0.45">
      <c r="K152" s="36">
        <v>150</v>
      </c>
      <c r="L152" s="95">
        <v>-14.500000000000185</v>
      </c>
    </row>
    <row r="153" spans="11:12" x14ac:dyDescent="0.45">
      <c r="K153" s="36">
        <v>151</v>
      </c>
      <c r="L153" s="95">
        <v>-9.1000000000001844</v>
      </c>
    </row>
    <row r="154" spans="11:12" x14ac:dyDescent="0.45">
      <c r="K154" s="36">
        <v>152</v>
      </c>
      <c r="L154" s="95">
        <v>-44.100000000000186</v>
      </c>
    </row>
    <row r="155" spans="11:12" x14ac:dyDescent="0.45">
      <c r="K155" s="36">
        <v>153</v>
      </c>
      <c r="L155" s="95">
        <v>-43.800000000000189</v>
      </c>
    </row>
    <row r="156" spans="11:12" x14ac:dyDescent="0.45">
      <c r="K156" s="36">
        <v>154</v>
      </c>
      <c r="L156" s="95">
        <v>-31.800000000000189</v>
      </c>
    </row>
    <row r="157" spans="11:12" x14ac:dyDescent="0.45">
      <c r="K157" s="36">
        <v>155</v>
      </c>
      <c r="L157" s="95">
        <v>7.8999999999998138</v>
      </c>
    </row>
    <row r="158" spans="11:12" x14ac:dyDescent="0.45">
      <c r="K158" s="36">
        <v>156</v>
      </c>
      <c r="L158" s="95">
        <v>-12.100000000000186</v>
      </c>
    </row>
    <row r="159" spans="11:12" x14ac:dyDescent="0.45">
      <c r="K159" s="36">
        <v>157</v>
      </c>
      <c r="L159" s="95">
        <v>8.8999999999998138</v>
      </c>
    </row>
    <row r="160" spans="11:12" x14ac:dyDescent="0.45">
      <c r="K160" s="36">
        <v>158</v>
      </c>
      <c r="L160" s="95">
        <v>47.099999999999817</v>
      </c>
    </row>
    <row r="161" spans="11:12" x14ac:dyDescent="0.45">
      <c r="K161" s="36">
        <v>159</v>
      </c>
      <c r="L161" s="95">
        <v>18.399999999999817</v>
      </c>
    </row>
    <row r="162" spans="11:12" x14ac:dyDescent="0.45">
      <c r="K162" s="36">
        <v>160</v>
      </c>
      <c r="L162" s="95">
        <v>-25.600000000000183</v>
      </c>
    </row>
    <row r="163" spans="11:12" x14ac:dyDescent="0.45">
      <c r="K163" s="36">
        <v>161</v>
      </c>
      <c r="L163" s="95">
        <v>-44.500000000000185</v>
      </c>
    </row>
    <row r="164" spans="11:12" x14ac:dyDescent="0.45">
      <c r="K164" s="36">
        <v>162</v>
      </c>
      <c r="L164" s="95">
        <v>-22.200000000000184</v>
      </c>
    </row>
    <row r="165" spans="11:12" x14ac:dyDescent="0.45">
      <c r="K165" s="36">
        <v>163</v>
      </c>
      <c r="L165" s="95">
        <v>25.099999999999813</v>
      </c>
    </row>
    <row r="166" spans="11:12" x14ac:dyDescent="0.45">
      <c r="K166" s="36">
        <v>164</v>
      </c>
      <c r="L166" s="95">
        <v>-9.4000000000001869</v>
      </c>
    </row>
    <row r="167" spans="11:12" x14ac:dyDescent="0.45">
      <c r="K167" s="36">
        <v>165</v>
      </c>
      <c r="L167" s="95">
        <v>-48.100000000000193</v>
      </c>
    </row>
    <row r="168" spans="11:12" x14ac:dyDescent="0.45">
      <c r="K168" s="36">
        <v>166</v>
      </c>
      <c r="L168" s="95">
        <v>-22.900000000000194</v>
      </c>
    </row>
    <row r="169" spans="11:12" x14ac:dyDescent="0.45">
      <c r="K169" s="36">
        <v>167</v>
      </c>
      <c r="L169" s="95">
        <v>-2.8000000000001926</v>
      </c>
    </row>
    <row r="170" spans="11:12" x14ac:dyDescent="0.45">
      <c r="K170" s="36">
        <v>168</v>
      </c>
      <c r="L170" s="95">
        <v>21.399999999999807</v>
      </c>
    </row>
    <row r="171" spans="11:12" x14ac:dyDescent="0.45">
      <c r="K171" s="36">
        <v>169</v>
      </c>
      <c r="L171" s="95">
        <v>20.799999999999805</v>
      </c>
    </row>
    <row r="172" spans="11:12" x14ac:dyDescent="0.45">
      <c r="K172" s="36">
        <v>170</v>
      </c>
      <c r="L172" s="95">
        <v>-3.0000000000001954</v>
      </c>
    </row>
    <row r="173" spans="11:12" x14ac:dyDescent="0.45">
      <c r="K173" s="36">
        <v>171</v>
      </c>
      <c r="L173" s="95">
        <v>-27.400000000000194</v>
      </c>
    </row>
    <row r="174" spans="11:12" x14ac:dyDescent="0.45">
      <c r="K174" s="36">
        <v>172</v>
      </c>
      <c r="L174" s="95">
        <v>-60.500000000000199</v>
      </c>
    </row>
  </sheetData>
  <sortState xmlns:xlrd2="http://schemas.microsoft.com/office/spreadsheetml/2017/richdata2" ref="E2:I175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26C2D-E050-44B5-86ED-989961FA76EC}">
  <sheetPr codeName="Sheet13"/>
  <dimension ref="A1:Q10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100</v>
      </c>
      <c r="C2" s="155"/>
      <c r="E2" s="58" t="s">
        <v>66</v>
      </c>
      <c r="F2" s="55" t="s">
        <v>22</v>
      </c>
      <c r="G2" s="43">
        <v>176</v>
      </c>
      <c r="H2" s="128">
        <f>IF(B$15=0,0,G2/B$15)</f>
        <v>0.76855895196506552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-637.37373737373741</v>
      </c>
      <c r="P2" s="114">
        <v>99</v>
      </c>
      <c r="Q2" s="98">
        <v>-63100</v>
      </c>
    </row>
    <row r="3" spans="1:17" x14ac:dyDescent="0.45">
      <c r="A3" s="51" t="s">
        <v>8</v>
      </c>
      <c r="B3" s="156">
        <v>863</v>
      </c>
      <c r="C3" s="157"/>
      <c r="E3" s="59" t="s">
        <v>64</v>
      </c>
      <c r="F3" s="56" t="s">
        <v>20</v>
      </c>
      <c r="G3" s="44">
        <v>127</v>
      </c>
      <c r="H3" s="129">
        <f>IF(B$15=0,0,G3/B$15)</f>
        <v>0.55458515283842791</v>
      </c>
      <c r="I3" s="90">
        <v>4</v>
      </c>
      <c r="K3" s="36">
        <v>1</v>
      </c>
      <c r="L3" s="95">
        <v>-37.799999999999997</v>
      </c>
      <c r="N3" s="111" t="s">
        <v>131</v>
      </c>
      <c r="O3" s="118">
        <f t="shared" si="0"/>
        <v>-893.93939393939399</v>
      </c>
      <c r="P3" s="115">
        <v>99</v>
      </c>
      <c r="Q3" s="99">
        <v>-88500</v>
      </c>
    </row>
    <row r="4" spans="1:17" x14ac:dyDescent="0.45">
      <c r="A4" s="51" t="s">
        <v>6</v>
      </c>
      <c r="B4" s="158">
        <v>-752.69999999999993</v>
      </c>
      <c r="C4" s="159"/>
      <c r="E4" s="59" t="s">
        <v>72</v>
      </c>
      <c r="F4" s="56" t="s">
        <v>27</v>
      </c>
      <c r="G4" s="44">
        <v>114</v>
      </c>
      <c r="H4" s="129">
        <f>IF(B$15=0,0,G4/B$15)</f>
        <v>0.49781659388646288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469.89247311827955</v>
      </c>
      <c r="P4" s="115">
        <v>93</v>
      </c>
      <c r="Q4" s="99">
        <v>43700</v>
      </c>
    </row>
    <row r="5" spans="1:17" x14ac:dyDescent="0.45">
      <c r="A5" s="51" t="s">
        <v>7</v>
      </c>
      <c r="B5" s="160">
        <f>IF(B$2=0,0,B$4/B$2)</f>
        <v>-7.5269999999999992</v>
      </c>
      <c r="C5" s="161"/>
      <c r="E5" s="59" t="s">
        <v>166</v>
      </c>
      <c r="F5" s="56" t="s">
        <v>167</v>
      </c>
      <c r="G5" s="44">
        <v>96</v>
      </c>
      <c r="H5" s="129">
        <f>IF(B$15=0,0,G5/B$15)</f>
        <v>0.41921397379912662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-779.12087912087907</v>
      </c>
      <c r="P5" s="115">
        <v>91</v>
      </c>
      <c r="Q5" s="99">
        <v>-70900</v>
      </c>
    </row>
    <row r="6" spans="1:17" x14ac:dyDescent="0.45">
      <c r="A6" s="51" t="s">
        <v>1</v>
      </c>
      <c r="B6" s="150">
        <f>IF(B$2=0,0,(B$7*1+B$8*2+B$9*3)/B$2)</f>
        <v>2.19</v>
      </c>
      <c r="C6" s="151"/>
      <c r="E6" s="59" t="s">
        <v>68</v>
      </c>
      <c r="F6" s="56" t="s">
        <v>12</v>
      </c>
      <c r="G6" s="44">
        <v>80</v>
      </c>
      <c r="H6" s="129">
        <f>IF(B$15=0,0,G6/B$15)</f>
        <v>0.34934497816593885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-2894.1860465116279</v>
      </c>
      <c r="P6" s="115">
        <v>86</v>
      </c>
      <c r="Q6" s="99">
        <v>-248900</v>
      </c>
    </row>
    <row r="7" spans="1:17" x14ac:dyDescent="0.45">
      <c r="A7" s="51" t="s">
        <v>2</v>
      </c>
      <c r="B7" s="44">
        <v>21</v>
      </c>
      <c r="C7" s="37">
        <f t="shared" ref="C7:C10" si="1">IF(B$2=0,0,B7/B$2)</f>
        <v>0.21</v>
      </c>
      <c r="E7" s="59" t="s">
        <v>67</v>
      </c>
      <c r="F7" s="56" t="s">
        <v>23</v>
      </c>
      <c r="G7" s="44">
        <v>70</v>
      </c>
      <c r="H7" s="129">
        <f>IF(B$15=0,0,G7/B$15)</f>
        <v>0.3056768558951965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-1877.3333333333333</v>
      </c>
      <c r="P7" s="116">
        <v>75</v>
      </c>
      <c r="Q7" s="100">
        <v>-140800</v>
      </c>
    </row>
    <row r="8" spans="1:17" x14ac:dyDescent="0.45">
      <c r="A8" s="51" t="s">
        <v>3</v>
      </c>
      <c r="B8" s="44">
        <v>39</v>
      </c>
      <c r="C8" s="37">
        <f t="shared" si="1"/>
        <v>0.39</v>
      </c>
      <c r="E8" s="59" t="s">
        <v>69</v>
      </c>
      <c r="F8" s="56" t="s">
        <v>24</v>
      </c>
      <c r="G8" s="44">
        <v>33</v>
      </c>
      <c r="H8" s="129">
        <f>IF(B$15=0,0,G8/B$15)</f>
        <v>0.14410480349344978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40</v>
      </c>
      <c r="C9" s="38">
        <f t="shared" si="1"/>
        <v>0.4</v>
      </c>
      <c r="E9" s="59" t="s">
        <v>65</v>
      </c>
      <c r="F9" s="56" t="s">
        <v>21</v>
      </c>
      <c r="G9" s="44">
        <v>28</v>
      </c>
      <c r="H9" s="129">
        <f>IF(B$15=0,0,G9/B$15)</f>
        <v>0.1222707423580786</v>
      </c>
      <c r="I9" s="90">
        <v>7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0.08</v>
      </c>
      <c r="E10" s="59" t="s">
        <v>70</v>
      </c>
      <c r="F10" s="56" t="s">
        <v>25</v>
      </c>
      <c r="G10" s="44">
        <v>28</v>
      </c>
      <c r="H10" s="129">
        <f>IF(B$15=0,0,G10/B$15)</f>
        <v>0.1222707423580786</v>
      </c>
      <c r="I10" s="90">
        <v>3</v>
      </c>
      <c r="K10" s="36">
        <v>8</v>
      </c>
      <c r="L10" s="95">
        <v>-62.999999999999993</v>
      </c>
      <c r="N10" s="110" t="s">
        <v>157</v>
      </c>
      <c r="O10" s="120">
        <f>IF(P10=0,0,Q10/P10)</f>
        <v>-6.9425000000000026</v>
      </c>
      <c r="P10" s="114">
        <v>40</v>
      </c>
      <c r="Q10" s="102">
        <v>-277.7000000000001</v>
      </c>
    </row>
    <row r="11" spans="1:17" x14ac:dyDescent="0.45">
      <c r="A11" s="54" t="s">
        <v>121</v>
      </c>
      <c r="B11" s="47">
        <v>236</v>
      </c>
      <c r="C11" s="42">
        <f>IF(B$3=0,0,B11/B$3)</f>
        <v>0.27346465816917731</v>
      </c>
      <c r="E11" s="59" t="s">
        <v>89</v>
      </c>
      <c r="F11" s="56" t="s">
        <v>44</v>
      </c>
      <c r="G11" s="44">
        <v>26</v>
      </c>
      <c r="H11" s="129">
        <f>IF(B$15=0,0,G11/B$15)</f>
        <v>0.11353711790393013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-6.2241379310344849</v>
      </c>
      <c r="P11" s="115">
        <v>29</v>
      </c>
      <c r="Q11" s="103">
        <v>-180.50000000000006</v>
      </c>
    </row>
    <row r="12" spans="1:17" x14ac:dyDescent="0.45">
      <c r="A12" s="51" t="s">
        <v>118</v>
      </c>
      <c r="B12" s="44">
        <v>165</v>
      </c>
      <c r="C12" s="37">
        <f>IF(B$3=0,0,B12/B$3)</f>
        <v>0.19119351100811124</v>
      </c>
      <c r="E12" s="59" t="s">
        <v>83</v>
      </c>
      <c r="F12" s="56" t="s">
        <v>38</v>
      </c>
      <c r="G12" s="44">
        <v>14</v>
      </c>
      <c r="H12" s="129">
        <f>IF(B$15=0,0,G12/B$15)</f>
        <v>6.1135371179039298E-2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-9.4999999999999982</v>
      </c>
      <c r="P12" s="116">
        <v>31</v>
      </c>
      <c r="Q12" s="104">
        <v>-294.49999999999994</v>
      </c>
    </row>
    <row r="13" spans="1:17" x14ac:dyDescent="0.45">
      <c r="A13" s="50" t="s">
        <v>123</v>
      </c>
      <c r="B13" s="43">
        <f>B19</f>
        <v>127</v>
      </c>
      <c r="C13" s="35">
        <f>IF(B$11=0,0,B13/B$11)</f>
        <v>0.53813559322033899</v>
      </c>
      <c r="E13" s="59" t="s">
        <v>86</v>
      </c>
      <c r="F13" s="56" t="s">
        <v>41</v>
      </c>
      <c r="G13" s="44">
        <v>10</v>
      </c>
      <c r="H13" s="129">
        <f>IF(B$15=0,0,G13/B$15)</f>
        <v>4.3668122270742356E-2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67</v>
      </c>
      <c r="C14" s="35">
        <f>IF(B$12=0,0,B14/B$12)</f>
        <v>0.40606060606060607</v>
      </c>
      <c r="E14" s="59" t="s">
        <v>71</v>
      </c>
      <c r="F14" s="56" t="s">
        <v>26</v>
      </c>
      <c r="G14" s="44">
        <v>9</v>
      </c>
      <c r="H14" s="129">
        <f>IF(B$15=0,0,G14/B$15)</f>
        <v>3.9301310043668124E-2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229</v>
      </c>
      <c r="C15" s="35">
        <f>IF(B$3=0,0,B15/B$3)</f>
        <v>0.26535341830822712</v>
      </c>
      <c r="E15" s="59" t="s">
        <v>78</v>
      </c>
      <c r="F15" s="56" t="s">
        <v>33</v>
      </c>
      <c r="G15" s="44">
        <v>8</v>
      </c>
      <c r="H15" s="129">
        <f>IF(B$15=0,0,G15/B$15)</f>
        <v>3.4934497816593885E-2</v>
      </c>
      <c r="I15" s="90">
        <v>5</v>
      </c>
      <c r="K15" s="36">
        <v>13</v>
      </c>
      <c r="L15" s="95">
        <v>-207.3</v>
      </c>
      <c r="N15" s="110" t="s">
        <v>197</v>
      </c>
      <c r="O15" s="120">
        <f t="shared" ref="O15:O23" si="2">IF(P15=0,0,Q15/P15)</f>
        <v>24.274999999999999</v>
      </c>
      <c r="P15" s="114">
        <v>4</v>
      </c>
      <c r="Q15" s="102">
        <v>97.1</v>
      </c>
    </row>
    <row r="16" spans="1:17" x14ac:dyDescent="0.45">
      <c r="A16" s="51" t="s">
        <v>13</v>
      </c>
      <c r="B16" s="44">
        <v>158</v>
      </c>
      <c r="C16" s="37">
        <f>IF(B$3=0,0,B16/B$3)</f>
        <v>0.18308227114716108</v>
      </c>
      <c r="E16" s="59" t="s">
        <v>79</v>
      </c>
      <c r="F16" s="56" t="s">
        <v>34</v>
      </c>
      <c r="G16" s="44">
        <v>4</v>
      </c>
      <c r="H16" s="129">
        <f>IF(B$15=0,0,G16/B$15)</f>
        <v>1.7467248908296942E-2</v>
      </c>
      <c r="I16" s="90">
        <v>6</v>
      </c>
      <c r="K16" s="36">
        <v>14</v>
      </c>
      <c r="L16" s="95">
        <v>-204.8</v>
      </c>
      <c r="N16" s="111" t="s">
        <v>170</v>
      </c>
      <c r="O16" s="121">
        <f t="shared" si="2"/>
        <v>2.9208333333333356</v>
      </c>
      <c r="P16" s="115">
        <v>24</v>
      </c>
      <c r="Q16" s="103">
        <v>70.100000000000051</v>
      </c>
    </row>
    <row r="17" spans="1:17" x14ac:dyDescent="0.45">
      <c r="A17" s="51" t="s">
        <v>12</v>
      </c>
      <c r="B17" s="44">
        <v>107</v>
      </c>
      <c r="C17" s="37">
        <f>IF(B$15=0,0,B17/B$15)</f>
        <v>0.46724890829694321</v>
      </c>
      <c r="E17" s="59" t="s">
        <v>81</v>
      </c>
      <c r="F17" s="56" t="s">
        <v>36</v>
      </c>
      <c r="G17" s="44">
        <v>4</v>
      </c>
      <c r="H17" s="129">
        <f>IF(B$15=0,0,G17/B$15)</f>
        <v>1.7467248908296942E-2</v>
      </c>
      <c r="I17" s="90">
        <v>6</v>
      </c>
      <c r="K17" s="36">
        <v>15</v>
      </c>
      <c r="L17" s="95">
        <v>-221.5</v>
      </c>
      <c r="N17" s="111" t="s">
        <v>161</v>
      </c>
      <c r="O17" s="121">
        <f t="shared" si="2"/>
        <v>1.4666666666666697</v>
      </c>
      <c r="P17" s="115">
        <v>18</v>
      </c>
      <c r="Q17" s="103">
        <v>26.400000000000055</v>
      </c>
    </row>
    <row r="18" spans="1:17" x14ac:dyDescent="0.45">
      <c r="A18" s="51" t="s">
        <v>11</v>
      </c>
      <c r="B18" s="44">
        <v>122</v>
      </c>
      <c r="C18" s="37">
        <f>IF(B$15=0,0,B18/B$15)</f>
        <v>0.53275109170305679</v>
      </c>
      <c r="E18" s="59" t="s">
        <v>162</v>
      </c>
      <c r="F18" s="56" t="s">
        <v>163</v>
      </c>
      <c r="G18" s="44">
        <v>4</v>
      </c>
      <c r="H18" s="129">
        <f>IF(B$15=0,0,G18/B$15)</f>
        <v>1.7467248908296942E-2</v>
      </c>
      <c r="I18" s="90">
        <v>5</v>
      </c>
      <c r="K18" s="36">
        <v>16</v>
      </c>
      <c r="L18" s="95">
        <v>-224.3</v>
      </c>
      <c r="N18" s="111" t="s">
        <v>196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127</v>
      </c>
      <c r="C19" s="37">
        <f>IF(B$15=0,0,B19/B$15)</f>
        <v>0.55458515283842791</v>
      </c>
      <c r="E19" s="59" t="s">
        <v>75</v>
      </c>
      <c r="F19" s="56" t="s">
        <v>30</v>
      </c>
      <c r="G19" s="44">
        <v>3</v>
      </c>
      <c r="H19" s="129">
        <f>IF(B$15=0,0,G19/B$15)</f>
        <v>1.3100436681222707E-2</v>
      </c>
      <c r="I19" s="90">
        <v>3</v>
      </c>
      <c r="K19" s="36">
        <v>17</v>
      </c>
      <c r="L19" s="95">
        <v>-251.4</v>
      </c>
      <c r="N19" s="111" t="s">
        <v>171</v>
      </c>
      <c r="O19" s="121">
        <f t="shared" si="2"/>
        <v>-15.669230769230769</v>
      </c>
      <c r="P19" s="115">
        <v>26</v>
      </c>
      <c r="Q19" s="103">
        <v>-407.4</v>
      </c>
    </row>
    <row r="20" spans="1:17" x14ac:dyDescent="0.45">
      <c r="A20" s="51" t="s">
        <v>193</v>
      </c>
      <c r="B20" s="44">
        <v>67</v>
      </c>
      <c r="C20" s="37">
        <f>IF(B$15=0,0,B20/B$15)</f>
        <v>0.29257641921397382</v>
      </c>
      <c r="E20" s="59" t="s">
        <v>85</v>
      </c>
      <c r="F20" s="56" t="s">
        <v>40</v>
      </c>
      <c r="G20" s="44">
        <v>1</v>
      </c>
      <c r="H20" s="129">
        <f>IF(B$15=0,0,G20/B$15)</f>
        <v>4.3668122270742356E-3</v>
      </c>
      <c r="I20" s="90">
        <v>7</v>
      </c>
      <c r="K20" s="36">
        <v>18</v>
      </c>
      <c r="L20" s="95">
        <v>-240</v>
      </c>
      <c r="N20" s="111" t="s">
        <v>126</v>
      </c>
      <c r="O20" s="121">
        <f t="shared" si="2"/>
        <v>-15.762500000000001</v>
      </c>
      <c r="P20" s="115">
        <v>64</v>
      </c>
      <c r="Q20" s="103">
        <v>-1008.8000000000001</v>
      </c>
    </row>
    <row r="21" spans="1:17" x14ac:dyDescent="0.45">
      <c r="A21" s="51" t="s">
        <v>194</v>
      </c>
      <c r="B21" s="44">
        <v>35</v>
      </c>
      <c r="C21" s="37">
        <f>IF(B$15=0,0,B21/B$15)</f>
        <v>0.15283842794759825</v>
      </c>
      <c r="E21" s="59" t="s">
        <v>91</v>
      </c>
      <c r="F21" s="56" t="s">
        <v>46</v>
      </c>
      <c r="G21" s="44">
        <v>1</v>
      </c>
      <c r="H21" s="129">
        <f>IF(B$15=0,0,G21/B$15)</f>
        <v>4.3668122270742356E-3</v>
      </c>
      <c r="I21" s="90">
        <v>9</v>
      </c>
      <c r="K21" s="36">
        <v>19</v>
      </c>
      <c r="L21" s="95">
        <v>-218</v>
      </c>
      <c r="N21" s="111" t="s">
        <v>127</v>
      </c>
      <c r="O21" s="121">
        <f t="shared" si="2"/>
        <v>-18.434693877551016</v>
      </c>
      <c r="P21" s="115">
        <v>49</v>
      </c>
      <c r="Q21" s="103">
        <v>-903.29999999999973</v>
      </c>
    </row>
    <row r="22" spans="1:17" x14ac:dyDescent="0.45">
      <c r="A22" s="51" t="s">
        <v>5</v>
      </c>
      <c r="B22" s="48">
        <f>IF(B$15=0,0,C22/B$15)</f>
        <v>7835.8078602620089</v>
      </c>
      <c r="C22" s="39">
        <v>1794400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-177.6</v>
      </c>
      <c r="N22" s="111" t="s">
        <v>274</v>
      </c>
      <c r="O22" s="121">
        <f t="shared" si="2"/>
        <v>-19.25</v>
      </c>
      <c r="P22" s="115">
        <v>4</v>
      </c>
      <c r="Q22" s="103">
        <v>-77</v>
      </c>
    </row>
    <row r="23" spans="1:17" x14ac:dyDescent="0.45">
      <c r="A23" s="52" t="s">
        <v>177</v>
      </c>
      <c r="B23" s="136">
        <f>IF($B$15-B$14=0,0,C23/($B$15-B$14))</f>
        <v>8448.1481481481478</v>
      </c>
      <c r="C23" s="137">
        <v>1368600</v>
      </c>
      <c r="E23" s="59" t="s">
        <v>74</v>
      </c>
      <c r="F23" s="56" t="s">
        <v>29</v>
      </c>
      <c r="G23" s="44">
        <v>0</v>
      </c>
      <c r="H23" s="129">
        <f>IF(B$15=0,0,G23/B$15)</f>
        <v>0</v>
      </c>
      <c r="I23" s="90">
        <v>7</v>
      </c>
      <c r="K23" s="36">
        <v>21</v>
      </c>
      <c r="L23" s="95">
        <v>-133.30000000000001</v>
      </c>
      <c r="N23" s="111" t="s">
        <v>228</v>
      </c>
      <c r="O23" s="121">
        <f t="shared" si="2"/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6355.2238805970146</v>
      </c>
      <c r="C24" s="137">
        <v>425800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-7813.9240506329115</v>
      </c>
      <c r="C25" s="137">
        <v>-1234600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3.4762456546929316E-3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17</v>
      </c>
      <c r="C32" s="141">
        <f>IF(B$15=0,0,B32/B$15)</f>
        <v>7.4235807860262015E-2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3">IF(B$15=0,0,B33/B$15)</f>
        <v>0.1703056768558952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52</v>
      </c>
      <c r="C34" s="37">
        <f>IF(B$15=0,0,B34/B$15)</f>
        <v>0.22707423580786026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35</v>
      </c>
      <c r="C35" s="37">
        <f t="shared" si="3"/>
        <v>0.15283842794759825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39</v>
      </c>
      <c r="C36" s="37">
        <f t="shared" si="3"/>
        <v>0.1703056768558952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23</v>
      </c>
      <c r="C37" s="37">
        <f t="shared" si="3"/>
        <v>0.10043668122270742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14</v>
      </c>
      <c r="C38" s="37">
        <f t="shared" si="3"/>
        <v>6.1135371179039298E-2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6</v>
      </c>
      <c r="C39" s="37">
        <f t="shared" si="3"/>
        <v>2.6200873362445413E-2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3"/>
        <v>4.3668122270742356E-3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3"/>
        <v>4.3668122270742356E-3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3"/>
        <v>8.7336244541484712E-3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  <row r="93" spans="11:12" x14ac:dyDescent="0.45">
      <c r="K93" s="36">
        <v>91</v>
      </c>
      <c r="L93" s="95">
        <v>-583.4</v>
      </c>
    </row>
    <row r="94" spans="11:12" x14ac:dyDescent="0.45">
      <c r="K94" s="36">
        <v>92</v>
      </c>
      <c r="L94" s="95">
        <v>-588.19999999999993</v>
      </c>
    </row>
    <row r="95" spans="11:12" x14ac:dyDescent="0.45">
      <c r="K95" s="36">
        <v>93</v>
      </c>
      <c r="L95" s="95">
        <v>-627.79999999999995</v>
      </c>
    </row>
    <row r="96" spans="11:12" x14ac:dyDescent="0.45">
      <c r="K96" s="36">
        <v>94</v>
      </c>
      <c r="L96" s="95">
        <v>-618.29999999999995</v>
      </c>
    </row>
    <row r="97" spans="11:12" x14ac:dyDescent="0.45">
      <c r="K97" s="36">
        <v>95</v>
      </c>
      <c r="L97" s="95">
        <v>-599.19999999999993</v>
      </c>
    </row>
    <row r="98" spans="11:12" x14ac:dyDescent="0.45">
      <c r="K98" s="36">
        <v>96</v>
      </c>
      <c r="L98" s="95">
        <v>-631.19999999999993</v>
      </c>
    </row>
    <row r="99" spans="11:12" x14ac:dyDescent="0.45">
      <c r="K99" s="36">
        <v>97</v>
      </c>
      <c r="L99" s="95">
        <v>-673.49999999999989</v>
      </c>
    </row>
    <row r="100" spans="11:12" x14ac:dyDescent="0.45">
      <c r="K100" s="36">
        <v>98</v>
      </c>
      <c r="L100" s="95">
        <v>-700.69999999999993</v>
      </c>
    </row>
    <row r="101" spans="11:12" x14ac:dyDescent="0.45">
      <c r="K101" s="36">
        <v>99</v>
      </c>
      <c r="L101" s="95">
        <v>-707.4</v>
      </c>
    </row>
    <row r="102" spans="11:12" x14ac:dyDescent="0.45">
      <c r="K102" s="36">
        <v>100</v>
      </c>
      <c r="L102" s="95">
        <v>-752.69999999999993</v>
      </c>
    </row>
  </sheetData>
  <sortState xmlns:xlrd2="http://schemas.microsoft.com/office/spreadsheetml/2017/richdata2" ref="E2:I10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6292B-6599-41BA-9312-320B6B8EE30E}">
  <sheetPr codeName="Sheet15"/>
  <dimension ref="A1:Q14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142</v>
      </c>
      <c r="C2" s="155"/>
      <c r="E2" s="58" t="s">
        <v>66</v>
      </c>
      <c r="F2" s="55" t="s">
        <v>22</v>
      </c>
      <c r="G2" s="43">
        <v>283</v>
      </c>
      <c r="H2" s="128">
        <f>IF(B$15=0,0,G2/B$15)</f>
        <v>0.90415335463258784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909.15492957746483</v>
      </c>
      <c r="P2" s="114">
        <v>142</v>
      </c>
      <c r="Q2" s="98">
        <v>129100</v>
      </c>
    </row>
    <row r="3" spans="1:17" x14ac:dyDescent="0.45">
      <c r="A3" s="51" t="s">
        <v>8</v>
      </c>
      <c r="B3" s="156">
        <v>1153</v>
      </c>
      <c r="C3" s="157"/>
      <c r="E3" s="59" t="s">
        <v>64</v>
      </c>
      <c r="F3" s="56" t="s">
        <v>20</v>
      </c>
      <c r="G3" s="44">
        <v>172</v>
      </c>
      <c r="H3" s="129">
        <f>IF(B$15=0,0,G3/B$15)</f>
        <v>0.54952076677316297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-1876.9784172661871</v>
      </c>
      <c r="P3" s="115">
        <v>139</v>
      </c>
      <c r="Q3" s="99">
        <v>-260900</v>
      </c>
    </row>
    <row r="4" spans="1:17" x14ac:dyDescent="0.45">
      <c r="A4" s="51" t="s">
        <v>6</v>
      </c>
      <c r="B4" s="158">
        <v>551.50000000000057</v>
      </c>
      <c r="C4" s="159"/>
      <c r="E4" s="59" t="s">
        <v>72</v>
      </c>
      <c r="F4" s="56" t="s">
        <v>27</v>
      </c>
      <c r="G4" s="44">
        <v>171</v>
      </c>
      <c r="H4" s="129">
        <f>IF(B$15=0,0,G4/B$15)</f>
        <v>0.54632587859424919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-354.3307086614173</v>
      </c>
      <c r="P4" s="115">
        <v>127</v>
      </c>
      <c r="Q4" s="99">
        <v>-45000</v>
      </c>
    </row>
    <row r="5" spans="1:17" x14ac:dyDescent="0.45">
      <c r="A5" s="51" t="s">
        <v>7</v>
      </c>
      <c r="B5" s="160">
        <f>IF(B$2=0,0,B$4/B$2)</f>
        <v>3.8838028169014125</v>
      </c>
      <c r="C5" s="161"/>
      <c r="E5" s="59" t="s">
        <v>67</v>
      </c>
      <c r="F5" s="56" t="s">
        <v>23</v>
      </c>
      <c r="G5" s="44">
        <v>126</v>
      </c>
      <c r="H5" s="129">
        <f>IF(B$15=0,0,G5/B$15)</f>
        <v>0.402555910543131</v>
      </c>
      <c r="I5" s="90">
        <v>4</v>
      </c>
      <c r="K5" s="36">
        <v>3</v>
      </c>
      <c r="L5" s="95">
        <v>-113.8</v>
      </c>
      <c r="N5" s="111" t="s">
        <v>133</v>
      </c>
      <c r="O5" s="118">
        <f t="shared" si="0"/>
        <v>2260.8333333333335</v>
      </c>
      <c r="P5" s="115">
        <v>120</v>
      </c>
      <c r="Q5" s="99">
        <v>271300</v>
      </c>
    </row>
    <row r="6" spans="1:17" x14ac:dyDescent="0.45">
      <c r="A6" s="51" t="s">
        <v>1</v>
      </c>
      <c r="B6" s="150">
        <f>IF(B$2=0,0,(B$7*1+B$8*2+B$9*3)/B$2)</f>
        <v>1.9225352112676057</v>
      </c>
      <c r="C6" s="151"/>
      <c r="E6" s="59" t="s">
        <v>68</v>
      </c>
      <c r="F6" s="56" t="s">
        <v>12</v>
      </c>
      <c r="G6" s="44">
        <v>125</v>
      </c>
      <c r="H6" s="129">
        <f>IF(B$15=0,0,G6/B$15)</f>
        <v>0.39936102236421728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1543.5185185185185</v>
      </c>
      <c r="P6" s="115">
        <v>108</v>
      </c>
      <c r="Q6" s="99">
        <v>166700</v>
      </c>
    </row>
    <row r="7" spans="1:17" x14ac:dyDescent="0.45">
      <c r="A7" s="51" t="s">
        <v>2</v>
      </c>
      <c r="B7" s="44">
        <v>56</v>
      </c>
      <c r="C7" s="37">
        <f t="shared" ref="C7:C10" si="1">IF(B$2=0,0,B7/B$2)</f>
        <v>0.39436619718309857</v>
      </c>
      <c r="E7" s="59" t="s">
        <v>166</v>
      </c>
      <c r="F7" s="56" t="s">
        <v>167</v>
      </c>
      <c r="G7" s="44">
        <v>118</v>
      </c>
      <c r="H7" s="129">
        <f>IF(B$15=0,0,G7/B$15)</f>
        <v>0.3769968051118211</v>
      </c>
      <c r="I7" s="90">
        <v>9</v>
      </c>
      <c r="K7" s="36">
        <v>5</v>
      </c>
      <c r="L7" s="95">
        <v>-118.3</v>
      </c>
      <c r="N7" s="112" t="s">
        <v>135</v>
      </c>
      <c r="O7" s="119">
        <f t="shared" si="0"/>
        <v>638.27160493827159</v>
      </c>
      <c r="P7" s="116">
        <v>81</v>
      </c>
      <c r="Q7" s="100">
        <v>51700</v>
      </c>
    </row>
    <row r="8" spans="1:17" x14ac:dyDescent="0.45">
      <c r="A8" s="51" t="s">
        <v>3</v>
      </c>
      <c r="B8" s="44">
        <v>41</v>
      </c>
      <c r="C8" s="37">
        <f t="shared" si="1"/>
        <v>0.28873239436619719</v>
      </c>
      <c r="E8" s="59" t="s">
        <v>89</v>
      </c>
      <c r="F8" s="56" t="s">
        <v>44</v>
      </c>
      <c r="G8" s="44">
        <v>78</v>
      </c>
      <c r="H8" s="129">
        <f>IF(B$15=0,0,G8/B$15)</f>
        <v>0.24920127795527156</v>
      </c>
      <c r="I8" s="90">
        <v>3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45</v>
      </c>
      <c r="C9" s="38">
        <f t="shared" si="1"/>
        <v>0.31690140845070425</v>
      </c>
      <c r="E9" s="59" t="s">
        <v>69</v>
      </c>
      <c r="F9" s="56" t="s">
        <v>24</v>
      </c>
      <c r="G9" s="44">
        <v>66</v>
      </c>
      <c r="H9" s="129">
        <f>IF(B$15=0,0,G9/B$15)</f>
        <v>0.2108626198083067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17</v>
      </c>
      <c r="C10" s="40">
        <f t="shared" si="1"/>
        <v>0.11971830985915492</v>
      </c>
      <c r="E10" s="59" t="s">
        <v>65</v>
      </c>
      <c r="F10" s="56" t="s">
        <v>21</v>
      </c>
      <c r="G10" s="44">
        <v>46</v>
      </c>
      <c r="H10" s="129">
        <f>IF(B$15=0,0,G10/B$15)</f>
        <v>0.14696485623003194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-9.4974358974358974</v>
      </c>
      <c r="P10" s="114">
        <v>39</v>
      </c>
      <c r="Q10" s="102">
        <v>-370.40000000000003</v>
      </c>
    </row>
    <row r="11" spans="1:17" x14ac:dyDescent="0.45">
      <c r="A11" s="54" t="s">
        <v>121</v>
      </c>
      <c r="B11" s="47">
        <v>344</v>
      </c>
      <c r="C11" s="42">
        <f>IF(B$3=0,0,B11/B$3)</f>
        <v>0.29835212489158719</v>
      </c>
      <c r="E11" s="59" t="s">
        <v>70</v>
      </c>
      <c r="F11" s="56" t="s">
        <v>25</v>
      </c>
      <c r="G11" s="44">
        <v>38</v>
      </c>
      <c r="H11" s="129">
        <f>IF(B$15=0,0,G11/B$15)</f>
        <v>0.12140575079872204</v>
      </c>
      <c r="I11" s="90">
        <v>4</v>
      </c>
      <c r="K11" s="36">
        <v>9</v>
      </c>
      <c r="L11" s="95">
        <v>-120.99999999999999</v>
      </c>
      <c r="N11" s="111" t="s">
        <v>158</v>
      </c>
      <c r="O11" s="121">
        <f>IF(P11=0,0,Q11/P11)</f>
        <v>7.038888888888887</v>
      </c>
      <c r="P11" s="115">
        <v>54</v>
      </c>
      <c r="Q11" s="103">
        <v>380.09999999999991</v>
      </c>
    </row>
    <row r="12" spans="1:17" x14ac:dyDescent="0.45">
      <c r="A12" s="51" t="s">
        <v>118</v>
      </c>
      <c r="B12" s="44">
        <v>211</v>
      </c>
      <c r="C12" s="37">
        <f>IF(B$3=0,0,B12/B$3)</f>
        <v>0.18300086730268864</v>
      </c>
      <c r="E12" s="59" t="s">
        <v>71</v>
      </c>
      <c r="F12" s="56" t="s">
        <v>26</v>
      </c>
      <c r="G12" s="44">
        <v>18</v>
      </c>
      <c r="H12" s="129">
        <f>IF(B$15=0,0,G12/B$15)</f>
        <v>5.7507987220447282E-2</v>
      </c>
      <c r="I12" s="90">
        <v>11</v>
      </c>
      <c r="K12" s="36">
        <v>10</v>
      </c>
      <c r="L12" s="95">
        <v>-113.29999999999998</v>
      </c>
      <c r="N12" s="112" t="s">
        <v>159</v>
      </c>
      <c r="O12" s="122">
        <f>IF(P12=0,0,Q12/P12)</f>
        <v>11.057142857142859</v>
      </c>
      <c r="P12" s="116">
        <v>49</v>
      </c>
      <c r="Q12" s="104">
        <v>541.80000000000007</v>
      </c>
    </row>
    <row r="13" spans="1:17" x14ac:dyDescent="0.45">
      <c r="A13" s="50" t="s">
        <v>123</v>
      </c>
      <c r="B13" s="43">
        <f>B19</f>
        <v>187</v>
      </c>
      <c r="C13" s="35">
        <f>IF(B$11=0,0,B13/B$11)</f>
        <v>0.54360465116279066</v>
      </c>
      <c r="E13" s="59" t="s">
        <v>162</v>
      </c>
      <c r="F13" s="56" t="s">
        <v>163</v>
      </c>
      <c r="G13" s="44">
        <v>17</v>
      </c>
      <c r="H13" s="129">
        <f>IF(B$15=0,0,G13/B$15)</f>
        <v>5.4313099041533544E-2</v>
      </c>
      <c r="I13" s="90">
        <v>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78</v>
      </c>
      <c r="C14" s="35">
        <f>IF(B$12=0,0,B14/B$12)</f>
        <v>0.36966824644549762</v>
      </c>
      <c r="E14" s="59" t="s">
        <v>86</v>
      </c>
      <c r="F14" s="56" t="s">
        <v>41</v>
      </c>
      <c r="G14" s="44">
        <v>12</v>
      </c>
      <c r="H14" s="129">
        <f>IF(B$15=0,0,G14/B$15)</f>
        <v>3.8338658146964855E-2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313</v>
      </c>
      <c r="C15" s="35">
        <f>IF(B$3=0,0,B15/B$3)</f>
        <v>0.27146574154379877</v>
      </c>
      <c r="E15" s="59" t="s">
        <v>83</v>
      </c>
      <c r="F15" s="56" t="s">
        <v>38</v>
      </c>
      <c r="G15" s="44">
        <v>10</v>
      </c>
      <c r="H15" s="129">
        <f>IF(B$15=0,0,G15/B$15)</f>
        <v>3.1948881789137379E-2</v>
      </c>
      <c r="I15" s="90">
        <v>11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202</v>
      </c>
      <c r="C16" s="37">
        <f>IF(B$3=0,0,B16/B$3)</f>
        <v>0.17519514310494363</v>
      </c>
      <c r="E16" s="59" t="s">
        <v>91</v>
      </c>
      <c r="F16" s="56" t="s">
        <v>46</v>
      </c>
      <c r="G16" s="44">
        <v>7</v>
      </c>
      <c r="H16" s="129">
        <f>IF(B$15=0,0,G16/B$15)</f>
        <v>2.2364217252396165E-2</v>
      </c>
      <c r="I16" s="90">
        <v>3</v>
      </c>
      <c r="K16" s="36">
        <v>14</v>
      </c>
      <c r="L16" s="95">
        <v>-86.499999999999972</v>
      </c>
      <c r="N16" s="111" t="s">
        <v>161</v>
      </c>
      <c r="O16" s="121">
        <f>IF(P16=0,0,Q16/P16)</f>
        <v>26.54137931034483</v>
      </c>
      <c r="P16" s="115">
        <v>29</v>
      </c>
      <c r="Q16" s="103">
        <v>769.7</v>
      </c>
    </row>
    <row r="17" spans="1:17" x14ac:dyDescent="0.45">
      <c r="A17" s="51" t="s">
        <v>12</v>
      </c>
      <c r="B17" s="44">
        <v>162</v>
      </c>
      <c r="C17" s="37">
        <f>IF(B$15=0,0,B17/B$15)</f>
        <v>0.51757188498402551</v>
      </c>
      <c r="E17" s="59" t="s">
        <v>92</v>
      </c>
      <c r="F17" s="56" t="s">
        <v>47</v>
      </c>
      <c r="G17" s="44">
        <v>6</v>
      </c>
      <c r="H17" s="129">
        <f>IF(B$15=0,0,G17/B$15)</f>
        <v>1.9169329073482427E-2</v>
      </c>
      <c r="I17" s="90">
        <v>1</v>
      </c>
      <c r="K17" s="36">
        <v>15</v>
      </c>
      <c r="L17" s="95">
        <v>-101.79999999999997</v>
      </c>
      <c r="N17" s="111" t="s">
        <v>197</v>
      </c>
      <c r="O17" s="121">
        <f>IF(P17=0,0,Q17/P17)</f>
        <v>12.110344827586209</v>
      </c>
      <c r="P17" s="115">
        <v>29</v>
      </c>
      <c r="Q17" s="103">
        <v>351.20000000000005</v>
      </c>
    </row>
    <row r="18" spans="1:17" x14ac:dyDescent="0.45">
      <c r="A18" s="51" t="s">
        <v>11</v>
      </c>
      <c r="B18" s="44">
        <v>151</v>
      </c>
      <c r="C18" s="37">
        <f>IF(B$15=0,0,B18/B$15)</f>
        <v>0.48242811501597443</v>
      </c>
      <c r="E18" s="59" t="s">
        <v>81</v>
      </c>
      <c r="F18" s="56" t="s">
        <v>36</v>
      </c>
      <c r="G18" s="44">
        <v>5</v>
      </c>
      <c r="H18" s="129">
        <f>IF(B$15=0,0,G18/B$15)</f>
        <v>1.5974440894568689E-2</v>
      </c>
      <c r="I18" s="90">
        <v>8</v>
      </c>
      <c r="K18" s="36">
        <v>16</v>
      </c>
      <c r="L18" s="95">
        <v>-63.099999999999966</v>
      </c>
      <c r="N18" s="111" t="s">
        <v>171</v>
      </c>
      <c r="O18" s="121">
        <f>IF(P18=0,0,Q18/P18)</f>
        <v>10.381818181818181</v>
      </c>
      <c r="P18" s="115">
        <v>66</v>
      </c>
      <c r="Q18" s="103">
        <v>685.19999999999993</v>
      </c>
    </row>
    <row r="19" spans="1:17" x14ac:dyDescent="0.45">
      <c r="A19" s="51" t="s">
        <v>195</v>
      </c>
      <c r="B19" s="44">
        <v>187</v>
      </c>
      <c r="C19" s="37">
        <f>IF(B$15=0,0,B19/B$15)</f>
        <v>0.597444089456869</v>
      </c>
      <c r="E19" s="59" t="s">
        <v>78</v>
      </c>
      <c r="F19" s="56" t="s">
        <v>33</v>
      </c>
      <c r="G19" s="44">
        <v>4</v>
      </c>
      <c r="H19" s="129">
        <f>IF(B$15=0,0,G19/B$15)</f>
        <v>1.2779552715654952E-2</v>
      </c>
      <c r="I19" s="90">
        <v>8</v>
      </c>
      <c r="K19" s="36">
        <v>17</v>
      </c>
      <c r="L19" s="95">
        <v>-55.799999999999969</v>
      </c>
      <c r="N19" s="111" t="s">
        <v>274</v>
      </c>
      <c r="O19" s="121">
        <f>IF(P19=0,0,Q19/P19)</f>
        <v>5.4749999999999988</v>
      </c>
      <c r="P19" s="115">
        <v>8</v>
      </c>
      <c r="Q19" s="103">
        <v>43.79999999999999</v>
      </c>
    </row>
    <row r="20" spans="1:17" x14ac:dyDescent="0.45">
      <c r="A20" s="51" t="s">
        <v>193</v>
      </c>
      <c r="B20" s="44">
        <v>78</v>
      </c>
      <c r="C20" s="37">
        <f>IF(B$15=0,0,B20/B$15)</f>
        <v>0.24920127795527156</v>
      </c>
      <c r="E20" s="59" t="s">
        <v>79</v>
      </c>
      <c r="F20" s="56" t="s">
        <v>34</v>
      </c>
      <c r="G20" s="44">
        <v>4</v>
      </c>
      <c r="H20" s="129">
        <f>IF(B$15=0,0,G20/B$15)</f>
        <v>1.2779552715654952E-2</v>
      </c>
      <c r="I20" s="90">
        <v>8</v>
      </c>
      <c r="K20" s="36">
        <v>18</v>
      </c>
      <c r="L20" s="95">
        <v>-24.999999999999968</v>
      </c>
      <c r="N20" s="111" t="s">
        <v>127</v>
      </c>
      <c r="O20" s="121">
        <f>IF(P20=0,0,Q20/P20)</f>
        <v>2.0999999999999988</v>
      </c>
      <c r="P20" s="115">
        <v>57</v>
      </c>
      <c r="Q20" s="103">
        <v>119.69999999999992</v>
      </c>
    </row>
    <row r="21" spans="1:17" x14ac:dyDescent="0.45">
      <c r="A21" s="51" t="s">
        <v>194</v>
      </c>
      <c r="B21" s="44">
        <v>48</v>
      </c>
      <c r="C21" s="37">
        <f>IF(B$15=0,0,B21/B$15)</f>
        <v>0.15335463258785942</v>
      </c>
      <c r="E21" s="59" t="s">
        <v>84</v>
      </c>
      <c r="F21" s="56" t="s">
        <v>39</v>
      </c>
      <c r="G21" s="44">
        <v>3</v>
      </c>
      <c r="H21" s="129">
        <f>IF(B$15=0,0,G21/B$15)</f>
        <v>9.5846645367412137E-3</v>
      </c>
      <c r="I21" s="90">
        <v>1</v>
      </c>
      <c r="K21" s="36">
        <v>19</v>
      </c>
      <c r="L21" s="95">
        <v>-27.799999999999969</v>
      </c>
      <c r="N21" s="111" t="s">
        <v>172</v>
      </c>
      <c r="O21" s="121">
        <f>IF(P21=0,0,Q21/P21)</f>
        <v>-2.9208333333333338</v>
      </c>
      <c r="P21" s="115">
        <v>24</v>
      </c>
      <c r="Q21" s="103">
        <v>-70.100000000000009</v>
      </c>
    </row>
    <row r="22" spans="1:17" x14ac:dyDescent="0.45">
      <c r="A22" s="51" t="s">
        <v>5</v>
      </c>
      <c r="B22" s="48">
        <f>IF(B$15=0,0,C22/B$15)</f>
        <v>11062.300319488819</v>
      </c>
      <c r="C22" s="39">
        <v>3462500</v>
      </c>
      <c r="E22" s="59" t="s">
        <v>85</v>
      </c>
      <c r="F22" s="56" t="s">
        <v>40</v>
      </c>
      <c r="G22" s="44">
        <v>3</v>
      </c>
      <c r="H22" s="129">
        <f>IF(B$15=0,0,G22/B$15)</f>
        <v>9.5846645367412137E-3</v>
      </c>
      <c r="I22" s="90">
        <v>3</v>
      </c>
      <c r="K22" s="36">
        <v>20</v>
      </c>
      <c r="L22" s="95">
        <v>-50.39999999999997</v>
      </c>
      <c r="N22" s="111" t="s">
        <v>126</v>
      </c>
      <c r="O22" s="121">
        <f>IF(P22=0,0,Q22/P22)</f>
        <v>-4.1557377049180353</v>
      </c>
      <c r="P22" s="115">
        <v>61</v>
      </c>
      <c r="Q22" s="103">
        <v>-253.50000000000017</v>
      </c>
    </row>
    <row r="23" spans="1:17" x14ac:dyDescent="0.45">
      <c r="A23" s="52" t="s">
        <v>177</v>
      </c>
      <c r="B23" s="136">
        <f>IF($B$15-B$14=0,0,C23/($B$15-B$14))</f>
        <v>11677.872340425532</v>
      </c>
      <c r="C23" s="137">
        <v>2744300</v>
      </c>
      <c r="E23" s="59" t="s">
        <v>73</v>
      </c>
      <c r="F23" s="56" t="s">
        <v>28</v>
      </c>
      <c r="G23" s="44">
        <v>2</v>
      </c>
      <c r="H23" s="129">
        <f>IF(B$15=0,0,G23/B$15)</f>
        <v>6.3897763578274758E-3</v>
      </c>
      <c r="I23" s="90">
        <v>2</v>
      </c>
      <c r="K23" s="36">
        <v>21</v>
      </c>
      <c r="L23" s="95">
        <v>-59.89999999999997</v>
      </c>
      <c r="N23" s="111" t="s">
        <v>196</v>
      </c>
      <c r="O23" s="121">
        <f>IF(P23=0,0,Q23/P23)</f>
        <v>-14.099999999999998</v>
      </c>
      <c r="P23" s="115">
        <v>8</v>
      </c>
      <c r="Q23" s="103">
        <v>-112.79999999999998</v>
      </c>
    </row>
    <row r="24" spans="1:17" x14ac:dyDescent="0.45">
      <c r="A24" s="52" t="s">
        <v>178</v>
      </c>
      <c r="B24" s="136">
        <f>IF(B$14=0,0,C24/B$14)</f>
        <v>9207.6923076923085</v>
      </c>
      <c r="C24" s="137">
        <v>718200</v>
      </c>
      <c r="E24" s="59" t="s">
        <v>75</v>
      </c>
      <c r="F24" s="56" t="s">
        <v>30</v>
      </c>
      <c r="G24" s="44">
        <v>2</v>
      </c>
      <c r="H24" s="129">
        <f>IF(B$15=0,0,G24/B$15)</f>
        <v>6.3897763578274758E-3</v>
      </c>
      <c r="I24" s="90">
        <v>7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-8076.2376237623766</v>
      </c>
      <c r="C25" s="137">
        <v>-1631400</v>
      </c>
      <c r="E25" s="59" t="s">
        <v>90</v>
      </c>
      <c r="F25" s="56" t="s">
        <v>45</v>
      </c>
      <c r="G25" s="44">
        <v>2</v>
      </c>
      <c r="H25" s="129">
        <f>IF(B$15=0,0,G25/B$15)</f>
        <v>6.3897763578274758E-3</v>
      </c>
      <c r="I25" s="90">
        <v>1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2</v>
      </c>
      <c r="E26" s="59" t="s">
        <v>77</v>
      </c>
      <c r="F26" s="56" t="s">
        <v>32</v>
      </c>
      <c r="G26" s="44">
        <v>1</v>
      </c>
      <c r="H26" s="129">
        <f>IF(B$15=0,0,G26/B$15)</f>
        <v>3.1948881789137379E-3</v>
      </c>
      <c r="I26" s="90">
        <v>3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3</v>
      </c>
      <c r="E27" s="59" t="s">
        <v>88</v>
      </c>
      <c r="F27" s="56" t="s">
        <v>43</v>
      </c>
      <c r="G27" s="44">
        <v>1</v>
      </c>
      <c r="H27" s="129">
        <f>IF(B$15=0,0,G27/B$15)</f>
        <v>3.1948881789137379E-3</v>
      </c>
      <c r="I27" s="90">
        <v>4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93</v>
      </c>
      <c r="F28" s="56" t="s">
        <v>48</v>
      </c>
      <c r="G28" s="44">
        <v>1</v>
      </c>
      <c r="H28" s="129">
        <f>IF(B$15=0,0,G28/B$15)</f>
        <v>3.1948881789137379E-3</v>
      </c>
      <c r="I28" s="90">
        <v>2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97</v>
      </c>
      <c r="F29" s="56" t="s">
        <v>52</v>
      </c>
      <c r="G29" s="44">
        <v>1</v>
      </c>
      <c r="H29" s="129">
        <f>IF(B$15=0,0,G29/B$15)</f>
        <v>3.1948881789137379E-3</v>
      </c>
      <c r="I29" s="90">
        <v>1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2</v>
      </c>
      <c r="C30" s="40">
        <f>IF(B$3=0,0,B30/B$3)</f>
        <v>1.7346053772766695E-3</v>
      </c>
      <c r="E30" s="59" t="s">
        <v>74</v>
      </c>
      <c r="F30" s="56" t="s">
        <v>29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-10.999999999999972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8</v>
      </c>
      <c r="C32" s="141">
        <f>IF(B$15=0,0,B32/B$15)</f>
        <v>2.5559105431309903E-2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24</v>
      </c>
      <c r="C33" s="37">
        <f t="shared" ref="C33:C44" si="2">IF(B$15=0,0,B33/B$15)</f>
        <v>7.6677316293929709E-2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42</v>
      </c>
      <c r="C34" s="37">
        <f>IF(B$15=0,0,B34/B$15)</f>
        <v>0.13418530351437699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7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57</v>
      </c>
      <c r="C35" s="37">
        <f t="shared" si="2"/>
        <v>0.18210862619808307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69</v>
      </c>
      <c r="C36" s="37">
        <f t="shared" si="2"/>
        <v>0.22044728434504793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43</v>
      </c>
      <c r="C37" s="37">
        <f t="shared" si="2"/>
        <v>0.13738019169329074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24</v>
      </c>
      <c r="C38" s="37">
        <f t="shared" si="2"/>
        <v>7.6677316293929709E-2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21</v>
      </c>
      <c r="C39" s="37">
        <f t="shared" si="2"/>
        <v>6.7092651757188496E-2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9</v>
      </c>
      <c r="C40" s="37">
        <f t="shared" si="2"/>
        <v>2.8753993610223641E-2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3</v>
      </c>
      <c r="C41" s="37">
        <f t="shared" si="2"/>
        <v>9.5846645367412137E-3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2"/>
        <v>6.3897763578274758E-3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3.1948881789137379E-3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10</v>
      </c>
      <c r="C44" s="40">
        <f t="shared" si="2"/>
        <v>3.1948881789137379E-2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  <row r="106" spans="11:12" x14ac:dyDescent="0.45">
      <c r="K106" s="36">
        <v>104</v>
      </c>
      <c r="L106" s="95">
        <v>408.90000000000026</v>
      </c>
    </row>
    <row r="107" spans="11:12" x14ac:dyDescent="0.45">
      <c r="K107" s="36">
        <v>105</v>
      </c>
      <c r="L107" s="95">
        <v>372.30000000000024</v>
      </c>
    </row>
    <row r="108" spans="11:12" x14ac:dyDescent="0.45">
      <c r="K108" s="36">
        <v>106</v>
      </c>
      <c r="L108" s="95">
        <v>395.80000000000024</v>
      </c>
    </row>
    <row r="109" spans="11:12" x14ac:dyDescent="0.45">
      <c r="K109" s="36">
        <v>107</v>
      </c>
      <c r="L109" s="95">
        <v>438.20000000000022</v>
      </c>
    </row>
    <row r="110" spans="11:12" x14ac:dyDescent="0.45">
      <c r="K110" s="36">
        <v>108</v>
      </c>
      <c r="L110" s="95">
        <v>471.10000000000019</v>
      </c>
    </row>
    <row r="111" spans="11:12" x14ac:dyDescent="0.45">
      <c r="K111" s="36">
        <v>109</v>
      </c>
      <c r="L111" s="95">
        <v>509.00000000000017</v>
      </c>
    </row>
    <row r="112" spans="11:12" x14ac:dyDescent="0.45">
      <c r="K112" s="36">
        <v>110</v>
      </c>
      <c r="L112" s="95">
        <v>522.50000000000023</v>
      </c>
    </row>
    <row r="113" spans="11:12" x14ac:dyDescent="0.45">
      <c r="K113" s="36">
        <v>111</v>
      </c>
      <c r="L113" s="95">
        <v>600.80000000000018</v>
      </c>
    </row>
    <row r="114" spans="11:12" x14ac:dyDescent="0.45">
      <c r="K114" s="36">
        <v>112</v>
      </c>
      <c r="L114" s="95">
        <v>616.4000000000002</v>
      </c>
    </row>
    <row r="115" spans="11:12" x14ac:dyDescent="0.45">
      <c r="K115" s="36">
        <v>113</v>
      </c>
      <c r="L115" s="95">
        <v>638.10000000000025</v>
      </c>
    </row>
    <row r="116" spans="11:12" x14ac:dyDescent="0.45">
      <c r="K116" s="36">
        <v>114</v>
      </c>
      <c r="L116" s="95">
        <v>637.10000000000025</v>
      </c>
    </row>
    <row r="117" spans="11:12" x14ac:dyDescent="0.45">
      <c r="K117" s="36">
        <v>115</v>
      </c>
      <c r="L117" s="95">
        <v>581.10000000000025</v>
      </c>
    </row>
    <row r="118" spans="11:12" x14ac:dyDescent="0.45">
      <c r="K118" s="36">
        <v>116</v>
      </c>
      <c r="L118" s="95">
        <v>558.8000000000003</v>
      </c>
    </row>
    <row r="119" spans="11:12" x14ac:dyDescent="0.45">
      <c r="K119" s="36">
        <v>117</v>
      </c>
      <c r="L119" s="95">
        <v>619.00000000000034</v>
      </c>
    </row>
    <row r="120" spans="11:12" x14ac:dyDescent="0.45">
      <c r="K120" s="36">
        <v>118</v>
      </c>
      <c r="L120" s="95">
        <v>706.10000000000036</v>
      </c>
    </row>
    <row r="121" spans="11:12" x14ac:dyDescent="0.45">
      <c r="K121" s="36">
        <v>119</v>
      </c>
      <c r="L121" s="95">
        <v>672.80000000000041</v>
      </c>
    </row>
    <row r="122" spans="11:12" x14ac:dyDescent="0.45">
      <c r="K122" s="36">
        <v>120</v>
      </c>
      <c r="L122" s="95">
        <v>622.40000000000043</v>
      </c>
    </row>
    <row r="123" spans="11:12" x14ac:dyDescent="0.45">
      <c r="K123" s="36">
        <v>121</v>
      </c>
      <c r="L123" s="95">
        <v>623.70000000000039</v>
      </c>
    </row>
    <row r="124" spans="11:12" x14ac:dyDescent="0.45">
      <c r="K124" s="36">
        <v>122</v>
      </c>
      <c r="L124" s="95">
        <v>609.30000000000041</v>
      </c>
    </row>
    <row r="125" spans="11:12" x14ac:dyDescent="0.45">
      <c r="K125" s="36">
        <v>123</v>
      </c>
      <c r="L125" s="95">
        <v>621.50000000000045</v>
      </c>
    </row>
    <row r="126" spans="11:12" x14ac:dyDescent="0.45">
      <c r="K126" s="36">
        <v>124</v>
      </c>
      <c r="L126" s="95">
        <v>571.00000000000045</v>
      </c>
    </row>
    <row r="127" spans="11:12" x14ac:dyDescent="0.45">
      <c r="K127" s="36">
        <v>125</v>
      </c>
      <c r="L127" s="95">
        <v>505.50000000000045</v>
      </c>
    </row>
    <row r="128" spans="11:12" x14ac:dyDescent="0.45">
      <c r="K128" s="36">
        <v>126</v>
      </c>
      <c r="L128" s="95">
        <v>475.00000000000045</v>
      </c>
    </row>
    <row r="129" spans="11:12" x14ac:dyDescent="0.45">
      <c r="K129" s="36">
        <v>127</v>
      </c>
      <c r="L129" s="95">
        <v>531.30000000000041</v>
      </c>
    </row>
    <row r="130" spans="11:12" x14ac:dyDescent="0.45">
      <c r="K130" s="36">
        <v>128</v>
      </c>
      <c r="L130" s="95">
        <v>494.10000000000042</v>
      </c>
    </row>
    <row r="131" spans="11:12" x14ac:dyDescent="0.45">
      <c r="K131" s="36">
        <v>129</v>
      </c>
      <c r="L131" s="95">
        <v>529.80000000000041</v>
      </c>
    </row>
    <row r="132" spans="11:12" x14ac:dyDescent="0.45">
      <c r="K132" s="36">
        <v>130</v>
      </c>
      <c r="L132" s="95">
        <v>512.20000000000039</v>
      </c>
    </row>
    <row r="133" spans="11:12" x14ac:dyDescent="0.45">
      <c r="K133" s="36">
        <v>131</v>
      </c>
      <c r="L133" s="95">
        <v>465.20000000000039</v>
      </c>
    </row>
    <row r="134" spans="11:12" x14ac:dyDescent="0.45">
      <c r="K134" s="36">
        <v>132</v>
      </c>
      <c r="L134" s="95">
        <v>452.20000000000039</v>
      </c>
    </row>
    <row r="135" spans="11:12" x14ac:dyDescent="0.45">
      <c r="K135" s="36">
        <v>133</v>
      </c>
      <c r="L135" s="95">
        <v>512.90000000000043</v>
      </c>
    </row>
    <row r="136" spans="11:12" x14ac:dyDescent="0.45">
      <c r="K136" s="36">
        <v>134</v>
      </c>
      <c r="L136" s="95">
        <v>544.10000000000048</v>
      </c>
    </row>
    <row r="137" spans="11:12" x14ac:dyDescent="0.45">
      <c r="K137" s="36">
        <v>135</v>
      </c>
      <c r="L137" s="95">
        <v>548.60000000000048</v>
      </c>
    </row>
    <row r="138" spans="11:12" x14ac:dyDescent="0.45">
      <c r="K138" s="36">
        <v>136</v>
      </c>
      <c r="L138" s="95">
        <v>555.10000000000048</v>
      </c>
    </row>
    <row r="139" spans="11:12" x14ac:dyDescent="0.45">
      <c r="K139" s="36">
        <v>137</v>
      </c>
      <c r="L139" s="95">
        <v>588.50000000000045</v>
      </c>
    </row>
    <row r="140" spans="11:12" x14ac:dyDescent="0.45">
      <c r="K140" s="36">
        <v>138</v>
      </c>
      <c r="L140" s="95">
        <v>556.7000000000005</v>
      </c>
    </row>
    <row r="141" spans="11:12" x14ac:dyDescent="0.45">
      <c r="K141" s="36">
        <v>139</v>
      </c>
      <c r="L141" s="95">
        <v>581.90000000000055</v>
      </c>
    </row>
    <row r="142" spans="11:12" x14ac:dyDescent="0.45">
      <c r="K142" s="36">
        <v>140</v>
      </c>
      <c r="L142" s="95">
        <v>587.90000000000055</v>
      </c>
    </row>
    <row r="143" spans="11:12" x14ac:dyDescent="0.45">
      <c r="K143" s="36">
        <v>141</v>
      </c>
      <c r="L143" s="95">
        <v>534.90000000000055</v>
      </c>
    </row>
    <row r="144" spans="11:12" x14ac:dyDescent="0.45">
      <c r="K144" s="36">
        <v>142</v>
      </c>
      <c r="L144" s="95">
        <v>551.50000000000057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D994-61CE-4A39-9561-47860AF532FE}">
  <sheetPr codeName="Sheet17"/>
  <dimension ref="A1:Q15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149</v>
      </c>
      <c r="C2" s="155"/>
      <c r="E2" s="58" t="s">
        <v>66</v>
      </c>
      <c r="F2" s="55" t="s">
        <v>22</v>
      </c>
      <c r="G2" s="43">
        <v>248</v>
      </c>
      <c r="H2" s="128">
        <f>IF(B$15=0,0,G2/B$15)</f>
        <v>0.73809523809523814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-95.973154362416111</v>
      </c>
      <c r="P2" s="114">
        <v>149</v>
      </c>
      <c r="Q2" s="98">
        <v>-14300</v>
      </c>
    </row>
    <row r="3" spans="1:17" x14ac:dyDescent="0.45">
      <c r="A3" s="51" t="s">
        <v>8</v>
      </c>
      <c r="B3" s="156">
        <v>1203</v>
      </c>
      <c r="C3" s="157"/>
      <c r="E3" s="59" t="s">
        <v>72</v>
      </c>
      <c r="F3" s="56" t="s">
        <v>27</v>
      </c>
      <c r="G3" s="44">
        <v>187</v>
      </c>
      <c r="H3" s="129">
        <f>IF(B$15=0,0,G3/B$15)</f>
        <v>0.55654761904761907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334.48275862068965</v>
      </c>
      <c r="P3" s="115">
        <v>145</v>
      </c>
      <c r="Q3" s="99">
        <v>48500</v>
      </c>
    </row>
    <row r="4" spans="1:17" x14ac:dyDescent="0.45">
      <c r="A4" s="51" t="s">
        <v>6</v>
      </c>
      <c r="B4" s="158">
        <v>-107.79999999999998</v>
      </c>
      <c r="C4" s="159"/>
      <c r="E4" s="59" t="s">
        <v>64</v>
      </c>
      <c r="F4" s="56" t="s">
        <v>20</v>
      </c>
      <c r="G4" s="44">
        <v>166</v>
      </c>
      <c r="H4" s="129">
        <f>IF(B$15=0,0,G4/B$15)</f>
        <v>0.49404761904761907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-108.75912408759125</v>
      </c>
      <c r="P4" s="115">
        <v>137</v>
      </c>
      <c r="Q4" s="99">
        <v>-14900</v>
      </c>
    </row>
    <row r="5" spans="1:17" x14ac:dyDescent="0.45">
      <c r="A5" s="51" t="s">
        <v>7</v>
      </c>
      <c r="B5" s="160">
        <f>IF(B$2=0,0,B$4/B$2)</f>
        <v>-0.72348993288590591</v>
      </c>
      <c r="C5" s="161"/>
      <c r="E5" s="59" t="s">
        <v>166</v>
      </c>
      <c r="F5" s="56" t="s">
        <v>167</v>
      </c>
      <c r="G5" s="44">
        <v>149</v>
      </c>
      <c r="H5" s="129">
        <f>IF(B$15=0,0,G5/B$15)</f>
        <v>0.44345238095238093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362.69841269841271</v>
      </c>
      <c r="P5" s="115">
        <v>126</v>
      </c>
      <c r="Q5" s="99">
        <v>45700</v>
      </c>
    </row>
    <row r="6" spans="1:17" x14ac:dyDescent="0.45">
      <c r="A6" s="51" t="s">
        <v>1</v>
      </c>
      <c r="B6" s="150">
        <f>IF(B$2=0,0,(B$7*1+B$8*2+B$9*3)/B$2)</f>
        <v>2.0536912751677852</v>
      </c>
      <c r="C6" s="151"/>
      <c r="E6" s="59" t="s">
        <v>67</v>
      </c>
      <c r="F6" s="56" t="s">
        <v>23</v>
      </c>
      <c r="G6" s="44">
        <v>113</v>
      </c>
      <c r="H6" s="129">
        <f>IF(B$15=0,0,G6/B$15)</f>
        <v>0.33630952380952384</v>
      </c>
      <c r="I6" s="90">
        <v>5</v>
      </c>
      <c r="K6" s="36">
        <v>4</v>
      </c>
      <c r="L6" s="95">
        <v>-19.3</v>
      </c>
      <c r="N6" s="111" t="s">
        <v>134</v>
      </c>
      <c r="O6" s="118">
        <f t="shared" si="0"/>
        <v>29.565217391304348</v>
      </c>
      <c r="P6" s="115">
        <v>115</v>
      </c>
      <c r="Q6" s="99">
        <v>3400</v>
      </c>
    </row>
    <row r="7" spans="1:17" x14ac:dyDescent="0.45">
      <c r="A7" s="51" t="s">
        <v>2</v>
      </c>
      <c r="B7" s="44">
        <v>37</v>
      </c>
      <c r="C7" s="37">
        <f t="shared" ref="C7:C10" si="1">IF(B$2=0,0,B7/B$2)</f>
        <v>0.24832214765100671</v>
      </c>
      <c r="E7" s="59" t="s">
        <v>68</v>
      </c>
      <c r="F7" s="56" t="s">
        <v>12</v>
      </c>
      <c r="G7" s="44">
        <v>106</v>
      </c>
      <c r="H7" s="129">
        <f>IF(B$15=0,0,G7/B$15)</f>
        <v>0.31547619047619047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-822.68041237113403</v>
      </c>
      <c r="P7" s="116">
        <v>97</v>
      </c>
      <c r="Q7" s="100">
        <v>-79800</v>
      </c>
    </row>
    <row r="8" spans="1:17" x14ac:dyDescent="0.45">
      <c r="A8" s="51" t="s">
        <v>3</v>
      </c>
      <c r="B8" s="44">
        <v>67</v>
      </c>
      <c r="C8" s="37">
        <f t="shared" si="1"/>
        <v>0.44966442953020136</v>
      </c>
      <c r="E8" s="59" t="s">
        <v>89</v>
      </c>
      <c r="F8" s="56" t="s">
        <v>44</v>
      </c>
      <c r="G8" s="44">
        <v>46</v>
      </c>
      <c r="H8" s="129">
        <f>IF(B$15=0,0,G8/B$15)</f>
        <v>0.13690476190476192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45</v>
      </c>
      <c r="C9" s="38">
        <f t="shared" si="1"/>
        <v>0.30201342281879195</v>
      </c>
      <c r="E9" s="59" t="s">
        <v>69</v>
      </c>
      <c r="F9" s="56" t="s">
        <v>24</v>
      </c>
      <c r="G9" s="44">
        <v>45</v>
      </c>
      <c r="H9" s="129">
        <f>IF(B$15=0,0,G9/B$15)</f>
        <v>0.13392857142857142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11</v>
      </c>
      <c r="C10" s="40">
        <f t="shared" si="1"/>
        <v>7.3825503355704702E-2</v>
      </c>
      <c r="E10" s="59" t="s">
        <v>71</v>
      </c>
      <c r="F10" s="56" t="s">
        <v>26</v>
      </c>
      <c r="G10" s="44">
        <v>32</v>
      </c>
      <c r="H10" s="129">
        <f>IF(B$15=0,0,G10/B$15)</f>
        <v>9.5238095238095233E-2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-3.432786885245902</v>
      </c>
      <c r="P10" s="114">
        <v>61</v>
      </c>
      <c r="Q10" s="102">
        <v>-209.40000000000003</v>
      </c>
    </row>
    <row r="11" spans="1:17" x14ac:dyDescent="0.45">
      <c r="A11" s="54" t="s">
        <v>121</v>
      </c>
      <c r="B11" s="47">
        <v>309</v>
      </c>
      <c r="C11" s="42">
        <f>IF(B$3=0,0,B11/B$3)</f>
        <v>0.256857855361596</v>
      </c>
      <c r="E11" s="59" t="s">
        <v>65</v>
      </c>
      <c r="F11" s="56" t="s">
        <v>21</v>
      </c>
      <c r="G11" s="44">
        <v>28</v>
      </c>
      <c r="H11" s="129">
        <f>IF(B$15=0,0,G11/B$15)</f>
        <v>8.3333333333333329E-2</v>
      </c>
      <c r="I11" s="90">
        <v>11</v>
      </c>
      <c r="K11" s="36">
        <v>9</v>
      </c>
      <c r="L11" s="95">
        <v>-90.9</v>
      </c>
      <c r="N11" s="111" t="s">
        <v>158</v>
      </c>
      <c r="O11" s="121">
        <f>IF(P11=0,0,Q11/P11)</f>
        <v>1.6413043478260876</v>
      </c>
      <c r="P11" s="115">
        <v>46</v>
      </c>
      <c r="Q11" s="103">
        <v>75.500000000000028</v>
      </c>
    </row>
    <row r="12" spans="1:17" x14ac:dyDescent="0.45">
      <c r="A12" s="51" t="s">
        <v>118</v>
      </c>
      <c r="B12" s="44">
        <v>278</v>
      </c>
      <c r="C12" s="37">
        <f>IF(B$3=0,0,B12/B$3)</f>
        <v>0.23108894430590191</v>
      </c>
      <c r="E12" s="59" t="s">
        <v>70</v>
      </c>
      <c r="F12" s="56" t="s">
        <v>25</v>
      </c>
      <c r="G12" s="44">
        <v>24</v>
      </c>
      <c r="H12" s="129">
        <f>IF(B$15=0,0,G12/B$15)</f>
        <v>7.1428571428571425E-2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0.62142857142857111</v>
      </c>
      <c r="P12" s="116">
        <v>42</v>
      </c>
      <c r="Q12" s="104">
        <v>26.099999999999987</v>
      </c>
    </row>
    <row r="13" spans="1:17" x14ac:dyDescent="0.45">
      <c r="A13" s="50" t="s">
        <v>123</v>
      </c>
      <c r="B13" s="43">
        <f>B19</f>
        <v>172</v>
      </c>
      <c r="C13" s="35">
        <f>IF(B$11=0,0,B13/B$11)</f>
        <v>0.55663430420711979</v>
      </c>
      <c r="E13" s="59" t="s">
        <v>86</v>
      </c>
      <c r="F13" s="56" t="s">
        <v>41</v>
      </c>
      <c r="G13" s="44">
        <v>17</v>
      </c>
      <c r="H13" s="129">
        <f>IF(B$15=0,0,G13/B$15)</f>
        <v>5.0595238095238096E-2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117</v>
      </c>
      <c r="C14" s="35">
        <f>IF(B$12=0,0,B14/B$12)</f>
        <v>0.42086330935251798</v>
      </c>
      <c r="E14" s="59" t="s">
        <v>83</v>
      </c>
      <c r="F14" s="56" t="s">
        <v>38</v>
      </c>
      <c r="G14" s="44">
        <v>13</v>
      </c>
      <c r="H14" s="129">
        <f>IF(B$15=0,0,G14/B$15)</f>
        <v>3.8690476190476192E-2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336</v>
      </c>
      <c r="C15" s="35">
        <f>IF(B$3=0,0,B15/B$3)</f>
        <v>0.2793017456359102</v>
      </c>
      <c r="E15" s="59" t="s">
        <v>79</v>
      </c>
      <c r="F15" s="56" t="s">
        <v>34</v>
      </c>
      <c r="G15" s="44">
        <v>7</v>
      </c>
      <c r="H15" s="129">
        <f>IF(B$15=0,0,G15/B$15)</f>
        <v>2.0833333333333332E-2</v>
      </c>
      <c r="I15" s="90">
        <v>4</v>
      </c>
      <c r="K15" s="36">
        <v>13</v>
      </c>
      <c r="L15" s="95">
        <v>-68.399999999999991</v>
      </c>
      <c r="N15" s="110" t="s">
        <v>228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168</v>
      </c>
      <c r="C16" s="37">
        <f>IF(B$3=0,0,B16/B$3)</f>
        <v>0.1396508728179551</v>
      </c>
      <c r="E16" s="59" t="s">
        <v>78</v>
      </c>
      <c r="F16" s="56" t="s">
        <v>33</v>
      </c>
      <c r="G16" s="44">
        <v>6</v>
      </c>
      <c r="H16" s="129">
        <f>IF(B$15=0,0,G16/B$15)</f>
        <v>1.7857142857142856E-2</v>
      </c>
      <c r="I16" s="90">
        <v>7</v>
      </c>
      <c r="K16" s="36">
        <v>14</v>
      </c>
      <c r="L16" s="95">
        <v>-25.79999999999999</v>
      </c>
      <c r="N16" s="111" t="s">
        <v>203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150</v>
      </c>
      <c r="C17" s="37">
        <f>IF(B$15=0,0,B17/B$15)</f>
        <v>0.44642857142857145</v>
      </c>
      <c r="E17" s="59" t="s">
        <v>162</v>
      </c>
      <c r="F17" s="56" t="s">
        <v>163</v>
      </c>
      <c r="G17" s="44">
        <v>6</v>
      </c>
      <c r="H17" s="129">
        <f>IF(B$15=0,0,G17/B$15)</f>
        <v>1.7857142857142856E-2</v>
      </c>
      <c r="I17" s="90">
        <v>4</v>
      </c>
      <c r="K17" s="36">
        <v>15</v>
      </c>
      <c r="L17" s="95">
        <v>-35.499999999999986</v>
      </c>
      <c r="N17" s="111" t="s">
        <v>197</v>
      </c>
      <c r="O17" s="121">
        <f>IF(P17=0,0,Q17/P17)</f>
        <v>16.860714285714284</v>
      </c>
      <c r="P17" s="115">
        <v>28</v>
      </c>
      <c r="Q17" s="103">
        <v>472.09999999999997</v>
      </c>
    </row>
    <row r="18" spans="1:17" x14ac:dyDescent="0.45">
      <c r="A18" s="51" t="s">
        <v>11</v>
      </c>
      <c r="B18" s="44">
        <v>186</v>
      </c>
      <c r="C18" s="37">
        <f>IF(B$15=0,0,B18/B$15)</f>
        <v>0.5535714285714286</v>
      </c>
      <c r="E18" s="59" t="s">
        <v>73</v>
      </c>
      <c r="F18" s="56" t="s">
        <v>28</v>
      </c>
      <c r="G18" s="44">
        <v>5</v>
      </c>
      <c r="H18" s="129">
        <f>IF(B$15=0,0,G18/B$15)</f>
        <v>1.488095238095238E-2</v>
      </c>
      <c r="I18" s="90">
        <v>1</v>
      </c>
      <c r="K18" s="36">
        <v>16</v>
      </c>
      <c r="L18" s="95">
        <v>-35.599999999999987</v>
      </c>
      <c r="N18" s="111" t="s">
        <v>172</v>
      </c>
      <c r="O18" s="121">
        <f>IF(P18=0,0,Q18/P18)</f>
        <v>15.66923076923077</v>
      </c>
      <c r="P18" s="115">
        <v>26</v>
      </c>
      <c r="Q18" s="103">
        <v>407.40000000000003</v>
      </c>
    </row>
    <row r="19" spans="1:17" x14ac:dyDescent="0.45">
      <c r="A19" s="51" t="s">
        <v>195</v>
      </c>
      <c r="B19" s="44">
        <v>172</v>
      </c>
      <c r="C19" s="37">
        <f>IF(B$15=0,0,B19/B$15)</f>
        <v>0.51190476190476186</v>
      </c>
      <c r="E19" s="59" t="s">
        <v>81</v>
      </c>
      <c r="F19" s="56" t="s">
        <v>36</v>
      </c>
      <c r="G19" s="44">
        <v>5</v>
      </c>
      <c r="H19" s="129">
        <f>IF(B$15=0,0,G19/B$15)</f>
        <v>1.488095238095238E-2</v>
      </c>
      <c r="I19" s="90">
        <v>10</v>
      </c>
      <c r="K19" s="36">
        <v>17</v>
      </c>
      <c r="L19" s="95">
        <v>-29.799999999999986</v>
      </c>
      <c r="N19" s="111" t="s">
        <v>196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117</v>
      </c>
      <c r="C20" s="37">
        <f>IF(B$15=0,0,B20/B$15)</f>
        <v>0.3482142857142857</v>
      </c>
      <c r="E20" s="59" t="s">
        <v>85</v>
      </c>
      <c r="F20" s="56" t="s">
        <v>40</v>
      </c>
      <c r="G20" s="44">
        <v>3</v>
      </c>
      <c r="H20" s="129">
        <f>IF(B$15=0,0,G20/B$15)</f>
        <v>8.9285714285714281E-3</v>
      </c>
      <c r="I20" s="90">
        <v>4</v>
      </c>
      <c r="K20" s="36">
        <v>18</v>
      </c>
      <c r="L20" s="95">
        <v>-62.399999999999991</v>
      </c>
      <c r="N20" s="111" t="s">
        <v>280</v>
      </c>
      <c r="O20" s="121">
        <f>IF(P20=0,0,Q20/P20)</f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47</v>
      </c>
      <c r="C21" s="37">
        <f>IF(B$15=0,0,B21/B$15)</f>
        <v>0.13988095238095238</v>
      </c>
      <c r="E21" s="59" t="s">
        <v>91</v>
      </c>
      <c r="F21" s="56" t="s">
        <v>46</v>
      </c>
      <c r="G21" s="44">
        <v>3</v>
      </c>
      <c r="H21" s="129">
        <f>IF(B$15=0,0,G21/B$15)</f>
        <v>8.9285714285714281E-3</v>
      </c>
      <c r="I21" s="90">
        <v>8</v>
      </c>
      <c r="K21" s="36">
        <v>19</v>
      </c>
      <c r="L21" s="95">
        <v>-56.399999999999991</v>
      </c>
      <c r="N21" s="111" t="s">
        <v>127</v>
      </c>
      <c r="O21" s="121">
        <f>IF(P21=0,0,Q21/P21)</f>
        <v>3.2271186440677964</v>
      </c>
      <c r="P21" s="115">
        <v>59</v>
      </c>
      <c r="Q21" s="103">
        <v>190.39999999999998</v>
      </c>
    </row>
    <row r="22" spans="1:17" x14ac:dyDescent="0.45">
      <c r="A22" s="51" t="s">
        <v>5</v>
      </c>
      <c r="B22" s="48">
        <f>IF(B$15=0,0,C22/B$15)</f>
        <v>8404.7619047619046</v>
      </c>
      <c r="C22" s="39">
        <v>2824000</v>
      </c>
      <c r="E22" s="59" t="s">
        <v>75</v>
      </c>
      <c r="F22" s="56" t="s">
        <v>30</v>
      </c>
      <c r="G22" s="44">
        <v>2</v>
      </c>
      <c r="H22" s="129">
        <f>IF(B$15=0,0,G22/B$15)</f>
        <v>5.9523809523809521E-3</v>
      </c>
      <c r="I22" s="90">
        <v>8</v>
      </c>
      <c r="K22" s="36">
        <v>20</v>
      </c>
      <c r="L22" s="95">
        <v>-93.199999999999989</v>
      </c>
      <c r="N22" s="111" t="s">
        <v>161</v>
      </c>
      <c r="O22" s="121">
        <f>IF(P22=0,0,Q22/P22)</f>
        <v>1.6968750000000004</v>
      </c>
      <c r="P22" s="115">
        <v>32</v>
      </c>
      <c r="Q22" s="103">
        <v>54.300000000000011</v>
      </c>
    </row>
    <row r="23" spans="1:17" x14ac:dyDescent="0.45">
      <c r="A23" s="52" t="s">
        <v>177</v>
      </c>
      <c r="B23" s="136">
        <f>IF($B$15-B$14=0,0,C23/($B$15-B$14))</f>
        <v>9427.8538812785391</v>
      </c>
      <c r="C23" s="137">
        <v>2064700</v>
      </c>
      <c r="E23" s="59" t="s">
        <v>88</v>
      </c>
      <c r="F23" s="56" t="s">
        <v>43</v>
      </c>
      <c r="G23" s="44">
        <v>2</v>
      </c>
      <c r="H23" s="129">
        <f>IF(B$15=0,0,G23/B$15)</f>
        <v>5.9523809523809521E-3</v>
      </c>
      <c r="I23" s="90">
        <v>2</v>
      </c>
      <c r="K23" s="36">
        <v>21</v>
      </c>
      <c r="L23" s="95">
        <v>-123.69999999999999</v>
      </c>
      <c r="N23" s="111" t="s">
        <v>170</v>
      </c>
      <c r="O23" s="121">
        <f>IF(P23=0,0,Q23/P23)</f>
        <v>-10.381818181818181</v>
      </c>
      <c r="P23" s="115">
        <v>66</v>
      </c>
      <c r="Q23" s="103">
        <v>-685.19999999999993</v>
      </c>
    </row>
    <row r="24" spans="1:17" x14ac:dyDescent="0.45">
      <c r="A24" s="52" t="s">
        <v>178</v>
      </c>
      <c r="B24" s="136">
        <f>IF(B$14=0,0,C24/B$14)</f>
        <v>6489.7435897435898</v>
      </c>
      <c r="C24" s="137">
        <v>759300</v>
      </c>
      <c r="E24" s="59" t="s">
        <v>92</v>
      </c>
      <c r="F24" s="56" t="s">
        <v>47</v>
      </c>
      <c r="G24" s="44">
        <v>2</v>
      </c>
      <c r="H24" s="129">
        <f>IF(B$15=0,0,G24/B$15)</f>
        <v>5.9523809523809521E-3</v>
      </c>
      <c r="I24" s="90">
        <v>6</v>
      </c>
      <c r="K24" s="36">
        <v>22</v>
      </c>
      <c r="L24" s="95">
        <v>-66.999999999999986</v>
      </c>
      <c r="N24" s="111" t="s">
        <v>126</v>
      </c>
      <c r="O24" s="121">
        <f>IF(P24=0,0,Q24/P24)</f>
        <v>-14.12638888888889</v>
      </c>
      <c r="P24" s="115">
        <v>72</v>
      </c>
      <c r="Q24" s="103">
        <v>-1017.1000000000001</v>
      </c>
    </row>
    <row r="25" spans="1:17" x14ac:dyDescent="0.45">
      <c r="A25" s="52" t="s">
        <v>176</v>
      </c>
      <c r="B25" s="136">
        <f>IF(B$16=0,0,C25/B$16)</f>
        <v>-7115.4761904761908</v>
      </c>
      <c r="C25" s="137">
        <v>-1195400</v>
      </c>
      <c r="E25" s="59" t="s">
        <v>74</v>
      </c>
      <c r="F25" s="56" t="s">
        <v>29</v>
      </c>
      <c r="G25" s="44">
        <v>1</v>
      </c>
      <c r="H25" s="129">
        <f>IF(B$15=0,0,G25/B$15)</f>
        <v>2.976190476190476E-3</v>
      </c>
      <c r="I25" s="90">
        <v>6</v>
      </c>
      <c r="K25" s="36">
        <v>23</v>
      </c>
      <c r="L25" s="95">
        <v>-59.599999999999987</v>
      </c>
      <c r="N25" s="111" t="s">
        <v>274</v>
      </c>
      <c r="O25" s="121">
        <f>IF(P25=0,0,Q25/P25)</f>
        <v>-38.25</v>
      </c>
      <c r="P25" s="115">
        <v>2</v>
      </c>
      <c r="Q25" s="103">
        <v>-76.5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87</v>
      </c>
      <c r="F26" s="56" t="s">
        <v>42</v>
      </c>
      <c r="G26" s="44">
        <v>1</v>
      </c>
      <c r="H26" s="129">
        <f>IF(B$15=0,0,G26/B$15)</f>
        <v>2.976190476190476E-3</v>
      </c>
      <c r="I26" s="90">
        <v>4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2</v>
      </c>
      <c r="E27" s="59" t="s">
        <v>93</v>
      </c>
      <c r="F27" s="56" t="s">
        <v>48</v>
      </c>
      <c r="G27" s="44">
        <v>1</v>
      </c>
      <c r="H27" s="129">
        <f>IF(B$15=0,0,G27/B$15)</f>
        <v>2.976190476190476E-3</v>
      </c>
      <c r="I27" s="90">
        <v>3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101</v>
      </c>
      <c r="F28" s="56" t="s">
        <v>56</v>
      </c>
      <c r="G28" s="44">
        <v>1</v>
      </c>
      <c r="H28" s="129">
        <f>IF(B$15=0,0,G28/B$15)</f>
        <v>2.976190476190476E-3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1.6625103906899418E-3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-61.29999999999999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20</v>
      </c>
      <c r="C32" s="141">
        <f>IF(B$15=0,0,B32/B$15)</f>
        <v>5.9523809523809521E-2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62</v>
      </c>
      <c r="C33" s="37">
        <f t="shared" ref="C33:C44" si="2">IF(B$15=0,0,B33/B$15)</f>
        <v>0.18452380952380953</v>
      </c>
      <c r="E33" s="59" t="s">
        <v>84</v>
      </c>
      <c r="F33" s="56" t="s">
        <v>39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67</v>
      </c>
      <c r="C34" s="37">
        <f>IF(B$15=0,0,B34/B$15)</f>
        <v>0.19940476190476192</v>
      </c>
      <c r="E34" s="59" t="s">
        <v>90</v>
      </c>
      <c r="F34" s="56" t="s">
        <v>45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61</v>
      </c>
      <c r="C35" s="37">
        <f t="shared" si="2"/>
        <v>0.18154761904761904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48</v>
      </c>
      <c r="C36" s="37">
        <f t="shared" si="2"/>
        <v>0.14285714285714285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39</v>
      </c>
      <c r="C37" s="37">
        <f t="shared" si="2"/>
        <v>0.11607142857142858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19</v>
      </c>
      <c r="C38" s="37">
        <f t="shared" si="2"/>
        <v>5.6547619047619048E-2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8</v>
      </c>
      <c r="C39" s="37">
        <f t="shared" si="2"/>
        <v>2.3809523809523808E-2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2"/>
        <v>8.9285714285714281E-3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2"/>
        <v>5.9523809523809521E-3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2"/>
        <v>2.976190476190476E-3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2"/>
        <v>5.9523809523809521E-3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4</v>
      </c>
      <c r="C44" s="40">
        <f t="shared" si="2"/>
        <v>1.1904761904761904E-2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  <row r="121" spans="11:12" x14ac:dyDescent="0.45">
      <c r="K121" s="36">
        <v>119</v>
      </c>
      <c r="L121" s="95">
        <v>96.600000000000009</v>
      </c>
    </row>
    <row r="122" spans="11:12" x14ac:dyDescent="0.45">
      <c r="K122" s="36">
        <v>120</v>
      </c>
      <c r="L122" s="95">
        <v>66.700000000000017</v>
      </c>
    </row>
    <row r="123" spans="11:12" x14ac:dyDescent="0.45">
      <c r="K123" s="36">
        <v>121</v>
      </c>
      <c r="L123" s="95">
        <v>34.200000000000017</v>
      </c>
    </row>
    <row r="124" spans="11:12" x14ac:dyDescent="0.45">
      <c r="K124" s="36">
        <v>122</v>
      </c>
      <c r="L124" s="95">
        <v>0.10000000000001563</v>
      </c>
    </row>
    <row r="125" spans="11:12" x14ac:dyDescent="0.45">
      <c r="K125" s="36">
        <v>123</v>
      </c>
      <c r="L125" s="95">
        <v>-36.999999999999986</v>
      </c>
    </row>
    <row r="126" spans="11:12" x14ac:dyDescent="0.45">
      <c r="K126" s="36">
        <v>124</v>
      </c>
      <c r="L126" s="95">
        <v>-66.899999999999977</v>
      </c>
    </row>
    <row r="127" spans="11:12" x14ac:dyDescent="0.45">
      <c r="K127" s="36">
        <v>125</v>
      </c>
      <c r="L127" s="95">
        <v>-84.899999999999977</v>
      </c>
    </row>
    <row r="128" spans="11:12" x14ac:dyDescent="0.45">
      <c r="K128" s="36">
        <v>126</v>
      </c>
      <c r="L128" s="95">
        <v>-132.19999999999999</v>
      </c>
    </row>
    <row r="129" spans="11:12" x14ac:dyDescent="0.45">
      <c r="K129" s="36">
        <v>127</v>
      </c>
      <c r="L129" s="95">
        <v>-132.5</v>
      </c>
    </row>
    <row r="130" spans="11:12" x14ac:dyDescent="0.45">
      <c r="K130" s="36">
        <v>128</v>
      </c>
      <c r="L130" s="95">
        <v>-181.1</v>
      </c>
    </row>
    <row r="131" spans="11:12" x14ac:dyDescent="0.45">
      <c r="K131" s="36">
        <v>129</v>
      </c>
      <c r="L131" s="95">
        <v>-210.29999999999998</v>
      </c>
    </row>
    <row r="132" spans="11:12" x14ac:dyDescent="0.45">
      <c r="K132" s="36">
        <v>130</v>
      </c>
      <c r="L132" s="95">
        <v>-230.89999999999998</v>
      </c>
    </row>
    <row r="133" spans="11:12" x14ac:dyDescent="0.45">
      <c r="K133" s="36">
        <v>131</v>
      </c>
      <c r="L133" s="95">
        <v>-242.39999999999998</v>
      </c>
    </row>
    <row r="134" spans="11:12" x14ac:dyDescent="0.45">
      <c r="K134" s="36">
        <v>132</v>
      </c>
      <c r="L134" s="95">
        <v>-238.2</v>
      </c>
    </row>
    <row r="135" spans="11:12" x14ac:dyDescent="0.45">
      <c r="K135" s="36">
        <v>133</v>
      </c>
      <c r="L135" s="95">
        <v>-227.5</v>
      </c>
    </row>
    <row r="136" spans="11:12" x14ac:dyDescent="0.45">
      <c r="K136" s="36">
        <v>134</v>
      </c>
      <c r="L136" s="95">
        <v>-193.6</v>
      </c>
    </row>
    <row r="137" spans="11:12" x14ac:dyDescent="0.45">
      <c r="K137" s="36">
        <v>135</v>
      </c>
      <c r="L137" s="95">
        <v>-212.1</v>
      </c>
    </row>
    <row r="138" spans="11:12" x14ac:dyDescent="0.45">
      <c r="K138" s="36">
        <v>136</v>
      </c>
      <c r="L138" s="95">
        <v>-179.1</v>
      </c>
    </row>
    <row r="139" spans="11:12" x14ac:dyDescent="0.45">
      <c r="K139" s="36">
        <v>137</v>
      </c>
      <c r="L139" s="95">
        <v>-152.29999999999998</v>
      </c>
    </row>
    <row r="140" spans="11:12" x14ac:dyDescent="0.45">
      <c r="K140" s="36">
        <v>138</v>
      </c>
      <c r="L140" s="95">
        <v>-162.49999999999997</v>
      </c>
    </row>
    <row r="141" spans="11:12" x14ac:dyDescent="0.45">
      <c r="K141" s="36">
        <v>139</v>
      </c>
      <c r="L141" s="95">
        <v>-150.29999999999998</v>
      </c>
    </row>
    <row r="142" spans="11:12" x14ac:dyDescent="0.45">
      <c r="K142" s="36">
        <v>140</v>
      </c>
      <c r="L142" s="95">
        <v>-96.799999999999983</v>
      </c>
    </row>
    <row r="143" spans="11:12" x14ac:dyDescent="0.45">
      <c r="K143" s="36">
        <v>141</v>
      </c>
      <c r="L143" s="95">
        <v>-105.99999999999999</v>
      </c>
    </row>
    <row r="144" spans="11:12" x14ac:dyDescent="0.45">
      <c r="K144" s="36">
        <v>142</v>
      </c>
      <c r="L144" s="95">
        <v>-142.29999999999998</v>
      </c>
    </row>
    <row r="145" spans="11:12" x14ac:dyDescent="0.45">
      <c r="K145" s="36">
        <v>143</v>
      </c>
      <c r="L145" s="95">
        <v>-141.49999999999997</v>
      </c>
    </row>
    <row r="146" spans="11:12" x14ac:dyDescent="0.45">
      <c r="K146" s="36">
        <v>144</v>
      </c>
      <c r="L146" s="95">
        <v>-96.699999999999974</v>
      </c>
    </row>
    <row r="147" spans="11:12" x14ac:dyDescent="0.45">
      <c r="K147" s="36">
        <v>145</v>
      </c>
      <c r="L147" s="95">
        <v>-40.299999999999976</v>
      </c>
    </row>
    <row r="148" spans="11:12" x14ac:dyDescent="0.45">
      <c r="K148" s="36">
        <v>146</v>
      </c>
      <c r="L148" s="95">
        <v>-28.099999999999977</v>
      </c>
    </row>
    <row r="149" spans="11:12" x14ac:dyDescent="0.45">
      <c r="K149" s="36">
        <v>147</v>
      </c>
      <c r="L149" s="95">
        <v>-66.09999999999998</v>
      </c>
    </row>
    <row r="150" spans="11:12" x14ac:dyDescent="0.45">
      <c r="K150" s="36">
        <v>148</v>
      </c>
      <c r="L150" s="95">
        <v>-54.59999999999998</v>
      </c>
    </row>
    <row r="151" spans="11:12" x14ac:dyDescent="0.45">
      <c r="K151" s="36">
        <v>149</v>
      </c>
      <c r="L151" s="95">
        <v>-107.79999999999998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66C1-91BC-4E9F-BD5F-061B3ABF088E}">
  <sheetPr codeName="Sheet19"/>
  <dimension ref="A1:Q6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65</v>
      </c>
      <c r="C2" s="155"/>
      <c r="E2" s="58" t="s">
        <v>66</v>
      </c>
      <c r="F2" s="55" t="s">
        <v>22</v>
      </c>
      <c r="G2" s="43">
        <v>96</v>
      </c>
      <c r="H2" s="128">
        <f>IF(B$15=0,0,G2/B$15)</f>
        <v>0.68571428571428572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-2886.1538461538462</v>
      </c>
      <c r="P2" s="114">
        <v>65</v>
      </c>
      <c r="Q2" s="98">
        <v>-187600</v>
      </c>
    </row>
    <row r="3" spans="1:17" x14ac:dyDescent="0.45">
      <c r="A3" s="51" t="s">
        <v>8</v>
      </c>
      <c r="B3" s="156">
        <v>540</v>
      </c>
      <c r="C3" s="157"/>
      <c r="E3" s="59" t="s">
        <v>72</v>
      </c>
      <c r="F3" s="56" t="s">
        <v>27</v>
      </c>
      <c r="G3" s="44">
        <v>92</v>
      </c>
      <c r="H3" s="129">
        <f>IF(B$15=0,0,G3/B$15)</f>
        <v>0.65714285714285714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1089.2307692307693</v>
      </c>
      <c r="P3" s="115">
        <v>65</v>
      </c>
      <c r="Q3" s="99">
        <v>70800</v>
      </c>
    </row>
    <row r="4" spans="1:17" x14ac:dyDescent="0.45">
      <c r="A4" s="51" t="s">
        <v>6</v>
      </c>
      <c r="B4" s="158">
        <v>-668.90000000000009</v>
      </c>
      <c r="C4" s="159"/>
      <c r="E4" s="59" t="s">
        <v>64</v>
      </c>
      <c r="F4" s="56" t="s">
        <v>20</v>
      </c>
      <c r="G4" s="44">
        <v>56</v>
      </c>
      <c r="H4" s="129">
        <f>IF(B$15=0,0,G4/B$15)</f>
        <v>0.4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-591.93548387096769</v>
      </c>
      <c r="P4" s="115">
        <v>62</v>
      </c>
      <c r="Q4" s="99">
        <v>-36700</v>
      </c>
    </row>
    <row r="5" spans="1:17" x14ac:dyDescent="0.45">
      <c r="A5" s="51" t="s">
        <v>7</v>
      </c>
      <c r="B5" s="160">
        <f>IF(B$2=0,0,B$4/B$2)</f>
        <v>-10.290769230769232</v>
      </c>
      <c r="C5" s="161"/>
      <c r="E5" s="59" t="s">
        <v>166</v>
      </c>
      <c r="F5" s="56" t="s">
        <v>167</v>
      </c>
      <c r="G5" s="44">
        <v>47</v>
      </c>
      <c r="H5" s="129">
        <f>IF(B$15=0,0,G5/B$15)</f>
        <v>0.33571428571428569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-1503.5714285714287</v>
      </c>
      <c r="P5" s="115">
        <v>56</v>
      </c>
      <c r="Q5" s="99">
        <v>-84200</v>
      </c>
    </row>
    <row r="6" spans="1:17" x14ac:dyDescent="0.45">
      <c r="A6" s="51" t="s">
        <v>1</v>
      </c>
      <c r="B6" s="150">
        <f>IF(B$2=0,0,(B$7*1+B$8*2+B$9*3)/B$2)</f>
        <v>2.2615384615384615</v>
      </c>
      <c r="C6" s="151"/>
      <c r="E6" s="59" t="s">
        <v>68</v>
      </c>
      <c r="F6" s="56" t="s">
        <v>12</v>
      </c>
      <c r="G6" s="44">
        <v>38</v>
      </c>
      <c r="H6" s="129">
        <f>IF(B$15=0,0,G6/B$15)</f>
        <v>0.27142857142857141</v>
      </c>
      <c r="I6" s="90">
        <v>11</v>
      </c>
      <c r="K6" s="36">
        <v>4</v>
      </c>
      <c r="L6" s="95">
        <v>-80.5</v>
      </c>
      <c r="N6" s="111" t="s">
        <v>134</v>
      </c>
      <c r="O6" s="118">
        <f t="shared" si="0"/>
        <v>-1926.4150943396226</v>
      </c>
      <c r="P6" s="115">
        <v>53</v>
      </c>
      <c r="Q6" s="99">
        <v>-102100</v>
      </c>
    </row>
    <row r="7" spans="1:17" x14ac:dyDescent="0.45">
      <c r="A7" s="51" t="s">
        <v>2</v>
      </c>
      <c r="B7" s="44">
        <v>11</v>
      </c>
      <c r="C7" s="37">
        <f t="shared" ref="C7:C10" si="1">IF(B$2=0,0,B7/B$2)</f>
        <v>0.16923076923076924</v>
      </c>
      <c r="E7" s="59" t="s">
        <v>67</v>
      </c>
      <c r="F7" s="56" t="s">
        <v>23</v>
      </c>
      <c r="G7" s="44">
        <v>34</v>
      </c>
      <c r="H7" s="129">
        <f>IF(B$15=0,0,G7/B$15)</f>
        <v>0.24285714285714285</v>
      </c>
      <c r="I7" s="90">
        <v>10</v>
      </c>
      <c r="K7" s="36">
        <v>5</v>
      </c>
      <c r="L7" s="95">
        <v>-124.3</v>
      </c>
      <c r="N7" s="112" t="s">
        <v>135</v>
      </c>
      <c r="O7" s="119">
        <f t="shared" si="0"/>
        <v>-2106.9767441860463</v>
      </c>
      <c r="P7" s="116">
        <v>43</v>
      </c>
      <c r="Q7" s="100">
        <v>-90600</v>
      </c>
    </row>
    <row r="8" spans="1:17" x14ac:dyDescent="0.45">
      <c r="A8" s="51" t="s">
        <v>3</v>
      </c>
      <c r="B8" s="44">
        <v>26</v>
      </c>
      <c r="C8" s="37">
        <f t="shared" si="1"/>
        <v>0.4</v>
      </c>
      <c r="E8" s="59" t="s">
        <v>89</v>
      </c>
      <c r="F8" s="56" t="s">
        <v>44</v>
      </c>
      <c r="G8" s="44">
        <v>23</v>
      </c>
      <c r="H8" s="129">
        <f>IF(B$15=0,0,G8/B$15)</f>
        <v>0.16428571428571428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28</v>
      </c>
      <c r="C9" s="38">
        <f t="shared" si="1"/>
        <v>0.43076923076923079</v>
      </c>
      <c r="E9" s="59" t="s">
        <v>65</v>
      </c>
      <c r="F9" s="56" t="s">
        <v>21</v>
      </c>
      <c r="G9" s="44">
        <v>16</v>
      </c>
      <c r="H9" s="129">
        <f>IF(B$15=0,0,G9/B$15)</f>
        <v>0.11428571428571428</v>
      </c>
      <c r="I9" s="90">
        <v>8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0.15384615384615385</v>
      </c>
      <c r="E10" s="59" t="s">
        <v>71</v>
      </c>
      <c r="F10" s="56" t="s">
        <v>26</v>
      </c>
      <c r="G10" s="44">
        <v>13</v>
      </c>
      <c r="H10" s="129">
        <f>IF(B$15=0,0,G10/B$15)</f>
        <v>9.285714285714286E-2</v>
      </c>
      <c r="I10" s="90">
        <v>6</v>
      </c>
      <c r="K10" s="36">
        <v>8</v>
      </c>
      <c r="L10" s="95">
        <v>-152.6</v>
      </c>
      <c r="N10" s="110" t="s">
        <v>157</v>
      </c>
      <c r="O10" s="120">
        <f>IF(P10=0,0,Q10/P10)</f>
        <v>-18.792857142857141</v>
      </c>
      <c r="P10" s="114">
        <v>28</v>
      </c>
      <c r="Q10" s="102">
        <v>-526.19999999999993</v>
      </c>
    </row>
    <row r="11" spans="1:17" x14ac:dyDescent="0.45">
      <c r="A11" s="54" t="s">
        <v>121</v>
      </c>
      <c r="B11" s="47">
        <v>114</v>
      </c>
      <c r="C11" s="42">
        <f>IF(B$3=0,0,B11/B$3)</f>
        <v>0.21111111111111111</v>
      </c>
      <c r="E11" s="59" t="s">
        <v>69</v>
      </c>
      <c r="F11" s="56" t="s">
        <v>24</v>
      </c>
      <c r="G11" s="44">
        <v>12</v>
      </c>
      <c r="H11" s="129">
        <f>IF(B$15=0,0,G11/B$15)</f>
        <v>8.5714285714285715E-2</v>
      </c>
      <c r="I11" s="90">
        <v>12</v>
      </c>
      <c r="K11" s="36">
        <v>9</v>
      </c>
      <c r="L11" s="95">
        <v>-150.6</v>
      </c>
      <c r="N11" s="111" t="s">
        <v>158</v>
      </c>
      <c r="O11" s="121">
        <f>IF(P11=0,0,Q11/P11)</f>
        <v>-0.81052631578947321</v>
      </c>
      <c r="P11" s="115">
        <v>19</v>
      </c>
      <c r="Q11" s="103">
        <v>-15.399999999999991</v>
      </c>
    </row>
    <row r="12" spans="1:17" x14ac:dyDescent="0.45">
      <c r="A12" s="51" t="s">
        <v>118</v>
      </c>
      <c r="B12" s="44">
        <v>124</v>
      </c>
      <c r="C12" s="37">
        <f>IF(B$3=0,0,B12/B$3)</f>
        <v>0.22962962962962963</v>
      </c>
      <c r="E12" s="59" t="s">
        <v>70</v>
      </c>
      <c r="F12" s="56" t="s">
        <v>25</v>
      </c>
      <c r="G12" s="44">
        <v>12</v>
      </c>
      <c r="H12" s="129">
        <f>IF(B$15=0,0,G12/B$15)</f>
        <v>8.5714285714285715E-2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-7.072222222222222</v>
      </c>
      <c r="P12" s="116">
        <v>18</v>
      </c>
      <c r="Q12" s="104">
        <v>-127.3</v>
      </c>
    </row>
    <row r="13" spans="1:17" x14ac:dyDescent="0.45">
      <c r="A13" s="50" t="s">
        <v>123</v>
      </c>
      <c r="B13" s="43">
        <f>B19</f>
        <v>59</v>
      </c>
      <c r="C13" s="35">
        <f>IF(B$11=0,0,B13/B$11)</f>
        <v>0.51754385964912286</v>
      </c>
      <c r="E13" s="59" t="s">
        <v>83</v>
      </c>
      <c r="F13" s="56" t="s">
        <v>38</v>
      </c>
      <c r="G13" s="44">
        <v>9</v>
      </c>
      <c r="H13" s="129">
        <f>IF(B$15=0,0,G13/B$15)</f>
        <v>6.4285714285714279E-2</v>
      </c>
      <c r="I13" s="90">
        <v>4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54</v>
      </c>
      <c r="C14" s="35">
        <f>IF(B$12=0,0,B14/B$12)</f>
        <v>0.43548387096774194</v>
      </c>
      <c r="E14" s="59" t="s">
        <v>81</v>
      </c>
      <c r="F14" s="56" t="s">
        <v>36</v>
      </c>
      <c r="G14" s="44">
        <v>8</v>
      </c>
      <c r="H14" s="129">
        <f>IF(B$15=0,0,G14/B$15)</f>
        <v>5.7142857142857141E-2</v>
      </c>
      <c r="I14" s="90">
        <v>2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140</v>
      </c>
      <c r="C15" s="35">
        <f>IF(B$3=0,0,B15/B$3)</f>
        <v>0.25925925925925924</v>
      </c>
      <c r="E15" s="59" t="s">
        <v>86</v>
      </c>
      <c r="F15" s="56" t="s">
        <v>41</v>
      </c>
      <c r="G15" s="44">
        <v>8</v>
      </c>
      <c r="H15" s="129">
        <f>IF(B$15=0,0,G15/B$15)</f>
        <v>5.7142857142857141E-2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 t="shared" ref="O15:O25" si="2">IF(P15=0,0,Q15/P15)</f>
        <v>5.5722222222222184</v>
      </c>
      <c r="P15" s="114">
        <v>18</v>
      </c>
      <c r="Q15" s="102">
        <v>100.29999999999993</v>
      </c>
    </row>
    <row r="16" spans="1:17" x14ac:dyDescent="0.45">
      <c r="A16" s="51" t="s">
        <v>13</v>
      </c>
      <c r="B16" s="44">
        <v>96</v>
      </c>
      <c r="C16" s="37">
        <f>IF(B$3=0,0,B16/B$3)</f>
        <v>0.17777777777777778</v>
      </c>
      <c r="E16" s="59" t="s">
        <v>91</v>
      </c>
      <c r="F16" s="56" t="s">
        <v>46</v>
      </c>
      <c r="G16" s="44">
        <v>2</v>
      </c>
      <c r="H16" s="129">
        <f>IF(B$15=0,0,G16/B$15)</f>
        <v>1.4285714285714285E-2</v>
      </c>
      <c r="I16" s="90">
        <v>6</v>
      </c>
      <c r="K16" s="36">
        <v>14</v>
      </c>
      <c r="L16" s="95">
        <v>-266.90000000000003</v>
      </c>
      <c r="N16" s="111" t="s">
        <v>280</v>
      </c>
      <c r="O16" s="121">
        <f t="shared" si="2"/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64</v>
      </c>
      <c r="C17" s="37">
        <f>IF(B$15=0,0,B17/B$15)</f>
        <v>0.45714285714285713</v>
      </c>
      <c r="E17" s="59" t="s">
        <v>74</v>
      </c>
      <c r="F17" s="56" t="s">
        <v>29</v>
      </c>
      <c r="G17" s="44">
        <v>1</v>
      </c>
      <c r="H17" s="129">
        <f>IF(B$15=0,0,G17/B$15)</f>
        <v>7.1428571428571426E-3</v>
      </c>
      <c r="I17" s="90">
        <v>2</v>
      </c>
      <c r="K17" s="36">
        <v>15</v>
      </c>
      <c r="L17" s="95">
        <v>-272.50000000000006</v>
      </c>
      <c r="N17" s="111" t="s">
        <v>274</v>
      </c>
      <c r="O17" s="121">
        <f t="shared" si="2"/>
        <v>-12.000000000000002</v>
      </c>
      <c r="P17" s="115">
        <v>1</v>
      </c>
      <c r="Q17" s="103">
        <v>-12.000000000000002</v>
      </c>
    </row>
    <row r="18" spans="1:17" x14ac:dyDescent="0.45">
      <c r="A18" s="51" t="s">
        <v>11</v>
      </c>
      <c r="B18" s="44">
        <v>76</v>
      </c>
      <c r="C18" s="37">
        <f>IF(B$15=0,0,B18/B$15)</f>
        <v>0.54285714285714282</v>
      </c>
      <c r="E18" s="59" t="s">
        <v>78</v>
      </c>
      <c r="F18" s="56" t="s">
        <v>33</v>
      </c>
      <c r="G18" s="44">
        <v>1</v>
      </c>
      <c r="H18" s="129">
        <f>IF(B$15=0,0,G18/B$15)</f>
        <v>7.1428571428571426E-3</v>
      </c>
      <c r="I18" s="90">
        <v>10</v>
      </c>
      <c r="K18" s="36">
        <v>16</v>
      </c>
      <c r="L18" s="95">
        <v>-320.30000000000007</v>
      </c>
      <c r="N18" s="111" t="s">
        <v>127</v>
      </c>
      <c r="O18" s="121">
        <f t="shared" si="2"/>
        <v>-12.000000000000002</v>
      </c>
      <c r="P18" s="115">
        <v>17</v>
      </c>
      <c r="Q18" s="103">
        <v>-204.00000000000003</v>
      </c>
    </row>
    <row r="19" spans="1:17" x14ac:dyDescent="0.45">
      <c r="A19" s="51" t="s">
        <v>195</v>
      </c>
      <c r="B19" s="44">
        <v>59</v>
      </c>
      <c r="C19" s="37">
        <f>IF(B$15=0,0,B19/B$15)</f>
        <v>0.42142857142857143</v>
      </c>
      <c r="E19" s="59" t="s">
        <v>79</v>
      </c>
      <c r="F19" s="56" t="s">
        <v>34</v>
      </c>
      <c r="G19" s="44">
        <v>1</v>
      </c>
      <c r="H19" s="129">
        <f>IF(B$15=0,0,G19/B$15)</f>
        <v>7.1428571428571426E-3</v>
      </c>
      <c r="I19" s="90">
        <v>10</v>
      </c>
      <c r="K19" s="36">
        <v>17</v>
      </c>
      <c r="L19" s="95">
        <v>-352.60000000000008</v>
      </c>
      <c r="N19" s="111" t="s">
        <v>170</v>
      </c>
      <c r="O19" s="121">
        <f t="shared" si="2"/>
        <v>-12.110344827586207</v>
      </c>
      <c r="P19" s="115">
        <v>29</v>
      </c>
      <c r="Q19" s="103">
        <v>-351.2</v>
      </c>
    </row>
    <row r="20" spans="1:17" x14ac:dyDescent="0.45">
      <c r="A20" s="51" t="s">
        <v>193</v>
      </c>
      <c r="B20" s="44">
        <v>54</v>
      </c>
      <c r="C20" s="37">
        <f>IF(B$15=0,0,B20/B$15)</f>
        <v>0.38571428571428573</v>
      </c>
      <c r="E20" s="59" t="s">
        <v>92</v>
      </c>
      <c r="F20" s="56" t="s">
        <v>47</v>
      </c>
      <c r="G20" s="44">
        <v>1</v>
      </c>
      <c r="H20" s="129">
        <f>IF(B$15=0,0,G20/B$15)</f>
        <v>7.1428571428571426E-3</v>
      </c>
      <c r="I20" s="90">
        <v>3</v>
      </c>
      <c r="K20" s="36">
        <v>18</v>
      </c>
      <c r="L20" s="95">
        <v>-355.50000000000006</v>
      </c>
      <c r="N20" s="111" t="s">
        <v>171</v>
      </c>
      <c r="O20" s="121">
        <f t="shared" si="2"/>
        <v>-16.860714285714284</v>
      </c>
      <c r="P20" s="115">
        <v>28</v>
      </c>
      <c r="Q20" s="103">
        <v>-472.09999999999997</v>
      </c>
    </row>
    <row r="21" spans="1:17" x14ac:dyDescent="0.45">
      <c r="A21" s="51" t="s">
        <v>194</v>
      </c>
      <c r="B21" s="44">
        <v>27</v>
      </c>
      <c r="C21" s="37">
        <f>IF(B$15=0,0,B21/B$15)</f>
        <v>0.19285714285714287</v>
      </c>
      <c r="E21" s="59" t="s">
        <v>95</v>
      </c>
      <c r="F21" s="56" t="s">
        <v>50</v>
      </c>
      <c r="G21" s="44">
        <v>1</v>
      </c>
      <c r="H21" s="129">
        <f>IF(B$15=0,0,G21/B$15)</f>
        <v>7.1428571428571426E-3</v>
      </c>
      <c r="I21" s="90">
        <v>1</v>
      </c>
      <c r="K21" s="36">
        <v>19</v>
      </c>
      <c r="L21" s="95">
        <v>-400.60000000000008</v>
      </c>
      <c r="N21" s="111" t="s">
        <v>203</v>
      </c>
      <c r="O21" s="121">
        <f t="shared" si="2"/>
        <v>-17.649999999999999</v>
      </c>
      <c r="P21" s="115">
        <v>2</v>
      </c>
      <c r="Q21" s="103">
        <v>-35.299999999999997</v>
      </c>
    </row>
    <row r="22" spans="1:17" x14ac:dyDescent="0.45">
      <c r="A22" s="51" t="s">
        <v>5</v>
      </c>
      <c r="B22" s="48">
        <f>IF(B$15=0,0,C22/B$15)</f>
        <v>8176.4285714285716</v>
      </c>
      <c r="C22" s="39">
        <v>1144700</v>
      </c>
      <c r="E22" s="59" t="s">
        <v>162</v>
      </c>
      <c r="F22" s="56" t="s">
        <v>163</v>
      </c>
      <c r="G22" s="44">
        <v>1</v>
      </c>
      <c r="H22" s="129">
        <f>IF(B$15=0,0,G22/B$15)</f>
        <v>7.1428571428571426E-3</v>
      </c>
      <c r="I22" s="90">
        <v>8</v>
      </c>
      <c r="K22" s="36">
        <v>20</v>
      </c>
      <c r="L22" s="95">
        <v>-428.10000000000008</v>
      </c>
      <c r="N22" s="111" t="s">
        <v>126</v>
      </c>
      <c r="O22" s="121">
        <f t="shared" si="2"/>
        <v>-24.157142857142865</v>
      </c>
      <c r="P22" s="115">
        <v>21</v>
      </c>
      <c r="Q22" s="103">
        <v>-507.30000000000018</v>
      </c>
    </row>
    <row r="23" spans="1:17" x14ac:dyDescent="0.45">
      <c r="A23" s="52" t="s">
        <v>177</v>
      </c>
      <c r="B23" s="136">
        <f>IF($B$15-B$14=0,0,C23/($B$15-B$14))</f>
        <v>8753.4883720930229</v>
      </c>
      <c r="C23" s="137">
        <v>752800</v>
      </c>
      <c r="E23" s="59" t="s">
        <v>73</v>
      </c>
      <c r="F23" s="56" t="s">
        <v>28</v>
      </c>
      <c r="G23" s="44">
        <v>0</v>
      </c>
      <c r="H23" s="129">
        <f>IF(B$15=0,0,G23/B$15)</f>
        <v>0</v>
      </c>
      <c r="I23" s="90">
        <v>5</v>
      </c>
      <c r="K23" s="36">
        <v>21</v>
      </c>
      <c r="L23" s="95">
        <v>-423.7000000000001</v>
      </c>
      <c r="N23" s="111" t="s">
        <v>172</v>
      </c>
      <c r="O23" s="121">
        <f t="shared" si="2"/>
        <v>-24.274999999999999</v>
      </c>
      <c r="P23" s="115">
        <v>4</v>
      </c>
      <c r="Q23" s="103">
        <v>-97.1</v>
      </c>
    </row>
    <row r="24" spans="1:17" x14ac:dyDescent="0.45">
      <c r="A24" s="52" t="s">
        <v>178</v>
      </c>
      <c r="B24" s="136">
        <f>IF(B$14=0,0,C24/B$14)</f>
        <v>7257.4074074074078</v>
      </c>
      <c r="C24" s="137">
        <v>391900</v>
      </c>
      <c r="E24" s="59" t="s">
        <v>75</v>
      </c>
      <c r="F24" s="56" t="s">
        <v>30</v>
      </c>
      <c r="G24" s="44">
        <v>0</v>
      </c>
      <c r="H24" s="129">
        <f>IF(B$15=0,0,G24/B$15)</f>
        <v>0</v>
      </c>
      <c r="I24" s="90">
        <v>10</v>
      </c>
      <c r="K24" s="36">
        <v>22</v>
      </c>
      <c r="L24" s="95">
        <v>-465.00000000000011</v>
      </c>
      <c r="N24" s="111" t="s">
        <v>196</v>
      </c>
      <c r="O24" s="121">
        <f t="shared" si="2"/>
        <v>-60.640000000000008</v>
      </c>
      <c r="P24" s="115">
        <v>5</v>
      </c>
      <c r="Q24" s="103">
        <v>-303.20000000000005</v>
      </c>
    </row>
    <row r="25" spans="1:17" x14ac:dyDescent="0.45">
      <c r="A25" s="52" t="s">
        <v>176</v>
      </c>
      <c r="B25" s="136">
        <f>IF(B$16=0,0,C25/B$16)</f>
        <v>-8397.9166666666661</v>
      </c>
      <c r="C25" s="137">
        <v>-806200</v>
      </c>
      <c r="E25" s="59" t="s">
        <v>76</v>
      </c>
      <c r="F25" s="56" t="s">
        <v>31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-450.10000000000014</v>
      </c>
      <c r="N25" s="111" t="s">
        <v>228</v>
      </c>
      <c r="O25" s="121">
        <f t="shared" si="2"/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77</v>
      </c>
      <c r="F26" s="56" t="s">
        <v>32</v>
      </c>
      <c r="G26" s="44">
        <v>0</v>
      </c>
      <c r="H26" s="129">
        <f>IF(B$15=0,0,G26/B$15)</f>
        <v>0</v>
      </c>
      <c r="I26" s="90">
        <v>6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21</v>
      </c>
      <c r="C27" s="131">
        <v>8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3</v>
      </c>
      <c r="C30" s="40">
        <f>IF(B$3=0,0,B30/B$3)</f>
        <v>5.5555555555555558E-3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12</v>
      </c>
      <c r="C32" s="141">
        <f>IF(B$15=0,0,B32/B$15)</f>
        <v>8.5714285714285715E-2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26</v>
      </c>
      <c r="C33" s="37">
        <f t="shared" ref="C33:C44" si="3">IF(B$15=0,0,B33/B$15)</f>
        <v>0.18571428571428572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29</v>
      </c>
      <c r="C34" s="37">
        <f>IF(B$15=0,0,B34/B$15)</f>
        <v>0.20714285714285716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23</v>
      </c>
      <c r="C35" s="37">
        <f t="shared" si="3"/>
        <v>0.16428571428571428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20</v>
      </c>
      <c r="C36" s="37">
        <f t="shared" si="3"/>
        <v>0.14285714285714285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11</v>
      </c>
      <c r="C37" s="37">
        <f t="shared" si="3"/>
        <v>7.857142857142857E-2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10</v>
      </c>
      <c r="C38" s="37">
        <f t="shared" si="3"/>
        <v>7.1428571428571425E-2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6</v>
      </c>
      <c r="C39" s="37">
        <f t="shared" si="3"/>
        <v>4.2857142857142858E-2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3"/>
        <v>7.1428571428571426E-3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3"/>
        <v>1.4285714285714285E-2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  <row r="57" spans="5:12" x14ac:dyDescent="0.45">
      <c r="K57" s="36">
        <v>55</v>
      </c>
      <c r="L57" s="95">
        <v>-626.4</v>
      </c>
    </row>
    <row r="58" spans="5:12" x14ac:dyDescent="0.45">
      <c r="K58" s="36">
        <v>56</v>
      </c>
      <c r="L58" s="95">
        <v>-620</v>
      </c>
    </row>
    <row r="59" spans="5:12" x14ac:dyDescent="0.45">
      <c r="K59" s="36">
        <v>57</v>
      </c>
      <c r="L59" s="95">
        <v>-623.6</v>
      </c>
    </row>
    <row r="60" spans="5:12" x14ac:dyDescent="0.45">
      <c r="K60" s="36">
        <v>58</v>
      </c>
      <c r="L60" s="95">
        <v>-614.20000000000005</v>
      </c>
    </row>
    <row r="61" spans="5:12" x14ac:dyDescent="0.45">
      <c r="K61" s="36">
        <v>59</v>
      </c>
      <c r="L61" s="95">
        <v>-627.40000000000009</v>
      </c>
    </row>
    <row r="62" spans="5:12" x14ac:dyDescent="0.45">
      <c r="K62" s="36">
        <v>60</v>
      </c>
      <c r="L62" s="95">
        <v>-656.2</v>
      </c>
    </row>
    <row r="63" spans="5:12" x14ac:dyDescent="0.45">
      <c r="K63" s="36">
        <v>61</v>
      </c>
      <c r="L63" s="95">
        <v>-653.40000000000009</v>
      </c>
    </row>
    <row r="64" spans="5:12" x14ac:dyDescent="0.45">
      <c r="K64" s="36">
        <v>62</v>
      </c>
      <c r="L64" s="95">
        <v>-665.40000000000009</v>
      </c>
    </row>
    <row r="65" spans="11:12" x14ac:dyDescent="0.45">
      <c r="K65" s="36">
        <v>63</v>
      </c>
      <c r="L65" s="95">
        <v>-697.10000000000014</v>
      </c>
    </row>
    <row r="66" spans="11:12" x14ac:dyDescent="0.45">
      <c r="K66" s="36">
        <v>64</v>
      </c>
      <c r="L66" s="95">
        <v>-704.90000000000009</v>
      </c>
    </row>
    <row r="67" spans="11:12" x14ac:dyDescent="0.45">
      <c r="K67" s="36">
        <v>65</v>
      </c>
      <c r="L67" s="95">
        <v>-668.90000000000009</v>
      </c>
    </row>
  </sheetData>
  <sortState xmlns:xlrd2="http://schemas.microsoft.com/office/spreadsheetml/2017/richdata2" ref="E2:I6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5796-D0B7-4FBE-B9A2-87DA0344D12B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25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5">
      <c r="A3" s="51" t="s">
        <v>8</v>
      </c>
      <c r="B3" s="156">
        <v>240</v>
      </c>
      <c r="C3" s="157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5">
      <c r="A4" s="51" t="s">
        <v>6</v>
      </c>
      <c r="B4" s="158">
        <v>-45.7</v>
      </c>
      <c r="C4" s="159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5">
      <c r="A5" s="51" t="s">
        <v>7</v>
      </c>
      <c r="B5" s="160">
        <f>IF(B$2=0,0,B$4/B$2)</f>
        <v>-1.8280000000000001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8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5">
      <c r="A6" s="51" t="s">
        <v>1</v>
      </c>
      <c r="B6" s="150">
        <f>IF(B$2=0,0,(B$7*1+B$8*2+B$9*3)/B$2)</f>
        <v>2.04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5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5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4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5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11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12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2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 x14ac:dyDescent="0.45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9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11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</row>
    <row r="30" spans="1:17" x14ac:dyDescent="0.45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5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</row>
    <row r="33" spans="1:9" x14ac:dyDescent="0.45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B315-D6A7-4A15-A119-9F93471CCACE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11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8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1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4AC48-0AEB-4A1F-93AF-AB27AEF03EFD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8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7BF6B-9A9F-492E-96A2-AFE46B113745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14</v>
      </c>
      <c r="C2" s="155"/>
      <c r="E2" s="58" t="s">
        <v>66</v>
      </c>
      <c r="F2" s="55" t="s">
        <v>22</v>
      </c>
      <c r="G2" s="43">
        <v>25</v>
      </c>
      <c r="H2" s="128">
        <f>IF(B$15=0,0,G2/B$15)</f>
        <v>0.56818181818181823</v>
      </c>
      <c r="I2" s="89">
        <v>13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-3857.1428571428573</v>
      </c>
      <c r="P2" s="114">
        <v>14</v>
      </c>
      <c r="Q2" s="98">
        <v>-54000</v>
      </c>
    </row>
    <row r="3" spans="1:17" x14ac:dyDescent="0.45">
      <c r="A3" s="51" t="s">
        <v>8</v>
      </c>
      <c r="B3" s="156">
        <v>126</v>
      </c>
      <c r="C3" s="157"/>
      <c r="E3" s="59" t="s">
        <v>64</v>
      </c>
      <c r="F3" s="56" t="s">
        <v>20</v>
      </c>
      <c r="G3" s="44">
        <v>24</v>
      </c>
      <c r="H3" s="129">
        <f>IF(B$15=0,0,G3/B$15)</f>
        <v>0.54545454545454541</v>
      </c>
      <c r="I3" s="90">
        <v>6</v>
      </c>
      <c r="K3" s="36">
        <v>1</v>
      </c>
      <c r="L3" s="95">
        <v>17.600000000000001</v>
      </c>
      <c r="N3" s="111" t="s">
        <v>131</v>
      </c>
      <c r="O3" s="118">
        <f t="shared" si="0"/>
        <v>-578.57142857142856</v>
      </c>
      <c r="P3" s="115">
        <v>14</v>
      </c>
      <c r="Q3" s="99">
        <v>-8100</v>
      </c>
    </row>
    <row r="4" spans="1:17" x14ac:dyDescent="0.45">
      <c r="A4" s="51" t="s">
        <v>6</v>
      </c>
      <c r="B4" s="158">
        <v>-55.5</v>
      </c>
      <c r="C4" s="159"/>
      <c r="E4" s="59" t="s">
        <v>72</v>
      </c>
      <c r="F4" s="56" t="s">
        <v>27</v>
      </c>
      <c r="G4" s="44">
        <v>21</v>
      </c>
      <c r="H4" s="129">
        <f>IF(B$15=0,0,G4/B$15)</f>
        <v>0.47727272727272729</v>
      </c>
      <c r="I4" s="90">
        <v>10</v>
      </c>
      <c r="K4" s="36">
        <v>2</v>
      </c>
      <c r="L4" s="95">
        <v>27.8</v>
      </c>
      <c r="N4" s="111" t="s">
        <v>132</v>
      </c>
      <c r="O4" s="118">
        <f t="shared" si="0"/>
        <v>-2921.4285714285716</v>
      </c>
      <c r="P4" s="115">
        <v>14</v>
      </c>
      <c r="Q4" s="99">
        <v>-40900</v>
      </c>
    </row>
    <row r="5" spans="1:17" x14ac:dyDescent="0.45">
      <c r="A5" s="51" t="s">
        <v>7</v>
      </c>
      <c r="B5" s="160">
        <f>IF(B$2=0,0,B$4/B$2)</f>
        <v>-3.9642857142857144</v>
      </c>
      <c r="C5" s="161"/>
      <c r="E5" s="59" t="s">
        <v>68</v>
      </c>
      <c r="F5" s="56" t="s">
        <v>12</v>
      </c>
      <c r="G5" s="44">
        <v>17</v>
      </c>
      <c r="H5" s="129">
        <f>IF(B$15=0,0,G5/B$15)</f>
        <v>0.38636363636363635</v>
      </c>
      <c r="I5" s="90">
        <v>3</v>
      </c>
      <c r="K5" s="36">
        <v>3</v>
      </c>
      <c r="L5" s="95">
        <v>20.399999999999999</v>
      </c>
      <c r="N5" s="111" t="s">
        <v>133</v>
      </c>
      <c r="O5" s="118">
        <f t="shared" si="0"/>
        <v>692.85714285714289</v>
      </c>
      <c r="P5" s="115">
        <v>14</v>
      </c>
      <c r="Q5" s="99">
        <v>9700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67</v>
      </c>
      <c r="F6" s="56" t="s">
        <v>23</v>
      </c>
      <c r="G6" s="44">
        <v>14</v>
      </c>
      <c r="H6" s="129">
        <f>IF(B$15=0,0,G6/B$15)</f>
        <v>0.31818181818181818</v>
      </c>
      <c r="I6" s="90">
        <v>6</v>
      </c>
      <c r="K6" s="36">
        <v>4</v>
      </c>
      <c r="L6" s="95">
        <v>53.1</v>
      </c>
      <c r="N6" s="111" t="s">
        <v>134</v>
      </c>
      <c r="O6" s="118">
        <f t="shared" si="0"/>
        <v>-841.66666666666663</v>
      </c>
      <c r="P6" s="115">
        <v>12</v>
      </c>
      <c r="Q6" s="99">
        <v>-10100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0.35714285714285715</v>
      </c>
      <c r="E7" s="59" t="s">
        <v>166</v>
      </c>
      <c r="F7" s="56" t="s">
        <v>167</v>
      </c>
      <c r="G7" s="44">
        <v>12</v>
      </c>
      <c r="H7" s="129">
        <f>IF(B$15=0,0,G7/B$15)</f>
        <v>0.27272727272727271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5020</v>
      </c>
      <c r="P7" s="116">
        <v>10</v>
      </c>
      <c r="Q7" s="100">
        <v>50200</v>
      </c>
    </row>
    <row r="8" spans="1:17" x14ac:dyDescent="0.45">
      <c r="A8" s="51" t="s">
        <v>3</v>
      </c>
      <c r="B8" s="44">
        <v>4</v>
      </c>
      <c r="C8" s="37">
        <f t="shared" si="1"/>
        <v>0.2857142857142857</v>
      </c>
      <c r="E8" s="59" t="s">
        <v>65</v>
      </c>
      <c r="F8" s="56" t="s">
        <v>21</v>
      </c>
      <c r="G8" s="44">
        <v>7</v>
      </c>
      <c r="H8" s="129">
        <f>IF(B$15=0,0,G8/B$15)</f>
        <v>0.15909090909090909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5</v>
      </c>
      <c r="C9" s="38">
        <f t="shared" si="1"/>
        <v>0.35714285714285715</v>
      </c>
      <c r="E9" s="59" t="s">
        <v>69</v>
      </c>
      <c r="F9" s="56" t="s">
        <v>24</v>
      </c>
      <c r="G9" s="44">
        <v>5</v>
      </c>
      <c r="H9" s="129">
        <f>IF(B$15=0,0,G9/B$15)</f>
        <v>0.11363636363636363</v>
      </c>
      <c r="I9" s="90">
        <v>10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0.21428571428571427</v>
      </c>
      <c r="E10" s="59" t="s">
        <v>70</v>
      </c>
      <c r="F10" s="56" t="s">
        <v>25</v>
      </c>
      <c r="G10" s="44">
        <v>4</v>
      </c>
      <c r="H10" s="129">
        <f>IF(B$15=0,0,G10/B$15)</f>
        <v>9.0909090909090912E-2</v>
      </c>
      <c r="I10" s="90">
        <v>9</v>
      </c>
      <c r="K10" s="36">
        <v>8</v>
      </c>
      <c r="L10" s="95">
        <v>41.3</v>
      </c>
      <c r="N10" s="110" t="s">
        <v>157</v>
      </c>
      <c r="O10" s="120">
        <f>IF(P10=0,0,Q10/P10)</f>
        <v>-24.75</v>
      </c>
      <c r="P10" s="114">
        <v>4</v>
      </c>
      <c r="Q10" s="102">
        <v>-99</v>
      </c>
    </row>
    <row r="11" spans="1:17" x14ac:dyDescent="0.45">
      <c r="A11" s="54" t="s">
        <v>121</v>
      </c>
      <c r="B11" s="47">
        <v>39</v>
      </c>
      <c r="C11" s="42">
        <f>IF(B$3=0,0,B11/B$3)</f>
        <v>0.30952380952380953</v>
      </c>
      <c r="E11" s="59" t="s">
        <v>89</v>
      </c>
      <c r="F11" s="56" t="s">
        <v>44</v>
      </c>
      <c r="G11" s="44">
        <v>3</v>
      </c>
      <c r="H11" s="129">
        <f>IF(B$15=0,0,G11/B$15)</f>
        <v>6.8181818181818177E-2</v>
      </c>
      <c r="I11" s="90">
        <v>12</v>
      </c>
      <c r="K11" s="36">
        <v>9</v>
      </c>
      <c r="L11" s="95">
        <v>79.699999999999989</v>
      </c>
      <c r="N11" s="111" t="s">
        <v>158</v>
      </c>
      <c r="O11" s="121">
        <f>IF(P11=0,0,Q11/P11)</f>
        <v>0.25714285714285773</v>
      </c>
      <c r="P11" s="115">
        <v>7</v>
      </c>
      <c r="Q11" s="103">
        <v>1.8000000000000043</v>
      </c>
    </row>
    <row r="12" spans="1:17" x14ac:dyDescent="0.45">
      <c r="A12" s="51" t="s">
        <v>118</v>
      </c>
      <c r="B12" s="44">
        <v>16</v>
      </c>
      <c r="C12" s="37">
        <f>IF(B$3=0,0,B12/B$3)</f>
        <v>0.12698412698412698</v>
      </c>
      <c r="E12" s="59" t="s">
        <v>75</v>
      </c>
      <c r="F12" s="56" t="s">
        <v>30</v>
      </c>
      <c r="G12" s="44">
        <v>2</v>
      </c>
      <c r="H12" s="129">
        <f>IF(B$15=0,0,G12/B$15)</f>
        <v>4.5454545454545456E-2</v>
      </c>
      <c r="I12" s="90">
        <v>1</v>
      </c>
      <c r="K12" s="36">
        <v>10</v>
      </c>
      <c r="L12" s="95">
        <v>86.1</v>
      </c>
      <c r="N12" s="112" t="s">
        <v>159</v>
      </c>
      <c r="O12" s="122">
        <f>IF(P12=0,0,Q12/P12)</f>
        <v>13.899999999999999</v>
      </c>
      <c r="P12" s="116">
        <v>3</v>
      </c>
      <c r="Q12" s="104">
        <v>41.699999999999996</v>
      </c>
    </row>
    <row r="13" spans="1:17" x14ac:dyDescent="0.45">
      <c r="A13" s="50" t="s">
        <v>123</v>
      </c>
      <c r="B13" s="43">
        <f>B19</f>
        <v>23</v>
      </c>
      <c r="C13" s="35">
        <f>IF(B$11=0,0,B13/B$11)</f>
        <v>0.58974358974358976</v>
      </c>
      <c r="E13" s="59" t="s">
        <v>83</v>
      </c>
      <c r="F13" s="56" t="s">
        <v>38</v>
      </c>
      <c r="G13" s="44">
        <v>2</v>
      </c>
      <c r="H13" s="129">
        <f>IF(B$15=0,0,G13/B$15)</f>
        <v>4.5454545454545456E-2</v>
      </c>
      <c r="I13" s="90">
        <v>9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0.75</v>
      </c>
      <c r="E14" s="59" t="s">
        <v>85</v>
      </c>
      <c r="F14" s="56" t="s">
        <v>40</v>
      </c>
      <c r="G14" s="44">
        <v>2</v>
      </c>
      <c r="H14" s="129">
        <f>IF(B$15=0,0,G14/B$15)</f>
        <v>4.5454545454545456E-2</v>
      </c>
      <c r="I14" s="90">
        <v>1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44</v>
      </c>
      <c r="C15" s="35">
        <f>IF(B$3=0,0,B15/B$3)</f>
        <v>0.34920634920634919</v>
      </c>
      <c r="E15" s="59" t="s">
        <v>71</v>
      </c>
      <c r="F15" s="56" t="s">
        <v>26</v>
      </c>
      <c r="G15" s="44">
        <v>1</v>
      </c>
      <c r="H15" s="129">
        <f>IF(B$15=0,0,G15/B$15)</f>
        <v>2.2727272727272728E-2</v>
      </c>
      <c r="I15" s="90">
        <v>13</v>
      </c>
      <c r="K15" s="36">
        <v>13</v>
      </c>
      <c r="L15" s="95">
        <v>-47.6</v>
      </c>
      <c r="N15" s="110" t="s">
        <v>196</v>
      </c>
      <c r="O15" s="120">
        <f t="shared" ref="O15:O22" si="2">IF(P15=0,0,Q15/P15)</f>
        <v>58.099999999999994</v>
      </c>
      <c r="P15" s="114">
        <v>1</v>
      </c>
      <c r="Q15" s="102">
        <v>58.099999999999994</v>
      </c>
    </row>
    <row r="16" spans="1:17" x14ac:dyDescent="0.45">
      <c r="A16" s="51" t="s">
        <v>13</v>
      </c>
      <c r="B16" s="44">
        <v>21</v>
      </c>
      <c r="C16" s="37">
        <f>IF(B$3=0,0,B16/B$3)</f>
        <v>0.16666666666666666</v>
      </c>
      <c r="E16" s="59" t="s">
        <v>79</v>
      </c>
      <c r="F16" s="56" t="s">
        <v>34</v>
      </c>
      <c r="G16" s="44">
        <v>1</v>
      </c>
      <c r="H16" s="129">
        <f>IF(B$15=0,0,G16/B$15)</f>
        <v>2.2727272727272728E-2</v>
      </c>
      <c r="I16" s="90">
        <v>3</v>
      </c>
      <c r="K16" s="36">
        <v>14</v>
      </c>
      <c r="L16" s="95">
        <v>-55.5</v>
      </c>
      <c r="N16" s="111" t="s">
        <v>171</v>
      </c>
      <c r="O16" s="121">
        <f t="shared" si="2"/>
        <v>38.25</v>
      </c>
      <c r="P16" s="115">
        <v>2</v>
      </c>
      <c r="Q16" s="103">
        <v>76.5</v>
      </c>
    </row>
    <row r="17" spans="1:17" x14ac:dyDescent="0.45">
      <c r="A17" s="51" t="s">
        <v>12</v>
      </c>
      <c r="B17" s="44">
        <v>23</v>
      </c>
      <c r="C17" s="37">
        <f>IF(B$15=0,0,B17/B$15)</f>
        <v>0.52272727272727271</v>
      </c>
      <c r="E17" s="59" t="s">
        <v>86</v>
      </c>
      <c r="F17" s="56" t="s">
        <v>41</v>
      </c>
      <c r="G17" s="44">
        <v>1</v>
      </c>
      <c r="H17" s="129">
        <f>IF(B$15=0,0,G17/B$15)</f>
        <v>2.2727272727272728E-2</v>
      </c>
      <c r="I17" s="90">
        <v>11</v>
      </c>
      <c r="N17" s="111" t="s">
        <v>172</v>
      </c>
      <c r="O17" s="121">
        <f t="shared" si="2"/>
        <v>19.249999999999996</v>
      </c>
      <c r="P17" s="115">
        <v>4</v>
      </c>
      <c r="Q17" s="103">
        <v>76.999999999999986</v>
      </c>
    </row>
    <row r="18" spans="1:17" x14ac:dyDescent="0.45">
      <c r="A18" s="51" t="s">
        <v>11</v>
      </c>
      <c r="B18" s="44">
        <v>21</v>
      </c>
      <c r="C18" s="37">
        <f>IF(B$15=0,0,B18/B$15)</f>
        <v>0.47727272727272729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5</v>
      </c>
      <c r="N18" s="111" t="s">
        <v>197</v>
      </c>
      <c r="O18" s="121">
        <f t="shared" si="2"/>
        <v>12.000000000000002</v>
      </c>
      <c r="P18" s="115">
        <v>1</v>
      </c>
      <c r="Q18" s="103">
        <v>12.000000000000002</v>
      </c>
    </row>
    <row r="19" spans="1:17" x14ac:dyDescent="0.45">
      <c r="A19" s="51" t="s">
        <v>195</v>
      </c>
      <c r="B19" s="44">
        <v>23</v>
      </c>
      <c r="C19" s="37">
        <f>IF(B$15=0,0,B19/B$15)</f>
        <v>0.52272727272727271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N19" s="111" t="s">
        <v>127</v>
      </c>
      <c r="O19" s="121">
        <f t="shared" si="2"/>
        <v>2.8600000000000012</v>
      </c>
      <c r="P19" s="115">
        <v>5</v>
      </c>
      <c r="Q19" s="103">
        <v>14.300000000000006</v>
      </c>
    </row>
    <row r="20" spans="1:17" x14ac:dyDescent="0.45">
      <c r="A20" s="51" t="s">
        <v>193</v>
      </c>
      <c r="B20" s="44">
        <v>12</v>
      </c>
      <c r="C20" s="37">
        <f>IF(B$15=0,0,B20/B$15)</f>
        <v>0.27272727272727271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170</v>
      </c>
      <c r="O20" s="121">
        <f t="shared" si="2"/>
        <v>-5.4749999999999988</v>
      </c>
      <c r="P20" s="115">
        <v>8</v>
      </c>
      <c r="Q20" s="103">
        <v>-43.79999999999999</v>
      </c>
    </row>
    <row r="21" spans="1:17" x14ac:dyDescent="0.45">
      <c r="A21" s="51" t="s">
        <v>194</v>
      </c>
      <c r="B21" s="44">
        <v>9</v>
      </c>
      <c r="C21" s="37">
        <f>IF(B$15=0,0,B21/B$15)</f>
        <v>0.20454545454545456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 t="shared" si="2"/>
        <v>-47.224999999999994</v>
      </c>
      <c r="P21" s="115">
        <v>4</v>
      </c>
      <c r="Q21" s="103">
        <v>-188.89999999999998</v>
      </c>
    </row>
    <row r="22" spans="1:17" x14ac:dyDescent="0.45">
      <c r="A22" s="51" t="s">
        <v>5</v>
      </c>
      <c r="B22" s="48">
        <f>IF(B$15=0,0,C22/B$15)</f>
        <v>6534.090909090909</v>
      </c>
      <c r="C22" s="39">
        <v>287500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 t="shared" si="2"/>
        <v>-57.233333333333327</v>
      </c>
      <c r="P22" s="115">
        <v>3</v>
      </c>
      <c r="Q22" s="103">
        <v>-171.7</v>
      </c>
    </row>
    <row r="23" spans="1:17" x14ac:dyDescent="0.45">
      <c r="A23" s="52" t="s">
        <v>177</v>
      </c>
      <c r="B23" s="136">
        <f>IF($B$15-B$14=0,0,C23/($B$15-B$14))</f>
        <v>7140.625</v>
      </c>
      <c r="C23" s="137">
        <v>228500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4916.666666666667</v>
      </c>
      <c r="C24" s="137">
        <v>59000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-8195.2380952380954</v>
      </c>
      <c r="C25" s="137">
        <v>-172100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3</v>
      </c>
      <c r="C26" s="131">
        <v>1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6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7.9365079365079361E-3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5</v>
      </c>
      <c r="C32" s="141">
        <f>IF(B$15=0,0,B32/B$15)</f>
        <v>0.11363636363636363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12</v>
      </c>
      <c r="C33" s="37">
        <f t="shared" ref="C33:C44" si="3">IF(B$15=0,0,B33/B$15)</f>
        <v>0.27272727272727271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7</v>
      </c>
      <c r="C34" s="37">
        <f>IF(B$15=0,0,B34/B$15)</f>
        <v>0.15909090909090909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9</v>
      </c>
      <c r="C35" s="37">
        <f t="shared" si="3"/>
        <v>0.20454545454545456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6</v>
      </c>
      <c r="C36" s="37">
        <f t="shared" si="3"/>
        <v>0.13636363636363635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3"/>
        <v>4.5454545454545456E-2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2</v>
      </c>
      <c r="C38" s="37">
        <f t="shared" si="3"/>
        <v>4.5454545454545456E-2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1</v>
      </c>
      <c r="C39" s="37">
        <f t="shared" si="3"/>
        <v>2.2727272727272728E-2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5E180-0CA9-47F3-A3A6-E03471DE401D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1387.5</v>
      </c>
      <c r="P2" s="114">
        <v>8</v>
      </c>
      <c r="Q2" s="98">
        <v>11100</v>
      </c>
    </row>
    <row r="3" spans="1:17" x14ac:dyDescent="0.45">
      <c r="A3" s="51" t="s">
        <v>8</v>
      </c>
      <c r="B3" s="156">
        <v>69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5162.5</v>
      </c>
      <c r="P3" s="115">
        <v>8</v>
      </c>
      <c r="Q3" s="99">
        <v>41300</v>
      </c>
    </row>
    <row r="4" spans="1:17" x14ac:dyDescent="0.45">
      <c r="A4" s="51" t="s">
        <v>6</v>
      </c>
      <c r="B4" s="158">
        <v>106.5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5">
      <c r="A5" s="51" t="s">
        <v>7</v>
      </c>
      <c r="B5" s="160">
        <f>IF(B$2=0,0,B$4/B$2)</f>
        <v>13.3125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5">
      <c r="A6" s="51" t="s">
        <v>1</v>
      </c>
      <c r="B6" s="150">
        <f>IF(B$2=0,0,(B$7*1+B$8*2+B$9*3)/B$2)</f>
        <v>1.75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0.625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3</v>
      </c>
      <c r="C9" s="38">
        <f t="shared" si="1"/>
        <v>0.375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5">
      <c r="A11" s="54" t="s">
        <v>121</v>
      </c>
      <c r="B11" s="47">
        <v>28</v>
      </c>
      <c r="C11" s="42">
        <f>IF(B$3=0,0,B11/B$3)</f>
        <v>0.40579710144927539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5">
      <c r="A12" s="51" t="s">
        <v>118</v>
      </c>
      <c r="B12" s="44">
        <v>11</v>
      </c>
      <c r="C12" s="37">
        <f>IF(B$3=0,0,B12/B$3)</f>
        <v>0.15942028985507245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19</v>
      </c>
      <c r="C13" s="35">
        <f>IF(B$11=0,0,B13/B$11)</f>
        <v>0.6785714285714286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0.45454545454545453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</v>
      </c>
      <c r="C15" s="35">
        <f>IF(B$3=0,0,B15/B$3)</f>
        <v>0.37681159420289856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16</v>
      </c>
      <c r="C16" s="37">
        <f>IF(B$3=0,0,B16/B$3)</f>
        <v>0.2318840579710145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5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19.866666666666667</v>
      </c>
      <c r="P17" s="115">
        <v>6</v>
      </c>
      <c r="Q17" s="103">
        <v>119.2</v>
      </c>
    </row>
    <row r="18" spans="1:17" x14ac:dyDescent="0.45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5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5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-8437.5</v>
      </c>
      <c r="C25" s="137">
        <v>-135000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11</v>
      </c>
      <c r="C27" s="131">
        <v>5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7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CA7E3-68AF-4EC3-B490-E546EC6E1D02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9A1A1-4A5F-479A-AD4E-3A7D1668AD00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AEA41-FE8D-47BE-BBEC-5C173A2075D3}">
  <sheetPr codeName="Sheet30"/>
  <dimension ref="A1:Q1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5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DF556-D4CB-4B53-A16C-46B79761E932}">
  <sheetPr codeName="Sheet28"/>
  <dimension ref="A1:Q1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5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5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5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5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5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5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  <row r="17" spans="1:16" x14ac:dyDescent="0.45">
      <c r="A17" s="65">
        <v>14</v>
      </c>
      <c r="B17" s="62">
        <v>-55.5</v>
      </c>
      <c r="C17" s="62">
        <v>-3.9642857142857144</v>
      </c>
      <c r="D17" s="67">
        <v>2</v>
      </c>
      <c r="E17" s="63">
        <v>0.35714285714285715</v>
      </c>
      <c r="F17" s="63">
        <v>0.35714285714285715</v>
      </c>
      <c r="G17" s="63">
        <v>0.34920634920634919</v>
      </c>
      <c r="H17" s="63">
        <v>0.16666666666666666</v>
      </c>
      <c r="I17" s="64">
        <v>6534.090909090909</v>
      </c>
      <c r="J17" s="64">
        <v>-8195.2380952380954</v>
      </c>
      <c r="K17" s="63">
        <v>0.21428571428571427</v>
      </c>
      <c r="L17" s="63">
        <v>0.30952380952380953</v>
      </c>
      <c r="M17" s="63">
        <v>0.12698412698412698</v>
      </c>
      <c r="N17" s="63">
        <v>0.58974358974358976</v>
      </c>
      <c r="O17" s="63">
        <v>0.75</v>
      </c>
      <c r="P17" s="63">
        <v>0.52272727272727271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C51D8-8CEB-41B5-B916-25376B013EF6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6D736-4E28-4D91-9286-BEB7F3C8DC84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86F85-B4B4-4B2A-8C37-DA4352DE51C4}">
  <sheetPr codeName="Sheet22"/>
  <dimension ref="A1:Q2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E3000-E78A-4FBC-938D-D24EC2C8F231}">
  <sheetPr codeName="Sheet20"/>
  <dimension ref="A1:Q6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5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5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5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5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5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 x14ac:dyDescent="0.45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 x14ac:dyDescent="0.45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  <row r="65" spans="1:16" x14ac:dyDescent="0.45">
      <c r="A65" s="65">
        <v>62</v>
      </c>
      <c r="B65" s="62">
        <v>-665.40000000000009</v>
      </c>
      <c r="C65" s="62">
        <v>-10.732258064516131</v>
      </c>
      <c r="D65" s="67">
        <v>2.274193548387097</v>
      </c>
      <c r="E65" s="63">
        <v>0.16129032258064516</v>
      </c>
      <c r="F65" s="63">
        <v>0.43548387096774194</v>
      </c>
      <c r="G65" s="63">
        <v>0.25918762088974856</v>
      </c>
      <c r="H65" s="63">
        <v>0.17794970986460348</v>
      </c>
      <c r="I65" s="64">
        <v>8070.1492537313434</v>
      </c>
      <c r="J65" s="64">
        <v>-8323.9130434782601</v>
      </c>
      <c r="K65" s="63">
        <v>0.16129032258064516</v>
      </c>
      <c r="L65" s="63">
        <v>0.21083172147001933</v>
      </c>
      <c r="M65" s="63">
        <v>0.22823984526112184</v>
      </c>
      <c r="N65" s="63">
        <v>0.52293577981651373</v>
      </c>
      <c r="O65" s="63">
        <v>0.43220338983050849</v>
      </c>
      <c r="P65" s="63">
        <v>0.45522388059701491</v>
      </c>
    </row>
    <row r="66" spans="1:16" x14ac:dyDescent="0.45">
      <c r="A66" s="65">
        <v>63</v>
      </c>
      <c r="B66" s="62">
        <v>-697.10000000000014</v>
      </c>
      <c r="C66" s="62">
        <v>-11.065079365079367</v>
      </c>
      <c r="D66" s="67">
        <v>2.2857142857142856</v>
      </c>
      <c r="E66" s="63">
        <v>0.15873015873015872</v>
      </c>
      <c r="F66" s="63">
        <v>0.44444444444444442</v>
      </c>
      <c r="G66" s="63">
        <v>0.26003824091778205</v>
      </c>
      <c r="H66" s="63">
        <v>0.17973231357552583</v>
      </c>
      <c r="I66" s="64">
        <v>8066.911764705882</v>
      </c>
      <c r="J66" s="64">
        <v>-8432.978723404256</v>
      </c>
      <c r="K66" s="63">
        <v>0.15873015873015872</v>
      </c>
      <c r="L66" s="63">
        <v>0.21032504780114722</v>
      </c>
      <c r="M66" s="63">
        <v>0.22753346080305928</v>
      </c>
      <c r="N66" s="63">
        <v>0.52727272727272723</v>
      </c>
      <c r="O66" s="63">
        <v>0.42857142857142855</v>
      </c>
      <c r="P66" s="63">
        <v>0.46323529411764708</v>
      </c>
    </row>
    <row r="67" spans="1:16" x14ac:dyDescent="0.45">
      <c r="A67" s="65">
        <v>64</v>
      </c>
      <c r="B67" s="62">
        <v>-704.90000000000009</v>
      </c>
      <c r="C67" s="62">
        <v>-11.014062500000001</v>
      </c>
      <c r="D67" s="67">
        <v>2.28125</v>
      </c>
      <c r="E67" s="63">
        <v>0.15625</v>
      </c>
      <c r="F67" s="63">
        <v>0.4375</v>
      </c>
      <c r="G67" s="63">
        <v>0.2575187969924812</v>
      </c>
      <c r="H67" s="63">
        <v>0.18045112781954886</v>
      </c>
      <c r="I67" s="64">
        <v>8095.6204379562041</v>
      </c>
      <c r="J67" s="64">
        <v>-8397.9166666666661</v>
      </c>
      <c r="K67" s="63">
        <v>0.15625</v>
      </c>
      <c r="L67" s="63">
        <v>0.21052631578947367</v>
      </c>
      <c r="M67" s="63">
        <v>0.22556390977443608</v>
      </c>
      <c r="N67" s="63">
        <v>0.5178571428571429</v>
      </c>
      <c r="O67" s="63">
        <v>0.43333333333333335</v>
      </c>
      <c r="P67" s="63">
        <v>0.45985401459854014</v>
      </c>
    </row>
    <row r="68" spans="1:16" x14ac:dyDescent="0.45">
      <c r="A68" s="65">
        <v>65</v>
      </c>
      <c r="B68" s="62">
        <v>-668.90000000000009</v>
      </c>
      <c r="C68" s="62">
        <v>-10.290769230769232</v>
      </c>
      <c r="D68" s="67">
        <v>2.2615384615384615</v>
      </c>
      <c r="E68" s="63">
        <v>0.16923076923076924</v>
      </c>
      <c r="F68" s="63">
        <v>0.43076923076923079</v>
      </c>
      <c r="G68" s="63">
        <v>0.25925925925925924</v>
      </c>
      <c r="H68" s="63">
        <v>0.17777777777777778</v>
      </c>
      <c r="I68" s="64">
        <v>8176.4285714285716</v>
      </c>
      <c r="J68" s="64">
        <v>-8397.9166666666661</v>
      </c>
      <c r="K68" s="63">
        <v>0.15384615384615385</v>
      </c>
      <c r="L68" s="63">
        <v>0.21111111111111111</v>
      </c>
      <c r="M68" s="63">
        <v>0.22962962962962963</v>
      </c>
      <c r="N68" s="63">
        <v>0.51754385964912286</v>
      </c>
      <c r="O68" s="63">
        <v>0.43548387096774194</v>
      </c>
      <c r="P68" s="63">
        <v>0.45714285714285713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08991-556D-4237-B92E-36DE8FF43333}">
  <sheetPr codeName="Sheet18"/>
  <dimension ref="A1:Q15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5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5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5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5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5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5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5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5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5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5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5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5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5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5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  <row r="136" spans="1:16" x14ac:dyDescent="0.45">
      <c r="A136" s="65">
        <v>133</v>
      </c>
      <c r="B136" s="62">
        <v>-227.5</v>
      </c>
      <c r="C136" s="62">
        <v>-1.7105263157894737</v>
      </c>
      <c r="D136" s="67">
        <v>2.0902255639097747</v>
      </c>
      <c r="E136" s="63">
        <v>0.22556390977443608</v>
      </c>
      <c r="F136" s="63">
        <v>0.31578947368421051</v>
      </c>
      <c r="G136" s="63">
        <v>0.27532228360957645</v>
      </c>
      <c r="H136" s="63">
        <v>0.14088397790055249</v>
      </c>
      <c r="I136" s="64">
        <v>8245.8193979933112</v>
      </c>
      <c r="J136" s="64">
        <v>-7108.4967320261439</v>
      </c>
      <c r="K136" s="63">
        <v>7.5187969924812026E-2</v>
      </c>
      <c r="L136" s="63">
        <v>0.26427255985267034</v>
      </c>
      <c r="M136" s="63">
        <v>0.22559852670349909</v>
      </c>
      <c r="N136" s="63">
        <v>0.54703832752613235</v>
      </c>
      <c r="O136" s="63">
        <v>0.41632653061224489</v>
      </c>
      <c r="P136" s="63">
        <v>0.44481605351170567</v>
      </c>
    </row>
    <row r="137" spans="1:16" x14ac:dyDescent="0.45">
      <c r="A137" s="65">
        <v>134</v>
      </c>
      <c r="B137" s="62">
        <v>-193.6</v>
      </c>
      <c r="C137" s="62">
        <v>-1.4447761194029851</v>
      </c>
      <c r="D137" s="67">
        <v>2.0820895522388061</v>
      </c>
      <c r="E137" s="63">
        <v>0.23134328358208955</v>
      </c>
      <c r="F137" s="63">
        <v>0.31343283582089554</v>
      </c>
      <c r="G137" s="63">
        <v>0.2783882783882784</v>
      </c>
      <c r="H137" s="63">
        <v>0.14010989010989011</v>
      </c>
      <c r="I137" s="64">
        <v>8185.5263157894733</v>
      </c>
      <c r="J137" s="64">
        <v>-7108.4967320261439</v>
      </c>
      <c r="K137" s="63">
        <v>7.4626865671641784E-2</v>
      </c>
      <c r="L137" s="63">
        <v>0.26465201465201466</v>
      </c>
      <c r="M137" s="63">
        <v>0.2271062271062271</v>
      </c>
      <c r="N137" s="63">
        <v>0.55017301038062283</v>
      </c>
      <c r="O137" s="63">
        <v>0.42338709677419356</v>
      </c>
      <c r="P137" s="63">
        <v>0.44407894736842107</v>
      </c>
    </row>
    <row r="138" spans="1:16" x14ac:dyDescent="0.45">
      <c r="A138" s="65">
        <v>135</v>
      </c>
      <c r="B138" s="62">
        <v>-212.1</v>
      </c>
      <c r="C138" s="62">
        <v>-1.5711111111111111</v>
      </c>
      <c r="D138" s="67">
        <v>2.0814814814814815</v>
      </c>
      <c r="E138" s="63">
        <v>0.22962962962962963</v>
      </c>
      <c r="F138" s="63">
        <v>0.31111111111111112</v>
      </c>
      <c r="G138" s="63">
        <v>0.27636363636363637</v>
      </c>
      <c r="H138" s="63">
        <v>0.1390909090909091</v>
      </c>
      <c r="I138" s="64">
        <v>8185.5263157894733</v>
      </c>
      <c r="J138" s="64">
        <v>-7108.4967320261439</v>
      </c>
      <c r="K138" s="63">
        <v>7.407407407407407E-2</v>
      </c>
      <c r="L138" s="63">
        <v>0.26363636363636361</v>
      </c>
      <c r="M138" s="63">
        <v>0.22818181818181818</v>
      </c>
      <c r="N138" s="63">
        <v>0.5482758620689655</v>
      </c>
      <c r="O138" s="63">
        <v>0.41832669322709165</v>
      </c>
      <c r="P138" s="63">
        <v>0.44407894736842107</v>
      </c>
    </row>
    <row r="139" spans="1:16" x14ac:dyDescent="0.45">
      <c r="A139" s="65">
        <v>136</v>
      </c>
      <c r="B139" s="62">
        <v>-179.1</v>
      </c>
      <c r="C139" s="62">
        <v>-1.3169117647058823</v>
      </c>
      <c r="D139" s="67">
        <v>2.0735294117647061</v>
      </c>
      <c r="E139" s="63">
        <v>0.23529411764705882</v>
      </c>
      <c r="F139" s="63">
        <v>0.30882352941176472</v>
      </c>
      <c r="G139" s="63">
        <v>0.2788808664259928</v>
      </c>
      <c r="H139" s="63">
        <v>0.13898916967509026</v>
      </c>
      <c r="I139" s="64">
        <v>8178.9644012944982</v>
      </c>
      <c r="J139" s="64">
        <v>-7140.2597402597403</v>
      </c>
      <c r="K139" s="63">
        <v>7.3529411764705885E-2</v>
      </c>
      <c r="L139" s="63">
        <v>0.26353790613718414</v>
      </c>
      <c r="M139" s="63">
        <v>0.23104693140794225</v>
      </c>
      <c r="N139" s="63">
        <v>0.54794520547945202</v>
      </c>
      <c r="O139" s="63">
        <v>0.42578125</v>
      </c>
      <c r="P139" s="63">
        <v>0.44336569579288027</v>
      </c>
    </row>
    <row r="140" spans="1:16" x14ac:dyDescent="0.45">
      <c r="A140" s="65">
        <v>137</v>
      </c>
      <c r="B140" s="62">
        <v>-152.29999999999998</v>
      </c>
      <c r="C140" s="62">
        <v>-1.1116788321167883</v>
      </c>
      <c r="D140" s="67">
        <v>2.0656934306569341</v>
      </c>
      <c r="E140" s="63">
        <v>0.24087591240875914</v>
      </c>
      <c r="F140" s="63">
        <v>0.30656934306569344</v>
      </c>
      <c r="G140" s="63">
        <v>0.28071748878923769</v>
      </c>
      <c r="H140" s="63">
        <v>0.13901345291479822</v>
      </c>
      <c r="I140" s="64">
        <v>8156.2300319488822</v>
      </c>
      <c r="J140" s="64">
        <v>-7102.5806451612907</v>
      </c>
      <c r="K140" s="63">
        <v>7.2992700729927001E-2</v>
      </c>
      <c r="L140" s="63">
        <v>0.26457399103139012</v>
      </c>
      <c r="M140" s="63">
        <v>0.23139013452914797</v>
      </c>
      <c r="N140" s="63">
        <v>0.54915254237288136</v>
      </c>
      <c r="O140" s="63">
        <v>0.43023255813953487</v>
      </c>
      <c r="P140" s="63">
        <v>0.44089456869009586</v>
      </c>
    </row>
    <row r="141" spans="1:16" x14ac:dyDescent="0.45">
      <c r="A141" s="65">
        <v>138</v>
      </c>
      <c r="B141" s="62">
        <v>-162.49999999999997</v>
      </c>
      <c r="C141" s="62">
        <v>-1.1775362318840579</v>
      </c>
      <c r="D141" s="67">
        <v>2.0652173913043477</v>
      </c>
      <c r="E141" s="63">
        <v>0.2391304347826087</v>
      </c>
      <c r="F141" s="63">
        <v>0.30434782608695654</v>
      </c>
      <c r="G141" s="63">
        <v>0.27960819234194123</v>
      </c>
      <c r="H141" s="63">
        <v>0.13802315227070347</v>
      </c>
      <c r="I141" s="64">
        <v>8147.1337579617839</v>
      </c>
      <c r="J141" s="64">
        <v>-7102.5806451612907</v>
      </c>
      <c r="K141" s="63">
        <v>7.2463768115942032E-2</v>
      </c>
      <c r="L141" s="63">
        <v>0.26357969723953695</v>
      </c>
      <c r="M141" s="63">
        <v>0.23063223508459482</v>
      </c>
      <c r="N141" s="63">
        <v>0.55067567567567566</v>
      </c>
      <c r="O141" s="63">
        <v>0.42857142857142855</v>
      </c>
      <c r="P141" s="63">
        <v>0.4426751592356688</v>
      </c>
    </row>
    <row r="142" spans="1:16" x14ac:dyDescent="0.45">
      <c r="A142" s="65">
        <v>139</v>
      </c>
      <c r="B142" s="62">
        <v>-150.29999999999998</v>
      </c>
      <c r="C142" s="62">
        <v>-1.0812949640287768</v>
      </c>
      <c r="D142" s="67">
        <v>2.0575539568345325</v>
      </c>
      <c r="E142" s="63">
        <v>0.2446043165467626</v>
      </c>
      <c r="F142" s="63">
        <v>0.30215827338129497</v>
      </c>
      <c r="G142" s="63">
        <v>0.27939876215738285</v>
      </c>
      <c r="H142" s="63">
        <v>0.13881520778072501</v>
      </c>
      <c r="I142" s="64">
        <v>8158.8607594936711</v>
      </c>
      <c r="J142" s="64">
        <v>-7075.7961783439487</v>
      </c>
      <c r="K142" s="63">
        <v>7.1942446043165464E-2</v>
      </c>
      <c r="L142" s="63">
        <v>0.2625994694960212</v>
      </c>
      <c r="M142" s="63">
        <v>0.23076923076923078</v>
      </c>
      <c r="N142" s="63">
        <v>0.55218855218855223</v>
      </c>
      <c r="O142" s="63">
        <v>0.42528735632183906</v>
      </c>
      <c r="P142" s="63">
        <v>0.44303797468354428</v>
      </c>
    </row>
    <row r="143" spans="1:16" x14ac:dyDescent="0.45">
      <c r="A143" s="65">
        <v>140</v>
      </c>
      <c r="B143" s="62">
        <v>-96.799999999999983</v>
      </c>
      <c r="C143" s="62">
        <v>-0.69142857142857128</v>
      </c>
      <c r="D143" s="67">
        <v>2.0499999999999998</v>
      </c>
      <c r="E143" s="63">
        <v>0.25</v>
      </c>
      <c r="F143" s="63">
        <v>0.3</v>
      </c>
      <c r="G143" s="63">
        <v>0.27978817299205649</v>
      </c>
      <c r="H143" s="63">
        <v>0.13857016769638128</v>
      </c>
      <c r="I143" s="64">
        <v>8284.5425867507893</v>
      </c>
      <c r="J143" s="64">
        <v>-7075.7961783439487</v>
      </c>
      <c r="K143" s="63">
        <v>7.1428571428571425E-2</v>
      </c>
      <c r="L143" s="63">
        <v>0.26213592233009708</v>
      </c>
      <c r="M143" s="63">
        <v>0.23036187113857018</v>
      </c>
      <c r="N143" s="63">
        <v>0.55218855218855223</v>
      </c>
      <c r="O143" s="63">
        <v>0.42528735632183906</v>
      </c>
      <c r="P143" s="63">
        <v>0.44164037854889587</v>
      </c>
    </row>
    <row r="144" spans="1:16" x14ac:dyDescent="0.45">
      <c r="A144" s="65">
        <v>141</v>
      </c>
      <c r="B144" s="62">
        <v>-105.99999999999999</v>
      </c>
      <c r="C144" s="62">
        <v>-0.75177304964538993</v>
      </c>
      <c r="D144" s="67">
        <v>2.0496453900709222</v>
      </c>
      <c r="E144" s="63">
        <v>0.24822695035460993</v>
      </c>
      <c r="F144" s="63">
        <v>0.2978723404255319</v>
      </c>
      <c r="G144" s="63">
        <v>0.27982456140350875</v>
      </c>
      <c r="H144" s="63">
        <v>0.13859649122807016</v>
      </c>
      <c r="I144" s="64">
        <v>8274.2946708463951</v>
      </c>
      <c r="J144" s="64">
        <v>-7106.9620253164558</v>
      </c>
      <c r="K144" s="63">
        <v>7.0921985815602842E-2</v>
      </c>
      <c r="L144" s="63">
        <v>0.26315789473684209</v>
      </c>
      <c r="M144" s="63">
        <v>0.22982456140350876</v>
      </c>
      <c r="N144" s="63">
        <v>0.55333333333333334</v>
      </c>
      <c r="O144" s="63">
        <v>0.42366412213740456</v>
      </c>
      <c r="P144" s="63">
        <v>0.44200626959247646</v>
      </c>
    </row>
    <row r="145" spans="1:16" x14ac:dyDescent="0.45">
      <c r="A145" s="65">
        <v>142</v>
      </c>
      <c r="B145" s="62">
        <v>-142.29999999999998</v>
      </c>
      <c r="C145" s="62">
        <v>-1.0021126760563379</v>
      </c>
      <c r="D145" s="67">
        <v>2.056338028169014</v>
      </c>
      <c r="E145" s="63">
        <v>0.24647887323943662</v>
      </c>
      <c r="F145" s="63">
        <v>0.30281690140845069</v>
      </c>
      <c r="G145" s="63">
        <v>0.2795138888888889</v>
      </c>
      <c r="H145" s="63">
        <v>0.1388888888888889</v>
      </c>
      <c r="I145" s="64">
        <v>8240.9937888198765</v>
      </c>
      <c r="J145" s="64">
        <v>-7051.875</v>
      </c>
      <c r="K145" s="63">
        <v>7.0422535211267609E-2</v>
      </c>
      <c r="L145" s="63">
        <v>0.26041666666666669</v>
      </c>
      <c r="M145" s="63">
        <v>0.23177083333333334</v>
      </c>
      <c r="N145" s="63">
        <v>0.55333333333333334</v>
      </c>
      <c r="O145" s="63">
        <v>0.42322097378277151</v>
      </c>
      <c r="P145" s="63">
        <v>0.44409937888198758</v>
      </c>
    </row>
    <row r="146" spans="1:16" x14ac:dyDescent="0.45">
      <c r="A146" s="65">
        <v>143</v>
      </c>
      <c r="B146" s="62">
        <v>-141.49999999999997</v>
      </c>
      <c r="C146" s="62">
        <v>-0.98951048951048937</v>
      </c>
      <c r="D146" s="67">
        <v>2.0559440559440558</v>
      </c>
      <c r="E146" s="63">
        <v>0.24475524475524477</v>
      </c>
      <c r="F146" s="63">
        <v>0.30069930069930068</v>
      </c>
      <c r="G146" s="63">
        <v>0.27906976744186046</v>
      </c>
      <c r="H146" s="63">
        <v>0.13953488372093023</v>
      </c>
      <c r="I146" s="64">
        <v>8250.9259259259252</v>
      </c>
      <c r="J146" s="64">
        <v>-7036.4197530864194</v>
      </c>
      <c r="K146" s="63">
        <v>6.9930069930069935E-2</v>
      </c>
      <c r="L146" s="63">
        <v>0.26012058570198104</v>
      </c>
      <c r="M146" s="63">
        <v>0.23083548664944015</v>
      </c>
      <c r="N146" s="63">
        <v>0.55298013245033117</v>
      </c>
      <c r="O146" s="63">
        <v>0.42537313432835822</v>
      </c>
      <c r="P146" s="63">
        <v>0.44753086419753085</v>
      </c>
    </row>
    <row r="147" spans="1:16" x14ac:dyDescent="0.45">
      <c r="A147" s="65">
        <v>144</v>
      </c>
      <c r="B147" s="62">
        <v>-96.699999999999974</v>
      </c>
      <c r="C147" s="62">
        <v>-0.67152777777777761</v>
      </c>
      <c r="D147" s="67">
        <v>2.0486111111111112</v>
      </c>
      <c r="E147" s="63">
        <v>0.25</v>
      </c>
      <c r="F147" s="63">
        <v>0.2986111111111111</v>
      </c>
      <c r="G147" s="63">
        <v>0.28082191780821919</v>
      </c>
      <c r="H147" s="63">
        <v>0.1386986301369863</v>
      </c>
      <c r="I147" s="64">
        <v>8271.0365853658532</v>
      </c>
      <c r="J147" s="64">
        <v>-7036.4197530864194</v>
      </c>
      <c r="K147" s="63">
        <v>6.9444444444444448E-2</v>
      </c>
      <c r="L147" s="63">
        <v>0.26113013698630139</v>
      </c>
      <c r="M147" s="63">
        <v>0.23202054794520549</v>
      </c>
      <c r="N147" s="63">
        <v>0.5540983606557377</v>
      </c>
      <c r="O147" s="63">
        <v>0.4280442804428044</v>
      </c>
      <c r="P147" s="63">
        <v>0.44817073170731708</v>
      </c>
    </row>
    <row r="148" spans="1:16" x14ac:dyDescent="0.45">
      <c r="A148" s="65">
        <v>145</v>
      </c>
      <c r="B148" s="62">
        <v>-40.299999999999976</v>
      </c>
      <c r="C148" s="62">
        <v>-0.27793103448275847</v>
      </c>
      <c r="D148" s="67">
        <v>2.0413793103448277</v>
      </c>
      <c r="E148" s="63">
        <v>0.25517241379310346</v>
      </c>
      <c r="F148" s="63">
        <v>0.29655172413793102</v>
      </c>
      <c r="G148" s="63">
        <v>0.28194207836456558</v>
      </c>
      <c r="H148" s="63">
        <v>0.13798977853492334</v>
      </c>
      <c r="I148" s="64">
        <v>8345.9214501510578</v>
      </c>
      <c r="J148" s="64">
        <v>-7036.4197530864194</v>
      </c>
      <c r="K148" s="63">
        <v>6.8965517241379309E-2</v>
      </c>
      <c r="L148" s="63">
        <v>0.26064735945485518</v>
      </c>
      <c r="M148" s="63">
        <v>0.23168654173764908</v>
      </c>
      <c r="N148" s="63">
        <v>0.55555555555555558</v>
      </c>
      <c r="O148" s="63">
        <v>0.43014705882352944</v>
      </c>
      <c r="P148" s="63">
        <v>0.44712990936555891</v>
      </c>
    </row>
    <row r="149" spans="1:16" x14ac:dyDescent="0.45">
      <c r="A149" s="65">
        <v>146</v>
      </c>
      <c r="B149" s="62">
        <v>-28.099999999999977</v>
      </c>
      <c r="C149" s="62">
        <v>-0.19246575342465738</v>
      </c>
      <c r="D149" s="67">
        <v>2.0410958904109591</v>
      </c>
      <c r="E149" s="63">
        <v>0.25342465753424659</v>
      </c>
      <c r="F149" s="63">
        <v>0.29452054794520549</v>
      </c>
      <c r="G149" s="63">
        <v>0.28172588832487311</v>
      </c>
      <c r="H149" s="63">
        <v>0.13874788494077833</v>
      </c>
      <c r="I149" s="64">
        <v>8336.3363363363369</v>
      </c>
      <c r="J149" s="64">
        <v>-6992.0731707317073</v>
      </c>
      <c r="K149" s="63">
        <v>6.8493150684931503E-2</v>
      </c>
      <c r="L149" s="63">
        <v>0.25888324873096447</v>
      </c>
      <c r="M149" s="63">
        <v>0.2326565143824027</v>
      </c>
      <c r="N149" s="63">
        <v>0.55555555555555558</v>
      </c>
      <c r="O149" s="63">
        <v>0.42545454545454547</v>
      </c>
      <c r="P149" s="63">
        <v>0.44744744744744747</v>
      </c>
    </row>
    <row r="150" spans="1:16" x14ac:dyDescent="0.45">
      <c r="A150" s="65">
        <v>147</v>
      </c>
      <c r="B150" s="62">
        <v>-66.09999999999998</v>
      </c>
      <c r="C150" s="62">
        <v>-0.44965986394557811</v>
      </c>
      <c r="D150" s="67">
        <v>2.0476190476190474</v>
      </c>
      <c r="E150" s="63">
        <v>0.25170068027210885</v>
      </c>
      <c r="F150" s="63">
        <v>0.29931972789115646</v>
      </c>
      <c r="G150" s="63">
        <v>0.28067226890756303</v>
      </c>
      <c r="H150" s="63">
        <v>0.13781512605042018</v>
      </c>
      <c r="I150" s="64">
        <v>8347.3053892215576</v>
      </c>
      <c r="J150" s="64">
        <v>-6992.0731707317073</v>
      </c>
      <c r="K150" s="63">
        <v>6.8027210884353748E-2</v>
      </c>
      <c r="L150" s="63">
        <v>0.25798319327731095</v>
      </c>
      <c r="M150" s="63">
        <v>0.23193277310924371</v>
      </c>
      <c r="N150" s="63">
        <v>0.55374592833876224</v>
      </c>
      <c r="O150" s="63">
        <v>0.42391304347826086</v>
      </c>
      <c r="P150" s="63">
        <v>0.44610778443113774</v>
      </c>
    </row>
    <row r="151" spans="1:16" x14ac:dyDescent="0.45">
      <c r="A151" s="65">
        <v>148</v>
      </c>
      <c r="B151" s="62">
        <v>-54.59999999999998</v>
      </c>
      <c r="C151" s="62">
        <v>-0.36891891891891876</v>
      </c>
      <c r="D151" s="67">
        <v>2.0472972972972974</v>
      </c>
      <c r="E151" s="63">
        <v>0.25</v>
      </c>
      <c r="F151" s="63">
        <v>0.29729729729729731</v>
      </c>
      <c r="G151" s="63">
        <v>0.28056951423785592</v>
      </c>
      <c r="H151" s="63">
        <v>0.13735343383584589</v>
      </c>
      <c r="I151" s="64">
        <v>8358.2089552238813</v>
      </c>
      <c r="J151" s="64">
        <v>-6992.0731707317073</v>
      </c>
      <c r="K151" s="63">
        <v>6.7567567567567571E-2</v>
      </c>
      <c r="L151" s="63">
        <v>0.25795644891122277</v>
      </c>
      <c r="M151" s="63">
        <v>0.23115577889447236</v>
      </c>
      <c r="N151" s="63">
        <v>0.55519480519480524</v>
      </c>
      <c r="O151" s="63">
        <v>0.42391304347826086</v>
      </c>
      <c r="P151" s="63">
        <v>0.44776119402985076</v>
      </c>
    </row>
    <row r="152" spans="1:16" x14ac:dyDescent="0.45">
      <c r="A152" s="65">
        <v>149</v>
      </c>
      <c r="B152" s="62">
        <v>-107.79999999999998</v>
      </c>
      <c r="C152" s="62">
        <v>-0.72348993288590591</v>
      </c>
      <c r="D152" s="67">
        <v>2.0536912751677852</v>
      </c>
      <c r="E152" s="63">
        <v>0.24832214765100671</v>
      </c>
      <c r="F152" s="63">
        <v>0.30201342281879195</v>
      </c>
      <c r="G152" s="63">
        <v>0.2793017456359102</v>
      </c>
      <c r="H152" s="63">
        <v>0.1396508728179551</v>
      </c>
      <c r="I152" s="64">
        <v>8404.7619047619046</v>
      </c>
      <c r="J152" s="64">
        <v>-7115.4761904761908</v>
      </c>
      <c r="K152" s="63">
        <v>7.3825503355704702E-2</v>
      </c>
      <c r="L152" s="63">
        <v>0.256857855361596</v>
      </c>
      <c r="M152" s="63">
        <v>0.23108894430590191</v>
      </c>
      <c r="N152" s="63">
        <v>0.55663430420711979</v>
      </c>
      <c r="O152" s="63">
        <v>0.42086330935251798</v>
      </c>
      <c r="P152" s="63">
        <v>0.44642857142857145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3FF06-40CB-427F-9AEF-BAB1283489B3}">
  <sheetPr codeName="Sheet16"/>
  <dimension ref="A1:Q14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5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5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5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5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5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5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5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5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5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5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5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5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5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5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 x14ac:dyDescent="0.45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 x14ac:dyDescent="0.45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  <row r="123" spans="1:16" x14ac:dyDescent="0.45">
      <c r="A123" s="65">
        <v>120</v>
      </c>
      <c r="B123" s="62">
        <v>622.40000000000043</v>
      </c>
      <c r="C123" s="62">
        <v>5.1866666666666701</v>
      </c>
      <c r="D123" s="67">
        <v>1.8916666666666666</v>
      </c>
      <c r="E123" s="63">
        <v>0.41666666666666669</v>
      </c>
      <c r="F123" s="63">
        <v>0.30833333333333335</v>
      </c>
      <c r="G123" s="63">
        <v>0.28194726166328599</v>
      </c>
      <c r="H123" s="63">
        <v>0.16937119675456389</v>
      </c>
      <c r="I123" s="64">
        <v>10716.187050359713</v>
      </c>
      <c r="J123" s="64">
        <v>-8014.9700598802392</v>
      </c>
      <c r="K123" s="63">
        <v>0.10833333333333334</v>
      </c>
      <c r="L123" s="63">
        <v>0.30933062880324541</v>
      </c>
      <c r="M123" s="63">
        <v>0.18154158215010141</v>
      </c>
      <c r="N123" s="63">
        <v>0.55081967213114758</v>
      </c>
      <c r="O123" s="63">
        <v>0.4022346368715084</v>
      </c>
      <c r="P123" s="63">
        <v>0.5071942446043165</v>
      </c>
    </row>
    <row r="124" spans="1:16" x14ac:dyDescent="0.45">
      <c r="A124" s="65">
        <v>121</v>
      </c>
      <c r="B124" s="62">
        <v>623.70000000000039</v>
      </c>
      <c r="C124" s="62">
        <v>5.1545454545454579</v>
      </c>
      <c r="D124" s="67">
        <v>1.8925619834710743</v>
      </c>
      <c r="E124" s="63">
        <v>0.41322314049586778</v>
      </c>
      <c r="F124" s="63">
        <v>0.30578512396694213</v>
      </c>
      <c r="G124" s="63">
        <v>0.28225806451612906</v>
      </c>
      <c r="H124" s="63">
        <v>0.16935483870967741</v>
      </c>
      <c r="I124" s="64">
        <v>10701.428571428571</v>
      </c>
      <c r="J124" s="64">
        <v>-7998.2142857142853</v>
      </c>
      <c r="K124" s="63">
        <v>0.10743801652892562</v>
      </c>
      <c r="L124" s="63">
        <v>0.30947580645161288</v>
      </c>
      <c r="M124" s="63">
        <v>0.18044354838709678</v>
      </c>
      <c r="N124" s="63">
        <v>0.55374592833876224</v>
      </c>
      <c r="O124" s="63">
        <v>0.4022346368715084</v>
      </c>
      <c r="P124" s="63">
        <v>0.50714285714285712</v>
      </c>
    </row>
    <row r="125" spans="1:16" x14ac:dyDescent="0.45">
      <c r="A125" s="65">
        <v>122</v>
      </c>
      <c r="B125" s="62">
        <v>609.30000000000041</v>
      </c>
      <c r="C125" s="62">
        <v>4.9942622950819704</v>
      </c>
      <c r="D125" s="67">
        <v>1.8934426229508197</v>
      </c>
      <c r="E125" s="63">
        <v>0.4098360655737705</v>
      </c>
      <c r="F125" s="63">
        <v>0.30327868852459017</v>
      </c>
      <c r="G125" s="63">
        <v>0.28128128128128127</v>
      </c>
      <c r="H125" s="63">
        <v>0.17017017017017017</v>
      </c>
      <c r="I125" s="64">
        <v>10666.903914590748</v>
      </c>
      <c r="J125" s="64">
        <v>-7932.9411764705883</v>
      </c>
      <c r="K125" s="63">
        <v>0.10655737704918032</v>
      </c>
      <c r="L125" s="63">
        <v>0.30730730730730732</v>
      </c>
      <c r="M125" s="63">
        <v>0.18118118118118118</v>
      </c>
      <c r="N125" s="63">
        <v>0.55374592833876224</v>
      </c>
      <c r="O125" s="63">
        <v>0.40331491712707185</v>
      </c>
      <c r="P125" s="63">
        <v>0.50533807829181498</v>
      </c>
    </row>
    <row r="126" spans="1:16" x14ac:dyDescent="0.45">
      <c r="A126" s="65">
        <v>123</v>
      </c>
      <c r="B126" s="62">
        <v>621.50000000000045</v>
      </c>
      <c r="C126" s="62">
        <v>5.052845528455288</v>
      </c>
      <c r="D126" s="67">
        <v>1.8943089430894309</v>
      </c>
      <c r="E126" s="63">
        <v>0.4065040650406504</v>
      </c>
      <c r="F126" s="63">
        <v>0.30081300813008133</v>
      </c>
      <c r="G126" s="63">
        <v>0.2813121272365805</v>
      </c>
      <c r="H126" s="63">
        <v>0.16898608349900596</v>
      </c>
      <c r="I126" s="64">
        <v>10697.526501766784</v>
      </c>
      <c r="J126" s="64">
        <v>-7932.9411764705883</v>
      </c>
      <c r="K126" s="63">
        <v>0.10569105691056911</v>
      </c>
      <c r="L126" s="63">
        <v>0.30715705765407553</v>
      </c>
      <c r="M126" s="63">
        <v>0.18091451292246521</v>
      </c>
      <c r="N126" s="63">
        <v>0.55339805825242716</v>
      </c>
      <c r="O126" s="63">
        <v>0.40109890109890112</v>
      </c>
      <c r="P126" s="63">
        <v>0.50176678445229683</v>
      </c>
    </row>
    <row r="127" spans="1:16" x14ac:dyDescent="0.45">
      <c r="A127" s="65">
        <v>124</v>
      </c>
      <c r="B127" s="62">
        <v>571.00000000000045</v>
      </c>
      <c r="C127" s="62">
        <v>4.6048387096774226</v>
      </c>
      <c r="D127" s="67">
        <v>1.903225806451613</v>
      </c>
      <c r="E127" s="63">
        <v>0.40322580645161288</v>
      </c>
      <c r="F127" s="63">
        <v>0.30645161290322581</v>
      </c>
      <c r="G127" s="63">
        <v>0.27936821322803551</v>
      </c>
      <c r="H127" s="63">
        <v>0.16979269496544916</v>
      </c>
      <c r="I127" s="64">
        <v>10697.526501766784</v>
      </c>
      <c r="J127" s="64">
        <v>-7897.0930232558139</v>
      </c>
      <c r="K127" s="63">
        <v>0.11290322580645161</v>
      </c>
      <c r="L127" s="63">
        <v>0.30700888450148073</v>
      </c>
      <c r="M127" s="63">
        <v>0.18065153010858837</v>
      </c>
      <c r="N127" s="63">
        <v>0.54983922829581988</v>
      </c>
      <c r="O127" s="63">
        <v>0.39890710382513661</v>
      </c>
      <c r="P127" s="63">
        <v>0.50176678445229683</v>
      </c>
    </row>
    <row r="128" spans="1:16" x14ac:dyDescent="0.45">
      <c r="A128" s="65">
        <v>125</v>
      </c>
      <c r="B128" s="62">
        <v>505.50000000000045</v>
      </c>
      <c r="C128" s="62">
        <v>4.044000000000004</v>
      </c>
      <c r="D128" s="67">
        <v>1.9119999999999999</v>
      </c>
      <c r="E128" s="63">
        <v>0.4</v>
      </c>
      <c r="F128" s="63">
        <v>0.312</v>
      </c>
      <c r="G128" s="63">
        <v>0.27881773399014781</v>
      </c>
      <c r="H128" s="63">
        <v>0.17044334975369457</v>
      </c>
      <c r="I128" s="64">
        <v>10697.526501766784</v>
      </c>
      <c r="J128" s="64">
        <v>-8128.9017341040462</v>
      </c>
      <c r="K128" s="63">
        <v>0.12</v>
      </c>
      <c r="L128" s="63">
        <v>0.30640394088669953</v>
      </c>
      <c r="M128" s="63">
        <v>0.18029556650246306</v>
      </c>
      <c r="N128" s="63">
        <v>0.54983922829581988</v>
      </c>
      <c r="O128" s="63">
        <v>0.39890710382513661</v>
      </c>
      <c r="P128" s="63">
        <v>0.50176678445229683</v>
      </c>
    </row>
    <row r="129" spans="1:16" x14ac:dyDescent="0.45">
      <c r="A129" s="65">
        <v>126</v>
      </c>
      <c r="B129" s="62">
        <v>475.00000000000045</v>
      </c>
      <c r="C129" s="62">
        <v>3.7698412698412733</v>
      </c>
      <c r="D129" s="67">
        <v>1.9206349206349207</v>
      </c>
      <c r="E129" s="63">
        <v>0.3968253968253968</v>
      </c>
      <c r="F129" s="63">
        <v>0.31746031746031744</v>
      </c>
      <c r="G129" s="63">
        <v>0.27788649706457924</v>
      </c>
      <c r="H129" s="63">
        <v>0.17123287671232876</v>
      </c>
      <c r="I129" s="64">
        <v>10702.112676056338</v>
      </c>
      <c r="J129" s="64">
        <v>-8111.4285714285716</v>
      </c>
      <c r="K129" s="63">
        <v>0.11904761904761904</v>
      </c>
      <c r="L129" s="63">
        <v>0.30430528375733856</v>
      </c>
      <c r="M129" s="63">
        <v>0.18395303326810175</v>
      </c>
      <c r="N129" s="63">
        <v>0.54983922829581988</v>
      </c>
      <c r="O129" s="63">
        <v>0.39361702127659576</v>
      </c>
      <c r="P129" s="63">
        <v>0.50352112676056338</v>
      </c>
    </row>
    <row r="130" spans="1:16" x14ac:dyDescent="0.45">
      <c r="A130" s="65">
        <v>127</v>
      </c>
      <c r="B130" s="62">
        <v>531.30000000000041</v>
      </c>
      <c r="C130" s="62">
        <v>4.1834645669291373</v>
      </c>
      <c r="D130" s="67">
        <v>1.9133858267716535</v>
      </c>
      <c r="E130" s="63">
        <v>0.40157480314960631</v>
      </c>
      <c r="F130" s="63">
        <v>0.31496062992125984</v>
      </c>
      <c r="G130" s="63">
        <v>0.27756286266924562</v>
      </c>
      <c r="H130" s="63">
        <v>0.17117988394584138</v>
      </c>
      <c r="I130" s="64">
        <v>10827.177700348431</v>
      </c>
      <c r="J130" s="64">
        <v>-8116.9491525423728</v>
      </c>
      <c r="K130" s="63">
        <v>0.11811023622047244</v>
      </c>
      <c r="L130" s="63">
        <v>0.30367504835589942</v>
      </c>
      <c r="M130" s="63">
        <v>0.18568665377176016</v>
      </c>
      <c r="N130" s="63">
        <v>0.55095541401273884</v>
      </c>
      <c r="O130" s="63">
        <v>0.390625</v>
      </c>
      <c r="P130" s="63">
        <v>0.50871080139372826</v>
      </c>
    </row>
    <row r="131" spans="1:16" x14ac:dyDescent="0.45">
      <c r="A131" s="65">
        <v>128</v>
      </c>
      <c r="B131" s="62">
        <v>494.10000000000042</v>
      </c>
      <c r="C131" s="62">
        <v>3.8601562500000033</v>
      </c>
      <c r="D131" s="67">
        <v>1.921875</v>
      </c>
      <c r="E131" s="63">
        <v>0.3984375</v>
      </c>
      <c r="F131" s="63">
        <v>0.3203125</v>
      </c>
      <c r="G131" s="63">
        <v>0.27586206896551724</v>
      </c>
      <c r="H131" s="63">
        <v>0.17145593869731801</v>
      </c>
      <c r="I131" s="64">
        <v>10831.25</v>
      </c>
      <c r="J131" s="64">
        <v>-8136.3128491620109</v>
      </c>
      <c r="K131" s="63">
        <v>0.1171875</v>
      </c>
      <c r="L131" s="63">
        <v>0.30363984674329503</v>
      </c>
      <c r="M131" s="63">
        <v>0.18486590038314177</v>
      </c>
      <c r="N131" s="63">
        <v>0.54889589905362779</v>
      </c>
      <c r="O131" s="63">
        <v>0.38860103626943004</v>
      </c>
      <c r="P131" s="63">
        <v>0.51041666666666663</v>
      </c>
    </row>
    <row r="132" spans="1:16" x14ac:dyDescent="0.45">
      <c r="A132" s="65">
        <v>129</v>
      </c>
      <c r="B132" s="62">
        <v>529.80000000000041</v>
      </c>
      <c r="C132" s="62">
        <v>4.1069767441860501</v>
      </c>
      <c r="D132" s="67">
        <v>1.9147286821705427</v>
      </c>
      <c r="E132" s="63">
        <v>0.40310077519379844</v>
      </c>
      <c r="F132" s="63">
        <v>0.31782945736434109</v>
      </c>
      <c r="G132" s="63">
        <v>0.27714285714285714</v>
      </c>
      <c r="H132" s="63">
        <v>0.17047619047619048</v>
      </c>
      <c r="I132" s="64">
        <v>10828.52233676976</v>
      </c>
      <c r="J132" s="64">
        <v>-8136.3128491620109</v>
      </c>
      <c r="K132" s="63">
        <v>0.11627906976744186</v>
      </c>
      <c r="L132" s="63">
        <v>0.30476190476190479</v>
      </c>
      <c r="M132" s="63">
        <v>0.18380952380952381</v>
      </c>
      <c r="N132" s="63">
        <v>0.55312499999999998</v>
      </c>
      <c r="O132" s="63">
        <v>0.38860103626943004</v>
      </c>
      <c r="P132" s="63">
        <v>0.51202749140893467</v>
      </c>
    </row>
    <row r="133" spans="1:16" x14ac:dyDescent="0.45">
      <c r="A133" s="65">
        <v>130</v>
      </c>
      <c r="B133" s="62">
        <v>512.20000000000039</v>
      </c>
      <c r="C133" s="62">
        <v>3.9400000000000031</v>
      </c>
      <c r="D133" s="67">
        <v>1.9230769230769231</v>
      </c>
      <c r="E133" s="63">
        <v>0.4</v>
      </c>
      <c r="F133" s="63">
        <v>0.32307692307692309</v>
      </c>
      <c r="G133" s="63">
        <v>0.27599243856332706</v>
      </c>
      <c r="H133" s="63">
        <v>0.17013232514177692</v>
      </c>
      <c r="I133" s="64">
        <v>10798.630136986301</v>
      </c>
      <c r="J133" s="64">
        <v>-8105.5555555555557</v>
      </c>
      <c r="K133" s="63">
        <v>0.11538461538461539</v>
      </c>
      <c r="L133" s="63">
        <v>0.30434782608695654</v>
      </c>
      <c r="M133" s="63">
        <v>0.18525519848771266</v>
      </c>
      <c r="N133" s="63">
        <v>0.5496894409937888</v>
      </c>
      <c r="O133" s="63">
        <v>0.38265306122448978</v>
      </c>
      <c r="P133" s="63">
        <v>0.51369863013698636</v>
      </c>
    </row>
    <row r="134" spans="1:16" x14ac:dyDescent="0.45">
      <c r="A134" s="65">
        <v>131</v>
      </c>
      <c r="B134" s="62">
        <v>465.20000000000039</v>
      </c>
      <c r="C134" s="62">
        <v>3.5511450381679417</v>
      </c>
      <c r="D134" s="67">
        <v>1.9312977099236641</v>
      </c>
      <c r="E134" s="63">
        <v>0.39694656488549618</v>
      </c>
      <c r="F134" s="63">
        <v>0.3282442748091603</v>
      </c>
      <c r="G134" s="63">
        <v>0.27417840375586855</v>
      </c>
      <c r="H134" s="63">
        <v>0.17183098591549295</v>
      </c>
      <c r="I134" s="64">
        <v>10798.630136986301</v>
      </c>
      <c r="J134" s="64">
        <v>-8065.0273224043713</v>
      </c>
      <c r="K134" s="63">
        <v>0.12213740458015267</v>
      </c>
      <c r="L134" s="63">
        <v>0.30234741784037561</v>
      </c>
      <c r="M134" s="63">
        <v>0.18497652582159624</v>
      </c>
      <c r="N134" s="63">
        <v>0.5496894409937888</v>
      </c>
      <c r="O134" s="63">
        <v>0.38071065989847713</v>
      </c>
      <c r="P134" s="63">
        <v>0.51369863013698636</v>
      </c>
    </row>
    <row r="135" spans="1:16" x14ac:dyDescent="0.45">
      <c r="A135" s="65">
        <v>132</v>
      </c>
      <c r="B135" s="62">
        <v>452.20000000000039</v>
      </c>
      <c r="C135" s="62">
        <v>3.4257575757575789</v>
      </c>
      <c r="D135" s="67">
        <v>1.9318181818181819</v>
      </c>
      <c r="E135" s="63">
        <v>0.39393939393939392</v>
      </c>
      <c r="F135" s="63">
        <v>0.32575757575757575</v>
      </c>
      <c r="G135" s="63">
        <v>0.27255813953488373</v>
      </c>
      <c r="H135" s="63">
        <v>0.17209302325581396</v>
      </c>
      <c r="I135" s="64">
        <v>10816.382252559726</v>
      </c>
      <c r="J135" s="64">
        <v>-8040.5405405405409</v>
      </c>
      <c r="K135" s="63">
        <v>0.12121212121212122</v>
      </c>
      <c r="L135" s="63">
        <v>0.30139534883720931</v>
      </c>
      <c r="M135" s="63">
        <v>0.18511627906976744</v>
      </c>
      <c r="N135" s="63">
        <v>0.54938271604938271</v>
      </c>
      <c r="O135" s="63">
        <v>0.37688442211055279</v>
      </c>
      <c r="P135" s="63">
        <v>0.51194539249146753</v>
      </c>
    </row>
    <row r="136" spans="1:16" x14ac:dyDescent="0.45">
      <c r="A136" s="65">
        <v>133</v>
      </c>
      <c r="B136" s="62">
        <v>512.90000000000043</v>
      </c>
      <c r="C136" s="62">
        <v>3.8563909774436125</v>
      </c>
      <c r="D136" s="67">
        <v>1.9248120300751879</v>
      </c>
      <c r="E136" s="63">
        <v>0.39849624060150374</v>
      </c>
      <c r="F136" s="63">
        <v>0.32330827067669171</v>
      </c>
      <c r="G136" s="63">
        <v>0.27331486611265005</v>
      </c>
      <c r="H136" s="63">
        <v>0.17359187442289936</v>
      </c>
      <c r="I136" s="64">
        <v>10950</v>
      </c>
      <c r="J136" s="64">
        <v>-7993.6170212765956</v>
      </c>
      <c r="K136" s="63">
        <v>0.12030075187969924</v>
      </c>
      <c r="L136" s="63">
        <v>0.30009233610341646</v>
      </c>
      <c r="M136" s="63">
        <v>0.18374884579870729</v>
      </c>
      <c r="N136" s="63">
        <v>0.55076923076923079</v>
      </c>
      <c r="O136" s="63">
        <v>0.37688442211055279</v>
      </c>
      <c r="P136" s="63">
        <v>0.51351351351351349</v>
      </c>
    </row>
    <row r="137" spans="1:16" x14ac:dyDescent="0.45">
      <c r="A137" s="65">
        <v>134</v>
      </c>
      <c r="B137" s="62">
        <v>544.10000000000048</v>
      </c>
      <c r="C137" s="62">
        <v>4.0604477611940331</v>
      </c>
      <c r="D137" s="67">
        <v>1.9179104477611941</v>
      </c>
      <c r="E137" s="63">
        <v>0.40298507462686567</v>
      </c>
      <c r="F137" s="63">
        <v>0.32089552238805968</v>
      </c>
      <c r="G137" s="63">
        <v>0.27422303473491771</v>
      </c>
      <c r="H137" s="63">
        <v>0.17367458866544791</v>
      </c>
      <c r="I137" s="64">
        <v>10948</v>
      </c>
      <c r="J137" s="64">
        <v>-7993.6842105263158</v>
      </c>
      <c r="K137" s="63">
        <v>0.11940298507462686</v>
      </c>
      <c r="L137" s="63">
        <v>0.29981718464351004</v>
      </c>
      <c r="M137" s="63">
        <v>0.18190127970749542</v>
      </c>
      <c r="N137" s="63">
        <v>0.54878048780487809</v>
      </c>
      <c r="O137" s="63">
        <v>0.37688442211055279</v>
      </c>
      <c r="P137" s="63">
        <v>0.51</v>
      </c>
    </row>
    <row r="138" spans="1:16" x14ac:dyDescent="0.45">
      <c r="A138" s="65">
        <v>135</v>
      </c>
      <c r="B138" s="62">
        <v>548.60000000000048</v>
      </c>
      <c r="C138" s="62">
        <v>4.0637037037037071</v>
      </c>
      <c r="D138" s="67">
        <v>1.9185185185185185</v>
      </c>
      <c r="E138" s="63">
        <v>0.4</v>
      </c>
      <c r="F138" s="63">
        <v>0.31851851851851853</v>
      </c>
      <c r="G138" s="63">
        <v>0.27445652173913043</v>
      </c>
      <c r="H138" s="63">
        <v>0.17481884057971014</v>
      </c>
      <c r="I138" s="64">
        <v>10919.141914191419</v>
      </c>
      <c r="J138" s="64">
        <v>-7965.8031088082898</v>
      </c>
      <c r="K138" s="63">
        <v>0.11851851851851852</v>
      </c>
      <c r="L138" s="63">
        <v>0.29891304347826086</v>
      </c>
      <c r="M138" s="63">
        <v>0.18115942028985507</v>
      </c>
      <c r="N138" s="63">
        <v>0.54848484848484846</v>
      </c>
      <c r="O138" s="63">
        <v>0.375</v>
      </c>
      <c r="P138" s="63">
        <v>0.5082508250825083</v>
      </c>
    </row>
    <row r="139" spans="1:16" x14ac:dyDescent="0.45">
      <c r="A139" s="65">
        <v>136</v>
      </c>
      <c r="B139" s="62">
        <v>555.10000000000048</v>
      </c>
      <c r="C139" s="62">
        <v>4.0816176470588275</v>
      </c>
      <c r="D139" s="67">
        <v>1.9191176470588236</v>
      </c>
      <c r="E139" s="63">
        <v>0.39705882352941174</v>
      </c>
      <c r="F139" s="63">
        <v>0.31617647058823528</v>
      </c>
      <c r="G139" s="63">
        <v>0.27387387387387385</v>
      </c>
      <c r="H139" s="63">
        <v>0.17387387387387387</v>
      </c>
      <c r="I139" s="64">
        <v>10935.855263157895</v>
      </c>
      <c r="J139" s="64">
        <v>-7965.8031088082898</v>
      </c>
      <c r="K139" s="63">
        <v>0.11764705882352941</v>
      </c>
      <c r="L139" s="63">
        <v>0.29819819819819821</v>
      </c>
      <c r="M139" s="63">
        <v>0.18108108108108109</v>
      </c>
      <c r="N139" s="63">
        <v>0.54682779456193353</v>
      </c>
      <c r="O139" s="63">
        <v>0.37313432835820898</v>
      </c>
      <c r="P139" s="63">
        <v>0.50986842105263153</v>
      </c>
    </row>
    <row r="140" spans="1:16" x14ac:dyDescent="0.45">
      <c r="A140" s="65">
        <v>137</v>
      </c>
      <c r="B140" s="62">
        <v>588.50000000000045</v>
      </c>
      <c r="C140" s="62">
        <v>4.2956204379562077</v>
      </c>
      <c r="D140" s="67">
        <v>1.9124087591240877</v>
      </c>
      <c r="E140" s="63">
        <v>0.40145985401459855</v>
      </c>
      <c r="F140" s="63">
        <v>0.31386861313868614</v>
      </c>
      <c r="G140" s="63">
        <v>0.27370304114490163</v>
      </c>
      <c r="H140" s="63">
        <v>0.1744186046511628</v>
      </c>
      <c r="I140" s="64">
        <v>10949.346405228758</v>
      </c>
      <c r="J140" s="64">
        <v>-7916.4102564102568</v>
      </c>
      <c r="K140" s="63">
        <v>0.11678832116788321</v>
      </c>
      <c r="L140" s="63">
        <v>0.29785330948121647</v>
      </c>
      <c r="M140" s="63">
        <v>0.18067978533094811</v>
      </c>
      <c r="N140" s="63">
        <v>0.5495495495495496</v>
      </c>
      <c r="O140" s="63">
        <v>0.37128712871287128</v>
      </c>
      <c r="P140" s="63">
        <v>0.50980392156862742</v>
      </c>
    </row>
    <row r="141" spans="1:16" x14ac:dyDescent="0.45">
      <c r="A141" s="65">
        <v>138</v>
      </c>
      <c r="B141" s="62">
        <v>556.7000000000005</v>
      </c>
      <c r="C141" s="62">
        <v>4.0340579710144961</v>
      </c>
      <c r="D141" s="67">
        <v>1.9202898550724639</v>
      </c>
      <c r="E141" s="63">
        <v>0.39855072463768115</v>
      </c>
      <c r="F141" s="63">
        <v>0.3188405797101449</v>
      </c>
      <c r="G141" s="63">
        <v>0.27200000000000002</v>
      </c>
      <c r="H141" s="63">
        <v>0.17422222222222222</v>
      </c>
      <c r="I141" s="64">
        <v>10949.346405228758</v>
      </c>
      <c r="J141" s="64">
        <v>-7937.2448979591836</v>
      </c>
      <c r="K141" s="63">
        <v>0.11594202898550725</v>
      </c>
      <c r="L141" s="63">
        <v>0.29599999999999999</v>
      </c>
      <c r="M141" s="63">
        <v>0.18133333333333335</v>
      </c>
      <c r="N141" s="63">
        <v>0.5495495495495496</v>
      </c>
      <c r="O141" s="63">
        <v>0.36764705882352944</v>
      </c>
      <c r="P141" s="63">
        <v>0.50980392156862742</v>
      </c>
    </row>
    <row r="142" spans="1:16" x14ac:dyDescent="0.45">
      <c r="A142" s="65">
        <v>139</v>
      </c>
      <c r="B142" s="62">
        <v>581.90000000000055</v>
      </c>
      <c r="C142" s="62">
        <v>4.1863309352518021</v>
      </c>
      <c r="D142" s="67">
        <v>1.9136690647482015</v>
      </c>
      <c r="E142" s="63">
        <v>0.40287769784172661</v>
      </c>
      <c r="F142" s="63">
        <v>0.31654676258992803</v>
      </c>
      <c r="G142" s="63">
        <v>0.27208480565371024</v>
      </c>
      <c r="H142" s="63">
        <v>0.17402826855123674</v>
      </c>
      <c r="I142" s="64">
        <v>10969.155844155845</v>
      </c>
      <c r="J142" s="64">
        <v>-7926.3959390862947</v>
      </c>
      <c r="K142" s="63">
        <v>0.11510791366906475</v>
      </c>
      <c r="L142" s="63">
        <v>0.29593639575971731</v>
      </c>
      <c r="M142" s="63">
        <v>0.18197879858657243</v>
      </c>
      <c r="N142" s="63">
        <v>0.54925373134328359</v>
      </c>
      <c r="O142" s="63">
        <v>0.36893203883495146</v>
      </c>
      <c r="P142" s="63">
        <v>0.51298701298701299</v>
      </c>
    </row>
    <row r="143" spans="1:16" x14ac:dyDescent="0.45">
      <c r="A143" s="65">
        <v>140</v>
      </c>
      <c r="B143" s="62">
        <v>587.90000000000055</v>
      </c>
      <c r="C143" s="62">
        <v>4.1992857142857183</v>
      </c>
      <c r="D143" s="67">
        <v>1.9142857142857144</v>
      </c>
      <c r="E143" s="63">
        <v>0.4</v>
      </c>
      <c r="F143" s="63">
        <v>0.31428571428571428</v>
      </c>
      <c r="G143" s="63">
        <v>0.27192982456140352</v>
      </c>
      <c r="H143" s="63">
        <v>0.1736842105263158</v>
      </c>
      <c r="I143" s="64">
        <v>11027.41935483871</v>
      </c>
      <c r="J143" s="64">
        <v>-7946.969696969697</v>
      </c>
      <c r="K143" s="63">
        <v>0.11428571428571428</v>
      </c>
      <c r="L143" s="63">
        <v>0.29736842105263156</v>
      </c>
      <c r="M143" s="63">
        <v>0.18245614035087721</v>
      </c>
      <c r="N143" s="63">
        <v>0.54867256637168138</v>
      </c>
      <c r="O143" s="63">
        <v>0.36538461538461536</v>
      </c>
      <c r="P143" s="63">
        <v>0.5161290322580645</v>
      </c>
    </row>
    <row r="144" spans="1:16" x14ac:dyDescent="0.45">
      <c r="A144" s="65">
        <v>141</v>
      </c>
      <c r="B144" s="62">
        <v>534.90000000000055</v>
      </c>
      <c r="C144" s="62">
        <v>3.7936170212765998</v>
      </c>
      <c r="D144" s="67">
        <v>1.9219858156028369</v>
      </c>
      <c r="E144" s="63">
        <v>0.3971631205673759</v>
      </c>
      <c r="F144" s="63">
        <v>0.31914893617021278</v>
      </c>
      <c r="G144" s="63">
        <v>0.27097902097902099</v>
      </c>
      <c r="H144" s="63">
        <v>0.17482517482517482</v>
      </c>
      <c r="I144" s="64">
        <v>11027.41935483871</v>
      </c>
      <c r="J144" s="64">
        <v>-8017.5</v>
      </c>
      <c r="K144" s="63">
        <v>0.12056737588652482</v>
      </c>
      <c r="L144" s="63">
        <v>0.29720279720279719</v>
      </c>
      <c r="M144" s="63">
        <v>0.18269230769230768</v>
      </c>
      <c r="N144" s="63">
        <v>0.54705882352941182</v>
      </c>
      <c r="O144" s="63">
        <v>0.36363636363636365</v>
      </c>
      <c r="P144" s="63">
        <v>0.5161290322580645</v>
      </c>
    </row>
    <row r="145" spans="1:16" x14ac:dyDescent="0.45">
      <c r="A145" s="65">
        <v>142</v>
      </c>
      <c r="B145" s="62">
        <v>551.50000000000057</v>
      </c>
      <c r="C145" s="62">
        <v>3.8838028169014125</v>
      </c>
      <c r="D145" s="67">
        <v>1.9225352112676057</v>
      </c>
      <c r="E145" s="63">
        <v>0.39436619718309857</v>
      </c>
      <c r="F145" s="63">
        <v>0.31690140845070425</v>
      </c>
      <c r="G145" s="63">
        <v>0.27146574154379877</v>
      </c>
      <c r="H145" s="63">
        <v>0.17519514310494363</v>
      </c>
      <c r="I145" s="64">
        <v>11062.300319488819</v>
      </c>
      <c r="J145" s="64">
        <v>-8076.2376237623766</v>
      </c>
      <c r="K145" s="63">
        <v>0.11971830985915492</v>
      </c>
      <c r="L145" s="63">
        <v>0.29835212489158719</v>
      </c>
      <c r="M145" s="63">
        <v>0.18300086730268864</v>
      </c>
      <c r="N145" s="63">
        <v>0.54360465116279066</v>
      </c>
      <c r="O145" s="63">
        <v>0.36966824644549762</v>
      </c>
      <c r="P145" s="63">
        <v>0.51757188498402551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6FB7-C609-4FE7-A9AA-3C32C742438A}">
  <sheetPr codeName="Sheet14"/>
  <dimension ref="A1:Q10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5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5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5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5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5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  <row r="99" spans="1:16" x14ac:dyDescent="0.45">
      <c r="A99" s="65">
        <v>96</v>
      </c>
      <c r="B99" s="62">
        <v>-631.19999999999993</v>
      </c>
      <c r="C99" s="62">
        <v>-6.5749999999999993</v>
      </c>
      <c r="D99" s="67">
        <v>2.1666666666666665</v>
      </c>
      <c r="E99" s="63">
        <v>0.21875</v>
      </c>
      <c r="F99" s="63">
        <v>0.38541666666666669</v>
      </c>
      <c r="G99" s="63">
        <v>0.27106227106227104</v>
      </c>
      <c r="H99" s="63">
        <v>0.1807081807081807</v>
      </c>
      <c r="I99" s="64">
        <v>7830.6306306306305</v>
      </c>
      <c r="J99" s="64">
        <v>-7583.7837837837842</v>
      </c>
      <c r="K99" s="63">
        <v>7.2916666666666671E-2</v>
      </c>
      <c r="L99" s="63">
        <v>0.27594627594627597</v>
      </c>
      <c r="M99" s="63">
        <v>0.19536019536019536</v>
      </c>
      <c r="N99" s="63">
        <v>0.53982300884955747</v>
      </c>
      <c r="O99" s="63">
        <v>0.41249999999999998</v>
      </c>
      <c r="P99" s="63">
        <v>0.46846846846846846</v>
      </c>
    </row>
    <row r="100" spans="1:16" x14ac:dyDescent="0.45">
      <c r="A100" s="65">
        <v>97</v>
      </c>
      <c r="B100" s="62">
        <v>-673.49999999999989</v>
      </c>
      <c r="C100" s="62">
        <v>-6.9432989690721634</v>
      </c>
      <c r="D100" s="67">
        <v>2.1752577319587627</v>
      </c>
      <c r="E100" s="63">
        <v>0.21649484536082475</v>
      </c>
      <c r="F100" s="63">
        <v>0.39175257731958762</v>
      </c>
      <c r="G100" s="63">
        <v>0.27085852478839179</v>
      </c>
      <c r="H100" s="63">
        <v>0.18016928657799275</v>
      </c>
      <c r="I100" s="64">
        <v>7832.1428571428569</v>
      </c>
      <c r="J100" s="64">
        <v>-7855.0335570469797</v>
      </c>
      <c r="K100" s="63">
        <v>7.2164948453608241E-2</v>
      </c>
      <c r="L100" s="63">
        <v>0.279322853688029</v>
      </c>
      <c r="M100" s="63">
        <v>0.19347037484885127</v>
      </c>
      <c r="N100" s="63">
        <v>0.53679653679653683</v>
      </c>
      <c r="O100" s="63">
        <v>0.41249999999999998</v>
      </c>
      <c r="P100" s="63">
        <v>0.4732142857142857</v>
      </c>
    </row>
    <row r="101" spans="1:16" x14ac:dyDescent="0.45">
      <c r="A101" s="65">
        <v>98</v>
      </c>
      <c r="B101" s="62">
        <v>-700.69999999999993</v>
      </c>
      <c r="C101" s="62">
        <v>-7.1499999999999995</v>
      </c>
      <c r="D101" s="67">
        <v>2.1836734693877551</v>
      </c>
      <c r="E101" s="63">
        <v>0.21428571428571427</v>
      </c>
      <c r="F101" s="63">
        <v>0.39795918367346939</v>
      </c>
      <c r="G101" s="63">
        <v>0.26959619952494063</v>
      </c>
      <c r="H101" s="63">
        <v>0.18171021377672208</v>
      </c>
      <c r="I101" s="64">
        <v>7816.7400881057265</v>
      </c>
      <c r="J101" s="64">
        <v>-7814.3790849673205</v>
      </c>
      <c r="K101" s="63">
        <v>7.1428571428571425E-2</v>
      </c>
      <c r="L101" s="63">
        <v>0.27672209026128264</v>
      </c>
      <c r="M101" s="63">
        <v>0.19121140142517815</v>
      </c>
      <c r="N101" s="63">
        <v>0.54077253218884125</v>
      </c>
      <c r="O101" s="63">
        <v>0.40993788819875776</v>
      </c>
      <c r="P101" s="63">
        <v>0.47136563876651982</v>
      </c>
    </row>
    <row r="102" spans="1:16" x14ac:dyDescent="0.45">
      <c r="A102" s="65">
        <v>99</v>
      </c>
      <c r="B102" s="62">
        <v>-707.4</v>
      </c>
      <c r="C102" s="62">
        <v>-7.1454545454545455</v>
      </c>
      <c r="D102" s="67">
        <v>2.1818181818181817</v>
      </c>
      <c r="E102" s="63">
        <v>0.21212121212121213</v>
      </c>
      <c r="F102" s="63">
        <v>0.39393939393939392</v>
      </c>
      <c r="G102" s="63">
        <v>0.26846424384525203</v>
      </c>
      <c r="H102" s="63">
        <v>0.1817116060961313</v>
      </c>
      <c r="I102" s="64">
        <v>7835.8078602620089</v>
      </c>
      <c r="J102" s="64">
        <v>-7840.6451612903229</v>
      </c>
      <c r="K102" s="63">
        <v>7.0707070707070704E-2</v>
      </c>
      <c r="L102" s="63">
        <v>0.27549824150058616</v>
      </c>
      <c r="M102" s="63">
        <v>0.1910902696365768</v>
      </c>
      <c r="N102" s="63">
        <v>0.54042553191489362</v>
      </c>
      <c r="O102" s="63">
        <v>0.41104294478527609</v>
      </c>
      <c r="P102" s="63">
        <v>0.46724890829694321</v>
      </c>
    </row>
    <row r="103" spans="1:16" x14ac:dyDescent="0.45">
      <c r="A103" s="65">
        <v>100</v>
      </c>
      <c r="B103" s="62">
        <v>-752.69999999999993</v>
      </c>
      <c r="C103" s="62">
        <v>-7.5269999999999992</v>
      </c>
      <c r="D103" s="67">
        <v>2.19</v>
      </c>
      <c r="E103" s="63">
        <v>0.21</v>
      </c>
      <c r="F103" s="63">
        <v>0.4</v>
      </c>
      <c r="G103" s="63">
        <v>0.26535341830822712</v>
      </c>
      <c r="H103" s="63">
        <v>0.18308227114716108</v>
      </c>
      <c r="I103" s="64">
        <v>7835.8078602620089</v>
      </c>
      <c r="J103" s="64">
        <v>-7813.9240506329115</v>
      </c>
      <c r="K103" s="63">
        <v>0.08</v>
      </c>
      <c r="L103" s="63">
        <v>0.27346465816917731</v>
      </c>
      <c r="M103" s="63">
        <v>0.19119351100811124</v>
      </c>
      <c r="N103" s="63">
        <v>0.53813559322033899</v>
      </c>
      <c r="O103" s="63">
        <v>0.40606060606060607</v>
      </c>
      <c r="P103" s="63">
        <v>0.46724890829694321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3075A-1E4B-47D6-8F20-D4270AEB21DA}">
  <sheetPr codeName="Sheet12"/>
  <dimension ref="A1:Q17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5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5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5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5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5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5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5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5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5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5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5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  <row r="150" spans="1:16" x14ac:dyDescent="0.45">
      <c r="A150" s="65">
        <v>147</v>
      </c>
      <c r="B150" s="62">
        <v>-1.6000000000001862</v>
      </c>
      <c r="C150" s="62">
        <v>-1.0884353741497864E-2</v>
      </c>
      <c r="D150" s="67">
        <v>1.9727891156462585</v>
      </c>
      <c r="E150" s="63">
        <v>0.3401360544217687</v>
      </c>
      <c r="F150" s="63">
        <v>0.31292517006802723</v>
      </c>
      <c r="G150" s="63">
        <v>0.30537459283387625</v>
      </c>
      <c r="H150" s="63">
        <v>0.18322475570032573</v>
      </c>
      <c r="I150" s="64">
        <v>8221.3333333333339</v>
      </c>
      <c r="J150" s="64">
        <v>-7959.1111111111113</v>
      </c>
      <c r="K150" s="63">
        <v>0.12244897959183673</v>
      </c>
      <c r="L150" s="63">
        <v>0.23452768729641693</v>
      </c>
      <c r="M150" s="63">
        <v>0.29804560260586321</v>
      </c>
      <c r="N150" s="63">
        <v>0.50347222222222221</v>
      </c>
      <c r="O150" s="63">
        <v>0.38251366120218577</v>
      </c>
      <c r="P150" s="63">
        <v>0.41599999999999998</v>
      </c>
    </row>
    <row r="151" spans="1:16" x14ac:dyDescent="0.45">
      <c r="A151" s="65">
        <v>148</v>
      </c>
      <c r="B151" s="62">
        <v>58.999999999999815</v>
      </c>
      <c r="C151" s="62">
        <v>0.39864864864864741</v>
      </c>
      <c r="D151" s="67">
        <v>1.9662162162162162</v>
      </c>
      <c r="E151" s="63">
        <v>0.34459459459459457</v>
      </c>
      <c r="F151" s="63">
        <v>0.3108108108108108</v>
      </c>
      <c r="G151" s="63">
        <v>0.30769230769230771</v>
      </c>
      <c r="H151" s="63">
        <v>0.18380566801619433</v>
      </c>
      <c r="I151" s="64">
        <v>8247.105263157895</v>
      </c>
      <c r="J151" s="64">
        <v>-7899.1189427312775</v>
      </c>
      <c r="K151" s="63">
        <v>0.12162162162162163</v>
      </c>
      <c r="L151" s="63">
        <v>0.23400809716599191</v>
      </c>
      <c r="M151" s="63">
        <v>0.29878542510121459</v>
      </c>
      <c r="N151" s="63">
        <v>0.50519031141868509</v>
      </c>
      <c r="O151" s="63">
        <v>0.38482384823848237</v>
      </c>
      <c r="P151" s="63">
        <v>0.41578947368421054</v>
      </c>
    </row>
    <row r="152" spans="1:16" x14ac:dyDescent="0.45">
      <c r="A152" s="65">
        <v>149</v>
      </c>
      <c r="B152" s="62">
        <v>20.499999999999815</v>
      </c>
      <c r="C152" s="62">
        <v>0.13758389261744841</v>
      </c>
      <c r="D152" s="67">
        <v>1.9731543624161074</v>
      </c>
      <c r="E152" s="63">
        <v>0.34228187919463088</v>
      </c>
      <c r="F152" s="63">
        <v>0.31543624161073824</v>
      </c>
      <c r="G152" s="63">
        <v>0.30676328502415456</v>
      </c>
      <c r="H152" s="63">
        <v>0.18438003220611915</v>
      </c>
      <c r="I152" s="64">
        <v>8256.9553805774285</v>
      </c>
      <c r="J152" s="64">
        <v>-7917.4672489082968</v>
      </c>
      <c r="K152" s="63">
        <v>0.12080536912751678</v>
      </c>
      <c r="L152" s="63">
        <v>0.23429951690821257</v>
      </c>
      <c r="M152" s="63">
        <v>0.29871175523349436</v>
      </c>
      <c r="N152" s="63">
        <v>0.50515463917525771</v>
      </c>
      <c r="O152" s="63">
        <v>0.38274932614555257</v>
      </c>
      <c r="P152" s="63">
        <v>0.41469816272965881</v>
      </c>
    </row>
    <row r="153" spans="1:16" x14ac:dyDescent="0.45">
      <c r="A153" s="65">
        <v>150</v>
      </c>
      <c r="B153" s="62">
        <v>-14.500000000000185</v>
      </c>
      <c r="C153" s="62">
        <v>-9.66666666666679E-2</v>
      </c>
      <c r="D153" s="67">
        <v>1.98</v>
      </c>
      <c r="E153" s="63">
        <v>0.34</v>
      </c>
      <c r="F153" s="63">
        <v>0.32</v>
      </c>
      <c r="G153" s="63">
        <v>0.30480000000000002</v>
      </c>
      <c r="H153" s="63">
        <v>0.18479999999999999</v>
      </c>
      <c r="I153" s="64">
        <v>8256.9553805774285</v>
      </c>
      <c r="J153" s="64">
        <v>-7900.4329004329002</v>
      </c>
      <c r="K153" s="63">
        <v>0.12</v>
      </c>
      <c r="L153" s="63">
        <v>0.23280000000000001</v>
      </c>
      <c r="M153" s="63">
        <v>0.30080000000000001</v>
      </c>
      <c r="N153" s="63">
        <v>0.50515463917525771</v>
      </c>
      <c r="O153" s="63">
        <v>0.37765957446808512</v>
      </c>
      <c r="P153" s="63">
        <v>0.41469816272965881</v>
      </c>
    </row>
    <row r="154" spans="1:16" x14ac:dyDescent="0.45">
      <c r="A154" s="65">
        <v>151</v>
      </c>
      <c r="B154" s="62">
        <v>-9.1000000000001844</v>
      </c>
      <c r="C154" s="62">
        <v>-6.0264900662252874E-2</v>
      </c>
      <c r="D154" s="67">
        <v>1.9801324503311257</v>
      </c>
      <c r="E154" s="63">
        <v>0.33774834437086093</v>
      </c>
      <c r="F154" s="63">
        <v>0.31788079470198677</v>
      </c>
      <c r="G154" s="63">
        <v>0.30389817024661891</v>
      </c>
      <c r="H154" s="63">
        <v>0.18456642800318218</v>
      </c>
      <c r="I154" s="64">
        <v>8266.7539267015709</v>
      </c>
      <c r="J154" s="64">
        <v>-7877.5862068965516</v>
      </c>
      <c r="K154" s="63">
        <v>0.11920529801324503</v>
      </c>
      <c r="L154" s="63">
        <v>0.23150357995226731</v>
      </c>
      <c r="M154" s="63">
        <v>0.30071599045346065</v>
      </c>
      <c r="N154" s="63">
        <v>0.50515463917525771</v>
      </c>
      <c r="O154" s="63">
        <v>0.37566137566137564</v>
      </c>
      <c r="P154" s="63">
        <v>0.41361256544502617</v>
      </c>
    </row>
    <row r="155" spans="1:16" x14ac:dyDescent="0.45">
      <c r="A155" s="65">
        <v>152</v>
      </c>
      <c r="B155" s="62">
        <v>-44.100000000000186</v>
      </c>
      <c r="C155" s="62">
        <v>-0.29013157894736963</v>
      </c>
      <c r="D155" s="67">
        <v>1.986842105263158</v>
      </c>
      <c r="E155" s="63">
        <v>0.33552631578947367</v>
      </c>
      <c r="F155" s="63">
        <v>0.32236842105263158</v>
      </c>
      <c r="G155" s="63">
        <v>0.3027667984189723</v>
      </c>
      <c r="H155" s="63">
        <v>0.18498023715415018</v>
      </c>
      <c r="I155" s="64">
        <v>8266.0574412532642</v>
      </c>
      <c r="J155" s="64">
        <v>-7883.7606837606836</v>
      </c>
      <c r="K155" s="63">
        <v>0.11842105263157894</v>
      </c>
      <c r="L155" s="63">
        <v>0.23241106719367588</v>
      </c>
      <c r="M155" s="63">
        <v>0.30039525691699603</v>
      </c>
      <c r="N155" s="63">
        <v>0.50340136054421769</v>
      </c>
      <c r="O155" s="63">
        <v>0.37368421052631579</v>
      </c>
      <c r="P155" s="63">
        <v>0.41514360313315929</v>
      </c>
    </row>
    <row r="156" spans="1:16" x14ac:dyDescent="0.45">
      <c r="A156" s="65">
        <v>153</v>
      </c>
      <c r="B156" s="62">
        <v>-43.800000000000189</v>
      </c>
      <c r="C156" s="62">
        <v>-0.28627450980392283</v>
      </c>
      <c r="D156" s="67">
        <v>1.9869281045751634</v>
      </c>
      <c r="E156" s="63">
        <v>0.33333333333333331</v>
      </c>
      <c r="F156" s="63">
        <v>0.3202614379084967</v>
      </c>
      <c r="G156" s="63">
        <v>0.30322073841319719</v>
      </c>
      <c r="H156" s="63">
        <v>0.18460329929300864</v>
      </c>
      <c r="I156" s="64">
        <v>8247.6683937823836</v>
      </c>
      <c r="J156" s="64">
        <v>-7866.8085106382978</v>
      </c>
      <c r="K156" s="63">
        <v>0.11764705882352941</v>
      </c>
      <c r="L156" s="63">
        <v>0.23252160251374707</v>
      </c>
      <c r="M156" s="63">
        <v>0.30164964650432052</v>
      </c>
      <c r="N156" s="63">
        <v>0.5033783783783784</v>
      </c>
      <c r="O156" s="63">
        <v>0.375</v>
      </c>
      <c r="P156" s="63">
        <v>0.41450777202072536</v>
      </c>
    </row>
    <row r="157" spans="1:16" x14ac:dyDescent="0.45">
      <c r="A157" s="65">
        <v>154</v>
      </c>
      <c r="B157" s="62">
        <v>-31.800000000000189</v>
      </c>
      <c r="C157" s="62">
        <v>-0.20649350649350773</v>
      </c>
      <c r="D157" s="67">
        <v>1.9870129870129871</v>
      </c>
      <c r="E157" s="63">
        <v>0.33116883116883117</v>
      </c>
      <c r="F157" s="63">
        <v>0.31818181818181818</v>
      </c>
      <c r="G157" s="63">
        <v>0.30352941176470588</v>
      </c>
      <c r="H157" s="63">
        <v>0.18431372549019609</v>
      </c>
      <c r="I157" s="64">
        <v>8257.364341085271</v>
      </c>
      <c r="J157" s="64">
        <v>-7866.8085106382978</v>
      </c>
      <c r="K157" s="63">
        <v>0.11688311688311688</v>
      </c>
      <c r="L157" s="63">
        <v>0.23294117647058823</v>
      </c>
      <c r="M157" s="63">
        <v>0.30117647058823527</v>
      </c>
      <c r="N157" s="63">
        <v>0.50505050505050508</v>
      </c>
      <c r="O157" s="63">
        <v>0.375</v>
      </c>
      <c r="P157" s="63">
        <v>0.41602067183462532</v>
      </c>
    </row>
    <row r="158" spans="1:16" x14ac:dyDescent="0.45">
      <c r="A158" s="65">
        <v>155</v>
      </c>
      <c r="B158" s="62">
        <v>7.8999999999998138</v>
      </c>
      <c r="C158" s="62">
        <v>5.0967741935482667E-2</v>
      </c>
      <c r="D158" s="67">
        <v>1.9806451612903226</v>
      </c>
      <c r="E158" s="63">
        <v>0.33548387096774196</v>
      </c>
      <c r="F158" s="63">
        <v>0.31612903225806449</v>
      </c>
      <c r="G158" s="63">
        <v>0.30499219968798752</v>
      </c>
      <c r="H158" s="63">
        <v>0.18330733229329174</v>
      </c>
      <c r="I158" s="64">
        <v>8252.6854219948855</v>
      </c>
      <c r="J158" s="64">
        <v>-7866.8085106382978</v>
      </c>
      <c r="K158" s="63">
        <v>0.11612903225806452</v>
      </c>
      <c r="L158" s="63">
        <v>0.23400936037441497</v>
      </c>
      <c r="M158" s="63">
        <v>0.29953198127925118</v>
      </c>
      <c r="N158" s="63">
        <v>0.50666666666666671</v>
      </c>
      <c r="O158" s="63">
        <v>0.375</v>
      </c>
      <c r="P158" s="63">
        <v>0.41687979539641945</v>
      </c>
    </row>
    <row r="159" spans="1:16" x14ac:dyDescent="0.45">
      <c r="A159" s="65">
        <v>156</v>
      </c>
      <c r="B159" s="62">
        <v>-12.100000000000186</v>
      </c>
      <c r="C159" s="62">
        <v>-7.756410256410376E-2</v>
      </c>
      <c r="D159" s="67">
        <v>1.9807692307692308</v>
      </c>
      <c r="E159" s="63">
        <v>0.33333333333333331</v>
      </c>
      <c r="F159" s="63">
        <v>0.3141025641025641</v>
      </c>
      <c r="G159" s="63">
        <v>0.30602782071097373</v>
      </c>
      <c r="H159" s="63">
        <v>0.18238021638330756</v>
      </c>
      <c r="I159" s="64">
        <v>8215.6565656565654</v>
      </c>
      <c r="J159" s="64">
        <v>-7845.7627118644068</v>
      </c>
      <c r="K159" s="63">
        <v>0.11538461538461539</v>
      </c>
      <c r="L159" s="63">
        <v>0.2357032457496136</v>
      </c>
      <c r="M159" s="63">
        <v>0.29984544049459044</v>
      </c>
      <c r="N159" s="63">
        <v>0.50819672131147542</v>
      </c>
      <c r="O159" s="63">
        <v>0.37628865979381443</v>
      </c>
      <c r="P159" s="63">
        <v>0.41414141414141414</v>
      </c>
    </row>
    <row r="160" spans="1:16" x14ac:dyDescent="0.45">
      <c r="A160" s="65">
        <v>157</v>
      </c>
      <c r="B160" s="62">
        <v>8.8999999999998138</v>
      </c>
      <c r="C160" s="62">
        <v>5.6687898089170789E-2</v>
      </c>
      <c r="D160" s="67">
        <v>1.9745222929936306</v>
      </c>
      <c r="E160" s="63">
        <v>0.33757961783439489</v>
      </c>
      <c r="F160" s="63">
        <v>0.31210191082802546</v>
      </c>
      <c r="G160" s="63">
        <v>0.30721966205837176</v>
      </c>
      <c r="H160" s="63">
        <v>0.18202764976958524</v>
      </c>
      <c r="I160" s="64">
        <v>8179.25</v>
      </c>
      <c r="J160" s="64">
        <v>-7837.1308016877638</v>
      </c>
      <c r="K160" s="63">
        <v>0.11464968152866242</v>
      </c>
      <c r="L160" s="63">
        <v>0.23655913978494625</v>
      </c>
      <c r="M160" s="63">
        <v>0.29877112135176653</v>
      </c>
      <c r="N160" s="63">
        <v>0.50974025974025972</v>
      </c>
      <c r="O160" s="63">
        <v>0.37789203084832906</v>
      </c>
      <c r="P160" s="63">
        <v>0.41249999999999998</v>
      </c>
    </row>
    <row r="161" spans="1:16" x14ac:dyDescent="0.45">
      <c r="A161" s="65">
        <v>158</v>
      </c>
      <c r="B161" s="62">
        <v>47.099999999999817</v>
      </c>
      <c r="C161" s="62">
        <v>0.29810126582278362</v>
      </c>
      <c r="D161" s="67">
        <v>1.9683544303797469</v>
      </c>
      <c r="E161" s="63">
        <v>0.34177215189873417</v>
      </c>
      <c r="F161" s="63">
        <v>0.310126582278481</v>
      </c>
      <c r="G161" s="63">
        <v>0.30827638572513288</v>
      </c>
      <c r="H161" s="63">
        <v>0.18147304479878512</v>
      </c>
      <c r="I161" s="64">
        <v>8142.6108374384239</v>
      </c>
      <c r="J161" s="64">
        <v>-7830.1255230125525</v>
      </c>
      <c r="K161" s="63">
        <v>0.11392405063291139</v>
      </c>
      <c r="L161" s="63">
        <v>0.23690205011389523</v>
      </c>
      <c r="M161" s="63">
        <v>0.29992406985573272</v>
      </c>
      <c r="N161" s="63">
        <v>0.51282051282051277</v>
      </c>
      <c r="O161" s="63">
        <v>0.37721518987341773</v>
      </c>
      <c r="P161" s="63">
        <v>0.41133004926108374</v>
      </c>
    </row>
    <row r="162" spans="1:16" x14ac:dyDescent="0.45">
      <c r="A162" s="65">
        <v>159</v>
      </c>
      <c r="B162" s="62">
        <v>18.399999999999817</v>
      </c>
      <c r="C162" s="62">
        <v>0.11572327044025042</v>
      </c>
      <c r="D162" s="67">
        <v>1.9748427672955975</v>
      </c>
      <c r="E162" s="63">
        <v>0.33962264150943394</v>
      </c>
      <c r="F162" s="63">
        <v>0.31446540880503143</v>
      </c>
      <c r="G162" s="63">
        <v>0.30769230769230771</v>
      </c>
      <c r="H162" s="63">
        <v>0.18099547511312217</v>
      </c>
      <c r="I162" s="64">
        <v>8131.1274509803925</v>
      </c>
      <c r="J162" s="64">
        <v>-7864.166666666667</v>
      </c>
      <c r="K162" s="63">
        <v>0.11320754716981132</v>
      </c>
      <c r="L162" s="63">
        <v>0.2368024132730015</v>
      </c>
      <c r="M162" s="63">
        <v>0.30015082956259426</v>
      </c>
      <c r="N162" s="63">
        <v>0.51273885350318471</v>
      </c>
      <c r="O162" s="63">
        <v>0.37688442211055279</v>
      </c>
      <c r="P162" s="63">
        <v>0.41176470588235292</v>
      </c>
    </row>
    <row r="163" spans="1:16" x14ac:dyDescent="0.45">
      <c r="A163" s="65">
        <v>160</v>
      </c>
      <c r="B163" s="62">
        <v>-25.600000000000183</v>
      </c>
      <c r="C163" s="62">
        <v>-0.16000000000000114</v>
      </c>
      <c r="D163" s="67">
        <v>1.98125</v>
      </c>
      <c r="E163" s="63">
        <v>0.33750000000000002</v>
      </c>
      <c r="F163" s="63">
        <v>0.31874999999999998</v>
      </c>
      <c r="G163" s="63">
        <v>0.30757689422355589</v>
      </c>
      <c r="H163" s="63">
        <v>0.18229557389347337</v>
      </c>
      <c r="I163" s="64">
        <v>8116.0975609756097</v>
      </c>
      <c r="J163" s="64">
        <v>-7913.5802469135806</v>
      </c>
      <c r="K163" s="63">
        <v>0.1125</v>
      </c>
      <c r="L163" s="63">
        <v>0.23630907726931732</v>
      </c>
      <c r="M163" s="63">
        <v>0.30082520630157539</v>
      </c>
      <c r="N163" s="63">
        <v>0.51111111111111107</v>
      </c>
      <c r="O163" s="63">
        <v>0.37655860349127179</v>
      </c>
      <c r="P163" s="63">
        <v>0.41463414634146339</v>
      </c>
    </row>
    <row r="164" spans="1:16" x14ac:dyDescent="0.45">
      <c r="A164" s="65">
        <v>161</v>
      </c>
      <c r="B164" s="62">
        <v>-44.500000000000185</v>
      </c>
      <c r="C164" s="62">
        <v>-0.27639751552795144</v>
      </c>
      <c r="D164" s="67">
        <v>1.9813664596273293</v>
      </c>
      <c r="E164" s="63">
        <v>0.33540372670807456</v>
      </c>
      <c r="F164" s="63">
        <v>0.31677018633540371</v>
      </c>
      <c r="G164" s="63">
        <v>0.30843913368185211</v>
      </c>
      <c r="H164" s="63">
        <v>0.18222554144884243</v>
      </c>
      <c r="I164" s="64">
        <v>8083.0508474576272</v>
      </c>
      <c r="J164" s="64">
        <v>-7920.4918032786882</v>
      </c>
      <c r="K164" s="63">
        <v>0.11180124223602485</v>
      </c>
      <c r="L164" s="63">
        <v>0.23599701269604181</v>
      </c>
      <c r="M164" s="63">
        <v>0.30246452576549665</v>
      </c>
      <c r="N164" s="63">
        <v>0.51265822784810122</v>
      </c>
      <c r="O164" s="63">
        <v>0.37777777777777777</v>
      </c>
      <c r="P164" s="63">
        <v>0.41646489104116224</v>
      </c>
    </row>
    <row r="165" spans="1:16" x14ac:dyDescent="0.45">
      <c r="A165" s="65">
        <v>162</v>
      </c>
      <c r="B165" s="62">
        <v>-22.200000000000184</v>
      </c>
      <c r="C165" s="62">
        <v>-0.13703703703703818</v>
      </c>
      <c r="D165" s="67">
        <v>1.9753086419753085</v>
      </c>
      <c r="E165" s="63">
        <v>0.33950617283950618</v>
      </c>
      <c r="F165" s="63">
        <v>0.31481481481481483</v>
      </c>
      <c r="G165" s="63">
        <v>0.30957683741648107</v>
      </c>
      <c r="H165" s="63">
        <v>0.18114328136599853</v>
      </c>
      <c r="I165" s="64">
        <v>8041.9664268585129</v>
      </c>
      <c r="J165" s="64">
        <v>-7920.4918032786882</v>
      </c>
      <c r="K165" s="63">
        <v>0.1111111111111111</v>
      </c>
      <c r="L165" s="63">
        <v>0.23459539717891612</v>
      </c>
      <c r="M165" s="63">
        <v>0.30215293244246472</v>
      </c>
      <c r="N165" s="63">
        <v>0.51265822784810122</v>
      </c>
      <c r="O165" s="63">
        <v>0.3783783783783784</v>
      </c>
      <c r="P165" s="63">
        <v>0.41247002398081534</v>
      </c>
    </row>
    <row r="166" spans="1:16" x14ac:dyDescent="0.45">
      <c r="A166" s="65">
        <v>163</v>
      </c>
      <c r="B166" s="62">
        <v>25.099999999999813</v>
      </c>
      <c r="C166" s="62">
        <v>0.15398773006134855</v>
      </c>
      <c r="D166" s="67">
        <v>1.9693251533742331</v>
      </c>
      <c r="E166" s="63">
        <v>0.34355828220858897</v>
      </c>
      <c r="F166" s="63">
        <v>0.31288343558282211</v>
      </c>
      <c r="G166" s="63">
        <v>0.31093057607090102</v>
      </c>
      <c r="H166" s="63">
        <v>0.18020679468242246</v>
      </c>
      <c r="I166" s="64">
        <v>8038.7173396674589</v>
      </c>
      <c r="J166" s="64">
        <v>-7920.4918032786882</v>
      </c>
      <c r="K166" s="63">
        <v>0.11042944785276074</v>
      </c>
      <c r="L166" s="63">
        <v>0.23338257016248154</v>
      </c>
      <c r="M166" s="63">
        <v>0.30354505169867063</v>
      </c>
      <c r="N166" s="63">
        <v>0.51265822784810122</v>
      </c>
      <c r="O166" s="63">
        <v>0.38199513381995132</v>
      </c>
      <c r="P166" s="63">
        <v>0.41567695961995249</v>
      </c>
    </row>
    <row r="167" spans="1:16" x14ac:dyDescent="0.45">
      <c r="A167" s="65">
        <v>164</v>
      </c>
      <c r="B167" s="62">
        <v>-9.4000000000001869</v>
      </c>
      <c r="C167" s="62">
        <v>-5.7317073170732848E-2</v>
      </c>
      <c r="D167" s="67">
        <v>1.975609756097561</v>
      </c>
      <c r="E167" s="63">
        <v>0.34146341463414637</v>
      </c>
      <c r="F167" s="63">
        <v>0.31707317073170732</v>
      </c>
      <c r="G167" s="63">
        <v>0.30865102639296188</v>
      </c>
      <c r="H167" s="63">
        <v>0.17961876832844575</v>
      </c>
      <c r="I167" s="64">
        <v>8038.7173396674589</v>
      </c>
      <c r="J167" s="64">
        <v>-7920.8163265306121</v>
      </c>
      <c r="K167" s="63">
        <v>0.10975609756097561</v>
      </c>
      <c r="L167" s="63">
        <v>0.23240469208211142</v>
      </c>
      <c r="M167" s="63">
        <v>0.3027859237536657</v>
      </c>
      <c r="N167" s="63">
        <v>0.51104100946372244</v>
      </c>
      <c r="O167" s="63">
        <v>0.38014527845036322</v>
      </c>
      <c r="P167" s="63">
        <v>0.41567695961995249</v>
      </c>
    </row>
    <row r="168" spans="1:16" x14ac:dyDescent="0.45">
      <c r="A168" s="65">
        <v>165</v>
      </c>
      <c r="B168" s="62">
        <v>-48.100000000000193</v>
      </c>
      <c r="C168" s="62">
        <v>-0.29151515151515267</v>
      </c>
      <c r="D168" s="67">
        <v>1.9818181818181819</v>
      </c>
      <c r="E168" s="63">
        <v>0.33939393939393941</v>
      </c>
      <c r="F168" s="63">
        <v>0.32121212121212123</v>
      </c>
      <c r="G168" s="63">
        <v>0.30976676384839652</v>
      </c>
      <c r="H168" s="63">
        <v>0.17930029154518951</v>
      </c>
      <c r="I168" s="64">
        <v>8017.8823529411766</v>
      </c>
      <c r="J168" s="64">
        <v>-8018.6991869918702</v>
      </c>
      <c r="K168" s="63">
        <v>0.10909090909090909</v>
      </c>
      <c r="L168" s="63">
        <v>0.2325072886297376</v>
      </c>
      <c r="M168" s="63">
        <v>0.30320699708454812</v>
      </c>
      <c r="N168" s="63">
        <v>0.51410658307210033</v>
      </c>
      <c r="O168" s="63">
        <v>0.37980769230769229</v>
      </c>
      <c r="P168" s="63">
        <v>0.41411764705882353</v>
      </c>
    </row>
    <row r="169" spans="1:16" x14ac:dyDescent="0.45">
      <c r="A169" s="65">
        <v>166</v>
      </c>
      <c r="B169" s="62">
        <v>-22.900000000000194</v>
      </c>
      <c r="C169" s="62">
        <v>-0.13795180722891684</v>
      </c>
      <c r="D169" s="67">
        <v>1.9759036144578312</v>
      </c>
      <c r="E169" s="63">
        <v>0.34337349397590361</v>
      </c>
      <c r="F169" s="63">
        <v>0.31927710843373491</v>
      </c>
      <c r="G169" s="63">
        <v>0.31059506531204645</v>
      </c>
      <c r="H169" s="63">
        <v>0.17851959361393324</v>
      </c>
      <c r="I169" s="64">
        <v>8027.336448598131</v>
      </c>
      <c r="J169" s="64">
        <v>-8018.6991869918702</v>
      </c>
      <c r="K169" s="63">
        <v>0.10843373493975904</v>
      </c>
      <c r="L169" s="63">
        <v>0.23149492017416545</v>
      </c>
      <c r="M169" s="63">
        <v>0.3026124818577649</v>
      </c>
      <c r="N169" s="63">
        <v>0.51410658307210033</v>
      </c>
      <c r="O169" s="63">
        <v>0.38129496402877699</v>
      </c>
      <c r="P169" s="63">
        <v>0.4135514018691589</v>
      </c>
    </row>
    <row r="170" spans="1:16" x14ac:dyDescent="0.45">
      <c r="A170" s="65">
        <v>167</v>
      </c>
      <c r="B170" s="62">
        <v>-2.8000000000001926</v>
      </c>
      <c r="C170" s="62">
        <v>-1.6766467065869418E-2</v>
      </c>
      <c r="D170" s="67">
        <v>1.9760479041916168</v>
      </c>
      <c r="E170" s="63">
        <v>0.3413173652694611</v>
      </c>
      <c r="F170" s="63">
        <v>0.31736526946107785</v>
      </c>
      <c r="G170" s="63">
        <v>0.31123919308357351</v>
      </c>
      <c r="H170" s="63">
        <v>0.17939481268011528</v>
      </c>
      <c r="I170" s="64">
        <v>8040.0462962962965</v>
      </c>
      <c r="J170" s="64">
        <v>-7984.3373493975905</v>
      </c>
      <c r="K170" s="63">
        <v>0.10778443113772455</v>
      </c>
      <c r="L170" s="63">
        <v>0.2334293948126801</v>
      </c>
      <c r="M170" s="63">
        <v>0.30115273775216139</v>
      </c>
      <c r="N170" s="63">
        <v>0.51543209876543206</v>
      </c>
      <c r="O170" s="63">
        <v>0.38277511961722488</v>
      </c>
      <c r="P170" s="63">
        <v>0.41435185185185186</v>
      </c>
    </row>
    <row r="171" spans="1:16" x14ac:dyDescent="0.45">
      <c r="A171" s="65">
        <v>168</v>
      </c>
      <c r="B171" s="62">
        <v>21.399999999999807</v>
      </c>
      <c r="C171" s="62">
        <v>0.12738095238095123</v>
      </c>
      <c r="D171" s="67">
        <v>1.9702380952380953</v>
      </c>
      <c r="E171" s="63">
        <v>0.34523809523809523</v>
      </c>
      <c r="F171" s="63">
        <v>0.31547619047619047</v>
      </c>
      <c r="G171" s="63">
        <v>0.31254480286738351</v>
      </c>
      <c r="H171" s="63">
        <v>0.17921146953405018</v>
      </c>
      <c r="I171" s="64">
        <v>8005.7339449541287</v>
      </c>
      <c r="J171" s="64">
        <v>-7960.4</v>
      </c>
      <c r="K171" s="63">
        <v>0.10714285714285714</v>
      </c>
      <c r="L171" s="63">
        <v>0.23297491039426524</v>
      </c>
      <c r="M171" s="63">
        <v>0.30035842293906811</v>
      </c>
      <c r="N171" s="63">
        <v>0.51692307692307693</v>
      </c>
      <c r="O171" s="63">
        <v>0.38424821002386633</v>
      </c>
      <c r="P171" s="63">
        <v>0.41513761467889909</v>
      </c>
    </row>
    <row r="172" spans="1:16" x14ac:dyDescent="0.45">
      <c r="A172" s="65">
        <v>169</v>
      </c>
      <c r="B172" s="62">
        <v>20.799999999999805</v>
      </c>
      <c r="C172" s="62">
        <v>0.12307692307692192</v>
      </c>
      <c r="D172" s="67">
        <v>1.970414201183432</v>
      </c>
      <c r="E172" s="63">
        <v>0.34319526627218933</v>
      </c>
      <c r="F172" s="63">
        <v>0.31360946745562129</v>
      </c>
      <c r="G172" s="63">
        <v>0.31383737517831667</v>
      </c>
      <c r="H172" s="63">
        <v>0.1783166904422254</v>
      </c>
      <c r="I172" s="64">
        <v>7976.590909090909</v>
      </c>
      <c r="J172" s="64">
        <v>-7960.4</v>
      </c>
      <c r="K172" s="63">
        <v>0.10650887573964497</v>
      </c>
      <c r="L172" s="63">
        <v>0.23323823109843081</v>
      </c>
      <c r="M172" s="63">
        <v>0.30028530670470754</v>
      </c>
      <c r="N172" s="63">
        <v>0.51681957186544347</v>
      </c>
      <c r="O172" s="63">
        <v>0.38479809976247031</v>
      </c>
      <c r="P172" s="63">
        <v>0.41590909090909089</v>
      </c>
    </row>
    <row r="173" spans="1:16" x14ac:dyDescent="0.45">
      <c r="A173" s="65">
        <v>170</v>
      </c>
      <c r="B173" s="62">
        <v>-3.0000000000001954</v>
      </c>
      <c r="C173" s="62">
        <v>-1.764705882353056E-2</v>
      </c>
      <c r="D173" s="67">
        <v>1.9764705882352942</v>
      </c>
      <c r="E173" s="63">
        <v>0.3411764705882353</v>
      </c>
      <c r="F173" s="63">
        <v>0.31764705882352939</v>
      </c>
      <c r="G173" s="63">
        <v>0.31347517730496455</v>
      </c>
      <c r="H173" s="63">
        <v>0.17801418439716313</v>
      </c>
      <c r="I173" s="64">
        <v>7967.6470588235297</v>
      </c>
      <c r="J173" s="64">
        <v>-7933.8645418326696</v>
      </c>
      <c r="K173" s="63">
        <v>0.10588235294117647</v>
      </c>
      <c r="L173" s="63">
        <v>0.23262411347517731</v>
      </c>
      <c r="M173" s="63">
        <v>0.29929078014184396</v>
      </c>
      <c r="N173" s="63">
        <v>0.51829268292682928</v>
      </c>
      <c r="O173" s="63">
        <v>0.38625592417061611</v>
      </c>
      <c r="P173" s="63">
        <v>0.41628959276018102</v>
      </c>
    </row>
    <row r="174" spans="1:16" x14ac:dyDescent="0.45">
      <c r="A174" s="65">
        <v>171</v>
      </c>
      <c r="B174" s="62">
        <v>-27.400000000000194</v>
      </c>
      <c r="C174" s="62">
        <v>-0.16023391812865612</v>
      </c>
      <c r="D174" s="67">
        <v>1.9824561403508771</v>
      </c>
      <c r="E174" s="63">
        <v>0.33918128654970758</v>
      </c>
      <c r="F174" s="63">
        <v>0.32163742690058478</v>
      </c>
      <c r="G174" s="63">
        <v>0.31289640591966172</v>
      </c>
      <c r="H174" s="63">
        <v>0.17899929527836506</v>
      </c>
      <c r="I174" s="64">
        <v>7958.1081081081084</v>
      </c>
      <c r="J174" s="64">
        <v>-7918.1102362204729</v>
      </c>
      <c r="K174" s="63">
        <v>0.10526315789473684</v>
      </c>
      <c r="L174" s="63">
        <v>0.23326286116983791</v>
      </c>
      <c r="M174" s="63">
        <v>0.29809725158562367</v>
      </c>
      <c r="N174" s="63">
        <v>0.5166163141993958</v>
      </c>
      <c r="O174" s="63">
        <v>0.38534278959810875</v>
      </c>
      <c r="P174" s="63">
        <v>0.41666666666666669</v>
      </c>
    </row>
    <row r="175" spans="1:16" x14ac:dyDescent="0.45">
      <c r="A175" s="65">
        <v>172</v>
      </c>
      <c r="B175" s="62">
        <v>-60.500000000000199</v>
      </c>
      <c r="C175" s="62">
        <v>-0.35174418604651281</v>
      </c>
      <c r="D175" s="67">
        <v>1.9883720930232558</v>
      </c>
      <c r="E175" s="63">
        <v>0.33720930232558138</v>
      </c>
      <c r="F175" s="63">
        <v>0.32558139534883723</v>
      </c>
      <c r="G175" s="63">
        <v>0.31254379817799577</v>
      </c>
      <c r="H175" s="63">
        <v>0.17939733707077785</v>
      </c>
      <c r="I175" s="64">
        <v>7948.6547085201792</v>
      </c>
      <c r="J175" s="64">
        <v>-7970.3125</v>
      </c>
      <c r="K175" s="63">
        <v>0.10465116279069768</v>
      </c>
      <c r="L175" s="63">
        <v>0.23405746320953047</v>
      </c>
      <c r="M175" s="63">
        <v>0.29852838121934128</v>
      </c>
      <c r="N175" s="63">
        <v>0.51497005988023947</v>
      </c>
      <c r="O175" s="63">
        <v>0.38497652582159625</v>
      </c>
      <c r="P175" s="63">
        <v>0.4170403587443946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0D5FA-45FB-4CCB-9247-217E70932B0C}">
  <sheetPr codeName="Sheet10"/>
  <dimension ref="A1:Q19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5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5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5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5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5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5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5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5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5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5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5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  <row r="169" spans="1:16" x14ac:dyDescent="0.45">
      <c r="A169" s="65">
        <v>166</v>
      </c>
      <c r="B169" s="62">
        <v>1454.5</v>
      </c>
      <c r="C169" s="62">
        <v>8.7620481927710845</v>
      </c>
      <c r="D169" s="67">
        <v>1.7831325301204819</v>
      </c>
      <c r="E169" s="63">
        <v>0.46385542168674698</v>
      </c>
      <c r="F169" s="63">
        <v>0.24698795180722891</v>
      </c>
      <c r="G169" s="63">
        <v>0.3433602347762289</v>
      </c>
      <c r="H169" s="63">
        <v>0.12986060161408658</v>
      </c>
      <c r="I169" s="64">
        <v>8146.7948717948721</v>
      </c>
      <c r="J169" s="64">
        <v>-7553.1073446327682</v>
      </c>
      <c r="K169" s="63">
        <v>4.2168674698795178E-2</v>
      </c>
      <c r="L169" s="63">
        <v>0.26338958180484223</v>
      </c>
      <c r="M169" s="63">
        <v>0.23477622890682318</v>
      </c>
      <c r="N169" s="63">
        <v>0.6044568245125348</v>
      </c>
      <c r="O169" s="63">
        <v>0.49062499999999998</v>
      </c>
      <c r="P169" s="63">
        <v>0.42094017094017094</v>
      </c>
    </row>
    <row r="170" spans="1:16" x14ac:dyDescent="0.45">
      <c r="A170" s="65">
        <v>167</v>
      </c>
      <c r="B170" s="62">
        <v>1408.3</v>
      </c>
      <c r="C170" s="62">
        <v>8.432934131736527</v>
      </c>
      <c r="D170" s="67">
        <v>1.7904191616766467</v>
      </c>
      <c r="E170" s="63">
        <v>0.46107784431137727</v>
      </c>
      <c r="F170" s="63">
        <v>0.25149700598802394</v>
      </c>
      <c r="G170" s="63">
        <v>0.34233576642335767</v>
      </c>
      <c r="H170" s="63">
        <v>0.12992700729927006</v>
      </c>
      <c r="I170" s="64">
        <v>8132.1961620469083</v>
      </c>
      <c r="J170" s="64">
        <v>-7645.5056179775283</v>
      </c>
      <c r="K170" s="63">
        <v>4.790419161676647E-2</v>
      </c>
      <c r="L170" s="63">
        <v>0.26423357664233577</v>
      </c>
      <c r="M170" s="63">
        <v>0.23430656934306571</v>
      </c>
      <c r="N170" s="63">
        <v>0.59944751381215466</v>
      </c>
      <c r="O170" s="63">
        <v>0.48909657320872274</v>
      </c>
      <c r="P170" s="63">
        <v>0.42004264392324092</v>
      </c>
    </row>
    <row r="171" spans="1:16" x14ac:dyDescent="0.45">
      <c r="A171" s="65">
        <v>168</v>
      </c>
      <c r="B171" s="62">
        <v>1434.6</v>
      </c>
      <c r="C171" s="62">
        <v>8.5392857142857146</v>
      </c>
      <c r="D171" s="67">
        <v>1.7857142857142858</v>
      </c>
      <c r="E171" s="63">
        <v>0.4642857142857143</v>
      </c>
      <c r="F171" s="63">
        <v>0.25</v>
      </c>
      <c r="G171" s="63">
        <v>0.34350036310820625</v>
      </c>
      <c r="H171" s="63">
        <v>0.13071895424836602</v>
      </c>
      <c r="I171" s="64">
        <v>8142.2832980972516</v>
      </c>
      <c r="J171" s="64">
        <v>-7693.8888888888887</v>
      </c>
      <c r="K171" s="63">
        <v>4.7619047619047616E-2</v>
      </c>
      <c r="L171" s="63">
        <v>0.26361655773420478</v>
      </c>
      <c r="M171" s="63">
        <v>0.23529411764705882</v>
      </c>
      <c r="N171" s="63">
        <v>0.60055096418732778</v>
      </c>
      <c r="O171" s="63">
        <v>0.49074074074074076</v>
      </c>
      <c r="P171" s="63">
        <v>0.42283298097251587</v>
      </c>
    </row>
    <row r="172" spans="1:16" x14ac:dyDescent="0.45">
      <c r="A172" s="65">
        <v>169</v>
      </c>
      <c r="B172" s="62">
        <v>1474.3999999999999</v>
      </c>
      <c r="C172" s="62">
        <v>8.7242603550295854</v>
      </c>
      <c r="D172" s="67">
        <v>1.7810650887573964</v>
      </c>
      <c r="E172" s="63">
        <v>0.46745562130177515</v>
      </c>
      <c r="F172" s="63">
        <v>0.24852071005917159</v>
      </c>
      <c r="G172" s="63">
        <v>0.34393063583815031</v>
      </c>
      <c r="H172" s="63">
        <v>0.13005780346820808</v>
      </c>
      <c r="I172" s="64">
        <v>8137.8151260504201</v>
      </c>
      <c r="J172" s="64">
        <v>-7693.8888888888887</v>
      </c>
      <c r="K172" s="63">
        <v>4.7337278106508875E-2</v>
      </c>
      <c r="L172" s="63">
        <v>0.26517341040462428</v>
      </c>
      <c r="M172" s="63">
        <v>0.23410404624277456</v>
      </c>
      <c r="N172" s="63">
        <v>0.59945504087193457</v>
      </c>
      <c r="O172" s="63">
        <v>0.49074074074074076</v>
      </c>
      <c r="P172" s="63">
        <v>0.42436974789915966</v>
      </c>
    </row>
    <row r="173" spans="1:16" x14ac:dyDescent="0.45">
      <c r="A173" s="65">
        <v>170</v>
      </c>
      <c r="B173" s="62">
        <v>1472.4999999999998</v>
      </c>
      <c r="C173" s="62">
        <v>8.6617647058823515</v>
      </c>
      <c r="D173" s="67">
        <v>1.7823529411764707</v>
      </c>
      <c r="E173" s="63">
        <v>0.46470588235294119</v>
      </c>
      <c r="F173" s="63">
        <v>0.24705882352941178</v>
      </c>
      <c r="G173" s="63">
        <v>0.34316546762589928</v>
      </c>
      <c r="H173" s="63">
        <v>0.13093525179856116</v>
      </c>
      <c r="I173" s="64">
        <v>8145.9119496855346</v>
      </c>
      <c r="J173" s="64">
        <v>-7636.2637362637361</v>
      </c>
      <c r="K173" s="63">
        <v>4.7058823529411764E-2</v>
      </c>
      <c r="L173" s="63">
        <v>0.26402877697841726</v>
      </c>
      <c r="M173" s="63">
        <v>0.23525179856115108</v>
      </c>
      <c r="N173" s="63">
        <v>0.59945504087193457</v>
      </c>
      <c r="O173" s="63">
        <v>0.4892966360856269</v>
      </c>
      <c r="P173" s="63">
        <v>0.42348008385744235</v>
      </c>
    </row>
    <row r="174" spans="1:16" x14ac:dyDescent="0.45">
      <c r="A174" s="65">
        <v>171</v>
      </c>
      <c r="B174" s="62">
        <v>1533.2999999999997</v>
      </c>
      <c r="C174" s="62">
        <v>8.966666666666665</v>
      </c>
      <c r="D174" s="67">
        <v>1.7777777777777777</v>
      </c>
      <c r="E174" s="63">
        <v>0.46783625730994149</v>
      </c>
      <c r="F174" s="63">
        <v>0.24561403508771928</v>
      </c>
      <c r="G174" s="63">
        <v>0.34263233190271819</v>
      </c>
      <c r="H174" s="63">
        <v>0.1301859799713877</v>
      </c>
      <c r="I174" s="64">
        <v>8223.1732776617955</v>
      </c>
      <c r="J174" s="64">
        <v>-7636.2637362637361</v>
      </c>
      <c r="K174" s="63">
        <v>4.6783625730994149E-2</v>
      </c>
      <c r="L174" s="63">
        <v>0.26466380543633761</v>
      </c>
      <c r="M174" s="63">
        <v>0.23533619456366237</v>
      </c>
      <c r="N174" s="63">
        <v>0.5972972972972973</v>
      </c>
      <c r="O174" s="63">
        <v>0.48632218844984804</v>
      </c>
      <c r="P174" s="63">
        <v>0.42379958246346555</v>
      </c>
    </row>
    <row r="175" spans="1:16" x14ac:dyDescent="0.45">
      <c r="A175" s="65">
        <v>172</v>
      </c>
      <c r="B175" s="62">
        <v>1535.2999999999997</v>
      </c>
      <c r="C175" s="62">
        <v>8.9261627906976724</v>
      </c>
      <c r="D175" s="67">
        <v>1.7790697674418605</v>
      </c>
      <c r="E175" s="63">
        <v>0.46511627906976744</v>
      </c>
      <c r="F175" s="63">
        <v>0.2441860465116279</v>
      </c>
      <c r="G175" s="63">
        <v>0.34281650071123754</v>
      </c>
      <c r="H175" s="63">
        <v>0.13015647226173541</v>
      </c>
      <c r="I175" s="64">
        <v>8216.5975103734436</v>
      </c>
      <c r="J175" s="64">
        <v>-7660.109289617486</v>
      </c>
      <c r="K175" s="63">
        <v>4.6511627906976744E-2</v>
      </c>
      <c r="L175" s="63">
        <v>0.26386913229018494</v>
      </c>
      <c r="M175" s="63">
        <v>0.23613086770981509</v>
      </c>
      <c r="N175" s="63">
        <v>0.59568733153638809</v>
      </c>
      <c r="O175" s="63">
        <v>0.48795180722891568</v>
      </c>
      <c r="P175" s="63">
        <v>0.42531120331950206</v>
      </c>
    </row>
    <row r="176" spans="1:16" x14ac:dyDescent="0.45">
      <c r="A176" s="65">
        <v>173</v>
      </c>
      <c r="B176" s="62">
        <v>1503.0999999999997</v>
      </c>
      <c r="C176" s="62">
        <v>8.6884393063583794</v>
      </c>
      <c r="D176" s="67">
        <v>1.7861271676300579</v>
      </c>
      <c r="E176" s="63">
        <v>0.46242774566473988</v>
      </c>
      <c r="F176" s="63">
        <v>0.24855491329479767</v>
      </c>
      <c r="G176" s="63">
        <v>0.34253361641896674</v>
      </c>
      <c r="H176" s="63">
        <v>0.1316348195329087</v>
      </c>
      <c r="I176" s="64">
        <v>8210.1239669421484</v>
      </c>
      <c r="J176" s="64">
        <v>-7708.6021505376348</v>
      </c>
      <c r="K176" s="63">
        <v>4.6242774566473986E-2</v>
      </c>
      <c r="L176" s="63">
        <v>0.26610049539985847</v>
      </c>
      <c r="M176" s="63">
        <v>0.23496107572540695</v>
      </c>
      <c r="N176" s="63">
        <v>0.59308510638297873</v>
      </c>
      <c r="O176" s="63">
        <v>0.48795180722891568</v>
      </c>
      <c r="P176" s="63">
        <v>0.42561983471074383</v>
      </c>
    </row>
    <row r="177" spans="1:16" x14ac:dyDescent="0.45">
      <c r="A177" s="65">
        <v>174</v>
      </c>
      <c r="B177" s="62">
        <v>1548.2999999999997</v>
      </c>
      <c r="C177" s="62">
        <v>8.8982758620689637</v>
      </c>
      <c r="D177" s="67">
        <v>1.7816091954022988</v>
      </c>
      <c r="E177" s="63">
        <v>0.46551724137931033</v>
      </c>
      <c r="F177" s="63">
        <v>0.2471264367816092</v>
      </c>
      <c r="G177" s="63">
        <v>0.34412385643912735</v>
      </c>
      <c r="H177" s="63">
        <v>0.13089373680506686</v>
      </c>
      <c r="I177" s="64">
        <v>8218.6094069529645</v>
      </c>
      <c r="J177" s="64">
        <v>-7708.6021505376348</v>
      </c>
      <c r="K177" s="63">
        <v>4.5977011494252873E-2</v>
      </c>
      <c r="L177" s="63">
        <v>0.26600985221674878</v>
      </c>
      <c r="M177" s="63">
        <v>0.23574947220267417</v>
      </c>
      <c r="N177" s="63">
        <v>0.59259259259259256</v>
      </c>
      <c r="O177" s="63">
        <v>0.48955223880597015</v>
      </c>
      <c r="P177" s="63">
        <v>0.42740286298568508</v>
      </c>
    </row>
    <row r="178" spans="1:16" x14ac:dyDescent="0.45">
      <c r="A178" s="65">
        <v>175</v>
      </c>
      <c r="B178" s="62">
        <v>1535.7999999999997</v>
      </c>
      <c r="C178" s="62">
        <v>8.775999999999998</v>
      </c>
      <c r="D178" s="67">
        <v>1.7885714285714285</v>
      </c>
      <c r="E178" s="63">
        <v>0.46285714285714286</v>
      </c>
      <c r="F178" s="63">
        <v>0.25142857142857145</v>
      </c>
      <c r="G178" s="63">
        <v>0.3435969209237229</v>
      </c>
      <c r="H178" s="63">
        <v>0.13086074177746676</v>
      </c>
      <c r="I178" s="64">
        <v>8217.5152749490826</v>
      </c>
      <c r="J178" s="64">
        <v>-7731.5508021390378</v>
      </c>
      <c r="K178" s="63">
        <v>4.5714285714285714E-2</v>
      </c>
      <c r="L178" s="63">
        <v>0.26662001399580126</v>
      </c>
      <c r="M178" s="63">
        <v>0.23512946116165151</v>
      </c>
      <c r="N178" s="63">
        <v>0.59055118110236215</v>
      </c>
      <c r="O178" s="63">
        <v>0.48809523809523808</v>
      </c>
      <c r="P178" s="63">
        <v>0.42769857433808556</v>
      </c>
    </row>
    <row r="179" spans="1:16" x14ac:dyDescent="0.45">
      <c r="A179" s="65">
        <v>176</v>
      </c>
      <c r="B179" s="62">
        <v>1564.5999999999997</v>
      </c>
      <c r="C179" s="62">
        <v>8.8897727272727263</v>
      </c>
      <c r="D179" s="67">
        <v>1.7840909090909092</v>
      </c>
      <c r="E179" s="63">
        <v>0.46590909090909088</v>
      </c>
      <c r="F179" s="63">
        <v>0.25</v>
      </c>
      <c r="G179" s="63">
        <v>0.344683808200139</v>
      </c>
      <c r="H179" s="63">
        <v>0.13064628214037527</v>
      </c>
      <c r="I179" s="64">
        <v>8214.717741935483</v>
      </c>
      <c r="J179" s="64">
        <v>-7754.255319148936</v>
      </c>
      <c r="K179" s="63">
        <v>4.5454545454545456E-2</v>
      </c>
      <c r="L179" s="63">
        <v>0.26546212647671996</v>
      </c>
      <c r="M179" s="63">
        <v>0.23558026407227242</v>
      </c>
      <c r="N179" s="63">
        <v>0.59162303664921467</v>
      </c>
      <c r="O179" s="63">
        <v>0.48967551622418881</v>
      </c>
      <c r="P179" s="63">
        <v>0.42943548387096775</v>
      </c>
    </row>
    <row r="180" spans="1:16" x14ac:dyDescent="0.45">
      <c r="A180" s="65">
        <v>177</v>
      </c>
      <c r="B180" s="62">
        <v>1537.1999999999996</v>
      </c>
      <c r="C180" s="62">
        <v>8.6847457627118629</v>
      </c>
      <c r="D180" s="67">
        <v>1.7909604519774012</v>
      </c>
      <c r="E180" s="63">
        <v>0.4632768361581921</v>
      </c>
      <c r="F180" s="63">
        <v>0.25423728813559321</v>
      </c>
      <c r="G180" s="63">
        <v>0.34394463667820069</v>
      </c>
      <c r="H180" s="63">
        <v>0.13079584775086506</v>
      </c>
      <c r="I180" s="64">
        <v>8213.6820925553311</v>
      </c>
      <c r="J180" s="64">
        <v>-7753.9682539682535</v>
      </c>
      <c r="K180" s="63">
        <v>4.519774011299435E-2</v>
      </c>
      <c r="L180" s="63">
        <v>0.26505190311418686</v>
      </c>
      <c r="M180" s="63">
        <v>0.23598615916955018</v>
      </c>
      <c r="N180" s="63">
        <v>0.59007832898172319</v>
      </c>
      <c r="O180" s="63">
        <v>0.48973607038123168</v>
      </c>
      <c r="P180" s="63">
        <v>0.42857142857142855</v>
      </c>
    </row>
    <row r="181" spans="1:16" x14ac:dyDescent="0.45">
      <c r="A181" s="65">
        <v>178</v>
      </c>
      <c r="B181" s="62">
        <v>1526.1999999999996</v>
      </c>
      <c r="C181" s="62">
        <v>8.5741573033707841</v>
      </c>
      <c r="D181" s="67">
        <v>1.7921348314606742</v>
      </c>
      <c r="E181" s="63">
        <v>0.4606741573033708</v>
      </c>
      <c r="F181" s="63">
        <v>0.25280898876404495</v>
      </c>
      <c r="G181" s="63">
        <v>0.34178082191780823</v>
      </c>
      <c r="H181" s="63">
        <v>0.13082191780821917</v>
      </c>
      <c r="I181" s="64">
        <v>8220.8416833667343</v>
      </c>
      <c r="J181" s="64">
        <v>-7777.486910994764</v>
      </c>
      <c r="K181" s="63">
        <v>4.49438202247191E-2</v>
      </c>
      <c r="L181" s="63">
        <v>0.26506849315068493</v>
      </c>
      <c r="M181" s="63">
        <v>0.23698630136986301</v>
      </c>
      <c r="N181" s="63">
        <v>0.58656330749354002</v>
      </c>
      <c r="O181" s="63">
        <v>0.48554913294797686</v>
      </c>
      <c r="P181" s="63">
        <v>0.42685370741482964</v>
      </c>
    </row>
    <row r="182" spans="1:16" x14ac:dyDescent="0.45">
      <c r="A182" s="65">
        <v>179</v>
      </c>
      <c r="B182" s="62">
        <v>1554.0999999999997</v>
      </c>
      <c r="C182" s="62">
        <v>8.6821229050279314</v>
      </c>
      <c r="D182" s="67">
        <v>1.7877094972067038</v>
      </c>
      <c r="E182" s="63">
        <v>0.46368715083798884</v>
      </c>
      <c r="F182" s="63">
        <v>0.25139664804469275</v>
      </c>
      <c r="G182" s="63">
        <v>0.34104833219877467</v>
      </c>
      <c r="H182" s="63">
        <v>0.13002042205582029</v>
      </c>
      <c r="I182" s="64">
        <v>8235.3293413173651</v>
      </c>
      <c r="J182" s="64">
        <v>-7777.486910994764</v>
      </c>
      <c r="K182" s="63">
        <v>4.4692737430167599E-2</v>
      </c>
      <c r="L182" s="63">
        <v>0.26480599046970726</v>
      </c>
      <c r="M182" s="63">
        <v>0.23689584751531653</v>
      </c>
      <c r="N182" s="63">
        <v>0.58611825192802058</v>
      </c>
      <c r="O182" s="63">
        <v>0.48275862068965519</v>
      </c>
      <c r="P182" s="63">
        <v>0.42514970059880242</v>
      </c>
    </row>
    <row r="183" spans="1:16" x14ac:dyDescent="0.45">
      <c r="A183" s="65">
        <v>180</v>
      </c>
      <c r="B183" s="62">
        <v>1553.2999999999997</v>
      </c>
      <c r="C183" s="62">
        <v>8.6294444444444434</v>
      </c>
      <c r="D183" s="67">
        <v>1.788888888888889</v>
      </c>
      <c r="E183" s="63">
        <v>0.46111111111111114</v>
      </c>
      <c r="F183" s="63">
        <v>0.25</v>
      </c>
      <c r="G183" s="63">
        <v>0.34010840108401086</v>
      </c>
      <c r="H183" s="63">
        <v>0.12940379403794039</v>
      </c>
      <c r="I183" s="64">
        <v>8250.7968127490039</v>
      </c>
      <c r="J183" s="64">
        <v>-7777.486910994764</v>
      </c>
      <c r="K183" s="63">
        <v>4.4444444444444446E-2</v>
      </c>
      <c r="L183" s="63">
        <v>0.26422764227642276</v>
      </c>
      <c r="M183" s="63">
        <v>0.23712737127371275</v>
      </c>
      <c r="N183" s="63">
        <v>0.5871794871794872</v>
      </c>
      <c r="O183" s="63">
        <v>0.48</v>
      </c>
      <c r="P183" s="63">
        <v>0.42430278884462153</v>
      </c>
    </row>
    <row r="184" spans="1:16" x14ac:dyDescent="0.45">
      <c r="A184" s="65">
        <v>181</v>
      </c>
      <c r="B184" s="62">
        <v>1552.9999999999998</v>
      </c>
      <c r="C184" s="62">
        <v>8.5801104972375679</v>
      </c>
      <c r="D184" s="67">
        <v>1.7900552486187846</v>
      </c>
      <c r="E184" s="63">
        <v>0.4585635359116022</v>
      </c>
      <c r="F184" s="63">
        <v>0.24861878453038674</v>
      </c>
      <c r="G184" s="63">
        <v>0.33985165205664192</v>
      </c>
      <c r="H184" s="63">
        <v>0.12879298718813217</v>
      </c>
      <c r="I184" s="64">
        <v>8227.7777777777774</v>
      </c>
      <c r="J184" s="64">
        <v>-7777.486910994764</v>
      </c>
      <c r="K184" s="63">
        <v>4.4198895027624308E-2</v>
      </c>
      <c r="L184" s="63">
        <v>0.26298044504383006</v>
      </c>
      <c r="M184" s="63">
        <v>0.23735670937289277</v>
      </c>
      <c r="N184" s="63">
        <v>0.5871794871794872</v>
      </c>
      <c r="O184" s="63">
        <v>0.48295454545454547</v>
      </c>
      <c r="P184" s="63">
        <v>0.42261904761904762</v>
      </c>
    </row>
    <row r="185" spans="1:16" x14ac:dyDescent="0.45">
      <c r="A185" s="65">
        <v>182</v>
      </c>
      <c r="B185" s="62">
        <v>1600.4999999999998</v>
      </c>
      <c r="C185" s="62">
        <v>8.793956043956042</v>
      </c>
      <c r="D185" s="67">
        <v>1.7857142857142858</v>
      </c>
      <c r="E185" s="63">
        <v>0.46153846153846156</v>
      </c>
      <c r="F185" s="63">
        <v>0.24725274725274726</v>
      </c>
      <c r="G185" s="63">
        <v>0.34226389819156061</v>
      </c>
      <c r="H185" s="63">
        <v>0.12860013395847286</v>
      </c>
      <c r="I185" s="64">
        <v>8209.0019569471624</v>
      </c>
      <c r="J185" s="64">
        <v>-7820.3125</v>
      </c>
      <c r="K185" s="63">
        <v>4.3956043956043959E-2</v>
      </c>
      <c r="L185" s="63">
        <v>0.26389819156061622</v>
      </c>
      <c r="M185" s="63">
        <v>0.2377762893503014</v>
      </c>
      <c r="N185" s="63">
        <v>0.58883248730964466</v>
      </c>
      <c r="O185" s="63">
        <v>0.48732394366197185</v>
      </c>
      <c r="P185" s="63">
        <v>0.42465753424657532</v>
      </c>
    </row>
    <row r="186" spans="1:16" x14ac:dyDescent="0.45">
      <c r="A186" s="65">
        <v>183</v>
      </c>
      <c r="B186" s="62">
        <v>1578.4999999999998</v>
      </c>
      <c r="C186" s="62">
        <v>8.6256830601092886</v>
      </c>
      <c r="D186" s="67">
        <v>1.7868852459016393</v>
      </c>
      <c r="E186" s="63">
        <v>0.45901639344262296</v>
      </c>
      <c r="F186" s="63">
        <v>0.24590163934426229</v>
      </c>
      <c r="G186" s="63">
        <v>0.34110592938041306</v>
      </c>
      <c r="H186" s="63">
        <v>0.1279147235176549</v>
      </c>
      <c r="I186" s="64">
        <v>8208.59375</v>
      </c>
      <c r="J186" s="64">
        <v>-7820.3125</v>
      </c>
      <c r="K186" s="63">
        <v>4.3715846994535519E-2</v>
      </c>
      <c r="L186" s="63">
        <v>0.26382411725516325</v>
      </c>
      <c r="M186" s="63">
        <v>0.23717521652231846</v>
      </c>
      <c r="N186" s="63">
        <v>0.58838383838383834</v>
      </c>
      <c r="O186" s="63">
        <v>0.4859550561797753</v>
      </c>
      <c r="P186" s="63">
        <v>0.42578125</v>
      </c>
    </row>
    <row r="187" spans="1:16" x14ac:dyDescent="0.45">
      <c r="A187" s="65">
        <v>184</v>
      </c>
      <c r="B187" s="62">
        <v>1553.9999999999998</v>
      </c>
      <c r="C187" s="62">
        <v>8.445652173913043</v>
      </c>
      <c r="D187" s="67">
        <v>1.7934782608695652</v>
      </c>
      <c r="E187" s="63">
        <v>0.45652173913043476</v>
      </c>
      <c r="F187" s="63">
        <v>0.25</v>
      </c>
      <c r="G187" s="63">
        <v>0.34060846560846558</v>
      </c>
      <c r="H187" s="63">
        <v>0.12896825396825398</v>
      </c>
      <c r="I187" s="64">
        <v>8199.0291262135925</v>
      </c>
      <c r="J187" s="64">
        <v>-7829.2307692307695</v>
      </c>
      <c r="K187" s="63">
        <v>4.3478260869565216E-2</v>
      </c>
      <c r="L187" s="63">
        <v>0.26455026455026454</v>
      </c>
      <c r="M187" s="63">
        <v>0.23677248677248677</v>
      </c>
      <c r="N187" s="63">
        <v>0.58750000000000002</v>
      </c>
      <c r="O187" s="63">
        <v>0.48603351955307261</v>
      </c>
      <c r="P187" s="63">
        <v>0.42524271844660194</v>
      </c>
    </row>
    <row r="188" spans="1:16" x14ac:dyDescent="0.45">
      <c r="A188" s="65">
        <v>185</v>
      </c>
      <c r="B188" s="62">
        <v>1594.7999999999997</v>
      </c>
      <c r="C188" s="62">
        <v>8.6205405405405386</v>
      </c>
      <c r="D188" s="67">
        <v>1.7891891891891891</v>
      </c>
      <c r="E188" s="63">
        <v>0.45945945945945948</v>
      </c>
      <c r="F188" s="63">
        <v>0.24864864864864866</v>
      </c>
      <c r="G188" s="63">
        <v>0.34231274638633374</v>
      </c>
      <c r="H188" s="63">
        <v>0.1287779237844941</v>
      </c>
      <c r="I188" s="64">
        <v>8179.4625719769674</v>
      </c>
      <c r="J188" s="64">
        <v>-7815.8163265306121</v>
      </c>
      <c r="K188" s="63">
        <v>4.3243243243243246E-2</v>
      </c>
      <c r="L188" s="63">
        <v>0.26544021024967146</v>
      </c>
      <c r="M188" s="63">
        <v>0.23784494086727989</v>
      </c>
      <c r="N188" s="63">
        <v>0.5866336633663366</v>
      </c>
      <c r="O188" s="63">
        <v>0.48618784530386738</v>
      </c>
      <c r="P188" s="63">
        <v>0.42226487523992323</v>
      </c>
    </row>
    <row r="189" spans="1:16" x14ac:dyDescent="0.45">
      <c r="A189" s="65">
        <v>186</v>
      </c>
      <c r="B189" s="62">
        <v>1635.9999999999998</v>
      </c>
      <c r="C189" s="62">
        <v>8.7956989247311821</v>
      </c>
      <c r="D189" s="67">
        <v>1.7849462365591398</v>
      </c>
      <c r="E189" s="63">
        <v>0.46236559139784944</v>
      </c>
      <c r="F189" s="63">
        <v>0.24731182795698925</v>
      </c>
      <c r="G189" s="63">
        <v>0.34268929503916451</v>
      </c>
      <c r="H189" s="63">
        <v>0.12793733681462141</v>
      </c>
      <c r="I189" s="64">
        <v>8192.3809523809523</v>
      </c>
      <c r="J189" s="64">
        <v>-7815.8163265306121</v>
      </c>
      <c r="K189" s="63">
        <v>4.3010752688172046E-2</v>
      </c>
      <c r="L189" s="63">
        <v>0.26436031331592691</v>
      </c>
      <c r="M189" s="63">
        <v>0.23694516971279372</v>
      </c>
      <c r="N189" s="63">
        <v>0.58765432098765435</v>
      </c>
      <c r="O189" s="63">
        <v>0.48760330578512395</v>
      </c>
      <c r="P189" s="63">
        <v>0.42285714285714288</v>
      </c>
    </row>
    <row r="190" spans="1:16" x14ac:dyDescent="0.45">
      <c r="A190" s="65">
        <v>187</v>
      </c>
      <c r="B190" s="62">
        <v>1628.2999999999997</v>
      </c>
      <c r="C190" s="62">
        <v>8.7074866310160406</v>
      </c>
      <c r="D190" s="67">
        <v>1.786096256684492</v>
      </c>
      <c r="E190" s="63">
        <v>0.45989304812834225</v>
      </c>
      <c r="F190" s="63">
        <v>0.24598930481283424</v>
      </c>
      <c r="G190" s="63">
        <v>0.34350649350649348</v>
      </c>
      <c r="H190" s="63">
        <v>0.12727272727272726</v>
      </c>
      <c r="I190" s="64">
        <v>8148.5822306238188</v>
      </c>
      <c r="J190" s="64">
        <v>-7815.8163265306121</v>
      </c>
      <c r="K190" s="63">
        <v>4.2780748663101602E-2</v>
      </c>
      <c r="L190" s="63">
        <v>0.26428571428571429</v>
      </c>
      <c r="M190" s="63">
        <v>0.23831168831168831</v>
      </c>
      <c r="N190" s="63">
        <v>0.58968058968058967</v>
      </c>
      <c r="O190" s="63">
        <v>0.4877384196185286</v>
      </c>
      <c r="P190" s="63">
        <v>0.41965973534971646</v>
      </c>
    </row>
    <row r="191" spans="1:16" x14ac:dyDescent="0.45">
      <c r="A191" s="65">
        <v>188</v>
      </c>
      <c r="B191" s="62">
        <v>1659.9999999999998</v>
      </c>
      <c r="C191" s="62">
        <v>8.8297872340425521</v>
      </c>
      <c r="D191" s="67">
        <v>1.7819148936170213</v>
      </c>
      <c r="E191" s="63">
        <v>0.46276595744680848</v>
      </c>
      <c r="F191" s="63">
        <v>0.24468085106382978</v>
      </c>
      <c r="G191" s="63">
        <v>0.34431524547803616</v>
      </c>
      <c r="H191" s="63">
        <v>0.12661498708010335</v>
      </c>
      <c r="I191" s="64">
        <v>8144.0900562851784</v>
      </c>
      <c r="J191" s="64">
        <v>-7815.8163265306121</v>
      </c>
      <c r="K191" s="63">
        <v>4.2553191489361701E-2</v>
      </c>
      <c r="L191" s="63">
        <v>0.26550387596899228</v>
      </c>
      <c r="M191" s="63">
        <v>0.23772609819121446</v>
      </c>
      <c r="N191" s="63">
        <v>0.59367396593673971</v>
      </c>
      <c r="O191" s="63">
        <v>0.48641304347826086</v>
      </c>
      <c r="P191" s="63">
        <v>0.42213883677298314</v>
      </c>
    </row>
    <row r="192" spans="1:16" x14ac:dyDescent="0.45">
      <c r="A192" s="65">
        <v>189</v>
      </c>
      <c r="B192" s="62">
        <v>1692.1999999999998</v>
      </c>
      <c r="C192" s="62">
        <v>8.9534391534391524</v>
      </c>
      <c r="D192" s="67">
        <v>1.7777777777777777</v>
      </c>
      <c r="E192" s="63">
        <v>0.46560846560846558</v>
      </c>
      <c r="F192" s="63">
        <v>0.24338624338624337</v>
      </c>
      <c r="G192" s="63">
        <v>0.34553628773281952</v>
      </c>
      <c r="H192" s="63">
        <v>0.12588310854206808</v>
      </c>
      <c r="I192" s="64">
        <v>8104.0892193308546</v>
      </c>
      <c r="J192" s="64">
        <v>-7815.8163265306121</v>
      </c>
      <c r="K192" s="63">
        <v>4.2328042328042326E-2</v>
      </c>
      <c r="L192" s="63">
        <v>0.26461143224149003</v>
      </c>
      <c r="M192" s="63">
        <v>0.23827874116891459</v>
      </c>
      <c r="N192" s="63">
        <v>0.59466019417475724</v>
      </c>
      <c r="O192" s="63">
        <v>0.49056603773584906</v>
      </c>
      <c r="P192" s="63">
        <v>0.42193308550185876</v>
      </c>
    </row>
    <row r="193" spans="1:16" x14ac:dyDescent="0.45">
      <c r="A193" s="65">
        <v>190</v>
      </c>
      <c r="B193" s="62">
        <v>1689.2999999999997</v>
      </c>
      <c r="C193" s="62">
        <v>8.8910526315789458</v>
      </c>
      <c r="D193" s="67">
        <v>1.7789473684210526</v>
      </c>
      <c r="E193" s="63">
        <v>0.4631578947368421</v>
      </c>
      <c r="F193" s="63">
        <v>0.24210526315789474</v>
      </c>
      <c r="G193" s="63">
        <v>0.34504792332268369</v>
      </c>
      <c r="H193" s="63">
        <v>0.12587859424920128</v>
      </c>
      <c r="I193" s="64">
        <v>8101.4814814814818</v>
      </c>
      <c r="J193" s="64">
        <v>-7815.2284263959391</v>
      </c>
      <c r="K193" s="63">
        <v>4.2105263157894736E-2</v>
      </c>
      <c r="L193" s="63">
        <v>0.26517571884984026</v>
      </c>
      <c r="M193" s="63">
        <v>0.23706070287539935</v>
      </c>
      <c r="N193" s="63">
        <v>0.59277108433734937</v>
      </c>
      <c r="O193" s="63">
        <v>0.49056603773584906</v>
      </c>
      <c r="P193" s="63">
        <v>0.42407407407407405</v>
      </c>
    </row>
    <row r="194" spans="1:16" x14ac:dyDescent="0.45">
      <c r="A194" s="65">
        <v>191</v>
      </c>
      <c r="B194" s="62">
        <v>1721.2999999999997</v>
      </c>
      <c r="C194" s="62">
        <v>9.0120418848167532</v>
      </c>
      <c r="D194" s="67">
        <v>1.7748691099476439</v>
      </c>
      <c r="E194" s="63">
        <v>0.46596858638743455</v>
      </c>
      <c r="F194" s="63">
        <v>0.24083769633507854</v>
      </c>
      <c r="G194" s="63">
        <v>0.34456452638270818</v>
      </c>
      <c r="H194" s="63">
        <v>0.12523839796567068</v>
      </c>
      <c r="I194" s="64">
        <v>8130.6273062730625</v>
      </c>
      <c r="J194" s="64">
        <v>-7815.2284263959391</v>
      </c>
      <c r="K194" s="63">
        <v>4.1884816753926704E-2</v>
      </c>
      <c r="L194" s="63">
        <v>0.26509853782581055</v>
      </c>
      <c r="M194" s="63">
        <v>0.23712650985378259</v>
      </c>
      <c r="N194" s="63">
        <v>0.592326139088729</v>
      </c>
      <c r="O194" s="63">
        <v>0.4906166219839142</v>
      </c>
      <c r="P194" s="63">
        <v>0.42619926199261993</v>
      </c>
    </row>
    <row r="195" spans="1:16" x14ac:dyDescent="0.45">
      <c r="A195" s="65">
        <v>192</v>
      </c>
      <c r="B195" s="62">
        <v>1762.7999999999997</v>
      </c>
      <c r="C195" s="62">
        <v>9.1812499999999986</v>
      </c>
      <c r="D195" s="67">
        <v>1.7708333333333333</v>
      </c>
      <c r="E195" s="63">
        <v>0.46875</v>
      </c>
      <c r="F195" s="63">
        <v>0.23958333333333334</v>
      </c>
      <c r="G195" s="63">
        <v>0.34559289790741915</v>
      </c>
      <c r="H195" s="63">
        <v>0.12492073557387444</v>
      </c>
      <c r="I195" s="64">
        <v>8146.4220183486241</v>
      </c>
      <c r="J195" s="64">
        <v>-7815.2284263959391</v>
      </c>
      <c r="K195" s="63">
        <v>4.1666666666666664E-2</v>
      </c>
      <c r="L195" s="63">
        <v>0.26506024096385544</v>
      </c>
      <c r="M195" s="63">
        <v>0.23715916296766013</v>
      </c>
      <c r="N195" s="63">
        <v>0.59330143540669855</v>
      </c>
      <c r="O195" s="63">
        <v>0.49197860962566847</v>
      </c>
      <c r="P195" s="63">
        <v>0.42568807339449544</v>
      </c>
    </row>
    <row r="196" spans="1:16" x14ac:dyDescent="0.45">
      <c r="A196" s="65">
        <v>193</v>
      </c>
      <c r="B196" s="62">
        <v>1799.3999999999996</v>
      </c>
      <c r="C196" s="62">
        <v>9.323316062176163</v>
      </c>
      <c r="D196" s="67">
        <v>1.766839378238342</v>
      </c>
      <c r="E196" s="63">
        <v>0.47150259067357514</v>
      </c>
      <c r="F196" s="63">
        <v>0.23834196891191708</v>
      </c>
      <c r="G196" s="63">
        <v>0.34615384615384615</v>
      </c>
      <c r="H196" s="63">
        <v>0.12421185372005045</v>
      </c>
      <c r="I196" s="64">
        <v>8168.3060109289618</v>
      </c>
      <c r="J196" s="64">
        <v>-7815.2284263959391</v>
      </c>
      <c r="K196" s="63">
        <v>4.145077720207254E-2</v>
      </c>
      <c r="L196" s="63">
        <v>0.2635561160151324</v>
      </c>
      <c r="M196" s="63">
        <v>0.2364438839848676</v>
      </c>
      <c r="N196" s="63">
        <v>0.59330143540669855</v>
      </c>
      <c r="O196" s="63">
        <v>0.49333333333333335</v>
      </c>
      <c r="P196" s="63">
        <v>0.42258652094717669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7430-9502-4421-93A8-64907F8F5247}">
  <sheetPr codeName="Sheet8"/>
  <dimension ref="A1:Q9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5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5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5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5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5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5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5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5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 x14ac:dyDescent="0.45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 x14ac:dyDescent="0.45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  <row r="81" spans="1:16" x14ac:dyDescent="0.45">
      <c r="A81" s="65">
        <v>78</v>
      </c>
      <c r="B81" s="62">
        <v>-427.60000000000025</v>
      </c>
      <c r="C81" s="62">
        <v>-5.4820512820512857</v>
      </c>
      <c r="D81" s="67">
        <v>2.1153846153846154</v>
      </c>
      <c r="E81" s="63">
        <v>0.32051282051282054</v>
      </c>
      <c r="F81" s="63">
        <v>0.4358974358974359</v>
      </c>
      <c r="G81" s="63">
        <v>0.27833572453371591</v>
      </c>
      <c r="H81" s="63">
        <v>0.15208034433285508</v>
      </c>
      <c r="I81" s="64">
        <v>7171.1340206185569</v>
      </c>
      <c r="J81" s="64">
        <v>-7918.867924528302</v>
      </c>
      <c r="K81" s="63">
        <v>7.6923076923076927E-2</v>
      </c>
      <c r="L81" s="63">
        <v>0.14347202295552366</v>
      </c>
      <c r="M81" s="63">
        <v>0.25538020086083213</v>
      </c>
      <c r="N81" s="63">
        <v>0.52</v>
      </c>
      <c r="O81" s="63">
        <v>0.4157303370786517</v>
      </c>
      <c r="P81" s="63">
        <v>0.42783505154639173</v>
      </c>
    </row>
    <row r="82" spans="1:16" x14ac:dyDescent="0.45">
      <c r="A82" s="65">
        <v>79</v>
      </c>
      <c r="B82" s="62">
        <v>-419.20000000000027</v>
      </c>
      <c r="C82" s="62">
        <v>-5.306329113924054</v>
      </c>
      <c r="D82" s="67">
        <v>2.1139240506329116</v>
      </c>
      <c r="E82" s="63">
        <v>0.31645569620253167</v>
      </c>
      <c r="F82" s="63">
        <v>0.43037974683544306</v>
      </c>
      <c r="G82" s="63">
        <v>0.28005657708628007</v>
      </c>
      <c r="H82" s="63">
        <v>0.15275813295615276</v>
      </c>
      <c r="I82" s="64">
        <v>7225.757575757576</v>
      </c>
      <c r="J82" s="64">
        <v>-7901.8518518518522</v>
      </c>
      <c r="K82" s="63">
        <v>7.5949367088607597E-2</v>
      </c>
      <c r="L82" s="63">
        <v>0.14568599717114569</v>
      </c>
      <c r="M82" s="63">
        <v>0.25742574257425743</v>
      </c>
      <c r="N82" s="63">
        <v>0.53398058252427183</v>
      </c>
      <c r="O82" s="63">
        <v>0.41208791208791207</v>
      </c>
      <c r="P82" s="63">
        <v>0.42424242424242425</v>
      </c>
    </row>
    <row r="83" spans="1:16" x14ac:dyDescent="0.45">
      <c r="A83" s="65">
        <v>80</v>
      </c>
      <c r="B83" s="62">
        <v>-427.50000000000028</v>
      </c>
      <c r="C83" s="62">
        <v>-5.3437500000000036</v>
      </c>
      <c r="D83" s="67">
        <v>2.1124999999999998</v>
      </c>
      <c r="E83" s="63">
        <v>0.3125</v>
      </c>
      <c r="F83" s="63">
        <v>0.42499999999999999</v>
      </c>
      <c r="G83" s="63">
        <v>0.28050490883590462</v>
      </c>
      <c r="H83" s="63">
        <v>0.15287517531556802</v>
      </c>
      <c r="I83" s="64">
        <v>7225.5</v>
      </c>
      <c r="J83" s="64">
        <v>-7900</v>
      </c>
      <c r="K83" s="63">
        <v>7.4999999999999997E-2</v>
      </c>
      <c r="L83" s="63">
        <v>0.1458625525946704</v>
      </c>
      <c r="M83" s="63">
        <v>0.25806451612903225</v>
      </c>
      <c r="N83" s="63">
        <v>0.53846153846153844</v>
      </c>
      <c r="O83" s="63">
        <v>0.41304347826086957</v>
      </c>
      <c r="P83" s="63">
        <v>0.43</v>
      </c>
    </row>
    <row r="84" spans="1:16" x14ac:dyDescent="0.45">
      <c r="A84" s="65">
        <v>81</v>
      </c>
      <c r="B84" s="62">
        <v>-430.90000000000026</v>
      </c>
      <c r="C84" s="62">
        <v>-5.3197530864197562</v>
      </c>
      <c r="D84" s="67">
        <v>2.1111111111111112</v>
      </c>
      <c r="E84" s="63">
        <v>0.30864197530864196</v>
      </c>
      <c r="F84" s="63">
        <v>0.41975308641975306</v>
      </c>
      <c r="G84" s="63">
        <v>0.28155339805825241</v>
      </c>
      <c r="H84" s="63">
        <v>0.1553398058252427</v>
      </c>
      <c r="I84" s="64">
        <v>7173.8916256157636</v>
      </c>
      <c r="J84" s="64">
        <v>-7780.3571428571431</v>
      </c>
      <c r="K84" s="63">
        <v>7.407407407407407E-2</v>
      </c>
      <c r="L84" s="63">
        <v>0.14563106796116504</v>
      </c>
      <c r="M84" s="63">
        <v>0.2579750346740638</v>
      </c>
      <c r="N84" s="63">
        <v>0.54285714285714282</v>
      </c>
      <c r="O84" s="63">
        <v>0.41935483870967744</v>
      </c>
      <c r="P84" s="63">
        <v>0.42857142857142855</v>
      </c>
    </row>
    <row r="85" spans="1:16" x14ac:dyDescent="0.45">
      <c r="A85" s="65">
        <v>82</v>
      </c>
      <c r="B85" s="62">
        <v>-468.40000000000026</v>
      </c>
      <c r="C85" s="62">
        <v>-5.7121951219512228</v>
      </c>
      <c r="D85" s="67">
        <v>2.1219512195121952</v>
      </c>
      <c r="E85" s="63">
        <v>0.3048780487804878</v>
      </c>
      <c r="F85" s="63">
        <v>0.42682926829268292</v>
      </c>
      <c r="G85" s="63">
        <v>0.27922971114167811</v>
      </c>
      <c r="H85" s="63">
        <v>0.15680880330123798</v>
      </c>
      <c r="I85" s="64">
        <v>7173.8916256157636</v>
      </c>
      <c r="J85" s="64">
        <v>-7748.2456140350878</v>
      </c>
      <c r="K85" s="63">
        <v>7.3170731707317069E-2</v>
      </c>
      <c r="L85" s="63">
        <v>0.14442916093535077</v>
      </c>
      <c r="M85" s="63">
        <v>0.25722145804676755</v>
      </c>
      <c r="N85" s="63">
        <v>0.54285714285714282</v>
      </c>
      <c r="O85" s="63">
        <v>0.41711229946524064</v>
      </c>
      <c r="P85" s="63">
        <v>0.42857142857142855</v>
      </c>
    </row>
    <row r="86" spans="1:16" x14ac:dyDescent="0.45">
      <c r="A86" s="65">
        <v>83</v>
      </c>
      <c r="B86" s="62">
        <v>-502.90000000000026</v>
      </c>
      <c r="C86" s="62">
        <v>-6.0590361445783163</v>
      </c>
      <c r="D86" s="67">
        <v>2.1325301204819276</v>
      </c>
      <c r="E86" s="63">
        <v>0.30120481927710846</v>
      </c>
      <c r="F86" s="63">
        <v>0.43373493975903615</v>
      </c>
      <c r="G86" s="63">
        <v>0.27755102040816326</v>
      </c>
      <c r="H86" s="63">
        <v>0.16054421768707483</v>
      </c>
      <c r="I86" s="64">
        <v>7152.9411764705883</v>
      </c>
      <c r="J86" s="64">
        <v>-7683.0508474576272</v>
      </c>
      <c r="K86" s="63">
        <v>7.2289156626506021E-2</v>
      </c>
      <c r="L86" s="63">
        <v>0.14557823129251701</v>
      </c>
      <c r="M86" s="63">
        <v>0.25578231292517006</v>
      </c>
      <c r="N86" s="63">
        <v>0.53271028037383172</v>
      </c>
      <c r="O86" s="63">
        <v>0.41489361702127658</v>
      </c>
      <c r="P86" s="63">
        <v>0.4264705882352941</v>
      </c>
    </row>
    <row r="87" spans="1:16" x14ac:dyDescent="0.45">
      <c r="A87" s="65">
        <v>84</v>
      </c>
      <c r="B87" s="62">
        <v>-564.20000000000027</v>
      </c>
      <c r="C87" s="62">
        <v>-6.7166666666666703</v>
      </c>
      <c r="D87" s="67">
        <v>2.1428571428571428</v>
      </c>
      <c r="E87" s="63">
        <v>0.29761904761904762</v>
      </c>
      <c r="F87" s="63">
        <v>0.44047619047619047</v>
      </c>
      <c r="G87" s="63">
        <v>0.27516778523489932</v>
      </c>
      <c r="H87" s="63">
        <v>0.16107382550335569</v>
      </c>
      <c r="I87" s="64">
        <v>7127.8048780487807</v>
      </c>
      <c r="J87" s="64">
        <v>-7755</v>
      </c>
      <c r="K87" s="63">
        <v>8.3333333333333329E-2</v>
      </c>
      <c r="L87" s="63">
        <v>0.1436241610738255</v>
      </c>
      <c r="M87" s="63">
        <v>0.25771812080536916</v>
      </c>
      <c r="N87" s="63">
        <v>0.53271028037383172</v>
      </c>
      <c r="O87" s="63">
        <v>0.41145833333333331</v>
      </c>
      <c r="P87" s="63">
        <v>0.42439024390243901</v>
      </c>
    </row>
    <row r="88" spans="1:16" x14ac:dyDescent="0.45">
      <c r="A88" s="65">
        <v>85</v>
      </c>
      <c r="B88" s="62">
        <v>-589.90000000000032</v>
      </c>
      <c r="C88" s="62">
        <v>-6.9400000000000039</v>
      </c>
      <c r="D88" s="67">
        <v>2.1529411764705881</v>
      </c>
      <c r="E88" s="63">
        <v>0.29411764705882354</v>
      </c>
      <c r="F88" s="63">
        <v>0.44705882352941179</v>
      </c>
      <c r="G88" s="63">
        <v>0.27357237715803451</v>
      </c>
      <c r="H88" s="63">
        <v>0.16334661354581673</v>
      </c>
      <c r="I88" s="64">
        <v>7103.3980582524273</v>
      </c>
      <c r="J88" s="64">
        <v>-7657.7235772357726</v>
      </c>
      <c r="K88" s="63">
        <v>8.2352941176470587E-2</v>
      </c>
      <c r="L88" s="63">
        <v>0.14342629482071714</v>
      </c>
      <c r="M88" s="63">
        <v>0.25896414342629481</v>
      </c>
      <c r="N88" s="63">
        <v>0.52777777777777779</v>
      </c>
      <c r="O88" s="63">
        <v>0.40512820512820513</v>
      </c>
      <c r="P88" s="63">
        <v>0.42718446601941745</v>
      </c>
    </row>
    <row r="89" spans="1:16" x14ac:dyDescent="0.45">
      <c r="A89" s="65">
        <v>86</v>
      </c>
      <c r="B89" s="62">
        <v>-582.3000000000003</v>
      </c>
      <c r="C89" s="62">
        <v>-6.7709302325581433</v>
      </c>
      <c r="D89" s="67">
        <v>2.1511627906976742</v>
      </c>
      <c r="E89" s="63">
        <v>0.29069767441860467</v>
      </c>
      <c r="F89" s="63">
        <v>0.44186046511627908</v>
      </c>
      <c r="G89" s="63">
        <v>0.27500000000000002</v>
      </c>
      <c r="H89" s="63">
        <v>0.16447368421052633</v>
      </c>
      <c r="I89" s="64">
        <v>7093.7799043062205</v>
      </c>
      <c r="J89" s="64">
        <v>-7576.8</v>
      </c>
      <c r="K89" s="63">
        <v>8.1395348837209308E-2</v>
      </c>
      <c r="L89" s="63">
        <v>0.14342105263157895</v>
      </c>
      <c r="M89" s="63">
        <v>0.26184210526315788</v>
      </c>
      <c r="N89" s="63">
        <v>0.5321100917431193</v>
      </c>
      <c r="O89" s="63">
        <v>0.40703517587939697</v>
      </c>
      <c r="P89" s="63">
        <v>0.42583732057416268</v>
      </c>
    </row>
    <row r="90" spans="1:16" x14ac:dyDescent="0.45">
      <c r="A90" s="65">
        <v>87</v>
      </c>
      <c r="B90" s="62">
        <v>-606.90000000000032</v>
      </c>
      <c r="C90" s="62">
        <v>-6.9758620689655206</v>
      </c>
      <c r="D90" s="67">
        <v>2.1609195402298851</v>
      </c>
      <c r="E90" s="63">
        <v>0.28735632183908044</v>
      </c>
      <c r="F90" s="63">
        <v>0.44827586206896552</v>
      </c>
      <c r="G90" s="63">
        <v>0.27379400260756193</v>
      </c>
      <c r="H90" s="63">
        <v>0.16427640156453716</v>
      </c>
      <c r="I90" s="64">
        <v>7096.666666666667</v>
      </c>
      <c r="J90" s="64">
        <v>-7537.3015873015875</v>
      </c>
      <c r="K90" s="63">
        <v>8.0459770114942528E-2</v>
      </c>
      <c r="L90" s="63">
        <v>0.14211212516297261</v>
      </c>
      <c r="M90" s="63">
        <v>0.26336375488917863</v>
      </c>
      <c r="N90" s="63">
        <v>0.5321100917431193</v>
      </c>
      <c r="O90" s="63">
        <v>0.40099009900990101</v>
      </c>
      <c r="P90" s="63">
        <v>0.42857142857142855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3D5E0-2DD0-4180-9DC8-00F75611CD99}">
  <sheetPr codeName="Sheet6"/>
  <dimension ref="A1:Q32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5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5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5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5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5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5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5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5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5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5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5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5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5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5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5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5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5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5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5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5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5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5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5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5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5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 x14ac:dyDescent="0.45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 x14ac:dyDescent="0.45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  <row r="289" spans="1:16" x14ac:dyDescent="0.45">
      <c r="A289" s="65">
        <v>286</v>
      </c>
      <c r="B289" s="62">
        <v>-5.6843418860808015E-14</v>
      </c>
      <c r="C289" s="62">
        <v>-6.6251070933342675E-17</v>
      </c>
      <c r="D289" s="67">
        <v>2</v>
      </c>
      <c r="E289" s="63">
        <v>0.33333333333333331</v>
      </c>
      <c r="F289" s="63">
        <v>0.33333333333333331</v>
      </c>
      <c r="G289" s="63">
        <v>0.29452529452529452</v>
      </c>
      <c r="H289" s="63">
        <v>0.16119196119196119</v>
      </c>
      <c r="I289" s="64">
        <v>8366.2588235294115</v>
      </c>
      <c r="J289" s="64">
        <v>-7758.2115219260531</v>
      </c>
      <c r="K289" s="63">
        <v>9.5571095571095568E-2</v>
      </c>
      <c r="L289" s="63">
        <v>0.25336105336105336</v>
      </c>
      <c r="M289" s="63">
        <v>0.22952182952182953</v>
      </c>
      <c r="N289" s="63">
        <v>0.55196936542669583</v>
      </c>
      <c r="O289" s="63">
        <v>0.42330917874396135</v>
      </c>
      <c r="P289" s="63">
        <v>0.44705882352941179</v>
      </c>
    </row>
    <row r="290" spans="1:16" x14ac:dyDescent="0.45">
      <c r="A290" s="65">
        <v>287</v>
      </c>
      <c r="B290" s="62">
        <v>-5.3290705182007514E-14</v>
      </c>
      <c r="C290" s="62">
        <v>-6.1893966529625449E-17</v>
      </c>
      <c r="D290" s="67">
        <v>2</v>
      </c>
      <c r="E290" s="63">
        <v>0.33333333333333331</v>
      </c>
      <c r="F290" s="63">
        <v>0.33333333333333331</v>
      </c>
      <c r="G290" s="63">
        <v>0.29462187197566708</v>
      </c>
      <c r="H290" s="63">
        <v>0.16120558551085304</v>
      </c>
      <c r="I290" s="64">
        <v>8364.9929610511499</v>
      </c>
      <c r="J290" s="64">
        <v>-7754.1166380789018</v>
      </c>
      <c r="K290" s="63">
        <v>9.5238095238095233E-2</v>
      </c>
      <c r="L290" s="63">
        <v>0.25342181667357944</v>
      </c>
      <c r="M290" s="63">
        <v>0.22936540854417253</v>
      </c>
      <c r="N290" s="63">
        <v>0.55264593562465902</v>
      </c>
      <c r="O290" s="63">
        <v>0.42314647377938519</v>
      </c>
      <c r="P290" s="63">
        <v>0.44720788362271235</v>
      </c>
    </row>
    <row r="291" spans="1:16" x14ac:dyDescent="0.45">
      <c r="A291" s="65">
        <v>288</v>
      </c>
      <c r="B291" s="62">
        <v>-4.9737991503207013E-14</v>
      </c>
      <c r="C291" s="62">
        <v>-5.7567119795378484E-17</v>
      </c>
      <c r="D291" s="67">
        <v>2</v>
      </c>
      <c r="E291" s="63">
        <v>0.33333333333333331</v>
      </c>
      <c r="F291" s="63">
        <v>0.33333333333333331</v>
      </c>
      <c r="G291" s="63">
        <v>0.29473393989523022</v>
      </c>
      <c r="H291" s="63">
        <v>0.16142817755720981</v>
      </c>
      <c r="I291" s="64">
        <v>8362.4883068288127</v>
      </c>
      <c r="J291" s="64">
        <v>-7747.6515798462851</v>
      </c>
      <c r="K291" s="63">
        <v>9.6064814814814811E-2</v>
      </c>
      <c r="L291" s="63">
        <v>0.25323959194926937</v>
      </c>
      <c r="M291" s="63">
        <v>0.22952853598014888</v>
      </c>
      <c r="N291" s="63">
        <v>0.55198693522046816</v>
      </c>
      <c r="O291" s="63">
        <v>0.42342342342342343</v>
      </c>
      <c r="P291" s="63">
        <v>0.44667913938260057</v>
      </c>
    </row>
    <row r="292" spans="1:16" x14ac:dyDescent="0.45">
      <c r="A292" s="65">
        <v>289</v>
      </c>
      <c r="B292" s="62">
        <v>-4.9737991503207013E-14</v>
      </c>
      <c r="C292" s="62">
        <v>-5.7367925609235305E-17</v>
      </c>
      <c r="D292" s="67">
        <v>2</v>
      </c>
      <c r="E292" s="63">
        <v>0.33333333333333331</v>
      </c>
      <c r="F292" s="63">
        <v>0.33333333333333331</v>
      </c>
      <c r="G292" s="63">
        <v>0.29484536082474228</v>
      </c>
      <c r="H292" s="63">
        <v>0.16151202749140894</v>
      </c>
      <c r="I292" s="64">
        <v>8372.1678321678319</v>
      </c>
      <c r="J292" s="64">
        <v>-7758.7234042553191</v>
      </c>
      <c r="K292" s="63">
        <v>9.5732410611303345E-2</v>
      </c>
      <c r="L292" s="63">
        <v>0.2531958762886598</v>
      </c>
      <c r="M292" s="63">
        <v>0.22969072164948454</v>
      </c>
      <c r="N292" s="63">
        <v>0.55211726384364823</v>
      </c>
      <c r="O292" s="63">
        <v>0.42309994015559543</v>
      </c>
      <c r="P292" s="63">
        <v>0.44662004662004662</v>
      </c>
    </row>
    <row r="293" spans="1:16" x14ac:dyDescent="0.45">
      <c r="A293" s="65">
        <v>290</v>
      </c>
      <c r="B293" s="62">
        <v>-5.3290705182007514E-14</v>
      </c>
      <c r="C293" s="62">
        <v>-6.1253684117250015E-17</v>
      </c>
      <c r="D293" s="67">
        <v>2</v>
      </c>
      <c r="E293" s="63">
        <v>0.33333333333333331</v>
      </c>
      <c r="F293" s="63">
        <v>0.33333333333333331</v>
      </c>
      <c r="G293" s="63">
        <v>0.29468201754385964</v>
      </c>
      <c r="H293" s="63">
        <v>0.16132127192982457</v>
      </c>
      <c r="I293" s="64">
        <v>8372.3720930232557</v>
      </c>
      <c r="J293" s="64">
        <v>-7753.7807986406115</v>
      </c>
      <c r="K293" s="63">
        <v>9.6551724137931033E-2</v>
      </c>
      <c r="L293" s="63">
        <v>0.25356359649122806</v>
      </c>
      <c r="M293" s="63">
        <v>0.22930372807017543</v>
      </c>
      <c r="N293" s="63">
        <v>0.55135135135135138</v>
      </c>
      <c r="O293" s="63">
        <v>0.42319187089061566</v>
      </c>
      <c r="P293" s="63">
        <v>0.44697674418604649</v>
      </c>
    </row>
    <row r="294" spans="1:16" x14ac:dyDescent="0.45">
      <c r="A294" s="65">
        <v>291</v>
      </c>
      <c r="B294" s="62">
        <v>-5.8175686490358203E-14</v>
      </c>
      <c r="C294" s="62">
        <v>-6.6638816140158305E-17</v>
      </c>
      <c r="D294" s="67">
        <v>2</v>
      </c>
      <c r="E294" s="63">
        <v>0.33333333333333331</v>
      </c>
      <c r="F294" s="63">
        <v>0.33333333333333331</v>
      </c>
      <c r="G294" s="63">
        <v>0.2947771397320208</v>
      </c>
      <c r="H294" s="63">
        <v>0.16147115121684441</v>
      </c>
      <c r="I294" s="64">
        <v>8365.2597402597403</v>
      </c>
      <c r="J294" s="64">
        <v>-7743.5224386113459</v>
      </c>
      <c r="K294" s="63">
        <v>9.6219931271477668E-2</v>
      </c>
      <c r="L294" s="63">
        <v>0.25334974022422752</v>
      </c>
      <c r="M294" s="63">
        <v>0.22969647251845776</v>
      </c>
      <c r="N294" s="63">
        <v>0.55153804641122506</v>
      </c>
      <c r="O294" s="63">
        <v>0.4238095238095238</v>
      </c>
      <c r="P294" s="63">
        <v>0.44666048237476808</v>
      </c>
    </row>
    <row r="295" spans="1:16" x14ac:dyDescent="0.45">
      <c r="A295" s="65">
        <v>292</v>
      </c>
      <c r="B295" s="62">
        <v>-5.6843418860808015E-14</v>
      </c>
      <c r="C295" s="62">
        <v>-6.4889747558000013E-17</v>
      </c>
      <c r="D295" s="67">
        <v>2</v>
      </c>
      <c r="E295" s="63">
        <v>0.33333333333333331</v>
      </c>
      <c r="F295" s="63">
        <v>0.33333333333333331</v>
      </c>
      <c r="G295" s="63">
        <v>0.29435813573180702</v>
      </c>
      <c r="H295" s="63">
        <v>0.16107931316434995</v>
      </c>
      <c r="I295" s="64">
        <v>8381.8518518518522</v>
      </c>
      <c r="J295" s="64">
        <v>-7777.5803722504234</v>
      </c>
      <c r="K295" s="63">
        <v>9.5890410958904104E-2</v>
      </c>
      <c r="L295" s="63">
        <v>0.25374761515399291</v>
      </c>
      <c r="M295" s="63">
        <v>0.22962660125374762</v>
      </c>
      <c r="N295" s="63">
        <v>0.55048335123523096</v>
      </c>
      <c r="O295" s="63">
        <v>0.42255192878338277</v>
      </c>
      <c r="P295" s="63">
        <v>0.44722222222222224</v>
      </c>
    </row>
    <row r="296" spans="1:16" x14ac:dyDescent="0.45">
      <c r="A296" s="65">
        <v>293</v>
      </c>
      <c r="B296" s="62">
        <v>-5.6843418860808015E-14</v>
      </c>
      <c r="C296" s="62">
        <v>-6.4668280842784996E-17</v>
      </c>
      <c r="D296" s="67">
        <v>2</v>
      </c>
      <c r="E296" s="63">
        <v>0.33333333333333331</v>
      </c>
      <c r="F296" s="63">
        <v>0.33333333333333331</v>
      </c>
      <c r="G296" s="63">
        <v>0.29448519424069547</v>
      </c>
      <c r="H296" s="63">
        <v>0.16109752784569412</v>
      </c>
      <c r="I296" s="64">
        <v>8378.7822878228781</v>
      </c>
      <c r="J296" s="64">
        <v>-7781.6188870151773</v>
      </c>
      <c r="K296" s="63">
        <v>9.556313993174062E-2</v>
      </c>
      <c r="L296" s="63">
        <v>0.25332790002716654</v>
      </c>
      <c r="M296" s="63">
        <v>0.2306438467807661</v>
      </c>
      <c r="N296" s="63">
        <v>0.55013404825737267</v>
      </c>
      <c r="O296" s="63">
        <v>0.42285041224970554</v>
      </c>
      <c r="P296" s="63">
        <v>0.44741697416974169</v>
      </c>
    </row>
    <row r="297" spans="1:16" x14ac:dyDescent="0.45">
      <c r="A297" s="65">
        <v>294</v>
      </c>
      <c r="B297" s="62">
        <v>-5.6843418860808015E-14</v>
      </c>
      <c r="C297" s="62">
        <v>-6.4448320703863964E-17</v>
      </c>
      <c r="D297" s="67">
        <v>2</v>
      </c>
      <c r="E297" s="63">
        <v>0.33333333333333331</v>
      </c>
      <c r="F297" s="63">
        <v>0.33333333333333331</v>
      </c>
      <c r="G297" s="63">
        <v>0.29459569280780168</v>
      </c>
      <c r="H297" s="63">
        <v>0.16131653799268589</v>
      </c>
      <c r="I297" s="64">
        <v>8375.2183908045972</v>
      </c>
      <c r="J297" s="64">
        <v>-7779.0931989924429</v>
      </c>
      <c r="K297" s="63">
        <v>9.5238095238095233E-2</v>
      </c>
      <c r="L297" s="63">
        <v>0.25369091155356899</v>
      </c>
      <c r="M297" s="63">
        <v>0.23052959501557632</v>
      </c>
      <c r="N297" s="63">
        <v>0.54991991457554723</v>
      </c>
      <c r="O297" s="63">
        <v>0.42303172737955347</v>
      </c>
      <c r="P297" s="63">
        <v>0.44689655172413795</v>
      </c>
    </row>
    <row r="298" spans="1:16" x14ac:dyDescent="0.45">
      <c r="A298" s="65">
        <v>295</v>
      </c>
      <c r="B298" s="62">
        <v>-5.3290705182007514E-14</v>
      </c>
      <c r="C298" s="62">
        <v>-6.0215486081364422E-17</v>
      </c>
      <c r="D298" s="67">
        <v>2</v>
      </c>
      <c r="E298" s="63">
        <v>0.33333333333333331</v>
      </c>
      <c r="F298" s="63">
        <v>0.33333333333333331</v>
      </c>
      <c r="G298" s="63">
        <v>0.29458620224112325</v>
      </c>
      <c r="H298" s="63">
        <v>0.16106385851221816</v>
      </c>
      <c r="I298" s="64">
        <v>8375.1604032997257</v>
      </c>
      <c r="J298" s="64">
        <v>-7780.469404861693</v>
      </c>
      <c r="K298" s="63">
        <v>9.4915254237288138E-2</v>
      </c>
      <c r="L298" s="63">
        <v>0.25367895234237881</v>
      </c>
      <c r="M298" s="63">
        <v>0.23059268259754287</v>
      </c>
      <c r="N298" s="63">
        <v>0.54976051091005851</v>
      </c>
      <c r="O298" s="63">
        <v>0.42271662763466045</v>
      </c>
      <c r="P298" s="63">
        <v>0.4477543538038497</v>
      </c>
    </row>
    <row r="299" spans="1:16" x14ac:dyDescent="0.45">
      <c r="A299" s="65">
        <v>296</v>
      </c>
      <c r="B299" s="62">
        <v>-5.3290705182007514E-14</v>
      </c>
      <c r="C299" s="62">
        <v>-6.00120553851436E-17</v>
      </c>
      <c r="D299" s="67">
        <v>2</v>
      </c>
      <c r="E299" s="63">
        <v>0.33333333333333331</v>
      </c>
      <c r="F299" s="63">
        <v>0.33333333333333331</v>
      </c>
      <c r="G299" s="63">
        <v>0.29457677297806484</v>
      </c>
      <c r="H299" s="63">
        <v>0.16108195397658459</v>
      </c>
      <c r="I299" s="64">
        <v>8372.86432160804</v>
      </c>
      <c r="J299" s="64">
        <v>-7776.1069340016711</v>
      </c>
      <c r="K299" s="63">
        <v>9.45945945945946E-2</v>
      </c>
      <c r="L299" s="63">
        <v>0.25366707038083702</v>
      </c>
      <c r="M299" s="63">
        <v>0.23078993406001885</v>
      </c>
      <c r="N299" s="63">
        <v>0.54960212201591507</v>
      </c>
      <c r="O299" s="63">
        <v>0.42215743440233239</v>
      </c>
      <c r="P299" s="63">
        <v>0.44769301050708088</v>
      </c>
    </row>
    <row r="300" spans="1:16" x14ac:dyDescent="0.45">
      <c r="A300" s="65">
        <v>297</v>
      </c>
      <c r="B300" s="62">
        <v>-5.6843418860808015E-14</v>
      </c>
      <c r="C300" s="62">
        <v>-6.37973275654411E-17</v>
      </c>
      <c r="D300" s="67">
        <v>2</v>
      </c>
      <c r="E300" s="63">
        <v>0.33333333333333331</v>
      </c>
      <c r="F300" s="63">
        <v>0.33333333333333331</v>
      </c>
      <c r="G300" s="63">
        <v>0.29460804087669762</v>
      </c>
      <c r="H300" s="63">
        <v>0.16108645959392229</v>
      </c>
      <c r="I300" s="64">
        <v>8392.6061159288001</v>
      </c>
      <c r="J300" s="64">
        <v>-7809.6828046744577</v>
      </c>
      <c r="K300" s="63">
        <v>9.5398428731762061E-2</v>
      </c>
      <c r="L300" s="63">
        <v>0.25359688046255208</v>
      </c>
      <c r="M300" s="63">
        <v>0.23060373806642465</v>
      </c>
      <c r="N300" s="63">
        <v>0.54984093319194061</v>
      </c>
      <c r="O300" s="63">
        <v>0.42215743440233239</v>
      </c>
      <c r="P300" s="63">
        <v>0.447740757644911</v>
      </c>
    </row>
    <row r="301" spans="1:16" x14ac:dyDescent="0.45">
      <c r="A301" s="65">
        <v>298</v>
      </c>
      <c r="B301" s="62">
        <v>-5.6843418860808015E-14</v>
      </c>
      <c r="C301" s="62">
        <v>-6.3583242573610754E-17</v>
      </c>
      <c r="D301" s="67">
        <v>2</v>
      </c>
      <c r="E301" s="63">
        <v>0.33333333333333331</v>
      </c>
      <c r="F301" s="63">
        <v>0.33333333333333331</v>
      </c>
      <c r="G301" s="63">
        <v>0.29471708232770177</v>
      </c>
      <c r="H301" s="63">
        <v>0.16103513006167874</v>
      </c>
      <c r="I301" s="64">
        <v>8391.5832575068252</v>
      </c>
      <c r="J301" s="64">
        <v>-7811.1573688592844</v>
      </c>
      <c r="K301" s="63">
        <v>9.507829977628636E-2</v>
      </c>
      <c r="L301" s="63">
        <v>0.25368731563421831</v>
      </c>
      <c r="M301" s="63">
        <v>0.23075891659962455</v>
      </c>
      <c r="N301" s="63">
        <v>0.55021141649048622</v>
      </c>
      <c r="O301" s="63">
        <v>0.42126670540383498</v>
      </c>
      <c r="P301" s="63">
        <v>0.44813466787989081</v>
      </c>
    </row>
    <row r="302" spans="1:16" x14ac:dyDescent="0.45">
      <c r="A302" s="65">
        <v>299</v>
      </c>
      <c r="B302" s="62">
        <v>-5.6843418860808015E-14</v>
      </c>
      <c r="C302" s="62">
        <v>-6.3370589588414731E-17</v>
      </c>
      <c r="D302" s="67">
        <v>2</v>
      </c>
      <c r="E302" s="63">
        <v>0.33333333333333331</v>
      </c>
      <c r="F302" s="63">
        <v>0.33333333333333331</v>
      </c>
      <c r="G302" s="63">
        <v>0.29476914865225512</v>
      </c>
      <c r="H302" s="63">
        <v>0.16092874299439552</v>
      </c>
      <c r="I302" s="64">
        <v>8399.0040742417386</v>
      </c>
      <c r="J302" s="64">
        <v>-7799.9170812603652</v>
      </c>
      <c r="K302" s="63">
        <v>9.4760312151616496E-2</v>
      </c>
      <c r="L302" s="63">
        <v>0.25353616226314385</v>
      </c>
      <c r="M302" s="63">
        <v>0.23138510808646917</v>
      </c>
      <c r="N302" s="63">
        <v>0.55052631578947364</v>
      </c>
      <c r="O302" s="63">
        <v>0.42099192618223757</v>
      </c>
      <c r="P302" s="63">
        <v>0.44861928474422813</v>
      </c>
    </row>
    <row r="303" spans="1:16" x14ac:dyDescent="0.45">
      <c r="A303" s="65">
        <v>300</v>
      </c>
      <c r="B303" s="62">
        <v>-5.8619775700208265E-14</v>
      </c>
      <c r="C303" s="62">
        <v>-6.5133084111342517E-17</v>
      </c>
      <c r="D303" s="67">
        <v>2</v>
      </c>
      <c r="E303" s="63">
        <v>0.33333333333333331</v>
      </c>
      <c r="F303" s="63">
        <v>0.33333333333333331</v>
      </c>
      <c r="G303" s="63">
        <v>0.29492291334396598</v>
      </c>
      <c r="H303" s="63">
        <v>0.16095162147793726</v>
      </c>
      <c r="I303" s="64">
        <v>8402.2532672374946</v>
      </c>
      <c r="J303" s="64">
        <v>-7805.4500412881916</v>
      </c>
      <c r="K303" s="63">
        <v>9.4444444444444442E-2</v>
      </c>
      <c r="L303" s="63">
        <v>0.2534556087187666</v>
      </c>
      <c r="M303" s="63">
        <v>0.23152578415736311</v>
      </c>
      <c r="N303" s="63">
        <v>0.55112742527530156</v>
      </c>
      <c r="O303" s="63">
        <v>0.42078071182548793</v>
      </c>
      <c r="P303" s="63">
        <v>0.44885083370887785</v>
      </c>
    </row>
    <row r="304" spans="1:16" x14ac:dyDescent="0.45">
      <c r="A304" s="65">
        <v>301</v>
      </c>
      <c r="B304" s="62">
        <v>-5.6843418860808015E-14</v>
      </c>
      <c r="C304" s="62">
        <v>-6.2949522547960147E-17</v>
      </c>
      <c r="D304" s="67">
        <v>2</v>
      </c>
      <c r="E304" s="63">
        <v>0.33333333333333331</v>
      </c>
      <c r="F304" s="63">
        <v>0.33333333333333331</v>
      </c>
      <c r="G304" s="63">
        <v>0.29501458499071864</v>
      </c>
      <c r="H304" s="63">
        <v>0.16083267037920976</v>
      </c>
      <c r="I304" s="64">
        <v>8403.7752808988771</v>
      </c>
      <c r="J304" s="64">
        <v>-7805.2761747732893</v>
      </c>
      <c r="K304" s="63">
        <v>9.413067552602436E-2</v>
      </c>
      <c r="L304" s="63">
        <v>0.25351365685494565</v>
      </c>
      <c r="M304" s="63">
        <v>0.23150357995226731</v>
      </c>
      <c r="N304" s="63">
        <v>0.55177824267782427</v>
      </c>
      <c r="O304" s="63">
        <v>0.42096219931271478</v>
      </c>
      <c r="P304" s="63">
        <v>0.449438202247191</v>
      </c>
    </row>
    <row r="305" spans="1:16" x14ac:dyDescent="0.45">
      <c r="A305" s="65">
        <v>302</v>
      </c>
      <c r="B305" s="62">
        <v>-5.6843418860808015E-14</v>
      </c>
      <c r="C305" s="62">
        <v>-6.2741080420317897E-17</v>
      </c>
      <c r="D305" s="67">
        <v>2</v>
      </c>
      <c r="E305" s="63">
        <v>0.33333333333333331</v>
      </c>
      <c r="F305" s="63">
        <v>0.33333333333333331</v>
      </c>
      <c r="G305" s="63">
        <v>0.29513613534232092</v>
      </c>
      <c r="H305" s="63">
        <v>0.16098334655035687</v>
      </c>
      <c r="I305" s="64">
        <v>8387.8190774742507</v>
      </c>
      <c r="J305" s="64">
        <v>-7788.5878489326769</v>
      </c>
      <c r="K305" s="63">
        <v>9.3818984547461362E-2</v>
      </c>
      <c r="L305" s="63">
        <v>0.25350251123446998</v>
      </c>
      <c r="M305" s="63">
        <v>0.23156225218080889</v>
      </c>
      <c r="N305" s="63">
        <v>0.55161626694473409</v>
      </c>
      <c r="O305" s="63">
        <v>0.42123287671232879</v>
      </c>
      <c r="P305" s="63">
        <v>0.44917151813703537</v>
      </c>
    </row>
    <row r="306" spans="1:16" x14ac:dyDescent="0.45">
      <c r="A306" s="65">
        <v>303</v>
      </c>
      <c r="B306" s="62">
        <v>-5.3290705182007514E-14</v>
      </c>
      <c r="C306" s="62">
        <v>-5.8625638264034663E-17</v>
      </c>
      <c r="D306" s="67">
        <v>2</v>
      </c>
      <c r="E306" s="63">
        <v>0.33333333333333331</v>
      </c>
      <c r="F306" s="63">
        <v>0.33333333333333331</v>
      </c>
      <c r="G306" s="63">
        <v>0.29483642096964918</v>
      </c>
      <c r="H306" s="63">
        <v>0.1610826435422415</v>
      </c>
      <c r="I306" s="64">
        <v>8379.7682709447417</v>
      </c>
      <c r="J306" s="64">
        <v>-7786.0522022838495</v>
      </c>
      <c r="K306" s="63">
        <v>9.3509350935093508E-2</v>
      </c>
      <c r="L306" s="63">
        <v>0.25331756667980554</v>
      </c>
      <c r="M306" s="63">
        <v>0.2317698068584943</v>
      </c>
      <c r="N306" s="63">
        <v>0.55186721991701249</v>
      </c>
      <c r="O306" s="63">
        <v>0.42006802721088438</v>
      </c>
      <c r="P306" s="63">
        <v>0.44830659536541889</v>
      </c>
    </row>
    <row r="307" spans="1:16" x14ac:dyDescent="0.45">
      <c r="A307" s="65">
        <v>304</v>
      </c>
      <c r="B307" s="62">
        <v>-5.3290705182007514E-14</v>
      </c>
      <c r="C307" s="62">
        <v>-5.8432790769745078E-17</v>
      </c>
      <c r="D307" s="67">
        <v>2</v>
      </c>
      <c r="E307" s="63">
        <v>0.33333333333333331</v>
      </c>
      <c r="F307" s="63">
        <v>0.33333333333333331</v>
      </c>
      <c r="G307" s="63">
        <v>0.2945797329143755</v>
      </c>
      <c r="H307" s="63">
        <v>0.16090599633411887</v>
      </c>
      <c r="I307" s="64">
        <v>8381.8666666666668</v>
      </c>
      <c r="J307" s="64">
        <v>-7789.5036615134259</v>
      </c>
      <c r="K307" s="63">
        <v>9.3201754385964911E-2</v>
      </c>
      <c r="L307" s="63">
        <v>0.25320764598062317</v>
      </c>
      <c r="M307" s="63">
        <v>0.23173605655930871</v>
      </c>
      <c r="N307" s="63">
        <v>0.55170630816959665</v>
      </c>
      <c r="O307" s="63">
        <v>0.41977401129943503</v>
      </c>
      <c r="P307" s="63">
        <v>0.44844444444444442</v>
      </c>
    </row>
    <row r="308" spans="1:16" x14ac:dyDescent="0.45">
      <c r="A308" s="65">
        <v>305</v>
      </c>
      <c r="B308" s="62">
        <v>-5.9729998724833422E-14</v>
      </c>
      <c r="C308" s="62">
        <v>-6.5278687130965494E-17</v>
      </c>
      <c r="D308" s="67">
        <v>2</v>
      </c>
      <c r="E308" s="63">
        <v>0.33333333333333331</v>
      </c>
      <c r="F308" s="63">
        <v>0.33333333333333331</v>
      </c>
      <c r="G308" s="63">
        <v>0.29468599033816423</v>
      </c>
      <c r="H308" s="63">
        <v>0.16085650868259563</v>
      </c>
      <c r="I308" s="64">
        <v>8384.9800620292426</v>
      </c>
      <c r="J308" s="64">
        <v>-7799.431818181818</v>
      </c>
      <c r="K308" s="63">
        <v>9.2896174863387984E-2</v>
      </c>
      <c r="L308" s="63">
        <v>0.25316620968794884</v>
      </c>
      <c r="M308" s="63">
        <v>0.23214518866692779</v>
      </c>
      <c r="N308" s="63">
        <v>0.55183084063950494</v>
      </c>
      <c r="O308" s="63">
        <v>0.41957255343082117</v>
      </c>
      <c r="P308" s="63">
        <v>0.44882587505538324</v>
      </c>
    </row>
    <row r="309" spans="1:16" x14ac:dyDescent="0.45">
      <c r="A309" s="65">
        <v>306</v>
      </c>
      <c r="B309" s="62">
        <v>-6.3948846218409017E-14</v>
      </c>
      <c r="C309" s="62">
        <v>-6.9661052525500017E-17</v>
      </c>
      <c r="D309" s="67">
        <v>2</v>
      </c>
      <c r="E309" s="63">
        <v>0.33333333333333331</v>
      </c>
      <c r="F309" s="63">
        <v>0.33333333333333331</v>
      </c>
      <c r="G309" s="63">
        <v>0.29477660544483525</v>
      </c>
      <c r="H309" s="63">
        <v>0.16087013156180799</v>
      </c>
      <c r="I309" s="64">
        <v>8389.3946089262045</v>
      </c>
      <c r="J309" s="64">
        <v>-7797.894736842105</v>
      </c>
      <c r="K309" s="63">
        <v>9.2592592592592587E-2</v>
      </c>
      <c r="L309" s="63">
        <v>0.25283313794450957</v>
      </c>
      <c r="M309" s="63">
        <v>0.23238244105770484</v>
      </c>
      <c r="N309" s="63">
        <v>0.55229263266357542</v>
      </c>
      <c r="O309" s="63">
        <v>0.41984304932735428</v>
      </c>
      <c r="P309" s="63">
        <v>0.4489615554573575</v>
      </c>
    </row>
    <row r="310" spans="1:16" x14ac:dyDescent="0.45">
      <c r="A310" s="65">
        <v>307</v>
      </c>
      <c r="B310" s="62">
        <v>-6.3948846218409017E-14</v>
      </c>
      <c r="C310" s="62">
        <v>-6.9434143559618905E-17</v>
      </c>
      <c r="D310" s="67">
        <v>2</v>
      </c>
      <c r="E310" s="63">
        <v>0.33333333333333331</v>
      </c>
      <c r="F310" s="63">
        <v>0.33333333333333331</v>
      </c>
      <c r="G310" s="63">
        <v>0.2947669133878717</v>
      </c>
      <c r="H310" s="63">
        <v>0.16114790286975716</v>
      </c>
      <c r="I310" s="64">
        <v>8377.444933920704</v>
      </c>
      <c r="J310" s="64">
        <v>-7784.4480257856567</v>
      </c>
      <c r="K310" s="63">
        <v>9.2290988056460369E-2</v>
      </c>
      <c r="L310" s="63">
        <v>0.25230489546812102</v>
      </c>
      <c r="M310" s="63">
        <v>0.23243734579924685</v>
      </c>
      <c r="N310" s="63">
        <v>0.55172413793103448</v>
      </c>
      <c r="O310" s="63">
        <v>0.41899441340782123</v>
      </c>
      <c r="P310" s="63">
        <v>0.44801762114537447</v>
      </c>
    </row>
    <row r="311" spans="1:16" x14ac:dyDescent="0.45">
      <c r="A311" s="65">
        <v>308</v>
      </c>
      <c r="B311" s="62">
        <v>-6.3948846218409017E-14</v>
      </c>
      <c r="C311" s="62">
        <v>-6.9208708028581185E-17</v>
      </c>
      <c r="D311" s="67">
        <v>2</v>
      </c>
      <c r="E311" s="63">
        <v>0.33333333333333331</v>
      </c>
      <c r="F311" s="63">
        <v>0.33333333333333331</v>
      </c>
      <c r="G311" s="63">
        <v>0.29474229474229474</v>
      </c>
      <c r="H311" s="63">
        <v>0.16109816109816111</v>
      </c>
      <c r="I311" s="64">
        <v>8371.0456942003511</v>
      </c>
      <c r="J311" s="64">
        <v>-7779.2604501607721</v>
      </c>
      <c r="K311" s="63">
        <v>9.3073593073593072E-2</v>
      </c>
      <c r="L311" s="63">
        <v>0.25161875161875163</v>
      </c>
      <c r="M311" s="63">
        <v>0.23271173271173271</v>
      </c>
      <c r="N311" s="63">
        <v>0.55172413793103448</v>
      </c>
      <c r="O311" s="63">
        <v>0.42014468558708962</v>
      </c>
      <c r="P311" s="63">
        <v>0.44815465729349735</v>
      </c>
    </row>
    <row r="312" spans="1:16" x14ac:dyDescent="0.45">
      <c r="A312" s="65">
        <v>309</v>
      </c>
      <c r="B312" s="62">
        <v>-6.3948846218409017E-14</v>
      </c>
      <c r="C312" s="62">
        <v>-6.8984731627194187E-17</v>
      </c>
      <c r="D312" s="67">
        <v>2</v>
      </c>
      <c r="E312" s="63">
        <v>0.33333333333333331</v>
      </c>
      <c r="F312" s="63">
        <v>0.33333333333333331</v>
      </c>
      <c r="G312" s="63">
        <v>0.29463364293085653</v>
      </c>
      <c r="H312" s="63">
        <v>0.1609907120743034</v>
      </c>
      <c r="I312" s="64">
        <v>8369.7460595446591</v>
      </c>
      <c r="J312" s="64">
        <v>-7782.8525641025644</v>
      </c>
      <c r="K312" s="63">
        <v>9.2772384034519956E-2</v>
      </c>
      <c r="L312" s="63">
        <v>0.25154798761609909</v>
      </c>
      <c r="M312" s="63">
        <v>0.23271413828689372</v>
      </c>
      <c r="N312" s="63">
        <v>0.55179487179487174</v>
      </c>
      <c r="O312" s="63">
        <v>0.42017738359201773</v>
      </c>
      <c r="P312" s="63">
        <v>0.44833625218914186</v>
      </c>
    </row>
    <row r="313" spans="1:16" x14ac:dyDescent="0.45">
      <c r="A313" s="65">
        <v>310</v>
      </c>
      <c r="B313" s="62">
        <v>-6.3948846218409017E-14</v>
      </c>
      <c r="C313" s="62">
        <v>-6.8762200234848408E-17</v>
      </c>
      <c r="D313" s="67">
        <v>2</v>
      </c>
      <c r="E313" s="63">
        <v>0.33333333333333331</v>
      </c>
      <c r="F313" s="63">
        <v>0.33333333333333331</v>
      </c>
      <c r="G313" s="63">
        <v>0.29475308641975306</v>
      </c>
      <c r="H313" s="63">
        <v>0.1610082304526749</v>
      </c>
      <c r="I313" s="64">
        <v>8385.6020942408377</v>
      </c>
      <c r="J313" s="64">
        <v>-7795.766773162939</v>
      </c>
      <c r="K313" s="63">
        <v>9.2473118279569888E-2</v>
      </c>
      <c r="L313" s="63">
        <v>0.25141460905349794</v>
      </c>
      <c r="M313" s="63">
        <v>0.23251028806584362</v>
      </c>
      <c r="N313" s="63">
        <v>0.55242966751918154</v>
      </c>
      <c r="O313" s="63">
        <v>0.41980088495575218</v>
      </c>
      <c r="P313" s="63">
        <v>0.44851657940663175</v>
      </c>
    </row>
    <row r="314" spans="1:16" x14ac:dyDescent="0.45">
      <c r="A314" s="65">
        <v>311</v>
      </c>
      <c r="B314" s="62">
        <v>-6.4837024638109142E-14</v>
      </c>
      <c r="C314" s="62">
        <v>-6.9493059633557494E-17</v>
      </c>
      <c r="D314" s="67">
        <v>2</v>
      </c>
      <c r="E314" s="63">
        <v>0.33333333333333331</v>
      </c>
      <c r="F314" s="63">
        <v>0.33333333333333331</v>
      </c>
      <c r="G314" s="63">
        <v>0.29466000768344219</v>
      </c>
      <c r="H314" s="63">
        <v>0.16122422845434756</v>
      </c>
      <c r="I314" s="64">
        <v>8388.8309430682311</v>
      </c>
      <c r="J314" s="64">
        <v>-7800.7942811755365</v>
      </c>
      <c r="K314" s="63">
        <v>9.2175777063236874E-2</v>
      </c>
      <c r="L314" s="63">
        <v>0.25150467409399413</v>
      </c>
      <c r="M314" s="63">
        <v>0.2320399538993469</v>
      </c>
      <c r="N314" s="63">
        <v>0.55193482688391038</v>
      </c>
      <c r="O314" s="63">
        <v>0.41997792494481234</v>
      </c>
      <c r="P314" s="63">
        <v>0.44763146458061714</v>
      </c>
    </row>
    <row r="315" spans="1:16" x14ac:dyDescent="0.45">
      <c r="A315" s="65">
        <v>312</v>
      </c>
      <c r="B315" s="62">
        <v>-6.3948846218409017E-14</v>
      </c>
      <c r="C315" s="62">
        <v>-6.8321416900009637E-17</v>
      </c>
      <c r="D315" s="67">
        <v>2</v>
      </c>
      <c r="E315" s="63">
        <v>0.33333333333333331</v>
      </c>
      <c r="F315" s="63">
        <v>0.33333333333333331</v>
      </c>
      <c r="G315" s="63">
        <v>0.29468044393417525</v>
      </c>
      <c r="H315" s="63">
        <v>0.16150019135093763</v>
      </c>
      <c r="I315" s="64">
        <v>8383.4632034632032</v>
      </c>
      <c r="J315" s="64">
        <v>-7791.7061611374411</v>
      </c>
      <c r="K315" s="63">
        <v>9.2948717948717952E-2</v>
      </c>
      <c r="L315" s="63">
        <v>0.25143513203214696</v>
      </c>
      <c r="M315" s="63">
        <v>0.23204490368669473</v>
      </c>
      <c r="N315" s="63">
        <v>0.55149670218163371</v>
      </c>
      <c r="O315" s="63">
        <v>0.4194612424409016</v>
      </c>
      <c r="P315" s="63">
        <v>0.44675324675324674</v>
      </c>
    </row>
    <row r="316" spans="1:16" x14ac:dyDescent="0.45">
      <c r="A316" s="65">
        <v>313</v>
      </c>
      <c r="B316" s="62">
        <v>-6.3948846218409017E-14</v>
      </c>
      <c r="C316" s="62">
        <v>-6.8103137612789152E-17</v>
      </c>
      <c r="D316" s="67">
        <v>2</v>
      </c>
      <c r="E316" s="63">
        <v>0.33333333333333331</v>
      </c>
      <c r="F316" s="63">
        <v>0.33333333333333331</v>
      </c>
      <c r="G316" s="63">
        <v>0.29476899579992366</v>
      </c>
      <c r="H316" s="63">
        <v>0.16138475245004455</v>
      </c>
      <c r="I316" s="64">
        <v>8387.5647668393776</v>
      </c>
      <c r="J316" s="64">
        <v>-7800.6309148264982</v>
      </c>
      <c r="K316" s="63">
        <v>9.2651757188498399E-2</v>
      </c>
      <c r="L316" s="63">
        <v>0.25111365661193841</v>
      </c>
      <c r="M316" s="63">
        <v>0.23189512536591575</v>
      </c>
      <c r="N316" s="63">
        <v>0.55144450076026352</v>
      </c>
      <c r="O316" s="63">
        <v>0.41931942919868276</v>
      </c>
      <c r="P316" s="63">
        <v>0.44732297063903281</v>
      </c>
    </row>
    <row r="317" spans="1:16" x14ac:dyDescent="0.45">
      <c r="A317" s="65">
        <v>314</v>
      </c>
      <c r="B317" s="62">
        <v>-5.6843418860808015E-14</v>
      </c>
      <c r="C317" s="62">
        <v>-6.0343332124000015E-17</v>
      </c>
      <c r="D317" s="67">
        <v>2</v>
      </c>
      <c r="E317" s="63">
        <v>0.33333333333333331</v>
      </c>
      <c r="F317" s="63">
        <v>0.33333333333333331</v>
      </c>
      <c r="G317" s="63">
        <v>0.29478889311525297</v>
      </c>
      <c r="H317" s="63">
        <v>0.16140484341321162</v>
      </c>
      <c r="I317" s="64">
        <v>8389.1182795698933</v>
      </c>
      <c r="J317" s="64">
        <v>-7801.0212097407702</v>
      </c>
      <c r="K317" s="63">
        <v>9.3418259023354558E-2</v>
      </c>
      <c r="L317" s="63">
        <v>0.25091923418283252</v>
      </c>
      <c r="M317" s="63">
        <v>0.23177380499556233</v>
      </c>
      <c r="N317" s="63">
        <v>0.55179383527033854</v>
      </c>
      <c r="O317" s="63">
        <v>0.41958424507658643</v>
      </c>
      <c r="P317" s="63">
        <v>0.44731182795698926</v>
      </c>
    </row>
    <row r="318" spans="1:16" x14ac:dyDescent="0.45">
      <c r="A318" s="65">
        <v>315</v>
      </c>
      <c r="B318" s="62">
        <v>-5.773159728050814E-14</v>
      </c>
      <c r="C318" s="62">
        <v>-6.1091637333871044E-17</v>
      </c>
      <c r="D318" s="67">
        <v>2</v>
      </c>
      <c r="E318" s="63">
        <v>0.33333333333333331</v>
      </c>
      <c r="F318" s="63">
        <v>0.33333333333333331</v>
      </c>
      <c r="G318" s="63">
        <v>0.29477942105928456</v>
      </c>
      <c r="H318" s="63">
        <v>0.16154721274175199</v>
      </c>
      <c r="I318" s="64">
        <v>8380.102915951973</v>
      </c>
      <c r="J318" s="64">
        <v>-7784.2723004694835</v>
      </c>
      <c r="K318" s="63">
        <v>9.3121693121693119E-2</v>
      </c>
      <c r="L318" s="63">
        <v>0.25079003918594361</v>
      </c>
      <c r="M318" s="63">
        <v>0.23208191126279865</v>
      </c>
      <c r="N318" s="63">
        <v>0.55241935483870963</v>
      </c>
      <c r="O318" s="63">
        <v>0.41884531590413943</v>
      </c>
      <c r="P318" s="63">
        <v>0.44682675814751288</v>
      </c>
    </row>
    <row r="319" spans="1:16" x14ac:dyDescent="0.45">
      <c r="A319" s="65">
        <v>316</v>
      </c>
      <c r="B319" s="62">
        <v>-6.0396132539608516E-14</v>
      </c>
      <c r="C319" s="62">
        <v>-6.3709000569207294E-17</v>
      </c>
      <c r="D319" s="67">
        <v>2</v>
      </c>
      <c r="E319" s="63">
        <v>0.33333333333333331</v>
      </c>
      <c r="F319" s="63">
        <v>0.33333333333333331</v>
      </c>
      <c r="G319" s="63">
        <v>0.29488149268784669</v>
      </c>
      <c r="H319" s="63">
        <v>0.1616238023197176</v>
      </c>
      <c r="I319" s="64">
        <v>8370.6284737067126</v>
      </c>
      <c r="J319" s="64">
        <v>-7774.9609984399376</v>
      </c>
      <c r="K319" s="63">
        <v>9.2827004219409287E-2</v>
      </c>
      <c r="L319" s="63">
        <v>0.25037821482602118</v>
      </c>
      <c r="M319" s="63">
        <v>0.23234997478567826</v>
      </c>
      <c r="N319" s="63">
        <v>0.55287009063444104</v>
      </c>
      <c r="O319" s="63">
        <v>0.41888225718936517</v>
      </c>
      <c r="P319" s="63">
        <v>0.4467721248396751</v>
      </c>
    </row>
    <row r="320" spans="1:16" x14ac:dyDescent="0.45">
      <c r="A320" s="65">
        <v>317</v>
      </c>
      <c r="B320" s="62">
        <v>-6.3948846218409017E-14</v>
      </c>
      <c r="C320" s="62">
        <v>-6.7243792027769735E-17</v>
      </c>
      <c r="D320" s="67">
        <v>2</v>
      </c>
      <c r="E320" s="63">
        <v>0.33333333333333331</v>
      </c>
      <c r="F320" s="63">
        <v>0.33333333333333331</v>
      </c>
      <c r="G320" s="63">
        <v>0.29498302527348169</v>
      </c>
      <c r="H320" s="63">
        <v>0.16144850999622784</v>
      </c>
      <c r="I320" s="64">
        <v>8369.0537084398984</v>
      </c>
      <c r="J320" s="64">
        <v>-7769.3925233644859</v>
      </c>
      <c r="K320" s="63">
        <v>9.2534174553101992E-2</v>
      </c>
      <c r="L320" s="63">
        <v>0.25022004275116311</v>
      </c>
      <c r="M320" s="63">
        <v>0.23261662265811645</v>
      </c>
      <c r="N320" s="63">
        <v>0.55276381909547734</v>
      </c>
      <c r="O320" s="63">
        <v>0.41837837837837838</v>
      </c>
      <c r="P320" s="63">
        <v>0.4475703324808184</v>
      </c>
    </row>
    <row r="321" spans="1:16" x14ac:dyDescent="0.45">
      <c r="A321" s="65">
        <v>318</v>
      </c>
      <c r="B321" s="62">
        <v>-6.7501559897209518E-14</v>
      </c>
      <c r="C321" s="62">
        <v>-7.0756352093511026E-17</v>
      </c>
      <c r="D321" s="67">
        <v>2</v>
      </c>
      <c r="E321" s="63">
        <v>0.33333333333333331</v>
      </c>
      <c r="F321" s="63">
        <v>0.33333333333333331</v>
      </c>
      <c r="G321" s="63">
        <v>0.29509840792277797</v>
      </c>
      <c r="H321" s="63">
        <v>0.16121348878024319</v>
      </c>
      <c r="I321" s="64">
        <v>8366.3551401869154</v>
      </c>
      <c r="J321" s="64">
        <v>-7764.5412130637633</v>
      </c>
      <c r="K321" s="63">
        <v>9.2243186582809222E-2</v>
      </c>
      <c r="L321" s="63">
        <v>0.25047010154193305</v>
      </c>
      <c r="M321" s="63">
        <v>0.23229284192052149</v>
      </c>
      <c r="N321" s="63">
        <v>0.55355355355355351</v>
      </c>
      <c r="O321" s="63">
        <v>0.41878035617916892</v>
      </c>
      <c r="P321" s="63">
        <v>0.44859813084112149</v>
      </c>
    </row>
    <row r="322" spans="1:16" x14ac:dyDescent="0.45">
      <c r="A322" s="65">
        <v>319</v>
      </c>
      <c r="B322" s="62">
        <v>-6.3948846218409017E-14</v>
      </c>
      <c r="C322" s="62">
        <v>-6.6822200855181839E-17</v>
      </c>
      <c r="D322" s="67">
        <v>2</v>
      </c>
      <c r="E322" s="63">
        <v>0.33333333333333331</v>
      </c>
      <c r="F322" s="63">
        <v>0.33333333333333331</v>
      </c>
      <c r="G322" s="63">
        <v>0.2951024487756122</v>
      </c>
      <c r="H322" s="63">
        <v>0.1612943528235882</v>
      </c>
      <c r="I322" s="64">
        <v>8356.1812023708717</v>
      </c>
      <c r="J322" s="64">
        <v>-7760.2633617350893</v>
      </c>
      <c r="K322" s="63">
        <v>9.1954022988505746E-2</v>
      </c>
      <c r="L322" s="63">
        <v>0.25037481259370314</v>
      </c>
      <c r="M322" s="63">
        <v>0.23213393303348326</v>
      </c>
      <c r="N322" s="63">
        <v>0.55289421157684626</v>
      </c>
      <c r="O322" s="63">
        <v>0.41980624327233584</v>
      </c>
      <c r="P322" s="63">
        <v>0.4483488569009314</v>
      </c>
    </row>
    <row r="323" spans="1:16" x14ac:dyDescent="0.45">
      <c r="A323" s="65">
        <v>320</v>
      </c>
      <c r="B323" s="62">
        <v>-6.3948846218409017E-14</v>
      </c>
      <c r="C323" s="62">
        <v>-6.661338147750939E-17</v>
      </c>
      <c r="D323" s="67">
        <v>2</v>
      </c>
      <c r="E323" s="63">
        <v>0.33333333333333331</v>
      </c>
      <c r="F323" s="63">
        <v>0.33333333333333331</v>
      </c>
      <c r="G323" s="63">
        <v>0.29509217737917287</v>
      </c>
      <c r="H323" s="63">
        <v>0.16118584952665671</v>
      </c>
      <c r="I323" s="64">
        <v>8357.7036724356276</v>
      </c>
      <c r="J323" s="64">
        <v>-7770.788253477589</v>
      </c>
      <c r="K323" s="63">
        <v>9.166666666666666E-2</v>
      </c>
      <c r="L323" s="63">
        <v>0.25062282012954656</v>
      </c>
      <c r="M323" s="63">
        <v>0.23231190832087692</v>
      </c>
      <c r="N323" s="63">
        <v>0.55218687872763417</v>
      </c>
      <c r="O323" s="63">
        <v>0.41983914209115281</v>
      </c>
      <c r="P323" s="63">
        <v>0.4487125369354158</v>
      </c>
    </row>
    <row r="324" spans="1:16" x14ac:dyDescent="0.45">
      <c r="A324" s="65">
        <v>321</v>
      </c>
      <c r="B324" s="62">
        <v>-6.3948846218409017E-14</v>
      </c>
      <c r="C324" s="62">
        <v>-6.6405863155149545E-17</v>
      </c>
      <c r="D324" s="67">
        <v>2</v>
      </c>
      <c r="E324" s="63">
        <v>0.33333333333333331</v>
      </c>
      <c r="F324" s="63">
        <v>0.33333333333333331</v>
      </c>
      <c r="G324" s="63">
        <v>0.29483358171882762</v>
      </c>
      <c r="H324" s="63">
        <v>0.16082960755091902</v>
      </c>
      <c r="I324" s="64">
        <v>8375.4844144903109</v>
      </c>
      <c r="J324" s="64">
        <v>-7774.0540540540542</v>
      </c>
      <c r="K324" s="63">
        <v>9.138110072689512E-2</v>
      </c>
      <c r="L324" s="63">
        <v>0.25074515648286139</v>
      </c>
      <c r="M324" s="63">
        <v>0.23224043715846995</v>
      </c>
      <c r="N324" s="63">
        <v>0.55175829618623085</v>
      </c>
      <c r="O324" s="63">
        <v>0.41925133689839572</v>
      </c>
      <c r="P324" s="63">
        <v>0.44945240101095196</v>
      </c>
    </row>
    <row r="325" spans="1:16" x14ac:dyDescent="0.45">
      <c r="A325" s="65">
        <v>322</v>
      </c>
      <c r="B325" s="62">
        <v>-6.3948846218409017E-14</v>
      </c>
      <c r="C325" s="62">
        <v>-6.6199633766468963E-17</v>
      </c>
      <c r="D325" s="67">
        <v>2</v>
      </c>
      <c r="E325" s="63">
        <v>0.33333333333333331</v>
      </c>
      <c r="F325" s="63">
        <v>0.33333333333333331</v>
      </c>
      <c r="G325" s="63">
        <v>0.29489087301587302</v>
      </c>
      <c r="H325" s="63">
        <v>0.16083829365079366</v>
      </c>
      <c r="I325" s="64">
        <v>8380.3195962994105</v>
      </c>
      <c r="J325" s="64">
        <v>-7785.1966075558985</v>
      </c>
      <c r="K325" s="63">
        <v>9.213250517598344E-2</v>
      </c>
      <c r="L325" s="63">
        <v>0.25074404761904762</v>
      </c>
      <c r="M325" s="63">
        <v>0.23214285714285715</v>
      </c>
      <c r="N325" s="63">
        <v>0.55192878338278928</v>
      </c>
      <c r="O325" s="63">
        <v>0.41933760683760685</v>
      </c>
      <c r="P325" s="63">
        <v>0.44953742640874683</v>
      </c>
    </row>
    <row r="326" spans="1:16" x14ac:dyDescent="0.45">
      <c r="A326" s="65">
        <v>323</v>
      </c>
      <c r="B326" s="62">
        <v>-6.3948846218409017E-14</v>
      </c>
      <c r="C326" s="62">
        <v>-6.5994681339947383E-17</v>
      </c>
      <c r="D326" s="67">
        <v>2</v>
      </c>
      <c r="E326" s="63">
        <v>0.33333333333333331</v>
      </c>
      <c r="F326" s="63">
        <v>0.33333333333333331</v>
      </c>
      <c r="G326" s="63">
        <v>0.29489556297120256</v>
      </c>
      <c r="H326" s="63">
        <v>0.16104313434680509</v>
      </c>
      <c r="I326" s="64">
        <v>8399.4132439228833</v>
      </c>
      <c r="J326" s="64">
        <v>-7808.1350729086726</v>
      </c>
      <c r="K326" s="63">
        <v>9.2879256965944276E-2</v>
      </c>
      <c r="L326" s="63">
        <v>0.25052527499691013</v>
      </c>
      <c r="M326" s="63">
        <v>0.23198615745890497</v>
      </c>
      <c r="N326" s="63">
        <v>0.55155402072027626</v>
      </c>
      <c r="O326" s="63">
        <v>0.41981885988279166</v>
      </c>
      <c r="P326" s="63">
        <v>0.44886839899413244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2020-01-26T16:32:41Z</dcterms:modified>
</cp:coreProperties>
</file>