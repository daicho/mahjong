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B4A37B4-9F88-4C54-877D-369E503DA437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287" r:id="rId6"/>
    <sheet name="たかの" sheetId="6289" r:id="rId7"/>
    <sheet name="だいち" sheetId="6291" r:id="rId8"/>
    <sheet name="ただ" sheetId="6293" r:id="rId9"/>
    <sheet name="りくと" sheetId="6295" r:id="rId10"/>
    <sheet name="れんたろう" sheetId="6297" r:id="rId11"/>
    <sheet name="まっつん" sheetId="6299" r:id="rId12"/>
    <sheet name="のり" sheetId="6301" r:id="rId13"/>
    <sheet name="ぱぱ" sheetId="6303" r:id="rId14"/>
    <sheet name="ほたに" sheetId="6305" r:id="rId15"/>
    <sheet name="いっしー" sheetId="6307" r:id="rId16"/>
    <sheet name="ともき" sheetId="6309" r:id="rId17"/>
    <sheet name="たか" sheetId="6311" r:id="rId18"/>
    <sheet name="ゆう" sheetId="6313" r:id="rId19"/>
    <sheet name="ゆう2" sheetId="6314" state="hidden" r:id="rId20"/>
    <sheet name="たか2" sheetId="6312" state="hidden" r:id="rId21"/>
    <sheet name="ともき2" sheetId="6310" state="hidden" r:id="rId22"/>
    <sheet name="いっしー2" sheetId="6308" state="hidden" r:id="rId23"/>
    <sheet name="ほたに2" sheetId="6306" state="hidden" r:id="rId24"/>
    <sheet name="ぱぱ2" sheetId="6304" state="hidden" r:id="rId25"/>
    <sheet name="のり2" sheetId="6302" state="hidden" r:id="rId26"/>
    <sheet name="まっつん2" sheetId="6300" state="hidden" r:id="rId27"/>
    <sheet name="れんたろう2" sheetId="6298" state="hidden" r:id="rId28"/>
    <sheet name="りくと2" sheetId="6296" state="hidden" r:id="rId29"/>
    <sheet name="ただ2" sheetId="6294" state="hidden" r:id="rId30"/>
    <sheet name="だいち2" sheetId="6292" state="hidden" r:id="rId31"/>
    <sheet name="たかの2" sheetId="6290" state="hidden" r:id="rId32"/>
    <sheet name="全体2" sheetId="628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299" l="1"/>
  <c r="O16" i="6309"/>
  <c r="O16" i="6311" l="1"/>
  <c r="O23" i="6289"/>
  <c r="O20" i="6299" l="1"/>
  <c r="O16" i="6313"/>
  <c r="O18" i="6311"/>
  <c r="O15" i="6289" l="1"/>
  <c r="O22" i="6309"/>
  <c r="O19" i="6311" l="1"/>
  <c r="O15" i="6313"/>
  <c r="O17" i="6313"/>
  <c r="H34" i="6313"/>
  <c r="C30" i="6313"/>
  <c r="H12" i="6313"/>
  <c r="B25" i="6313"/>
  <c r="C19" i="6313"/>
  <c r="C16" i="6313"/>
  <c r="B15" i="6313"/>
  <c r="H50" i="6313" s="1"/>
  <c r="H18" i="6313"/>
  <c r="B14" i="6313"/>
  <c r="B24" i="6313" s="1"/>
  <c r="B13" i="6313"/>
  <c r="C13" i="6313" s="1"/>
  <c r="O12" i="6313"/>
  <c r="C12" i="6313"/>
  <c r="O11" i="6313"/>
  <c r="C11" i="6313"/>
  <c r="O10" i="6313"/>
  <c r="C10" i="6313"/>
  <c r="C9" i="6313"/>
  <c r="H13" i="6313"/>
  <c r="C8" i="6313"/>
  <c r="O7" i="6313"/>
  <c r="C7" i="6313"/>
  <c r="O6" i="6313"/>
  <c r="B6" i="6313"/>
  <c r="O5" i="6313"/>
  <c r="B5" i="6313"/>
  <c r="O4" i="6313"/>
  <c r="O3" i="6313"/>
  <c r="O2" i="6313"/>
  <c r="O16" i="6301"/>
  <c r="O15" i="6311"/>
  <c r="O17" i="6311"/>
  <c r="C30" i="6311"/>
  <c r="B25" i="6311"/>
  <c r="C16" i="6311"/>
  <c r="B15" i="6311"/>
  <c r="H52" i="6311" s="1"/>
  <c r="B14" i="6311"/>
  <c r="B24" i="6311" s="1"/>
  <c r="B13" i="6311"/>
  <c r="C13" i="6311" s="1"/>
  <c r="O12" i="6311"/>
  <c r="C12" i="6311"/>
  <c r="O11" i="6311"/>
  <c r="C11" i="6311"/>
  <c r="O10" i="6311"/>
  <c r="C10" i="6311"/>
  <c r="C9" i="6311"/>
  <c r="C8" i="6311"/>
  <c r="O7" i="6311"/>
  <c r="C7" i="6311"/>
  <c r="O6" i="6311"/>
  <c r="B6" i="6311"/>
  <c r="O5" i="6311"/>
  <c r="B5" i="6311"/>
  <c r="O4" i="6311"/>
  <c r="O3" i="6311"/>
  <c r="O2" i="6311"/>
  <c r="O15" i="6287"/>
  <c r="H2" i="6313" l="1"/>
  <c r="C14" i="6311"/>
  <c r="C14" i="6313"/>
  <c r="H39" i="6313"/>
  <c r="C44" i="6313"/>
  <c r="H47" i="6313"/>
  <c r="H40" i="6313"/>
  <c r="H16" i="6313"/>
  <c r="H29" i="6313"/>
  <c r="C21" i="6313"/>
  <c r="H41" i="6313"/>
  <c r="H48" i="6313"/>
  <c r="H28" i="6313"/>
  <c r="H10" i="6313"/>
  <c r="H42" i="6313"/>
  <c r="H6" i="6313"/>
  <c r="C20" i="6313"/>
  <c r="H35" i="6313"/>
  <c r="H30" i="6313"/>
  <c r="H3" i="6313"/>
  <c r="H8" i="6313"/>
  <c r="H24" i="6313"/>
  <c r="C36" i="6313"/>
  <c r="H7" i="6313"/>
  <c r="C17" i="6313"/>
  <c r="B22" i="6313"/>
  <c r="H32" i="6313"/>
  <c r="H37" i="6313"/>
  <c r="C42" i="6313"/>
  <c r="H51" i="6313"/>
  <c r="H22" i="6313"/>
  <c r="H45" i="6313"/>
  <c r="H14" i="6313"/>
  <c r="H36" i="6313"/>
  <c r="H20" i="6313"/>
  <c r="H26" i="6313"/>
  <c r="C32" i="6313"/>
  <c r="H38" i="6313"/>
  <c r="H43" i="6313"/>
  <c r="H4" i="6313"/>
  <c r="C34" i="6313"/>
  <c r="C15" i="6313"/>
  <c r="C40" i="6313"/>
  <c r="H19" i="6313"/>
  <c r="H49" i="6313"/>
  <c r="H11" i="6313"/>
  <c r="H15" i="6313"/>
  <c r="C18" i="6313"/>
  <c r="H33" i="6313"/>
  <c r="C38" i="6313"/>
  <c r="H44" i="6313"/>
  <c r="H52" i="6313"/>
  <c r="H21" i="6313"/>
  <c r="H25" i="6313"/>
  <c r="H9" i="6313"/>
  <c r="C33" i="6313"/>
  <c r="C37" i="6313"/>
  <c r="C41" i="6313"/>
  <c r="H46" i="6313"/>
  <c r="B23" i="6313"/>
  <c r="H17" i="6313"/>
  <c r="H5" i="6313"/>
  <c r="H23" i="6313"/>
  <c r="H27" i="6313"/>
  <c r="H31" i="6313"/>
  <c r="C35" i="6313"/>
  <c r="C39" i="6313"/>
  <c r="C43" i="6313"/>
  <c r="H15" i="6311"/>
  <c r="C15" i="6311"/>
  <c r="H4" i="6311"/>
  <c r="H16" i="6311"/>
  <c r="H11" i="6311"/>
  <c r="H6" i="6311"/>
  <c r="C19" i="6311"/>
  <c r="B23" i="6311"/>
  <c r="H9" i="6311"/>
  <c r="H30" i="6311"/>
  <c r="H22" i="6311"/>
  <c r="H25" i="6311"/>
  <c r="H13" i="6311"/>
  <c r="C33" i="6311"/>
  <c r="C37" i="6311"/>
  <c r="C41" i="6311"/>
  <c r="H46" i="6311"/>
  <c r="H34" i="6311"/>
  <c r="H38" i="6311"/>
  <c r="H42" i="6311"/>
  <c r="H47" i="6311"/>
  <c r="H2" i="6311"/>
  <c r="H8" i="6311"/>
  <c r="H19" i="6311"/>
  <c r="H12" i="6311"/>
  <c r="H26" i="6311"/>
  <c r="H14" i="6311"/>
  <c r="C34" i="6311"/>
  <c r="C38" i="6311"/>
  <c r="C42" i="6311"/>
  <c r="H48" i="6311"/>
  <c r="H7" i="6311"/>
  <c r="C20" i="6311"/>
  <c r="H35" i="6311"/>
  <c r="H39" i="6311"/>
  <c r="H43" i="6311"/>
  <c r="H49" i="6311"/>
  <c r="H17" i="6311"/>
  <c r="H20" i="6311"/>
  <c r="H23" i="6311"/>
  <c r="H27" i="6311"/>
  <c r="H31" i="6311"/>
  <c r="C35" i="6311"/>
  <c r="C39" i="6311"/>
  <c r="C43" i="6311"/>
  <c r="H50" i="6311"/>
  <c r="C17" i="6311"/>
  <c r="C21" i="6311"/>
  <c r="H32" i="6311"/>
  <c r="H36" i="6311"/>
  <c r="H40" i="6311"/>
  <c r="H44" i="6311"/>
  <c r="H51" i="6311"/>
  <c r="H3" i="6311"/>
  <c r="H10" i="6311"/>
  <c r="H21" i="6311"/>
  <c r="H24" i="6311"/>
  <c r="H28" i="6311"/>
  <c r="C32" i="6311"/>
  <c r="C36" i="6311"/>
  <c r="C40" i="6311"/>
  <c r="C44" i="6311"/>
  <c r="H5" i="6311"/>
  <c r="H18" i="6311"/>
  <c r="C18" i="6311"/>
  <c r="B22" i="6311"/>
  <c r="H29" i="6311"/>
  <c r="H33" i="6311"/>
  <c r="H37" i="6311"/>
  <c r="H41" i="6311"/>
  <c r="H45" i="6311"/>
  <c r="O21" i="6309" l="1"/>
  <c r="O15" i="6291"/>
  <c r="O21" i="6293" l="1"/>
  <c r="O17" i="6309"/>
  <c r="O19" i="6309"/>
  <c r="O22" i="6295"/>
  <c r="O23" i="6303" l="1"/>
  <c r="O15" i="6309"/>
  <c r="O19" i="6297" l="1"/>
  <c r="O18" i="6309"/>
  <c r="O20" i="6309"/>
  <c r="C30" i="6309"/>
  <c r="B25" i="6309"/>
  <c r="C16" i="6309"/>
  <c r="B15" i="6309"/>
  <c r="H48" i="6309" s="1"/>
  <c r="C14" i="6309"/>
  <c r="B14" i="6309"/>
  <c r="B24" i="6309" s="1"/>
  <c r="B13" i="6309"/>
  <c r="C13" i="6309" s="1"/>
  <c r="O12" i="6309"/>
  <c r="C12" i="6309"/>
  <c r="O11" i="6309"/>
  <c r="C11" i="6309"/>
  <c r="O10" i="6309"/>
  <c r="C10" i="6309"/>
  <c r="C9" i="6309"/>
  <c r="C8" i="6309"/>
  <c r="O7" i="6309"/>
  <c r="C7" i="6309"/>
  <c r="O6" i="6309"/>
  <c r="B6" i="6309"/>
  <c r="O5" i="6309"/>
  <c r="B5" i="6309"/>
  <c r="O4" i="6309"/>
  <c r="O3" i="6309"/>
  <c r="O2" i="6309"/>
  <c r="O18" i="6301"/>
  <c r="O20" i="6287"/>
  <c r="H18" i="6309" l="1"/>
  <c r="H9" i="6309"/>
  <c r="H8" i="6309"/>
  <c r="C21" i="6309"/>
  <c r="H20" i="6309"/>
  <c r="H16" i="6309"/>
  <c r="H35" i="6309"/>
  <c r="H37" i="6309"/>
  <c r="C35" i="6309"/>
  <c r="H36" i="6309"/>
  <c r="C18" i="6309"/>
  <c r="H15" i="6309"/>
  <c r="C20" i="6309"/>
  <c r="H41" i="6309"/>
  <c r="H44" i="6309"/>
  <c r="H27" i="6309"/>
  <c r="H43" i="6309"/>
  <c r="H28" i="6309"/>
  <c r="C17" i="6309"/>
  <c r="C44" i="6309"/>
  <c r="C15" i="6309"/>
  <c r="H49" i="6309"/>
  <c r="H39" i="6309"/>
  <c r="H45" i="6309"/>
  <c r="H6" i="6309"/>
  <c r="H10" i="6309"/>
  <c r="H12" i="6309"/>
  <c r="H32" i="6309"/>
  <c r="C39" i="6309"/>
  <c r="C32" i="6309"/>
  <c r="H40" i="6309"/>
  <c r="H50" i="6309"/>
  <c r="H31" i="6309"/>
  <c r="B22" i="6309"/>
  <c r="H2" i="6309"/>
  <c r="H22" i="6309"/>
  <c r="H17" i="6309"/>
  <c r="H33" i="6309"/>
  <c r="C40" i="6309"/>
  <c r="H7" i="6309"/>
  <c r="H51" i="6309"/>
  <c r="H25" i="6309"/>
  <c r="C36" i="6309"/>
  <c r="C43" i="6309"/>
  <c r="H52" i="6309"/>
  <c r="H5" i="6309"/>
  <c r="H14" i="6309"/>
  <c r="H19" i="6309"/>
  <c r="H23" i="6309"/>
  <c r="H26" i="6309"/>
  <c r="C33" i="6309"/>
  <c r="C41" i="6309"/>
  <c r="C19" i="6309"/>
  <c r="B23" i="6309"/>
  <c r="H29" i="6309"/>
  <c r="H34" i="6309"/>
  <c r="H38" i="6309"/>
  <c r="H42" i="6309"/>
  <c r="H47" i="6309"/>
  <c r="H11" i="6309"/>
  <c r="C37" i="6309"/>
  <c r="H46" i="6309"/>
  <c r="H3" i="6309"/>
  <c r="H4" i="6309"/>
  <c r="H21" i="6309"/>
  <c r="H24" i="6309"/>
  <c r="H13" i="6309"/>
  <c r="H30" i="6309"/>
  <c r="C34" i="6309"/>
  <c r="C38" i="6309"/>
  <c r="C42" i="6309"/>
  <c r="O16" i="6299" l="1"/>
  <c r="O17" i="6307"/>
  <c r="O23" i="6291"/>
  <c r="O16" i="6307"/>
  <c r="O15" i="6307"/>
  <c r="C30" i="6307"/>
  <c r="B25" i="6307"/>
  <c r="C16" i="6307"/>
  <c r="B15" i="6307"/>
  <c r="H11" i="6307" s="1"/>
  <c r="B14" i="6307"/>
  <c r="B24" i="6307" s="1"/>
  <c r="B13" i="6307"/>
  <c r="C13" i="6307" s="1"/>
  <c r="O12" i="6307"/>
  <c r="C12" i="6307"/>
  <c r="O11" i="6307"/>
  <c r="C11" i="6307"/>
  <c r="O10" i="6307"/>
  <c r="C10" i="6307"/>
  <c r="C9" i="6307"/>
  <c r="C8" i="6307"/>
  <c r="O7" i="6307"/>
  <c r="C7" i="6307"/>
  <c r="O6" i="6307"/>
  <c r="B6" i="6307"/>
  <c r="O5" i="6307"/>
  <c r="B5" i="6307"/>
  <c r="O4" i="6307"/>
  <c r="O3" i="6307"/>
  <c r="O2" i="6307"/>
  <c r="O21" i="6301"/>
  <c r="O26" i="6287"/>
  <c r="H14" i="6307" l="1"/>
  <c r="H34" i="6307"/>
  <c r="C19" i="6307"/>
  <c r="H3" i="6307"/>
  <c r="B22" i="6307"/>
  <c r="H17" i="6307"/>
  <c r="H37" i="6307"/>
  <c r="C14" i="6307"/>
  <c r="H38" i="6307"/>
  <c r="B23" i="6307"/>
  <c r="H45" i="6307"/>
  <c r="H4" i="6307"/>
  <c r="H15" i="6307"/>
  <c r="C15" i="6307"/>
  <c r="H28" i="6307"/>
  <c r="H42" i="6307"/>
  <c r="C17" i="6307"/>
  <c r="H47" i="6307"/>
  <c r="H41" i="6307"/>
  <c r="H10" i="6307"/>
  <c r="H29" i="6307"/>
  <c r="H12" i="6307"/>
  <c r="H7" i="6307"/>
  <c r="C18" i="6307"/>
  <c r="H33" i="6307"/>
  <c r="H52" i="6307"/>
  <c r="H21" i="6307"/>
  <c r="H24" i="6307"/>
  <c r="H5" i="6307"/>
  <c r="C33" i="6307"/>
  <c r="C37" i="6307"/>
  <c r="C41" i="6307"/>
  <c r="H46" i="6307"/>
  <c r="H2" i="6307"/>
  <c r="H22" i="6307"/>
  <c r="H30" i="6307"/>
  <c r="C42" i="6307"/>
  <c r="H13" i="6307"/>
  <c r="C20" i="6307"/>
  <c r="H35" i="6307"/>
  <c r="H39" i="6307"/>
  <c r="H43" i="6307"/>
  <c r="H49" i="6307"/>
  <c r="H18" i="6307"/>
  <c r="H25" i="6307"/>
  <c r="C34" i="6307"/>
  <c r="C38" i="6307"/>
  <c r="H48" i="6307"/>
  <c r="H16" i="6307"/>
  <c r="H19" i="6307"/>
  <c r="H23" i="6307"/>
  <c r="H26" i="6307"/>
  <c r="H31" i="6307"/>
  <c r="C35" i="6307"/>
  <c r="C39" i="6307"/>
  <c r="C43" i="6307"/>
  <c r="H50" i="6307"/>
  <c r="C21" i="6307"/>
  <c r="H32" i="6307"/>
  <c r="H36" i="6307"/>
  <c r="H40" i="6307"/>
  <c r="H44" i="6307"/>
  <c r="H51" i="6307"/>
  <c r="H6" i="6307"/>
  <c r="H9" i="6307"/>
  <c r="H20" i="6307"/>
  <c r="H8" i="6307"/>
  <c r="H27" i="6307"/>
  <c r="C32" i="6307"/>
  <c r="C36" i="6307"/>
  <c r="C40" i="6307"/>
  <c r="C44" i="6307"/>
  <c r="O22" i="6289" l="1"/>
  <c r="O16" i="6297"/>
  <c r="O15" i="6297" l="1"/>
  <c r="O19" i="6305"/>
  <c r="O15" i="6295" l="1"/>
  <c r="O22" i="6301"/>
  <c r="O16" i="6305" l="1"/>
  <c r="O23" i="6295"/>
  <c r="O21" i="6289" l="1"/>
  <c r="O17" i="6291"/>
  <c r="O15" i="6301"/>
  <c r="O23" i="6301"/>
  <c r="O19" i="6299" l="1"/>
  <c r="O18" i="6303"/>
  <c r="O17" i="6293" l="1"/>
  <c r="O17" i="6299"/>
  <c r="O19" i="6301"/>
  <c r="O20" i="6301"/>
  <c r="O16" i="6289" l="1"/>
  <c r="O17" i="6303"/>
  <c r="O19" i="6303"/>
  <c r="O18" i="6295"/>
  <c r="O22" i="6293" l="1"/>
  <c r="O20" i="6297"/>
  <c r="O21" i="6297" l="1"/>
  <c r="O22" i="6291"/>
  <c r="O25" i="6301"/>
  <c r="O17" i="6305"/>
  <c r="O15" i="6305"/>
  <c r="O21" i="6303"/>
  <c r="O15" i="6293" l="1"/>
  <c r="O20" i="6293"/>
  <c r="O18" i="6305"/>
  <c r="O20" i="6305"/>
  <c r="C30" i="6305"/>
  <c r="B25" i="6305"/>
  <c r="C16" i="6305"/>
  <c r="B15" i="6305"/>
  <c r="H48" i="6305" s="1"/>
  <c r="B14" i="6305"/>
  <c r="B24" i="6305" s="1"/>
  <c r="B13" i="6305"/>
  <c r="C13" i="6305" s="1"/>
  <c r="O12" i="6305"/>
  <c r="C12" i="6305"/>
  <c r="O11" i="6305"/>
  <c r="C11" i="6305"/>
  <c r="O10" i="6305"/>
  <c r="C10" i="6305"/>
  <c r="C9" i="6305"/>
  <c r="C8" i="6305"/>
  <c r="O7" i="6305"/>
  <c r="C7" i="6305"/>
  <c r="O6" i="6305"/>
  <c r="B6" i="6305"/>
  <c r="O5" i="6305"/>
  <c r="B5" i="6305"/>
  <c r="O4" i="6305"/>
  <c r="O3" i="6305"/>
  <c r="O2" i="6305"/>
  <c r="O21" i="6299"/>
  <c r="O15" i="6299"/>
  <c r="O16" i="6287"/>
  <c r="C14" i="6305" l="1"/>
  <c r="C20" i="6305"/>
  <c r="C44" i="6305"/>
  <c r="H8" i="6305"/>
  <c r="H17" i="6305"/>
  <c r="H34" i="6305"/>
  <c r="H24" i="6305"/>
  <c r="H35" i="6305"/>
  <c r="H40" i="6305"/>
  <c r="H2" i="6305"/>
  <c r="C21" i="6305"/>
  <c r="C40" i="6305"/>
  <c r="H10" i="6305"/>
  <c r="H21" i="6305"/>
  <c r="H14" i="6305"/>
  <c r="H36" i="6305"/>
  <c r="H41" i="6305"/>
  <c r="H49" i="6305"/>
  <c r="H7" i="6305"/>
  <c r="H12" i="6305"/>
  <c r="C15" i="6305"/>
  <c r="H29" i="6305"/>
  <c r="H50" i="6305"/>
  <c r="H27" i="6305"/>
  <c r="C17" i="6305"/>
  <c r="B22" i="6305"/>
  <c r="H31" i="6305"/>
  <c r="C36" i="6305"/>
  <c r="H42" i="6305"/>
  <c r="H4" i="6305"/>
  <c r="H16" i="6305"/>
  <c r="B23" i="6305"/>
  <c r="H13" i="6305"/>
  <c r="H32" i="6305"/>
  <c r="H37" i="6305"/>
  <c r="H43" i="6305"/>
  <c r="H51" i="6305"/>
  <c r="C39" i="6305"/>
  <c r="H28" i="6305"/>
  <c r="H45" i="6305"/>
  <c r="H5" i="6305"/>
  <c r="C35" i="6305"/>
  <c r="H47" i="6305"/>
  <c r="H18" i="6305"/>
  <c r="H3" i="6305"/>
  <c r="H11" i="6305"/>
  <c r="C18" i="6305"/>
  <c r="H15" i="6305"/>
  <c r="C32" i="6305"/>
  <c r="H38" i="6305"/>
  <c r="C43" i="6305"/>
  <c r="H6" i="6305"/>
  <c r="H19" i="6305"/>
  <c r="C19" i="6305"/>
  <c r="H33" i="6305"/>
  <c r="H39" i="6305"/>
  <c r="H44" i="6305"/>
  <c r="H52" i="6305"/>
  <c r="H22" i="6305"/>
  <c r="H25" i="6305"/>
  <c r="H9" i="6305"/>
  <c r="C33" i="6305"/>
  <c r="C37" i="6305"/>
  <c r="C41" i="6305"/>
  <c r="H46" i="6305"/>
  <c r="H20" i="6305"/>
  <c r="H23" i="6305"/>
  <c r="H26" i="6305"/>
  <c r="H30" i="6305"/>
  <c r="C34" i="6305"/>
  <c r="C38" i="6305"/>
  <c r="C42" i="6305"/>
  <c r="O19" i="6291" l="1"/>
  <c r="O20" i="6295"/>
  <c r="O18" i="6291" l="1"/>
  <c r="O22" i="6299"/>
  <c r="O24" i="6299"/>
  <c r="O17" i="6289"/>
  <c r="O16" i="6293"/>
  <c r="O17" i="6295"/>
  <c r="O21" i="6295"/>
  <c r="O18" i="6289"/>
  <c r="O18" i="6293"/>
  <c r="O16" i="6291"/>
  <c r="O20" i="6303"/>
  <c r="O22" i="6303"/>
  <c r="O23" i="6297" l="1"/>
  <c r="O18" i="6297"/>
  <c r="O15" i="6303"/>
  <c r="O16" i="6303"/>
  <c r="C30" i="6303"/>
  <c r="B25" i="6303"/>
  <c r="B24" i="6303"/>
  <c r="C16" i="6303"/>
  <c r="B15" i="6303"/>
  <c r="H20" i="6303" s="1"/>
  <c r="B14" i="6303"/>
  <c r="C14" i="6303" s="1"/>
  <c r="B13" i="6303"/>
  <c r="C13" i="6303" s="1"/>
  <c r="O12" i="6303"/>
  <c r="C12" i="6303"/>
  <c r="O11" i="6303"/>
  <c r="C11" i="6303"/>
  <c r="O10" i="6303"/>
  <c r="C10" i="6303"/>
  <c r="C9" i="6303"/>
  <c r="C8" i="6303"/>
  <c r="O7" i="6303"/>
  <c r="C7" i="6303"/>
  <c r="O6" i="6303"/>
  <c r="B6" i="6303"/>
  <c r="O5" i="6303"/>
  <c r="B5" i="6303"/>
  <c r="O4" i="6303"/>
  <c r="O3" i="6303"/>
  <c r="O2" i="6303"/>
  <c r="O17" i="6287"/>
  <c r="O17" i="6301"/>
  <c r="O24" i="6301"/>
  <c r="C30" i="6301"/>
  <c r="B25" i="6301"/>
  <c r="C16" i="6301"/>
  <c r="B15" i="6301"/>
  <c r="H21" i="6301" s="1"/>
  <c r="B14" i="6301"/>
  <c r="B24" i="6301" s="1"/>
  <c r="B13" i="6301"/>
  <c r="C13" i="6301" s="1"/>
  <c r="O12" i="6301"/>
  <c r="C12" i="6301"/>
  <c r="O11" i="6301"/>
  <c r="C11" i="6301"/>
  <c r="O10" i="6301"/>
  <c r="C10" i="6301"/>
  <c r="C9" i="6301"/>
  <c r="C8" i="6301"/>
  <c r="O7" i="6301"/>
  <c r="C7" i="6301"/>
  <c r="O6" i="6301"/>
  <c r="B6" i="6301"/>
  <c r="O5" i="6301"/>
  <c r="B5" i="6301"/>
  <c r="O4" i="6301"/>
  <c r="O3" i="6301"/>
  <c r="O2" i="6301"/>
  <c r="O21" i="6287"/>
  <c r="C14" i="6301" l="1"/>
  <c r="H4" i="6301"/>
  <c r="H9" i="6303"/>
  <c r="H10" i="6303"/>
  <c r="C36" i="6303"/>
  <c r="H15" i="6303"/>
  <c r="H6" i="6303"/>
  <c r="H23" i="6303"/>
  <c r="H42" i="6303"/>
  <c r="H49" i="6303"/>
  <c r="H25" i="6303"/>
  <c r="H19" i="6303"/>
  <c r="H38" i="6303"/>
  <c r="H5" i="6303"/>
  <c r="H2" i="6303"/>
  <c r="H8" i="6303"/>
  <c r="C18" i="6303"/>
  <c r="H29" i="6303"/>
  <c r="C38" i="6303"/>
  <c r="H52" i="6303"/>
  <c r="H17" i="6303"/>
  <c r="H31" i="6303"/>
  <c r="C40" i="6303"/>
  <c r="B22" i="6303"/>
  <c r="C32" i="6303"/>
  <c r="C42" i="6303"/>
  <c r="H3" i="6303"/>
  <c r="H22" i="6303"/>
  <c r="C15" i="6303"/>
  <c r="H18" i="6303"/>
  <c r="H34" i="6303"/>
  <c r="C44" i="6303"/>
  <c r="H4" i="6303"/>
  <c r="H11" i="6303"/>
  <c r="H24" i="6303"/>
  <c r="C34" i="6303"/>
  <c r="H46" i="6303"/>
  <c r="H26" i="6303"/>
  <c r="H28" i="6303"/>
  <c r="H12" i="6303"/>
  <c r="C33" i="6303"/>
  <c r="C37" i="6303"/>
  <c r="C41" i="6303"/>
  <c r="H47" i="6303"/>
  <c r="C19" i="6303"/>
  <c r="B23" i="6303"/>
  <c r="H30" i="6303"/>
  <c r="H35" i="6303"/>
  <c r="H39" i="6303"/>
  <c r="H43" i="6303"/>
  <c r="H48" i="6303"/>
  <c r="H50" i="6303"/>
  <c r="H16" i="6303"/>
  <c r="H13" i="6303"/>
  <c r="H27" i="6303"/>
  <c r="H14" i="6303"/>
  <c r="H32" i="6303"/>
  <c r="C35" i="6303"/>
  <c r="C39" i="6303"/>
  <c r="C43" i="6303"/>
  <c r="H51" i="6303"/>
  <c r="C20" i="6303"/>
  <c r="H36" i="6303"/>
  <c r="H40" i="6303"/>
  <c r="H44" i="6303"/>
  <c r="H7" i="6303"/>
  <c r="H21" i="6303"/>
  <c r="C17" i="6303"/>
  <c r="C21" i="6303"/>
  <c r="H33" i="6303"/>
  <c r="H37" i="6303"/>
  <c r="H41" i="6303"/>
  <c r="H45" i="6303"/>
  <c r="H24" i="6301"/>
  <c r="H2" i="6301"/>
  <c r="H31" i="6301"/>
  <c r="H3" i="6301"/>
  <c r="C38" i="6301"/>
  <c r="C42" i="6301"/>
  <c r="C34" i="6301"/>
  <c r="H11" i="6301"/>
  <c r="H15" i="6301"/>
  <c r="H7" i="6301"/>
  <c r="B23" i="6301"/>
  <c r="H49" i="6301"/>
  <c r="H26" i="6301"/>
  <c r="H30" i="6301"/>
  <c r="C32" i="6301"/>
  <c r="C40" i="6301"/>
  <c r="H5" i="6301"/>
  <c r="H10" i="6301"/>
  <c r="C18" i="6301"/>
  <c r="H35" i="6301"/>
  <c r="H42" i="6301"/>
  <c r="H52" i="6301"/>
  <c r="C19" i="6301"/>
  <c r="H20" i="6301"/>
  <c r="H43" i="6301"/>
  <c r="C20" i="6301"/>
  <c r="H32" i="6301"/>
  <c r="C36" i="6301"/>
  <c r="C44" i="6301"/>
  <c r="H17" i="6301"/>
  <c r="C15" i="6301"/>
  <c r="H13" i="6301"/>
  <c r="H33" i="6301"/>
  <c r="H38" i="6301"/>
  <c r="H46" i="6301"/>
  <c r="H9" i="6301"/>
  <c r="H6" i="6301"/>
  <c r="H12" i="6301"/>
  <c r="H25" i="6301"/>
  <c r="B22" i="6301"/>
  <c r="H16" i="6301"/>
  <c r="H39" i="6301"/>
  <c r="H48" i="6301"/>
  <c r="H27" i="6301"/>
  <c r="H29" i="6301"/>
  <c r="H8" i="6301"/>
  <c r="C33" i="6301"/>
  <c r="C37" i="6301"/>
  <c r="C41" i="6301"/>
  <c r="H47" i="6301"/>
  <c r="H36" i="6301"/>
  <c r="H40" i="6301"/>
  <c r="H44" i="6301"/>
  <c r="H50" i="6301"/>
  <c r="H23" i="6301"/>
  <c r="H18" i="6301"/>
  <c r="H28" i="6301"/>
  <c r="H14" i="6301"/>
  <c r="H19" i="6301"/>
  <c r="C35" i="6301"/>
  <c r="C39" i="6301"/>
  <c r="C43" i="6301"/>
  <c r="H51" i="6301"/>
  <c r="H22" i="6301"/>
  <c r="C17" i="6301"/>
  <c r="C21" i="6301"/>
  <c r="H34" i="6301"/>
  <c r="H37" i="6301"/>
  <c r="H41" i="6301"/>
  <c r="H45" i="6301"/>
  <c r="O23" i="6299" l="1"/>
  <c r="O18" i="6299"/>
  <c r="C30" i="6299"/>
  <c r="B25" i="6299"/>
  <c r="C16" i="6299"/>
  <c r="B15" i="6299"/>
  <c r="H51" i="6299" s="1"/>
  <c r="B14" i="6299"/>
  <c r="B24" i="6299" s="1"/>
  <c r="B13" i="6299"/>
  <c r="C13" i="6299" s="1"/>
  <c r="O12" i="6299"/>
  <c r="C12" i="6299"/>
  <c r="O11" i="6299"/>
  <c r="C11" i="6299"/>
  <c r="O10" i="6299"/>
  <c r="C10" i="6299"/>
  <c r="C9" i="6299"/>
  <c r="C8" i="6299"/>
  <c r="O7" i="6299"/>
  <c r="C7" i="6299"/>
  <c r="O6" i="6299"/>
  <c r="B6" i="6299"/>
  <c r="O5" i="6299"/>
  <c r="B5" i="6299"/>
  <c r="O4" i="6299"/>
  <c r="O3" i="6299"/>
  <c r="O2" i="6299"/>
  <c r="O22" i="6297"/>
  <c r="O17" i="6297"/>
  <c r="C30" i="6297"/>
  <c r="B25" i="6297"/>
  <c r="C16" i="6297"/>
  <c r="B15" i="6297"/>
  <c r="H12" i="6297" s="1"/>
  <c r="B14" i="6297"/>
  <c r="C14" i="6297" s="1"/>
  <c r="B13" i="6297"/>
  <c r="C13" i="6297" s="1"/>
  <c r="O12" i="6297"/>
  <c r="C12" i="6297"/>
  <c r="O11" i="6297"/>
  <c r="C11" i="6297"/>
  <c r="O10" i="6297"/>
  <c r="C10" i="6297"/>
  <c r="C9" i="6297"/>
  <c r="C8" i="6297"/>
  <c r="O7" i="6297"/>
  <c r="C7" i="6297"/>
  <c r="O6" i="6297"/>
  <c r="B6" i="6297"/>
  <c r="O5" i="6297"/>
  <c r="B5" i="6297"/>
  <c r="O4" i="6297"/>
  <c r="O3" i="6297"/>
  <c r="O2" i="6297"/>
  <c r="O18" i="6287"/>
  <c r="O19" i="6295"/>
  <c r="O16" i="6295"/>
  <c r="C30" i="6295"/>
  <c r="B25" i="6295"/>
  <c r="C16" i="6295"/>
  <c r="B15" i="6295"/>
  <c r="H18" i="6295" s="1"/>
  <c r="B14" i="6295"/>
  <c r="B24" i="6295" s="1"/>
  <c r="B13" i="6295"/>
  <c r="C13" i="6295" s="1"/>
  <c r="O12" i="6295"/>
  <c r="C12" i="6295"/>
  <c r="O11" i="6295"/>
  <c r="C11" i="6295"/>
  <c r="O10" i="6295"/>
  <c r="C10" i="6295"/>
  <c r="C9" i="6295"/>
  <c r="C8" i="6295"/>
  <c r="O7" i="6295"/>
  <c r="C7" i="6295"/>
  <c r="O6" i="6295"/>
  <c r="B6" i="6295"/>
  <c r="O5" i="6295"/>
  <c r="B5" i="6295"/>
  <c r="O4" i="6295"/>
  <c r="O3" i="6295"/>
  <c r="O2" i="6295"/>
  <c r="O22" i="6287"/>
  <c r="O24" i="6287"/>
  <c r="B24" i="6297" l="1"/>
  <c r="C14" i="6295"/>
  <c r="H28" i="6299"/>
  <c r="H30" i="6297"/>
  <c r="H17" i="6295"/>
  <c r="H2" i="6295"/>
  <c r="H20" i="6295"/>
  <c r="C40" i="6295"/>
  <c r="H23" i="6295"/>
  <c r="C14" i="6299"/>
  <c r="H4" i="6299"/>
  <c r="H12" i="6299"/>
  <c r="C19" i="6299"/>
  <c r="H24" i="6299"/>
  <c r="H36" i="6299"/>
  <c r="H41" i="6299"/>
  <c r="C44" i="6299"/>
  <c r="H18" i="6299"/>
  <c r="H46" i="6299"/>
  <c r="H7" i="6299"/>
  <c r="H10" i="6299"/>
  <c r="C20" i="6299"/>
  <c r="H37" i="6299"/>
  <c r="H48" i="6299"/>
  <c r="C21" i="6299"/>
  <c r="H22" i="6299"/>
  <c r="H38" i="6299"/>
  <c r="H42" i="6299"/>
  <c r="H49" i="6299"/>
  <c r="H25" i="6299"/>
  <c r="H23" i="6299"/>
  <c r="H50" i="6299"/>
  <c r="C34" i="6299"/>
  <c r="H29" i="6299"/>
  <c r="H2" i="6299"/>
  <c r="H3" i="6299"/>
  <c r="H14" i="6299"/>
  <c r="C36" i="6299"/>
  <c r="H43" i="6299"/>
  <c r="H8" i="6299"/>
  <c r="C17" i="6299"/>
  <c r="B22" i="6299"/>
  <c r="H26" i="6299"/>
  <c r="H39" i="6299"/>
  <c r="C42" i="6299"/>
  <c r="H16" i="6299"/>
  <c r="H27" i="6299"/>
  <c r="H11" i="6299"/>
  <c r="C15" i="6299"/>
  <c r="H33" i="6299"/>
  <c r="C40" i="6299"/>
  <c r="H15" i="6299"/>
  <c r="H20" i="6299"/>
  <c r="C32" i="6299"/>
  <c r="H40" i="6299"/>
  <c r="H44" i="6299"/>
  <c r="H5" i="6299"/>
  <c r="H6" i="6299"/>
  <c r="H17" i="6299"/>
  <c r="C18" i="6299"/>
  <c r="H35" i="6299"/>
  <c r="C38" i="6299"/>
  <c r="H45" i="6299"/>
  <c r="H52" i="6299"/>
  <c r="H30" i="6299"/>
  <c r="H32" i="6299"/>
  <c r="H9" i="6299"/>
  <c r="C33" i="6299"/>
  <c r="C37" i="6299"/>
  <c r="C41" i="6299"/>
  <c r="H47" i="6299"/>
  <c r="B23" i="6299"/>
  <c r="H21" i="6299"/>
  <c r="H19" i="6299"/>
  <c r="H31" i="6299"/>
  <c r="H13" i="6299"/>
  <c r="H34" i="6299"/>
  <c r="C35" i="6299"/>
  <c r="C39" i="6299"/>
  <c r="C43" i="6299"/>
  <c r="H10" i="6297"/>
  <c r="H11" i="6297"/>
  <c r="H15" i="6297"/>
  <c r="C36" i="6297"/>
  <c r="H42" i="6297"/>
  <c r="H49" i="6297"/>
  <c r="H4" i="6297"/>
  <c r="H21" i="6297"/>
  <c r="H33" i="6297"/>
  <c r="H38" i="6297"/>
  <c r="H7" i="6297"/>
  <c r="H2" i="6297"/>
  <c r="H9" i="6297"/>
  <c r="C18" i="6297"/>
  <c r="H34" i="6297"/>
  <c r="C38" i="6297"/>
  <c r="H52" i="6297"/>
  <c r="H17" i="6297"/>
  <c r="H18" i="6297"/>
  <c r="C40" i="6297"/>
  <c r="B22" i="6297"/>
  <c r="C32" i="6297"/>
  <c r="C42" i="6297"/>
  <c r="H3" i="6297"/>
  <c r="H29" i="6297"/>
  <c r="C15" i="6297"/>
  <c r="H26" i="6297"/>
  <c r="H35" i="6297"/>
  <c r="C44" i="6297"/>
  <c r="H6" i="6297"/>
  <c r="H13" i="6297"/>
  <c r="H25" i="6297"/>
  <c r="C34" i="6297"/>
  <c r="H46" i="6297"/>
  <c r="H31" i="6297"/>
  <c r="H22" i="6297"/>
  <c r="H8" i="6297"/>
  <c r="C33" i="6297"/>
  <c r="C37" i="6297"/>
  <c r="C41" i="6297"/>
  <c r="H47" i="6297"/>
  <c r="C19" i="6297"/>
  <c r="B23" i="6297"/>
  <c r="H23" i="6297"/>
  <c r="H36" i="6297"/>
  <c r="H39" i="6297"/>
  <c r="H43" i="6297"/>
  <c r="H48" i="6297"/>
  <c r="H44" i="6297"/>
  <c r="H24" i="6297"/>
  <c r="H16" i="6297"/>
  <c r="H32" i="6297"/>
  <c r="H14" i="6297"/>
  <c r="H19" i="6297"/>
  <c r="C35" i="6297"/>
  <c r="C39" i="6297"/>
  <c r="C43" i="6297"/>
  <c r="H51" i="6297"/>
  <c r="C20" i="6297"/>
  <c r="H37" i="6297"/>
  <c r="H40" i="6297"/>
  <c r="H50" i="6297"/>
  <c r="H5" i="6297"/>
  <c r="H20" i="6297"/>
  <c r="C17" i="6297"/>
  <c r="C21" i="6297"/>
  <c r="H27" i="6297"/>
  <c r="H28" i="6297"/>
  <c r="H41" i="6297"/>
  <c r="H45" i="6297"/>
  <c r="H42" i="6295"/>
  <c r="H28" i="6295"/>
  <c r="H3" i="6295"/>
  <c r="B22" i="6295"/>
  <c r="C15" i="6295"/>
  <c r="C44" i="6295"/>
  <c r="H24" i="6295"/>
  <c r="C36" i="6295"/>
  <c r="H49" i="6295"/>
  <c r="C34" i="6295"/>
  <c r="H46" i="6295"/>
  <c r="H6" i="6295"/>
  <c r="H38" i="6295"/>
  <c r="H5" i="6295"/>
  <c r="H12" i="6295"/>
  <c r="H9" i="6295"/>
  <c r="C32" i="6295"/>
  <c r="C42" i="6295"/>
  <c r="H22" i="6295"/>
  <c r="H34" i="6295"/>
  <c r="H14" i="6295"/>
  <c r="H10" i="6295"/>
  <c r="H4" i="6295"/>
  <c r="H16" i="6295"/>
  <c r="H29" i="6295"/>
  <c r="C18" i="6295"/>
  <c r="H30" i="6295"/>
  <c r="C38" i="6295"/>
  <c r="H52" i="6295"/>
  <c r="H25" i="6295"/>
  <c r="H27" i="6295"/>
  <c r="H11" i="6295"/>
  <c r="C33" i="6295"/>
  <c r="C37" i="6295"/>
  <c r="C41" i="6295"/>
  <c r="H47" i="6295"/>
  <c r="C19" i="6295"/>
  <c r="B23" i="6295"/>
  <c r="H31" i="6295"/>
  <c r="H35" i="6295"/>
  <c r="H39" i="6295"/>
  <c r="H43" i="6295"/>
  <c r="H48" i="6295"/>
  <c r="H8" i="6295"/>
  <c r="C20" i="6295"/>
  <c r="H36" i="6295"/>
  <c r="H40" i="6295"/>
  <c r="H44" i="6295"/>
  <c r="H50" i="6295"/>
  <c r="H19" i="6295"/>
  <c r="H15" i="6295"/>
  <c r="H26" i="6295"/>
  <c r="H13" i="6295"/>
  <c r="H32" i="6295"/>
  <c r="C35" i="6295"/>
  <c r="C39" i="6295"/>
  <c r="C43" i="6295"/>
  <c r="H51" i="6295"/>
  <c r="H7" i="6295"/>
  <c r="H21" i="6295"/>
  <c r="C17" i="6295"/>
  <c r="C21" i="6295"/>
  <c r="H33" i="6295"/>
  <c r="H37" i="6295"/>
  <c r="H41" i="6295"/>
  <c r="H45" i="6295"/>
  <c r="O23" i="6293" l="1"/>
  <c r="O19" i="6293"/>
  <c r="C30" i="6293"/>
  <c r="B25" i="6293"/>
  <c r="C16" i="6293"/>
  <c r="B15" i="6293"/>
  <c r="H19" i="6293" s="1"/>
  <c r="B14" i="6293"/>
  <c r="B24" i="6293" s="1"/>
  <c r="B13" i="6293"/>
  <c r="C13" i="6293" s="1"/>
  <c r="O12" i="6293"/>
  <c r="C12" i="6293"/>
  <c r="O11" i="6293"/>
  <c r="C11" i="6293"/>
  <c r="O10" i="6293"/>
  <c r="C10" i="6293"/>
  <c r="C9" i="6293"/>
  <c r="C8" i="6293"/>
  <c r="O7" i="6293"/>
  <c r="C7" i="6293"/>
  <c r="O6" i="6293"/>
  <c r="B6" i="6293"/>
  <c r="O5" i="6293"/>
  <c r="B5" i="6293"/>
  <c r="O4" i="6293"/>
  <c r="O3" i="6293"/>
  <c r="O2" i="6293"/>
  <c r="O20" i="6291"/>
  <c r="O21" i="6291"/>
  <c r="C30" i="6291"/>
  <c r="B25" i="6291"/>
  <c r="C16" i="6291"/>
  <c r="B15" i="6291"/>
  <c r="H16" i="6291" s="1"/>
  <c r="B14" i="6291"/>
  <c r="B24" i="6291" s="1"/>
  <c r="B13" i="6291"/>
  <c r="C13" i="6291" s="1"/>
  <c r="O12" i="6291"/>
  <c r="C12" i="6291"/>
  <c r="O11" i="6291"/>
  <c r="C11" i="6291"/>
  <c r="O10" i="6291"/>
  <c r="C10" i="6291"/>
  <c r="C9" i="6291"/>
  <c r="C8" i="6291"/>
  <c r="O7" i="6291"/>
  <c r="C7" i="6291"/>
  <c r="O6" i="6291"/>
  <c r="B6" i="6291"/>
  <c r="O5" i="6291"/>
  <c r="B5" i="6291"/>
  <c r="O4" i="6291"/>
  <c r="O3" i="6291"/>
  <c r="O2" i="6291"/>
  <c r="O19" i="6287"/>
  <c r="O19" i="6289"/>
  <c r="O20" i="6289"/>
  <c r="C30" i="6289"/>
  <c r="B25" i="6289"/>
  <c r="C16" i="6289"/>
  <c r="B15" i="6289"/>
  <c r="H51" i="6289" s="1"/>
  <c r="B14" i="6289"/>
  <c r="B24" i="6289" s="1"/>
  <c r="B13" i="6289"/>
  <c r="C13" i="6289" s="1"/>
  <c r="O12" i="6289"/>
  <c r="C12" i="6289"/>
  <c r="O11" i="6289"/>
  <c r="C11" i="6289"/>
  <c r="O10" i="6289"/>
  <c r="C10" i="6289"/>
  <c r="C9" i="6289"/>
  <c r="C8" i="6289"/>
  <c r="O7" i="6289"/>
  <c r="C7" i="6289"/>
  <c r="O6" i="6289"/>
  <c r="B6" i="6289"/>
  <c r="O5" i="6289"/>
  <c r="B5" i="6289"/>
  <c r="O4" i="6289"/>
  <c r="O3" i="6289"/>
  <c r="O2" i="6289"/>
  <c r="O23" i="6287"/>
  <c r="O25" i="6287"/>
  <c r="C30" i="6287"/>
  <c r="B25" i="6287"/>
  <c r="C16" i="6287"/>
  <c r="B15" i="6287"/>
  <c r="H52" i="6287" s="1"/>
  <c r="B14" i="6287"/>
  <c r="B24" i="6287" s="1"/>
  <c r="B13" i="6287"/>
  <c r="C13" i="6287" s="1"/>
  <c r="O12" i="6287"/>
  <c r="C12" i="6287"/>
  <c r="O11" i="6287"/>
  <c r="C11" i="6287"/>
  <c r="O10" i="6287"/>
  <c r="C10" i="6287"/>
  <c r="C9" i="6287"/>
  <c r="C8" i="6287"/>
  <c r="O7" i="6287"/>
  <c r="C7" i="6287"/>
  <c r="O6" i="6287"/>
  <c r="B6" i="6287"/>
  <c r="O5" i="6287"/>
  <c r="B5" i="6287"/>
  <c r="O4" i="6287"/>
  <c r="O3" i="6287"/>
  <c r="O2" i="6287"/>
  <c r="C14" i="6293" l="1"/>
  <c r="C14" i="6291"/>
  <c r="C32" i="6289"/>
  <c r="H12" i="6293"/>
  <c r="H32" i="6293"/>
  <c r="H3" i="6293"/>
  <c r="C36" i="6293"/>
  <c r="H38" i="6293"/>
  <c r="H28" i="6293"/>
  <c r="C14" i="6289"/>
  <c r="H33" i="6293"/>
  <c r="H8" i="6293"/>
  <c r="C38" i="6293"/>
  <c r="H2" i="6293"/>
  <c r="H18" i="6293"/>
  <c r="H15" i="6293"/>
  <c r="H10" i="6293"/>
  <c r="C18" i="6293"/>
  <c r="C44" i="6293"/>
  <c r="H44" i="6293"/>
  <c r="H17" i="6293"/>
  <c r="C34" i="6293"/>
  <c r="H46" i="6293"/>
  <c r="C42" i="6293"/>
  <c r="C20" i="6293"/>
  <c r="H36" i="6293"/>
  <c r="H49" i="6293"/>
  <c r="H14" i="6293"/>
  <c r="H40" i="6293"/>
  <c r="H50" i="6293"/>
  <c r="H5" i="6293"/>
  <c r="H21" i="6293"/>
  <c r="C15" i="6293"/>
  <c r="B22" i="6293"/>
  <c r="C32" i="6293"/>
  <c r="C40" i="6293"/>
  <c r="H4" i="6293"/>
  <c r="H6" i="6293"/>
  <c r="H11" i="6293"/>
  <c r="H24" i="6293"/>
  <c r="H31" i="6293"/>
  <c r="H35" i="6293"/>
  <c r="H42" i="6293"/>
  <c r="H52" i="6293"/>
  <c r="H29" i="6293"/>
  <c r="H25" i="6293"/>
  <c r="H9" i="6293"/>
  <c r="C33" i="6293"/>
  <c r="C37" i="6293"/>
  <c r="C41" i="6293"/>
  <c r="H47" i="6293"/>
  <c r="C19" i="6293"/>
  <c r="B23" i="6293"/>
  <c r="H26" i="6293"/>
  <c r="H27" i="6293"/>
  <c r="H39" i="6293"/>
  <c r="H43" i="6293"/>
  <c r="H48" i="6293"/>
  <c r="H22" i="6293"/>
  <c r="H16" i="6293"/>
  <c r="H30" i="6293"/>
  <c r="H13" i="6293"/>
  <c r="H20" i="6293"/>
  <c r="C35" i="6293"/>
  <c r="C39" i="6293"/>
  <c r="C43" i="6293"/>
  <c r="H51" i="6293"/>
  <c r="H7" i="6293"/>
  <c r="H23" i="6293"/>
  <c r="C17" i="6293"/>
  <c r="C21" i="6293"/>
  <c r="H34" i="6293"/>
  <c r="H37" i="6293"/>
  <c r="H41" i="6293"/>
  <c r="H45" i="6293"/>
  <c r="C14" i="6287"/>
  <c r="H31" i="6291"/>
  <c r="H10" i="6291"/>
  <c r="H34" i="6291"/>
  <c r="H13" i="6291"/>
  <c r="H25" i="6291"/>
  <c r="C32" i="6291"/>
  <c r="H11" i="6291"/>
  <c r="H40" i="6291"/>
  <c r="H36" i="6291"/>
  <c r="C19" i="6291"/>
  <c r="C36" i="6291"/>
  <c r="C40" i="6291"/>
  <c r="C15" i="6291"/>
  <c r="H14" i="6291"/>
  <c r="B22" i="6291"/>
  <c r="H29" i="6291"/>
  <c r="H5" i="6291"/>
  <c r="H52" i="6291"/>
  <c r="B23" i="6291"/>
  <c r="H39" i="6291"/>
  <c r="H20" i="6291"/>
  <c r="H26" i="6291"/>
  <c r="H43" i="6291"/>
  <c r="H4" i="6291"/>
  <c r="H6" i="6291"/>
  <c r="C18" i="6291"/>
  <c r="C44" i="6291"/>
  <c r="H32" i="6291"/>
  <c r="H23" i="6291"/>
  <c r="H8" i="6291"/>
  <c r="C33" i="6291"/>
  <c r="C37" i="6291"/>
  <c r="C41" i="6291"/>
  <c r="H47" i="6291"/>
  <c r="H27" i="6291"/>
  <c r="H44" i="6291"/>
  <c r="H17" i="6291"/>
  <c r="H19" i="6291"/>
  <c r="C42" i="6291"/>
  <c r="H9" i="6291"/>
  <c r="C20" i="6291"/>
  <c r="H37" i="6291"/>
  <c r="H41" i="6291"/>
  <c r="H45" i="6291"/>
  <c r="H50" i="6291"/>
  <c r="H49" i="6291"/>
  <c r="H18" i="6291"/>
  <c r="H15" i="6291"/>
  <c r="H33" i="6291"/>
  <c r="H12" i="6291"/>
  <c r="H24" i="6291"/>
  <c r="C35" i="6291"/>
  <c r="C39" i="6291"/>
  <c r="C43" i="6291"/>
  <c r="H51" i="6291"/>
  <c r="H28" i="6291"/>
  <c r="H48" i="6291"/>
  <c r="H2" i="6291"/>
  <c r="H3" i="6291"/>
  <c r="H22" i="6291"/>
  <c r="H21" i="6291"/>
  <c r="C34" i="6291"/>
  <c r="C38" i="6291"/>
  <c r="H7" i="6291"/>
  <c r="H30" i="6291"/>
  <c r="C17" i="6291"/>
  <c r="C21" i="6291"/>
  <c r="H35" i="6291"/>
  <c r="H38" i="6291"/>
  <c r="H42" i="6291"/>
  <c r="H46" i="6291"/>
  <c r="H27" i="6289"/>
  <c r="H20" i="6289"/>
  <c r="H11" i="6289"/>
  <c r="H17" i="6289"/>
  <c r="C18" i="6289"/>
  <c r="H2" i="6289"/>
  <c r="H41" i="6289"/>
  <c r="H14" i="6289"/>
  <c r="C38" i="6289"/>
  <c r="C40" i="6289"/>
  <c r="H52" i="6289"/>
  <c r="H10" i="6289"/>
  <c r="C42" i="6289"/>
  <c r="C34" i="6289"/>
  <c r="C15" i="6289"/>
  <c r="H30" i="6289"/>
  <c r="C44" i="6289"/>
  <c r="H5" i="6289"/>
  <c r="H9" i="6289"/>
  <c r="H23" i="6289"/>
  <c r="H45" i="6289"/>
  <c r="H6" i="6289"/>
  <c r="C36" i="6289"/>
  <c r="H48" i="6289"/>
  <c r="B22" i="6289"/>
  <c r="H18" i="6289"/>
  <c r="H33" i="6289"/>
  <c r="H12" i="6289"/>
  <c r="H3" i="6289"/>
  <c r="H16" i="6289"/>
  <c r="H25" i="6289"/>
  <c r="H37" i="6289"/>
  <c r="H4" i="6289"/>
  <c r="C33" i="6289"/>
  <c r="H28" i="6289"/>
  <c r="H24" i="6289"/>
  <c r="H13" i="6289"/>
  <c r="C37" i="6289"/>
  <c r="C41" i="6289"/>
  <c r="H46" i="6289"/>
  <c r="C19" i="6289"/>
  <c r="B23" i="6289"/>
  <c r="H31" i="6289"/>
  <c r="H34" i="6289"/>
  <c r="H38" i="6289"/>
  <c r="H42" i="6289"/>
  <c r="H47" i="6289"/>
  <c r="H8" i="6289"/>
  <c r="C20" i="6289"/>
  <c r="H35" i="6289"/>
  <c r="H39" i="6289"/>
  <c r="H43" i="6289"/>
  <c r="H49" i="6289"/>
  <c r="H22" i="6289"/>
  <c r="H19" i="6289"/>
  <c r="H29" i="6289"/>
  <c r="H15" i="6289"/>
  <c r="H32" i="6289"/>
  <c r="C35" i="6289"/>
  <c r="C39" i="6289"/>
  <c r="C43" i="6289"/>
  <c r="H50" i="6289"/>
  <c r="H7" i="6289"/>
  <c r="H26" i="6289"/>
  <c r="C17" i="6289"/>
  <c r="C21" i="6289"/>
  <c r="H21" i="6289"/>
  <c r="H36" i="6289"/>
  <c r="H40" i="6289"/>
  <c r="H44" i="6289"/>
  <c r="C15" i="6287"/>
  <c r="H6" i="6287"/>
  <c r="H10" i="6287"/>
  <c r="H23" i="6287"/>
  <c r="H24" i="6287"/>
  <c r="H7" i="6287"/>
  <c r="H12" i="6287"/>
  <c r="H36" i="6287"/>
  <c r="H25" i="6287"/>
  <c r="H9" i="6287"/>
  <c r="C33" i="6287"/>
  <c r="C37" i="6287"/>
  <c r="C41" i="6287"/>
  <c r="H47" i="6287"/>
  <c r="C19" i="6287"/>
  <c r="H29" i="6287"/>
  <c r="H31" i="6287"/>
  <c r="H41" i="6287"/>
  <c r="H48" i="6287"/>
  <c r="H26" i="6287"/>
  <c r="H21" i="6287"/>
  <c r="H18" i="6287"/>
  <c r="C34" i="6287"/>
  <c r="C38" i="6287"/>
  <c r="C42" i="6287"/>
  <c r="H49" i="6287"/>
  <c r="H8" i="6287"/>
  <c r="C20" i="6287"/>
  <c r="H39" i="6287"/>
  <c r="H42" i="6287"/>
  <c r="H45" i="6287"/>
  <c r="H50" i="6287"/>
  <c r="B23" i="6287"/>
  <c r="H44" i="6287"/>
  <c r="H2" i="6287"/>
  <c r="H3" i="6287"/>
  <c r="H17" i="6287"/>
  <c r="H20" i="6287"/>
  <c r="H15" i="6287"/>
  <c r="H37" i="6287"/>
  <c r="H13" i="6287"/>
  <c r="H22" i="6287"/>
  <c r="C35" i="6287"/>
  <c r="C39" i="6287"/>
  <c r="C43" i="6287"/>
  <c r="H51" i="6287"/>
  <c r="C17" i="6287"/>
  <c r="C21" i="6287"/>
  <c r="H30" i="6287"/>
  <c r="H32" i="6287"/>
  <c r="H33" i="6287"/>
  <c r="H46" i="6287"/>
  <c r="H16" i="6287"/>
  <c r="H4" i="6287"/>
  <c r="H11" i="6287"/>
  <c r="H19" i="6287"/>
  <c r="H14" i="6287"/>
  <c r="H28" i="6287"/>
  <c r="C32" i="6287"/>
  <c r="C36" i="6287"/>
  <c r="C40" i="6287"/>
  <c r="C44" i="6287"/>
  <c r="H5" i="6287"/>
  <c r="H35" i="6287"/>
  <c r="C18" i="6287"/>
  <c r="B22" i="6287"/>
  <c r="H27" i="6287"/>
  <c r="H38" i="6287"/>
  <c r="H40" i="6287"/>
  <c r="H43" i="6287"/>
  <c r="H34" i="628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<sst xmlns="http://schemas.openxmlformats.org/spreadsheetml/2006/main" count="3821" uniqueCount="294">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</sst>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全体!$K$2:$K$842</c:f>
              <c:numCache>
                <c:formatCode>General</c:formatCode>
                <c:ptCount val="8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</c:numCache>
            </c:numRef>
          </c:xVal>
          <c:yVal>
            <c:numRef>
              <c:f>全体!$L$2:$L$842</c:f>
              <c:numCache>
                <c:formatCode>\+0.0;\-0.0;\±0</c:formatCode>
                <c:ptCount val="84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C-4829-BE2E-74ED29529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-26.284348864994026</c:v>
                </c:pt>
                <c:pt idx="1">
                  <c:v>9.6969696969696972</c:v>
                </c:pt>
                <c:pt idx="2">
                  <c:v>-7.7220077220077217</c:v>
                </c:pt>
                <c:pt idx="3">
                  <c:v>10.928961748633879</c:v>
                </c:pt>
                <c:pt idx="4">
                  <c:v>2.9629629629629628</c:v>
                </c:pt>
                <c:pt idx="5">
                  <c:v>15.873015873015873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1-4D67-AADF-EA656367C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162</c:v>
                </c:pt>
                <c:pt idx="1">
                  <c:v>349</c:v>
                </c:pt>
                <c:pt idx="2">
                  <c:v>410</c:v>
                </c:pt>
                <c:pt idx="3">
                  <c:v>367</c:v>
                </c:pt>
                <c:pt idx="4">
                  <c:v>330</c:v>
                </c:pt>
                <c:pt idx="5">
                  <c:v>219</c:v>
                </c:pt>
                <c:pt idx="6">
                  <c:v>110</c:v>
                </c:pt>
                <c:pt idx="7">
                  <c:v>57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2-4D4E-A86C-2C13FD38D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A-4C8D-B9B8-EBF6BA10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2258.6666666666665</c:v>
                </c:pt>
                <c:pt idx="1">
                  <c:v>-1750</c:v>
                </c:pt>
                <c:pt idx="2">
                  <c:v>-1661.1111111111111</c:v>
                </c:pt>
                <c:pt idx="3">
                  <c:v>-1105.9701492537313</c:v>
                </c:pt>
                <c:pt idx="4">
                  <c:v>-201.5151515151515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3-46E0-BD3C-6C281CAF2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39</c:v>
                </c:pt>
                <c:pt idx="3">
                  <c:v>26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8-46F5-B84B-4AD779FBA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9-4674-9AB4-B90428BD2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1310.4938271604938</c:v>
                </c:pt>
                <c:pt idx="1">
                  <c:v>979.24528301886789</c:v>
                </c:pt>
                <c:pt idx="2">
                  <c:v>939.47368421052636</c:v>
                </c:pt>
                <c:pt idx="3">
                  <c:v>359.85915492957747</c:v>
                </c:pt>
                <c:pt idx="4">
                  <c:v>1937.121212121212</c:v>
                </c:pt>
                <c:pt idx="5">
                  <c:v>1948.148148148148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EAE-83AE-C34D265A9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43</c:v>
                </c:pt>
                <c:pt idx="1">
                  <c:v>85</c:v>
                </c:pt>
                <c:pt idx="2">
                  <c:v>94</c:v>
                </c:pt>
                <c:pt idx="3">
                  <c:v>83</c:v>
                </c:pt>
                <c:pt idx="4">
                  <c:v>67</c:v>
                </c:pt>
                <c:pt idx="5">
                  <c:v>41</c:v>
                </c:pt>
                <c:pt idx="6">
                  <c:v>23</c:v>
                </c:pt>
                <c:pt idx="7">
                  <c:v>6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C-47FD-8426-D47072E24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ただ!$K$2:$K$145</c:f>
              <c:numCache>
                <c:formatCode>General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ただ!$L$2:$L$145</c:f>
              <c:numCache>
                <c:formatCode>\+0.0;\-0.0;\±0</c:formatCode>
                <c:ptCount val="14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0-4C2F-99BA-3A8E16B5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-1423.943661971831</c:v>
                </c:pt>
                <c:pt idx="1">
                  <c:v>1553.5714285714287</c:v>
                </c:pt>
                <c:pt idx="2">
                  <c:v>-458.13953488372096</c:v>
                </c:pt>
                <c:pt idx="3">
                  <c:v>280.32786885245901</c:v>
                </c:pt>
                <c:pt idx="4">
                  <c:v>-872.97297297297303</c:v>
                </c:pt>
                <c:pt idx="5">
                  <c:v>1219.1489361702127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6C-4BDE-9C99-EC3A3D817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25</c:v>
                </c:pt>
                <c:pt idx="1">
                  <c:v>61</c:v>
                </c:pt>
                <c:pt idx="2">
                  <c:v>76</c:v>
                </c:pt>
                <c:pt idx="3">
                  <c:v>77</c:v>
                </c:pt>
                <c:pt idx="4">
                  <c:v>54</c:v>
                </c:pt>
                <c:pt idx="5">
                  <c:v>39</c:v>
                </c:pt>
                <c:pt idx="6">
                  <c:v>12</c:v>
                </c:pt>
                <c:pt idx="7">
                  <c:v>8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AB-40B4-8840-BB33542C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りくと!$L$2:$L$97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F-48D9-834F-5AFC51A83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-388.29787234042556</c:v>
                </c:pt>
                <c:pt idx="1">
                  <c:v>-554.25531914893622</c:v>
                </c:pt>
                <c:pt idx="2">
                  <c:v>605.74712643678163</c:v>
                </c:pt>
                <c:pt idx="3">
                  <c:v>-744.18604651162786</c:v>
                </c:pt>
                <c:pt idx="4">
                  <c:v>-3076.5432098765432</c:v>
                </c:pt>
                <c:pt idx="5">
                  <c:v>-1363.3802816901409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6-49C6-B9A7-D63E139E0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50</c:v>
                </c:pt>
                <c:pt idx="3">
                  <c:v>34</c:v>
                </c:pt>
                <c:pt idx="4">
                  <c:v>37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D-4074-8671-31D818FF9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れんたろう!$L$2:$L$118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4-4104-81A5-97C1CBB1D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1465.5172413793102</c:v>
                </c:pt>
                <c:pt idx="1">
                  <c:v>-1678.0701754385964</c:v>
                </c:pt>
                <c:pt idx="2">
                  <c:v>392.30769230769232</c:v>
                </c:pt>
                <c:pt idx="3">
                  <c:v>2471.7171717171718</c:v>
                </c:pt>
                <c:pt idx="4">
                  <c:v>1069.6629213483145</c:v>
                </c:pt>
                <c:pt idx="5">
                  <c:v>542.25352112676057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3-49A9-A8ED-141836A20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21</c:v>
                </c:pt>
                <c:pt idx="2">
                  <c:v>37</c:v>
                </c:pt>
                <c:pt idx="3">
                  <c:v>53</c:v>
                </c:pt>
                <c:pt idx="4">
                  <c:v>61</c:v>
                </c:pt>
                <c:pt idx="5">
                  <c:v>34</c:v>
                </c:pt>
                <c:pt idx="6">
                  <c:v>21</c:v>
                </c:pt>
                <c:pt idx="7">
                  <c:v>16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E-4847-926A-7F94AB5F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87-418C-A984-365F16EB3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-268.99224806201551</c:v>
                </c:pt>
                <c:pt idx="1">
                  <c:v>-51.587301587301589</c:v>
                </c:pt>
                <c:pt idx="2">
                  <c:v>215.83333333333334</c:v>
                </c:pt>
                <c:pt idx="3">
                  <c:v>122.01834862385321</c:v>
                </c:pt>
                <c:pt idx="4">
                  <c:v>-165.30612244897958</c:v>
                </c:pt>
                <c:pt idx="5">
                  <c:v>-1177.3809523809523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5-4F55-82B4-E5991AF1E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52</c:v>
                </c:pt>
                <c:pt idx="2">
                  <c:v>61</c:v>
                </c:pt>
                <c:pt idx="3">
                  <c:v>54</c:v>
                </c:pt>
                <c:pt idx="4">
                  <c:v>41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5-4AA9-B39D-144BE07C5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のり!$L$2:$L$61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9-407F-992E-8A0BEBE69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-2438.9830508474574</c:v>
                </c:pt>
                <c:pt idx="1">
                  <c:v>564.40677966101691</c:v>
                </c:pt>
                <c:pt idx="2">
                  <c:v>-1310.5263157894738</c:v>
                </c:pt>
                <c:pt idx="3">
                  <c:v>-1750.9803921568628</c:v>
                </c:pt>
                <c:pt idx="4">
                  <c:v>-1802.0408163265306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F-47C8-A893-2009A1F12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25</c:v>
                </c:pt>
                <c:pt idx="2">
                  <c:v>27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F-442C-A290-88DC2E90A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6-46D9-9773-A2F58DD28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A-46A6-B73F-D255408CE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1-449D-9858-E40BB783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E-4316-9B49-ED5DB23C7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3-4121-BDF4-C0F100419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8-42D5-9F41-B70F62B8B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5-40E1-AE88-F44157585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D-4C80-B2BB-85B1CA70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7-44E5-BCC4-94D3C4C6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5-4609-A6BC-048FD1C5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1-4F21-AB57-066C031F0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B-4124-9BFB-4DFC1BE07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9-47BE-8B72-2AB77D4DA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3-4A5F-AE7D-C2B1AEAEA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1-4BEE-AEB9-9ECDE1EAA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5-4931-9047-F93ACA9B7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F84-98B1-9C334343B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4-41BE-8BB2-3BBB3FCBB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まっつん2!$B$3:$B$132</c:f>
              <c:numCache>
                <c:formatCode>\+0.0;\-0.0;\±0</c:formatCode>
                <c:ptCount val="13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まっつん2!$C$3:$C$132</c:f>
              <c:numCache>
                <c:formatCode>\+0.0;\-0.0;\±0</c:formatCode>
                <c:ptCount val="130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92118946466750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まっつん2!$D$3:$D$132</c:f>
              <c:numCache>
                <c:formatCode>0.00\ "位"</c:formatCode>
                <c:ptCount val="130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まっつん2!$E$3:$E$132</c:f>
              <c:numCache>
                <c:formatCode>0.0%</c:formatCode>
                <c:ptCount val="13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まっつん2!$F$3:$F$132</c:f>
              <c:numCache>
                <c:formatCode>0.0%</c:formatCode>
                <c:ptCount val="13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まっつん2!$G$3:$G$132</c:f>
              <c:numCache>
                <c:formatCode>0.0%</c:formatCode>
                <c:ptCount val="130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2807615799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まっつん2!$H$3:$H$132</c:f>
              <c:numCache>
                <c:formatCode>0.0%</c:formatCode>
                <c:ptCount val="130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977834612105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まっつん2!$I$3:$I$132</c:f>
              <c:numCache>
                <c:formatCode>0</c:formatCode>
                <c:ptCount val="130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まっつん2!$J$3:$J$132</c:f>
              <c:numCache>
                <c:formatCode>0</c:formatCode>
                <c:ptCount val="130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6.4035087719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まっつん2!$K$3:$K$132</c:f>
              <c:numCache>
                <c:formatCode>0.0%</c:formatCode>
                <c:ptCount val="1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まっつん2!$L$3:$L$132</c:f>
              <c:numCache>
                <c:formatCode>0.0%</c:formatCode>
                <c:ptCount val="130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617789144643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まっつん2!$M$3:$M$132</c:f>
              <c:numCache>
                <c:formatCode>0.0%</c:formatCode>
                <c:ptCount val="130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61608411480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まっつん2!$N$3:$N$132</c:f>
              <c:numCache>
                <c:formatCode>0.0%</c:formatCode>
                <c:ptCount val="130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01339285714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まっつん2!$O$3:$O$132</c:f>
              <c:numCache>
                <c:formatCode>0.0%</c:formatCode>
                <c:ptCount val="130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244251087632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まっつん2!$A$3:$A$132</c:f>
              <c:numCache>
                <c:formatCode>0\ "回"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まっつん2!$P$3:$P$132</c:f>
              <c:numCache>
                <c:formatCode>0.0%</c:formatCode>
                <c:ptCount val="130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30120481927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7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8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8" x14ac:dyDescent="0.45">
      <c r="A82" s="28" t="s">
        <v>288</v>
      </c>
      <c r="B82" s="29">
        <v>43814.578449074077</v>
      </c>
      <c r="C82" s="28" t="s">
        <v>128</v>
      </c>
    </row>
    <row r="83" spans="1:8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8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8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8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8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840</v>
      </c>
    </row>
    <row r="2" spans="1:2" x14ac:dyDescent="0.45">
      <c r="A2" t="s">
        <v>161</v>
      </c>
      <c r="B2">
        <v>75</v>
      </c>
    </row>
    <row r="3" spans="1:2" x14ac:dyDescent="0.45">
      <c r="A3" t="s">
        <v>126</v>
      </c>
      <c r="B3">
        <v>163</v>
      </c>
    </row>
    <row r="4" spans="1:2" x14ac:dyDescent="0.45">
      <c r="A4" t="s">
        <v>127</v>
      </c>
      <c r="B4">
        <v>143</v>
      </c>
    </row>
    <row r="5" spans="1:2" x14ac:dyDescent="0.45">
      <c r="A5" t="s">
        <v>172</v>
      </c>
      <c r="B5">
        <v>95</v>
      </c>
    </row>
    <row r="6" spans="1:2" x14ac:dyDescent="0.45">
      <c r="A6" t="s">
        <v>170</v>
      </c>
      <c r="B6">
        <v>116</v>
      </c>
    </row>
    <row r="7" spans="1:2" x14ac:dyDescent="0.45">
      <c r="A7" t="s">
        <v>171</v>
      </c>
      <c r="B7">
        <v>129</v>
      </c>
    </row>
    <row r="8" spans="1:2" x14ac:dyDescent="0.45">
      <c r="A8" t="s">
        <v>197</v>
      </c>
      <c r="B8">
        <v>59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1:A2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0.96483076726741202</v>
      </c>
      <c r="G2" s="163"/>
      <c r="H2" s="162">
        <v>0.83822505196359498</v>
      </c>
      <c r="I2" s="163"/>
      <c r="J2" s="162">
        <v>0.92093474168115053</v>
      </c>
      <c r="K2" s="163"/>
      <c r="L2" s="162">
        <v>0.49216365203371298</v>
      </c>
      <c r="M2" s="163"/>
      <c r="N2" s="162">
        <v>0.54083642863202974</v>
      </c>
      <c r="O2" s="163"/>
      <c r="P2" s="162">
        <v>0.50475872934767163</v>
      </c>
      <c r="Q2" s="163"/>
      <c r="R2" s="162">
        <v>0.17370757553049287</v>
      </c>
      <c r="S2" s="163"/>
      <c r="T2" s="162">
        <v>0.40448002724011145</v>
      </c>
      <c r="U2" s="163"/>
      <c r="V2" s="162">
        <v>0.4538606548316314</v>
      </c>
      <c r="W2" s="163"/>
      <c r="X2" s="162">
        <v>2.2753984229275697E-2</v>
      </c>
      <c r="Y2" s="163"/>
      <c r="Z2" s="162">
        <v>0.35189149299776445</v>
      </c>
      <c r="AA2" s="163"/>
      <c r="AB2" s="162">
        <v>5.0435859474234649E-3</v>
      </c>
      <c r="AC2" s="163"/>
      <c r="AD2" s="162">
        <v>-5.7744979901768446E-2</v>
      </c>
      <c r="AE2" s="163"/>
      <c r="AF2" s="162">
        <v>0.84436437793421659</v>
      </c>
      <c r="AG2" s="163"/>
    </row>
    <row r="3" spans="1:33" x14ac:dyDescent="0.45">
      <c r="A3" s="70">
        <v>1</v>
      </c>
      <c r="B3" s="71" t="s">
        <v>126</v>
      </c>
      <c r="C3" s="72">
        <v>1425.1000000000001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10659.774436090225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558.8000000000003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0.24539877300613497</v>
      </c>
      <c r="L4" s="81" t="s">
        <v>281</v>
      </c>
      <c r="M4" s="84">
        <v>0.37681159420289856</v>
      </c>
      <c r="N4" s="81" t="s">
        <v>126</v>
      </c>
      <c r="O4" s="84">
        <v>0.13089005235602094</v>
      </c>
      <c r="P4" s="81" t="s">
        <v>281</v>
      </c>
      <c r="Q4" s="85">
        <v>9534.6153846153848</v>
      </c>
      <c r="R4" s="81" t="s">
        <v>171</v>
      </c>
      <c r="S4" s="85">
        <v>-7191.9463087248323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8.7429447852760749</v>
      </c>
      <c r="F5" s="81" t="s">
        <v>126</v>
      </c>
      <c r="G5" s="82">
        <v>1.7852760736196318</v>
      </c>
      <c r="H5" s="81" t="s">
        <v>126</v>
      </c>
      <c r="I5" s="83">
        <v>0.46012269938650308</v>
      </c>
      <c r="J5" s="81" t="s">
        <v>127</v>
      </c>
      <c r="K5" s="83">
        <v>0.30069930069930068</v>
      </c>
      <c r="L5" s="81" t="s">
        <v>274</v>
      </c>
      <c r="M5" s="84">
        <v>0.3559322033898305</v>
      </c>
      <c r="N5" s="81" t="s">
        <v>171</v>
      </c>
      <c r="O5" s="84">
        <v>0.14190476190476189</v>
      </c>
      <c r="P5" s="81" t="s">
        <v>280</v>
      </c>
      <c r="Q5" s="85">
        <v>8512.5</v>
      </c>
      <c r="R5" s="81" t="s">
        <v>126</v>
      </c>
      <c r="S5" s="85">
        <v>-7571.4285714285716</v>
      </c>
      <c r="T5" s="81" t="s">
        <v>126</v>
      </c>
      <c r="U5" s="83">
        <v>4.2944785276073622E-2</v>
      </c>
      <c r="V5" s="81" t="s">
        <v>170</v>
      </c>
      <c r="W5" s="84">
        <v>0.31151003167898628</v>
      </c>
      <c r="X5" s="81" t="s">
        <v>127</v>
      </c>
      <c r="Y5" s="84">
        <v>0.30092204526404026</v>
      </c>
      <c r="Z5" s="81" t="s">
        <v>126</v>
      </c>
      <c r="AA5" s="84">
        <v>0.60281690140845068</v>
      </c>
      <c r="AB5" s="81" t="s">
        <v>126</v>
      </c>
      <c r="AC5" s="84">
        <v>0.49839228295819937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61.399999999999814</v>
      </c>
      <c r="D6" s="81" t="s">
        <v>170</v>
      </c>
      <c r="E6" s="93">
        <v>4.8172413793103477</v>
      </c>
      <c r="F6" s="81" t="s">
        <v>170</v>
      </c>
      <c r="G6" s="82">
        <v>1.8879310344827587</v>
      </c>
      <c r="H6" s="81" t="s">
        <v>228</v>
      </c>
      <c r="I6" s="83">
        <v>0.42857142857142855</v>
      </c>
      <c r="J6" s="81" t="s">
        <v>170</v>
      </c>
      <c r="K6" s="83">
        <v>0.30172413793103448</v>
      </c>
      <c r="L6" s="81" t="s">
        <v>126</v>
      </c>
      <c r="M6" s="84">
        <v>0.34480179506357517</v>
      </c>
      <c r="N6" s="81" t="s">
        <v>161</v>
      </c>
      <c r="O6" s="84">
        <v>0.15442278860569716</v>
      </c>
      <c r="P6" s="81" t="s">
        <v>196</v>
      </c>
      <c r="Q6" s="85">
        <v>8385.7142857142862</v>
      </c>
      <c r="R6" s="81" t="s">
        <v>172</v>
      </c>
      <c r="S6" s="85">
        <v>-7591.7808219178078</v>
      </c>
      <c r="T6" s="81" t="s">
        <v>161</v>
      </c>
      <c r="U6" s="83">
        <v>6.6666666666666666E-2</v>
      </c>
      <c r="V6" s="81" t="s">
        <v>274</v>
      </c>
      <c r="W6" s="84">
        <v>0.30508474576271188</v>
      </c>
      <c r="X6" s="81" t="s">
        <v>161</v>
      </c>
      <c r="Y6" s="84">
        <v>0.25337331334332835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0.46846846846846846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203</v>
      </c>
      <c r="C7" s="80">
        <v>26.2</v>
      </c>
      <c r="D7" s="81" t="s">
        <v>127</v>
      </c>
      <c r="E7" s="93">
        <v>0.42937062937062809</v>
      </c>
      <c r="F7" s="81" t="s">
        <v>127</v>
      </c>
      <c r="G7" s="82">
        <v>1.9580419580419581</v>
      </c>
      <c r="H7" s="81" t="s">
        <v>170</v>
      </c>
      <c r="I7" s="83">
        <v>0.41379310344827586</v>
      </c>
      <c r="J7" s="81" t="s">
        <v>171</v>
      </c>
      <c r="K7" s="83">
        <v>0.32558139534883723</v>
      </c>
      <c r="L7" s="81" t="s">
        <v>127</v>
      </c>
      <c r="M7" s="84">
        <v>0.30595138306789604</v>
      </c>
      <c r="N7" s="81" t="s">
        <v>141</v>
      </c>
      <c r="O7" s="84">
        <v>0.16197783461210571</v>
      </c>
      <c r="P7" s="81" t="s">
        <v>141</v>
      </c>
      <c r="Q7" s="85">
        <v>8352</v>
      </c>
      <c r="R7" s="81" t="s">
        <v>161</v>
      </c>
      <c r="S7" s="85">
        <v>-7741.7475728155341</v>
      </c>
      <c r="T7" s="81" t="s">
        <v>172</v>
      </c>
      <c r="U7" s="83">
        <v>7.3684210526315783E-2</v>
      </c>
      <c r="V7" s="81" t="s">
        <v>172</v>
      </c>
      <c r="W7" s="84">
        <v>0.2767527675276753</v>
      </c>
      <c r="X7" s="81" t="s">
        <v>126</v>
      </c>
      <c r="Y7" s="84">
        <v>0.23261032161555723</v>
      </c>
      <c r="Z7" s="81" t="s">
        <v>141</v>
      </c>
      <c r="AA7" s="84">
        <v>0.5530133928571429</v>
      </c>
      <c r="AB7" s="81" t="s">
        <v>197</v>
      </c>
      <c r="AC7" s="84">
        <v>0.4247787610619469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-4.9737991503207013E-14</v>
      </c>
      <c r="D8" s="81" t="s">
        <v>141</v>
      </c>
      <c r="E8" s="93">
        <v>-5.9211894646675015E-17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0.29482807615799944</v>
      </c>
      <c r="N8" s="81" t="s">
        <v>170</v>
      </c>
      <c r="O8" s="84">
        <v>0.16895459345300951</v>
      </c>
      <c r="P8" s="81" t="s">
        <v>127</v>
      </c>
      <c r="Q8" s="85">
        <v>8291.5068493150684</v>
      </c>
      <c r="R8" s="81" t="s">
        <v>141</v>
      </c>
      <c r="S8" s="85">
        <v>-7756.4035087719294</v>
      </c>
      <c r="T8" s="81" t="s">
        <v>171</v>
      </c>
      <c r="U8" s="83">
        <v>7.7519379844961239E-2</v>
      </c>
      <c r="V8" s="81" t="s">
        <v>203</v>
      </c>
      <c r="W8" s="84">
        <v>0.26666666666666666</v>
      </c>
      <c r="X8" s="81" t="s">
        <v>197</v>
      </c>
      <c r="Y8" s="84">
        <v>0.23203285420944558</v>
      </c>
      <c r="Z8" s="81" t="s">
        <v>170</v>
      </c>
      <c r="AA8" s="84">
        <v>0.55254237288135588</v>
      </c>
      <c r="AB8" s="81" t="s">
        <v>141</v>
      </c>
      <c r="AC8" s="84">
        <v>0.42324425108763208</v>
      </c>
      <c r="AD8" s="81" t="s">
        <v>197</v>
      </c>
      <c r="AE8" s="84">
        <v>0.453125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-1.6302325581395347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0.28088701161562829</v>
      </c>
      <c r="N9" s="81" t="s">
        <v>274</v>
      </c>
      <c r="O9" s="84">
        <v>0.16949152542372881</v>
      </c>
      <c r="P9" s="81" t="s">
        <v>171</v>
      </c>
      <c r="Q9" s="85">
        <v>8276.5517241379312</v>
      </c>
      <c r="R9" s="81" t="s">
        <v>127</v>
      </c>
      <c r="S9" s="85">
        <v>-7954.3378995433786</v>
      </c>
      <c r="T9" s="81" t="s">
        <v>141</v>
      </c>
      <c r="U9" s="83">
        <v>9.5238095238095233E-2</v>
      </c>
      <c r="V9" s="81" t="s">
        <v>126</v>
      </c>
      <c r="W9" s="84">
        <v>0.26551982049364248</v>
      </c>
      <c r="X9" s="81" t="s">
        <v>141</v>
      </c>
      <c r="Y9" s="84">
        <v>0.22861608411480533</v>
      </c>
      <c r="Z9" s="81" t="s">
        <v>171</v>
      </c>
      <c r="AA9" s="84">
        <v>0.5467625899280576</v>
      </c>
      <c r="AB9" s="81" t="s">
        <v>171</v>
      </c>
      <c r="AC9" s="84">
        <v>0.41949152542372881</v>
      </c>
      <c r="AD9" s="81" t="s">
        <v>171</v>
      </c>
      <c r="AE9" s="84">
        <v>0.44827586206896552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0.34265734265734266</v>
      </c>
      <c r="J10" s="81" t="s">
        <v>172</v>
      </c>
      <c r="K10" s="83">
        <v>0.37894736842105264</v>
      </c>
      <c r="L10" s="81" t="s">
        <v>171</v>
      </c>
      <c r="M10" s="84">
        <v>0.27619047619047621</v>
      </c>
      <c r="N10" s="81" t="s">
        <v>196</v>
      </c>
      <c r="O10" s="84">
        <v>0.17499999999999999</v>
      </c>
      <c r="P10" s="81" t="s">
        <v>126</v>
      </c>
      <c r="Q10" s="85">
        <v>8136.0086767895882</v>
      </c>
      <c r="R10" s="81" t="s">
        <v>280</v>
      </c>
      <c r="S10" s="85">
        <v>-7987.5</v>
      </c>
      <c r="T10" s="81" t="s">
        <v>170</v>
      </c>
      <c r="U10" s="83">
        <v>0.10344827586206896</v>
      </c>
      <c r="V10" s="81" t="s">
        <v>171</v>
      </c>
      <c r="W10" s="84">
        <v>0.26476190476190475</v>
      </c>
      <c r="X10" s="81" t="s">
        <v>171</v>
      </c>
      <c r="Y10" s="84">
        <v>0.22476190476190477</v>
      </c>
      <c r="Z10" s="81" t="s">
        <v>172</v>
      </c>
      <c r="AA10" s="84">
        <v>0.54222222222222227</v>
      </c>
      <c r="AB10" s="81" t="s">
        <v>172</v>
      </c>
      <c r="AC10" s="84">
        <v>0.41509433962264153</v>
      </c>
      <c r="AD10" s="81" t="s">
        <v>141</v>
      </c>
      <c r="AE10" s="84">
        <v>0.4453012048192771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2.0930232558139537</v>
      </c>
      <c r="H11" s="81" t="s">
        <v>141</v>
      </c>
      <c r="I11" s="83">
        <v>0.33333333333333331</v>
      </c>
      <c r="J11" s="81" t="s">
        <v>274</v>
      </c>
      <c r="K11" s="83">
        <v>0.38461538461538464</v>
      </c>
      <c r="L11" s="81" t="s">
        <v>172</v>
      </c>
      <c r="M11" s="84">
        <v>0.27306273062730629</v>
      </c>
      <c r="N11" s="81" t="s">
        <v>172</v>
      </c>
      <c r="O11" s="84">
        <v>0.17958179581795819</v>
      </c>
      <c r="P11" s="81" t="s">
        <v>197</v>
      </c>
      <c r="Q11" s="85">
        <v>7987.5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0.19557195571955718</v>
      </c>
      <c r="Z11" s="81" t="s">
        <v>197</v>
      </c>
      <c r="AA11" s="84">
        <v>0.53846153846153844</v>
      </c>
      <c r="AB11" s="81" t="s">
        <v>161</v>
      </c>
      <c r="AC11" s="84">
        <v>0.40828402366863903</v>
      </c>
      <c r="AD11" s="81" t="s">
        <v>126</v>
      </c>
      <c r="AE11" s="84">
        <v>0.41865509761388287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-6.1626666666666701</v>
      </c>
      <c r="F12" s="81" t="s">
        <v>161</v>
      </c>
      <c r="G12" s="82">
        <v>2.1333333333333333</v>
      </c>
      <c r="H12" s="81" t="s">
        <v>161</v>
      </c>
      <c r="I12" s="83">
        <v>0.30666666666666664</v>
      </c>
      <c r="J12" s="81" t="s">
        <v>196</v>
      </c>
      <c r="K12" s="83">
        <v>0.4</v>
      </c>
      <c r="L12" s="81" t="s">
        <v>161</v>
      </c>
      <c r="M12" s="84">
        <v>0.27286356821589203</v>
      </c>
      <c r="N12" s="81" t="s">
        <v>197</v>
      </c>
      <c r="O12" s="84">
        <v>0.18275154004106775</v>
      </c>
      <c r="P12" s="81" t="s">
        <v>172</v>
      </c>
      <c r="Q12" s="85">
        <v>7830.6306306306305</v>
      </c>
      <c r="R12" s="81" t="s">
        <v>170</v>
      </c>
      <c r="S12" s="85">
        <v>-8088.75</v>
      </c>
      <c r="T12" s="81" t="s">
        <v>127</v>
      </c>
      <c r="U12" s="83">
        <v>0.12587412587412589</v>
      </c>
      <c r="V12" s="81" t="s">
        <v>141</v>
      </c>
      <c r="W12" s="84">
        <v>0.25461778914464339</v>
      </c>
      <c r="X12" s="81" t="s">
        <v>170</v>
      </c>
      <c r="Y12" s="84">
        <v>0.17634635691657866</v>
      </c>
      <c r="Z12" s="81" t="s">
        <v>228</v>
      </c>
      <c r="AA12" s="84">
        <v>0.53333333333333333</v>
      </c>
      <c r="AB12" s="81" t="s">
        <v>170</v>
      </c>
      <c r="AC12" s="84">
        <v>0.39520958083832336</v>
      </c>
      <c r="AD12" s="81" t="s">
        <v>161</v>
      </c>
      <c r="AE12" s="84">
        <v>0.4175824175824176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-210.29999999999998</v>
      </c>
      <c r="D13" s="81" t="s">
        <v>172</v>
      </c>
      <c r="E13" s="93">
        <v>-6.3073684210526313</v>
      </c>
      <c r="F13" s="81" t="s">
        <v>228</v>
      </c>
      <c r="G13" s="82">
        <v>2.1428571428571428</v>
      </c>
      <c r="H13" s="81" t="s">
        <v>171</v>
      </c>
      <c r="I13" s="83">
        <v>0.23255813953488372</v>
      </c>
      <c r="J13" s="81" t="s">
        <v>280</v>
      </c>
      <c r="K13" s="83">
        <v>0.4</v>
      </c>
      <c r="L13" s="81" t="s">
        <v>197</v>
      </c>
      <c r="M13" s="84">
        <v>0.26283367556468173</v>
      </c>
      <c r="N13" s="81" t="s">
        <v>127</v>
      </c>
      <c r="O13" s="84">
        <v>0.18357082984073764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0.16949152542372881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0.51546391752577314</v>
      </c>
      <c r="AB13" s="81" t="s">
        <v>127</v>
      </c>
      <c r="AC13" s="84">
        <v>0.38161559888579388</v>
      </c>
      <c r="AD13" s="81" t="s">
        <v>127</v>
      </c>
      <c r="AE13" s="84">
        <v>0.41643835616438357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-462.20000000000027</v>
      </c>
      <c r="D14" s="81" t="s">
        <v>197</v>
      </c>
      <c r="E14" s="93">
        <v>-10.633898305084747</v>
      </c>
      <c r="F14" s="81" t="s">
        <v>172</v>
      </c>
      <c r="G14" s="82">
        <v>2.1578947368421053</v>
      </c>
      <c r="H14" s="81" t="s">
        <v>172</v>
      </c>
      <c r="I14" s="83">
        <v>0.22105263157894736</v>
      </c>
      <c r="J14" s="81" t="s">
        <v>161</v>
      </c>
      <c r="K14" s="83">
        <v>0.44</v>
      </c>
      <c r="L14" s="81" t="s">
        <v>196</v>
      </c>
      <c r="M14" s="84">
        <v>0.26250000000000001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-8258.4269662921342</v>
      </c>
      <c r="T14" s="81" t="s">
        <v>280</v>
      </c>
      <c r="U14" s="83">
        <v>0.2</v>
      </c>
      <c r="V14" s="81" t="s">
        <v>127</v>
      </c>
      <c r="W14" s="84">
        <v>0.23302598491198659</v>
      </c>
      <c r="X14" s="81" t="s">
        <v>196</v>
      </c>
      <c r="Y14" s="84">
        <v>0.15</v>
      </c>
      <c r="Z14" s="81" t="s">
        <v>127</v>
      </c>
      <c r="AA14" s="84">
        <v>0.50359712230215825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-599.19999999999993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0.4576271186440678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7030.7692307692305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0.2135523613963039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-627.40000000000009</v>
      </c>
      <c r="D16" s="81" t="s">
        <v>280</v>
      </c>
      <c r="E16" s="93">
        <v>-16.160000000000004</v>
      </c>
      <c r="F16" s="81" t="s">
        <v>197</v>
      </c>
      <c r="G16" s="82">
        <v>2.2881355932203391</v>
      </c>
      <c r="H16" s="81" t="s">
        <v>197</v>
      </c>
      <c r="I16" s="83">
        <v>0.16949152542372881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0.14542728635682159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076-27D6-4B40-91E6-5E64137BA194}">
  <sheetPr codeName="Sheet4"/>
  <dimension ref="A1:Q84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840</v>
      </c>
      <c r="C2" s="155"/>
      <c r="E2" s="58" t="s">
        <v>66</v>
      </c>
      <c r="F2" s="55" t="s">
        <v>22</v>
      </c>
      <c r="G2" s="43">
        <v>1566</v>
      </c>
      <c r="H2" s="128">
        <f>IF(B$15=0,0,G2/B$15)</f>
        <v>0.75469879518072291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-26.284348864994026</v>
      </c>
      <c r="P2" s="114">
        <v>837</v>
      </c>
      <c r="Q2" s="98">
        <v>-22000</v>
      </c>
    </row>
    <row r="3" spans="1:17" x14ac:dyDescent="0.45">
      <c r="A3" s="51" t="s">
        <v>8</v>
      </c>
      <c r="B3" s="156">
        <v>7038</v>
      </c>
      <c r="C3" s="157"/>
      <c r="E3" s="59" t="s">
        <v>72</v>
      </c>
      <c r="F3" s="56" t="s">
        <v>27</v>
      </c>
      <c r="G3" s="44">
        <v>1110</v>
      </c>
      <c r="H3" s="129">
        <f>IF(B$15=0,0,G3/B$15)</f>
        <v>0.53493975903614455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9.6969696969696972</v>
      </c>
      <c r="P3" s="115">
        <v>825</v>
      </c>
      <c r="Q3" s="99">
        <v>8000</v>
      </c>
    </row>
    <row r="4" spans="1:17" x14ac:dyDescent="0.45">
      <c r="A4" s="51" t="s">
        <v>6</v>
      </c>
      <c r="B4" s="158">
        <v>-4.9737991503207013E-14</v>
      </c>
      <c r="C4" s="159"/>
      <c r="E4" s="59" t="s">
        <v>64</v>
      </c>
      <c r="F4" s="56" t="s">
        <v>20</v>
      </c>
      <c r="G4" s="44">
        <v>955</v>
      </c>
      <c r="H4" s="129">
        <f>IF(B$15=0,0,G4/B$15)</f>
        <v>0.46024096385542168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-7.7220077220077217</v>
      </c>
      <c r="P4" s="115">
        <v>777</v>
      </c>
      <c r="Q4" s="99">
        <v>-6000</v>
      </c>
    </row>
    <row r="5" spans="1:17" x14ac:dyDescent="0.45">
      <c r="A5" s="51" t="s">
        <v>7</v>
      </c>
      <c r="B5" s="160">
        <f>IF(B$2=0,0,B$4/B$2)</f>
        <v>-5.9211894646675015E-17</v>
      </c>
      <c r="C5" s="161"/>
      <c r="E5" s="59" t="s">
        <v>166</v>
      </c>
      <c r="F5" s="56" t="s">
        <v>167</v>
      </c>
      <c r="G5" s="44">
        <v>804</v>
      </c>
      <c r="H5" s="129">
        <f>IF(B$15=0,0,G5/B$15)</f>
        <v>0.38746987951807227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10.928961748633879</v>
      </c>
      <c r="P5" s="115">
        <v>732</v>
      </c>
      <c r="Q5" s="99">
        <v>8000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642</v>
      </c>
      <c r="H6" s="129">
        <f>IF(B$15=0,0,G6/B$15)</f>
        <v>0.30939759036144576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2.9629629629629628</v>
      </c>
      <c r="P6" s="115">
        <v>675</v>
      </c>
      <c r="Q6" s="99">
        <v>2000</v>
      </c>
    </row>
    <row r="7" spans="1:17" x14ac:dyDescent="0.45">
      <c r="A7" s="51" t="s">
        <v>2</v>
      </c>
      <c r="B7" s="44">
        <v>280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589</v>
      </c>
      <c r="H7" s="129">
        <f>IF(B$15=0,0,G7/B$15)</f>
        <v>0.28385542168674699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15.873015873015873</v>
      </c>
      <c r="P7" s="116">
        <v>567</v>
      </c>
      <c r="Q7" s="100">
        <v>9000</v>
      </c>
    </row>
    <row r="8" spans="1:17" x14ac:dyDescent="0.45">
      <c r="A8" s="51" t="s">
        <v>3</v>
      </c>
      <c r="B8" s="44">
        <v>280</v>
      </c>
      <c r="C8" s="37">
        <f t="shared" si="1"/>
        <v>0.33333333333333331</v>
      </c>
      <c r="E8" s="59" t="s">
        <v>69</v>
      </c>
      <c r="F8" s="56" t="s">
        <v>24</v>
      </c>
      <c r="G8" s="44">
        <v>297</v>
      </c>
      <c r="H8" s="129">
        <f>IF(B$15=0,0,G8/B$15)</f>
        <v>0.14313253012048194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280</v>
      </c>
      <c r="C9" s="38">
        <f t="shared" si="1"/>
        <v>0.33333333333333331</v>
      </c>
      <c r="E9" s="59" t="s">
        <v>89</v>
      </c>
      <c r="F9" s="56" t="s">
        <v>44</v>
      </c>
      <c r="G9" s="44">
        <v>284</v>
      </c>
      <c r="H9" s="129">
        <f>IF(B$15=0,0,G9/B$15)</f>
        <v>0.13686746987951806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80</v>
      </c>
      <c r="C10" s="40">
        <f t="shared" si="1"/>
        <v>9.5238095238095233E-2</v>
      </c>
      <c r="E10" s="59" t="s">
        <v>65</v>
      </c>
      <c r="F10" s="56" t="s">
        <v>21</v>
      </c>
      <c r="G10" s="44">
        <v>223</v>
      </c>
      <c r="H10" s="129">
        <f>IF(B$15=0,0,G10/B$15)</f>
        <v>0.10746987951807228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-2.6125000000000007</v>
      </c>
      <c r="P10" s="114">
        <v>280</v>
      </c>
      <c r="Q10" s="102">
        <v>-731.50000000000023</v>
      </c>
    </row>
    <row r="11" spans="1:17" x14ac:dyDescent="0.45">
      <c r="A11" s="54" t="s">
        <v>121</v>
      </c>
      <c r="B11" s="47">
        <v>1792</v>
      </c>
      <c r="C11" s="42">
        <f>IF(B$3=0,0,B11/B$3)</f>
        <v>0.25461778914464339</v>
      </c>
      <c r="E11" s="59" t="s">
        <v>70</v>
      </c>
      <c r="F11" s="56" t="s">
        <v>25</v>
      </c>
      <c r="G11" s="44">
        <v>190</v>
      </c>
      <c r="H11" s="129">
        <f>IF(B$15=0,0,G11/B$15)</f>
        <v>9.1566265060240959E-2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0.73178571428571437</v>
      </c>
      <c r="P11" s="115">
        <v>280</v>
      </c>
      <c r="Q11" s="103">
        <v>204.90000000000003</v>
      </c>
    </row>
    <row r="12" spans="1:17" x14ac:dyDescent="0.45">
      <c r="A12" s="51" t="s">
        <v>118</v>
      </c>
      <c r="B12" s="44">
        <v>1609</v>
      </c>
      <c r="C12" s="37">
        <f>IF(B$3=0,0,B12/B$3)</f>
        <v>0.22861608411480533</v>
      </c>
      <c r="E12" s="59" t="s">
        <v>71</v>
      </c>
      <c r="F12" s="56" t="s">
        <v>26</v>
      </c>
      <c r="G12" s="44">
        <v>165</v>
      </c>
      <c r="H12" s="129">
        <f>IF(B$15=0,0,G12/B$15)</f>
        <v>7.9518072289156624E-2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1.8807142857142853</v>
      </c>
      <c r="P12" s="116">
        <v>280</v>
      </c>
      <c r="Q12" s="104">
        <v>526.59999999999991</v>
      </c>
    </row>
    <row r="13" spans="1:17" x14ac:dyDescent="0.45">
      <c r="A13" s="50" t="s">
        <v>123</v>
      </c>
      <c r="B13" s="43">
        <f>B19</f>
        <v>991</v>
      </c>
      <c r="C13" s="35">
        <f>IF(B$11=0,0,B13/B$11)</f>
        <v>0.5530133928571429</v>
      </c>
      <c r="E13" s="59" t="s">
        <v>86</v>
      </c>
      <c r="F13" s="56" t="s">
        <v>41</v>
      </c>
      <c r="G13" s="44">
        <v>107</v>
      </c>
      <c r="H13" s="129">
        <f>IF(B$15=0,0,G13/B$15)</f>
        <v>5.1566265060240965E-2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681</v>
      </c>
      <c r="C14" s="35">
        <f>IF(B$12=0,0,B14/B$12)</f>
        <v>0.42324425108763208</v>
      </c>
      <c r="E14" s="59" t="s">
        <v>83</v>
      </c>
      <c r="F14" s="56" t="s">
        <v>38</v>
      </c>
      <c r="G14" s="44">
        <v>106</v>
      </c>
      <c r="H14" s="129">
        <f>IF(B$15=0,0,G14/B$15)</f>
        <v>5.1084337349397588E-2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2075</v>
      </c>
      <c r="C15" s="35">
        <f>IF(B$3=0,0,B15/B$3)</f>
        <v>0.29482807615799944</v>
      </c>
      <c r="E15" s="59" t="s">
        <v>78</v>
      </c>
      <c r="F15" s="56" t="s">
        <v>33</v>
      </c>
      <c r="G15" s="44">
        <v>53</v>
      </c>
      <c r="H15" s="129">
        <f>IF(B$15=0,0,G15/B$15)</f>
        <v>2.5542168674698794E-2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1140</v>
      </c>
      <c r="C16" s="37">
        <f>IF(B$3=0,0,B16/B$3)</f>
        <v>0.16197783461210571</v>
      </c>
      <c r="E16" s="59" t="s">
        <v>162</v>
      </c>
      <c r="F16" s="56" t="s">
        <v>163</v>
      </c>
      <c r="G16" s="44">
        <v>47</v>
      </c>
      <c r="H16" s="129">
        <f>IF(B$15=0,0,G16/B$15)</f>
        <v>2.2650602409638555E-2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924</v>
      </c>
      <c r="C17" s="37">
        <f>IF(B$15=0,0,B17/B$15)</f>
        <v>0.4453012048192771</v>
      </c>
      <c r="E17" s="59" t="s">
        <v>81</v>
      </c>
      <c r="F17" s="56" t="s">
        <v>36</v>
      </c>
      <c r="G17" s="44">
        <v>43</v>
      </c>
      <c r="H17" s="129">
        <f>IF(B$15=0,0,G17/B$15)</f>
        <v>2.0722891566265059E-2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15.950847457627104</v>
      </c>
      <c r="P17" s="115">
        <v>118</v>
      </c>
      <c r="Q17" s="103">
        <v>1882.1999999999982</v>
      </c>
    </row>
    <row r="18" spans="1:17" x14ac:dyDescent="0.45">
      <c r="A18" s="51" t="s">
        <v>11</v>
      </c>
      <c r="B18" s="44">
        <v>1151</v>
      </c>
      <c r="C18" s="37">
        <f>IF(B$15=0,0,B18/B$15)</f>
        <v>0.55469879518072285</v>
      </c>
      <c r="E18" s="59" t="s">
        <v>91</v>
      </c>
      <c r="F18" s="56" t="s">
        <v>46</v>
      </c>
      <c r="G18" s="44">
        <v>31</v>
      </c>
      <c r="H18" s="129">
        <f>IF(B$15=0,0,G18/B$15)</f>
        <v>1.4939759036144579E-2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9.4610526315789425</v>
      </c>
      <c r="P18" s="115">
        <v>190</v>
      </c>
      <c r="Q18" s="103">
        <v>1797.5999999999992</v>
      </c>
    </row>
    <row r="19" spans="1:17" x14ac:dyDescent="0.45">
      <c r="A19" s="51" t="s">
        <v>195</v>
      </c>
      <c r="B19" s="44">
        <v>991</v>
      </c>
      <c r="C19" s="37">
        <f>IF(B$15=0,0,B19/B$15)</f>
        <v>0.47759036144578315</v>
      </c>
      <c r="E19" s="59" t="s">
        <v>79</v>
      </c>
      <c r="F19" s="56" t="s">
        <v>34</v>
      </c>
      <c r="G19" s="44">
        <v>30</v>
      </c>
      <c r="H19" s="129">
        <f>IF(B$15=0,0,G19/B$15)</f>
        <v>1.4457831325301205E-2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6.4283132530120426</v>
      </c>
      <c r="P19" s="115">
        <v>166</v>
      </c>
      <c r="Q19" s="103">
        <v>1067.099999999999</v>
      </c>
    </row>
    <row r="20" spans="1:17" x14ac:dyDescent="0.45">
      <c r="A20" s="51" t="s">
        <v>193</v>
      </c>
      <c r="B20" s="44">
        <v>681</v>
      </c>
      <c r="C20" s="37">
        <f>IF(B$15=0,0,B20/B$15)</f>
        <v>0.32819277108433736</v>
      </c>
      <c r="E20" s="59" t="s">
        <v>75</v>
      </c>
      <c r="F20" s="56" t="s">
        <v>30</v>
      </c>
      <c r="G20" s="44">
        <v>16</v>
      </c>
      <c r="H20" s="129">
        <f>IF(B$15=0,0,G20/B$15)</f>
        <v>7.7108433734939755E-3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403</v>
      </c>
      <c r="C21" s="37">
        <f>IF(B$15=0,0,B21/B$15)</f>
        <v>0.19421686746987951</v>
      </c>
      <c r="E21" s="59" t="s">
        <v>85</v>
      </c>
      <c r="F21" s="56" t="s">
        <v>40</v>
      </c>
      <c r="G21" s="44">
        <v>11</v>
      </c>
      <c r="H21" s="129">
        <f>IF(B$15=0,0,G21/B$15)</f>
        <v>5.3012048192771083E-3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8352</v>
      </c>
      <c r="C22" s="39">
        <v>17330400</v>
      </c>
      <c r="E22" s="59" t="s">
        <v>92</v>
      </c>
      <c r="F22" s="56" t="s">
        <v>47</v>
      </c>
      <c r="G22" s="44">
        <v>11</v>
      </c>
      <c r="H22" s="129">
        <f>IF(B$15=0,0,G22/B$15)</f>
        <v>5.3012048192771083E-3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2.4453488372093029</v>
      </c>
      <c r="P22" s="115">
        <v>258</v>
      </c>
      <c r="Q22" s="103">
        <v>630.90000000000009</v>
      </c>
    </row>
    <row r="23" spans="1:17" x14ac:dyDescent="0.45">
      <c r="A23" s="52" t="s">
        <v>177</v>
      </c>
      <c r="B23" s="136">
        <f>IF($B$15-B$14=0,0,C23/($B$15-B$14))</f>
        <v>8979.6987087517937</v>
      </c>
      <c r="C23" s="137">
        <v>12517700</v>
      </c>
      <c r="E23" s="59" t="s">
        <v>73</v>
      </c>
      <c r="F23" s="56" t="s">
        <v>28</v>
      </c>
      <c r="G23" s="44">
        <v>8</v>
      </c>
      <c r="H23" s="129">
        <f>IF(B$15=0,0,G23/B$15)</f>
        <v>3.8554216867469878E-3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-0.64405594405594813</v>
      </c>
      <c r="P23" s="115">
        <v>286</v>
      </c>
      <c r="Q23" s="103">
        <v>-184.20000000000115</v>
      </c>
    </row>
    <row r="24" spans="1:17" x14ac:dyDescent="0.45">
      <c r="A24" s="52" t="s">
        <v>178</v>
      </c>
      <c r="B24" s="136">
        <f>IF(B$14=0,0,C24/B$14)</f>
        <v>7067.1071953010278</v>
      </c>
      <c r="C24" s="137">
        <v>4812700</v>
      </c>
      <c r="E24" s="59" t="s">
        <v>74</v>
      </c>
      <c r="F24" s="56" t="s">
        <v>29</v>
      </c>
      <c r="G24" s="44">
        <v>8</v>
      </c>
      <c r="H24" s="129">
        <f>IF(B$15=0,0,G24/B$15)</f>
        <v>3.8554216867469878E-3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-7.2258620689655118</v>
      </c>
      <c r="P24" s="115">
        <v>232</v>
      </c>
      <c r="Q24" s="103">
        <v>-1676.3999999999987</v>
      </c>
    </row>
    <row r="25" spans="1:17" x14ac:dyDescent="0.45">
      <c r="A25" s="52" t="s">
        <v>176</v>
      </c>
      <c r="B25" s="136">
        <f>IF(B$16=0,0,C25/B$16)</f>
        <v>-7756.4035087719294</v>
      </c>
      <c r="C25" s="137">
        <v>-8842300</v>
      </c>
      <c r="E25" s="59" t="s">
        <v>84</v>
      </c>
      <c r="F25" s="56" t="s">
        <v>39</v>
      </c>
      <c r="G25" s="44">
        <v>7</v>
      </c>
      <c r="H25" s="129">
        <f>IF(B$15=0,0,G25/B$15)</f>
        <v>3.3734939759036144E-3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-13.114417177914106</v>
      </c>
      <c r="P25" s="115">
        <v>326</v>
      </c>
      <c r="Q25" s="103">
        <v>-4275.2999999999984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6</v>
      </c>
      <c r="H26" s="129">
        <f>IF(B$15=0,0,G26/B$15)</f>
        <v>2.891566265060241E-3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17</v>
      </c>
      <c r="E27" s="59" t="s">
        <v>88</v>
      </c>
      <c r="F27" s="56" t="s">
        <v>43</v>
      </c>
      <c r="G27" s="44">
        <v>5</v>
      </c>
      <c r="H27" s="129">
        <f>IF(B$15=0,0,G27/B$15)</f>
        <v>2.4096385542168677E-3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1.9277108433734939E-3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1.9277108433734939E-3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20</v>
      </c>
      <c r="C30" s="40">
        <f>IF(B$3=0,0,B30/B$3)</f>
        <v>2.841716396703609E-3</v>
      </c>
      <c r="E30" s="59" t="s">
        <v>93</v>
      </c>
      <c r="F30" s="56" t="s">
        <v>48</v>
      </c>
      <c r="G30" s="44">
        <v>4</v>
      </c>
      <c r="H30" s="129">
        <f>IF(B$15=0,0,G30/B$15)</f>
        <v>1.9277108433734939E-3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1.9277108433734939E-3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162</v>
      </c>
      <c r="C32" s="141">
        <f>IF(B$15=0,0,B32/B$15)</f>
        <v>7.8072289156626506E-2</v>
      </c>
      <c r="E32" s="59" t="s">
        <v>97</v>
      </c>
      <c r="F32" s="56" t="s">
        <v>52</v>
      </c>
      <c r="G32" s="44">
        <v>1</v>
      </c>
      <c r="H32" s="129">
        <f>IF(B$15=0,0,G32/B$15)</f>
        <v>4.8192771084337347E-4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349</v>
      </c>
      <c r="C33" s="37">
        <f t="shared" ref="C33:C44" si="2">IF(B$15=0,0,B33/B$15)</f>
        <v>0.16819277108433736</v>
      </c>
      <c r="E33" s="59" t="s">
        <v>101</v>
      </c>
      <c r="F33" s="56" t="s">
        <v>56</v>
      </c>
      <c r="G33" s="44">
        <v>1</v>
      </c>
      <c r="H33" s="129">
        <f>IF(B$15=0,0,G33/B$15)</f>
        <v>4.8192771084337347E-4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410</v>
      </c>
      <c r="C34" s="37">
        <f>IF(B$15=0,0,B34/B$15)</f>
        <v>0.19759036144578312</v>
      </c>
      <c r="E34" s="59" t="s">
        <v>106</v>
      </c>
      <c r="F34" s="56" t="s">
        <v>113</v>
      </c>
      <c r="G34" s="44">
        <v>1</v>
      </c>
      <c r="H34" s="129">
        <f>IF(B$15=0,0,G34/B$15)</f>
        <v>4.8192771084337347E-4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367</v>
      </c>
      <c r="C35" s="37">
        <f t="shared" si="2"/>
        <v>0.17686746987951807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330</v>
      </c>
      <c r="C36" s="37">
        <f t="shared" si="2"/>
        <v>0.15903614457831325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219</v>
      </c>
      <c r="C37" s="37">
        <f t="shared" si="2"/>
        <v>0.10554216867469879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110</v>
      </c>
      <c r="C38" s="37">
        <f t="shared" si="2"/>
        <v>5.3012048192771083E-2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57</v>
      </c>
      <c r="C39" s="37">
        <f t="shared" si="2"/>
        <v>2.7469879518072289E-2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1.3493975903614458E-2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9</v>
      </c>
      <c r="C41" s="37">
        <f t="shared" si="2"/>
        <v>4.3373493975903616E-3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2.891566265060241E-3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2.891566265060241E-3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22</v>
      </c>
      <c r="C44" s="40">
        <f t="shared" si="2"/>
        <v>1.0602409638554217E-2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0B195-D258-48A2-8E8D-20C7D7DDB60A}">
  <sheetPr codeName="Sheet7"/>
  <dimension ref="A1:Q7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75</v>
      </c>
      <c r="C2" s="155"/>
      <c r="E2" s="58" t="s">
        <v>66</v>
      </c>
      <c r="F2" s="55" t="s">
        <v>22</v>
      </c>
      <c r="G2" s="43">
        <v>131</v>
      </c>
      <c r="H2" s="128">
        <f>IF(B$15=0,0,G2/B$15)</f>
        <v>0.71978021978021978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2258.6666666666665</v>
      </c>
      <c r="P2" s="114">
        <v>75</v>
      </c>
      <c r="Q2" s="98">
        <v>169400</v>
      </c>
    </row>
    <row r="3" spans="1:17" x14ac:dyDescent="0.45">
      <c r="A3" s="51" t="s">
        <v>8</v>
      </c>
      <c r="B3" s="156">
        <v>667</v>
      </c>
      <c r="C3" s="157"/>
      <c r="E3" s="59" t="s">
        <v>72</v>
      </c>
      <c r="F3" s="56" t="s">
        <v>27</v>
      </c>
      <c r="G3" s="44">
        <v>101</v>
      </c>
      <c r="H3" s="129">
        <f>IF(B$15=0,0,G3/B$15)</f>
        <v>0.55494505494505497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-1750</v>
      </c>
      <c r="P3" s="115">
        <v>74</v>
      </c>
      <c r="Q3" s="99">
        <v>-129500</v>
      </c>
    </row>
    <row r="4" spans="1:17" x14ac:dyDescent="0.45">
      <c r="A4" s="51" t="s">
        <v>6</v>
      </c>
      <c r="B4" s="158">
        <v>-462.20000000000027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0.37362637362637363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-1661.1111111111111</v>
      </c>
      <c r="P4" s="115">
        <v>72</v>
      </c>
      <c r="Q4" s="99">
        <v>-119600</v>
      </c>
    </row>
    <row r="5" spans="1:17" x14ac:dyDescent="0.45">
      <c r="A5" s="51" t="s">
        <v>7</v>
      </c>
      <c r="B5" s="160">
        <f>IF(B$2=0,0,B$4/B$2)</f>
        <v>-6.1626666666666701</v>
      </c>
      <c r="C5" s="161"/>
      <c r="E5" s="59" t="s">
        <v>64</v>
      </c>
      <c r="F5" s="56" t="s">
        <v>20</v>
      </c>
      <c r="G5" s="44">
        <v>48</v>
      </c>
      <c r="H5" s="129">
        <f>IF(B$15=0,0,G5/B$15)</f>
        <v>0.26373626373626374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-1105.9701492537313</v>
      </c>
      <c r="P5" s="115">
        <v>67</v>
      </c>
      <c r="Q5" s="99">
        <v>-74100</v>
      </c>
    </row>
    <row r="6" spans="1:17" x14ac:dyDescent="0.45">
      <c r="A6" s="51" t="s">
        <v>1</v>
      </c>
      <c r="B6" s="150">
        <f>IF(B$2=0,0,(B$7*1+B$8*2+B$9*3)/B$2)</f>
        <v>2.1333333333333333</v>
      </c>
      <c r="C6" s="151"/>
      <c r="E6" s="59" t="s">
        <v>68</v>
      </c>
      <c r="F6" s="56" t="s">
        <v>12</v>
      </c>
      <c r="G6" s="44">
        <v>48</v>
      </c>
      <c r="H6" s="129">
        <f>IF(B$15=0,0,G6/B$15)</f>
        <v>0.26373626373626374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-201.5151515151515</v>
      </c>
      <c r="P6" s="115">
        <v>66</v>
      </c>
      <c r="Q6" s="99">
        <v>-13300</v>
      </c>
    </row>
    <row r="7" spans="1:17" x14ac:dyDescent="0.45">
      <c r="A7" s="51" t="s">
        <v>2</v>
      </c>
      <c r="B7" s="44">
        <v>23</v>
      </c>
      <c r="C7" s="37">
        <f t="shared" ref="C7:C10" si="1">IF(B$2=0,0,B7/B$2)</f>
        <v>0.30666666666666664</v>
      </c>
      <c r="E7" s="59" t="s">
        <v>67</v>
      </c>
      <c r="F7" s="56" t="s">
        <v>23</v>
      </c>
      <c r="G7" s="44">
        <v>32</v>
      </c>
      <c r="H7" s="129">
        <f>IF(B$15=0,0,G7/B$15)</f>
        <v>0.17582417582417584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19</v>
      </c>
      <c r="C8" s="37">
        <f t="shared" si="1"/>
        <v>0.25333333333333335</v>
      </c>
      <c r="E8" s="59" t="s">
        <v>69</v>
      </c>
      <c r="F8" s="56" t="s">
        <v>24</v>
      </c>
      <c r="G8" s="44">
        <v>32</v>
      </c>
      <c r="H8" s="129">
        <f>IF(B$15=0,0,G8/B$15)</f>
        <v>0.17582417582417584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0.44</v>
      </c>
      <c r="E9" s="59" t="s">
        <v>71</v>
      </c>
      <c r="F9" s="56" t="s">
        <v>26</v>
      </c>
      <c r="G9" s="44">
        <v>22</v>
      </c>
      <c r="H9" s="129">
        <f>IF(B$15=0,0,G9/B$15)</f>
        <v>0.12087912087912088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6.6666666666666666E-2</v>
      </c>
      <c r="E10" s="59" t="s">
        <v>70</v>
      </c>
      <c r="F10" s="56" t="s">
        <v>25</v>
      </c>
      <c r="G10" s="44">
        <v>21</v>
      </c>
      <c r="H10" s="129">
        <f>IF(B$15=0,0,G10/B$15)</f>
        <v>0.11538461538461539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97</v>
      </c>
      <c r="C11" s="42">
        <f>IF(B$3=0,0,B11/B$3)</f>
        <v>0.14542728635682159</v>
      </c>
      <c r="E11" s="59" t="s">
        <v>83</v>
      </c>
      <c r="F11" s="56" t="s">
        <v>38</v>
      </c>
      <c r="G11" s="44">
        <v>16</v>
      </c>
      <c r="H11" s="129">
        <f>IF(B$15=0,0,G11/B$15)</f>
        <v>8.7912087912087919E-2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-5.8818181818181809</v>
      </c>
      <c r="P11" s="115">
        <v>22</v>
      </c>
      <c r="Q11" s="103">
        <v>-129.39999999999998</v>
      </c>
    </row>
    <row r="12" spans="1:17" x14ac:dyDescent="0.45">
      <c r="A12" s="51" t="s">
        <v>118</v>
      </c>
      <c r="B12" s="44">
        <v>169</v>
      </c>
      <c r="C12" s="37">
        <f>IF(B$3=0,0,B12/B$3)</f>
        <v>0.25337331334332835</v>
      </c>
      <c r="E12" s="59" t="s">
        <v>65</v>
      </c>
      <c r="F12" s="56" t="s">
        <v>21</v>
      </c>
      <c r="G12" s="44">
        <v>11</v>
      </c>
      <c r="H12" s="129">
        <f>IF(B$15=0,0,G12/B$15)</f>
        <v>6.043956043956044E-2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-0.76153846153846116</v>
      </c>
      <c r="P12" s="116">
        <v>26</v>
      </c>
      <c r="Q12" s="104">
        <v>-19.79999999999999</v>
      </c>
    </row>
    <row r="13" spans="1:17" x14ac:dyDescent="0.45">
      <c r="A13" s="50" t="s">
        <v>123</v>
      </c>
      <c r="B13" s="43">
        <f>B19</f>
        <v>50</v>
      </c>
      <c r="C13" s="35">
        <f>IF(B$11=0,0,B13/B$11)</f>
        <v>0.51546391752577314</v>
      </c>
      <c r="E13" s="59" t="s">
        <v>89</v>
      </c>
      <c r="F13" s="56" t="s">
        <v>44</v>
      </c>
      <c r="G13" s="44">
        <v>11</v>
      </c>
      <c r="H13" s="129">
        <f>IF(B$15=0,0,G13/B$15)</f>
        <v>6.043956043956044E-2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69</v>
      </c>
      <c r="C14" s="35">
        <f>IF(B$12=0,0,B14/B$12)</f>
        <v>0.40828402366863903</v>
      </c>
      <c r="E14" s="59" t="s">
        <v>81</v>
      </c>
      <c r="F14" s="56" t="s">
        <v>36</v>
      </c>
      <c r="G14" s="44">
        <v>8</v>
      </c>
      <c r="H14" s="129">
        <f>IF(B$15=0,0,G14/B$15)</f>
        <v>4.3956043956043959E-2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182</v>
      </c>
      <c r="C15" s="35">
        <f>IF(B$3=0,0,B15/B$3)</f>
        <v>0.27286356821589203</v>
      </c>
      <c r="E15" s="59" t="s">
        <v>86</v>
      </c>
      <c r="F15" s="56" t="s">
        <v>41</v>
      </c>
      <c r="G15" s="44">
        <v>5</v>
      </c>
      <c r="H15" s="129">
        <f>IF(B$15=0,0,G15/B$15)</f>
        <v>2.7472527472527472E-2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103</v>
      </c>
      <c r="C16" s="37">
        <f>IF(B$3=0,0,B16/B$3)</f>
        <v>0.15442278860569716</v>
      </c>
      <c r="E16" s="59" t="s">
        <v>79</v>
      </c>
      <c r="F16" s="56" t="s">
        <v>34</v>
      </c>
      <c r="G16" s="44">
        <v>4</v>
      </c>
      <c r="H16" s="129">
        <f>IF(B$15=0,0,G16/B$15)</f>
        <v>2.197802197802198E-2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76</v>
      </c>
      <c r="C17" s="37">
        <f>IF(B$15=0,0,B17/B$15)</f>
        <v>0.4175824175824176</v>
      </c>
      <c r="E17" s="59" t="s">
        <v>91</v>
      </c>
      <c r="F17" s="56" t="s">
        <v>46</v>
      </c>
      <c r="G17" s="44">
        <v>3</v>
      </c>
      <c r="H17" s="129">
        <f>IF(B$15=0,0,G17/B$15)</f>
        <v>1.6483516483516484E-2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106</v>
      </c>
      <c r="C18" s="37">
        <f>IF(B$15=0,0,B18/B$15)</f>
        <v>0.58241758241758246</v>
      </c>
      <c r="E18" s="59" t="s">
        <v>74</v>
      </c>
      <c r="F18" s="56" t="s">
        <v>29</v>
      </c>
      <c r="G18" s="44">
        <v>2</v>
      </c>
      <c r="H18" s="129">
        <f>IF(B$15=0,0,G18/B$15)</f>
        <v>1.098901098901099E-2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50</v>
      </c>
      <c r="C19" s="37">
        <f>IF(B$15=0,0,B19/B$15)</f>
        <v>0.27472527472527475</v>
      </c>
      <c r="E19" s="59" t="s">
        <v>78</v>
      </c>
      <c r="F19" s="56" t="s">
        <v>33</v>
      </c>
      <c r="G19" s="44">
        <v>2</v>
      </c>
      <c r="H19" s="129">
        <f>IF(B$15=0,0,G19/B$15)</f>
        <v>1.098901098901099E-2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>IF(P19=0,0,Q19/P19)</f>
        <v>-5.5300000000000011</v>
      </c>
      <c r="P19" s="115">
        <v>30</v>
      </c>
      <c r="Q19" s="103">
        <v>-165.90000000000003</v>
      </c>
    </row>
    <row r="20" spans="1:17" x14ac:dyDescent="0.45">
      <c r="A20" s="51" t="s">
        <v>193</v>
      </c>
      <c r="B20" s="44">
        <v>69</v>
      </c>
      <c r="C20" s="37">
        <f>IF(B$15=0,0,B20/B$15)</f>
        <v>0.37912087912087911</v>
      </c>
      <c r="E20" s="59" t="s">
        <v>88</v>
      </c>
      <c r="F20" s="56" t="s">
        <v>43</v>
      </c>
      <c r="G20" s="44">
        <v>2</v>
      </c>
      <c r="H20" s="129">
        <f>IF(B$15=0,0,G20/B$15)</f>
        <v>1.098901098901099E-2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>IF(P20=0,0,Q20/P20)</f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63</v>
      </c>
      <c r="C21" s="37">
        <f>IF(B$15=0,0,B21/B$15)</f>
        <v>0.34615384615384615</v>
      </c>
      <c r="E21" s="59" t="s">
        <v>93</v>
      </c>
      <c r="F21" s="56" t="s">
        <v>48</v>
      </c>
      <c r="G21" s="44">
        <v>2</v>
      </c>
      <c r="H21" s="129">
        <f>IF(B$15=0,0,G21/B$15)</f>
        <v>1.098901098901099E-2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-32.455555555555549</v>
      </c>
      <c r="P21" s="115">
        <v>9</v>
      </c>
      <c r="Q21" s="103">
        <v>-292.09999999999997</v>
      </c>
    </row>
    <row r="22" spans="1:17" x14ac:dyDescent="0.45">
      <c r="A22" s="51" t="s">
        <v>5</v>
      </c>
      <c r="B22" s="48">
        <f>IF(B$15=0,0,C22/B$15)</f>
        <v>7030.7692307692305</v>
      </c>
      <c r="C22" s="39">
        <v>1279600</v>
      </c>
      <c r="E22" s="59" t="s">
        <v>75</v>
      </c>
      <c r="F22" s="56" t="s">
        <v>30</v>
      </c>
      <c r="G22" s="44">
        <v>1</v>
      </c>
      <c r="H22" s="129">
        <f>IF(B$15=0,0,G22/B$15)</f>
        <v>5.4945054945054949E-3</v>
      </c>
      <c r="I22" s="90">
        <v>7</v>
      </c>
      <c r="K22" s="36">
        <v>20</v>
      </c>
      <c r="L22" s="95">
        <v>-88.8</v>
      </c>
      <c r="N22" s="111" t="s">
        <v>170</v>
      </c>
      <c r="O22" s="121">
        <f>IF(P22=0,0,Q22/P22)</f>
        <v>-37.36</v>
      </c>
      <c r="P22" s="115">
        <v>20</v>
      </c>
      <c r="Q22" s="103">
        <v>-747.19999999999993</v>
      </c>
    </row>
    <row r="23" spans="1:17" x14ac:dyDescent="0.45">
      <c r="A23" s="52" t="s">
        <v>177</v>
      </c>
      <c r="B23" s="136">
        <f>IF($B$15-B$14=0,0,C23/($B$15-B$14))</f>
        <v>7582.3008849557518</v>
      </c>
      <c r="C23" s="137">
        <v>856800</v>
      </c>
      <c r="E23" s="59" t="s">
        <v>77</v>
      </c>
      <c r="F23" s="56" t="s">
        <v>32</v>
      </c>
      <c r="G23" s="44">
        <v>1</v>
      </c>
      <c r="H23" s="129">
        <f>IF(B$15=0,0,G23/B$15)</f>
        <v>5.4945054945054949E-3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6127.536231884058</v>
      </c>
      <c r="C24" s="137">
        <v>422800</v>
      </c>
      <c r="E24" s="59" t="s">
        <v>84</v>
      </c>
      <c r="F24" s="56" t="s">
        <v>39</v>
      </c>
      <c r="G24" s="44">
        <v>1</v>
      </c>
      <c r="H24" s="129">
        <f>IF(B$15=0,0,G24/B$15)</f>
        <v>5.4945054945054949E-3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-7741.7475728155341</v>
      </c>
      <c r="C25" s="137">
        <v>-797400</v>
      </c>
      <c r="E25" s="59" t="s">
        <v>87</v>
      </c>
      <c r="F25" s="56" t="s">
        <v>42</v>
      </c>
      <c r="G25" s="44">
        <v>1</v>
      </c>
      <c r="H25" s="129">
        <f>IF(B$15=0,0,G25/B$15)</f>
        <v>5.4945054945054949E-3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2.9985007496251873E-3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26</v>
      </c>
      <c r="C32" s="141">
        <f>IF(B$15=0,0,B32/B$15)</f>
        <v>0.14285714285714285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2">IF(B$15=0,0,B33/B$15)</f>
        <v>0.2032967032967033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39</v>
      </c>
      <c r="C34" s="37">
        <f>IF(B$15=0,0,B34/B$15)</f>
        <v>0.21428571428571427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26</v>
      </c>
      <c r="C35" s="37">
        <f t="shared" si="2"/>
        <v>0.14285714285714285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20</v>
      </c>
      <c r="C36" s="37">
        <f t="shared" si="2"/>
        <v>0.10989010989010989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15</v>
      </c>
      <c r="C37" s="37">
        <f t="shared" si="2"/>
        <v>8.2417582417582416E-2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2"/>
        <v>5.4945054945054944E-2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3.2967032967032968E-2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5.4945054945054949E-3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1.098901098901099E-2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3936A-FFBA-47AA-B3FB-F4468E511BF9}">
  <sheetPr codeName="Sheet9"/>
  <dimension ref="A1:Q16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163</v>
      </c>
      <c r="C2" s="155"/>
      <c r="E2" s="58" t="s">
        <v>66</v>
      </c>
      <c r="F2" s="55" t="s">
        <v>22</v>
      </c>
      <c r="G2" s="43">
        <v>307</v>
      </c>
      <c r="H2" s="128">
        <f>IF(B$15=0,0,G2/B$15)</f>
        <v>0.66594360086767901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1310.4938271604938</v>
      </c>
      <c r="P2" s="114">
        <v>162</v>
      </c>
      <c r="Q2" s="98">
        <v>212300</v>
      </c>
    </row>
    <row r="3" spans="1:17" x14ac:dyDescent="0.45">
      <c r="A3" s="51" t="s">
        <v>8</v>
      </c>
      <c r="B3" s="156">
        <v>1337</v>
      </c>
      <c r="C3" s="157"/>
      <c r="E3" s="59" t="s">
        <v>72</v>
      </c>
      <c r="F3" s="56" t="s">
        <v>27</v>
      </c>
      <c r="G3" s="44">
        <v>245</v>
      </c>
      <c r="H3" s="129">
        <f>IF(B$15=0,0,G3/B$15)</f>
        <v>0.53145336225596529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979.24528301886789</v>
      </c>
      <c r="P3" s="115">
        <v>159</v>
      </c>
      <c r="Q3" s="99">
        <v>155700</v>
      </c>
    </row>
    <row r="4" spans="1:17" x14ac:dyDescent="0.45">
      <c r="A4" s="51" t="s">
        <v>6</v>
      </c>
      <c r="B4" s="158">
        <v>1425.1000000000001</v>
      </c>
      <c r="C4" s="159"/>
      <c r="E4" s="59" t="s">
        <v>64</v>
      </c>
      <c r="F4" s="56" t="s">
        <v>20</v>
      </c>
      <c r="G4" s="44">
        <v>204</v>
      </c>
      <c r="H4" s="129">
        <f>IF(B$15=0,0,G4/B$15)</f>
        <v>0.44251626898047725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939.47368421052636</v>
      </c>
      <c r="P4" s="115">
        <v>152</v>
      </c>
      <c r="Q4" s="99">
        <v>142800</v>
      </c>
    </row>
    <row r="5" spans="1:17" x14ac:dyDescent="0.45">
      <c r="A5" s="51" t="s">
        <v>7</v>
      </c>
      <c r="B5" s="160">
        <f>IF(B$2=0,0,B$4/B$2)</f>
        <v>8.7429447852760749</v>
      </c>
      <c r="C5" s="161"/>
      <c r="E5" s="59" t="s">
        <v>166</v>
      </c>
      <c r="F5" s="56" t="s">
        <v>167</v>
      </c>
      <c r="G5" s="44">
        <v>173</v>
      </c>
      <c r="H5" s="129">
        <f>IF(B$15=0,0,G5/B$15)</f>
        <v>0.37527114967462039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359.85915492957747</v>
      </c>
      <c r="P5" s="115">
        <v>142</v>
      </c>
      <c r="Q5" s="99">
        <v>51100</v>
      </c>
    </row>
    <row r="6" spans="1:17" x14ac:dyDescent="0.45">
      <c r="A6" s="51" t="s">
        <v>1</v>
      </c>
      <c r="B6" s="150">
        <f>IF(B$2=0,0,(B$7*1+B$8*2+B$9*3)/B$2)</f>
        <v>1.7852760736196318</v>
      </c>
      <c r="C6" s="151"/>
      <c r="E6" s="59" t="s">
        <v>68</v>
      </c>
      <c r="F6" s="56" t="s">
        <v>12</v>
      </c>
      <c r="G6" s="44">
        <v>126</v>
      </c>
      <c r="H6" s="129">
        <f>IF(B$15=0,0,G6/B$15)</f>
        <v>0.27331887201735355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1937.121212121212</v>
      </c>
      <c r="P6" s="115">
        <v>132</v>
      </c>
      <c r="Q6" s="99">
        <v>255700</v>
      </c>
    </row>
    <row r="7" spans="1:17" x14ac:dyDescent="0.45">
      <c r="A7" s="51" t="s">
        <v>2</v>
      </c>
      <c r="B7" s="44">
        <v>75</v>
      </c>
      <c r="C7" s="37">
        <f t="shared" ref="C7:C10" si="1">IF(B$2=0,0,B7/B$2)</f>
        <v>0.46012269938650308</v>
      </c>
      <c r="E7" s="59" t="s">
        <v>67</v>
      </c>
      <c r="F7" s="56" t="s">
        <v>23</v>
      </c>
      <c r="G7" s="44">
        <v>113</v>
      </c>
      <c r="H7" s="129">
        <f>IF(B$15=0,0,G7/B$15)</f>
        <v>0.24511930585683298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1948.148148148148</v>
      </c>
      <c r="P7" s="116">
        <v>108</v>
      </c>
      <c r="Q7" s="100">
        <v>210400</v>
      </c>
    </row>
    <row r="8" spans="1:17" x14ac:dyDescent="0.45">
      <c r="A8" s="51" t="s">
        <v>3</v>
      </c>
      <c r="B8" s="44">
        <v>48</v>
      </c>
      <c r="C8" s="37">
        <f t="shared" si="1"/>
        <v>0.29447852760736198</v>
      </c>
      <c r="E8" s="59" t="s">
        <v>89</v>
      </c>
      <c r="F8" s="56" t="s">
        <v>44</v>
      </c>
      <c r="G8" s="44">
        <v>67</v>
      </c>
      <c r="H8" s="129">
        <f>IF(B$15=0,0,G8/B$15)</f>
        <v>0.14533622559652928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0.24539877300613497</v>
      </c>
      <c r="E9" s="59" t="s">
        <v>69</v>
      </c>
      <c r="F9" s="56" t="s">
        <v>24</v>
      </c>
      <c r="G9" s="44">
        <v>59</v>
      </c>
      <c r="H9" s="129">
        <f>IF(B$15=0,0,G9/B$15)</f>
        <v>0.1279826464208243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4.2944785276073622E-2</v>
      </c>
      <c r="E10" s="59" t="s">
        <v>65</v>
      </c>
      <c r="F10" s="56" t="s">
        <v>21</v>
      </c>
      <c r="G10" s="44">
        <v>53</v>
      </c>
      <c r="H10" s="129">
        <f>IF(B$15=0,0,G10/B$15)</f>
        <v>0.11496746203904555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13.322916666666663</v>
      </c>
      <c r="P10" s="114">
        <v>48</v>
      </c>
      <c r="Q10" s="102">
        <v>639.49999999999977</v>
      </c>
    </row>
    <row r="11" spans="1:17" x14ac:dyDescent="0.45">
      <c r="A11" s="54" t="s">
        <v>121</v>
      </c>
      <c r="B11" s="47">
        <v>355</v>
      </c>
      <c r="C11" s="42">
        <f>IF(B$3=0,0,B11/B$3)</f>
        <v>0.26551982049364248</v>
      </c>
      <c r="E11" s="59" t="s">
        <v>71</v>
      </c>
      <c r="F11" s="56" t="s">
        <v>26</v>
      </c>
      <c r="G11" s="44">
        <v>32</v>
      </c>
      <c r="H11" s="129">
        <f>IF(B$15=0,0,G11/B$15)</f>
        <v>6.9414316702819959E-2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2.5370370370370363</v>
      </c>
      <c r="P11" s="115">
        <v>54</v>
      </c>
      <c r="Q11" s="103">
        <v>136.99999999999997</v>
      </c>
    </row>
    <row r="12" spans="1:17" x14ac:dyDescent="0.45">
      <c r="A12" s="51" t="s">
        <v>118</v>
      </c>
      <c r="B12" s="44">
        <v>311</v>
      </c>
      <c r="C12" s="37">
        <f>IF(B$3=0,0,B12/B$3)</f>
        <v>0.23261032161555723</v>
      </c>
      <c r="E12" s="59" t="s">
        <v>86</v>
      </c>
      <c r="F12" s="56" t="s">
        <v>41</v>
      </c>
      <c r="G12" s="44">
        <v>31</v>
      </c>
      <c r="H12" s="129">
        <f>IF(B$15=0,0,G12/B$15)</f>
        <v>6.7245119305856832E-2</v>
      </c>
      <c r="I12" s="90">
        <v>1</v>
      </c>
      <c r="K12" s="36">
        <v>10</v>
      </c>
      <c r="L12" s="95">
        <v>158.19999999999999</v>
      </c>
      <c r="N12" s="112" t="s">
        <v>159</v>
      </c>
      <c r="O12" s="122">
        <f>IF(P12=0,0,Q12/P12)</f>
        <v>10.632786885245901</v>
      </c>
      <c r="P12" s="116">
        <v>61</v>
      </c>
      <c r="Q12" s="104">
        <v>648.59999999999991</v>
      </c>
    </row>
    <row r="13" spans="1:17" x14ac:dyDescent="0.45">
      <c r="A13" s="50" t="s">
        <v>123</v>
      </c>
      <c r="B13" s="43">
        <f>B19</f>
        <v>214</v>
      </c>
      <c r="C13" s="35">
        <f>IF(B$11=0,0,B13/B$11)</f>
        <v>0.60281690140845068</v>
      </c>
      <c r="E13" s="59" t="s">
        <v>70</v>
      </c>
      <c r="F13" s="56" t="s">
        <v>25</v>
      </c>
      <c r="G13" s="44">
        <v>25</v>
      </c>
      <c r="H13" s="129">
        <f>IF(B$15=0,0,G13/B$15)</f>
        <v>5.4229934924078092E-2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155</v>
      </c>
      <c r="C14" s="35">
        <f>IF(B$12=0,0,B14/B$12)</f>
        <v>0.49839228295819937</v>
      </c>
      <c r="E14" s="59" t="s">
        <v>83</v>
      </c>
      <c r="F14" s="56" t="s">
        <v>38</v>
      </c>
      <c r="G14" s="44">
        <v>23</v>
      </c>
      <c r="H14" s="129">
        <f>IF(B$15=0,0,G14/B$15)</f>
        <v>4.9891540130151846E-2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461</v>
      </c>
      <c r="C15" s="35">
        <f>IF(B$3=0,0,B15/B$3)</f>
        <v>0.34480179506357517</v>
      </c>
      <c r="E15" s="59" t="s">
        <v>78</v>
      </c>
      <c r="F15" s="56" t="s">
        <v>33</v>
      </c>
      <c r="G15" s="44">
        <v>19</v>
      </c>
      <c r="H15" s="129">
        <f>IF(B$15=0,0,G15/B$15)</f>
        <v>4.1214750542299353E-2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 t="shared" ref="O15:O23" si="2"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175</v>
      </c>
      <c r="C16" s="37">
        <f>IF(B$3=0,0,B16/B$3)</f>
        <v>0.13089005235602094</v>
      </c>
      <c r="E16" s="59" t="s">
        <v>162</v>
      </c>
      <c r="F16" s="56" t="s">
        <v>163</v>
      </c>
      <c r="G16" s="44">
        <v>13</v>
      </c>
      <c r="H16" s="129">
        <f>IF(B$15=0,0,G16/B$15)</f>
        <v>2.8199566160520606E-2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 t="shared" si="2"/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193</v>
      </c>
      <c r="C17" s="37">
        <f>IF(B$15=0,0,B17/B$15)</f>
        <v>0.41865509761388287</v>
      </c>
      <c r="E17" s="59" t="s">
        <v>81</v>
      </c>
      <c r="F17" s="56" t="s">
        <v>36</v>
      </c>
      <c r="G17" s="44">
        <v>6</v>
      </c>
      <c r="H17" s="129">
        <f>IF(B$15=0,0,G17/B$15)</f>
        <v>1.3015184381778741E-2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 t="shared" si="2"/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268</v>
      </c>
      <c r="C18" s="37">
        <f>IF(B$15=0,0,B18/B$15)</f>
        <v>0.58134490238611713</v>
      </c>
      <c r="E18" s="59" t="s">
        <v>75</v>
      </c>
      <c r="F18" s="56" t="s">
        <v>30</v>
      </c>
      <c r="G18" s="44">
        <v>5</v>
      </c>
      <c r="H18" s="129">
        <f>IF(B$15=0,0,G18/B$15)</f>
        <v>1.0845986984815618E-2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 t="shared" si="2"/>
        <v>14.101724137931035</v>
      </c>
      <c r="P18" s="115">
        <v>58</v>
      </c>
      <c r="Q18" s="103">
        <v>817.9</v>
      </c>
    </row>
    <row r="19" spans="1:17" x14ac:dyDescent="0.45">
      <c r="A19" s="51" t="s">
        <v>195</v>
      </c>
      <c r="B19" s="44">
        <v>214</v>
      </c>
      <c r="C19" s="37">
        <f>IF(B$15=0,0,B19/B$15)</f>
        <v>0.46420824295010849</v>
      </c>
      <c r="E19" s="59" t="s">
        <v>91</v>
      </c>
      <c r="F19" s="56" t="s">
        <v>46</v>
      </c>
      <c r="G19" s="44">
        <v>5</v>
      </c>
      <c r="H19" s="129">
        <f>IF(B$15=0,0,G19/B$15)</f>
        <v>1.0845986984815618E-2</v>
      </c>
      <c r="I19" s="90">
        <v>7</v>
      </c>
      <c r="K19" s="36">
        <v>17</v>
      </c>
      <c r="L19" s="95">
        <v>359.09999999999991</v>
      </c>
      <c r="N19" s="111" t="s">
        <v>172</v>
      </c>
      <c r="O19" s="121">
        <f t="shared" si="2"/>
        <v>13.408474576271187</v>
      </c>
      <c r="P19" s="115">
        <v>59</v>
      </c>
      <c r="Q19" s="103">
        <v>791.1</v>
      </c>
    </row>
    <row r="20" spans="1:17" x14ac:dyDescent="0.45">
      <c r="A20" s="51" t="s">
        <v>193</v>
      </c>
      <c r="B20" s="44">
        <v>155</v>
      </c>
      <c r="C20" s="37">
        <f>IF(B$15=0,0,B20/B$15)</f>
        <v>0.33622559652928419</v>
      </c>
      <c r="E20" s="59" t="s">
        <v>79</v>
      </c>
      <c r="F20" s="56" t="s">
        <v>34</v>
      </c>
      <c r="G20" s="44">
        <v>4</v>
      </c>
      <c r="H20" s="129">
        <f>IF(B$15=0,0,G20/B$15)</f>
        <v>8.6767895878524948E-3</v>
      </c>
      <c r="I20" s="90">
        <v>8</v>
      </c>
      <c r="K20" s="36">
        <v>18</v>
      </c>
      <c r="L20" s="95">
        <v>352.39999999999992</v>
      </c>
      <c r="N20" s="111" t="s">
        <v>161</v>
      </c>
      <c r="O20" s="121">
        <f t="shared" si="2"/>
        <v>13.075675675675678</v>
      </c>
      <c r="P20" s="115">
        <v>37</v>
      </c>
      <c r="Q20" s="103">
        <v>483.80000000000007</v>
      </c>
    </row>
    <row r="21" spans="1:17" x14ac:dyDescent="0.45">
      <c r="A21" s="51" t="s">
        <v>194</v>
      </c>
      <c r="B21" s="44">
        <v>92</v>
      </c>
      <c r="C21" s="37">
        <f>IF(B$15=0,0,B21/B$15)</f>
        <v>0.19956616052060738</v>
      </c>
      <c r="E21" s="59" t="s">
        <v>85</v>
      </c>
      <c r="F21" s="56" t="s">
        <v>40</v>
      </c>
      <c r="G21" s="44">
        <v>4</v>
      </c>
      <c r="H21" s="129">
        <f>IF(B$15=0,0,G21/B$15)</f>
        <v>8.6767895878524948E-3</v>
      </c>
      <c r="I21" s="90">
        <v>4</v>
      </c>
      <c r="K21" s="36">
        <v>19</v>
      </c>
      <c r="L21" s="95">
        <v>383.19999999999993</v>
      </c>
      <c r="N21" s="111" t="s">
        <v>127</v>
      </c>
      <c r="O21" s="121">
        <f t="shared" si="2"/>
        <v>12.921052631578947</v>
      </c>
      <c r="P21" s="115">
        <v>95</v>
      </c>
      <c r="Q21" s="103">
        <v>1227.5</v>
      </c>
    </row>
    <row r="22" spans="1:17" x14ac:dyDescent="0.45">
      <c r="A22" s="51" t="s">
        <v>5</v>
      </c>
      <c r="B22" s="48">
        <f>IF(B$15=0,0,C22/B$15)</f>
        <v>8136.0086767895882</v>
      </c>
      <c r="C22" s="39">
        <v>3750700</v>
      </c>
      <c r="E22" s="59" t="s">
        <v>77</v>
      </c>
      <c r="F22" s="56" t="s">
        <v>32</v>
      </c>
      <c r="G22" s="44">
        <v>3</v>
      </c>
      <c r="H22" s="129">
        <f>IF(B$15=0,0,G22/B$15)</f>
        <v>6.5075921908893707E-3</v>
      </c>
      <c r="I22" s="90">
        <v>1</v>
      </c>
      <c r="K22" s="36">
        <v>20</v>
      </c>
      <c r="L22" s="95">
        <v>365.49999999999994</v>
      </c>
      <c r="N22" s="111" t="s">
        <v>170</v>
      </c>
      <c r="O22" s="121">
        <f t="shared" si="2"/>
        <v>1.1456521739130441</v>
      </c>
      <c r="P22" s="115">
        <v>46</v>
      </c>
      <c r="Q22" s="103">
        <v>52.700000000000031</v>
      </c>
    </row>
    <row r="23" spans="1:17" x14ac:dyDescent="0.45">
      <c r="A23" s="52" t="s">
        <v>177</v>
      </c>
      <c r="B23" s="136">
        <f>IF($B$15-B$14=0,0,C23/($B$15-B$14))</f>
        <v>8561.1111111111113</v>
      </c>
      <c r="C23" s="137">
        <v>2619700</v>
      </c>
      <c r="E23" s="59" t="s">
        <v>84</v>
      </c>
      <c r="F23" s="56" t="s">
        <v>39</v>
      </c>
      <c r="G23" s="44">
        <v>3</v>
      </c>
      <c r="H23" s="129">
        <f>IF(B$15=0,0,G23/B$15)</f>
        <v>6.5075921908893707E-3</v>
      </c>
      <c r="I23" s="90">
        <v>2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7296.7741935483873</v>
      </c>
      <c r="C24" s="137">
        <v>1131000</v>
      </c>
      <c r="E24" s="59" t="s">
        <v>92</v>
      </c>
      <c r="F24" s="56" t="s">
        <v>47</v>
      </c>
      <c r="G24" s="44">
        <v>3</v>
      </c>
      <c r="H24" s="129">
        <f>IF(B$15=0,0,G24/B$15)</f>
        <v>6.5075921908893707E-3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-7571.4285714285716</v>
      </c>
      <c r="C25" s="137">
        <v>-1325000</v>
      </c>
      <c r="E25" s="59" t="s">
        <v>74</v>
      </c>
      <c r="F25" s="56" t="s">
        <v>29</v>
      </c>
      <c r="G25" s="44">
        <v>2</v>
      </c>
      <c r="H25" s="129">
        <f>IF(B$15=0,0,G25/B$15)</f>
        <v>4.3383947939262474E-3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4.3383947939262474E-3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</v>
      </c>
      <c r="E27" s="59" t="s">
        <v>95</v>
      </c>
      <c r="F27" s="56" t="s">
        <v>50</v>
      </c>
      <c r="G27" s="44">
        <v>2</v>
      </c>
      <c r="H27" s="129">
        <f>IF(B$15=0,0,G27/B$15)</f>
        <v>4.3383947939262474E-3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2.1691973969631237E-3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2.1691973969631237E-3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7.4794315632011965E-4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43</v>
      </c>
      <c r="C32" s="141">
        <f>IF(B$15=0,0,B32/B$15)</f>
        <v>9.3275488069414311E-2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85</v>
      </c>
      <c r="C33" s="37">
        <f t="shared" ref="C33:C44" si="3">IF(B$15=0,0,B33/B$15)</f>
        <v>0.18438177874186551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94</v>
      </c>
      <c r="C34" s="37">
        <f>IF(B$15=0,0,B34/B$15)</f>
        <v>0.20390455531453361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83</v>
      </c>
      <c r="C35" s="37">
        <f t="shared" si="3"/>
        <v>0.18004338394793926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67</v>
      </c>
      <c r="C36" s="37">
        <f t="shared" si="3"/>
        <v>0.14533622559652928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41</v>
      </c>
      <c r="C37" s="37">
        <f t="shared" si="3"/>
        <v>8.8937093275488072E-2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23</v>
      </c>
      <c r="C38" s="37">
        <f t="shared" si="3"/>
        <v>4.9891540130151846E-2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3"/>
        <v>1.3015184381778741E-2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3"/>
        <v>2.1691973969631236E-2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3"/>
        <v>4.3383947939262474E-3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2.1691973969631237E-3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3"/>
        <v>1.3015184381778741E-2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</sheetData>
  <sortState xmlns:xlrd2="http://schemas.microsoft.com/office/spreadsheetml/2017/richdata2" ref="E2:I16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E9E7-DD4A-4E07-9B69-31E4074A2932}">
  <sheetPr codeName="Sheet11"/>
  <dimension ref="A1:Q14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143</v>
      </c>
      <c r="C2" s="155"/>
      <c r="E2" s="58" t="s">
        <v>66</v>
      </c>
      <c r="F2" s="55" t="s">
        <v>22</v>
      </c>
      <c r="G2" s="43">
        <v>290</v>
      </c>
      <c r="H2" s="128">
        <f>IF(B$15=0,0,G2/B$15)</f>
        <v>0.79452054794520544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-1423.943661971831</v>
      </c>
      <c r="P2" s="114">
        <v>142</v>
      </c>
      <c r="Q2" s="98">
        <v>-202200</v>
      </c>
    </row>
    <row r="3" spans="1:17" x14ac:dyDescent="0.45">
      <c r="A3" s="51" t="s">
        <v>8</v>
      </c>
      <c r="B3" s="156">
        <v>1193</v>
      </c>
      <c r="C3" s="157"/>
      <c r="E3" s="59" t="s">
        <v>72</v>
      </c>
      <c r="F3" s="56" t="s">
        <v>27</v>
      </c>
      <c r="G3" s="44">
        <v>205</v>
      </c>
      <c r="H3" s="129">
        <f>IF(B$15=0,0,G3/B$15)</f>
        <v>0.56164383561643838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1553.5714285714287</v>
      </c>
      <c r="P3" s="115">
        <v>140</v>
      </c>
      <c r="Q3" s="99">
        <v>217500</v>
      </c>
    </row>
    <row r="4" spans="1:17" x14ac:dyDescent="0.45">
      <c r="A4" s="51" t="s">
        <v>6</v>
      </c>
      <c r="B4" s="158">
        <v>61.399999999999814</v>
      </c>
      <c r="C4" s="159"/>
      <c r="E4" s="59" t="s">
        <v>166</v>
      </c>
      <c r="F4" s="56" t="s">
        <v>167</v>
      </c>
      <c r="G4" s="44">
        <v>143</v>
      </c>
      <c r="H4" s="129">
        <f>IF(B$15=0,0,G4/B$15)</f>
        <v>0.39178082191780822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-458.13953488372096</v>
      </c>
      <c r="P4" s="115">
        <v>129</v>
      </c>
      <c r="Q4" s="99">
        <v>-59100</v>
      </c>
    </row>
    <row r="5" spans="1:17" x14ac:dyDescent="0.45">
      <c r="A5" s="51" t="s">
        <v>7</v>
      </c>
      <c r="B5" s="160">
        <f>IF(B$2=0,0,B$4/B$2)</f>
        <v>0.42937062937062809</v>
      </c>
      <c r="C5" s="161"/>
      <c r="E5" s="59" t="s">
        <v>64</v>
      </c>
      <c r="F5" s="56" t="s">
        <v>20</v>
      </c>
      <c r="G5" s="44">
        <v>140</v>
      </c>
      <c r="H5" s="129">
        <f>IF(B$15=0,0,G5/B$15)</f>
        <v>0.38356164383561642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280.32786885245901</v>
      </c>
      <c r="P5" s="115">
        <v>122</v>
      </c>
      <c r="Q5" s="99">
        <v>34200</v>
      </c>
    </row>
    <row r="6" spans="1:17" x14ac:dyDescent="0.45">
      <c r="A6" s="51" t="s">
        <v>1</v>
      </c>
      <c r="B6" s="150">
        <f>IF(B$2=0,0,(B$7*1+B$8*2+B$9*3)/B$2)</f>
        <v>1.9580419580419581</v>
      </c>
      <c r="C6" s="151"/>
      <c r="E6" s="59" t="s">
        <v>68</v>
      </c>
      <c r="F6" s="56" t="s">
        <v>12</v>
      </c>
      <c r="G6" s="44">
        <v>101</v>
      </c>
      <c r="H6" s="129">
        <f>IF(B$15=0,0,G6/B$15)</f>
        <v>0.27671232876712326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-872.97297297297303</v>
      </c>
      <c r="P6" s="115">
        <v>111</v>
      </c>
      <c r="Q6" s="99">
        <v>-96900</v>
      </c>
    </row>
    <row r="7" spans="1:17" x14ac:dyDescent="0.45">
      <c r="A7" s="51" t="s">
        <v>2</v>
      </c>
      <c r="B7" s="44">
        <v>49</v>
      </c>
      <c r="C7" s="37">
        <f t="shared" ref="C7:C10" si="1">IF(B$2=0,0,B7/B$2)</f>
        <v>0.34265734265734266</v>
      </c>
      <c r="E7" s="59" t="s">
        <v>67</v>
      </c>
      <c r="F7" s="56" t="s">
        <v>23</v>
      </c>
      <c r="G7" s="44">
        <v>76</v>
      </c>
      <c r="H7" s="129">
        <f>IF(B$15=0,0,G7/B$15)</f>
        <v>0.20821917808219179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1219.1489361702127</v>
      </c>
      <c r="P7" s="116">
        <v>94</v>
      </c>
      <c r="Q7" s="100">
        <v>114600</v>
      </c>
    </row>
    <row r="8" spans="1:17" x14ac:dyDescent="0.45">
      <c r="A8" s="51" t="s">
        <v>3</v>
      </c>
      <c r="B8" s="44">
        <v>51</v>
      </c>
      <c r="C8" s="37">
        <f t="shared" si="1"/>
        <v>0.35664335664335667</v>
      </c>
      <c r="E8" s="59" t="s">
        <v>69</v>
      </c>
      <c r="F8" s="56" t="s">
        <v>24</v>
      </c>
      <c r="G8" s="44">
        <v>44</v>
      </c>
      <c r="H8" s="129">
        <f>IF(B$15=0,0,G8/B$15)</f>
        <v>0.12054794520547946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0.30069930069930068</v>
      </c>
      <c r="E9" s="59" t="s">
        <v>89</v>
      </c>
      <c r="F9" s="56" t="s">
        <v>44</v>
      </c>
      <c r="G9" s="44">
        <v>41</v>
      </c>
      <c r="H9" s="129">
        <f>IF(B$15=0,0,G9/B$15)</f>
        <v>0.11232876712328767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0.12587412587412589</v>
      </c>
      <c r="E10" s="59" t="s">
        <v>70</v>
      </c>
      <c r="F10" s="56" t="s">
        <v>25</v>
      </c>
      <c r="G10" s="44">
        <v>36</v>
      </c>
      <c r="H10" s="129">
        <f>IF(B$15=0,0,G10/B$15)</f>
        <v>9.8630136986301367E-2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2.0175000000000005</v>
      </c>
      <c r="P10" s="114">
        <v>40</v>
      </c>
      <c r="Q10" s="102">
        <v>80.700000000000017</v>
      </c>
    </row>
    <row r="11" spans="1:17" x14ac:dyDescent="0.45">
      <c r="A11" s="54" t="s">
        <v>121</v>
      </c>
      <c r="B11" s="47">
        <v>278</v>
      </c>
      <c r="C11" s="42">
        <f>IF(B$3=0,0,B11/B$3)</f>
        <v>0.23302598491198659</v>
      </c>
      <c r="E11" s="59" t="s">
        <v>71</v>
      </c>
      <c r="F11" s="56" t="s">
        <v>26</v>
      </c>
      <c r="G11" s="44">
        <v>35</v>
      </c>
      <c r="H11" s="129">
        <f>IF(B$15=0,0,G11/B$15)</f>
        <v>9.5890410958904104E-2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5">
      <c r="A12" s="51" t="s">
        <v>118</v>
      </c>
      <c r="B12" s="44">
        <v>359</v>
      </c>
      <c r="C12" s="37">
        <f>IF(B$3=0,0,B12/B$3)</f>
        <v>0.30092204526404026</v>
      </c>
      <c r="E12" s="59" t="s">
        <v>65</v>
      </c>
      <c r="F12" s="56" t="s">
        <v>21</v>
      </c>
      <c r="G12" s="44">
        <v>31</v>
      </c>
      <c r="H12" s="129">
        <f>IF(B$15=0,0,G12/B$15)</f>
        <v>8.4931506849315067E-2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-3.9581818181818189</v>
      </c>
      <c r="P12" s="116">
        <v>55</v>
      </c>
      <c r="Q12" s="104">
        <v>-217.70000000000005</v>
      </c>
    </row>
    <row r="13" spans="1:17" x14ac:dyDescent="0.45">
      <c r="A13" s="50" t="s">
        <v>123</v>
      </c>
      <c r="B13" s="43">
        <f>B19</f>
        <v>140</v>
      </c>
      <c r="C13" s="35">
        <f>IF(B$11=0,0,B13/B$11)</f>
        <v>0.50359712230215825</v>
      </c>
      <c r="E13" s="59" t="s">
        <v>86</v>
      </c>
      <c r="F13" s="56" t="s">
        <v>41</v>
      </c>
      <c r="G13" s="44">
        <v>24</v>
      </c>
      <c r="H13" s="129">
        <f>IF(B$15=0,0,G13/B$15)</f>
        <v>6.575342465753424E-2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137</v>
      </c>
      <c r="C14" s="35">
        <f>IF(B$12=0,0,B14/B$12)</f>
        <v>0.38161559888579388</v>
      </c>
      <c r="E14" s="59" t="s">
        <v>83</v>
      </c>
      <c r="F14" s="56" t="s">
        <v>38</v>
      </c>
      <c r="G14" s="44">
        <v>19</v>
      </c>
      <c r="H14" s="129">
        <f>IF(B$15=0,0,G14/B$15)</f>
        <v>5.2054794520547946E-2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365</v>
      </c>
      <c r="C15" s="35">
        <f>IF(B$3=0,0,B15/B$3)</f>
        <v>0.30595138306789604</v>
      </c>
      <c r="E15" s="59" t="s">
        <v>91</v>
      </c>
      <c r="F15" s="56" t="s">
        <v>46</v>
      </c>
      <c r="G15" s="44">
        <v>13</v>
      </c>
      <c r="H15" s="129">
        <f>IF(B$15=0,0,G15/B$15)</f>
        <v>3.5616438356164383E-2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219</v>
      </c>
      <c r="C16" s="37">
        <f>IF(B$3=0,0,B16/B$3)</f>
        <v>0.18357082984073764</v>
      </c>
      <c r="E16" s="59" t="s">
        <v>78</v>
      </c>
      <c r="F16" s="56" t="s">
        <v>33</v>
      </c>
      <c r="G16" s="44">
        <v>11</v>
      </c>
      <c r="H16" s="129">
        <f>IF(B$15=0,0,G16/B$15)</f>
        <v>3.0136986301369864E-2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152</v>
      </c>
      <c r="C17" s="37">
        <f>IF(B$15=0,0,B17/B$15)</f>
        <v>0.41643835616438357</v>
      </c>
      <c r="E17" s="59" t="s">
        <v>81</v>
      </c>
      <c r="F17" s="56" t="s">
        <v>36</v>
      </c>
      <c r="G17" s="44">
        <v>8</v>
      </c>
      <c r="H17" s="129">
        <f>IF(B$15=0,0,G17/B$15)</f>
        <v>2.1917808219178082E-2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213</v>
      </c>
      <c r="C18" s="37">
        <f>IF(B$15=0,0,B18/B$15)</f>
        <v>0.58356164383561648</v>
      </c>
      <c r="E18" s="59" t="s">
        <v>79</v>
      </c>
      <c r="F18" s="56" t="s">
        <v>34</v>
      </c>
      <c r="G18" s="44">
        <v>7</v>
      </c>
      <c r="H18" s="129">
        <f>IF(B$15=0,0,G18/B$15)</f>
        <v>1.9178082191780823E-2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140</v>
      </c>
      <c r="C19" s="37">
        <f>IF(B$15=0,0,B19/B$15)</f>
        <v>0.38356164383561642</v>
      </c>
      <c r="E19" s="59" t="s">
        <v>162</v>
      </c>
      <c r="F19" s="56" t="s">
        <v>163</v>
      </c>
      <c r="G19" s="44">
        <v>5</v>
      </c>
      <c r="H19" s="129">
        <f>IF(B$15=0,0,G19/B$15)</f>
        <v>1.3698630136986301E-2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5.5299999999999994</v>
      </c>
      <c r="P19" s="115">
        <v>30</v>
      </c>
      <c r="Q19" s="103">
        <v>165.89999999999998</v>
      </c>
    </row>
    <row r="20" spans="1:17" x14ac:dyDescent="0.45">
      <c r="A20" s="51" t="s">
        <v>193</v>
      </c>
      <c r="B20" s="44">
        <v>137</v>
      </c>
      <c r="C20" s="37">
        <f>IF(B$15=0,0,B20/B$15)</f>
        <v>0.37534246575342467</v>
      </c>
      <c r="E20" s="59" t="s">
        <v>92</v>
      </c>
      <c r="F20" s="56" t="s">
        <v>47</v>
      </c>
      <c r="G20" s="44">
        <v>3</v>
      </c>
      <c r="H20" s="129">
        <f>IF(B$15=0,0,G20/B$15)</f>
        <v>8.21917808219178E-3</v>
      </c>
      <c r="I20" s="90">
        <v>2</v>
      </c>
      <c r="K20" s="36">
        <v>18</v>
      </c>
      <c r="L20" s="95">
        <v>-112.90000000000002</v>
      </c>
      <c r="N20" s="111" t="s">
        <v>171</v>
      </c>
      <c r="O20" s="121">
        <f>IF(P20=0,0,Q20/P20)</f>
        <v>2.3822222222222242</v>
      </c>
      <c r="P20" s="115">
        <v>45</v>
      </c>
      <c r="Q20" s="103">
        <v>107.20000000000009</v>
      </c>
    </row>
    <row r="21" spans="1:17" x14ac:dyDescent="0.45">
      <c r="A21" s="51" t="s">
        <v>194</v>
      </c>
      <c r="B21" s="44">
        <v>88</v>
      </c>
      <c r="C21" s="37">
        <f>IF(B$15=0,0,B21/B$15)</f>
        <v>0.24109589041095891</v>
      </c>
      <c r="E21" s="59" t="s">
        <v>74</v>
      </c>
      <c r="F21" s="56" t="s">
        <v>29</v>
      </c>
      <c r="G21" s="44">
        <v>2</v>
      </c>
      <c r="H21" s="129">
        <f>IF(B$15=0,0,G21/B$15)</f>
        <v>5.4794520547945206E-3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>IF(P21=0,0,Q21/P21)</f>
        <v>0.40000000000000036</v>
      </c>
      <c r="P21" s="115">
        <v>4</v>
      </c>
      <c r="Q21" s="103">
        <v>1.6000000000000014</v>
      </c>
    </row>
    <row r="22" spans="1:17" x14ac:dyDescent="0.45">
      <c r="A22" s="51" t="s">
        <v>5</v>
      </c>
      <c r="B22" s="48">
        <f>IF(B$15=0,0,C22/B$15)</f>
        <v>8291.5068493150684</v>
      </c>
      <c r="C22" s="39">
        <v>3026400</v>
      </c>
      <c r="E22" s="59" t="s">
        <v>75</v>
      </c>
      <c r="F22" s="56" t="s">
        <v>30</v>
      </c>
      <c r="G22" s="44">
        <v>2</v>
      </c>
      <c r="H22" s="129">
        <f>IF(B$15=0,0,G22/B$15)</f>
        <v>5.4794520547945206E-3</v>
      </c>
      <c r="I22" s="90">
        <v>8</v>
      </c>
      <c r="K22" s="36">
        <v>20</v>
      </c>
      <c r="L22" s="95">
        <v>-96.000000000000028</v>
      </c>
      <c r="N22" s="111" t="s">
        <v>170</v>
      </c>
      <c r="O22" s="121">
        <f>IF(P22=0,0,Q22/P22)</f>
        <v>-3.53023255813953</v>
      </c>
      <c r="P22" s="115">
        <v>43</v>
      </c>
      <c r="Q22" s="103">
        <v>-151.79999999999978</v>
      </c>
    </row>
    <row r="23" spans="1:17" x14ac:dyDescent="0.45">
      <c r="A23" s="52" t="s">
        <v>177</v>
      </c>
      <c r="B23" s="136">
        <f>IF($B$15-B$14=0,0,C23/($B$15-B$14))</f>
        <v>8929.8245614035095</v>
      </c>
      <c r="C23" s="137">
        <v>2036000</v>
      </c>
      <c r="E23" s="59" t="s">
        <v>73</v>
      </c>
      <c r="F23" s="56" t="s">
        <v>28</v>
      </c>
      <c r="G23" s="44">
        <v>1</v>
      </c>
      <c r="H23" s="129">
        <f>IF(B$15=0,0,G23/B$15)</f>
        <v>2.7397260273972603E-3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-12.921052631578947</v>
      </c>
      <c r="P23" s="115">
        <v>95</v>
      </c>
      <c r="Q23" s="103">
        <v>-1227.5</v>
      </c>
    </row>
    <row r="24" spans="1:17" x14ac:dyDescent="0.45">
      <c r="A24" s="52" t="s">
        <v>178</v>
      </c>
      <c r="B24" s="136">
        <f>IF(B$14=0,0,C24/B$14)</f>
        <v>7229.1970802919705</v>
      </c>
      <c r="C24" s="137">
        <v>990400</v>
      </c>
      <c r="E24" s="59" t="s">
        <v>77</v>
      </c>
      <c r="F24" s="56" t="s">
        <v>32</v>
      </c>
      <c r="G24" s="44">
        <v>1</v>
      </c>
      <c r="H24" s="129">
        <f>IF(B$15=0,0,G24/B$15)</f>
        <v>2.7397260273972603E-3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-7954.3378995433786</v>
      </c>
      <c r="C25" s="137">
        <v>-1742000</v>
      </c>
      <c r="E25" s="59" t="s">
        <v>84</v>
      </c>
      <c r="F25" s="56" t="s">
        <v>39</v>
      </c>
      <c r="G25" s="44">
        <v>1</v>
      </c>
      <c r="H25" s="129">
        <f>IF(B$15=0,0,G25/B$15)</f>
        <v>2.7397260273972603E-3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2.7397260273972603E-3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14</v>
      </c>
      <c r="E27" s="59" t="s">
        <v>95</v>
      </c>
      <c r="F27" s="56" t="s">
        <v>50</v>
      </c>
      <c r="G27" s="44">
        <v>1</v>
      </c>
      <c r="H27" s="129">
        <f>IF(B$15=0,0,G27/B$15)</f>
        <v>2.7397260273972603E-3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4.1911148365465214E-3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25</v>
      </c>
      <c r="C32" s="141">
        <f>IF(B$15=0,0,B32/B$15)</f>
        <v>6.8493150684931503E-2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61</v>
      </c>
      <c r="C33" s="37">
        <f t="shared" ref="C33:C44" si="2">IF(B$15=0,0,B33/B$15)</f>
        <v>0.16712328767123288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76</v>
      </c>
      <c r="C34" s="37">
        <f>IF(B$15=0,0,B34/B$15)</f>
        <v>0.20821917808219179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77</v>
      </c>
      <c r="C35" s="37">
        <f t="shared" si="2"/>
        <v>0.21095890410958903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54</v>
      </c>
      <c r="C36" s="37">
        <f t="shared" si="2"/>
        <v>0.14794520547945206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39</v>
      </c>
      <c r="C37" s="37">
        <f t="shared" si="2"/>
        <v>0.10684931506849316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12</v>
      </c>
      <c r="C38" s="37">
        <f t="shared" si="2"/>
        <v>3.287671232876712E-2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2.1917808219178082E-2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1.643835616438356E-2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2.7397260273972603E-3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5.4794520547945206E-3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1.0958904109589041E-2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DFA27-4FB8-41E3-AD24-9C0B441EEF80}">
  <sheetPr codeName="Sheet13"/>
  <dimension ref="A1:Q9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95</v>
      </c>
      <c r="C2" s="155"/>
      <c r="E2" s="58" t="s">
        <v>66</v>
      </c>
      <c r="F2" s="55" t="s">
        <v>22</v>
      </c>
      <c r="G2" s="43">
        <v>174</v>
      </c>
      <c r="H2" s="128">
        <f>IF(B$15=0,0,G2/B$15)</f>
        <v>0.78378378378378377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-388.29787234042556</v>
      </c>
      <c r="P2" s="114">
        <v>94</v>
      </c>
      <c r="Q2" s="98">
        <v>-36500</v>
      </c>
    </row>
    <row r="3" spans="1:17" x14ac:dyDescent="0.45">
      <c r="A3" s="51" t="s">
        <v>8</v>
      </c>
      <c r="B3" s="156">
        <v>813</v>
      </c>
      <c r="C3" s="157"/>
      <c r="E3" s="59" t="s">
        <v>64</v>
      </c>
      <c r="F3" s="56" t="s">
        <v>20</v>
      </c>
      <c r="G3" s="44">
        <v>123</v>
      </c>
      <c r="H3" s="129">
        <f>IF(B$15=0,0,G3/B$15)</f>
        <v>0.55405405405405406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-554.25531914893622</v>
      </c>
      <c r="P3" s="115">
        <v>94</v>
      </c>
      <c r="Q3" s="99">
        <v>-52100</v>
      </c>
    </row>
    <row r="4" spans="1:17" x14ac:dyDescent="0.45">
      <c r="A4" s="51" t="s">
        <v>6</v>
      </c>
      <c r="B4" s="158">
        <v>-599.19999999999993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0.49549549549549549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605.74712643678163</v>
      </c>
      <c r="P4" s="115">
        <v>87</v>
      </c>
      <c r="Q4" s="99">
        <v>52700</v>
      </c>
    </row>
    <row r="5" spans="1:17" x14ac:dyDescent="0.45">
      <c r="A5" s="51" t="s">
        <v>7</v>
      </c>
      <c r="B5" s="160">
        <f>IF(B$2=0,0,B$4/B$2)</f>
        <v>-6.3073684210526313</v>
      </c>
      <c r="C5" s="161"/>
      <c r="E5" s="59" t="s">
        <v>166</v>
      </c>
      <c r="F5" s="56" t="s">
        <v>167</v>
      </c>
      <c r="G5" s="44">
        <v>94</v>
      </c>
      <c r="H5" s="129">
        <f>IF(B$15=0,0,G5/B$15)</f>
        <v>0.42342342342342343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-744.18604651162786</v>
      </c>
      <c r="P5" s="115">
        <v>86</v>
      </c>
      <c r="Q5" s="99">
        <v>-64000</v>
      </c>
    </row>
    <row r="6" spans="1:17" x14ac:dyDescent="0.45">
      <c r="A6" s="51" t="s">
        <v>1</v>
      </c>
      <c r="B6" s="150">
        <f>IF(B$2=0,0,(B$7*1+B$8*2+B$9*3)/B$2)</f>
        <v>2.1578947368421053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0.35135135135135137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-3076.5432098765432</v>
      </c>
      <c r="P6" s="115">
        <v>81</v>
      </c>
      <c r="Q6" s="99">
        <v>-249200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0.22105263157894736</v>
      </c>
      <c r="E7" s="59" t="s">
        <v>67</v>
      </c>
      <c r="F7" s="56" t="s">
        <v>23</v>
      </c>
      <c r="G7" s="44">
        <v>68</v>
      </c>
      <c r="H7" s="129">
        <f>IF(B$15=0,0,G7/B$15)</f>
        <v>0.30630630630630629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-1363.3802816901409</v>
      </c>
      <c r="P7" s="116">
        <v>71</v>
      </c>
      <c r="Q7" s="100">
        <v>-96800</v>
      </c>
    </row>
    <row r="8" spans="1:17" x14ac:dyDescent="0.45">
      <c r="A8" s="51" t="s">
        <v>3</v>
      </c>
      <c r="B8" s="44">
        <v>38</v>
      </c>
      <c r="C8" s="37">
        <f t="shared" si="1"/>
        <v>0.4</v>
      </c>
      <c r="E8" s="59" t="s">
        <v>69</v>
      </c>
      <c r="F8" s="56" t="s">
        <v>24</v>
      </c>
      <c r="G8" s="44">
        <v>32</v>
      </c>
      <c r="H8" s="129">
        <f>IF(B$15=0,0,G8/B$15)</f>
        <v>0.14414414414414414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0.37894736842105264</v>
      </c>
      <c r="E9" s="59" t="s">
        <v>70</v>
      </c>
      <c r="F9" s="56" t="s">
        <v>25</v>
      </c>
      <c r="G9" s="44">
        <v>27</v>
      </c>
      <c r="H9" s="129">
        <f>IF(B$15=0,0,G9/B$15)</f>
        <v>0.12162162162162163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7.3684210526315783E-2</v>
      </c>
      <c r="E10" s="59" t="s">
        <v>65</v>
      </c>
      <c r="F10" s="56" t="s">
        <v>21</v>
      </c>
      <c r="G10" s="44">
        <v>26</v>
      </c>
      <c r="H10" s="129">
        <f>IF(B$15=0,0,G10/B$15)</f>
        <v>0.11711711711711711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5">
      <c r="A11" s="54" t="s">
        <v>121</v>
      </c>
      <c r="B11" s="47">
        <v>225</v>
      </c>
      <c r="C11" s="42">
        <f>IF(B$3=0,0,B11/B$3)</f>
        <v>0.2767527675276753</v>
      </c>
      <c r="E11" s="59" t="s">
        <v>89</v>
      </c>
      <c r="F11" s="56" t="s">
        <v>44</v>
      </c>
      <c r="G11" s="44">
        <v>25</v>
      </c>
      <c r="H11" s="129">
        <f>IF(B$15=0,0,G11/B$15)</f>
        <v>0.11261261261261261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-5.3035714285714306</v>
      </c>
      <c r="P11" s="115">
        <v>28</v>
      </c>
      <c r="Q11" s="103">
        <v>-148.50000000000006</v>
      </c>
    </row>
    <row r="12" spans="1:17" x14ac:dyDescent="0.45">
      <c r="A12" s="51" t="s">
        <v>118</v>
      </c>
      <c r="B12" s="44">
        <v>159</v>
      </c>
      <c r="C12" s="37">
        <f>IF(B$3=0,0,B12/B$3)</f>
        <v>0.19557195571955718</v>
      </c>
      <c r="E12" s="59" t="s">
        <v>83</v>
      </c>
      <c r="F12" s="56" t="s">
        <v>38</v>
      </c>
      <c r="G12" s="44">
        <v>13</v>
      </c>
      <c r="H12" s="129">
        <f>IF(B$15=0,0,G12/B$15)</f>
        <v>5.8558558558558557E-2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122</v>
      </c>
      <c r="C13" s="35">
        <f>IF(B$11=0,0,B13/B$11)</f>
        <v>0.54222222222222227</v>
      </c>
      <c r="E13" s="59" t="s">
        <v>86</v>
      </c>
      <c r="F13" s="56" t="s">
        <v>41</v>
      </c>
      <c r="G13" s="44">
        <v>10</v>
      </c>
      <c r="H13" s="129">
        <f>IF(B$15=0,0,G13/B$15)</f>
        <v>4.5045045045045043E-2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4.0540540540540543E-2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222</v>
      </c>
      <c r="C15" s="35">
        <f>IF(B$3=0,0,B15/B$3)</f>
        <v>0.27306273062730629</v>
      </c>
      <c r="E15" s="59" t="s">
        <v>78</v>
      </c>
      <c r="F15" s="56" t="s">
        <v>33</v>
      </c>
      <c r="G15" s="44">
        <v>7</v>
      </c>
      <c r="H15" s="129">
        <f>IF(B$15=0,0,G15/B$15)</f>
        <v>3.1531531531531529E-2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146</v>
      </c>
      <c r="C16" s="37">
        <f>IF(B$3=0,0,B16/B$3)</f>
        <v>0.17958179581795819</v>
      </c>
      <c r="E16" s="59" t="s">
        <v>79</v>
      </c>
      <c r="F16" s="56" t="s">
        <v>34</v>
      </c>
      <c r="G16" s="44">
        <v>4</v>
      </c>
      <c r="H16" s="129">
        <f>IF(B$15=0,0,G16/B$15)</f>
        <v>1.8018018018018018E-2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104</v>
      </c>
      <c r="C17" s="37">
        <f>IF(B$15=0,0,B17/B$15)</f>
        <v>0.46846846846846846</v>
      </c>
      <c r="E17" s="59" t="s">
        <v>81</v>
      </c>
      <c r="F17" s="56" t="s">
        <v>36</v>
      </c>
      <c r="G17" s="44">
        <v>4</v>
      </c>
      <c r="H17" s="129">
        <f>IF(B$15=0,0,G17/B$15)</f>
        <v>1.8018018018018018E-2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118</v>
      </c>
      <c r="C18" s="37">
        <f>IF(B$15=0,0,B18/B$15)</f>
        <v>0.53153153153153154</v>
      </c>
      <c r="E18" s="59" t="s">
        <v>162</v>
      </c>
      <c r="F18" s="56" t="s">
        <v>163</v>
      </c>
      <c r="G18" s="44">
        <v>4</v>
      </c>
      <c r="H18" s="129">
        <f>IF(B$15=0,0,G18/B$15)</f>
        <v>1.8018018018018018E-2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122</v>
      </c>
      <c r="C19" s="37">
        <f>IF(B$15=0,0,B19/B$15)</f>
        <v>0.5495495495495496</v>
      </c>
      <c r="E19" s="59" t="s">
        <v>75</v>
      </c>
      <c r="F19" s="56" t="s">
        <v>30</v>
      </c>
      <c r="G19" s="44">
        <v>3</v>
      </c>
      <c r="H19" s="129">
        <f>IF(B$15=0,0,G19/B$15)</f>
        <v>1.3513513513513514E-2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66</v>
      </c>
      <c r="C20" s="37">
        <f>IF(B$15=0,0,B20/B$15)</f>
        <v>0.29729729729729731</v>
      </c>
      <c r="E20" s="59" t="s">
        <v>91</v>
      </c>
      <c r="F20" s="56" t="s">
        <v>46</v>
      </c>
      <c r="G20" s="44">
        <v>1</v>
      </c>
      <c r="H20" s="129">
        <f>IF(B$15=0,0,G20/B$15)</f>
        <v>4.5045045045045045E-3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 t="shared" si="2"/>
        <v>-13.408474576271189</v>
      </c>
      <c r="P20" s="115">
        <v>59</v>
      </c>
      <c r="Q20" s="103">
        <v>-791.10000000000014</v>
      </c>
    </row>
    <row r="21" spans="1:17" x14ac:dyDescent="0.45">
      <c r="A21" s="51" t="s">
        <v>194</v>
      </c>
      <c r="B21" s="44">
        <v>34</v>
      </c>
      <c r="C21" s="37">
        <f>IF(B$15=0,0,B21/B$15)</f>
        <v>0.15315315315315314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7830.6306306306305</v>
      </c>
      <c r="C22" s="39">
        <v>1738400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8491.0256410256407</v>
      </c>
      <c r="C23" s="137">
        <v>1324600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-7591.7808219178078</v>
      </c>
      <c r="C25" s="137">
        <v>-1108400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3.6900369003690036E-3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7.2072072072072071E-2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0.17567567567567569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50</v>
      </c>
      <c r="C34" s="37">
        <f>IF(B$15=0,0,B34/B$15)</f>
        <v>0.22522522522522523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0.15315315315315314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37</v>
      </c>
      <c r="C36" s="37">
        <f t="shared" si="3"/>
        <v>0.16666666666666666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0.1036036036036036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5.8558558558558557E-2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2.7027027027027029E-2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4.5045045045045045E-3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4.5045045045045045E-3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9.0090090090090089E-3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</sheetData>
  <sortState xmlns:xlrd2="http://schemas.microsoft.com/office/spreadsheetml/2017/richdata2" ref="E2:I9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EFEC4-D515-4649-81B7-B78167B410F6}">
  <sheetPr codeName="Sheet15"/>
  <dimension ref="A1:Q11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116</v>
      </c>
      <c r="C2" s="155"/>
      <c r="E2" s="58" t="s">
        <v>66</v>
      </c>
      <c r="F2" s="55" t="s">
        <v>22</v>
      </c>
      <c r="G2" s="43">
        <v>233</v>
      </c>
      <c r="H2" s="128">
        <f>IF(B$15=0,0,G2/B$15)</f>
        <v>0.87593984962406013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1465.5172413793102</v>
      </c>
      <c r="P2" s="114">
        <v>116</v>
      </c>
      <c r="Q2" s="98">
        <v>170000</v>
      </c>
    </row>
    <row r="3" spans="1:17" x14ac:dyDescent="0.45">
      <c r="A3" s="51" t="s">
        <v>8</v>
      </c>
      <c r="B3" s="156">
        <v>947</v>
      </c>
      <c r="C3" s="157"/>
      <c r="E3" s="59" t="s">
        <v>64</v>
      </c>
      <c r="F3" s="56" t="s">
        <v>20</v>
      </c>
      <c r="G3" s="44">
        <v>145</v>
      </c>
      <c r="H3" s="129">
        <f>IF(B$15=0,0,G3/B$15)</f>
        <v>0.54511278195488722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-1678.0701754385964</v>
      </c>
      <c r="P3" s="115">
        <v>114</v>
      </c>
      <c r="Q3" s="99">
        <v>-191300</v>
      </c>
    </row>
    <row r="4" spans="1:17" x14ac:dyDescent="0.45">
      <c r="A4" s="51" t="s">
        <v>6</v>
      </c>
      <c r="B4" s="158">
        <v>558.8000000000003</v>
      </c>
      <c r="C4" s="159"/>
      <c r="E4" s="59" t="s">
        <v>72</v>
      </c>
      <c r="F4" s="56" t="s">
        <v>27</v>
      </c>
      <c r="G4" s="44">
        <v>144</v>
      </c>
      <c r="H4" s="129">
        <f>IF(B$15=0,0,G4/B$15)</f>
        <v>0.54135338345864659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392.30769230769232</v>
      </c>
      <c r="P4" s="115">
        <v>104</v>
      </c>
      <c r="Q4" s="99">
        <v>40800</v>
      </c>
    </row>
    <row r="5" spans="1:17" x14ac:dyDescent="0.45">
      <c r="A5" s="51" t="s">
        <v>7</v>
      </c>
      <c r="B5" s="160">
        <f>IF(B$2=0,0,B$4/B$2)</f>
        <v>4.8172413793103477</v>
      </c>
      <c r="C5" s="161"/>
      <c r="E5" s="59" t="s">
        <v>67</v>
      </c>
      <c r="F5" s="56" t="s">
        <v>23</v>
      </c>
      <c r="G5" s="44">
        <v>110</v>
      </c>
      <c r="H5" s="129">
        <f>IF(B$15=0,0,G5/B$15)</f>
        <v>0.41353383458646614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2471.7171717171718</v>
      </c>
      <c r="P5" s="115">
        <v>99</v>
      </c>
      <c r="Q5" s="99">
        <v>244700</v>
      </c>
    </row>
    <row r="6" spans="1:17" x14ac:dyDescent="0.45">
      <c r="A6" s="51" t="s">
        <v>1</v>
      </c>
      <c r="B6" s="150">
        <f>IF(B$2=0,0,(B$7*1+B$8*2+B$9*3)/B$2)</f>
        <v>1.8879310344827587</v>
      </c>
      <c r="C6" s="151"/>
      <c r="E6" s="59" t="s">
        <v>68</v>
      </c>
      <c r="F6" s="56" t="s">
        <v>12</v>
      </c>
      <c r="G6" s="44">
        <v>104</v>
      </c>
      <c r="H6" s="129">
        <f>IF(B$15=0,0,G6/B$15)</f>
        <v>0.39097744360902253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1069.6629213483145</v>
      </c>
      <c r="P6" s="115">
        <v>89</v>
      </c>
      <c r="Q6" s="99">
        <v>95200</v>
      </c>
    </row>
    <row r="7" spans="1:17" x14ac:dyDescent="0.45">
      <c r="A7" s="51" t="s">
        <v>2</v>
      </c>
      <c r="B7" s="44">
        <v>48</v>
      </c>
      <c r="C7" s="37">
        <f t="shared" ref="C7:C10" si="1">IF(B$2=0,0,B7/B$2)</f>
        <v>0.41379310344827586</v>
      </c>
      <c r="E7" s="59" t="s">
        <v>166</v>
      </c>
      <c r="F7" s="56" t="s">
        <v>167</v>
      </c>
      <c r="G7" s="44">
        <v>98</v>
      </c>
      <c r="H7" s="129">
        <f>IF(B$15=0,0,G7/B$15)</f>
        <v>0.36842105263157893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542.25352112676057</v>
      </c>
      <c r="P7" s="116">
        <v>71</v>
      </c>
      <c r="Q7" s="100">
        <v>38500</v>
      </c>
    </row>
    <row r="8" spans="1:17" x14ac:dyDescent="0.45">
      <c r="A8" s="51" t="s">
        <v>3</v>
      </c>
      <c r="B8" s="44">
        <v>33</v>
      </c>
      <c r="C8" s="37">
        <f t="shared" si="1"/>
        <v>0.28448275862068967</v>
      </c>
      <c r="E8" s="59" t="s">
        <v>89</v>
      </c>
      <c r="F8" s="56" t="s">
        <v>44</v>
      </c>
      <c r="G8" s="44">
        <v>68</v>
      </c>
      <c r="H8" s="129">
        <f>IF(B$15=0,0,G8/B$15)</f>
        <v>0.25563909774436089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35</v>
      </c>
      <c r="C9" s="38">
        <f t="shared" si="1"/>
        <v>0.30172413793103448</v>
      </c>
      <c r="E9" s="59" t="s">
        <v>69</v>
      </c>
      <c r="F9" s="56" t="s">
        <v>24</v>
      </c>
      <c r="G9" s="44">
        <v>54</v>
      </c>
      <c r="H9" s="129">
        <f>IF(B$15=0,0,G9/B$15)</f>
        <v>0.20300751879699247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12</v>
      </c>
      <c r="C10" s="40">
        <f t="shared" si="1"/>
        <v>0.10344827586206896</v>
      </c>
      <c r="E10" s="59" t="s">
        <v>65</v>
      </c>
      <c r="F10" s="56" t="s">
        <v>21</v>
      </c>
      <c r="G10" s="44">
        <v>39</v>
      </c>
      <c r="H10" s="129">
        <f>IF(B$15=0,0,G10/B$15)</f>
        <v>0.14661654135338345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-2.6903225806451609</v>
      </c>
      <c r="P10" s="114">
        <v>31</v>
      </c>
      <c r="Q10" s="102">
        <v>-83.399999999999991</v>
      </c>
    </row>
    <row r="11" spans="1:17" x14ac:dyDescent="0.45">
      <c r="A11" s="54" t="s">
        <v>121</v>
      </c>
      <c r="B11" s="47">
        <v>295</v>
      </c>
      <c r="C11" s="42">
        <f>IF(B$3=0,0,B11/B$3)</f>
        <v>0.31151003167898628</v>
      </c>
      <c r="E11" s="59" t="s">
        <v>70</v>
      </c>
      <c r="F11" s="56" t="s">
        <v>25</v>
      </c>
      <c r="G11" s="44">
        <v>29</v>
      </c>
      <c r="H11" s="129">
        <f>IF(B$15=0,0,G11/B$15)</f>
        <v>0.10902255639097744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8.0829787234042545</v>
      </c>
      <c r="P11" s="115">
        <v>47</v>
      </c>
      <c r="Q11" s="103">
        <v>379.89999999999992</v>
      </c>
    </row>
    <row r="12" spans="1:17" x14ac:dyDescent="0.45">
      <c r="A12" s="51" t="s">
        <v>118</v>
      </c>
      <c r="B12" s="44">
        <v>167</v>
      </c>
      <c r="C12" s="37">
        <f>IF(B$3=0,0,B12/B$3)</f>
        <v>0.17634635691657866</v>
      </c>
      <c r="E12" s="59" t="s">
        <v>162</v>
      </c>
      <c r="F12" s="56" t="s">
        <v>163</v>
      </c>
      <c r="G12" s="44">
        <v>17</v>
      </c>
      <c r="H12" s="129">
        <f>IF(B$15=0,0,G12/B$15)</f>
        <v>6.3909774436090222E-2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6.9026315789473687</v>
      </c>
      <c r="P12" s="116">
        <v>38</v>
      </c>
      <c r="Q12" s="104">
        <v>262.3</v>
      </c>
    </row>
    <row r="13" spans="1:17" x14ac:dyDescent="0.45">
      <c r="A13" s="50" t="s">
        <v>123</v>
      </c>
      <c r="B13" s="43">
        <f>B19</f>
        <v>163</v>
      </c>
      <c r="C13" s="35">
        <f>IF(B$11=0,0,B13/B$11)</f>
        <v>0.55254237288135588</v>
      </c>
      <c r="E13" s="59" t="s">
        <v>71</v>
      </c>
      <c r="F13" s="56" t="s">
        <v>26</v>
      </c>
      <c r="G13" s="44">
        <v>14</v>
      </c>
      <c r="H13" s="129">
        <f>IF(B$15=0,0,G13/B$15)</f>
        <v>5.2631578947368418E-2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0.39520958083832336</v>
      </c>
      <c r="E14" s="59" t="s">
        <v>86</v>
      </c>
      <c r="F14" s="56" t="s">
        <v>41</v>
      </c>
      <c r="G14" s="44">
        <v>10</v>
      </c>
      <c r="H14" s="129">
        <f>IF(B$15=0,0,G14/B$15)</f>
        <v>3.7593984962406013E-2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266</v>
      </c>
      <c r="C15" s="35">
        <f>IF(B$3=0,0,B15/B$3)</f>
        <v>0.28088701161562829</v>
      </c>
      <c r="E15" s="59" t="s">
        <v>83</v>
      </c>
      <c r="F15" s="56" t="s">
        <v>38</v>
      </c>
      <c r="G15" s="44">
        <v>8</v>
      </c>
      <c r="H15" s="129">
        <f>IF(B$15=0,0,G15/B$15)</f>
        <v>3.007518796992481E-2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160</v>
      </c>
      <c r="C16" s="37">
        <f>IF(B$3=0,0,B16/B$3)</f>
        <v>0.16895459345300951</v>
      </c>
      <c r="E16" s="59" t="s">
        <v>78</v>
      </c>
      <c r="F16" s="56" t="s">
        <v>33</v>
      </c>
      <c r="G16" s="44">
        <v>4</v>
      </c>
      <c r="H16" s="129">
        <f>IF(B$15=0,0,G16/B$15)</f>
        <v>1.5037593984962405E-2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 t="shared" si="2"/>
        <v>37.36</v>
      </c>
      <c r="P16" s="115">
        <v>20</v>
      </c>
      <c r="Q16" s="103">
        <v>747.19999999999993</v>
      </c>
    </row>
    <row r="17" spans="1:17" x14ac:dyDescent="0.45">
      <c r="A17" s="51" t="s">
        <v>12</v>
      </c>
      <c r="B17" s="44">
        <v>133</v>
      </c>
      <c r="C17" s="37">
        <f>IF(B$15=0,0,B17/B$15)</f>
        <v>0.5</v>
      </c>
      <c r="E17" s="59" t="s">
        <v>81</v>
      </c>
      <c r="F17" s="56" t="s">
        <v>36</v>
      </c>
      <c r="G17" s="44">
        <v>4</v>
      </c>
      <c r="H17" s="129">
        <f>IF(B$15=0,0,G17/B$15)</f>
        <v>1.5037593984962405E-2</v>
      </c>
      <c r="I17" s="90">
        <v>9</v>
      </c>
      <c r="K17" s="36">
        <v>15</v>
      </c>
      <c r="L17" s="95">
        <v>-101.79999999999997</v>
      </c>
      <c r="N17" s="111" t="s">
        <v>171</v>
      </c>
      <c r="O17" s="121">
        <f t="shared" si="2"/>
        <v>11.448275862068964</v>
      </c>
      <c r="P17" s="115">
        <v>58</v>
      </c>
      <c r="Q17" s="103">
        <v>663.99999999999989</v>
      </c>
    </row>
    <row r="18" spans="1:17" x14ac:dyDescent="0.45">
      <c r="A18" s="51" t="s">
        <v>11</v>
      </c>
      <c r="B18" s="44">
        <v>133</v>
      </c>
      <c r="C18" s="37">
        <f>IF(B$15=0,0,B18/B$15)</f>
        <v>0.5</v>
      </c>
      <c r="E18" s="59" t="s">
        <v>91</v>
      </c>
      <c r="F18" s="56" t="s">
        <v>46</v>
      </c>
      <c r="G18" s="44">
        <v>4</v>
      </c>
      <c r="H18" s="129">
        <f>IF(B$15=0,0,G18/B$15)</f>
        <v>1.5037593984962405E-2</v>
      </c>
      <c r="I18" s="90">
        <v>5</v>
      </c>
      <c r="K18" s="36">
        <v>16</v>
      </c>
      <c r="L18" s="95">
        <v>-63.099999999999966</v>
      </c>
      <c r="N18" s="111" t="s">
        <v>197</v>
      </c>
      <c r="O18" s="121">
        <f t="shared" si="2"/>
        <v>10.864000000000003</v>
      </c>
      <c r="P18" s="115">
        <v>25</v>
      </c>
      <c r="Q18" s="103">
        <v>271.60000000000008</v>
      </c>
    </row>
    <row r="19" spans="1:17" x14ac:dyDescent="0.45">
      <c r="A19" s="51" t="s">
        <v>195</v>
      </c>
      <c r="B19" s="44">
        <v>163</v>
      </c>
      <c r="C19" s="37">
        <f>IF(B$15=0,0,B19/B$15)</f>
        <v>0.61278195488721809</v>
      </c>
      <c r="E19" s="59" t="s">
        <v>92</v>
      </c>
      <c r="F19" s="56" t="s">
        <v>47</v>
      </c>
      <c r="G19" s="44">
        <v>4</v>
      </c>
      <c r="H19" s="129">
        <f>IF(B$15=0,0,G19/B$15)</f>
        <v>1.5037593984962405E-2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 t="shared" si="2"/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66</v>
      </c>
      <c r="C20" s="37">
        <f>IF(B$15=0,0,B20/B$15)</f>
        <v>0.24812030075187969</v>
      </c>
      <c r="E20" s="59" t="s">
        <v>73</v>
      </c>
      <c r="F20" s="56" t="s">
        <v>28</v>
      </c>
      <c r="G20" s="44">
        <v>2</v>
      </c>
      <c r="H20" s="129">
        <f>IF(B$15=0,0,G20/B$15)</f>
        <v>7.5187969924812026E-3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 t="shared" si="2"/>
        <v>3.5302325581395326</v>
      </c>
      <c r="P20" s="115">
        <v>43</v>
      </c>
      <c r="Q20" s="103">
        <v>151.7999999999999</v>
      </c>
    </row>
    <row r="21" spans="1:17" x14ac:dyDescent="0.45">
      <c r="A21" s="51" t="s">
        <v>194</v>
      </c>
      <c r="B21" s="44">
        <v>37</v>
      </c>
      <c r="C21" s="37">
        <f>IF(B$15=0,0,B21/B$15)</f>
        <v>0.13909774436090225</v>
      </c>
      <c r="E21" s="59" t="s">
        <v>79</v>
      </c>
      <c r="F21" s="56" t="s">
        <v>34</v>
      </c>
      <c r="G21" s="44">
        <v>2</v>
      </c>
      <c r="H21" s="129">
        <f>IF(B$15=0,0,G21/B$15)</f>
        <v>7.5187969924812026E-3</v>
      </c>
      <c r="I21" s="90">
        <v>9</v>
      </c>
      <c r="K21" s="36">
        <v>19</v>
      </c>
      <c r="L21" s="95">
        <v>-27.799999999999969</v>
      </c>
      <c r="N21" s="111" t="s">
        <v>126</v>
      </c>
      <c r="O21" s="121">
        <f t="shared" si="2"/>
        <v>-1.1456521739130461</v>
      </c>
      <c r="P21" s="115">
        <v>46</v>
      </c>
      <c r="Q21" s="103">
        <v>-52.700000000000117</v>
      </c>
    </row>
    <row r="22" spans="1:17" x14ac:dyDescent="0.45">
      <c r="A22" s="51" t="s">
        <v>5</v>
      </c>
      <c r="B22" s="48">
        <f>IF(B$15=0,0,C22/B$15)</f>
        <v>10659.774436090225</v>
      </c>
      <c r="C22" s="39">
        <v>2835500</v>
      </c>
      <c r="E22" s="59" t="s">
        <v>84</v>
      </c>
      <c r="F22" s="56" t="s">
        <v>39</v>
      </c>
      <c r="G22" s="44">
        <v>2</v>
      </c>
      <c r="H22" s="129">
        <f>IF(B$15=0,0,G22/B$15)</f>
        <v>7.5187969924812026E-3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 t="shared" si="2"/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11289.5</v>
      </c>
      <c r="C23" s="137">
        <v>2257900</v>
      </c>
      <c r="E23" s="59" t="s">
        <v>90</v>
      </c>
      <c r="F23" s="56" t="s">
        <v>45</v>
      </c>
      <c r="G23" s="44">
        <v>2</v>
      </c>
      <c r="H23" s="129">
        <f>IF(B$15=0,0,G23/B$15)</f>
        <v>7.5187969924812026E-3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8751.515151515152</v>
      </c>
      <c r="C24" s="137">
        <v>577600</v>
      </c>
      <c r="E24" s="59" t="s">
        <v>75</v>
      </c>
      <c r="F24" s="56" t="s">
        <v>30</v>
      </c>
      <c r="G24" s="44">
        <v>1</v>
      </c>
      <c r="H24" s="129">
        <f>IF(B$15=0,0,G24/B$15)</f>
        <v>3.7593984962406013E-3</v>
      </c>
      <c r="I24" s="90">
        <v>9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-8088.75</v>
      </c>
      <c r="C25" s="137">
        <v>-1294200</v>
      </c>
      <c r="E25" s="59" t="s">
        <v>77</v>
      </c>
      <c r="F25" s="56" t="s">
        <v>32</v>
      </c>
      <c r="G25" s="44">
        <v>1</v>
      </c>
      <c r="H25" s="129">
        <f>IF(B$15=0,0,G25/B$15)</f>
        <v>3.7593984962406013E-3</v>
      </c>
      <c r="I25" s="90">
        <v>3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1</v>
      </c>
      <c r="H26" s="129">
        <f>IF(B$15=0,0,G26/B$15)</f>
        <v>3.7593984962406013E-3</v>
      </c>
      <c r="I26" s="90">
        <v>6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5</v>
      </c>
      <c r="E27" s="59" t="s">
        <v>93</v>
      </c>
      <c r="F27" s="56" t="s">
        <v>48</v>
      </c>
      <c r="G27" s="44">
        <v>1</v>
      </c>
      <c r="H27" s="129">
        <f>IF(B$15=0,0,G27/B$15)</f>
        <v>3.7593984962406013E-3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3.7593984962406013E-3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1.0559662090813093E-3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6</v>
      </c>
      <c r="C32" s="141">
        <f>IF(B$15=0,0,B32/B$15)</f>
        <v>2.2556390977443608E-2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21</v>
      </c>
      <c r="C33" s="37">
        <f t="shared" ref="C33:C44" si="3">IF(B$15=0,0,B33/B$15)</f>
        <v>7.8947368421052627E-2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37</v>
      </c>
      <c r="C34" s="37">
        <f>IF(B$15=0,0,B34/B$15)</f>
        <v>0.13909774436090225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53</v>
      </c>
      <c r="C35" s="37">
        <f t="shared" si="3"/>
        <v>0.19924812030075187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61</v>
      </c>
      <c r="C36" s="37">
        <f t="shared" si="3"/>
        <v>0.22932330827067668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34</v>
      </c>
      <c r="C37" s="37">
        <f t="shared" si="3"/>
        <v>0.12781954887218044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3"/>
        <v>7.8947368421052627E-2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16</v>
      </c>
      <c r="C39" s="37">
        <f t="shared" si="3"/>
        <v>6.0150375939849621E-2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3"/>
        <v>2.2556390977443608E-2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3"/>
        <v>7.5187969924812026E-3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7.5187969924812026E-3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3.7593984962406013E-3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3"/>
        <v>2.2556390977443608E-2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</sheetData>
  <sortState xmlns:xlrd2="http://schemas.microsoft.com/office/spreadsheetml/2017/richdata2" ref="E2:I11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7830-C718-4016-B021-38A1C7A32203}">
  <sheetPr codeName="Sheet17"/>
  <dimension ref="A1:Q13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129</v>
      </c>
      <c r="C2" s="155"/>
      <c r="E2" s="58" t="s">
        <v>66</v>
      </c>
      <c r="F2" s="55" t="s">
        <v>22</v>
      </c>
      <c r="G2" s="43">
        <v>218</v>
      </c>
      <c r="H2" s="128">
        <f>IF(B$15=0,0,G2/B$15)</f>
        <v>0.75172413793103443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-268.99224806201551</v>
      </c>
      <c r="P2" s="114">
        <v>129</v>
      </c>
      <c r="Q2" s="98">
        <v>-34700</v>
      </c>
    </row>
    <row r="3" spans="1:17" x14ac:dyDescent="0.45">
      <c r="A3" s="51" t="s">
        <v>8</v>
      </c>
      <c r="B3" s="156">
        <v>1050</v>
      </c>
      <c r="C3" s="157"/>
      <c r="E3" s="59" t="s">
        <v>72</v>
      </c>
      <c r="F3" s="56" t="s">
        <v>27</v>
      </c>
      <c r="G3" s="44">
        <v>161</v>
      </c>
      <c r="H3" s="129">
        <f>IF(B$15=0,0,G3/B$15)</f>
        <v>0.55517241379310345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-51.587301587301589</v>
      </c>
      <c r="P3" s="115">
        <v>126</v>
      </c>
      <c r="Q3" s="99">
        <v>-6500</v>
      </c>
    </row>
    <row r="4" spans="1:17" x14ac:dyDescent="0.45">
      <c r="A4" s="51" t="s">
        <v>6</v>
      </c>
      <c r="B4" s="158">
        <v>-210.29999999999998</v>
      </c>
      <c r="C4" s="159"/>
      <c r="E4" s="59" t="s">
        <v>64</v>
      </c>
      <c r="F4" s="56" t="s">
        <v>20</v>
      </c>
      <c r="G4" s="44">
        <v>146</v>
      </c>
      <c r="H4" s="129">
        <f>IF(B$15=0,0,G4/B$15)</f>
        <v>0.50344827586206897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215.83333333333334</v>
      </c>
      <c r="P4" s="115">
        <v>120</v>
      </c>
      <c r="Q4" s="99">
        <v>25900</v>
      </c>
    </row>
    <row r="5" spans="1:17" x14ac:dyDescent="0.45">
      <c r="A5" s="51" t="s">
        <v>7</v>
      </c>
      <c r="B5" s="160">
        <f>IF(B$2=0,0,B$4/B$2)</f>
        <v>-1.6302325581395347</v>
      </c>
      <c r="C5" s="161"/>
      <c r="E5" s="59" t="s">
        <v>166</v>
      </c>
      <c r="F5" s="56" t="s">
        <v>167</v>
      </c>
      <c r="G5" s="44">
        <v>126</v>
      </c>
      <c r="H5" s="129">
        <f>IF(B$15=0,0,G5/B$15)</f>
        <v>0.43448275862068964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122.01834862385321</v>
      </c>
      <c r="P5" s="115">
        <v>109</v>
      </c>
      <c r="Q5" s="99">
        <v>13300</v>
      </c>
    </row>
    <row r="6" spans="1:17" x14ac:dyDescent="0.45">
      <c r="A6" s="51" t="s">
        <v>1</v>
      </c>
      <c r="B6" s="150">
        <f>IF(B$2=0,0,(B$7*1+B$8*2+B$9*3)/B$2)</f>
        <v>2.0930232558139537</v>
      </c>
      <c r="C6" s="151"/>
      <c r="E6" s="59" t="s">
        <v>67</v>
      </c>
      <c r="F6" s="56" t="s">
        <v>23</v>
      </c>
      <c r="G6" s="44">
        <v>103</v>
      </c>
      <c r="H6" s="129">
        <f>IF(B$15=0,0,G6/B$15)</f>
        <v>0.35517241379310344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-165.30612244897958</v>
      </c>
      <c r="P6" s="115">
        <v>98</v>
      </c>
      <c r="Q6" s="99">
        <v>-16200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0.23255813953488372</v>
      </c>
      <c r="E7" s="59" t="s">
        <v>68</v>
      </c>
      <c r="F7" s="56" t="s">
        <v>12</v>
      </c>
      <c r="G7" s="44">
        <v>92</v>
      </c>
      <c r="H7" s="129">
        <f>IF(B$15=0,0,G7/B$15)</f>
        <v>0.31724137931034485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-1177.3809523809523</v>
      </c>
      <c r="P7" s="116">
        <v>84</v>
      </c>
      <c r="Q7" s="100">
        <v>-98900</v>
      </c>
    </row>
    <row r="8" spans="1:17" x14ac:dyDescent="0.45">
      <c r="A8" s="51" t="s">
        <v>3</v>
      </c>
      <c r="B8" s="44">
        <v>57</v>
      </c>
      <c r="C8" s="37">
        <f t="shared" si="1"/>
        <v>0.44186046511627908</v>
      </c>
      <c r="E8" s="59" t="s">
        <v>69</v>
      </c>
      <c r="F8" s="56" t="s">
        <v>24</v>
      </c>
      <c r="G8" s="44">
        <v>38</v>
      </c>
      <c r="H8" s="129">
        <f>IF(B$15=0,0,G8/B$15)</f>
        <v>0.1310344827586207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0.32558139534883723</v>
      </c>
      <c r="E9" s="59" t="s">
        <v>89</v>
      </c>
      <c r="F9" s="56" t="s">
        <v>44</v>
      </c>
      <c r="G9" s="44">
        <v>36</v>
      </c>
      <c r="H9" s="129">
        <f>IF(B$15=0,0,G9/B$15)</f>
        <v>0.12413793103448276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7.7519379844961239E-2</v>
      </c>
      <c r="E10" s="59" t="s">
        <v>71</v>
      </c>
      <c r="F10" s="56" t="s">
        <v>26</v>
      </c>
      <c r="G10" s="44">
        <v>29</v>
      </c>
      <c r="H10" s="129">
        <f>IF(B$15=0,0,G10/B$15)</f>
        <v>0.1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-2.7777777777777777</v>
      </c>
      <c r="P10" s="114">
        <v>54</v>
      </c>
      <c r="Q10" s="102">
        <v>-150</v>
      </c>
    </row>
    <row r="11" spans="1:17" x14ac:dyDescent="0.45">
      <c r="A11" s="54" t="s">
        <v>121</v>
      </c>
      <c r="B11" s="47">
        <v>278</v>
      </c>
      <c r="C11" s="42">
        <f>IF(B$3=0,0,B11/B$3)</f>
        <v>0.26476190476190475</v>
      </c>
      <c r="E11" s="59" t="s">
        <v>65</v>
      </c>
      <c r="F11" s="56" t="s">
        <v>21</v>
      </c>
      <c r="G11" s="44">
        <v>24</v>
      </c>
      <c r="H11" s="129">
        <f>IF(B$15=0,0,G11/B$15)</f>
        <v>8.2758620689655171E-2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-0.15384615384615311</v>
      </c>
      <c r="P11" s="115">
        <v>39</v>
      </c>
      <c r="Q11" s="103">
        <v>-5.9999999999999716</v>
      </c>
    </row>
    <row r="12" spans="1:17" x14ac:dyDescent="0.45">
      <c r="A12" s="51" t="s">
        <v>118</v>
      </c>
      <c r="B12" s="44">
        <v>236</v>
      </c>
      <c r="C12" s="37">
        <f>IF(B$3=0,0,B12/B$3)</f>
        <v>0.22476190476190477</v>
      </c>
      <c r="E12" s="59" t="s">
        <v>70</v>
      </c>
      <c r="F12" s="56" t="s">
        <v>25</v>
      </c>
      <c r="G12" s="44">
        <v>23</v>
      </c>
      <c r="H12" s="129">
        <f>IF(B$15=0,0,G12/B$15)</f>
        <v>7.9310344827586213E-2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152</v>
      </c>
      <c r="C13" s="35">
        <f>IF(B$11=0,0,B13/B$11)</f>
        <v>0.5467625899280576</v>
      </c>
      <c r="E13" s="59" t="s">
        <v>86</v>
      </c>
      <c r="F13" s="56" t="s">
        <v>41</v>
      </c>
      <c r="G13" s="44">
        <v>14</v>
      </c>
      <c r="H13" s="129">
        <f>IF(B$15=0,0,G13/B$15)</f>
        <v>4.8275862068965517E-2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99</v>
      </c>
      <c r="C14" s="35">
        <f>IF(B$12=0,0,B14/B$12)</f>
        <v>0.41949152542372881</v>
      </c>
      <c r="E14" s="59" t="s">
        <v>83</v>
      </c>
      <c r="F14" s="56" t="s">
        <v>38</v>
      </c>
      <c r="G14" s="44">
        <v>12</v>
      </c>
      <c r="H14" s="129">
        <f>IF(B$15=0,0,G14/B$15)</f>
        <v>4.1379310344827586E-2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290</v>
      </c>
      <c r="C15" s="35">
        <f>IF(B$3=0,0,B15/B$3)</f>
        <v>0.27619047619047621</v>
      </c>
      <c r="E15" s="59" t="s">
        <v>79</v>
      </c>
      <c r="F15" s="56" t="s">
        <v>34</v>
      </c>
      <c r="G15" s="44">
        <v>7</v>
      </c>
      <c r="H15" s="129">
        <f>IF(B$15=0,0,G15/B$15)</f>
        <v>2.4137931034482758E-2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149</v>
      </c>
      <c r="C16" s="37">
        <f>IF(B$3=0,0,B16/B$3)</f>
        <v>0.14190476190476189</v>
      </c>
      <c r="E16" s="59" t="s">
        <v>162</v>
      </c>
      <c r="F16" s="56" t="s">
        <v>163</v>
      </c>
      <c r="G16" s="44">
        <v>6</v>
      </c>
      <c r="H16" s="129">
        <f>IF(B$15=0,0,G16/B$15)</f>
        <v>2.0689655172413793E-2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130</v>
      </c>
      <c r="C17" s="37">
        <f>IF(B$15=0,0,B17/B$15)</f>
        <v>0.44827586206896552</v>
      </c>
      <c r="E17" s="59" t="s">
        <v>73</v>
      </c>
      <c r="F17" s="56" t="s">
        <v>28</v>
      </c>
      <c r="G17" s="44">
        <v>5</v>
      </c>
      <c r="H17" s="129">
        <f>IF(B$15=0,0,G17/B$15)</f>
        <v>1.7241379310344827E-2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160</v>
      </c>
      <c r="C18" s="37">
        <f>IF(B$15=0,0,B18/B$15)</f>
        <v>0.55172413793103448</v>
      </c>
      <c r="E18" s="59" t="s">
        <v>81</v>
      </c>
      <c r="F18" s="56" t="s">
        <v>36</v>
      </c>
      <c r="G18" s="44">
        <v>5</v>
      </c>
      <c r="H18" s="129">
        <f>IF(B$15=0,0,G18/B$15)</f>
        <v>1.7241379310344827E-2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152</v>
      </c>
      <c r="C19" s="37">
        <f>IF(B$15=0,0,B19/B$15)</f>
        <v>0.52413793103448281</v>
      </c>
      <c r="E19" s="59" t="s">
        <v>78</v>
      </c>
      <c r="F19" s="56" t="s">
        <v>33</v>
      </c>
      <c r="G19" s="44">
        <v>3</v>
      </c>
      <c r="H19" s="129">
        <f>IF(B$15=0,0,G19/B$15)</f>
        <v>1.0344827586206896E-2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99</v>
      </c>
      <c r="C20" s="37">
        <f>IF(B$15=0,0,B20/B$15)</f>
        <v>0.3413793103448276</v>
      </c>
      <c r="E20" s="59" t="s">
        <v>85</v>
      </c>
      <c r="F20" s="56" t="s">
        <v>40</v>
      </c>
      <c r="G20" s="44">
        <v>3</v>
      </c>
      <c r="H20" s="129">
        <f>IF(B$15=0,0,G20/B$15)</f>
        <v>1.0344827586206896E-2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39</v>
      </c>
      <c r="C21" s="37">
        <f>IF(B$15=0,0,B21/B$15)</f>
        <v>0.13448275862068965</v>
      </c>
      <c r="E21" s="59" t="s">
        <v>75</v>
      </c>
      <c r="F21" s="56" t="s">
        <v>30</v>
      </c>
      <c r="G21" s="44">
        <v>2</v>
      </c>
      <c r="H21" s="129">
        <f>IF(B$15=0,0,G21/B$15)</f>
        <v>6.8965517241379309E-3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-2.382222222222222</v>
      </c>
      <c r="P21" s="115">
        <v>45</v>
      </c>
      <c r="Q21" s="103">
        <v>-107.19999999999999</v>
      </c>
    </row>
    <row r="22" spans="1:17" x14ac:dyDescent="0.45">
      <c r="A22" s="51" t="s">
        <v>5</v>
      </c>
      <c r="B22" s="48">
        <f>IF(B$15=0,0,C22/B$15)</f>
        <v>8276.5517241379312</v>
      </c>
      <c r="C22" s="39">
        <v>2400200</v>
      </c>
      <c r="E22" s="59" t="s">
        <v>91</v>
      </c>
      <c r="F22" s="56" t="s">
        <v>46</v>
      </c>
      <c r="G22" s="44">
        <v>2</v>
      </c>
      <c r="H22" s="129">
        <f>IF(B$15=0,0,G22/B$15)</f>
        <v>6.8965517241379309E-3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9107.8534031413619</v>
      </c>
      <c r="C23" s="137">
        <v>1739600</v>
      </c>
      <c r="E23" s="59" t="s">
        <v>74</v>
      </c>
      <c r="F23" s="56" t="s">
        <v>29</v>
      </c>
      <c r="G23" s="44">
        <v>1</v>
      </c>
      <c r="H23" s="129">
        <f>IF(B$15=0,0,G23/B$15)</f>
        <v>3.4482758620689655E-3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-11.448275862068964</v>
      </c>
      <c r="P23" s="115">
        <v>58</v>
      </c>
      <c r="Q23" s="103">
        <v>-663.99999999999989</v>
      </c>
    </row>
    <row r="24" spans="1:17" x14ac:dyDescent="0.45">
      <c r="A24" s="52" t="s">
        <v>178</v>
      </c>
      <c r="B24" s="136">
        <f>IF(B$14=0,0,C24/B$14)</f>
        <v>6672.727272727273</v>
      </c>
      <c r="C24" s="137">
        <v>660600</v>
      </c>
      <c r="E24" s="59" t="s">
        <v>87</v>
      </c>
      <c r="F24" s="56" t="s">
        <v>42</v>
      </c>
      <c r="G24" s="44">
        <v>1</v>
      </c>
      <c r="H24" s="129">
        <f>IF(B$15=0,0,G24/B$15)</f>
        <v>3.4482758620689655E-3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-14.101724137931035</v>
      </c>
      <c r="P24" s="115">
        <v>58</v>
      </c>
      <c r="Q24" s="103">
        <v>-817.9</v>
      </c>
    </row>
    <row r="25" spans="1:17" x14ac:dyDescent="0.45">
      <c r="A25" s="52" t="s">
        <v>176</v>
      </c>
      <c r="B25" s="136">
        <f>IF(B$16=0,0,C25/B$16)</f>
        <v>-7191.9463087248323</v>
      </c>
      <c r="C25" s="137">
        <v>-1071600</v>
      </c>
      <c r="E25" s="59" t="s">
        <v>88</v>
      </c>
      <c r="F25" s="56" t="s">
        <v>43</v>
      </c>
      <c r="G25" s="44">
        <v>1</v>
      </c>
      <c r="H25" s="129">
        <f>IF(B$15=0,0,G25/B$15)</f>
        <v>3.4482758620689655E-3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3.4482758620689655E-3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5</v>
      </c>
      <c r="E27" s="59" t="s">
        <v>101</v>
      </c>
      <c r="F27" s="56" t="s">
        <v>56</v>
      </c>
      <c r="G27" s="44">
        <v>1</v>
      </c>
      <c r="H27" s="129">
        <f>IF(B$15=0,0,G27/B$15)</f>
        <v>3.4482758620689655E-3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1.9047619047619048E-3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6.2068965517241378E-2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52</v>
      </c>
      <c r="C33" s="37">
        <f t="shared" ref="C33:C44" si="2">IF(B$15=0,0,B33/B$15)</f>
        <v>0.1793103448275862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61</v>
      </c>
      <c r="C34" s="37">
        <f>IF(B$15=0,0,B34/B$15)</f>
        <v>0.2103448275862069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54</v>
      </c>
      <c r="C35" s="37">
        <f t="shared" si="2"/>
        <v>0.18620689655172415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41</v>
      </c>
      <c r="C36" s="37">
        <f t="shared" si="2"/>
        <v>0.14137931034482759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33</v>
      </c>
      <c r="C37" s="37">
        <f t="shared" si="2"/>
        <v>0.11379310344827587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2"/>
        <v>4.8275862068965517E-2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2.4137931034482758E-2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1.0344827586206896E-2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6.8965517241379309E-3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3.4482758620689655E-3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6.8965517241379309E-3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6.8965517241379309E-3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5D3F-1200-4132-ACAD-F44D900A678B}">
  <sheetPr codeName="Sheet19"/>
  <dimension ref="A1:Q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59</v>
      </c>
      <c r="C2" s="155"/>
      <c r="E2" s="58" t="s">
        <v>66</v>
      </c>
      <c r="F2" s="55" t="s">
        <v>22</v>
      </c>
      <c r="G2" s="43">
        <v>83</v>
      </c>
      <c r="H2" s="128">
        <f>IF(B$15=0,0,G2/B$15)</f>
        <v>0.6484375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-2438.9830508474574</v>
      </c>
      <c r="P2" s="114">
        <v>59</v>
      </c>
      <c r="Q2" s="98">
        <v>-143900</v>
      </c>
    </row>
    <row r="3" spans="1:17" x14ac:dyDescent="0.45">
      <c r="A3" s="51" t="s">
        <v>8</v>
      </c>
      <c r="B3" s="156">
        <v>487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0.640625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564.40677966101691</v>
      </c>
      <c r="P3" s="115">
        <v>59</v>
      </c>
      <c r="Q3" s="99">
        <v>33300</v>
      </c>
    </row>
    <row r="4" spans="1:17" x14ac:dyDescent="0.45">
      <c r="A4" s="51" t="s">
        <v>6</v>
      </c>
      <c r="B4" s="158">
        <v>-627.40000000000009</v>
      </c>
      <c r="C4" s="159"/>
      <c r="E4" s="59" t="s">
        <v>64</v>
      </c>
      <c r="F4" s="56" t="s">
        <v>20</v>
      </c>
      <c r="G4" s="44">
        <v>54</v>
      </c>
      <c r="H4" s="129">
        <f>IF(B$15=0,0,G4/B$15)</f>
        <v>0.421875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-1310.5263157894738</v>
      </c>
      <c r="P4" s="115">
        <v>57</v>
      </c>
      <c r="Q4" s="99">
        <v>-74700</v>
      </c>
    </row>
    <row r="5" spans="1:17" x14ac:dyDescent="0.45">
      <c r="A5" s="51" t="s">
        <v>7</v>
      </c>
      <c r="B5" s="160">
        <f>IF(B$2=0,0,B$4/B$2)</f>
        <v>-10.633898305084747</v>
      </c>
      <c r="C5" s="161"/>
      <c r="E5" s="59" t="s">
        <v>166</v>
      </c>
      <c r="F5" s="56" t="s">
        <v>167</v>
      </c>
      <c r="G5" s="44">
        <v>45</v>
      </c>
      <c r="H5" s="129">
        <f>IF(B$15=0,0,G5/B$15)</f>
        <v>0.3515625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-1750.9803921568628</v>
      </c>
      <c r="P5" s="115">
        <v>51</v>
      </c>
      <c r="Q5" s="99">
        <v>-89300</v>
      </c>
    </row>
    <row r="6" spans="1:17" x14ac:dyDescent="0.45">
      <c r="A6" s="51" t="s">
        <v>1</v>
      </c>
      <c r="B6" s="150">
        <f>IF(B$2=0,0,(B$7*1+B$8*2+B$9*3)/B$2)</f>
        <v>2.2881355932203391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0.265625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-1802.0408163265306</v>
      </c>
      <c r="P6" s="115">
        <v>49</v>
      </c>
      <c r="Q6" s="99">
        <v>-88300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0.16949152542372881</v>
      </c>
      <c r="E7" s="59" t="s">
        <v>67</v>
      </c>
      <c r="F7" s="56" t="s">
        <v>23</v>
      </c>
      <c r="G7" s="44">
        <v>30</v>
      </c>
      <c r="H7" s="129">
        <f>IF(B$15=0,0,G7/B$15)</f>
        <v>0.234375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22</v>
      </c>
      <c r="C8" s="37">
        <f t="shared" si="1"/>
        <v>0.3728813559322034</v>
      </c>
      <c r="E8" s="59" t="s">
        <v>89</v>
      </c>
      <c r="F8" s="56" t="s">
        <v>44</v>
      </c>
      <c r="G8" s="44">
        <v>20</v>
      </c>
      <c r="H8" s="129">
        <f>IF(B$15=0,0,G8/B$15)</f>
        <v>0.15625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0.4576271186440678</v>
      </c>
      <c r="E9" s="59" t="s">
        <v>65</v>
      </c>
      <c r="F9" s="56" t="s">
        <v>21</v>
      </c>
      <c r="G9" s="44">
        <v>15</v>
      </c>
      <c r="H9" s="129">
        <f>IF(B$15=0,0,G9/B$15)</f>
        <v>0.1171875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0.16949152542372881</v>
      </c>
      <c r="E10" s="59" t="s">
        <v>69</v>
      </c>
      <c r="F10" s="56" t="s">
        <v>24</v>
      </c>
      <c r="G10" s="44">
        <v>12</v>
      </c>
      <c r="H10" s="129">
        <f>IF(B$15=0,0,G10/B$15)</f>
        <v>9.375E-2</v>
      </c>
      <c r="I10" s="90">
        <v>12</v>
      </c>
      <c r="K10" s="36">
        <v>8</v>
      </c>
      <c r="L10" s="95">
        <v>-152.6</v>
      </c>
      <c r="N10" s="110" t="s">
        <v>157</v>
      </c>
      <c r="O10" s="120">
        <f>IF(P10=0,0,Q10/P10)</f>
        <v>-18.315999999999999</v>
      </c>
      <c r="P10" s="114">
        <v>25</v>
      </c>
      <c r="Q10" s="102">
        <v>-457.9</v>
      </c>
    </row>
    <row r="11" spans="1:17" x14ac:dyDescent="0.45">
      <c r="A11" s="54" t="s">
        <v>121</v>
      </c>
      <c r="B11" s="47">
        <v>104</v>
      </c>
      <c r="C11" s="42">
        <f>IF(B$3=0,0,B11/B$3)</f>
        <v>0.2135523613963039</v>
      </c>
      <c r="E11" s="59" t="s">
        <v>70</v>
      </c>
      <c r="F11" s="56" t="s">
        <v>25</v>
      </c>
      <c r="G11" s="44">
        <v>12</v>
      </c>
      <c r="H11" s="129">
        <f>IF(B$15=0,0,G11/B$15)</f>
        <v>9.375E-2</v>
      </c>
      <c r="I11" s="90">
        <v>9</v>
      </c>
      <c r="K11" s="36">
        <v>9</v>
      </c>
      <c r="L11" s="95">
        <v>-150.6</v>
      </c>
      <c r="N11" s="111" t="s">
        <v>158</v>
      </c>
      <c r="O11" s="121">
        <f>IF(P11=0,0,Q11/P11)</f>
        <v>-3.1882352941176464</v>
      </c>
      <c r="P11" s="115">
        <v>17</v>
      </c>
      <c r="Q11" s="103">
        <v>-54.199999999999989</v>
      </c>
    </row>
    <row r="12" spans="1:17" x14ac:dyDescent="0.45">
      <c r="A12" s="51" t="s">
        <v>118</v>
      </c>
      <c r="B12" s="44">
        <v>113</v>
      </c>
      <c r="C12" s="37">
        <f>IF(B$3=0,0,B12/B$3)</f>
        <v>0.23203285420944558</v>
      </c>
      <c r="E12" s="59" t="s">
        <v>71</v>
      </c>
      <c r="F12" s="56" t="s">
        <v>26</v>
      </c>
      <c r="G12" s="44">
        <v>12</v>
      </c>
      <c r="H12" s="129">
        <f>IF(B$15=0,0,G12/B$15)</f>
        <v>9.375E-2</v>
      </c>
      <c r="I12" s="90">
        <v>7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56</v>
      </c>
      <c r="C13" s="35">
        <f>IF(B$11=0,0,B13/B$11)</f>
        <v>0.53846153846153844</v>
      </c>
      <c r="E13" s="59" t="s">
        <v>83</v>
      </c>
      <c r="F13" s="56" t="s">
        <v>38</v>
      </c>
      <c r="G13" s="44">
        <v>8</v>
      </c>
      <c r="H13" s="129">
        <f>IF(B$15=0,0,G13/B$15)</f>
        <v>6.25E-2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48</v>
      </c>
      <c r="C14" s="35">
        <f>IF(B$12=0,0,B14/B$12)</f>
        <v>0.4247787610619469</v>
      </c>
      <c r="E14" s="59" t="s">
        <v>86</v>
      </c>
      <c r="F14" s="56" t="s">
        <v>41</v>
      </c>
      <c r="G14" s="44">
        <v>8</v>
      </c>
      <c r="H14" s="129">
        <f>IF(B$15=0,0,G14/B$15)</f>
        <v>6.25E-2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128</v>
      </c>
      <c r="C15" s="35">
        <f>IF(B$3=0,0,B15/B$3)</f>
        <v>0.26283367556468173</v>
      </c>
      <c r="E15" s="59" t="s">
        <v>81</v>
      </c>
      <c r="F15" s="56" t="s">
        <v>36</v>
      </c>
      <c r="G15" s="44">
        <v>5</v>
      </c>
      <c r="H15" s="129">
        <f>IF(B$15=0,0,G15/B$15)</f>
        <v>3.90625E-2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11.526666666666662</v>
      </c>
      <c r="P15" s="114">
        <v>15</v>
      </c>
      <c r="Q15" s="102">
        <v>172.89999999999992</v>
      </c>
    </row>
    <row r="16" spans="1:17" x14ac:dyDescent="0.45">
      <c r="A16" s="51" t="s">
        <v>13</v>
      </c>
      <c r="B16" s="44">
        <v>89</v>
      </c>
      <c r="C16" s="37">
        <f>IF(B$3=0,0,B16/B$3)</f>
        <v>0.18275154004106775</v>
      </c>
      <c r="E16" s="59" t="s">
        <v>91</v>
      </c>
      <c r="F16" s="56" t="s">
        <v>46</v>
      </c>
      <c r="G16" s="44">
        <v>2</v>
      </c>
      <c r="H16" s="129">
        <f>IF(B$15=0,0,G16/B$15)</f>
        <v>1.5625E-2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58</v>
      </c>
      <c r="C17" s="37">
        <f>IF(B$15=0,0,B17/B$15)</f>
        <v>0.453125</v>
      </c>
      <c r="E17" s="59" t="s">
        <v>74</v>
      </c>
      <c r="F17" s="56" t="s">
        <v>29</v>
      </c>
      <c r="G17" s="44">
        <v>1</v>
      </c>
      <c r="H17" s="129">
        <f>IF(B$15=0,0,G17/B$15)</f>
        <v>7.8125E-3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-10.864000000000001</v>
      </c>
      <c r="P17" s="115">
        <v>25</v>
      </c>
      <c r="Q17" s="103">
        <v>-271.60000000000002</v>
      </c>
    </row>
    <row r="18" spans="1:17" x14ac:dyDescent="0.45">
      <c r="A18" s="51" t="s">
        <v>11</v>
      </c>
      <c r="B18" s="44">
        <v>70</v>
      </c>
      <c r="C18" s="37">
        <f>IF(B$15=0,0,B18/B$15)</f>
        <v>0.546875</v>
      </c>
      <c r="E18" s="59" t="s">
        <v>78</v>
      </c>
      <c r="F18" s="56" t="s">
        <v>33</v>
      </c>
      <c r="G18" s="44">
        <v>1</v>
      </c>
      <c r="H18" s="129">
        <f>IF(B$15=0,0,G18/B$15)</f>
        <v>7.8125E-3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56</v>
      </c>
      <c r="C19" s="37">
        <f>IF(B$15=0,0,B19/B$15)</f>
        <v>0.4375</v>
      </c>
      <c r="E19" s="59" t="s">
        <v>92</v>
      </c>
      <c r="F19" s="56" t="s">
        <v>47</v>
      </c>
      <c r="G19" s="44">
        <v>1</v>
      </c>
      <c r="H19" s="129">
        <f>IF(B$15=0,0,G19/B$15)</f>
        <v>7.8125E-3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48</v>
      </c>
      <c r="C20" s="37">
        <f>IF(B$15=0,0,B20/B$15)</f>
        <v>0.375</v>
      </c>
      <c r="E20" s="59" t="s">
        <v>95</v>
      </c>
      <c r="F20" s="56" t="s">
        <v>50</v>
      </c>
      <c r="G20" s="44">
        <v>1</v>
      </c>
      <c r="H20" s="129">
        <f>IF(B$15=0,0,G20/B$15)</f>
        <v>7.8125E-3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24</v>
      </c>
      <c r="C21" s="37">
        <f>IF(B$15=0,0,B21/B$15)</f>
        <v>0.1875</v>
      </c>
      <c r="E21" s="59" t="s">
        <v>162</v>
      </c>
      <c r="F21" s="56" t="s">
        <v>163</v>
      </c>
      <c r="G21" s="44">
        <v>1</v>
      </c>
      <c r="H21" s="129">
        <f>IF(B$15=0,0,G21/B$15)</f>
        <v>7.8125E-3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7987.5</v>
      </c>
      <c r="C22" s="39">
        <v>1022400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8442.5</v>
      </c>
      <c r="C23" s="137">
        <v>675400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7229.166666666667</v>
      </c>
      <c r="C24" s="137">
        <v>347000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-8258.4269662921342</v>
      </c>
      <c r="C25" s="137">
        <v>-735000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6.1601642710472282E-3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9.375E-2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25</v>
      </c>
      <c r="C33" s="37">
        <f t="shared" ref="C33:C44" si="3">IF(B$15=0,0,B33/B$15)</f>
        <v>0.1953125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0.2109375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18</v>
      </c>
      <c r="C35" s="37">
        <f t="shared" si="3"/>
        <v>0.140625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18</v>
      </c>
      <c r="C36" s="37">
        <f t="shared" si="3"/>
        <v>0.140625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8.59375E-2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9</v>
      </c>
      <c r="C38" s="37">
        <f t="shared" si="3"/>
        <v>7.03125E-2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3.90625E-2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7.8125E-3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1.5625E-2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</sheetData>
  <sortState xmlns:xlrd2="http://schemas.microsoft.com/office/spreadsheetml/2017/richdata2" ref="E2:I6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2A8A-D1EA-40D1-93F0-45F51FCA97B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4644E-546A-467E-B351-9A5F1982A84A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AE79-C9C1-4D7F-81E4-FA0ACF21602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F6F9-9176-4A0B-9C37-B44708655C10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B558C-F29D-4B81-AD84-8320E1DE089B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8BE4F-8688-4B5E-B6F4-C728D5575C5D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F0F5-ABCD-4491-BFE6-FA0AC94AC333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3874B-69A4-4136-8D0C-A3A278D0C55F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A7E39-A4F7-4AC5-88D1-4F9BDA057695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C86A-12CA-4FEF-9B88-4A8B5431690C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9D213-C087-48A7-A889-08E268BFBE2C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5E434-7161-4FB7-A879-72565ED7A2E3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A320-6766-4C89-A279-03F82D199659}">
  <sheetPr codeName="Sheet20"/>
  <dimension ref="A1:Q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2168-54B2-4E12-BADF-FE05B57DF42D}">
  <sheetPr codeName="Sheet18"/>
  <dimension ref="A1:Q13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863E-991F-48B9-852E-595E113ACF3E}">
  <sheetPr codeName="Sheet16"/>
  <dimension ref="A1:Q11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0CC3-FD8B-4C15-B65B-85B4A980437A}">
  <sheetPr codeName="Sheet14"/>
  <dimension ref="A1:Q9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3AA7-FB39-4144-B109-1B9FB849F24C}">
  <sheetPr codeName="Sheet12"/>
  <dimension ref="A1:Q14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F1A7-6EBA-4DE2-A6F1-1818D7199BD9}">
  <sheetPr codeName="Sheet10"/>
  <dimension ref="A1:Q16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9D68-F0CE-435E-B4BA-B07C6FD8E624}">
  <sheetPr codeName="Sheet8"/>
  <dimension ref="A1:Q7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6675-D5A0-40FB-A79B-0896A8E10BA9}">
  <sheetPr codeName="Sheet6"/>
  <dimension ref="A1:Q2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2020-01-05T15:29:50Z</dcterms:modified>
</cp:coreProperties>
</file>