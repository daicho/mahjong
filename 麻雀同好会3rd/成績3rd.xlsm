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92F7FF5-EF8F-4D6A-988A-398644D1905F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15" r:id="rId6"/>
    <sheet name="たかの" sheetId="6017" r:id="rId7"/>
    <sheet name="だいち" sheetId="6019" r:id="rId8"/>
    <sheet name="ただ" sheetId="6021" r:id="rId9"/>
    <sheet name="りくと" sheetId="6023" r:id="rId10"/>
    <sheet name="れんたろう" sheetId="6025" r:id="rId11"/>
    <sheet name="まっつん" sheetId="6027" r:id="rId12"/>
    <sheet name="のり" sheetId="6029" r:id="rId13"/>
    <sheet name="ぱぱ" sheetId="6031" r:id="rId14"/>
    <sheet name="ほたに" sheetId="6033" r:id="rId15"/>
    <sheet name="いっしー" sheetId="6035" r:id="rId16"/>
    <sheet name="いっしー2" sheetId="6036" state="hidden" r:id="rId17"/>
    <sheet name="ほたに2" sheetId="6034" state="hidden" r:id="rId18"/>
    <sheet name="ぱぱ2" sheetId="6032" state="hidden" r:id="rId19"/>
    <sheet name="のり2" sheetId="6030" state="hidden" r:id="rId20"/>
    <sheet name="まっつん2" sheetId="6028" state="hidden" r:id="rId21"/>
    <sheet name="れんたろう2" sheetId="6026" state="hidden" r:id="rId22"/>
    <sheet name="りくと2" sheetId="6024" state="hidden" r:id="rId23"/>
    <sheet name="ただ2" sheetId="6022" state="hidden" r:id="rId24"/>
    <sheet name="だいち2" sheetId="6020" state="hidden" r:id="rId25"/>
    <sheet name="たかの2" sheetId="6018" state="hidden" r:id="rId26"/>
    <sheet name="全体2" sheetId="601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27" l="1"/>
  <c r="O17" i="6035"/>
  <c r="O22" i="6019"/>
  <c r="O16" i="6035"/>
  <c r="O15" i="6035"/>
  <c r="C30" i="6035"/>
  <c r="B25" i="6035"/>
  <c r="C16" i="6035"/>
  <c r="B15" i="6035"/>
  <c r="H50" i="6035" s="1"/>
  <c r="B14" i="6035"/>
  <c r="B24" i="6035" s="1"/>
  <c r="B13" i="6035"/>
  <c r="C13" i="6035" s="1"/>
  <c r="O12" i="6035"/>
  <c r="C12" i="6035"/>
  <c r="O11" i="6035"/>
  <c r="C11" i="6035"/>
  <c r="O10" i="6035"/>
  <c r="C10" i="6035"/>
  <c r="C9" i="6035"/>
  <c r="C8" i="6035"/>
  <c r="O7" i="6035"/>
  <c r="C7" i="6035"/>
  <c r="O6" i="6035"/>
  <c r="B6" i="6035"/>
  <c r="O5" i="6035"/>
  <c r="B5" i="6035"/>
  <c r="O4" i="6035"/>
  <c r="O3" i="6035"/>
  <c r="O2" i="6035"/>
  <c r="O17" i="6029"/>
  <c r="O24" i="6015"/>
  <c r="H34" i="6035" l="1"/>
  <c r="H6" i="6035"/>
  <c r="C19" i="6035"/>
  <c r="H9" i="6035"/>
  <c r="H27" i="6035"/>
  <c r="H17" i="6035"/>
  <c r="H39" i="6035"/>
  <c r="C14" i="6035"/>
  <c r="C44" i="6035"/>
  <c r="H22" i="6035"/>
  <c r="C15" i="6035"/>
  <c r="H47" i="6035"/>
  <c r="H28" i="6035"/>
  <c r="H40" i="6035"/>
  <c r="H15" i="6035"/>
  <c r="H35" i="6035"/>
  <c r="H18" i="6035"/>
  <c r="H36" i="6035"/>
  <c r="H41" i="6035"/>
  <c r="H48" i="6035"/>
  <c r="H12" i="6035"/>
  <c r="H49" i="6035"/>
  <c r="C40" i="6035"/>
  <c r="H3" i="6035"/>
  <c r="H2" i="6035"/>
  <c r="H8" i="6035"/>
  <c r="H42" i="6035"/>
  <c r="H13" i="6035"/>
  <c r="H32" i="6035"/>
  <c r="H51" i="6035"/>
  <c r="C34" i="6035"/>
  <c r="H7" i="6035"/>
  <c r="C20" i="6035"/>
  <c r="C21" i="6035"/>
  <c r="C17" i="6035"/>
  <c r="B22" i="6035"/>
  <c r="H37" i="6035"/>
  <c r="C42" i="6035"/>
  <c r="H25" i="6035"/>
  <c r="H38" i="6035"/>
  <c r="H43" i="6035"/>
  <c r="H11" i="6035"/>
  <c r="H45" i="6035"/>
  <c r="H10" i="6035"/>
  <c r="H29" i="6035"/>
  <c r="H30" i="6035"/>
  <c r="C36" i="6035"/>
  <c r="H20" i="6035"/>
  <c r="C32" i="6035"/>
  <c r="H4" i="6035"/>
  <c r="H14" i="6035"/>
  <c r="C18" i="6035"/>
  <c r="H33" i="6035"/>
  <c r="C38" i="6035"/>
  <c r="H44" i="6035"/>
  <c r="H52" i="6035"/>
  <c r="H21" i="6035"/>
  <c r="H24" i="6035"/>
  <c r="H5" i="6035"/>
  <c r="C33" i="6035"/>
  <c r="C37" i="6035"/>
  <c r="C41" i="6035"/>
  <c r="H46" i="6035"/>
  <c r="B23" i="6035"/>
  <c r="H16" i="6035"/>
  <c r="H19" i="6035"/>
  <c r="H23" i="6035"/>
  <c r="H26" i="6035"/>
  <c r="H31" i="6035"/>
  <c r="C35" i="6035"/>
  <c r="C39" i="6035"/>
  <c r="C43" i="6035"/>
  <c r="O21" i="6017" l="1"/>
  <c r="O16" i="6025"/>
  <c r="O15" i="6025" l="1"/>
  <c r="O19" i="6033"/>
  <c r="O15" i="6023" l="1"/>
  <c r="O21" i="6029"/>
  <c r="O16" i="6033" l="1"/>
  <c r="O22" i="6023"/>
  <c r="O20" i="6017" l="1"/>
  <c r="O16" i="6019"/>
  <c r="O15" i="6029"/>
  <c r="O18" i="6029"/>
  <c r="O19" i="6027" l="1"/>
  <c r="O18" i="6031"/>
  <c r="O16" i="6021" l="1"/>
  <c r="O17" i="6027"/>
  <c r="O19" i="6029"/>
  <c r="O20" i="6029"/>
  <c r="O15" i="6017" l="1"/>
  <c r="O17" i="6031"/>
  <c r="O19" i="6031"/>
  <c r="O18" i="6023"/>
  <c r="O20" i="6021" l="1"/>
  <c r="O21" i="6025"/>
  <c r="O19" i="6025" l="1"/>
  <c r="O21" i="6019"/>
  <c r="O23" i="6029"/>
  <c r="O17" i="6033"/>
  <c r="O15" i="6033"/>
  <c r="O21" i="6031"/>
  <c r="O15" i="6021" l="1"/>
  <c r="O21" i="6021"/>
  <c r="O18" i="6033"/>
  <c r="O20" i="6033"/>
  <c r="C44" i="6033"/>
  <c r="C30" i="6033"/>
  <c r="B25" i="6033"/>
  <c r="C16" i="6033"/>
  <c r="B15" i="6033"/>
  <c r="H50" i="6033" s="1"/>
  <c r="H19" i="6033"/>
  <c r="B14" i="6033"/>
  <c r="B24" i="6033" s="1"/>
  <c r="B13" i="6033"/>
  <c r="C13" i="6033" s="1"/>
  <c r="O12" i="6033"/>
  <c r="C12" i="6033"/>
  <c r="O11" i="6033"/>
  <c r="C11" i="6033"/>
  <c r="O10" i="6033"/>
  <c r="C10" i="6033"/>
  <c r="C9" i="6033"/>
  <c r="C8" i="6033"/>
  <c r="O7" i="6033"/>
  <c r="C7" i="6033"/>
  <c r="O6" i="6033"/>
  <c r="B6" i="6033"/>
  <c r="O5" i="6033"/>
  <c r="B5" i="6033"/>
  <c r="O4" i="6033"/>
  <c r="O3" i="6033"/>
  <c r="O2" i="6033"/>
  <c r="O21" i="6027"/>
  <c r="O15" i="6027"/>
  <c r="O15" i="6015"/>
  <c r="H3" i="6033" l="1"/>
  <c r="C14" i="6033"/>
  <c r="C19" i="6033"/>
  <c r="H27" i="6033"/>
  <c r="H11" i="6033"/>
  <c r="H23" i="6033"/>
  <c r="H34" i="6033"/>
  <c r="H45" i="6033"/>
  <c r="H8" i="6033"/>
  <c r="H17" i="6033"/>
  <c r="H29" i="6033"/>
  <c r="H47" i="6033"/>
  <c r="C21" i="6033"/>
  <c r="H48" i="6033"/>
  <c r="H41" i="6033"/>
  <c r="H28" i="6033"/>
  <c r="H7" i="6033"/>
  <c r="H12" i="6033"/>
  <c r="H30" i="6033"/>
  <c r="H37" i="6033"/>
  <c r="C34" i="6033"/>
  <c r="C20" i="6033"/>
  <c r="H5" i="6033"/>
  <c r="H14" i="6033"/>
  <c r="C36" i="6033"/>
  <c r="H42" i="6033"/>
  <c r="H49" i="6033"/>
  <c r="H10" i="6033"/>
  <c r="C17" i="6033"/>
  <c r="B22" i="6033"/>
  <c r="H32" i="6033"/>
  <c r="C42" i="6033"/>
  <c r="H51" i="6033"/>
  <c r="H13" i="6033"/>
  <c r="H26" i="6033"/>
  <c r="C32" i="6033"/>
  <c r="H38" i="6033"/>
  <c r="H43" i="6033"/>
  <c r="H6" i="6033"/>
  <c r="H39" i="6033"/>
  <c r="H40" i="6033"/>
  <c r="C15" i="6033"/>
  <c r="H35" i="6033"/>
  <c r="C40" i="6033"/>
  <c r="H20" i="6033"/>
  <c r="H36" i="6033"/>
  <c r="H2" i="6033"/>
  <c r="H4" i="6033"/>
  <c r="H16" i="6033"/>
  <c r="C18" i="6033"/>
  <c r="H33" i="6033"/>
  <c r="C38" i="6033"/>
  <c r="H44" i="6033"/>
  <c r="H52" i="6033"/>
  <c r="H22" i="6033"/>
  <c r="H25" i="6033"/>
  <c r="H9" i="6033"/>
  <c r="C33" i="6033"/>
  <c r="C37" i="6033"/>
  <c r="C41" i="6033"/>
  <c r="H46" i="6033"/>
  <c r="B23" i="6033"/>
  <c r="H18" i="6033"/>
  <c r="H21" i="6033"/>
  <c r="H24" i="6033"/>
  <c r="H15" i="6033"/>
  <c r="H31" i="6033"/>
  <c r="C35" i="6033"/>
  <c r="C39" i="6033"/>
  <c r="C43" i="6033"/>
  <c r="O18" i="6019" l="1"/>
  <c r="O20" i="6023"/>
  <c r="O17" i="6019" l="1"/>
  <c r="O20" i="6027"/>
  <c r="O23" i="6027"/>
  <c r="O16" i="6017"/>
  <c r="O17" i="6021"/>
  <c r="O16" i="6023"/>
  <c r="O21" i="6023"/>
  <c r="O19" i="6017"/>
  <c r="O18" i="6021"/>
  <c r="O15" i="6019"/>
  <c r="O20" i="6031"/>
  <c r="O22" i="6031"/>
  <c r="O22" i="6025" l="1"/>
  <c r="O17" i="6025"/>
  <c r="O15" i="6031"/>
  <c r="O16" i="6031"/>
  <c r="C30" i="6031"/>
  <c r="B25" i="6031"/>
  <c r="B24" i="6031"/>
  <c r="C16" i="6031"/>
  <c r="B15" i="6031"/>
  <c r="H20" i="6031" s="1"/>
  <c r="B14" i="6031"/>
  <c r="C14" i="6031" s="1"/>
  <c r="B13" i="6031"/>
  <c r="C13" i="6031" s="1"/>
  <c r="O12" i="6031"/>
  <c r="C12" i="6031"/>
  <c r="O11" i="6031"/>
  <c r="C11" i="6031"/>
  <c r="O10" i="6031"/>
  <c r="C10" i="6031"/>
  <c r="C9" i="6031"/>
  <c r="C8" i="6031"/>
  <c r="O7" i="6031"/>
  <c r="C7" i="6031"/>
  <c r="O6" i="6031"/>
  <c r="B6" i="6031"/>
  <c r="O5" i="6031"/>
  <c r="B5" i="6031"/>
  <c r="O4" i="6031"/>
  <c r="O3" i="6031"/>
  <c r="O2" i="6031"/>
  <c r="O16" i="6015"/>
  <c r="O16" i="6029"/>
  <c r="O22" i="6029"/>
  <c r="C30" i="6029"/>
  <c r="B25" i="6029"/>
  <c r="C16" i="6029"/>
  <c r="B15" i="6029"/>
  <c r="H52" i="6029" s="1"/>
  <c r="B14" i="6029"/>
  <c r="B24" i="6029" s="1"/>
  <c r="B13" i="6029"/>
  <c r="C13" i="6029" s="1"/>
  <c r="O12" i="6029"/>
  <c r="C12" i="6029"/>
  <c r="O11" i="6029"/>
  <c r="C11" i="6029"/>
  <c r="O10" i="6029"/>
  <c r="C10" i="6029"/>
  <c r="C9" i="6029"/>
  <c r="C8" i="6029"/>
  <c r="O7" i="6029"/>
  <c r="C7" i="6029"/>
  <c r="O6" i="6029"/>
  <c r="B6" i="6029"/>
  <c r="O5" i="6029"/>
  <c r="B5" i="6029"/>
  <c r="O4" i="6029"/>
  <c r="O3" i="6029"/>
  <c r="O2" i="6029"/>
  <c r="O20" i="6015"/>
  <c r="H11" i="6029" l="1"/>
  <c r="C14" i="6029"/>
  <c r="B22" i="6031"/>
  <c r="H9" i="6031"/>
  <c r="H15" i="6031"/>
  <c r="H2" i="6031"/>
  <c r="H34" i="6031"/>
  <c r="C36" i="6031"/>
  <c r="H52" i="6031"/>
  <c r="C40" i="6031"/>
  <c r="H29" i="6031"/>
  <c r="H22" i="6031"/>
  <c r="C15" i="6031"/>
  <c r="H42" i="6031"/>
  <c r="C44" i="6031"/>
  <c r="H3" i="6031"/>
  <c r="H11" i="6031"/>
  <c r="H25" i="6031"/>
  <c r="H46" i="6031"/>
  <c r="H23" i="6031"/>
  <c r="H38" i="6031"/>
  <c r="H10" i="6031"/>
  <c r="H19" i="6031"/>
  <c r="H4" i="6031"/>
  <c r="C18" i="6031"/>
  <c r="C32" i="6031"/>
  <c r="H5" i="6031"/>
  <c r="H26" i="6031"/>
  <c r="H28" i="6031"/>
  <c r="H12" i="6031"/>
  <c r="C33" i="6031"/>
  <c r="C37" i="6031"/>
  <c r="C41" i="6031"/>
  <c r="H47" i="6031"/>
  <c r="C19" i="6031"/>
  <c r="B23" i="6031"/>
  <c r="H30" i="6031"/>
  <c r="H35" i="6031"/>
  <c r="H39" i="6031"/>
  <c r="H43" i="6031"/>
  <c r="H48" i="6031"/>
  <c r="H17" i="6031"/>
  <c r="H18" i="6031"/>
  <c r="C34" i="6031"/>
  <c r="C38" i="6031"/>
  <c r="C42" i="6031"/>
  <c r="H49" i="6031"/>
  <c r="H8" i="6031"/>
  <c r="C20" i="6031"/>
  <c r="H36" i="6031"/>
  <c r="H40" i="6031"/>
  <c r="H44" i="6031"/>
  <c r="H50" i="6031"/>
  <c r="H6" i="6031"/>
  <c r="H24" i="6031"/>
  <c r="H31" i="6031"/>
  <c r="H16" i="6031"/>
  <c r="H13" i="6031"/>
  <c r="H27" i="6031"/>
  <c r="H14" i="6031"/>
  <c r="H32" i="6031"/>
  <c r="C35" i="6031"/>
  <c r="C39" i="6031"/>
  <c r="C43" i="6031"/>
  <c r="H51" i="6031"/>
  <c r="H7" i="6031"/>
  <c r="H21" i="6031"/>
  <c r="C17" i="6031"/>
  <c r="C21" i="6031"/>
  <c r="H33" i="6031"/>
  <c r="H37" i="6031"/>
  <c r="H41" i="6031"/>
  <c r="H45" i="6031"/>
  <c r="H6" i="6029"/>
  <c r="H9" i="6029"/>
  <c r="C15" i="6029"/>
  <c r="C37" i="6029"/>
  <c r="B23" i="6029"/>
  <c r="H31" i="6029"/>
  <c r="H19" i="6029"/>
  <c r="H38" i="6029"/>
  <c r="H47" i="6029"/>
  <c r="H2" i="6029"/>
  <c r="H3" i="6029"/>
  <c r="H23" i="6029"/>
  <c r="H15" i="6029"/>
  <c r="H28" i="6029"/>
  <c r="H18" i="6029"/>
  <c r="C34" i="6029"/>
  <c r="C38" i="6029"/>
  <c r="C42" i="6029"/>
  <c r="H48" i="6029"/>
  <c r="C33" i="6029"/>
  <c r="C19" i="6029"/>
  <c r="H42" i="6029"/>
  <c r="H13" i="6029"/>
  <c r="C20" i="6029"/>
  <c r="H35" i="6029"/>
  <c r="H39" i="6029"/>
  <c r="H43" i="6029"/>
  <c r="H49" i="6029"/>
  <c r="H27" i="6029"/>
  <c r="H17" i="6029"/>
  <c r="H26" i="6029"/>
  <c r="H12" i="6029"/>
  <c r="H32" i="6029"/>
  <c r="C35" i="6029"/>
  <c r="C39" i="6029"/>
  <c r="C43" i="6029"/>
  <c r="H50" i="6029"/>
  <c r="H25" i="6029"/>
  <c r="C17" i="6029"/>
  <c r="C21" i="6029"/>
  <c r="H33" i="6029"/>
  <c r="H36" i="6029"/>
  <c r="H40" i="6029"/>
  <c r="H44" i="6029"/>
  <c r="H51" i="6029"/>
  <c r="H16" i="6029"/>
  <c r="C41" i="6029"/>
  <c r="H20" i="6029"/>
  <c r="H4" i="6029"/>
  <c r="H10" i="6029"/>
  <c r="H24" i="6029"/>
  <c r="H14" i="6029"/>
  <c r="H29" i="6029"/>
  <c r="C32" i="6029"/>
  <c r="C36" i="6029"/>
  <c r="C40" i="6029"/>
  <c r="C44" i="6029"/>
  <c r="H5" i="6029"/>
  <c r="H8" i="6029"/>
  <c r="H46" i="6029"/>
  <c r="H21" i="6029"/>
  <c r="H7" i="6029"/>
  <c r="H22" i="6029"/>
  <c r="C18" i="6029"/>
  <c r="B22" i="6029"/>
  <c r="H30" i="6029"/>
  <c r="H34" i="6029"/>
  <c r="H37" i="6029"/>
  <c r="H41" i="6029"/>
  <c r="H45" i="6029"/>
  <c r="O22" i="6027" l="1"/>
  <c r="O18" i="6027"/>
  <c r="C30" i="6027"/>
  <c r="B25" i="6027"/>
  <c r="C16" i="6027"/>
  <c r="B15" i="6027"/>
  <c r="H52" i="6027" s="1"/>
  <c r="B14" i="6027"/>
  <c r="B24" i="6027" s="1"/>
  <c r="B13" i="6027"/>
  <c r="C13" i="6027" s="1"/>
  <c r="O12" i="6027"/>
  <c r="C12" i="6027"/>
  <c r="O11" i="6027"/>
  <c r="C11" i="6027"/>
  <c r="O10" i="6027"/>
  <c r="C10" i="6027"/>
  <c r="C9" i="6027"/>
  <c r="C8" i="6027"/>
  <c r="O7" i="6027"/>
  <c r="C7" i="6027"/>
  <c r="O6" i="6027"/>
  <c r="B6" i="6027"/>
  <c r="O5" i="6027"/>
  <c r="B5" i="6027"/>
  <c r="O4" i="6027"/>
  <c r="O3" i="6027"/>
  <c r="O2" i="6027"/>
  <c r="O20" i="6025"/>
  <c r="O18" i="6025"/>
  <c r="C30" i="6025"/>
  <c r="B25" i="6025"/>
  <c r="C16" i="6025"/>
  <c r="B15" i="6025"/>
  <c r="H52" i="6025" s="1"/>
  <c r="B14" i="6025"/>
  <c r="B24" i="6025" s="1"/>
  <c r="B13" i="6025"/>
  <c r="C13" i="6025" s="1"/>
  <c r="O12" i="6025"/>
  <c r="C12" i="6025"/>
  <c r="O11" i="6025"/>
  <c r="C11" i="6025"/>
  <c r="O10" i="6025"/>
  <c r="C10" i="6025"/>
  <c r="C9" i="6025"/>
  <c r="C8" i="6025"/>
  <c r="O7" i="6025"/>
  <c r="C7" i="6025"/>
  <c r="O6" i="6025"/>
  <c r="B6" i="6025"/>
  <c r="O5" i="6025"/>
  <c r="B5" i="6025"/>
  <c r="O4" i="6025"/>
  <c r="O3" i="6025"/>
  <c r="O2" i="6025"/>
  <c r="O17" i="6015"/>
  <c r="O19" i="6023"/>
  <c r="O17" i="6023"/>
  <c r="C30" i="6023"/>
  <c r="B25" i="6023"/>
  <c r="C16" i="6023"/>
  <c r="B15" i="6023"/>
  <c r="H5" i="6023" s="1"/>
  <c r="B14" i="6023"/>
  <c r="B24" i="6023" s="1"/>
  <c r="B13" i="6023"/>
  <c r="C13" i="6023" s="1"/>
  <c r="O12" i="6023"/>
  <c r="C12" i="6023"/>
  <c r="O11" i="6023"/>
  <c r="C11" i="6023"/>
  <c r="O10" i="6023"/>
  <c r="C10" i="6023"/>
  <c r="C9" i="6023"/>
  <c r="C8" i="6023"/>
  <c r="O7" i="6023"/>
  <c r="C7" i="6023"/>
  <c r="O6" i="6023"/>
  <c r="B6" i="6023"/>
  <c r="O5" i="6023"/>
  <c r="B5" i="6023"/>
  <c r="O4" i="6023"/>
  <c r="O3" i="6023"/>
  <c r="O2" i="6023"/>
  <c r="O19" i="6015"/>
  <c r="O22" i="6015"/>
  <c r="C14" i="6025" l="1"/>
  <c r="H3" i="6025"/>
  <c r="C14" i="6023"/>
  <c r="H23" i="6023"/>
  <c r="H3" i="6023"/>
  <c r="H9" i="6023"/>
  <c r="H36" i="6023"/>
  <c r="C21" i="6023"/>
  <c r="H43" i="6023"/>
  <c r="C14" i="6027"/>
  <c r="H10" i="6027"/>
  <c r="C15" i="6027"/>
  <c r="H21" i="6027"/>
  <c r="C37" i="6027"/>
  <c r="H33" i="6027"/>
  <c r="H43" i="6027"/>
  <c r="H2" i="6027"/>
  <c r="H19" i="6027"/>
  <c r="H23" i="6027"/>
  <c r="C34" i="6027"/>
  <c r="C38" i="6027"/>
  <c r="H49" i="6027"/>
  <c r="H8" i="6027"/>
  <c r="C20" i="6027"/>
  <c r="H37" i="6027"/>
  <c r="H41" i="6027"/>
  <c r="H44" i="6027"/>
  <c r="H50" i="6027"/>
  <c r="H47" i="6027"/>
  <c r="H48" i="6027"/>
  <c r="H3" i="6027"/>
  <c r="H29" i="6027"/>
  <c r="H20" i="6027"/>
  <c r="C42" i="6027"/>
  <c r="H22" i="6027"/>
  <c r="H18" i="6027"/>
  <c r="H31" i="6027"/>
  <c r="H13" i="6027"/>
  <c r="H34" i="6027"/>
  <c r="C35" i="6027"/>
  <c r="C39" i="6027"/>
  <c r="C43" i="6027"/>
  <c r="H51" i="6027"/>
  <c r="H7" i="6027"/>
  <c r="H30" i="6027"/>
  <c r="H9" i="6027"/>
  <c r="C41" i="6027"/>
  <c r="B23" i="6027"/>
  <c r="H36" i="6027"/>
  <c r="H6" i="6027"/>
  <c r="C21" i="6027"/>
  <c r="H38" i="6027"/>
  <c r="H27" i="6027"/>
  <c r="H16" i="6027"/>
  <c r="H4" i="6027"/>
  <c r="H11" i="6027"/>
  <c r="H15" i="6027"/>
  <c r="H14" i="6027"/>
  <c r="H24" i="6027"/>
  <c r="C32" i="6027"/>
  <c r="C36" i="6027"/>
  <c r="C40" i="6027"/>
  <c r="C44" i="6027"/>
  <c r="H5" i="6027"/>
  <c r="H12" i="6027"/>
  <c r="H32" i="6027"/>
  <c r="C33" i="6027"/>
  <c r="C19" i="6027"/>
  <c r="H40" i="6027"/>
  <c r="H17" i="6027"/>
  <c r="C17" i="6027"/>
  <c r="H26" i="6027"/>
  <c r="H45" i="6027"/>
  <c r="H28" i="6027"/>
  <c r="C18" i="6027"/>
  <c r="B22" i="6027"/>
  <c r="H25" i="6027"/>
  <c r="H35" i="6027"/>
  <c r="H39" i="6027"/>
  <c r="H42" i="6027"/>
  <c r="H46" i="6027"/>
  <c r="H10" i="6025"/>
  <c r="H2" i="6025"/>
  <c r="C15" i="6025"/>
  <c r="H22" i="6025"/>
  <c r="H11" i="6025"/>
  <c r="H4" i="6025"/>
  <c r="H13" i="6025"/>
  <c r="H14" i="6025"/>
  <c r="H7" i="6025"/>
  <c r="H30" i="6025"/>
  <c r="H32" i="6025"/>
  <c r="H8" i="6025"/>
  <c r="C33" i="6025"/>
  <c r="C37" i="6025"/>
  <c r="C41" i="6025"/>
  <c r="H47" i="6025"/>
  <c r="H27" i="6025"/>
  <c r="C19" i="6025"/>
  <c r="B23" i="6025"/>
  <c r="H24" i="6025"/>
  <c r="H36" i="6025"/>
  <c r="H39" i="6025"/>
  <c r="H43" i="6025"/>
  <c r="H48" i="6025"/>
  <c r="H16" i="6025"/>
  <c r="C34" i="6025"/>
  <c r="H49" i="6025"/>
  <c r="H9" i="6025"/>
  <c r="C20" i="6025"/>
  <c r="H37" i="6025"/>
  <c r="H40" i="6025"/>
  <c r="H44" i="6025"/>
  <c r="H50" i="6025"/>
  <c r="H29" i="6025"/>
  <c r="H18" i="6025"/>
  <c r="C42" i="6025"/>
  <c r="H20" i="6025"/>
  <c r="H21" i="6025"/>
  <c r="H31" i="6025"/>
  <c r="H15" i="6025"/>
  <c r="H17" i="6025"/>
  <c r="C35" i="6025"/>
  <c r="C39" i="6025"/>
  <c r="C43" i="6025"/>
  <c r="H51" i="6025"/>
  <c r="H23" i="6025"/>
  <c r="C38" i="6025"/>
  <c r="H5" i="6025"/>
  <c r="H19" i="6025"/>
  <c r="C17" i="6025"/>
  <c r="C21" i="6025"/>
  <c r="H25" i="6025"/>
  <c r="H26" i="6025"/>
  <c r="H41" i="6025"/>
  <c r="H45" i="6025"/>
  <c r="H12" i="6025"/>
  <c r="H33" i="6025"/>
  <c r="C32" i="6025"/>
  <c r="C36" i="6025"/>
  <c r="C40" i="6025"/>
  <c r="C44" i="6025"/>
  <c r="H6" i="6025"/>
  <c r="H28" i="6025"/>
  <c r="C18" i="6025"/>
  <c r="B22" i="6025"/>
  <c r="H34" i="6025"/>
  <c r="H35" i="6025"/>
  <c r="H38" i="6025"/>
  <c r="H42" i="6025"/>
  <c r="H46" i="6025"/>
  <c r="H30" i="6023"/>
  <c r="B22" i="6023"/>
  <c r="C17" i="6023"/>
  <c r="H10" i="6023"/>
  <c r="H13" i="6023"/>
  <c r="H22" i="6023"/>
  <c r="H45" i="6023"/>
  <c r="H38" i="6023"/>
  <c r="H2" i="6023"/>
  <c r="H4" i="6023"/>
  <c r="H39" i="6023"/>
  <c r="C18" i="6023"/>
  <c r="H40" i="6023"/>
  <c r="H50" i="6023"/>
  <c r="H35" i="6023"/>
  <c r="H6" i="6023"/>
  <c r="H31" i="6023"/>
  <c r="H48" i="6023"/>
  <c r="H8" i="6023"/>
  <c r="H33" i="6023"/>
  <c r="H41" i="6023"/>
  <c r="H17" i="6023"/>
  <c r="H44" i="6023"/>
  <c r="C15" i="6023"/>
  <c r="H37" i="6023"/>
  <c r="H46" i="6023"/>
  <c r="C19" i="6023"/>
  <c r="H7" i="6023"/>
  <c r="H21" i="6023"/>
  <c r="C20" i="6023"/>
  <c r="H34" i="6023"/>
  <c r="H42" i="6023"/>
  <c r="H52" i="6023"/>
  <c r="H25" i="6023"/>
  <c r="H27" i="6023"/>
  <c r="H11" i="6023"/>
  <c r="C33" i="6023"/>
  <c r="C37" i="6023"/>
  <c r="C41" i="6023"/>
  <c r="H47" i="6023"/>
  <c r="B23" i="6023"/>
  <c r="H24" i="6023"/>
  <c r="H16" i="6023"/>
  <c r="H28" i="6023"/>
  <c r="H20" i="6023"/>
  <c r="C34" i="6023"/>
  <c r="C38" i="6023"/>
  <c r="C42" i="6023"/>
  <c r="H49" i="6023"/>
  <c r="H18" i="6023"/>
  <c r="H14" i="6023"/>
  <c r="H26" i="6023"/>
  <c r="H15" i="6023"/>
  <c r="H32" i="6023"/>
  <c r="C35" i="6023"/>
  <c r="C39" i="6023"/>
  <c r="C43" i="6023"/>
  <c r="H51" i="6023"/>
  <c r="H19" i="6023"/>
  <c r="H12" i="6023"/>
  <c r="H29" i="6023"/>
  <c r="C32" i="6023"/>
  <c r="C36" i="6023"/>
  <c r="C40" i="6023"/>
  <c r="C44" i="6023"/>
  <c r="O22" i="6021" l="1"/>
  <c r="O19" i="6021"/>
  <c r="C30" i="6021"/>
  <c r="B25" i="6021"/>
  <c r="C16" i="6021"/>
  <c r="B15" i="6021"/>
  <c r="H20" i="6021" s="1"/>
  <c r="B14" i="6021"/>
  <c r="C1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20" i="6019"/>
  <c r="O19" i="6019"/>
  <c r="C30" i="6019"/>
  <c r="B25" i="6019"/>
  <c r="C16" i="6019"/>
  <c r="B15" i="6019"/>
  <c r="H5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O2" i="6019"/>
  <c r="O18" i="6015"/>
  <c r="O18" i="6017"/>
  <c r="O17" i="6017"/>
  <c r="C30" i="6017"/>
  <c r="B25" i="6017"/>
  <c r="C16" i="6017"/>
  <c r="B15" i="6017"/>
  <c r="H4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C7" i="6017"/>
  <c r="O6" i="6017"/>
  <c r="B6" i="6017"/>
  <c r="O5" i="6017"/>
  <c r="B5" i="6017"/>
  <c r="O4" i="6017"/>
  <c r="O3" i="6017"/>
  <c r="O2" i="6017"/>
  <c r="O21" i="6015"/>
  <c r="O23" i="6015"/>
  <c r="C30" i="6015"/>
  <c r="B25" i="6015"/>
  <c r="C16" i="6015"/>
  <c r="B15" i="6015"/>
  <c r="H51" i="6015" s="1"/>
  <c r="B14" i="6015"/>
  <c r="B24" i="6015" s="1"/>
  <c r="B13" i="6015"/>
  <c r="C13" i="6015" s="1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O3" i="6015"/>
  <c r="O2" i="6015"/>
  <c r="H17" i="6021" l="1"/>
  <c r="H14" i="6021"/>
  <c r="H2" i="6021"/>
  <c r="H16" i="6021"/>
  <c r="B24" i="6021"/>
  <c r="C14" i="6019"/>
  <c r="H23" i="6017"/>
  <c r="H5" i="6017"/>
  <c r="H34" i="6017"/>
  <c r="C14" i="6017"/>
  <c r="H24" i="6017"/>
  <c r="H27" i="6021"/>
  <c r="C40" i="6021"/>
  <c r="H42" i="6021"/>
  <c r="C44" i="6021"/>
  <c r="B22" i="6021"/>
  <c r="H5" i="6021"/>
  <c r="H46" i="6021"/>
  <c r="H49" i="6021"/>
  <c r="C42" i="6021"/>
  <c r="H21" i="6021"/>
  <c r="H30" i="6021"/>
  <c r="H10" i="6021"/>
  <c r="H24" i="6021"/>
  <c r="C36" i="6021"/>
  <c r="H11" i="6021"/>
  <c r="H3" i="6021"/>
  <c r="H18" i="6021"/>
  <c r="H31" i="6021"/>
  <c r="H38" i="6021"/>
  <c r="H4" i="6021"/>
  <c r="H12" i="6021"/>
  <c r="C32" i="6021"/>
  <c r="C15" i="6021"/>
  <c r="H35" i="6021"/>
  <c r="C34" i="6021"/>
  <c r="H6" i="6021"/>
  <c r="C18" i="6021"/>
  <c r="H32" i="6021"/>
  <c r="C38" i="6021"/>
  <c r="H52" i="6021"/>
  <c r="H28" i="6021"/>
  <c r="H25" i="6021"/>
  <c r="H8" i="6021"/>
  <c r="C33" i="6021"/>
  <c r="C37" i="6021"/>
  <c r="C41" i="6021"/>
  <c r="H47" i="6021"/>
  <c r="C19" i="6021"/>
  <c r="B23" i="6021"/>
  <c r="H33" i="6021"/>
  <c r="H26" i="6021"/>
  <c r="H39" i="6021"/>
  <c r="H43" i="6021"/>
  <c r="H48" i="6021"/>
  <c r="H9" i="6021"/>
  <c r="C20" i="6021"/>
  <c r="H44" i="6021"/>
  <c r="H22" i="6021"/>
  <c r="H15" i="6021"/>
  <c r="H29" i="6021"/>
  <c r="H13" i="6021"/>
  <c r="H19" i="6021"/>
  <c r="C35" i="6021"/>
  <c r="C39" i="6021"/>
  <c r="C43" i="6021"/>
  <c r="H51" i="6021"/>
  <c r="H36" i="6021"/>
  <c r="H40" i="6021"/>
  <c r="H50" i="6021"/>
  <c r="H7" i="6021"/>
  <c r="H23" i="6021"/>
  <c r="C17" i="6021"/>
  <c r="C21" i="6021"/>
  <c r="H34" i="6021"/>
  <c r="H37" i="6021"/>
  <c r="H41" i="6021"/>
  <c r="H45" i="6021"/>
  <c r="C14" i="6015"/>
  <c r="H6" i="6019"/>
  <c r="H10" i="6019"/>
  <c r="B22" i="6019"/>
  <c r="H52" i="6019"/>
  <c r="H24" i="6019"/>
  <c r="H9" i="6019"/>
  <c r="H31" i="6019"/>
  <c r="C15" i="6019"/>
  <c r="H39" i="6019"/>
  <c r="H36" i="6019"/>
  <c r="H7" i="6019"/>
  <c r="H26" i="6019"/>
  <c r="H43" i="6019"/>
  <c r="H12" i="6019"/>
  <c r="C18" i="6019"/>
  <c r="H29" i="6019"/>
  <c r="H32" i="6019"/>
  <c r="H19" i="6019"/>
  <c r="H8" i="6019"/>
  <c r="C33" i="6019"/>
  <c r="C37" i="6019"/>
  <c r="C41" i="6019"/>
  <c r="H47" i="6019"/>
  <c r="C19" i="6019"/>
  <c r="B23" i="6019"/>
  <c r="H27" i="6019"/>
  <c r="H28" i="6019"/>
  <c r="H40" i="6019"/>
  <c r="H44" i="6019"/>
  <c r="H48" i="6019"/>
  <c r="H2" i="6019"/>
  <c r="H3" i="6019"/>
  <c r="H18" i="6019"/>
  <c r="H22" i="6019"/>
  <c r="H23" i="6019"/>
  <c r="H25" i="6019"/>
  <c r="C34" i="6019"/>
  <c r="C38" i="6019"/>
  <c r="C42" i="6019"/>
  <c r="H49" i="6019"/>
  <c r="C20" i="6019"/>
  <c r="H37" i="6019"/>
  <c r="H41" i="6019"/>
  <c r="H45" i="6019"/>
  <c r="H50" i="6019"/>
  <c r="H17" i="6019"/>
  <c r="H15" i="6019"/>
  <c r="H33" i="6019"/>
  <c r="H11" i="6019"/>
  <c r="H20" i="6019"/>
  <c r="C35" i="6019"/>
  <c r="C39" i="6019"/>
  <c r="C43" i="6019"/>
  <c r="H51" i="6019"/>
  <c r="H30" i="6019"/>
  <c r="C17" i="6019"/>
  <c r="C21" i="6019"/>
  <c r="H35" i="6019"/>
  <c r="H38" i="6019"/>
  <c r="H42" i="6019"/>
  <c r="H46" i="6019"/>
  <c r="H16" i="6019"/>
  <c r="H4" i="6019"/>
  <c r="H13" i="6019"/>
  <c r="H21" i="6019"/>
  <c r="H14" i="6019"/>
  <c r="H34" i="6019"/>
  <c r="C32" i="6019"/>
  <c r="C36" i="6019"/>
  <c r="C40" i="6019"/>
  <c r="C44" i="6019"/>
  <c r="H8" i="6017"/>
  <c r="C21" i="6017"/>
  <c r="H33" i="6017"/>
  <c r="H42" i="6017"/>
  <c r="H41" i="6017"/>
  <c r="C20" i="6017"/>
  <c r="H52" i="6017"/>
  <c r="H35" i="6017"/>
  <c r="H44" i="6017"/>
  <c r="C15" i="6017"/>
  <c r="H47" i="6017"/>
  <c r="H36" i="6017"/>
  <c r="H12" i="6017"/>
  <c r="H6" i="6017"/>
  <c r="H10" i="6017"/>
  <c r="H17" i="6017"/>
  <c r="H45" i="6017"/>
  <c r="C17" i="6017"/>
  <c r="H31" i="6017"/>
  <c r="H38" i="6017"/>
  <c r="H2" i="6017"/>
  <c r="C18" i="6017"/>
  <c r="H39" i="6017"/>
  <c r="H49" i="6017"/>
  <c r="H9" i="6017"/>
  <c r="B22" i="6017"/>
  <c r="H43" i="6017"/>
  <c r="H18" i="6017"/>
  <c r="H37" i="6017"/>
  <c r="H7" i="6017"/>
  <c r="C19" i="6017"/>
  <c r="H22" i="6017"/>
  <c r="H40" i="6017"/>
  <c r="H51" i="6017"/>
  <c r="H26" i="6017"/>
  <c r="H28" i="6017"/>
  <c r="H13" i="6017"/>
  <c r="C33" i="6017"/>
  <c r="C37" i="6017"/>
  <c r="C41" i="6017"/>
  <c r="H46" i="6017"/>
  <c r="B23" i="6017"/>
  <c r="H3" i="6017"/>
  <c r="H20" i="6017"/>
  <c r="H14" i="6017"/>
  <c r="H29" i="6017"/>
  <c r="H16" i="6017"/>
  <c r="C34" i="6017"/>
  <c r="C38" i="6017"/>
  <c r="C42" i="6017"/>
  <c r="H48" i="6017"/>
  <c r="H19" i="6017"/>
  <c r="H25" i="6017"/>
  <c r="H27" i="6017"/>
  <c r="H15" i="6017"/>
  <c r="H32" i="6017"/>
  <c r="C35" i="6017"/>
  <c r="C39" i="6017"/>
  <c r="C43" i="6017"/>
  <c r="H50" i="6017"/>
  <c r="H21" i="6017"/>
  <c r="H11" i="6017"/>
  <c r="H30" i="6017"/>
  <c r="C32" i="6017"/>
  <c r="C36" i="6017"/>
  <c r="C40" i="6017"/>
  <c r="C44" i="6017"/>
  <c r="H52" i="6015"/>
  <c r="H11" i="6015"/>
  <c r="H7" i="6015"/>
  <c r="C38" i="6015"/>
  <c r="C18" i="6015"/>
  <c r="H38" i="6015"/>
  <c r="H4" i="6015"/>
  <c r="H22" i="6015"/>
  <c r="H35" i="6015"/>
  <c r="H46" i="6015"/>
  <c r="C19" i="6015"/>
  <c r="H30" i="6015"/>
  <c r="H29" i="6015"/>
  <c r="H42" i="6015"/>
  <c r="C44" i="6015"/>
  <c r="C34" i="6015"/>
  <c r="H6" i="6015"/>
  <c r="H23" i="6015"/>
  <c r="H31" i="6015"/>
  <c r="H39" i="6015"/>
  <c r="C40" i="6015"/>
  <c r="H48" i="6015"/>
  <c r="H33" i="6015"/>
  <c r="C15" i="6015"/>
  <c r="C21" i="6015"/>
  <c r="H32" i="6015"/>
  <c r="H50" i="6015"/>
  <c r="H17" i="6015"/>
  <c r="H43" i="6015"/>
  <c r="H49" i="6015"/>
  <c r="H2" i="6015"/>
  <c r="H3" i="6015"/>
  <c r="H13" i="6015"/>
  <c r="C36" i="6015"/>
  <c r="H44" i="6015"/>
  <c r="H8" i="6015"/>
  <c r="C17" i="6015"/>
  <c r="B22" i="6015"/>
  <c r="H28" i="6015"/>
  <c r="H40" i="6015"/>
  <c r="C42" i="6015"/>
  <c r="H15" i="6015"/>
  <c r="H26" i="6015"/>
  <c r="H34" i="6015"/>
  <c r="H10" i="6015"/>
  <c r="H12" i="6015"/>
  <c r="C20" i="6015"/>
  <c r="H24" i="6015"/>
  <c r="H18" i="6015"/>
  <c r="H19" i="6015"/>
  <c r="H25" i="6015"/>
  <c r="C32" i="6015"/>
  <c r="H41" i="6015"/>
  <c r="H45" i="6015"/>
  <c r="H5" i="6015"/>
  <c r="H36" i="6015"/>
  <c r="H27" i="6015"/>
  <c r="H9" i="6015"/>
  <c r="C33" i="6015"/>
  <c r="C37" i="6015"/>
  <c r="C41" i="6015"/>
  <c r="H47" i="6015"/>
  <c r="B23" i="6015"/>
  <c r="H20" i="6015"/>
  <c r="H16" i="6015"/>
  <c r="H37" i="6015"/>
  <c r="H14" i="6015"/>
  <c r="H21" i="6015"/>
  <c r="C35" i="6015"/>
  <c r="C39" i="6015"/>
  <c r="C43" i="601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<sst xmlns="http://schemas.openxmlformats.org/spreadsheetml/2006/main" count="3028" uniqueCount="268">
  <si>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</si>
  <si>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</si>
  <si>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</si>
  <si>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</si>
  <si>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</si>
  <si>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</si>
  <si>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</si>
  <si>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</si>
  <si>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</si>
  <si>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</si>
  <si>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</si>
  <si>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</si>
  <si>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</si>
  <si>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</si>
  <si>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</si>
  <si>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</si>
  <si>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</si>
  <si>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</si>
  <si>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</si>
  <si>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</si>
  <si>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</si>
  <si>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</si>
  <si>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</si>
  <si>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</si>
  <si>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</si>
  <si>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</si>
  <si>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</si>
  <si>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</si>
  <si>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</si>
  <si>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</si>
  <si>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</si>
  <si>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</si>
  <si>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</si>
  <si>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</si>
  <si>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</si>
  <si>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</si>
  <si>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</si>
  <si>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</si>
  <si>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</si>
  <si>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</si>
  <si>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</si>
  <si>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</si>
  <si>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</si>
  <si>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</si>
  <si>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</si>
  <si>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</si>
  <si>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</si>
  <si>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</si>
  <si>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</si>
  <si>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</si>
  <si>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</si>
  <si>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</si>
  <si>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</si>
  <si>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</si>
  <si>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</si>
  <si>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</si>
  <si>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</si>
  <si>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</si>
  <si>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</si>
  <si>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</si>
  <si>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</si>
  <si>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</si>
  <si>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</si>
  <si>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</si>
  <si>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</si>
  <si>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</si>
  <si>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</si>
  <si>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</si>
  <si>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</si>
  <si>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</si>
  <si>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</si>
  <si>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</si>
  <si>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</si>
  <si>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</si>
  <si>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</si>
  <si>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</si>
  <si>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</si>
  <si>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</si>
  <si>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</si>
  <si>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</si>
  <si>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</si>
  <si>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</si>
  <si>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</si>
  <si>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</si>
  <si>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</si>
  <si>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</si>
  <si>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</si>
  <si>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</si>
  <si>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</si>
  <si>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</si>
  <si>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</si>
  <si>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</si>
  <si>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</si>
  <si>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</si>
  <si>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</si>
  <si>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</si>
  <si>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</si>
  <si>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</si>
  <si>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</si>
  <si>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</si>
  <si>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</si>
  <si>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</si>
  <si>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</si>
  <si>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</si>
  <si>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</si>
  <si>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</si>
  <si>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</si>
  <si>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</si>
  <si>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</si>
  <si>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</si>
  <si>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</si>
  <si>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</si>
  <si>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</si>
  <si>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</si>
  <si>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</si>
  <si>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</si>
  <si>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</si>
  <si>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</si>
  <si>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</si>
  <si>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</si>
  <si>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</si>
  <si>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</si>
  <si>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</si>
  <si>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</si>
  <si>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</si>
  <si>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</si>
  <si>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</si>
  <si>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</si>
  <si>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</si>
  <si>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</si>
  <si>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</si>
  <si>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</si>
  <si>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</si>
  <si>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</si>
  <si>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</si>
  <si>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</si>
  <si>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</si>
  <si>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</si>
  <si>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</si>
  <si>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</si>
  <si>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</si>
  <si>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</si>
  <si>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</si>
  <si>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</si>
  <si>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</si>
  <si>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</si>
  <si>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</si>
  <si>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</si>
  <si>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</si>
  <si>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</si>
  <si>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</si>
  <si>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</si>
  <si>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</si>
  <si>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</si>
  <si>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</si>
  <si>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</si>
  <si>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</si>
  <si>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</si>
  <si>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</si>
  <si>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</si>
  <si>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</si>
  <si>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</si>
  <si>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</si>
  <si>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</si>
  <si>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</si>
  <si>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</si>
  <si>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</si>
  <si>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</si>
  <si>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</si>
  <si>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</si>
  <si>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</si>
  <si>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</si>
  <si>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</si>
  <si>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</si>
  <si>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</si>
  <si>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</si>
  <si>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</si>
  <si>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</si>
  <si>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</si>
  <si>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</si>
  <si>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</si>
  <si>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</si>
  <si>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</si>
  <si>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</si>
  <si>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</si>
  <si>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</si>
  <si>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</si>
  <si>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</si>
  <si>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</si>
  <si>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</si>
  <si>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</si>
  <si>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</si>
  <si>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</si>
  <si>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</si>
  <si>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</si>
  <si>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</si>
  <si>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</si>
  <si>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</si>
  <si>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</si>
  <si>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</si>
  <si>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</si>
  <si>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</si>
  <si>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</si>
  <si>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</si>
  <si>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</si>
  <si>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</si>
  <si>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</si>
  <si>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</si>
  <si>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</si>
  <si>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</si>
  <si>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</si>
  <si>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</si>
  <si>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</si>
  <si>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</si>
  <si>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</si>
  <si>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</si>
  <si>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</si>
  <si>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</si>
  <si>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</si>
  <si>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</si>
  <si>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</si>
  <si>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</si>
  <si>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</si>
  <si>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</si>
  <si>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</si>
  <si>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</si>
  <si>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</si>
  <si>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</si>
  <si>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</si>
  <si>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</si>
  <si>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</si>
  <si>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</si>
  <si>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</si>
  <si>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</si>
  <si>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</si>
  <si>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</si>
  <si>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</si>
  <si>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</si>
  <si>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</si>
  <si>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</si>
  <si>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</si>
  <si>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</si>
  <si>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</si>
  <si>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</si>
  <si>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</si>
  <si>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</si>
  <si>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</si>
  <si>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</si>
  <si>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</si>
  <si>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</si>
  <si>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</si>
  <si>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</si>
  <si>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</si>
  <si>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</si>
  <si>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</si>
  <si>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</si>
  <si>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</si>
  <si>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</si>
  <si>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</si>
  <si>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</si>
  <si>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</si>
  <si>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</si>
  <si>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</si>
  <si>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</si>
  <si>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</si>
  <si>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</si>
  <si>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</si>
  <si>
    <t>2019-11-23@2.xlsm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</si>
</sst>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全体!$K$2:$K$635</c:f>
              <c:numCache>
                <c:formatCode>General</c:formatCode>
                <c:ptCount val="6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</c:numCache>
            </c:numRef>
          </c:xVal>
          <c:yVal>
            <c:numRef>
              <c:f>全体!$L$2:$L$635</c:f>
              <c:numCache>
                <c:formatCode>\+0.0;\-0.0;\±0</c:formatCode>
                <c:ptCount val="63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  <c:pt idx="628">
                  <c:v>-21.600000000000044</c:v>
                </c:pt>
                <c:pt idx="629">
                  <c:v>0.59999999999995524</c:v>
                </c:pt>
                <c:pt idx="630">
                  <c:v>-4.4741987892393809E-14</c:v>
                </c:pt>
                <c:pt idx="631">
                  <c:v>1.0999999999999552</c:v>
                </c:pt>
                <c:pt idx="632">
                  <c:v>-47.400000000000048</c:v>
                </c:pt>
                <c:pt idx="633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1-4F67-A1B4-EA2C0CEB4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-23.923444976076556</c:v>
                </c:pt>
                <c:pt idx="1">
                  <c:v>11.382113821138212</c:v>
                </c:pt>
                <c:pt idx="2">
                  <c:v>-15.544041450777202</c:v>
                </c:pt>
                <c:pt idx="3">
                  <c:v>10.989010989010989</c:v>
                </c:pt>
                <c:pt idx="4">
                  <c:v>9.9206349206349209</c:v>
                </c:pt>
                <c:pt idx="5">
                  <c:v>14.285714285714286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5-43BE-8AD6-47B30C79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113</c:v>
                </c:pt>
                <c:pt idx="1">
                  <c:v>255</c:v>
                </c:pt>
                <c:pt idx="2">
                  <c:v>320</c:v>
                </c:pt>
                <c:pt idx="3">
                  <c:v>273</c:v>
                </c:pt>
                <c:pt idx="4">
                  <c:v>249</c:v>
                </c:pt>
                <c:pt idx="5">
                  <c:v>160</c:v>
                </c:pt>
                <c:pt idx="6">
                  <c:v>83</c:v>
                </c:pt>
                <c:pt idx="7">
                  <c:v>43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946-ABDF-07B4316DB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E-46AB-8408-8FA472BE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E9-8D45-7EC9C3CF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E-4778-A5A3-4215B0EED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だいち!$L$2:$L$133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  <c:pt idx="130">
                  <c:v>1120.8000000000002</c:v>
                </c:pt>
                <c:pt idx="131">
                  <c:v>1072.3000000000002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AB6-A786-EFD8BC48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779.06976744186045</c:v>
                </c:pt>
                <c:pt idx="1">
                  <c:v>753.96825396825398</c:v>
                </c:pt>
                <c:pt idx="2">
                  <c:v>990.90909090909088</c:v>
                </c:pt>
                <c:pt idx="3">
                  <c:v>260.71428571428572</c:v>
                </c:pt>
                <c:pt idx="4">
                  <c:v>2121.9047619047619</c:v>
                </c:pt>
                <c:pt idx="5">
                  <c:v>2280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734-9864-581EC1F46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29</c:v>
                </c:pt>
                <c:pt idx="1">
                  <c:v>64</c:v>
                </c:pt>
                <c:pt idx="2">
                  <c:v>80</c:v>
                </c:pt>
                <c:pt idx="3">
                  <c:v>69</c:v>
                </c:pt>
                <c:pt idx="4">
                  <c:v>50</c:v>
                </c:pt>
                <c:pt idx="5">
                  <c:v>37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C-4716-ABF6-C2A5C3F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ただ!$L$2:$L$121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D79-974A-65AB3D1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-1194.9152542372881</c:v>
                </c:pt>
                <c:pt idx="1">
                  <c:v>1765.5172413793102</c:v>
                </c:pt>
                <c:pt idx="2">
                  <c:v>-182.24299065420561</c:v>
                </c:pt>
                <c:pt idx="3">
                  <c:v>804.95049504950498</c:v>
                </c:pt>
                <c:pt idx="4">
                  <c:v>-1137.6344086021506</c:v>
                </c:pt>
                <c:pt idx="5">
                  <c:v>1402.5316455696202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07C-AD49-9B392833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21</c:v>
                </c:pt>
                <c:pt idx="1">
                  <c:v>46</c:v>
                </c:pt>
                <c:pt idx="2">
                  <c:v>68</c:v>
                </c:pt>
                <c:pt idx="3">
                  <c:v>61</c:v>
                </c:pt>
                <c:pt idx="4">
                  <c:v>48</c:v>
                </c:pt>
                <c:pt idx="5">
                  <c:v>33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3-470D-8938-DB272F09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りくと!$L$2:$L$76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9-44A3-86AF-3594A58EF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-284.72222222222223</c:v>
                </c:pt>
                <c:pt idx="1">
                  <c:v>-1340.2777777777778</c:v>
                </c:pt>
                <c:pt idx="2">
                  <c:v>1081.8181818181818</c:v>
                </c:pt>
                <c:pt idx="3">
                  <c:v>-1144.6153846153845</c:v>
                </c:pt>
                <c:pt idx="4">
                  <c:v>-3072.1311475409834</c:v>
                </c:pt>
                <c:pt idx="5">
                  <c:v>-1566.0377358490566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A-40A8-A39F-F3715BEF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39</c:v>
                </c:pt>
                <c:pt idx="3">
                  <c:v>28</c:v>
                </c:pt>
                <c:pt idx="4">
                  <c:v>29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1-42B5-B8CA-3415493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B-42C6-BABE-BCE64295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1403.8961038961038</c:v>
                </c:pt>
                <c:pt idx="1">
                  <c:v>-2524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B30-82A4-DA0F9DEF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46</c:v>
                </c:pt>
                <c:pt idx="5">
                  <c:v>17</c:v>
                </c:pt>
                <c:pt idx="6">
                  <c:v>16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7-4102-A04D-D3CCE930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8-4B83-9C89-40863934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3-45F3-9E05-27F45910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B7A-9F70-64BDDF2E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5-4E2D-BCEB-03C11F9A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68A-AB5F-35D2785F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34D-B7EA-1E7A6BD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F-478A-A898-1CBA3AF5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0F5-B6AF-2E92164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5-4AD8-8751-88FA1B45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3-43FA-A4D0-DEE30476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6-4927-B71B-E37DFD700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8-4292-A801-78F10725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3-4B4B-A0EF-3A9D604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A-46F4-AC3F-A8D9A4D8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C-4BB9-AB2F-1EB4EE99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857502607141708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260663507109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492890995260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53554502369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06899180484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22012578616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0.90322580645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36650868878357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621688583952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989136649514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640718562874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016501650165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290322580645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09A843-2CF9-4A8F-87ED-E68B534FD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1F2D94-261D-4D4D-8B4A-4D8548D31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6FD971-0085-4EA4-899C-7451A7409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2AC80C-3E2F-45F4-BA59-F1F244B51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A57106-5427-4DA2-A9A9-52A0CAF1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A36103-2BF6-4E12-AFA4-4695860F8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F21CF3-38E4-43D9-81EA-3BBF168842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2F55D6-E12F-497E-B3AD-A33CE6A06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3A8648-2F8A-4C54-BAE7-D84768A72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FB3E15-1C35-4C81-8334-AD032D708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7A857E-2604-46B8-A87E-5C45BA5BB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E7010C-0428-44B0-9B0E-B24096218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739E78-F102-4324-A255-AF04E5E4E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577E71-CC14-4F0D-8475-8DB21AE7B3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198D1A-31C7-464A-B21C-F75DFD648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15102A-FD33-4DAE-8EDD-8704FC22E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323BF8-5A4E-4851-8B5E-E1A345BF6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B693A2-4B16-4AD6-9EE7-B89BC6785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1440E-867C-451A-9A9F-67C830D090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615FA5-FFEA-4A53-A5D0-094B198BF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3C564E-7770-43F7-A608-2053DDD3F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648071-5EAC-4776-B839-C9115A6BC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600D83-A2D8-4997-9A0B-D6E064ED0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6E89EB-092A-4BF1-89C9-57BC1F30F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E00E7A-7661-43B6-B308-D67DBD68A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97BD64-CC84-4B83-9CE4-1A59F15B6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B4C4FE-2E26-4F0B-B052-1D12A53E5E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B1C762A-5F47-4B7E-84E6-D2496B6AB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6C6290-418D-4C9C-843E-10286E2F3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FF3D4DB-99AE-4863-A40C-997AD49A2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6F8FF5-31AB-41DC-994F-9E11C27D6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97D6DF-188A-42EA-BADE-84EE4EEA4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C24063-E8EC-41DD-9E3D-4D3389386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4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  <row r="63" spans="1:9" x14ac:dyDescent="0.4">
      <c r="A63" s="28" t="s">
        <v>266</v>
      </c>
      <c r="B63" s="29">
        <v>43790.974027777775</v>
      </c>
      <c r="C63" s="28" t="s">
        <v>128</v>
      </c>
    </row>
    <row r="64" spans="1:9" x14ac:dyDescent="0.4">
      <c r="A64" s="28" t="s">
        <v>267</v>
      </c>
      <c r="B64" s="29">
        <v>43792.884085648147</v>
      </c>
      <c r="C64" s="28" t="s">
        <v>128</v>
      </c>
      <c r="D64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633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131</v>
      </c>
    </row>
    <row r="4" spans="1:2" x14ac:dyDescent="0.4">
      <c r="A4" t="s">
        <v>127</v>
      </c>
      <c r="B4">
        <v>119</v>
      </c>
    </row>
    <row r="5" spans="1:2" x14ac:dyDescent="0.4">
      <c r="A5" t="s">
        <v>172</v>
      </c>
      <c r="B5">
        <v>74</v>
      </c>
    </row>
    <row r="6" spans="1:2" x14ac:dyDescent="0.4">
      <c r="A6" t="s">
        <v>170</v>
      </c>
      <c r="B6">
        <v>77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0.99297799702053102</v>
      </c>
      <c r="G2" s="163"/>
      <c r="H2" s="162">
        <v>0.88884391276705632</v>
      </c>
      <c r="I2" s="163"/>
      <c r="J2" s="162">
        <v>0.92206978088303626</v>
      </c>
      <c r="K2" s="163"/>
      <c r="L2" s="162">
        <v>0.83740302667215716</v>
      </c>
      <c r="M2" s="163"/>
      <c r="N2" s="162">
        <v>0.51106641663668739</v>
      </c>
      <c r="O2" s="163"/>
      <c r="P2" s="162">
        <v>0.54506703944141344</v>
      </c>
      <c r="Q2" s="163"/>
      <c r="R2" s="162">
        <v>7.6258152525675971E-2</v>
      </c>
      <c r="S2" s="163"/>
      <c r="T2" s="162">
        <v>0.52926639187308289</v>
      </c>
      <c r="U2" s="163"/>
      <c r="V2" s="162">
        <v>0.55243478713966832</v>
      </c>
      <c r="W2" s="163"/>
      <c r="X2" s="162">
        <v>-9.3793138846424984E-3</v>
      </c>
      <c r="Y2" s="163"/>
      <c r="Z2" s="162">
        <v>0.40359772451356801</v>
      </c>
      <c r="AA2" s="163"/>
      <c r="AB2" s="162">
        <v>0.34433863126537556</v>
      </c>
      <c r="AC2" s="163"/>
      <c r="AD2" s="162">
        <v>-2.440745710852486E-2</v>
      </c>
      <c r="AE2" s="163"/>
      <c r="AF2" s="162">
        <v>0.77356688125980788</v>
      </c>
      <c r="AG2" s="163"/>
    </row>
    <row r="3" spans="1:33" x14ac:dyDescent="0.4">
      <c r="A3" s="70">
        <v>1</v>
      </c>
      <c r="B3" s="71" t="s">
        <v>126</v>
      </c>
      <c r="C3" s="72">
        <v>1072.3000000000002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10852.542372881357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0.31877022653721682</v>
      </c>
      <c r="X3" s="73" t="s">
        <v>212</v>
      </c>
      <c r="Y3" s="76">
        <v>0.35483870967741937</v>
      </c>
      <c r="Z3" s="73" t="s">
        <v>126</v>
      </c>
      <c r="AA3" s="76">
        <v>0.59169550173010377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368.00000000000011</v>
      </c>
      <c r="D4" s="81" t="s">
        <v>126</v>
      </c>
      <c r="E4" s="93">
        <v>8.1854961832061086</v>
      </c>
      <c r="F4" s="81" t="s">
        <v>126</v>
      </c>
      <c r="G4" s="82">
        <v>1.7862595419847329</v>
      </c>
      <c r="H4" s="81" t="s">
        <v>126</v>
      </c>
      <c r="I4" s="83">
        <v>0.4580152671755725</v>
      </c>
      <c r="J4" s="81" t="s">
        <v>126</v>
      </c>
      <c r="K4" s="83">
        <v>0.24427480916030533</v>
      </c>
      <c r="L4" s="81" t="s">
        <v>126</v>
      </c>
      <c r="M4" s="84">
        <v>0.34118755890669178</v>
      </c>
      <c r="N4" s="81" t="s">
        <v>126</v>
      </c>
      <c r="O4" s="84">
        <v>0.13100848256361922</v>
      </c>
      <c r="P4" s="81" t="s">
        <v>127</v>
      </c>
      <c r="Q4" s="85">
        <v>8487.6221498371342</v>
      </c>
      <c r="R4" s="81" t="s">
        <v>172</v>
      </c>
      <c r="S4" s="85">
        <v>-7544</v>
      </c>
      <c r="T4" s="81" t="s">
        <v>161</v>
      </c>
      <c r="U4" s="83">
        <v>3.5714285714285712E-2</v>
      </c>
      <c r="V4" s="81" t="s">
        <v>172</v>
      </c>
      <c r="W4" s="84">
        <v>0.2870967741935484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0.48117154811715479</v>
      </c>
      <c r="AD4" s="81" t="s">
        <v>170</v>
      </c>
      <c r="AE4" s="84">
        <v>0.48587570621468928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141.29999999999978</v>
      </c>
      <c r="D5" s="81" t="s">
        <v>170</v>
      </c>
      <c r="E5" s="93">
        <v>4.7792207792207808</v>
      </c>
      <c r="F5" s="81" t="s">
        <v>170</v>
      </c>
      <c r="G5" s="82">
        <v>1.9090909090909092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0.30761523046092182</v>
      </c>
      <c r="N5" s="81" t="s">
        <v>171</v>
      </c>
      <c r="O5" s="84">
        <v>0.13732833957553059</v>
      </c>
      <c r="P5" s="81" t="s">
        <v>201</v>
      </c>
      <c r="Q5" s="85">
        <v>8456.4516129032254</v>
      </c>
      <c r="R5" s="81" t="s">
        <v>161</v>
      </c>
      <c r="S5" s="85">
        <v>-7600</v>
      </c>
      <c r="T5" s="81" t="s">
        <v>126</v>
      </c>
      <c r="U5" s="83">
        <v>4.5801526717557252E-2</v>
      </c>
      <c r="V5" s="81" t="s">
        <v>126</v>
      </c>
      <c r="W5" s="84">
        <v>0.27238454288407166</v>
      </c>
      <c r="X5" s="81" t="s">
        <v>127</v>
      </c>
      <c r="Y5" s="84">
        <v>0.31062124248496992</v>
      </c>
      <c r="Z5" s="81" t="s">
        <v>172</v>
      </c>
      <c r="AA5" s="84">
        <v>0.5730337078651685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1.1873949579831915</v>
      </c>
      <c r="F6" s="81" t="s">
        <v>127</v>
      </c>
      <c r="G6" s="82">
        <v>1.9411764705882353</v>
      </c>
      <c r="H6" s="81" t="s">
        <v>170</v>
      </c>
      <c r="I6" s="83">
        <v>0.40259740259740262</v>
      </c>
      <c r="J6" s="81" t="s">
        <v>127</v>
      </c>
      <c r="K6" s="83">
        <v>0.29411764705882354</v>
      </c>
      <c r="L6" s="81" t="s">
        <v>141</v>
      </c>
      <c r="M6" s="84">
        <v>0.29540689918048407</v>
      </c>
      <c r="N6" s="81" t="s">
        <v>161</v>
      </c>
      <c r="O6" s="84">
        <v>0.15060240963855423</v>
      </c>
      <c r="P6" s="81" t="s">
        <v>141</v>
      </c>
      <c r="Q6" s="85">
        <v>8440.9032258064508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170</v>
      </c>
      <c r="AC6" s="84">
        <v>0.42201834862385323</v>
      </c>
      <c r="AD6" s="81" t="s">
        <v>172</v>
      </c>
      <c r="AE6" s="84">
        <v>0.46511627906976744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1.9952606635071091</v>
      </c>
      <c r="H7" s="81" t="s">
        <v>201</v>
      </c>
      <c r="I7" s="83">
        <v>0.375</v>
      </c>
      <c r="J7" s="81" t="s">
        <v>170</v>
      </c>
      <c r="K7" s="83">
        <v>0.31168831168831168</v>
      </c>
      <c r="L7" s="81" t="s">
        <v>171</v>
      </c>
      <c r="M7" s="84">
        <v>0.28714107365792757</v>
      </c>
      <c r="N7" s="81" t="s">
        <v>141</v>
      </c>
      <c r="O7" s="84">
        <v>0.16352201257861634</v>
      </c>
      <c r="P7" s="81" t="s">
        <v>171</v>
      </c>
      <c r="Q7" s="85">
        <v>8340.8695652173919</v>
      </c>
      <c r="R7" s="81" t="s">
        <v>141</v>
      </c>
      <c r="S7" s="85">
        <v>-7843.939393939394</v>
      </c>
      <c r="T7" s="81" t="s">
        <v>172</v>
      </c>
      <c r="U7" s="83">
        <v>8.1081081081081086E-2</v>
      </c>
      <c r="V7" s="81" t="s">
        <v>236</v>
      </c>
      <c r="W7" s="84">
        <v>0.26666666666666666</v>
      </c>
      <c r="X7" s="81" t="s">
        <v>141</v>
      </c>
      <c r="Y7" s="84">
        <v>0.23098913664951401</v>
      </c>
      <c r="Z7" s="81" t="s">
        <v>141</v>
      </c>
      <c r="AA7" s="84">
        <v>0.55464071856287422</v>
      </c>
      <c r="AB7" s="81" t="s">
        <v>141</v>
      </c>
      <c r="AC7" s="84">
        <v>0.41501650165016502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-4.9737991503207013E-14</v>
      </c>
      <c r="D8" s="81" t="s">
        <v>141</v>
      </c>
      <c r="E8" s="93">
        <v>-7.8575026071417084E-17</v>
      </c>
      <c r="F8" s="81" t="s">
        <v>201</v>
      </c>
      <c r="G8" s="82">
        <v>2</v>
      </c>
      <c r="H8" s="81" t="s">
        <v>127</v>
      </c>
      <c r="I8" s="83">
        <v>0.35294117647058826</v>
      </c>
      <c r="J8" s="81" t="s">
        <v>141</v>
      </c>
      <c r="K8" s="83">
        <v>0.33175355450236965</v>
      </c>
      <c r="L8" s="81" t="s">
        <v>170</v>
      </c>
      <c r="M8" s="84">
        <v>0.28640776699029125</v>
      </c>
      <c r="N8" s="81" t="s">
        <v>201</v>
      </c>
      <c r="O8" s="84">
        <v>0.16593886462882096</v>
      </c>
      <c r="P8" s="81" t="s">
        <v>126</v>
      </c>
      <c r="Q8" s="85">
        <v>8216.5745856353587</v>
      </c>
      <c r="R8" s="81" t="s">
        <v>126</v>
      </c>
      <c r="S8" s="85">
        <v>-7852.517985611511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0.22525918944392084</v>
      </c>
      <c r="Z8" s="81" t="s">
        <v>170</v>
      </c>
      <c r="AA8" s="84">
        <v>0.5532994923857868</v>
      </c>
      <c r="AB8" s="81" t="s">
        <v>202</v>
      </c>
      <c r="AC8" s="84">
        <v>0.41333333333333333</v>
      </c>
      <c r="AD8" s="81" t="s">
        <v>141</v>
      </c>
      <c r="AE8" s="84">
        <v>0.44129032258064516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0.33649289099526064</v>
      </c>
      <c r="J9" s="81" t="s">
        <v>201</v>
      </c>
      <c r="K9" s="83">
        <v>0.375</v>
      </c>
      <c r="L9" s="81" t="s">
        <v>172</v>
      </c>
      <c r="M9" s="84">
        <v>0.27741935483870966</v>
      </c>
      <c r="N9" s="81" t="s">
        <v>170</v>
      </c>
      <c r="O9" s="84">
        <v>0.16828478964401294</v>
      </c>
      <c r="P9" s="81" t="s">
        <v>172</v>
      </c>
      <c r="Q9" s="85">
        <v>8034.3023255813951</v>
      </c>
      <c r="R9" s="81" t="s">
        <v>236</v>
      </c>
      <c r="S9" s="85">
        <v>-8000</v>
      </c>
      <c r="T9" s="81" t="s">
        <v>141</v>
      </c>
      <c r="U9" s="83">
        <v>9.6366508688783575E-2</v>
      </c>
      <c r="V9" s="81" t="s">
        <v>141</v>
      </c>
      <c r="W9" s="84">
        <v>0.25462168858395273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172</v>
      </c>
      <c r="AC9" s="84">
        <v>0.4</v>
      </c>
      <c r="AD9" s="81" t="s">
        <v>126</v>
      </c>
      <c r="AE9" s="84">
        <v>0.425414364640884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0.39189189189189189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127</v>
      </c>
      <c r="S10" s="85">
        <v>-8022.105263157895</v>
      </c>
      <c r="T10" s="81" t="s">
        <v>170</v>
      </c>
      <c r="U10" s="83">
        <v>0.1038961038961039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0.40716612377850164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-6.8283783783783782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0.19038076152304609</v>
      </c>
      <c r="P11" s="81" t="s">
        <v>212</v>
      </c>
      <c r="Q11" s="85">
        <v>7473.333333333333</v>
      </c>
      <c r="R11" s="81" t="s">
        <v>170</v>
      </c>
      <c r="S11" s="85">
        <v>-8158.6538461538457</v>
      </c>
      <c r="T11" s="81" t="s">
        <v>127</v>
      </c>
      <c r="U11" s="83">
        <v>0.13445378151260504</v>
      </c>
      <c r="V11" s="81" t="s">
        <v>127</v>
      </c>
      <c r="W11" s="84">
        <v>0.22845691382765532</v>
      </c>
      <c r="X11" s="81" t="s">
        <v>172</v>
      </c>
      <c r="Y11" s="84">
        <v>0.19354838709677419</v>
      </c>
      <c r="Z11" s="81" t="s">
        <v>127</v>
      </c>
      <c r="AA11" s="84">
        <v>0.50438596491228072</v>
      </c>
      <c r="AB11" s="81" t="s">
        <v>127</v>
      </c>
      <c r="AC11" s="84">
        <v>0.38064516129032255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-505.3</v>
      </c>
      <c r="D12" s="81" t="s">
        <v>202</v>
      </c>
      <c r="E12" s="93">
        <v>-14.400000000000002</v>
      </c>
      <c r="F12" s="81" t="s">
        <v>172</v>
      </c>
      <c r="G12" s="82">
        <v>2.1621621621621623</v>
      </c>
      <c r="H12" s="81" t="s">
        <v>172</v>
      </c>
      <c r="I12" s="83">
        <v>0.22972972972972974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0.17637540453074432</v>
      </c>
      <c r="Z12" s="81" t="s">
        <v>236</v>
      </c>
      <c r="AA12" s="84">
        <v>0.5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0.20161290322580644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5D0F-91A7-40F1-A100-AE782949AFBE}">
  <sheetPr codeName="Sheet4"/>
  <dimension ref="A1:Q63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633</v>
      </c>
      <c r="C2" s="155"/>
      <c r="E2" s="58" t="s">
        <v>66</v>
      </c>
      <c r="F2" s="55" t="s">
        <v>22</v>
      </c>
      <c r="G2" s="43">
        <v>1179</v>
      </c>
      <c r="H2" s="128">
        <f>IF(B$15=0,0,G2/B$15)</f>
        <v>0.76064516129032256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-23.923444976076556</v>
      </c>
      <c r="P2" s="114">
        <v>627</v>
      </c>
      <c r="Q2" s="98">
        <v>-15000</v>
      </c>
    </row>
    <row r="3" spans="1:17" x14ac:dyDescent="0.4">
      <c r="A3" s="51" t="s">
        <v>8</v>
      </c>
      <c r="B3" s="156">
        <v>5247</v>
      </c>
      <c r="C3" s="157"/>
      <c r="E3" s="59" t="s">
        <v>72</v>
      </c>
      <c r="F3" s="56" t="s">
        <v>27</v>
      </c>
      <c r="G3" s="44">
        <v>830</v>
      </c>
      <c r="H3" s="129">
        <f>IF(B$15=0,0,G3/B$15)</f>
        <v>0.53548387096774197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11.382113821138212</v>
      </c>
      <c r="P3" s="115">
        <v>615</v>
      </c>
      <c r="Q3" s="99">
        <v>7000</v>
      </c>
    </row>
    <row r="4" spans="1:17" x14ac:dyDescent="0.4">
      <c r="A4" s="51" t="s">
        <v>6</v>
      </c>
      <c r="B4" s="158">
        <v>-4.9737991503207013E-14</v>
      </c>
      <c r="C4" s="159"/>
      <c r="E4" s="59" t="s">
        <v>64</v>
      </c>
      <c r="F4" s="56" t="s">
        <v>20</v>
      </c>
      <c r="G4" s="44">
        <v>710</v>
      </c>
      <c r="H4" s="129">
        <f>IF(B$15=0,0,G4/B$15)</f>
        <v>0.45806451612903226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-15.544041450777202</v>
      </c>
      <c r="P4" s="115">
        <v>579</v>
      </c>
      <c r="Q4" s="99">
        <v>-9000</v>
      </c>
    </row>
    <row r="5" spans="1:17" x14ac:dyDescent="0.4">
      <c r="A5" s="51" t="s">
        <v>7</v>
      </c>
      <c r="B5" s="160">
        <f>IF(B$2=0,0,B$4/B$2)</f>
        <v>-7.8575026071417084E-17</v>
      </c>
      <c r="C5" s="161"/>
      <c r="E5" s="59" t="s">
        <v>166</v>
      </c>
      <c r="F5" s="56" t="s">
        <v>167</v>
      </c>
      <c r="G5" s="44">
        <v>618</v>
      </c>
      <c r="H5" s="129">
        <f>IF(B$15=0,0,G5/B$15)</f>
        <v>0.39870967741935481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10.989010989010989</v>
      </c>
      <c r="P5" s="115">
        <v>546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1.9952606635071091</v>
      </c>
      <c r="C6" s="151"/>
      <c r="E6" s="59" t="s">
        <v>68</v>
      </c>
      <c r="F6" s="56" t="s">
        <v>12</v>
      </c>
      <c r="G6" s="44">
        <v>483</v>
      </c>
      <c r="H6" s="129">
        <f>IF(B$15=0,0,G6/B$15)</f>
        <v>0.31161290322580643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9.9206349206349209</v>
      </c>
      <c r="P6" s="115">
        <v>504</v>
      </c>
      <c r="Q6" s="99">
        <v>5000</v>
      </c>
    </row>
    <row r="7" spans="1:17" x14ac:dyDescent="0.4">
      <c r="A7" s="51" t="s">
        <v>2</v>
      </c>
      <c r="B7" s="44">
        <v>213</v>
      </c>
      <c r="C7" s="37">
        <f t="shared" ref="C7:C10" si="1">IF(B$2=0,0,B7/B$2)</f>
        <v>0.33649289099526064</v>
      </c>
      <c r="E7" s="59" t="s">
        <v>67</v>
      </c>
      <c r="F7" s="56" t="s">
        <v>23</v>
      </c>
      <c r="G7" s="44">
        <v>448</v>
      </c>
      <c r="H7" s="129">
        <f>IF(B$15=0,0,G7/B$15)</f>
        <v>0.28903225806451616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14.285714285714286</v>
      </c>
      <c r="P7" s="116">
        <v>420</v>
      </c>
      <c r="Q7" s="100">
        <v>6000</v>
      </c>
    </row>
    <row r="8" spans="1:17" x14ac:dyDescent="0.4">
      <c r="A8" s="51" t="s">
        <v>3</v>
      </c>
      <c r="B8" s="44">
        <v>210</v>
      </c>
      <c r="C8" s="37">
        <f t="shared" si="1"/>
        <v>0.33175355450236965</v>
      </c>
      <c r="E8" s="59" t="s">
        <v>69</v>
      </c>
      <c r="F8" s="56" t="s">
        <v>24</v>
      </c>
      <c r="G8" s="44">
        <v>229</v>
      </c>
      <c r="H8" s="129">
        <f>IF(B$15=0,0,G8/B$15)</f>
        <v>0.14774193548387096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210</v>
      </c>
      <c r="C9" s="38">
        <f t="shared" si="1"/>
        <v>0.33175355450236965</v>
      </c>
      <c r="E9" s="59" t="s">
        <v>89</v>
      </c>
      <c r="F9" s="56" t="s">
        <v>44</v>
      </c>
      <c r="G9" s="44">
        <v>208</v>
      </c>
      <c r="H9" s="129">
        <f>IF(B$15=0,0,G9/B$15)</f>
        <v>0.13419354838709677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61</v>
      </c>
      <c r="C10" s="40">
        <f t="shared" si="1"/>
        <v>9.6366508688783575E-2</v>
      </c>
      <c r="E10" s="59" t="s">
        <v>65</v>
      </c>
      <c r="F10" s="56" t="s">
        <v>21</v>
      </c>
      <c r="G10" s="44">
        <v>163</v>
      </c>
      <c r="H10" s="129">
        <f>IF(B$15=0,0,G10/B$15)</f>
        <v>0.10516129032258065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-2.1585714285714293</v>
      </c>
      <c r="P10" s="114">
        <v>210</v>
      </c>
      <c r="Q10" s="102">
        <v>-453.30000000000013</v>
      </c>
    </row>
    <row r="11" spans="1:17" x14ac:dyDescent="0.4">
      <c r="A11" s="54" t="s">
        <v>121</v>
      </c>
      <c r="B11" s="47">
        <v>1336</v>
      </c>
      <c r="C11" s="42">
        <f>IF(B$3=0,0,B11/B$3)</f>
        <v>0.25462168858395273</v>
      </c>
      <c r="E11" s="59" t="s">
        <v>70</v>
      </c>
      <c r="F11" s="56" t="s">
        <v>25</v>
      </c>
      <c r="G11" s="44">
        <v>146</v>
      </c>
      <c r="H11" s="129">
        <f>IF(B$15=0,0,G11/B$15)</f>
        <v>9.4193548387096773E-2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2.3457142857142852</v>
      </c>
      <c r="P11" s="115">
        <v>210</v>
      </c>
      <c r="Q11" s="103">
        <v>492.59999999999991</v>
      </c>
    </row>
    <row r="12" spans="1:17" x14ac:dyDescent="0.4">
      <c r="A12" s="51" t="s">
        <v>118</v>
      </c>
      <c r="B12" s="44">
        <v>1212</v>
      </c>
      <c r="C12" s="37">
        <f>IF(B$3=0,0,B12/B$3)</f>
        <v>0.23098913664951401</v>
      </c>
      <c r="E12" s="59" t="s">
        <v>71</v>
      </c>
      <c r="F12" s="56" t="s">
        <v>26</v>
      </c>
      <c r="G12" s="44">
        <v>119</v>
      </c>
      <c r="H12" s="129">
        <f>IF(B$15=0,0,G12/B$15)</f>
        <v>7.677419354838709E-2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-0.1871428571428578</v>
      </c>
      <c r="P12" s="116">
        <v>210</v>
      </c>
      <c r="Q12" s="104">
        <v>-39.300000000000139</v>
      </c>
    </row>
    <row r="13" spans="1:17" x14ac:dyDescent="0.4">
      <c r="A13" s="50" t="s">
        <v>123</v>
      </c>
      <c r="B13" s="43">
        <f>B19</f>
        <v>741</v>
      </c>
      <c r="C13" s="35">
        <f>IF(B$11=0,0,B13/B$11)</f>
        <v>0.55464071856287422</v>
      </c>
      <c r="E13" s="59" t="s">
        <v>83</v>
      </c>
      <c r="F13" s="56" t="s">
        <v>38</v>
      </c>
      <c r="G13" s="44">
        <v>83</v>
      </c>
      <c r="H13" s="129">
        <f>IF(B$15=0,0,G13/B$15)</f>
        <v>5.3548387096774196E-2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503</v>
      </c>
      <c r="C14" s="35">
        <f>IF(B$12=0,0,B14/B$12)</f>
        <v>0.41501650165016502</v>
      </c>
      <c r="E14" s="59" t="s">
        <v>86</v>
      </c>
      <c r="F14" s="56" t="s">
        <v>41</v>
      </c>
      <c r="G14" s="44">
        <v>82</v>
      </c>
      <c r="H14" s="129">
        <f>IF(B$15=0,0,G14/B$15)</f>
        <v>5.2903225806451612E-2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1550</v>
      </c>
      <c r="C15" s="35">
        <f>IF(B$3=0,0,B15/B$3)</f>
        <v>0.29540689918048407</v>
      </c>
      <c r="E15" s="59" t="s">
        <v>162</v>
      </c>
      <c r="F15" s="56" t="s">
        <v>163</v>
      </c>
      <c r="G15" s="44">
        <v>39</v>
      </c>
      <c r="H15" s="129">
        <f>IF(B$15=0,0,G15/B$15)</f>
        <v>2.5161290322580646E-2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858</v>
      </c>
      <c r="C16" s="37">
        <f>IF(B$3=0,0,B16/B$3)</f>
        <v>0.16352201257861634</v>
      </c>
      <c r="E16" s="59" t="s">
        <v>78</v>
      </c>
      <c r="F16" s="56" t="s">
        <v>33</v>
      </c>
      <c r="G16" s="44">
        <v>37</v>
      </c>
      <c r="H16" s="129">
        <f>IF(B$15=0,0,G16/B$15)</f>
        <v>2.3870967741935485E-2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684</v>
      </c>
      <c r="C17" s="37">
        <f>IF(B$15=0,0,B17/B$15)</f>
        <v>0.44129032258064516</v>
      </c>
      <c r="E17" s="59" t="s">
        <v>81</v>
      </c>
      <c r="F17" s="56" t="s">
        <v>36</v>
      </c>
      <c r="G17" s="44">
        <v>27</v>
      </c>
      <c r="H17" s="129">
        <f>IF(B$15=0,0,G17/B$15)</f>
        <v>1.7419354838709676E-2</v>
      </c>
      <c r="I17" s="90">
        <v>6</v>
      </c>
      <c r="K17" s="36">
        <v>15</v>
      </c>
      <c r="L17" s="95">
        <v>0</v>
      </c>
      <c r="N17" s="111" t="s">
        <v>172</v>
      </c>
      <c r="O17" s="121">
        <f>IF(P17=0,0,Q17/P17)</f>
        <v>10.242567567567567</v>
      </c>
      <c r="P17" s="115">
        <v>148</v>
      </c>
      <c r="Q17" s="103">
        <v>1515.9</v>
      </c>
    </row>
    <row r="18" spans="1:17" x14ac:dyDescent="0.4">
      <c r="A18" s="51" t="s">
        <v>11</v>
      </c>
      <c r="B18" s="44">
        <v>866</v>
      </c>
      <c r="C18" s="37">
        <f>IF(B$15=0,0,B18/B$15)</f>
        <v>0.55870967741935484</v>
      </c>
      <c r="E18" s="59" t="s">
        <v>91</v>
      </c>
      <c r="F18" s="56" t="s">
        <v>46</v>
      </c>
      <c r="G18" s="44">
        <v>21</v>
      </c>
      <c r="H18" s="129">
        <f>IF(B$15=0,0,G18/B$15)</f>
        <v>1.3548387096774193E-2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741</v>
      </c>
      <c r="C19" s="37">
        <f>IF(B$15=0,0,B19/B$15)</f>
        <v>0.47806451612903228</v>
      </c>
      <c r="E19" s="59" t="s">
        <v>79</v>
      </c>
      <c r="F19" s="56" t="s">
        <v>34</v>
      </c>
      <c r="G19" s="44">
        <v>19</v>
      </c>
      <c r="H19" s="129">
        <f>IF(B$15=0,0,G19/B$15)</f>
        <v>1.2258064516129033E-2</v>
      </c>
      <c r="I19" s="90">
        <v>4</v>
      </c>
      <c r="K19" s="36">
        <v>17</v>
      </c>
      <c r="L19" s="95">
        <v>-20.5</v>
      </c>
      <c r="N19" s="111" t="s">
        <v>171</v>
      </c>
      <c r="O19" s="121">
        <f>IF(P19=0,0,Q19/P19)</f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503</v>
      </c>
      <c r="C20" s="37">
        <f>IF(B$15=0,0,B20/B$15)</f>
        <v>0.32451612903225807</v>
      </c>
      <c r="E20" s="59" t="s">
        <v>75</v>
      </c>
      <c r="F20" s="56" t="s">
        <v>30</v>
      </c>
      <c r="G20" s="44">
        <v>11</v>
      </c>
      <c r="H20" s="129">
        <f>IF(B$15=0,0,G20/B$15)</f>
        <v>7.0967741935483875E-3</v>
      </c>
      <c r="I20" s="90">
        <v>5</v>
      </c>
      <c r="K20" s="36">
        <v>18</v>
      </c>
      <c r="L20" s="95">
        <v>0</v>
      </c>
      <c r="N20" s="111" t="s">
        <v>201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306</v>
      </c>
      <c r="C21" s="37">
        <f>IF(B$15=0,0,B21/B$15)</f>
        <v>0.19741935483870968</v>
      </c>
      <c r="E21" s="59" t="s">
        <v>92</v>
      </c>
      <c r="F21" s="56" t="s">
        <v>47</v>
      </c>
      <c r="G21" s="44">
        <v>10</v>
      </c>
      <c r="H21" s="129">
        <f>IF(B$15=0,0,G21/B$15)</f>
        <v>6.4516129032258064E-3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-1.7810924369747951</v>
      </c>
      <c r="P21" s="115">
        <v>238</v>
      </c>
      <c r="Q21" s="103">
        <v>-423.90000000000123</v>
      </c>
    </row>
    <row r="22" spans="1:17" x14ac:dyDescent="0.4">
      <c r="A22" s="51" t="s">
        <v>5</v>
      </c>
      <c r="B22" s="48">
        <f>IF(B$15=0,0,C22/B$15)</f>
        <v>8440.9032258064508</v>
      </c>
      <c r="C22" s="39">
        <v>13083400</v>
      </c>
      <c r="E22" s="59" t="s">
        <v>73</v>
      </c>
      <c r="F22" s="56" t="s">
        <v>28</v>
      </c>
      <c r="G22" s="44">
        <v>6</v>
      </c>
      <c r="H22" s="129">
        <f>IF(B$15=0,0,G22/B$15)</f>
        <v>3.8709677419354839E-3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-7.1688311688311641</v>
      </c>
      <c r="P22" s="115">
        <v>154</v>
      </c>
      <c r="Q22" s="103">
        <v>-1103.9999999999993</v>
      </c>
    </row>
    <row r="23" spans="1:17" x14ac:dyDescent="0.4">
      <c r="A23" s="52" t="s">
        <v>177</v>
      </c>
      <c r="B23" s="136">
        <f>IF($B$15-B$14=0,0,C23/($B$15-B$14))</f>
        <v>9051.3849092645651</v>
      </c>
      <c r="C23" s="137">
        <v>9476800</v>
      </c>
      <c r="E23" s="59" t="s">
        <v>74</v>
      </c>
      <c r="F23" s="56" t="s">
        <v>29</v>
      </c>
      <c r="G23" s="44">
        <v>6</v>
      </c>
      <c r="H23" s="129">
        <f>IF(B$15=0,0,G23/B$15)</f>
        <v>3.8709677419354839E-3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-12.278244274809158</v>
      </c>
      <c r="P23" s="115">
        <v>262</v>
      </c>
      <c r="Q23" s="103">
        <v>-3216.8999999999992</v>
      </c>
    </row>
    <row r="24" spans="1:17" x14ac:dyDescent="0.4">
      <c r="A24" s="52" t="s">
        <v>178</v>
      </c>
      <c r="B24" s="136">
        <f>IF(B$14=0,0,C24/B$14)</f>
        <v>7170.1789264413519</v>
      </c>
      <c r="C24" s="137">
        <v>3606600</v>
      </c>
      <c r="E24" s="59" t="s">
        <v>77</v>
      </c>
      <c r="F24" s="56" t="s">
        <v>32</v>
      </c>
      <c r="G24" s="44">
        <v>5</v>
      </c>
      <c r="H24" s="129">
        <f>IF(B$15=0,0,G24/B$15)</f>
        <v>3.2258064516129032E-3</v>
      </c>
      <c r="I24" s="90">
        <v>4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-7843.939393939394</v>
      </c>
      <c r="C25" s="137">
        <v>-6730100</v>
      </c>
      <c r="E25" s="59" t="s">
        <v>85</v>
      </c>
      <c r="F25" s="56" t="s">
        <v>40</v>
      </c>
      <c r="G25" s="44">
        <v>5</v>
      </c>
      <c r="H25" s="129">
        <f>IF(B$15=0,0,G25/B$15)</f>
        <v>3.2258064516129032E-3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>IF(B$15=0,0,G26/B$15)</f>
        <v>3.2258064516129032E-3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4</v>
      </c>
      <c r="E27" s="59" t="s">
        <v>84</v>
      </c>
      <c r="F27" s="56" t="s">
        <v>39</v>
      </c>
      <c r="G27" s="44">
        <v>4</v>
      </c>
      <c r="H27" s="129">
        <f>IF(B$15=0,0,G27/B$15)</f>
        <v>2.5806451612903226E-3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>IF(B$15=0,0,G28/B$15)</f>
        <v>1.9354838709677419E-3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>IF(B$15=0,0,G29/B$15)</f>
        <v>1.9354838709677419E-3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14</v>
      </c>
      <c r="C30" s="40">
        <f>IF(B$3=0,0,B30/B$3)</f>
        <v>2.6681913474366306E-3</v>
      </c>
      <c r="E30" s="59" t="s">
        <v>87</v>
      </c>
      <c r="F30" s="56" t="s">
        <v>42</v>
      </c>
      <c r="G30" s="44">
        <v>2</v>
      </c>
      <c r="H30" s="129">
        <f>IF(B$15=0,0,G30/B$15)</f>
        <v>1.2903225806451613E-3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IF(B$15=0,0,G31/B$15)</f>
        <v>1.2903225806451613E-3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113</v>
      </c>
      <c r="C32" s="141">
        <f>IF(B$15=0,0,B32/B$15)</f>
        <v>7.2903225806451616E-2</v>
      </c>
      <c r="E32" s="59" t="s">
        <v>97</v>
      </c>
      <c r="F32" s="56" t="s">
        <v>52</v>
      </c>
      <c r="G32" s="44">
        <v>1</v>
      </c>
      <c r="H32" s="129">
        <f>IF(B$15=0,0,G32/B$15)</f>
        <v>6.4516129032258064E-4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255</v>
      </c>
      <c r="C33" s="37">
        <f t="shared" ref="C33:C44" si="2">IF(B$15=0,0,B33/B$15)</f>
        <v>0.16451612903225807</v>
      </c>
      <c r="E33" s="59" t="s">
        <v>101</v>
      </c>
      <c r="F33" s="56" t="s">
        <v>56</v>
      </c>
      <c r="G33" s="44">
        <v>1</v>
      </c>
      <c r="H33" s="129">
        <f>IF(B$15=0,0,G33/B$15)</f>
        <v>6.4516129032258064E-4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320</v>
      </c>
      <c r="C34" s="37">
        <f>IF(B$15=0,0,B34/B$15)</f>
        <v>0.20645161290322581</v>
      </c>
      <c r="E34" s="59" t="s">
        <v>106</v>
      </c>
      <c r="F34" s="56" t="s">
        <v>113</v>
      </c>
      <c r="G34" s="44">
        <v>1</v>
      </c>
      <c r="H34" s="129">
        <f>IF(B$15=0,0,G34/B$15)</f>
        <v>6.4516129032258064E-4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273</v>
      </c>
      <c r="C35" s="37">
        <f t="shared" si="2"/>
        <v>0.17612903225806451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249</v>
      </c>
      <c r="C36" s="37">
        <f t="shared" si="2"/>
        <v>0.16064516129032258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160</v>
      </c>
      <c r="C37" s="37">
        <f t="shared" si="2"/>
        <v>0.1032258064516129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83</v>
      </c>
      <c r="C38" s="37">
        <f t="shared" si="2"/>
        <v>5.3548387096774196E-2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43</v>
      </c>
      <c r="C39" s="37">
        <f t="shared" si="2"/>
        <v>2.7741935483870966E-2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2"/>
        <v>1.1612903225806452E-2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2"/>
        <v>4.5161290322580649E-3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2"/>
        <v>3.2258064516129032E-3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2"/>
        <v>3.2258064516129032E-3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2"/>
        <v>1.2258064516129033E-2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  <row r="627" spans="11:12" x14ac:dyDescent="0.4">
      <c r="K627" s="36">
        <v>625</v>
      </c>
      <c r="L627" s="95">
        <v>42.299999999999955</v>
      </c>
    </row>
    <row r="628" spans="11:12" x14ac:dyDescent="0.4">
      <c r="K628" s="36">
        <v>626</v>
      </c>
      <c r="L628" s="95">
        <v>46.999999999999957</v>
      </c>
    </row>
    <row r="629" spans="11:12" x14ac:dyDescent="0.4">
      <c r="K629" s="36">
        <v>627</v>
      </c>
      <c r="L629" s="95">
        <v>-4.2632564145606011E-14</v>
      </c>
    </row>
    <row r="630" spans="11:12" x14ac:dyDescent="0.4">
      <c r="K630" s="36">
        <v>628</v>
      </c>
      <c r="L630" s="95">
        <v>-21.600000000000044</v>
      </c>
    </row>
    <row r="631" spans="11:12" x14ac:dyDescent="0.4">
      <c r="K631" s="36">
        <v>629</v>
      </c>
      <c r="L631" s="95">
        <v>0.59999999999995524</v>
      </c>
    </row>
    <row r="632" spans="11:12" x14ac:dyDescent="0.4">
      <c r="K632" s="36">
        <v>630</v>
      </c>
      <c r="L632" s="95">
        <v>-4.4741987892393809E-14</v>
      </c>
    </row>
    <row r="633" spans="11:12" x14ac:dyDescent="0.4">
      <c r="K633" s="36">
        <v>631</v>
      </c>
      <c r="L633" s="95">
        <v>1.0999999999999552</v>
      </c>
    </row>
    <row r="634" spans="11:12" x14ac:dyDescent="0.4">
      <c r="K634" s="36">
        <v>632</v>
      </c>
      <c r="L634" s="95">
        <v>-47.400000000000048</v>
      </c>
    </row>
    <row r="635" spans="11:12" x14ac:dyDescent="0.4">
      <c r="K635" s="36">
        <v>633</v>
      </c>
      <c r="L635" s="95">
        <v>-4.9737991503207013E-14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244-A280-4E3A-97DB-184DBC4F12FE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>IF(B$15=0,0,G4/B$15)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IF(B$15=0,0,G5/B$15)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IF(B$15=0,0,G7/B$15)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IF(B$15=0,0,G8/B$15)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IF(B$15=0,0,G9/B$15)</f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IF(B$15=0,0,G10/B$15)</f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>IF(B$15=0,0,G11/B$15)</f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>IF(B$15=0,0,G12/B$15)</f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>IF(B$15=0,0,G13/B$15)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>IF(B$15=0,0,G14/B$15)</f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>IF(B$15=0,0,G15/B$15)</f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>IF(B$15=0,0,G16/B$15)</f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>IF(P16=0,0,Q16/P16)</f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>IF(B$15=0,0,G17/B$15)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>IF(B$15=0,0,G18/B$15)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>IF(B$15=0,0,G19/B$15)</f>
        <v>7.575757575757576E-3</v>
      </c>
      <c r="I19" s="90">
        <v>4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>IF(B$15=0,0,G20/B$15)</f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>IF(B$15=0,0,G21/B$15)</f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>IF(B$15=0,0,G22/B$15)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2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2"/>
        <v>0.14393939393939395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2"/>
        <v>0.11363636363636363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2"/>
        <v>7.575757575757576E-2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2"/>
        <v>6.0606060606060608E-2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2"/>
        <v>3.0303030303030304E-2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2"/>
        <v>7.575757575757576E-3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D48E-4E45-4A3C-8857-4DF53D9480E1}">
  <sheetPr codeName="Sheet9"/>
  <dimension ref="A1:Q13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131</v>
      </c>
      <c r="C2" s="155"/>
      <c r="E2" s="58" t="s">
        <v>66</v>
      </c>
      <c r="F2" s="55" t="s">
        <v>22</v>
      </c>
      <c r="G2" s="43">
        <v>242</v>
      </c>
      <c r="H2" s="128">
        <f>IF(B$15=0,0,G2/B$15)</f>
        <v>0.66850828729281764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779.06976744186045</v>
      </c>
      <c r="P2" s="114">
        <v>129</v>
      </c>
      <c r="Q2" s="98">
        <v>100500</v>
      </c>
    </row>
    <row r="3" spans="1:17" x14ac:dyDescent="0.4">
      <c r="A3" s="51" t="s">
        <v>8</v>
      </c>
      <c r="B3" s="156">
        <v>1061</v>
      </c>
      <c r="C3" s="157"/>
      <c r="E3" s="59" t="s">
        <v>72</v>
      </c>
      <c r="F3" s="56" t="s">
        <v>27</v>
      </c>
      <c r="G3" s="44">
        <v>180</v>
      </c>
      <c r="H3" s="129">
        <f>IF(B$15=0,0,G3/B$15)</f>
        <v>0.49723756906077349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753.96825396825398</v>
      </c>
      <c r="P3" s="115">
        <v>126</v>
      </c>
      <c r="Q3" s="99">
        <v>95000</v>
      </c>
    </row>
    <row r="4" spans="1:17" x14ac:dyDescent="0.4">
      <c r="A4" s="51" t="s">
        <v>6</v>
      </c>
      <c r="B4" s="158">
        <v>1072.3000000000002</v>
      </c>
      <c r="C4" s="159"/>
      <c r="E4" s="59" t="s">
        <v>64</v>
      </c>
      <c r="F4" s="56" t="s">
        <v>20</v>
      </c>
      <c r="G4" s="44">
        <v>161</v>
      </c>
      <c r="H4" s="129">
        <f>IF(B$15=0,0,G4/B$15)</f>
        <v>0.44475138121546959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990.90909090909088</v>
      </c>
      <c r="P4" s="115">
        <v>121</v>
      </c>
      <c r="Q4" s="99">
        <v>119900</v>
      </c>
    </row>
    <row r="5" spans="1:17" x14ac:dyDescent="0.4">
      <c r="A5" s="51" t="s">
        <v>7</v>
      </c>
      <c r="B5" s="160">
        <f>IF(B$2=0,0,B$4/B$2)</f>
        <v>8.1854961832061086</v>
      </c>
      <c r="C5" s="161"/>
      <c r="E5" s="59" t="s">
        <v>166</v>
      </c>
      <c r="F5" s="56" t="s">
        <v>167</v>
      </c>
      <c r="G5" s="44">
        <v>134</v>
      </c>
      <c r="H5" s="129">
        <f>IF(B$15=0,0,G5/B$15)</f>
        <v>0.37016574585635359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260.71428571428572</v>
      </c>
      <c r="P5" s="115">
        <v>112</v>
      </c>
      <c r="Q5" s="99">
        <v>29200</v>
      </c>
    </row>
    <row r="6" spans="1:17" x14ac:dyDescent="0.4">
      <c r="A6" s="51" t="s">
        <v>1</v>
      </c>
      <c r="B6" s="150">
        <f>IF(B$2=0,0,(B$7*1+B$8*2+B$9*3)/B$2)</f>
        <v>1.7862595419847329</v>
      </c>
      <c r="C6" s="151"/>
      <c r="E6" s="59" t="s">
        <v>68</v>
      </c>
      <c r="F6" s="56" t="s">
        <v>12</v>
      </c>
      <c r="G6" s="44">
        <v>105</v>
      </c>
      <c r="H6" s="129">
        <f>IF(B$15=0,0,G6/B$15)</f>
        <v>0.29005524861878451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2121.9047619047619</v>
      </c>
      <c r="P6" s="115">
        <v>105</v>
      </c>
      <c r="Q6" s="99">
        <v>222800</v>
      </c>
    </row>
    <row r="7" spans="1:17" x14ac:dyDescent="0.4">
      <c r="A7" s="51" t="s">
        <v>2</v>
      </c>
      <c r="B7" s="44">
        <v>60</v>
      </c>
      <c r="C7" s="37">
        <f t="shared" ref="C7:C10" si="1">IF(B$2=0,0,B7/B$2)</f>
        <v>0.4580152671755725</v>
      </c>
      <c r="E7" s="59" t="s">
        <v>67</v>
      </c>
      <c r="F7" s="56" t="s">
        <v>23</v>
      </c>
      <c r="G7" s="44">
        <v>95</v>
      </c>
      <c r="H7" s="129">
        <f>IF(B$15=0,0,G7/B$15)</f>
        <v>0.26243093922651933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2280</v>
      </c>
      <c r="P7" s="116">
        <v>85</v>
      </c>
      <c r="Q7" s="100">
        <v>193800</v>
      </c>
    </row>
    <row r="8" spans="1:17" x14ac:dyDescent="0.4">
      <c r="A8" s="51" t="s">
        <v>3</v>
      </c>
      <c r="B8" s="44">
        <v>39</v>
      </c>
      <c r="C8" s="37">
        <f t="shared" si="1"/>
        <v>0.29770992366412213</v>
      </c>
      <c r="E8" s="59" t="s">
        <v>89</v>
      </c>
      <c r="F8" s="56" t="s">
        <v>44</v>
      </c>
      <c r="G8" s="44">
        <v>56</v>
      </c>
      <c r="H8" s="129">
        <f>IF(B$15=0,0,G8/B$15)</f>
        <v>0.15469613259668508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1"/>
        <v>0.24427480916030533</v>
      </c>
      <c r="E9" s="59" t="s">
        <v>69</v>
      </c>
      <c r="F9" s="56" t="s">
        <v>24</v>
      </c>
      <c r="G9" s="44">
        <v>54</v>
      </c>
      <c r="H9" s="129">
        <f>IF(B$15=0,0,G9/B$15)</f>
        <v>0.14917127071823205</v>
      </c>
      <c r="I9" s="90">
        <v>5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4.5801526717557252E-2</v>
      </c>
      <c r="E10" s="59" t="s">
        <v>65</v>
      </c>
      <c r="F10" s="56" t="s">
        <v>21</v>
      </c>
      <c r="G10" s="44">
        <v>42</v>
      </c>
      <c r="H10" s="129">
        <f>IF(B$15=0,0,G10/B$15)</f>
        <v>0.11602209944751381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4" t="s">
        <v>121</v>
      </c>
      <c r="B11" s="47">
        <v>289</v>
      </c>
      <c r="C11" s="42">
        <f>IF(B$3=0,0,B11/B$3)</f>
        <v>0.27238454288407166</v>
      </c>
      <c r="E11" s="59" t="s">
        <v>86</v>
      </c>
      <c r="F11" s="56" t="s">
        <v>41</v>
      </c>
      <c r="G11" s="44">
        <v>25</v>
      </c>
      <c r="H11" s="129">
        <f>IF(B$15=0,0,G11/B$15)</f>
        <v>6.9060773480662987E-2</v>
      </c>
      <c r="I11" s="90">
        <v>2</v>
      </c>
      <c r="K11" s="36">
        <v>9</v>
      </c>
      <c r="L11" s="95">
        <v>180.89999999999998</v>
      </c>
      <c r="N11" s="111" t="s">
        <v>158</v>
      </c>
      <c r="O11" s="121">
        <f>IF(P11=0,0,Q11/P11)</f>
        <v>4.4733333333333327</v>
      </c>
      <c r="P11" s="115">
        <v>45</v>
      </c>
      <c r="Q11" s="103">
        <v>201.29999999999998</v>
      </c>
    </row>
    <row r="12" spans="1:17" x14ac:dyDescent="0.4">
      <c r="A12" s="51" t="s">
        <v>118</v>
      </c>
      <c r="B12" s="44">
        <v>239</v>
      </c>
      <c r="C12" s="37">
        <f>IF(B$3=0,0,B12/B$3)</f>
        <v>0.22525918944392084</v>
      </c>
      <c r="E12" s="59" t="s">
        <v>71</v>
      </c>
      <c r="F12" s="56" t="s">
        <v>26</v>
      </c>
      <c r="G12" s="44">
        <v>24</v>
      </c>
      <c r="H12" s="129">
        <f>IF(B$15=0,0,G12/B$15)</f>
        <v>6.6298342541436461E-2</v>
      </c>
      <c r="I12" s="90">
        <v>9</v>
      </c>
      <c r="K12" s="36">
        <v>10</v>
      </c>
      <c r="L12" s="95">
        <v>158.19999999999999</v>
      </c>
      <c r="N12" s="112" t="s">
        <v>159</v>
      </c>
      <c r="O12" s="122">
        <f>IF(P12=0,0,Q12/P12)</f>
        <v>10.61020408163265</v>
      </c>
      <c r="P12" s="116">
        <v>49</v>
      </c>
      <c r="Q12" s="104">
        <v>519.89999999999986</v>
      </c>
    </row>
    <row r="13" spans="1:17" x14ac:dyDescent="0.4">
      <c r="A13" s="50" t="s">
        <v>123</v>
      </c>
      <c r="B13" s="43">
        <f>B19</f>
        <v>171</v>
      </c>
      <c r="C13" s="35">
        <f>IF(B$11=0,0,B13/B$11)</f>
        <v>0.59169550173010377</v>
      </c>
      <c r="E13" s="59" t="s">
        <v>70</v>
      </c>
      <c r="F13" s="56" t="s">
        <v>25</v>
      </c>
      <c r="G13" s="44">
        <v>20</v>
      </c>
      <c r="H13" s="129">
        <f>IF(B$15=0,0,G13/B$15)</f>
        <v>5.5248618784530384E-2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115</v>
      </c>
      <c r="C14" s="35">
        <f>IF(B$12=0,0,B14/B$12)</f>
        <v>0.48117154811715479</v>
      </c>
      <c r="E14" s="59" t="s">
        <v>83</v>
      </c>
      <c r="F14" s="56" t="s">
        <v>38</v>
      </c>
      <c r="G14" s="44">
        <v>16</v>
      </c>
      <c r="H14" s="129">
        <f>IF(B$15=0,0,G14/B$15)</f>
        <v>4.4198895027624308E-2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362</v>
      </c>
      <c r="C15" s="35">
        <f>IF(B$3=0,0,B15/B$3)</f>
        <v>0.34118755890669178</v>
      </c>
      <c r="E15" s="59" t="s">
        <v>78</v>
      </c>
      <c r="F15" s="56" t="s">
        <v>33</v>
      </c>
      <c r="G15" s="44">
        <v>14</v>
      </c>
      <c r="H15" s="129">
        <f>IF(B$15=0,0,G15/B$15)</f>
        <v>3.8674033149171269E-2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139</v>
      </c>
      <c r="C16" s="37">
        <f>IF(B$3=0,0,B16/B$3)</f>
        <v>0.13100848256361922</v>
      </c>
      <c r="E16" s="59" t="s">
        <v>162</v>
      </c>
      <c r="F16" s="56" t="s">
        <v>163</v>
      </c>
      <c r="G16" s="44">
        <v>13</v>
      </c>
      <c r="H16" s="129">
        <f>IF(B$15=0,0,G16/B$15)</f>
        <v>3.591160220994475E-2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154</v>
      </c>
      <c r="C17" s="37">
        <f>IF(B$15=0,0,B17/B$15)</f>
        <v>0.425414364640884</v>
      </c>
      <c r="E17" s="59" t="s">
        <v>75</v>
      </c>
      <c r="F17" s="56" t="s">
        <v>30</v>
      </c>
      <c r="G17" s="44">
        <v>3</v>
      </c>
      <c r="H17" s="129">
        <f>IF(B$15=0,0,G17/B$15)</f>
        <v>8.2872928176795577E-3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208</v>
      </c>
      <c r="C18" s="37">
        <f>IF(B$15=0,0,B18/B$15)</f>
        <v>0.574585635359116</v>
      </c>
      <c r="E18" s="59" t="s">
        <v>77</v>
      </c>
      <c r="F18" s="56" t="s">
        <v>32</v>
      </c>
      <c r="G18" s="44">
        <v>3</v>
      </c>
      <c r="H18" s="129">
        <f>IF(B$15=0,0,G18/B$15)</f>
        <v>8.2872928176795577E-3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16.414583333333336</v>
      </c>
      <c r="P18" s="115">
        <v>48</v>
      </c>
      <c r="Q18" s="103">
        <v>787.9000000000002</v>
      </c>
    </row>
    <row r="19" spans="1:17" x14ac:dyDescent="0.4">
      <c r="A19" s="51" t="s">
        <v>197</v>
      </c>
      <c r="B19" s="44">
        <v>171</v>
      </c>
      <c r="C19" s="37">
        <f>IF(B$15=0,0,B19/B$15)</f>
        <v>0.47237569060773482</v>
      </c>
      <c r="E19" s="59" t="s">
        <v>84</v>
      </c>
      <c r="F19" s="56" t="s">
        <v>39</v>
      </c>
      <c r="G19" s="44">
        <v>3</v>
      </c>
      <c r="H19" s="129">
        <f>IF(B$15=0,0,G19/B$15)</f>
        <v>8.2872928176795577E-3</v>
      </c>
      <c r="I19" s="90">
        <v>1</v>
      </c>
      <c r="K19" s="36">
        <v>17</v>
      </c>
      <c r="L19" s="95">
        <v>359.09999999999991</v>
      </c>
      <c r="N19" s="111" t="s">
        <v>127</v>
      </c>
      <c r="O19" s="121">
        <f>IF(P19=0,0,Q19/P19)</f>
        <v>12.754320987654323</v>
      </c>
      <c r="P19" s="115">
        <v>81</v>
      </c>
      <c r="Q19" s="103">
        <v>1033.1000000000001</v>
      </c>
    </row>
    <row r="20" spans="1:17" x14ac:dyDescent="0.4">
      <c r="A20" s="51" t="s">
        <v>195</v>
      </c>
      <c r="B20" s="44">
        <v>115</v>
      </c>
      <c r="C20" s="37">
        <f>IF(B$15=0,0,B20/B$15)</f>
        <v>0.31767955801104975</v>
      </c>
      <c r="E20" s="59" t="s">
        <v>92</v>
      </c>
      <c r="F20" s="56" t="s">
        <v>47</v>
      </c>
      <c r="G20" s="44">
        <v>3</v>
      </c>
      <c r="H20" s="129">
        <f>IF(B$15=0,0,G20/B$15)</f>
        <v>8.2872928176795577E-3</v>
      </c>
      <c r="I20" s="90">
        <v>3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76</v>
      </c>
      <c r="C21" s="37">
        <f>IF(B$15=0,0,B21/B$15)</f>
        <v>0.20994475138121546</v>
      </c>
      <c r="E21" s="59" t="s">
        <v>79</v>
      </c>
      <c r="F21" s="56" t="s">
        <v>34</v>
      </c>
      <c r="G21" s="44">
        <v>2</v>
      </c>
      <c r="H21" s="129">
        <f>IF(B$15=0,0,G21/B$15)</f>
        <v>5.5248618784530384E-3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>IF(P21=0,0,Q21/P21)</f>
        <v>-7.2586206896551726</v>
      </c>
      <c r="P21" s="115">
        <v>29</v>
      </c>
      <c r="Q21" s="103">
        <v>-210.5</v>
      </c>
    </row>
    <row r="22" spans="1:17" x14ac:dyDescent="0.4">
      <c r="A22" s="51" t="s">
        <v>5</v>
      </c>
      <c r="B22" s="48">
        <f>IF(B$15=0,0,C22/B$15)</f>
        <v>8216.5745856353587</v>
      </c>
      <c r="C22" s="39">
        <v>2974400</v>
      </c>
      <c r="E22" s="59" t="s">
        <v>81</v>
      </c>
      <c r="F22" s="56" t="s">
        <v>36</v>
      </c>
      <c r="G22" s="44">
        <v>2</v>
      </c>
      <c r="H22" s="129">
        <f>IF(B$15=0,0,G22/B$15)</f>
        <v>5.5248618784530384E-3</v>
      </c>
      <c r="I22" s="90">
        <v>9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8531.9838056680164</v>
      </c>
      <c r="C23" s="137">
        <v>2107400</v>
      </c>
      <c r="E23" s="59" t="s">
        <v>85</v>
      </c>
      <c r="F23" s="56" t="s">
        <v>40</v>
      </c>
      <c r="G23" s="44">
        <v>2</v>
      </c>
      <c r="H23" s="129">
        <f>IF(B$15=0,0,G23/B$15)</f>
        <v>5.5248618784530384E-3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7539.130434782609</v>
      </c>
      <c r="C24" s="137">
        <v>867000</v>
      </c>
      <c r="E24" s="59" t="s">
        <v>88</v>
      </c>
      <c r="F24" s="56" t="s">
        <v>43</v>
      </c>
      <c r="G24" s="44">
        <v>2</v>
      </c>
      <c r="H24" s="129">
        <f>IF(B$15=0,0,G24/B$15)</f>
        <v>5.5248618784530384E-3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-7852.517985611511</v>
      </c>
      <c r="C25" s="137">
        <v>-1091500</v>
      </c>
      <c r="E25" s="59" t="s">
        <v>91</v>
      </c>
      <c r="F25" s="56" t="s">
        <v>46</v>
      </c>
      <c r="G25" s="44">
        <v>2</v>
      </c>
      <c r="H25" s="129">
        <f>IF(B$15=0,0,G25/B$15)</f>
        <v>5.5248618784530384E-3</v>
      </c>
      <c r="I25" s="90">
        <v>8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74</v>
      </c>
      <c r="F26" s="56" t="s">
        <v>29</v>
      </c>
      <c r="G26" s="44">
        <v>1</v>
      </c>
      <c r="H26" s="129">
        <f>IF(B$15=0,0,G26/B$15)</f>
        <v>2.7624309392265192E-3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0</v>
      </c>
      <c r="E27" s="59" t="s">
        <v>90</v>
      </c>
      <c r="F27" s="56" t="s">
        <v>45</v>
      </c>
      <c r="G27" s="44">
        <v>1</v>
      </c>
      <c r="H27" s="129">
        <f>IF(B$15=0,0,G27/B$15)</f>
        <v>2.7624309392265192E-3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2.7624309392265192E-3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2.7624309392265192E-3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9.42507068803016E-4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29</v>
      </c>
      <c r="C32" s="141">
        <f>IF(B$15=0,0,B32/B$15)</f>
        <v>8.0110497237569064E-2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2">IF(B$15=0,0,B33/B$15)</f>
        <v>0.17679558011049723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80</v>
      </c>
      <c r="C34" s="37">
        <f>IF(B$15=0,0,B34/B$15)</f>
        <v>0.22099447513812154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69</v>
      </c>
      <c r="C35" s="37">
        <f t="shared" si="2"/>
        <v>0.19060773480662985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50</v>
      </c>
      <c r="C36" s="37">
        <f t="shared" si="2"/>
        <v>0.13812154696132597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37</v>
      </c>
      <c r="C37" s="37">
        <f t="shared" si="2"/>
        <v>0.10220994475138122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16</v>
      </c>
      <c r="C38" s="37">
        <f t="shared" si="2"/>
        <v>4.4198895027624308E-2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4</v>
      </c>
      <c r="C39" s="37">
        <f t="shared" si="2"/>
        <v>1.1049723756906077E-2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2"/>
        <v>1.9337016574585635E-2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2"/>
        <v>2.7624309392265192E-3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2"/>
        <v>1.3812154696132596E-2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  <row r="131" spans="11:12" x14ac:dyDescent="0.4">
      <c r="K131" s="36">
        <v>129</v>
      </c>
      <c r="L131" s="95">
        <v>1098.6000000000001</v>
      </c>
    </row>
    <row r="132" spans="11:12" x14ac:dyDescent="0.4">
      <c r="K132" s="36">
        <v>130</v>
      </c>
      <c r="L132" s="95">
        <v>1120.8000000000002</v>
      </c>
    </row>
    <row r="133" spans="11:12" x14ac:dyDescent="0.4">
      <c r="K133" s="36">
        <v>131</v>
      </c>
      <c r="L133" s="95">
        <v>1072.3000000000002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3C534-FC5C-4F1B-B78B-B15EDF6FED34}">
  <sheetPr codeName="Sheet11"/>
  <dimension ref="A1:Q12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119</v>
      </c>
      <c r="C2" s="155"/>
      <c r="E2" s="58" t="s">
        <v>66</v>
      </c>
      <c r="F2" s="55" t="s">
        <v>22</v>
      </c>
      <c r="G2" s="43">
        <v>257</v>
      </c>
      <c r="H2" s="128">
        <f>IF(B$15=0,0,G2/B$15)</f>
        <v>0.83713355048859939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-1194.9152542372881</v>
      </c>
      <c r="P2" s="114">
        <v>118</v>
      </c>
      <c r="Q2" s="98">
        <v>-141000</v>
      </c>
    </row>
    <row r="3" spans="1:17" x14ac:dyDescent="0.4">
      <c r="A3" s="51" t="s">
        <v>8</v>
      </c>
      <c r="B3" s="156">
        <v>998</v>
      </c>
      <c r="C3" s="157"/>
      <c r="E3" s="59" t="s">
        <v>72</v>
      </c>
      <c r="F3" s="56" t="s">
        <v>27</v>
      </c>
      <c r="G3" s="44">
        <v>177</v>
      </c>
      <c r="H3" s="129">
        <f>IF(B$15=0,0,G3/B$15)</f>
        <v>0.57654723127035834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1765.5172413793102</v>
      </c>
      <c r="P3" s="115">
        <v>116</v>
      </c>
      <c r="Q3" s="99">
        <v>204800</v>
      </c>
    </row>
    <row r="4" spans="1:17" x14ac:dyDescent="0.4">
      <c r="A4" s="51" t="s">
        <v>6</v>
      </c>
      <c r="B4" s="158">
        <v>141.29999999999978</v>
      </c>
      <c r="C4" s="159"/>
      <c r="E4" s="59" t="s">
        <v>166</v>
      </c>
      <c r="F4" s="56" t="s">
        <v>167</v>
      </c>
      <c r="G4" s="44">
        <v>123</v>
      </c>
      <c r="H4" s="129">
        <f>IF(B$15=0,0,G4/B$15)</f>
        <v>0.40065146579804561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-182.24299065420561</v>
      </c>
      <c r="P4" s="115">
        <v>107</v>
      </c>
      <c r="Q4" s="99">
        <v>-19500</v>
      </c>
    </row>
    <row r="5" spans="1:17" x14ac:dyDescent="0.4">
      <c r="A5" s="51" t="s">
        <v>7</v>
      </c>
      <c r="B5" s="160">
        <f>IF(B$2=0,0,B$4/B$2)</f>
        <v>1.1873949579831915</v>
      </c>
      <c r="C5" s="161"/>
      <c r="E5" s="59" t="s">
        <v>64</v>
      </c>
      <c r="F5" s="56" t="s">
        <v>20</v>
      </c>
      <c r="G5" s="44">
        <v>117</v>
      </c>
      <c r="H5" s="129">
        <f>IF(B$15=0,0,G5/B$15)</f>
        <v>0.38110749185667753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804.95049504950498</v>
      </c>
      <c r="P5" s="115">
        <v>101</v>
      </c>
      <c r="Q5" s="99">
        <v>81300</v>
      </c>
    </row>
    <row r="6" spans="1:17" x14ac:dyDescent="0.4">
      <c r="A6" s="51" t="s">
        <v>1</v>
      </c>
      <c r="B6" s="150">
        <f>IF(B$2=0,0,(B$7*1+B$8*2+B$9*3)/B$2)</f>
        <v>1.9411764705882353</v>
      </c>
      <c r="C6" s="151"/>
      <c r="E6" s="59" t="s">
        <v>68</v>
      </c>
      <c r="F6" s="56" t="s">
        <v>12</v>
      </c>
      <c r="G6" s="44">
        <v>82</v>
      </c>
      <c r="H6" s="129">
        <f>IF(B$15=0,0,G6/B$15)</f>
        <v>0.26710097719869708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-1137.6344086021506</v>
      </c>
      <c r="P6" s="115">
        <v>93</v>
      </c>
      <c r="Q6" s="99">
        <v>-105800</v>
      </c>
    </row>
    <row r="7" spans="1:17" x14ac:dyDescent="0.4">
      <c r="A7" s="51" t="s">
        <v>2</v>
      </c>
      <c r="B7" s="44">
        <v>42</v>
      </c>
      <c r="C7" s="37">
        <f t="shared" ref="C7:C10" si="1">IF(B$2=0,0,B7/B$2)</f>
        <v>0.35294117647058826</v>
      </c>
      <c r="E7" s="59" t="s">
        <v>67</v>
      </c>
      <c r="F7" s="56" t="s">
        <v>23</v>
      </c>
      <c r="G7" s="44">
        <v>68</v>
      </c>
      <c r="H7" s="129">
        <f>IF(B$15=0,0,G7/B$15)</f>
        <v>0.22149837133550487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1402.5316455696202</v>
      </c>
      <c r="P7" s="116">
        <v>79</v>
      </c>
      <c r="Q7" s="100">
        <v>110800</v>
      </c>
    </row>
    <row r="8" spans="1:17" x14ac:dyDescent="0.4">
      <c r="A8" s="51" t="s">
        <v>3</v>
      </c>
      <c r="B8" s="44">
        <v>42</v>
      </c>
      <c r="C8" s="37">
        <f t="shared" si="1"/>
        <v>0.35294117647058826</v>
      </c>
      <c r="E8" s="59" t="s">
        <v>89</v>
      </c>
      <c r="F8" s="56" t="s">
        <v>44</v>
      </c>
      <c r="G8" s="44">
        <v>38</v>
      </c>
      <c r="H8" s="129">
        <f>IF(B$15=0,0,G8/B$15)</f>
        <v>0.12377850162866449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1"/>
        <v>0.29411764705882354</v>
      </c>
      <c r="E9" s="59" t="s">
        <v>69</v>
      </c>
      <c r="F9" s="56" t="s">
        <v>24</v>
      </c>
      <c r="G9" s="44">
        <v>36</v>
      </c>
      <c r="H9" s="129">
        <f>IF(B$15=0,0,G9/B$15)</f>
        <v>0.11726384364820847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1"/>
        <v>0.13445378151260504</v>
      </c>
      <c r="E10" s="59" t="s">
        <v>71</v>
      </c>
      <c r="F10" s="56" t="s">
        <v>26</v>
      </c>
      <c r="G10" s="44">
        <v>28</v>
      </c>
      <c r="H10" s="129">
        <f>IF(B$15=0,0,G10/B$15)</f>
        <v>9.1205211726384364E-2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1.3593750000000007</v>
      </c>
      <c r="P10" s="114">
        <v>32</v>
      </c>
      <c r="Q10" s="102">
        <v>43.500000000000021</v>
      </c>
    </row>
    <row r="11" spans="1:17" x14ac:dyDescent="0.4">
      <c r="A11" s="54" t="s">
        <v>121</v>
      </c>
      <c r="B11" s="47">
        <v>228</v>
      </c>
      <c r="C11" s="42">
        <f>IF(B$3=0,0,B11/B$3)</f>
        <v>0.22845691382765532</v>
      </c>
      <c r="E11" s="59" t="s">
        <v>65</v>
      </c>
      <c r="F11" s="56" t="s">
        <v>21</v>
      </c>
      <c r="G11" s="44">
        <v>26</v>
      </c>
      <c r="H11" s="129">
        <f>IF(B$15=0,0,G11/B$15)</f>
        <v>8.4690553745928335E-2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1" t="s">
        <v>118</v>
      </c>
      <c r="B12" s="44">
        <v>310</v>
      </c>
      <c r="C12" s="37">
        <f>IF(B$3=0,0,B12/B$3)</f>
        <v>0.31062124248496992</v>
      </c>
      <c r="E12" s="59" t="s">
        <v>70</v>
      </c>
      <c r="F12" s="56" t="s">
        <v>25</v>
      </c>
      <c r="G12" s="44">
        <v>26</v>
      </c>
      <c r="H12" s="129">
        <f>IF(B$15=0,0,G12/B$15)</f>
        <v>8.4690553745928335E-2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-3.9380000000000006</v>
      </c>
      <c r="P12" s="116">
        <v>50</v>
      </c>
      <c r="Q12" s="104">
        <v>-196.90000000000003</v>
      </c>
    </row>
    <row r="13" spans="1:17" x14ac:dyDescent="0.4">
      <c r="A13" s="50" t="s">
        <v>123</v>
      </c>
      <c r="B13" s="43">
        <f>B19</f>
        <v>115</v>
      </c>
      <c r="C13" s="35">
        <f>IF(B$11=0,0,B13/B$11)</f>
        <v>0.50438596491228072</v>
      </c>
      <c r="E13" s="59" t="s">
        <v>86</v>
      </c>
      <c r="F13" s="56" t="s">
        <v>41</v>
      </c>
      <c r="G13" s="44">
        <v>20</v>
      </c>
      <c r="H13" s="129">
        <f>IF(B$15=0,0,G13/B$15)</f>
        <v>6.5146579804560262E-2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118</v>
      </c>
      <c r="C14" s="35">
        <f>IF(B$12=0,0,B14/B$12)</f>
        <v>0.38064516129032255</v>
      </c>
      <c r="E14" s="59" t="s">
        <v>83</v>
      </c>
      <c r="F14" s="56" t="s">
        <v>38</v>
      </c>
      <c r="G14" s="44">
        <v>19</v>
      </c>
      <c r="H14" s="129">
        <f>IF(B$15=0,0,G14/B$15)</f>
        <v>6.1889250814332247E-2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307</v>
      </c>
      <c r="C15" s="35">
        <f>IF(B$3=0,0,B15/B$3)</f>
        <v>0.30761523046092182</v>
      </c>
      <c r="E15" s="59" t="s">
        <v>78</v>
      </c>
      <c r="F15" s="56" t="s">
        <v>33</v>
      </c>
      <c r="G15" s="44">
        <v>9</v>
      </c>
      <c r="H15" s="129">
        <f>IF(B$15=0,0,G15/B$15)</f>
        <v>2.9315960912052116E-2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190</v>
      </c>
      <c r="C16" s="37">
        <f>IF(B$3=0,0,B16/B$3)</f>
        <v>0.19038076152304609</v>
      </c>
      <c r="E16" s="59" t="s">
        <v>91</v>
      </c>
      <c r="F16" s="56" t="s">
        <v>46</v>
      </c>
      <c r="G16" s="44">
        <v>9</v>
      </c>
      <c r="H16" s="129">
        <f>IF(B$15=0,0,G16/B$15)</f>
        <v>2.9315960912052116E-2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125</v>
      </c>
      <c r="C17" s="37">
        <f>IF(B$15=0,0,B17/B$15)</f>
        <v>0.40716612377850164</v>
      </c>
      <c r="E17" s="59" t="s">
        <v>81</v>
      </c>
      <c r="F17" s="56" t="s">
        <v>36</v>
      </c>
      <c r="G17" s="44">
        <v>8</v>
      </c>
      <c r="H17" s="129">
        <f>IF(B$15=0,0,G17/B$15)</f>
        <v>2.6058631921824105E-2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16.464102564102557</v>
      </c>
      <c r="P17" s="115">
        <v>39</v>
      </c>
      <c r="Q17" s="103">
        <v>642.0999999999998</v>
      </c>
    </row>
    <row r="18" spans="1:17" x14ac:dyDescent="0.4">
      <c r="A18" s="51" t="s">
        <v>11</v>
      </c>
      <c r="B18" s="44">
        <v>182</v>
      </c>
      <c r="C18" s="37">
        <f>IF(B$15=0,0,B18/B$15)</f>
        <v>0.59283387622149841</v>
      </c>
      <c r="E18" s="59" t="s">
        <v>79</v>
      </c>
      <c r="F18" s="56" t="s">
        <v>34</v>
      </c>
      <c r="G18" s="44">
        <v>6</v>
      </c>
      <c r="H18" s="129">
        <f>IF(B$15=0,0,G18/B$15)</f>
        <v>1.9543973941368076E-2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115</v>
      </c>
      <c r="C19" s="37">
        <f>IF(B$15=0,0,B19/B$15)</f>
        <v>0.3745928338762215</v>
      </c>
      <c r="E19" s="59" t="s">
        <v>92</v>
      </c>
      <c r="F19" s="56" t="s">
        <v>47</v>
      </c>
      <c r="G19" s="44">
        <v>3</v>
      </c>
      <c r="H19" s="129">
        <f>IF(B$15=0,0,G19/B$15)</f>
        <v>9.7719869706840382E-3</v>
      </c>
      <c r="I19" s="90">
        <v>2</v>
      </c>
      <c r="K19" s="36">
        <v>17</v>
      </c>
      <c r="L19" s="95">
        <v>-179.70000000000002</v>
      </c>
      <c r="N19" s="111" t="s">
        <v>161</v>
      </c>
      <c r="O19" s="121">
        <f>IF(P19=0,0,Q19/P19)</f>
        <v>6.1159999999999988</v>
      </c>
      <c r="P19" s="115">
        <v>25</v>
      </c>
      <c r="Q19" s="103">
        <v>152.89999999999998</v>
      </c>
    </row>
    <row r="20" spans="1:17" x14ac:dyDescent="0.4">
      <c r="A20" s="51" t="s">
        <v>195</v>
      </c>
      <c r="B20" s="44">
        <v>118</v>
      </c>
      <c r="C20" s="37">
        <f>IF(B$15=0,0,B20/B$15)</f>
        <v>0.38436482084690554</v>
      </c>
      <c r="E20" s="59" t="s">
        <v>162</v>
      </c>
      <c r="F20" s="56" t="s">
        <v>163</v>
      </c>
      <c r="G20" s="44">
        <v>3</v>
      </c>
      <c r="H20" s="129">
        <f>IF(B$15=0,0,G20/B$15)</f>
        <v>9.7719869706840382E-3</v>
      </c>
      <c r="I20" s="90">
        <v>7</v>
      </c>
      <c r="K20" s="36">
        <v>18</v>
      </c>
      <c r="L20" s="95">
        <v>-112.90000000000002</v>
      </c>
      <c r="N20" s="111" t="s">
        <v>170</v>
      </c>
      <c r="O20" s="121">
        <f>IF(P20=0,0,Q20/P20)</f>
        <v>5.0818181818181865</v>
      </c>
      <c r="P20" s="115">
        <v>33</v>
      </c>
      <c r="Q20" s="103">
        <v>167.70000000000016</v>
      </c>
    </row>
    <row r="21" spans="1:17" x14ac:dyDescent="0.4">
      <c r="A21" s="51" t="s">
        <v>196</v>
      </c>
      <c r="B21" s="44">
        <v>74</v>
      </c>
      <c r="C21" s="37">
        <f>IF(B$15=0,0,B21/B$15)</f>
        <v>0.24104234527687296</v>
      </c>
      <c r="E21" s="59" t="s">
        <v>74</v>
      </c>
      <c r="F21" s="56" t="s">
        <v>29</v>
      </c>
      <c r="G21" s="44">
        <v>2</v>
      </c>
      <c r="H21" s="129">
        <f>IF(B$15=0,0,G21/B$15)</f>
        <v>6.5146579804560263E-3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8487.6221498371342</v>
      </c>
      <c r="C22" s="39">
        <v>2605700</v>
      </c>
      <c r="E22" s="59" t="s">
        <v>75</v>
      </c>
      <c r="F22" s="56" t="s">
        <v>30</v>
      </c>
      <c r="G22" s="44">
        <v>2</v>
      </c>
      <c r="H22" s="129">
        <f>IF(B$15=0,0,G22/B$15)</f>
        <v>6.5146579804560263E-3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-12.754320987654323</v>
      </c>
      <c r="P22" s="115">
        <v>81</v>
      </c>
      <c r="Q22" s="103">
        <v>-1033.1000000000001</v>
      </c>
    </row>
    <row r="23" spans="1:17" x14ac:dyDescent="0.4">
      <c r="A23" s="52" t="s">
        <v>177</v>
      </c>
      <c r="B23" s="136">
        <f>IF($B$15-B$14=0,0,C23/($B$15-B$14))</f>
        <v>9139.6825396825388</v>
      </c>
      <c r="C23" s="137">
        <v>1727400</v>
      </c>
      <c r="E23" s="59" t="s">
        <v>73</v>
      </c>
      <c r="F23" s="56" t="s">
        <v>28</v>
      </c>
      <c r="G23" s="44">
        <v>1</v>
      </c>
      <c r="H23" s="129">
        <f>IF(B$15=0,0,G23/B$15)</f>
        <v>3.2573289902280132E-3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7443.2203389830511</v>
      </c>
      <c r="C24" s="137">
        <v>878300</v>
      </c>
      <c r="E24" s="59" t="s">
        <v>77</v>
      </c>
      <c r="F24" s="56" t="s">
        <v>32</v>
      </c>
      <c r="G24" s="44">
        <v>1</v>
      </c>
      <c r="H24" s="129">
        <f>IF(B$15=0,0,G24/B$15)</f>
        <v>3.2573289902280132E-3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-8022.105263157895</v>
      </c>
      <c r="C25" s="137">
        <v>-1524200</v>
      </c>
      <c r="E25" s="59" t="s">
        <v>84</v>
      </c>
      <c r="F25" s="56" t="s">
        <v>39</v>
      </c>
      <c r="G25" s="44">
        <v>1</v>
      </c>
      <c r="H25" s="129">
        <f>IF(B$15=0,0,G25/B$15)</f>
        <v>3.2573289902280132E-3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95</v>
      </c>
      <c r="F26" s="56" t="s">
        <v>50</v>
      </c>
      <c r="G26" s="44">
        <v>1</v>
      </c>
      <c r="H26" s="129">
        <f>IF(B$15=0,0,G26/B$15)</f>
        <v>3.2573289902280132E-3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3</v>
      </c>
      <c r="C30" s="40">
        <f>IF(B$3=0,0,B30/B$3)</f>
        <v>3.0060120240480962E-3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21</v>
      </c>
      <c r="C32" s="141">
        <f>IF(B$15=0,0,B32/B$15)</f>
        <v>6.8403908794788276E-2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46</v>
      </c>
      <c r="C33" s="37">
        <f t="shared" ref="C33:C44" si="2">IF(B$15=0,0,B33/B$15)</f>
        <v>0.14983713355048861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68</v>
      </c>
      <c r="C34" s="37">
        <f>IF(B$15=0,0,B34/B$15)</f>
        <v>0.22149837133550487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61</v>
      </c>
      <c r="C35" s="37">
        <f t="shared" si="2"/>
        <v>0.1986970684039088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48</v>
      </c>
      <c r="C36" s="37">
        <f t="shared" si="2"/>
        <v>0.15635179153094461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33</v>
      </c>
      <c r="C37" s="37">
        <f t="shared" si="2"/>
        <v>0.10749185667752444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2"/>
        <v>3.2573289902280131E-2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2"/>
        <v>2.6058631921824105E-2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2"/>
        <v>1.6286644951140065E-2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2"/>
        <v>3.2573289902280132E-3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2"/>
        <v>6.5146579804560263E-3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2"/>
        <v>1.3029315960912053E-2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597A-E17A-4526-A48F-E8E749DDF1EC}">
  <sheetPr codeName="Sheet13"/>
  <dimension ref="A1:Q7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74</v>
      </c>
      <c r="C2" s="155"/>
      <c r="E2" s="58" t="s">
        <v>66</v>
      </c>
      <c r="F2" s="55" t="s">
        <v>22</v>
      </c>
      <c r="G2" s="43">
        <v>133</v>
      </c>
      <c r="H2" s="128">
        <f>IF(B$15=0,0,G2/B$15)</f>
        <v>0.77325581395348841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-284.72222222222223</v>
      </c>
      <c r="P2" s="114">
        <v>72</v>
      </c>
      <c r="Q2" s="98">
        <v>-20500</v>
      </c>
    </row>
    <row r="3" spans="1:17" x14ac:dyDescent="0.4">
      <c r="A3" s="51" t="s">
        <v>8</v>
      </c>
      <c r="B3" s="156">
        <v>620</v>
      </c>
      <c r="C3" s="157"/>
      <c r="E3" s="59" t="s">
        <v>64</v>
      </c>
      <c r="F3" s="56" t="s">
        <v>20</v>
      </c>
      <c r="G3" s="44">
        <v>101</v>
      </c>
      <c r="H3" s="129">
        <f>IF(B$15=0,0,G3/B$15)</f>
        <v>0.58720930232558144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-1340.2777777777778</v>
      </c>
      <c r="P3" s="115">
        <v>72</v>
      </c>
      <c r="Q3" s="99">
        <v>-96500</v>
      </c>
    </row>
    <row r="4" spans="1:17" x14ac:dyDescent="0.4">
      <c r="A4" s="51" t="s">
        <v>6</v>
      </c>
      <c r="B4" s="158">
        <v>-505.3</v>
      </c>
      <c r="C4" s="159"/>
      <c r="E4" s="59" t="s">
        <v>72</v>
      </c>
      <c r="F4" s="56" t="s">
        <v>27</v>
      </c>
      <c r="G4" s="44">
        <v>87</v>
      </c>
      <c r="H4" s="129">
        <f>IF(B$15=0,0,G4/B$15)</f>
        <v>0.5058139534883721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1081.8181818181818</v>
      </c>
      <c r="P4" s="115">
        <v>66</v>
      </c>
      <c r="Q4" s="99">
        <v>71400</v>
      </c>
    </row>
    <row r="5" spans="1:17" x14ac:dyDescent="0.4">
      <c r="A5" s="51" t="s">
        <v>7</v>
      </c>
      <c r="B5" s="160">
        <f>IF(B$2=0,0,B$4/B$2)</f>
        <v>-6.8283783783783782</v>
      </c>
      <c r="C5" s="161"/>
      <c r="E5" s="59" t="s">
        <v>166</v>
      </c>
      <c r="F5" s="56" t="s">
        <v>167</v>
      </c>
      <c r="G5" s="44">
        <v>74</v>
      </c>
      <c r="H5" s="129">
        <f>IF(B$15=0,0,G5/B$15)</f>
        <v>0.43023255813953487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-1144.6153846153845</v>
      </c>
      <c r="P5" s="115">
        <v>65</v>
      </c>
      <c r="Q5" s="99">
        <v>-74400</v>
      </c>
    </row>
    <row r="6" spans="1:17" x14ac:dyDescent="0.4">
      <c r="A6" s="51" t="s">
        <v>1</v>
      </c>
      <c r="B6" s="150">
        <f>IF(B$2=0,0,(B$7*1+B$8*2+B$9*3)/B$2)</f>
        <v>2.1621621621621623</v>
      </c>
      <c r="C6" s="151"/>
      <c r="E6" s="59" t="s">
        <v>68</v>
      </c>
      <c r="F6" s="56" t="s">
        <v>12</v>
      </c>
      <c r="G6" s="44">
        <v>62</v>
      </c>
      <c r="H6" s="129">
        <f>IF(B$15=0,0,G6/B$15)</f>
        <v>0.36046511627906974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-3072.1311475409834</v>
      </c>
      <c r="P6" s="115">
        <v>61</v>
      </c>
      <c r="Q6" s="99">
        <v>-187400</v>
      </c>
    </row>
    <row r="7" spans="1:17" x14ac:dyDescent="0.4">
      <c r="A7" s="51" t="s">
        <v>2</v>
      </c>
      <c r="B7" s="44">
        <v>17</v>
      </c>
      <c r="C7" s="37">
        <f t="shared" ref="C7:C10" si="1">IF(B$2=0,0,B7/B$2)</f>
        <v>0.22972972972972974</v>
      </c>
      <c r="E7" s="59" t="s">
        <v>67</v>
      </c>
      <c r="F7" s="56" t="s">
        <v>23</v>
      </c>
      <c r="G7" s="44">
        <v>51</v>
      </c>
      <c r="H7" s="129">
        <f>IF(B$15=0,0,G7/B$15)</f>
        <v>0.29651162790697677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-1566.0377358490566</v>
      </c>
      <c r="P7" s="116">
        <v>53</v>
      </c>
      <c r="Q7" s="100">
        <v>-83000</v>
      </c>
    </row>
    <row r="8" spans="1:17" x14ac:dyDescent="0.4">
      <c r="A8" s="51" t="s">
        <v>3</v>
      </c>
      <c r="B8" s="44">
        <v>28</v>
      </c>
      <c r="C8" s="37">
        <f t="shared" si="1"/>
        <v>0.3783783783783784</v>
      </c>
      <c r="E8" s="59" t="s">
        <v>69</v>
      </c>
      <c r="F8" s="56" t="s">
        <v>24</v>
      </c>
      <c r="G8" s="44">
        <v>26</v>
      </c>
      <c r="H8" s="129">
        <f>IF(B$15=0,0,G8/B$15)</f>
        <v>0.15116279069767441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0.39189189189189189</v>
      </c>
      <c r="E9" s="59" t="s">
        <v>70</v>
      </c>
      <c r="F9" s="56" t="s">
        <v>25</v>
      </c>
      <c r="G9" s="44">
        <v>25</v>
      </c>
      <c r="H9" s="129">
        <f>IF(B$15=0,0,G9/B$15)</f>
        <v>0.14534883720930233</v>
      </c>
      <c r="I9" s="90">
        <v>1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8.1081081081081086E-2</v>
      </c>
      <c r="E10" s="59" t="s">
        <v>65</v>
      </c>
      <c r="F10" s="56" t="s">
        <v>21</v>
      </c>
      <c r="G10" s="44">
        <v>21</v>
      </c>
      <c r="H10" s="129">
        <f>IF(B$15=0,0,G10/B$15)</f>
        <v>0.12209302325581395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-4.4285714285714297</v>
      </c>
      <c r="P10" s="114">
        <v>28</v>
      </c>
      <c r="Q10" s="102">
        <v>-124.00000000000003</v>
      </c>
    </row>
    <row r="11" spans="1:17" x14ac:dyDescent="0.4">
      <c r="A11" s="54" t="s">
        <v>121</v>
      </c>
      <c r="B11" s="47">
        <v>178</v>
      </c>
      <c r="C11" s="42">
        <f>IF(B$3=0,0,B11/B$3)</f>
        <v>0.2870967741935484</v>
      </c>
      <c r="E11" s="59" t="s">
        <v>89</v>
      </c>
      <c r="F11" s="56" t="s">
        <v>44</v>
      </c>
      <c r="G11" s="44">
        <v>20</v>
      </c>
      <c r="H11" s="129">
        <f>IF(B$15=0,0,G11/B$15)</f>
        <v>0.11627906976744186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">
      <c r="A12" s="51" t="s">
        <v>118</v>
      </c>
      <c r="B12" s="44">
        <v>120</v>
      </c>
      <c r="C12" s="37">
        <f>IF(B$3=0,0,B12/B$3)</f>
        <v>0.19354838709677419</v>
      </c>
      <c r="E12" s="59" t="s">
        <v>83</v>
      </c>
      <c r="F12" s="56" t="s">
        <v>38</v>
      </c>
      <c r="G12" s="44">
        <v>10</v>
      </c>
      <c r="H12" s="129">
        <f>IF(B$15=0,0,G12/B$15)</f>
        <v>5.8139534883720929E-2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102</v>
      </c>
      <c r="C13" s="35">
        <f>IF(B$11=0,0,B13/B$11)</f>
        <v>0.5730337078651685</v>
      </c>
      <c r="E13" s="59" t="s">
        <v>71</v>
      </c>
      <c r="F13" s="56" t="s">
        <v>26</v>
      </c>
      <c r="G13" s="44">
        <v>7</v>
      </c>
      <c r="H13" s="129">
        <f>IF(B$15=0,0,G13/B$15)</f>
        <v>4.0697674418604654E-2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48</v>
      </c>
      <c r="C14" s="35">
        <f>IF(B$12=0,0,B14/B$12)</f>
        <v>0.4</v>
      </c>
      <c r="E14" s="59" t="s">
        <v>78</v>
      </c>
      <c r="F14" s="56" t="s">
        <v>33</v>
      </c>
      <c r="G14" s="44">
        <v>6</v>
      </c>
      <c r="H14" s="129">
        <f>IF(B$15=0,0,G14/B$15)</f>
        <v>3.4883720930232558E-2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172</v>
      </c>
      <c r="C15" s="35">
        <f>IF(B$3=0,0,B15/B$3)</f>
        <v>0.27741935483870966</v>
      </c>
      <c r="E15" s="59" t="s">
        <v>86</v>
      </c>
      <c r="F15" s="56" t="s">
        <v>41</v>
      </c>
      <c r="G15" s="44">
        <v>4</v>
      </c>
      <c r="H15" s="129">
        <f>IF(B$15=0,0,G15/B$15)</f>
        <v>2.3255813953488372E-2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125</v>
      </c>
      <c r="C16" s="37">
        <f>IF(B$3=0,0,B16/B$3)</f>
        <v>0.20161290322580644</v>
      </c>
      <c r="E16" s="59" t="s">
        <v>81</v>
      </c>
      <c r="F16" s="56" t="s">
        <v>36</v>
      </c>
      <c r="G16" s="44">
        <v>3</v>
      </c>
      <c r="H16" s="129">
        <f>IF(B$15=0,0,G16/B$15)</f>
        <v>1.7441860465116279E-2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80</v>
      </c>
      <c r="C17" s="37">
        <f>IF(B$15=0,0,B17/B$15)</f>
        <v>0.46511627906976744</v>
      </c>
      <c r="E17" s="59" t="s">
        <v>162</v>
      </c>
      <c r="F17" s="56" t="s">
        <v>163</v>
      </c>
      <c r="G17" s="44">
        <v>3</v>
      </c>
      <c r="H17" s="129">
        <f>IF(B$15=0,0,G17/B$15)</f>
        <v>1.7441860465116279E-2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92</v>
      </c>
      <c r="C18" s="37">
        <f>IF(B$15=0,0,B18/B$15)</f>
        <v>0.53488372093023251</v>
      </c>
      <c r="E18" s="59" t="s">
        <v>75</v>
      </c>
      <c r="F18" s="56" t="s">
        <v>30</v>
      </c>
      <c r="G18" s="44">
        <v>2</v>
      </c>
      <c r="H18" s="129">
        <f>IF(B$15=0,0,G18/B$15)</f>
        <v>1.1627906976744186E-2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102</v>
      </c>
      <c r="C19" s="37">
        <f>IF(B$15=0,0,B19/B$15)</f>
        <v>0.59302325581395354</v>
      </c>
      <c r="E19" s="59" t="s">
        <v>79</v>
      </c>
      <c r="F19" s="56" t="s">
        <v>34</v>
      </c>
      <c r="G19" s="44">
        <v>2</v>
      </c>
      <c r="H19" s="129">
        <f>IF(B$15=0,0,G19/B$15)</f>
        <v>1.1627906976744186E-2</v>
      </c>
      <c r="I19" s="90">
        <v>5</v>
      </c>
      <c r="K19" s="36">
        <v>17</v>
      </c>
      <c r="L19" s="95">
        <v>-251.4</v>
      </c>
      <c r="N19" s="111" t="s">
        <v>171</v>
      </c>
      <c r="O19" s="121">
        <f>IF(P19=0,0,Q19/P19)</f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48</v>
      </c>
      <c r="C20" s="37">
        <f>IF(B$15=0,0,B20/B$15)</f>
        <v>0.27906976744186046</v>
      </c>
      <c r="E20" s="59" t="s">
        <v>91</v>
      </c>
      <c r="F20" s="56" t="s">
        <v>46</v>
      </c>
      <c r="G20" s="44">
        <v>1</v>
      </c>
      <c r="H20" s="129">
        <f>IF(B$15=0,0,G20/B$15)</f>
        <v>5.8139534883720929E-3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>IF(P20=0,0,Q20/P20)</f>
        <v>-16.41458333333334</v>
      </c>
      <c r="P20" s="115">
        <v>48</v>
      </c>
      <c r="Q20" s="103">
        <v>-787.90000000000032</v>
      </c>
    </row>
    <row r="21" spans="1:17" x14ac:dyDescent="0.4">
      <c r="A21" s="51" t="s">
        <v>196</v>
      </c>
      <c r="B21" s="44">
        <v>22</v>
      </c>
      <c r="C21" s="37">
        <f>IF(B$15=0,0,B21/B$15)</f>
        <v>0.12790697674418605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-16.464102564102557</v>
      </c>
      <c r="P21" s="115">
        <v>39</v>
      </c>
      <c r="Q21" s="103">
        <v>-642.0999999999998</v>
      </c>
    </row>
    <row r="22" spans="1:17" x14ac:dyDescent="0.4">
      <c r="A22" s="51" t="s">
        <v>5</v>
      </c>
      <c r="B22" s="48">
        <f>IF(B$15=0,0,C22/B$15)</f>
        <v>8034.3023255813951</v>
      </c>
      <c r="C22" s="39">
        <v>1381900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8589.5161290322576</v>
      </c>
      <c r="C23" s="137">
        <v>1065100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6600</v>
      </c>
      <c r="C24" s="137">
        <v>316800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-7544</v>
      </c>
      <c r="C25" s="137">
        <v>-943000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4.8387096774193551E-3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6.9767441860465115E-2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2">IF(B$15=0,0,B33/B$15)</f>
        <v>0.16279069767441862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39</v>
      </c>
      <c r="C34" s="37">
        <f>IF(B$15=0,0,B34/B$15)</f>
        <v>0.22674418604651161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28</v>
      </c>
      <c r="C35" s="37">
        <f t="shared" si="2"/>
        <v>0.16279069767441862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29</v>
      </c>
      <c r="C36" s="37">
        <f t="shared" si="2"/>
        <v>0.16860465116279069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2"/>
        <v>0.10465116279069768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2"/>
        <v>6.3953488372093026E-2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2"/>
        <v>2.3255813953488372E-2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2"/>
        <v>5.8139534883720929E-3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2"/>
        <v>1.1627906976744186E-2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  <row r="75" spans="11:12" x14ac:dyDescent="0.4">
      <c r="K75" s="36">
        <v>73</v>
      </c>
      <c r="L75" s="95">
        <v>-506.40000000000003</v>
      </c>
    </row>
    <row r="76" spans="11:12" x14ac:dyDescent="0.4">
      <c r="K76" s="36">
        <v>74</v>
      </c>
      <c r="L76" s="95">
        <v>-505.3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BB14-A27A-47D6-B178-8586CF4A5370}">
  <sheetPr codeName="Sheet15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77</v>
      </c>
      <c r="C2" s="155"/>
      <c r="E2" s="58" t="s">
        <v>66</v>
      </c>
      <c r="F2" s="55" t="s">
        <v>22</v>
      </c>
      <c r="G2" s="43">
        <v>147</v>
      </c>
      <c r="H2" s="128">
        <f>IF(B$15=0,0,G2/B$15)</f>
        <v>0.83050847457627119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1403.8961038961038</v>
      </c>
      <c r="P2" s="114">
        <v>77</v>
      </c>
      <c r="Q2" s="98">
        <v>108100</v>
      </c>
    </row>
    <row r="3" spans="1:17" x14ac:dyDescent="0.4">
      <c r="A3" s="51" t="s">
        <v>8</v>
      </c>
      <c r="B3" s="156">
        <v>618</v>
      </c>
      <c r="C3" s="157"/>
      <c r="E3" s="59" t="s">
        <v>72</v>
      </c>
      <c r="F3" s="56" t="s">
        <v>27</v>
      </c>
      <c r="G3" s="44">
        <v>99</v>
      </c>
      <c r="H3" s="129">
        <f>IF(B$15=0,0,G3/B$15)</f>
        <v>0.55932203389830504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-2524</v>
      </c>
      <c r="P3" s="115">
        <v>75</v>
      </c>
      <c r="Q3" s="99">
        <v>-189300</v>
      </c>
    </row>
    <row r="4" spans="1:17" x14ac:dyDescent="0.4">
      <c r="A4" s="51" t="s">
        <v>6</v>
      </c>
      <c r="B4" s="158">
        <v>368.00000000000011</v>
      </c>
      <c r="C4" s="159"/>
      <c r="E4" s="59" t="s">
        <v>64</v>
      </c>
      <c r="F4" s="56" t="s">
        <v>20</v>
      </c>
      <c r="G4" s="44">
        <v>96</v>
      </c>
      <c r="H4" s="129">
        <f>IF(B$15=0,0,G4/B$15)</f>
        <v>0.5423728813559322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4.7792207792207808</v>
      </c>
      <c r="C5" s="161"/>
      <c r="E5" s="59" t="s">
        <v>67</v>
      </c>
      <c r="F5" s="56" t="s">
        <v>23</v>
      </c>
      <c r="G5" s="44">
        <v>76</v>
      </c>
      <c r="H5" s="129">
        <f>IF(B$15=0,0,G5/B$15)</f>
        <v>0.42937853107344631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1.9090909090909092</v>
      </c>
      <c r="C6" s="151"/>
      <c r="E6" s="59" t="s">
        <v>166</v>
      </c>
      <c r="F6" s="56" t="s">
        <v>167</v>
      </c>
      <c r="G6" s="44">
        <v>68</v>
      </c>
      <c r="H6" s="129">
        <f>IF(B$15=0,0,G6/B$15)</f>
        <v>0.38418079096045199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31</v>
      </c>
      <c r="C7" s="37">
        <f t="shared" ref="C7:C10" si="1">IF(B$2=0,0,B7/B$2)</f>
        <v>0.40259740259740262</v>
      </c>
      <c r="E7" s="59" t="s">
        <v>68</v>
      </c>
      <c r="F7" s="56" t="s">
        <v>12</v>
      </c>
      <c r="G7" s="44">
        <v>67</v>
      </c>
      <c r="H7" s="129">
        <f>IF(B$15=0,0,G7/B$15)</f>
        <v>0.37853107344632769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1"/>
        <v>0.2857142857142857</v>
      </c>
      <c r="E8" s="59" t="s">
        <v>89</v>
      </c>
      <c r="F8" s="56" t="s">
        <v>44</v>
      </c>
      <c r="G8" s="44">
        <v>40</v>
      </c>
      <c r="H8" s="129">
        <f>IF(B$15=0,0,G8/B$15)</f>
        <v>0.22598870056497175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0.31168831168831168</v>
      </c>
      <c r="E9" s="59" t="s">
        <v>69</v>
      </c>
      <c r="F9" s="56" t="s">
        <v>24</v>
      </c>
      <c r="G9" s="44">
        <v>35</v>
      </c>
      <c r="H9" s="129">
        <f>IF(B$15=0,0,G9/B$15)</f>
        <v>0.19774011299435029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0.1038961038961039</v>
      </c>
      <c r="E10" s="59" t="s">
        <v>65</v>
      </c>
      <c r="F10" s="56" t="s">
        <v>21</v>
      </c>
      <c r="G10" s="44">
        <v>26</v>
      </c>
      <c r="H10" s="129">
        <f>IF(B$15=0,0,G10/B$15)</f>
        <v>0.14689265536723164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197</v>
      </c>
      <c r="C11" s="42">
        <f>IF(B$3=0,0,B11/B$3)</f>
        <v>0.31877022653721682</v>
      </c>
      <c r="E11" s="59" t="s">
        <v>70</v>
      </c>
      <c r="F11" s="56" t="s">
        <v>25</v>
      </c>
      <c r="G11" s="44">
        <v>21</v>
      </c>
      <c r="H11" s="129">
        <f>IF(B$15=0,0,G11/B$15)</f>
        <v>0.11864406779661017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7.3885714285714279</v>
      </c>
      <c r="P11" s="115">
        <v>35</v>
      </c>
      <c r="Q11" s="103">
        <v>258.59999999999997</v>
      </c>
    </row>
    <row r="12" spans="1:17" x14ac:dyDescent="0.4">
      <c r="A12" s="51" t="s">
        <v>118</v>
      </c>
      <c r="B12" s="44">
        <v>109</v>
      </c>
      <c r="C12" s="37">
        <f>IF(B$3=0,0,B12/B$3)</f>
        <v>0.17637540453074432</v>
      </c>
      <c r="E12" s="59" t="s">
        <v>162</v>
      </c>
      <c r="F12" s="56" t="s">
        <v>163</v>
      </c>
      <c r="G12" s="44">
        <v>13</v>
      </c>
      <c r="H12" s="129">
        <f>IF(B$15=0,0,G12/B$15)</f>
        <v>7.3446327683615822E-2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0" t="s">
        <v>123</v>
      </c>
      <c r="B13" s="43">
        <f>B19</f>
        <v>109</v>
      </c>
      <c r="C13" s="35">
        <f>IF(B$11=0,0,B13/B$11)</f>
        <v>0.5532994923857868</v>
      </c>
      <c r="E13" s="59" t="s">
        <v>71</v>
      </c>
      <c r="F13" s="56" t="s">
        <v>26</v>
      </c>
      <c r="G13" s="44">
        <v>9</v>
      </c>
      <c r="H13" s="129">
        <f>IF(B$15=0,0,G13/B$15)</f>
        <v>5.0847457627118647E-2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0.42201834862385323</v>
      </c>
      <c r="E14" s="59" t="s">
        <v>83</v>
      </c>
      <c r="F14" s="56" t="s">
        <v>38</v>
      </c>
      <c r="G14" s="44">
        <v>7</v>
      </c>
      <c r="H14" s="129">
        <f>IF(B$15=0,0,G14/B$15)</f>
        <v>3.954802259887006E-2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177</v>
      </c>
      <c r="C15" s="35">
        <f>IF(B$3=0,0,B15/B$3)</f>
        <v>0.28640776699029125</v>
      </c>
      <c r="E15" s="59" t="s">
        <v>86</v>
      </c>
      <c r="F15" s="56" t="s">
        <v>41</v>
      </c>
      <c r="G15" s="44">
        <v>5</v>
      </c>
      <c r="H15" s="129">
        <f>IF(B$15=0,0,G15/B$15)</f>
        <v>2.8248587570621469E-2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104</v>
      </c>
      <c r="C16" s="37">
        <f>IF(B$3=0,0,B16/B$3)</f>
        <v>0.16828478964401294</v>
      </c>
      <c r="E16" s="59" t="s">
        <v>81</v>
      </c>
      <c r="F16" s="56" t="s">
        <v>36</v>
      </c>
      <c r="G16" s="44">
        <v>4</v>
      </c>
      <c r="H16" s="129">
        <f>IF(B$15=0,0,G16/B$15)</f>
        <v>2.2598870056497175E-2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86</v>
      </c>
      <c r="C17" s="37">
        <f>IF(B$15=0,0,B17/B$15)</f>
        <v>0.48587570621468928</v>
      </c>
      <c r="E17" s="59" t="s">
        <v>92</v>
      </c>
      <c r="F17" s="56" t="s">
        <v>47</v>
      </c>
      <c r="G17" s="44">
        <v>4</v>
      </c>
      <c r="H17" s="129">
        <f>IF(B$15=0,0,G17/B$15)</f>
        <v>2.2598870056497175E-2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91</v>
      </c>
      <c r="C18" s="37">
        <f>IF(B$15=0,0,B18/B$15)</f>
        <v>0.51412429378531077</v>
      </c>
      <c r="E18" s="59" t="s">
        <v>91</v>
      </c>
      <c r="F18" s="56" t="s">
        <v>46</v>
      </c>
      <c r="G18" s="44">
        <v>3</v>
      </c>
      <c r="H18" s="129">
        <f>IF(B$15=0,0,G18/B$15)</f>
        <v>1.6949152542372881E-2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109</v>
      </c>
      <c r="C19" s="37">
        <f>IF(B$15=0,0,B19/B$15)</f>
        <v>0.61581920903954801</v>
      </c>
      <c r="E19" s="59" t="s">
        <v>73</v>
      </c>
      <c r="F19" s="56" t="s">
        <v>28</v>
      </c>
      <c r="G19" s="44">
        <v>1</v>
      </c>
      <c r="H19" s="129">
        <f>IF(B$15=0,0,G19/B$15)</f>
        <v>5.6497175141242938E-3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7.2586206896551708</v>
      </c>
      <c r="P19" s="115">
        <v>29</v>
      </c>
      <c r="Q19" s="103">
        <v>210.49999999999994</v>
      </c>
    </row>
    <row r="20" spans="1:17" x14ac:dyDescent="0.4">
      <c r="A20" s="51" t="s">
        <v>195</v>
      </c>
      <c r="B20" s="44">
        <v>46</v>
      </c>
      <c r="C20" s="37">
        <f>IF(B$15=0,0,B20/B$15)</f>
        <v>0.25988700564971751</v>
      </c>
      <c r="E20" s="59" t="s">
        <v>75</v>
      </c>
      <c r="F20" s="56" t="s">
        <v>30</v>
      </c>
      <c r="G20" s="44">
        <v>1</v>
      </c>
      <c r="H20" s="129">
        <f>IF(B$15=0,0,G20/B$15)</f>
        <v>5.6497175141242938E-3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22</v>
      </c>
      <c r="C21" s="37">
        <f>IF(B$15=0,0,B21/B$15)</f>
        <v>0.12429378531073447</v>
      </c>
      <c r="E21" s="59" t="s">
        <v>78</v>
      </c>
      <c r="F21" s="56" t="s">
        <v>33</v>
      </c>
      <c r="G21" s="44">
        <v>1</v>
      </c>
      <c r="H21" s="129">
        <f>IF(B$15=0,0,G21/B$15)</f>
        <v>5.6497175141242938E-3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-5.0818181818181829</v>
      </c>
      <c r="P21" s="115">
        <v>33</v>
      </c>
      <c r="Q21" s="103">
        <v>-167.70000000000005</v>
      </c>
    </row>
    <row r="22" spans="1:17" x14ac:dyDescent="0.4">
      <c r="A22" s="51" t="s">
        <v>5</v>
      </c>
      <c r="B22" s="48">
        <f>IF(B$15=0,0,C22/B$15)</f>
        <v>10852.542372881357</v>
      </c>
      <c r="C22" s="39">
        <v>1920900</v>
      </c>
      <c r="E22" s="59" t="s">
        <v>79</v>
      </c>
      <c r="F22" s="56" t="s">
        <v>34</v>
      </c>
      <c r="G22" s="44">
        <v>1</v>
      </c>
      <c r="H22" s="129">
        <f>IF(B$15=0,0,G22/B$15)</f>
        <v>5.6497175141242938E-3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11760.305343511451</v>
      </c>
      <c r="C23" s="137">
        <v>1540600</v>
      </c>
      <c r="E23" s="59" t="s">
        <v>85</v>
      </c>
      <c r="F23" s="56" t="s">
        <v>40</v>
      </c>
      <c r="G23" s="44">
        <v>1</v>
      </c>
      <c r="H23" s="129">
        <f>IF(B$15=0,0,G23/B$15)</f>
        <v>5.6497175141242938E-3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>IF(B$15=0,0,G24/B$15)</f>
        <v>5.6497175141242938E-3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-8158.6538461538457</v>
      </c>
      <c r="C25" s="137">
        <v>-848500</v>
      </c>
      <c r="E25" s="59" t="s">
        <v>93</v>
      </c>
      <c r="F25" s="56" t="s">
        <v>48</v>
      </c>
      <c r="G25" s="44">
        <v>1</v>
      </c>
      <c r="H25" s="129">
        <f>IF(B$15=0,0,G25/B$15)</f>
        <v>5.6497175141242938E-3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>IF(B$15=0,0,G26/B$15)</f>
        <v>5.6497175141242938E-3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6</v>
      </c>
      <c r="E27" s="59" t="s">
        <v>74</v>
      </c>
      <c r="F27" s="56" t="s">
        <v>29</v>
      </c>
      <c r="G27" s="44">
        <v>0</v>
      </c>
      <c r="H27" s="129">
        <f>IF(B$15=0,0,G27/B$15)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2.2598870056497175E-2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2">IF(B$15=0,0,B33/B$15)</f>
        <v>9.03954802259887E-2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22</v>
      </c>
      <c r="C34" s="37">
        <f>IF(B$15=0,0,B34/B$15)</f>
        <v>0.12429378531073447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2"/>
        <v>0.19209039548022599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46</v>
      </c>
      <c r="C36" s="37">
        <f t="shared" si="2"/>
        <v>0.25988700564971751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17</v>
      </c>
      <c r="C37" s="37">
        <f t="shared" si="2"/>
        <v>9.6045197740112997E-2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16</v>
      </c>
      <c r="C38" s="37">
        <f t="shared" si="2"/>
        <v>9.03954802259887E-2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9</v>
      </c>
      <c r="C39" s="37">
        <f t="shared" si="2"/>
        <v>5.0847457627118647E-2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2"/>
        <v>1.6949152542372881E-2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2"/>
        <v>1.1299435028248588E-2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2"/>
        <v>5.6497175141242938E-3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2"/>
        <v>5.6497175141242938E-3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2"/>
        <v>3.3898305084745763E-2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E08B-2481-4B7D-94D3-3B6278DF7B18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IF(B$15=0,0,G3/B$15)</f>
        <v>0.56086956521739129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IF(B$15=0,0,G4/B$15)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>IF(B$15=0,0,G5/B$15)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>IF(B$15=0,0,G6/B$15)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0.24752475247524752</v>
      </c>
      <c r="E7" s="59" t="s">
        <v>68</v>
      </c>
      <c r="F7" s="56" t="s">
        <v>12</v>
      </c>
      <c r="G7" s="44">
        <v>76</v>
      </c>
      <c r="H7" s="129">
        <f>IF(B$15=0,0,G7/B$15)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0.47524752475247523</v>
      </c>
      <c r="E8" s="59" t="s">
        <v>69</v>
      </c>
      <c r="F8" s="56" t="s">
        <v>24</v>
      </c>
      <c r="G8" s="44">
        <v>32</v>
      </c>
      <c r="H8" s="129">
        <f>IF(B$15=0,0,G8/B$15)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0.27722772277227725</v>
      </c>
      <c r="E9" s="59" t="s">
        <v>89</v>
      </c>
      <c r="F9" s="56" t="s">
        <v>44</v>
      </c>
      <c r="G9" s="44">
        <v>23</v>
      </c>
      <c r="H9" s="129">
        <f>IF(B$15=0,0,G9/B$15)</f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7.9207920792079209E-2</v>
      </c>
      <c r="E10" s="59" t="s">
        <v>71</v>
      </c>
      <c r="F10" s="56" t="s">
        <v>26</v>
      </c>
      <c r="G10" s="44">
        <v>22</v>
      </c>
      <c r="H10" s="129">
        <f>IF(B$15=0,0,G10/B$15)</f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>IF(B$15=0,0,G11/B$15)</f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>IF(B$15=0,0,G12/B$15)</f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>IF(B$15=0,0,G13/B$15)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>IF(B$15=0,0,G14/B$15)</f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>IF(B$15=0,0,G15/B$15)</f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>IF(B$15=0,0,G16/B$15)</f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>IF(B$15=0,0,G17/B$15)</f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>IF(B$15=0,0,G18/B$15)</f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>IF(P18=0,0,Q18/P18)</f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>IF(B$15=0,0,G19/B$15)</f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>IF(B$15=0,0,G20/B$15)</f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>IF(P20=0,0,Q20/P20)</f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>IF(B$15=0,0,G21/B$15)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>IF(B$15=0,0,G22/B$15)</f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>IF(B$15=0,0,G23/B$15)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>IF(B$15=0,0,G24/B$15)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>IF(B$15=0,0,G25/B$15)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2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2"/>
        <v>0.16521739130434782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2"/>
        <v>0.15652173913043479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2"/>
        <v>0.10869565217391304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2"/>
        <v>4.7826086956521741E-2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2"/>
        <v>3.0434782608695653E-2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2"/>
        <v>1.3043478260869565E-2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2"/>
        <v>8.6956521739130436E-3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2"/>
        <v>4.3478260869565218E-3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2"/>
        <v>4.3478260869565218E-3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2"/>
        <v>8.6956521739130436E-3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DEBFE-391D-489B-A321-9AD3B5D0E1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>IF(B$15=0,0,G3/B$15)</f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>IF(B$15=0,0,G4/B$15)</f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>IF(B$15=0,0,G6/B$15)</f>
        <v>0.29069767441860467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1">IF(B$2=0,0,B7/B$2)</f>
        <v>0.16666666666666666</v>
      </c>
      <c r="E7" s="59" t="s">
        <v>67</v>
      </c>
      <c r="F7" s="56" t="s">
        <v>23</v>
      </c>
      <c r="G7" s="44">
        <v>23</v>
      </c>
      <c r="H7" s="129">
        <f>IF(B$15=0,0,G7/B$15)</f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1"/>
        <v>0.2857142857142857</v>
      </c>
      <c r="E8" s="59" t="s">
        <v>89</v>
      </c>
      <c r="F8" s="56" t="s">
        <v>44</v>
      </c>
      <c r="G8" s="44">
        <v>12</v>
      </c>
      <c r="H8" s="129">
        <f>IF(B$15=0,0,G8/B$15)</f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0.54761904761904767</v>
      </c>
      <c r="E9" s="59" t="s">
        <v>65</v>
      </c>
      <c r="F9" s="56" t="s">
        <v>21</v>
      </c>
      <c r="G9" s="44">
        <v>10</v>
      </c>
      <c r="H9" s="129">
        <f>IF(B$15=0,0,G9/B$15)</f>
        <v>0.11627906976744186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1"/>
        <v>0.21428571428571427</v>
      </c>
      <c r="E10" s="59" t="s">
        <v>70</v>
      </c>
      <c r="F10" s="56" t="s">
        <v>25</v>
      </c>
      <c r="G10" s="44">
        <v>10</v>
      </c>
      <c r="H10" s="129">
        <f>IF(B$15=0,0,G10/B$15)</f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>IF(B$15=0,0,G11/B$15)</f>
        <v>9.3023255813953487E-2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>IF(B$15=0,0,G12/B$15)</f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>IF(B$15=0,0,G13/B$15)</f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>IF(B$15=0,0,G14/B$15)</f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>IF(B$15=0,0,G15/B$15)</f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>IF(B$15=0,0,G16/B$15)</f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>IF(P16=0,0,Q16/P16)</f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>IF(B$15=0,0,G17/B$15)</f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>IF(B$15=0,0,G18/B$15)</f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>IF(P18=0,0,Q18/P18)</f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>IF(B$15=0,0,G19/B$15)</f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>IF(P20=0,0,Q20/P20)</f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>IF(P21=0,0,Q21/P21)</f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2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2"/>
        <v>0.13953488372093023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2"/>
        <v>0.12790697674418605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2"/>
        <v>5.8139534883720929E-2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2"/>
        <v>6.9767441860465115E-2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2"/>
        <v>5.8139534883720929E-2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2"/>
        <v>1.1627906976744186E-2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2"/>
        <v>1.1627906976744186E-2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BC70-F58D-4895-AE74-2E99CB48714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2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2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2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2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2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2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2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6ACC-CFFC-4AAB-83BF-21ABEC504BF1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202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FB87-6F58-42EF-B7B0-36CDA38C768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75F9-75BD-4CC5-A468-C1D91A42C25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52B9-C54C-41A6-A9C1-71883032248A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4EBD-86B7-4FFB-A872-AD7CB53E5CC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5551-1C9B-4131-A2C5-04C05C80C422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8F50-6F12-4ED8-A17A-AFC627CC6974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384E-F14D-45B9-9DF6-E7C926F29703}">
  <sheetPr codeName="Sheet16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867-023F-4F46-A580-5E0B6432E198}">
  <sheetPr codeName="Sheet14"/>
  <dimension ref="A1:Q7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  <row r="76" spans="1:16" x14ac:dyDescent="0.4">
      <c r="A76" s="65">
        <v>73</v>
      </c>
      <c r="B76" s="62">
        <v>-506.40000000000003</v>
      </c>
      <c r="C76" s="62">
        <v>-6.9369863013698634</v>
      </c>
      <c r="D76" s="67">
        <v>2.1643835616438358</v>
      </c>
      <c r="E76" s="63">
        <v>0.23287671232876711</v>
      </c>
      <c r="F76" s="63">
        <v>0.39726027397260272</v>
      </c>
      <c r="G76" s="63">
        <v>0.27659574468085107</v>
      </c>
      <c r="H76" s="63">
        <v>0.20294599018003273</v>
      </c>
      <c r="I76" s="64">
        <v>8067.455621301775</v>
      </c>
      <c r="J76" s="64">
        <v>-7592.7419354838712</v>
      </c>
      <c r="K76" s="63">
        <v>8.2191780821917804E-2</v>
      </c>
      <c r="L76" s="63">
        <v>0.28477905073649756</v>
      </c>
      <c r="M76" s="63">
        <v>0.19148936170212766</v>
      </c>
      <c r="N76" s="63">
        <v>0.57471264367816088</v>
      </c>
      <c r="O76" s="63">
        <v>0.40170940170940173</v>
      </c>
      <c r="P76" s="63">
        <v>0.46153846153846156</v>
      </c>
    </row>
    <row r="77" spans="1:16" x14ac:dyDescent="0.4">
      <c r="A77" s="65">
        <v>74</v>
      </c>
      <c r="B77" s="62">
        <v>-505.3</v>
      </c>
      <c r="C77" s="62">
        <v>-6.8283783783783782</v>
      </c>
      <c r="D77" s="67">
        <v>2.1621621621621623</v>
      </c>
      <c r="E77" s="63">
        <v>0.22972972972972974</v>
      </c>
      <c r="F77" s="63">
        <v>0.39189189189189189</v>
      </c>
      <c r="G77" s="63">
        <v>0.27741935483870966</v>
      </c>
      <c r="H77" s="63">
        <v>0.20161290322580644</v>
      </c>
      <c r="I77" s="64">
        <v>8034.3023255813951</v>
      </c>
      <c r="J77" s="64">
        <v>-7544</v>
      </c>
      <c r="K77" s="63">
        <v>8.1081081081081086E-2</v>
      </c>
      <c r="L77" s="63">
        <v>0.2870967741935484</v>
      </c>
      <c r="M77" s="63">
        <v>0.19354838709677419</v>
      </c>
      <c r="N77" s="63">
        <v>0.5730337078651685</v>
      </c>
      <c r="O77" s="63">
        <v>0.4</v>
      </c>
      <c r="P77" s="63">
        <v>0.46511627906976744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DABC-0DCF-4C74-AFC7-97ADD86AAC02}">
  <sheetPr codeName="Sheet12"/>
  <dimension ref="A1:Q12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32F1-7B45-424A-ADA3-FDD143F50AC3}">
  <sheetPr codeName="Sheet10"/>
  <dimension ref="A1:Q1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  <row r="133" spans="1:16" x14ac:dyDescent="0.4">
      <c r="A133" s="65">
        <v>130</v>
      </c>
      <c r="B133" s="62">
        <v>1120.8000000000002</v>
      </c>
      <c r="C133" s="62">
        <v>8.6215384615384636</v>
      </c>
      <c r="D133" s="67">
        <v>1.7769230769230768</v>
      </c>
      <c r="E133" s="63">
        <v>0.46153846153846156</v>
      </c>
      <c r="F133" s="63">
        <v>0.23846153846153847</v>
      </c>
      <c r="G133" s="63">
        <v>0.34315589353612169</v>
      </c>
      <c r="H133" s="63">
        <v>0.13117870722433461</v>
      </c>
      <c r="I133" s="64">
        <v>8230.4709141274234</v>
      </c>
      <c r="J133" s="64">
        <v>-7853.623188405797</v>
      </c>
      <c r="K133" s="63">
        <v>3.8461538461538464E-2</v>
      </c>
      <c r="L133" s="63">
        <v>0.27281368821292773</v>
      </c>
      <c r="M133" s="63">
        <v>0.22718631178707224</v>
      </c>
      <c r="N133" s="63">
        <v>0.59233449477351918</v>
      </c>
      <c r="O133" s="63">
        <v>0.48117154811715479</v>
      </c>
      <c r="P133" s="63">
        <v>0.4265927977839335</v>
      </c>
    </row>
    <row r="134" spans="1:16" x14ac:dyDescent="0.4">
      <c r="A134" s="65">
        <v>131</v>
      </c>
      <c r="B134" s="62">
        <v>1072.3000000000002</v>
      </c>
      <c r="C134" s="62">
        <v>8.1854961832061086</v>
      </c>
      <c r="D134" s="67">
        <v>1.7862595419847329</v>
      </c>
      <c r="E134" s="63">
        <v>0.4580152671755725</v>
      </c>
      <c r="F134" s="63">
        <v>0.24427480916030533</v>
      </c>
      <c r="G134" s="63">
        <v>0.34118755890669178</v>
      </c>
      <c r="H134" s="63">
        <v>0.13100848256361922</v>
      </c>
      <c r="I134" s="64">
        <v>8216.5745856353587</v>
      </c>
      <c r="J134" s="64">
        <v>-7852.517985611511</v>
      </c>
      <c r="K134" s="63">
        <v>4.5801526717557252E-2</v>
      </c>
      <c r="L134" s="63">
        <v>0.27238454288407166</v>
      </c>
      <c r="M134" s="63">
        <v>0.22525918944392084</v>
      </c>
      <c r="N134" s="63">
        <v>0.59169550173010377</v>
      </c>
      <c r="O134" s="63">
        <v>0.48117154811715479</v>
      </c>
      <c r="P134" s="63">
        <v>0.425414364640884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230C-B129-4726-8FD7-D5227F0092BE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C0B-9C31-4935-A3EE-221389A85070}">
  <sheetPr codeName="Sheet6"/>
  <dimension ref="A1:Q2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  <row r="213" spans="1:16" x14ac:dyDescent="0.4">
      <c r="A213" s="65">
        <v>210</v>
      </c>
      <c r="B213" s="62">
        <v>-4.4741987892393809E-14</v>
      </c>
      <c r="C213" s="62">
        <v>-7.1019028400625087E-17</v>
      </c>
      <c r="D213" s="67">
        <v>1.9952380952380953</v>
      </c>
      <c r="E213" s="63">
        <v>0.33650793650793653</v>
      </c>
      <c r="F213" s="63">
        <v>0.33174603174603173</v>
      </c>
      <c r="G213" s="63">
        <v>0.29540229885057473</v>
      </c>
      <c r="H213" s="63">
        <v>0.16379310344827586</v>
      </c>
      <c r="I213" s="64">
        <v>8445.1361867704272</v>
      </c>
      <c r="J213" s="64">
        <v>-7856.9590643274851</v>
      </c>
      <c r="K213" s="63">
        <v>9.5238095238095233E-2</v>
      </c>
      <c r="L213" s="63">
        <v>0.25440613026819925</v>
      </c>
      <c r="M213" s="63">
        <v>0.23122605363984675</v>
      </c>
      <c r="N213" s="63">
        <v>0.55421686746987953</v>
      </c>
      <c r="O213" s="63">
        <v>0.41507870753935378</v>
      </c>
      <c r="P213" s="63">
        <v>0.44033722438391698</v>
      </c>
    </row>
    <row r="214" spans="1:16" x14ac:dyDescent="0.4">
      <c r="A214" s="65">
        <v>211</v>
      </c>
      <c r="B214" s="62">
        <v>-4.9737991503207013E-14</v>
      </c>
      <c r="C214" s="62">
        <v>-7.8575026071417084E-17</v>
      </c>
      <c r="D214" s="67">
        <v>1.9952606635071091</v>
      </c>
      <c r="E214" s="63">
        <v>0.33649289099526064</v>
      </c>
      <c r="F214" s="63">
        <v>0.33175355450236965</v>
      </c>
      <c r="G214" s="63">
        <v>0.29540689918048407</v>
      </c>
      <c r="H214" s="63">
        <v>0.16352201257861634</v>
      </c>
      <c r="I214" s="64">
        <v>8440.9032258064508</v>
      </c>
      <c r="J214" s="64">
        <v>-7843.939393939394</v>
      </c>
      <c r="K214" s="63">
        <v>9.6366508688783575E-2</v>
      </c>
      <c r="L214" s="63">
        <v>0.25462168858395273</v>
      </c>
      <c r="M214" s="63">
        <v>0.23098913664951401</v>
      </c>
      <c r="N214" s="63">
        <v>0.55464071856287422</v>
      </c>
      <c r="O214" s="63">
        <v>0.41501650165016502</v>
      </c>
      <c r="P214" s="63">
        <v>0.44129032258064516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2019-11-23T12:16:22Z</dcterms:modified>
</cp:coreProperties>
</file>