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1128868-6CF2-4746-AC4D-EFD3D7051B70}" xr6:coauthVersionLast="41" xr6:coauthVersionMax="41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19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19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9" i="6347"/>
  <c r="H29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3" i="6347"/>
  <c r="H22" i="6347"/>
  <c r="C17" i="6347"/>
  <c r="H19" i="6347"/>
  <c r="H25" i="6347"/>
  <c r="H27" i="6347"/>
  <c r="H39" i="6347"/>
  <c r="C42" i="6347"/>
  <c r="H16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8" i="6347"/>
  <c r="H31" i="6347"/>
  <c r="H32" i="6347"/>
  <c r="H33" i="6347"/>
  <c r="H13" i="6347"/>
  <c r="H8" i="6347"/>
  <c r="H26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6" i="6345"/>
  <c r="H36" i="6345"/>
  <c r="C38" i="6345"/>
  <c r="H45" i="6345"/>
  <c r="H52" i="6345"/>
  <c r="C36" i="6345"/>
  <c r="H40" i="6345"/>
  <c r="H43" i="6345"/>
  <c r="C44" i="6345"/>
  <c r="H50" i="6345"/>
  <c r="C17" i="6345"/>
  <c r="H18" i="6345"/>
  <c r="B22" i="6345"/>
  <c r="H34" i="6345"/>
  <c r="H27" i="6345"/>
  <c r="C34" i="6345"/>
  <c r="H38" i="6345"/>
  <c r="H41" i="6345"/>
  <c r="C42" i="6345"/>
  <c r="H46" i="6345"/>
  <c r="H12" i="6345"/>
  <c r="B23" i="6345"/>
  <c r="H17" i="6345"/>
  <c r="H31" i="6345"/>
  <c r="H32" i="6345"/>
  <c r="H24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20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20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3" i="6337"/>
  <c r="H11" i="6337"/>
  <c r="H27" i="6337"/>
  <c r="C14" i="6337"/>
  <c r="C14" i="6341"/>
  <c r="C15" i="6341"/>
  <c r="H6" i="6341"/>
  <c r="H21" i="6341"/>
  <c r="H8" i="6337"/>
  <c r="H9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2" i="6339"/>
  <c r="C19" i="6339"/>
  <c r="H14" i="6339"/>
  <c r="H28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30" i="6339"/>
  <c r="H7" i="6339"/>
  <c r="H31" i="6339"/>
  <c r="B23" i="6339"/>
  <c r="C15" i="6339"/>
  <c r="H20" i="6339"/>
  <c r="C20" i="6339"/>
  <c r="H21" i="6339"/>
  <c r="H29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3" i="6339"/>
  <c r="H34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6" i="6337"/>
  <c r="C19" i="6337"/>
  <c r="H34" i="6337"/>
  <c r="C36" i="6337"/>
  <c r="H39" i="6337"/>
  <c r="H42" i="6337"/>
  <c r="C44" i="6337"/>
  <c r="H49" i="6337"/>
  <c r="C17" i="6337"/>
  <c r="H14" i="6337"/>
  <c r="B22" i="6337"/>
  <c r="H21" i="6337"/>
  <c r="H22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19" i="6337"/>
  <c r="H7" i="6337"/>
  <c r="H26" i="6337"/>
  <c r="H16" i="6337"/>
  <c r="H5" i="6337"/>
  <c r="H2" i="6337"/>
  <c r="H10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20" i="6337"/>
  <c r="H28" i="6337"/>
  <c r="H29" i="6337"/>
  <c r="H24" i="6337"/>
  <c r="H15" i="6337"/>
  <c r="H12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7" i="6335"/>
  <c r="H31" i="6335"/>
  <c r="C36" i="6335"/>
  <c r="H42" i="6335"/>
  <c r="H44" i="6335"/>
  <c r="C44" i="6335"/>
  <c r="H50" i="6335"/>
  <c r="H20" i="6335"/>
  <c r="C17" i="6335"/>
  <c r="H28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<sst xmlns="http://schemas.openxmlformats.org/spreadsheetml/2006/main" count="3854" uniqueCount="303">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</sst>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全体!$K$2:$K$914</c:f>
              <c:numCache>
                <c:formatCode>General</c:formatCode>
                <c:ptCount val="9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</c:numCache>
            </c:numRef>
          </c:xVal>
          <c:yVal>
            <c:numRef>
              <c:f>全体!$L$2:$L$914</c:f>
              <c:numCache>
                <c:formatCode>\+0.0;\-0.0;\±0</c:formatCode>
                <c:ptCount val="91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-29.702970297029704</c:v>
                </c:pt>
                <c:pt idx="1">
                  <c:v>8.9186176142697882</c:v>
                </c:pt>
                <c:pt idx="2">
                  <c:v>-2.3724792408066429</c:v>
                </c:pt>
                <c:pt idx="3">
                  <c:v>6.2893081761006293</c:v>
                </c:pt>
                <c:pt idx="4">
                  <c:v>6.8306010928961749</c:v>
                </c:pt>
                <c:pt idx="5">
                  <c:v>14.77832512315271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176</c:v>
                </c:pt>
                <c:pt idx="1">
                  <c:v>383</c:v>
                </c:pt>
                <c:pt idx="2">
                  <c:v>437</c:v>
                </c:pt>
                <c:pt idx="3">
                  <c:v>398</c:v>
                </c:pt>
                <c:pt idx="4">
                  <c:v>355</c:v>
                </c:pt>
                <c:pt idx="5">
                  <c:v>244</c:v>
                </c:pt>
                <c:pt idx="6">
                  <c:v>118</c:v>
                </c:pt>
                <c:pt idx="7">
                  <c:v>64</c:v>
                </c:pt>
                <c:pt idx="8">
                  <c:v>28</c:v>
                </c:pt>
                <c:pt idx="9">
                  <c:v>10</c:v>
                </c:pt>
                <c:pt idx="10">
                  <c:v>6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たかの!$K$2:$K$83</c:f>
              <c:numCache>
                <c:formatCode>General</c:formatCode>
                <c:ptCount val="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</c:numCache>
            </c:numRef>
          </c:xVal>
          <c:yVal>
            <c:numRef>
              <c:f>たかの!$L$2:$L$83</c:f>
              <c:numCache>
                <c:formatCode>\+0.0;\-0.0;\±0</c:formatCode>
                <c:ptCount val="8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2034.5679012345679</c:v>
                </c:pt>
                <c:pt idx="1">
                  <c:v>-2061.25</c:v>
                </c:pt>
                <c:pt idx="2">
                  <c:v>-1572.7272727272727</c:v>
                </c:pt>
                <c:pt idx="3">
                  <c:v>-919.44444444444446</c:v>
                </c:pt>
                <c:pt idx="4">
                  <c:v>-11.428571428571429</c:v>
                </c:pt>
                <c:pt idx="5">
                  <c:v>-1923.3333333333333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40</c:v>
                </c:pt>
                <c:pt idx="2">
                  <c:v>43</c:v>
                </c:pt>
                <c:pt idx="3">
                  <c:v>34</c:v>
                </c:pt>
                <c:pt idx="4">
                  <c:v>22</c:v>
                </c:pt>
                <c:pt idx="5">
                  <c:v>17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だいち!$L$2:$L$181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1153.370786516854</c:v>
                </c:pt>
                <c:pt idx="1">
                  <c:v>1236.5714285714287</c:v>
                </c:pt>
                <c:pt idx="2">
                  <c:v>941.07142857142856</c:v>
                </c:pt>
                <c:pt idx="3">
                  <c:v>346.49681528662421</c:v>
                </c:pt>
                <c:pt idx="4">
                  <c:v>1623.2876712328766</c:v>
                </c:pt>
                <c:pt idx="5">
                  <c:v>2100.8333333333335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92</c:v>
                </c:pt>
                <c:pt idx="2">
                  <c:v>98</c:v>
                </c:pt>
                <c:pt idx="3">
                  <c:v>91</c:v>
                </c:pt>
                <c:pt idx="4">
                  <c:v>71</c:v>
                </c:pt>
                <c:pt idx="5">
                  <c:v>49</c:v>
                </c:pt>
                <c:pt idx="6">
                  <c:v>24</c:v>
                </c:pt>
                <c:pt idx="7">
                  <c:v>9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ただ!$K$2:$K$161</c:f>
              <c:numCache>
                <c:formatCode>General</c:formatCode>
                <c:ptCount val="1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</c:numCache>
            </c:numRef>
          </c:xVal>
          <c:yVal>
            <c:numRef>
              <c:f>ただ!$L$2:$L$161</c:f>
              <c:numCache>
                <c:formatCode>\+0.0;\-0.0;\±0</c:formatCode>
                <c:ptCount val="160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-1108.2278481012659</c:v>
                </c:pt>
                <c:pt idx="1">
                  <c:v>1443.5897435897436</c:v>
                </c:pt>
                <c:pt idx="2">
                  <c:v>-302.77777777777777</c:v>
                </c:pt>
                <c:pt idx="3">
                  <c:v>321.89781021897812</c:v>
                </c:pt>
                <c:pt idx="4">
                  <c:v>-1267.2</c:v>
                </c:pt>
                <c:pt idx="5">
                  <c:v>1200.9615384615386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30</c:v>
                </c:pt>
                <c:pt idx="1">
                  <c:v>73</c:v>
                </c:pt>
                <c:pt idx="2">
                  <c:v>86</c:v>
                </c:pt>
                <c:pt idx="3">
                  <c:v>81</c:v>
                </c:pt>
                <c:pt idx="4">
                  <c:v>60</c:v>
                </c:pt>
                <c:pt idx="5">
                  <c:v>42</c:v>
                </c:pt>
                <c:pt idx="6">
                  <c:v>14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りくと!$L$2:$L$100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-526.80412371134025</c:v>
                </c:pt>
                <c:pt idx="1">
                  <c:v>-712.37113402061857</c:v>
                </c:pt>
                <c:pt idx="2">
                  <c:v>480.2197802197802</c:v>
                </c:pt>
                <c:pt idx="3">
                  <c:v>-673.03370786516859</c:v>
                </c:pt>
                <c:pt idx="4">
                  <c:v>-2978.5714285714284</c:v>
                </c:pt>
                <c:pt idx="5">
                  <c:v>-1929.7297297297298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17</c:v>
                </c:pt>
                <c:pt idx="1">
                  <c:v>39</c:v>
                </c:pt>
                <c:pt idx="2">
                  <c:v>52</c:v>
                </c:pt>
                <c:pt idx="3">
                  <c:v>34</c:v>
                </c:pt>
                <c:pt idx="4">
                  <c:v>39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れんたろう!$K$2:$K$132</c:f>
              <c:numCache>
                <c:formatCode>General</c:formatCode>
                <c:ptCount val="1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</c:numCache>
            </c:numRef>
          </c:xVal>
          <c:yVal>
            <c:numRef>
              <c:f>れんたろう!$L$2:$L$132</c:f>
              <c:numCache>
                <c:formatCode>\+0.0;\-0.0;\±0</c:formatCode>
                <c:ptCount val="13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1456.9230769230769</c:v>
                </c:pt>
                <c:pt idx="1">
                  <c:v>-1936.71875</c:v>
                </c:pt>
                <c:pt idx="2">
                  <c:v>-139.65517241379311</c:v>
                </c:pt>
                <c:pt idx="3">
                  <c:v>2018.1818181818182</c:v>
                </c:pt>
                <c:pt idx="4">
                  <c:v>1395.9183673469388</c:v>
                </c:pt>
                <c:pt idx="5">
                  <c:v>255.26315789473685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23</c:v>
                </c:pt>
                <c:pt idx="2">
                  <c:v>39</c:v>
                </c:pt>
                <c:pt idx="3">
                  <c:v>55</c:v>
                </c:pt>
                <c:pt idx="4">
                  <c:v>65</c:v>
                </c:pt>
                <c:pt idx="5">
                  <c:v>42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まっつん!$K$2:$K$145</c:f>
              <c:numCache>
                <c:formatCode>General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まっつん!$L$2:$L$145</c:f>
              <c:numCache>
                <c:formatCode>\+0.0;\-0.0;\±0</c:formatCode>
                <c:ptCount val="14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-323.77622377622379</c:v>
                </c:pt>
                <c:pt idx="1">
                  <c:v>154.28571428571428</c:v>
                </c:pt>
                <c:pt idx="2">
                  <c:v>247.72727272727272</c:v>
                </c:pt>
                <c:pt idx="3">
                  <c:v>108.26446280991736</c:v>
                </c:pt>
                <c:pt idx="4">
                  <c:v>170</c:v>
                </c:pt>
                <c:pt idx="5">
                  <c:v>-1058.0645161290322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19</c:v>
                </c:pt>
                <c:pt idx="1">
                  <c:v>61</c:v>
                </c:pt>
                <c:pt idx="2">
                  <c:v>66</c:v>
                </c:pt>
                <c:pt idx="3">
                  <c:v>60</c:v>
                </c:pt>
                <c:pt idx="4">
                  <c:v>47</c:v>
                </c:pt>
                <c:pt idx="5">
                  <c:v>37</c:v>
                </c:pt>
                <c:pt idx="6">
                  <c:v>16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まっつん2!$B$3:$B$146</c:f>
              <c:numCache>
                <c:formatCode>\+0.0;\-0.0;\±0</c:formatCode>
                <c:ptCount val="144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329070518200751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まっつん2!$C$3:$C$146</c:f>
              <c:numCache>
                <c:formatCode>\+0.0;\-0.0;\±0</c:formatCode>
                <c:ptCount val="144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  <c:pt idx="143">
                  <c:v>-0.98951048951048937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843279076974507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まっつん2!$D$3:$D$146</c:f>
              <c:numCache>
                <c:formatCode>0.00\ "位"</c:formatCode>
                <c:ptCount val="144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  <c:pt idx="143">
                  <c:v>2.0559440559440558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まっつん2!$E$3:$E$146</c:f>
              <c:numCache>
                <c:formatCode>0.0%</c:formatCode>
                <c:ptCount val="14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  <c:pt idx="143">
                  <c:v>0.24475524475524477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まっつん2!$F$3:$F$146</c:f>
              <c:numCache>
                <c:formatCode>0.0%</c:formatCode>
                <c:ptCount val="14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  <c:pt idx="143">
                  <c:v>0.30069930069930068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まっつん2!$G$3:$G$146</c:f>
              <c:numCache>
                <c:formatCode>0.0%</c:formatCode>
                <c:ptCount val="144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  <c:pt idx="143">
                  <c:v>0.27906976744186046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7973291437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まっつん2!$H$3:$H$146</c:f>
              <c:numCache>
                <c:formatCode>0.0%</c:formatCode>
                <c:ptCount val="144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  <c:pt idx="143">
                  <c:v>0.13953488372093023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9059963341188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まっつん2!$I$3:$I$146</c:f>
              <c:numCache>
                <c:formatCode>0</c:formatCode>
                <c:ptCount val="144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  <c:pt idx="143">
                  <c:v>8250.9259259259252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81.86666666666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まっつん2!$J$3:$J$146</c:f>
              <c:numCache>
                <c:formatCode>0</c:formatCode>
                <c:ptCount val="144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  <c:pt idx="143">
                  <c:v>-7036.4197530864194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89.50366151342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まっつん2!$K$3:$K$146</c:f>
              <c:numCache>
                <c:formatCode>0.0%</c:formatCode>
                <c:ptCount val="14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  <c:pt idx="143">
                  <c:v>6.9930069930069935E-2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320175438596491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まっつん2!$L$3:$L$146</c:f>
              <c:numCache>
                <c:formatCode>0.0%</c:formatCode>
                <c:ptCount val="144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  <c:pt idx="143">
                  <c:v>0.26012058570198104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207645980623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まっつん2!$M$3:$M$146</c:f>
              <c:numCache>
                <c:formatCode>0.0%</c:formatCode>
                <c:ptCount val="144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  <c:pt idx="143">
                  <c:v>0.23083548664944015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736056559308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まっつん2!$N$3:$N$146</c:f>
              <c:numCache>
                <c:formatCode>0.0%</c:formatCode>
                <c:ptCount val="144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  <c:pt idx="143">
                  <c:v>0.55298013245033117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06308169596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まっつん2!$O$3:$O$146</c:f>
              <c:numCache>
                <c:formatCode>0.0%</c:formatCode>
                <c:ptCount val="144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  <c:pt idx="143">
                  <c:v>0.42537313432835822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774011299435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まっつん2!$A$3:$A$146</c:f>
              <c:numCache>
                <c:formatCode>0\ "回"</c:formatCode>
                <c:ptCount val="1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</c:numCache>
            </c:numRef>
          </c:xVal>
          <c:yVal>
            <c:numRef>
              <c:f>まっつん2!$P$3:$P$146</c:f>
              <c:numCache>
                <c:formatCode>0.0%</c:formatCode>
                <c:ptCount val="144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  <c:pt idx="143">
                  <c:v>0.44753086419753085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44444444444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6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218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219</v>
      </c>
      <c r="B3" s="29">
        <v>43737.532500000001</v>
      </c>
      <c r="C3" s="28" t="s">
        <v>128</v>
      </c>
    </row>
    <row r="4" spans="1:12" x14ac:dyDescent="0.45">
      <c r="A4" s="28" t="s">
        <v>220</v>
      </c>
      <c r="B4" s="29">
        <v>43737.532500000001</v>
      </c>
      <c r="C4" s="28" t="s">
        <v>128</v>
      </c>
    </row>
    <row r="5" spans="1:12" x14ac:dyDescent="0.45">
      <c r="A5" s="28" t="s">
        <v>221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222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223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5">
      <c r="A8" s="28" t="s">
        <v>227</v>
      </c>
      <c r="B8" s="29">
        <v>43740.96733796296</v>
      </c>
      <c r="C8" s="28" t="s">
        <v>128</v>
      </c>
    </row>
    <row r="9" spans="1:12" x14ac:dyDescent="0.45">
      <c r="A9" s="28" t="s">
        <v>229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230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231</v>
      </c>
      <c r="B11" s="29">
        <v>43741.028969907406</v>
      </c>
      <c r="C11" s="28" t="s">
        <v>128</v>
      </c>
    </row>
    <row r="12" spans="1:12" x14ac:dyDescent="0.45">
      <c r="A12" s="28" t="s">
        <v>232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233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234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235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236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237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238</v>
      </c>
      <c r="B18" s="29">
        <v>43745.374525462961</v>
      </c>
      <c r="C18" s="28" t="s">
        <v>128</v>
      </c>
    </row>
    <row r="19" spans="1:12" x14ac:dyDescent="0.45">
      <c r="A19" s="28" t="s">
        <v>239</v>
      </c>
      <c r="B19" s="29">
        <v>43750.963090277779</v>
      </c>
      <c r="C19" s="28" t="s">
        <v>128</v>
      </c>
    </row>
    <row r="20" spans="1:12" x14ac:dyDescent="0.45">
      <c r="A20" s="28" t="s">
        <v>240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241</v>
      </c>
      <c r="B21" s="29">
        <v>43750.963090277779</v>
      </c>
      <c r="C21" s="28" t="s">
        <v>128</v>
      </c>
    </row>
    <row r="22" spans="1:12" x14ac:dyDescent="0.45">
      <c r="A22" s="28" t="s">
        <v>242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243</v>
      </c>
      <c r="B23" s="29">
        <v>43800.062326388892</v>
      </c>
      <c r="C23" s="28" t="s">
        <v>128</v>
      </c>
    </row>
    <row r="24" spans="1:12" x14ac:dyDescent="0.45">
      <c r="A24" s="28" t="s">
        <v>244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245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5">
      <c r="A26" s="28" t="s">
        <v>246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247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5">
      <c r="A28" s="28" t="s">
        <v>248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5">
      <c r="A29" s="28" t="s">
        <v>200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201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202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204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205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206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207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208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209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210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211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212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213</v>
      </c>
      <c r="B41" s="29">
        <v>43766.037835648145</v>
      </c>
      <c r="C41" s="28" t="s">
        <v>128</v>
      </c>
    </row>
    <row r="42" spans="1:9" x14ac:dyDescent="0.45">
      <c r="A42" s="28" t="s">
        <v>214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215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216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217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249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250</v>
      </c>
      <c r="B47" s="29">
        <v>43770.815983796296</v>
      </c>
      <c r="C47" s="28" t="s">
        <v>128</v>
      </c>
    </row>
    <row r="48" spans="1:9" x14ac:dyDescent="0.45">
      <c r="A48" s="28" t="s">
        <v>251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252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253</v>
      </c>
      <c r="B50" s="29">
        <v>43773.722453703704</v>
      </c>
      <c r="C50" s="28" t="s">
        <v>128</v>
      </c>
    </row>
    <row r="51" spans="1:9" x14ac:dyDescent="0.45">
      <c r="A51" s="28" t="s">
        <v>254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255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256</v>
      </c>
      <c r="B53" s="29">
        <v>43781.637499999997</v>
      </c>
      <c r="C53" s="28" t="s">
        <v>128</v>
      </c>
    </row>
    <row r="54" spans="1:9" x14ac:dyDescent="0.45">
      <c r="A54" s="28" t="s">
        <v>257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258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259</v>
      </c>
      <c r="B56" s="29">
        <v>43783.744745370372</v>
      </c>
      <c r="C56" s="28" t="s">
        <v>128</v>
      </c>
    </row>
    <row r="57" spans="1:9" x14ac:dyDescent="0.45">
      <c r="A57" s="28" t="s">
        <v>260</v>
      </c>
      <c r="B57" s="29">
        <v>43784.974247685182</v>
      </c>
      <c r="C57" s="28" t="s">
        <v>128</v>
      </c>
    </row>
    <row r="58" spans="1:9" x14ac:dyDescent="0.45">
      <c r="A58" s="28" t="s">
        <v>261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262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263</v>
      </c>
      <c r="B60" s="29">
        <v>43787.745706018519</v>
      </c>
      <c r="C60" s="28" t="s">
        <v>128</v>
      </c>
    </row>
    <row r="61" spans="1:9" x14ac:dyDescent="0.45">
      <c r="A61" s="28" t="s">
        <v>264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265</v>
      </c>
      <c r="B62" s="29">
        <v>43789.730671296296</v>
      </c>
      <c r="C62" s="28" t="s">
        <v>128</v>
      </c>
    </row>
    <row r="63" spans="1:9" x14ac:dyDescent="0.45">
      <c r="A63" s="28" t="s">
        <v>266</v>
      </c>
      <c r="B63" s="29">
        <v>43790.974027777775</v>
      </c>
      <c r="C63" s="28" t="s">
        <v>128</v>
      </c>
    </row>
    <row r="64" spans="1:9" x14ac:dyDescent="0.45">
      <c r="A64" s="28" t="s">
        <v>267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268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269</v>
      </c>
      <c r="B66" s="29">
        <v>43795.03466435185</v>
      </c>
      <c r="C66" s="28" t="s">
        <v>128</v>
      </c>
    </row>
    <row r="67" spans="1:12" x14ac:dyDescent="0.45">
      <c r="A67" s="28" t="s">
        <v>270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5">
      <c r="A68" s="28" t="s">
        <v>271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272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273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275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276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277</v>
      </c>
      <c r="B73" s="29">
        <v>43805.880937499998</v>
      </c>
      <c r="C73" s="28" t="s">
        <v>128</v>
      </c>
    </row>
    <row r="74" spans="1:12" x14ac:dyDescent="0.45">
      <c r="A74" s="28" t="s">
        <v>278</v>
      </c>
      <c r="B74" s="29">
        <v>43806.068379629629</v>
      </c>
      <c r="C74" s="28" t="s">
        <v>128</v>
      </c>
    </row>
    <row r="75" spans="1:12" x14ac:dyDescent="0.45">
      <c r="A75" s="28" t="s">
        <v>279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282</v>
      </c>
      <c r="B76" s="29">
        <v>43809.906898148147</v>
      </c>
      <c r="C76" s="28" t="s">
        <v>128</v>
      </c>
    </row>
    <row r="77" spans="1:12" x14ac:dyDescent="0.45">
      <c r="A77" s="28" t="s">
        <v>283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285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284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286</v>
      </c>
      <c r="B80" s="29">
        <v>43812.000752314816</v>
      </c>
      <c r="C80" s="28" t="s">
        <v>128</v>
      </c>
    </row>
    <row r="81" spans="1:9" x14ac:dyDescent="0.45">
      <c r="A81" s="28" t="s">
        <v>287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288</v>
      </c>
      <c r="B82" s="29">
        <v>43814.578449074077</v>
      </c>
      <c r="C82" s="28" t="s">
        <v>128</v>
      </c>
    </row>
    <row r="83" spans="1:9" x14ac:dyDescent="0.45">
      <c r="A83" s="28" t="s">
        <v>289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290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291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292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293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294</v>
      </c>
      <c r="B88" s="29">
        <v>43838.76290509259</v>
      </c>
      <c r="C88" s="28" t="s">
        <v>128</v>
      </c>
    </row>
    <row r="89" spans="1:9" x14ac:dyDescent="0.45">
      <c r="A89" s="28" t="s">
        <v>295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296</v>
      </c>
      <c r="B90" s="29">
        <v>43840.436331018522</v>
      </c>
      <c r="C90" s="28" t="s">
        <v>128</v>
      </c>
    </row>
    <row r="91" spans="1:9" x14ac:dyDescent="0.45">
      <c r="A91" s="28" t="s">
        <v>297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298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299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300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301</v>
      </c>
      <c r="B95" s="29">
        <v>43846.004641203705</v>
      </c>
      <c r="C95" s="28" t="s">
        <v>128</v>
      </c>
    </row>
    <row r="96" spans="1:9" x14ac:dyDescent="0.45">
      <c r="A96" s="28" t="s">
        <v>302</v>
      </c>
      <c r="B96" s="29">
        <v>43846.862905092596</v>
      </c>
      <c r="C96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912</v>
      </c>
    </row>
    <row r="2" spans="1:2" x14ac:dyDescent="0.45">
      <c r="A2" t="s">
        <v>161</v>
      </c>
      <c r="B2">
        <v>81</v>
      </c>
    </row>
    <row r="3" spans="1:2" x14ac:dyDescent="0.45">
      <c r="A3" t="s">
        <v>126</v>
      </c>
      <c r="B3">
        <v>179</v>
      </c>
    </row>
    <row r="4" spans="1:2" x14ac:dyDescent="0.45">
      <c r="A4" t="s">
        <v>127</v>
      </c>
      <c r="B4">
        <v>159</v>
      </c>
    </row>
    <row r="5" spans="1:2" x14ac:dyDescent="0.45">
      <c r="A5" t="s">
        <v>172</v>
      </c>
      <c r="B5">
        <v>98</v>
      </c>
    </row>
    <row r="6" spans="1:2" x14ac:dyDescent="0.45">
      <c r="A6" t="s">
        <v>170</v>
      </c>
      <c r="B6">
        <v>130</v>
      </c>
    </row>
    <row r="7" spans="1:2" x14ac:dyDescent="0.45">
      <c r="A7" t="s">
        <v>171</v>
      </c>
      <c r="B7">
        <v>143</v>
      </c>
    </row>
    <row r="8" spans="1:2" x14ac:dyDescent="0.45">
      <c r="A8" t="s">
        <v>197</v>
      </c>
      <c r="B8">
        <v>62</v>
      </c>
    </row>
    <row r="9" spans="1:2" x14ac:dyDescent="0.45">
      <c r="A9" t="s">
        <v>196</v>
      </c>
      <c r="B9">
        <v>25</v>
      </c>
    </row>
    <row r="10" spans="1:2" x14ac:dyDescent="0.45">
      <c r="A10" t="s">
        <v>228</v>
      </c>
      <c r="B10">
        <v>7</v>
      </c>
    </row>
    <row r="11" spans="1:2" x14ac:dyDescent="0.45">
      <c r="A11" t="s">
        <v>203</v>
      </c>
      <c r="B11">
        <v>2</v>
      </c>
    </row>
    <row r="12" spans="1:2" x14ac:dyDescent="0.45">
      <c r="A12" t="s">
        <v>274</v>
      </c>
      <c r="B12">
        <v>13</v>
      </c>
    </row>
    <row r="13" spans="1:2" x14ac:dyDescent="0.45">
      <c r="A13" t="s">
        <v>281</v>
      </c>
      <c r="B13">
        <v>8</v>
      </c>
    </row>
    <row r="14" spans="1:2" x14ac:dyDescent="0.45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4" t="s">
        <v>6</v>
      </c>
      <c r="C1" s="165"/>
      <c r="D1" s="164" t="s">
        <v>7</v>
      </c>
      <c r="E1" s="165"/>
      <c r="F1" s="164" t="s">
        <v>15</v>
      </c>
      <c r="G1" s="165"/>
      <c r="H1" s="164" t="s">
        <v>14</v>
      </c>
      <c r="I1" s="165"/>
      <c r="J1" s="164" t="s">
        <v>155</v>
      </c>
      <c r="K1" s="165"/>
      <c r="L1" s="164" t="s">
        <v>145</v>
      </c>
      <c r="M1" s="165"/>
      <c r="N1" s="164" t="s">
        <v>146</v>
      </c>
      <c r="O1" s="165"/>
      <c r="P1" s="164" t="s">
        <v>5</v>
      </c>
      <c r="Q1" s="165"/>
      <c r="R1" s="164" t="s">
        <v>16</v>
      </c>
      <c r="S1" s="165"/>
      <c r="T1" s="164" t="s">
        <v>17</v>
      </c>
      <c r="U1" s="165"/>
      <c r="V1" s="164" t="s">
        <v>122</v>
      </c>
      <c r="W1" s="165"/>
      <c r="X1" s="164" t="s">
        <v>119</v>
      </c>
      <c r="Y1" s="165"/>
      <c r="Z1" s="164" t="s">
        <v>125</v>
      </c>
      <c r="AA1" s="165"/>
      <c r="AB1" s="164" t="s">
        <v>147</v>
      </c>
      <c r="AC1" s="165"/>
      <c r="AD1" s="164" t="s">
        <v>140</v>
      </c>
      <c r="AE1" s="165"/>
      <c r="AF1" s="164" t="s">
        <v>192</v>
      </c>
      <c r="AG1" s="165"/>
    </row>
    <row r="2" spans="1:33" x14ac:dyDescent="0.45">
      <c r="A2" s="68" t="s">
        <v>154</v>
      </c>
      <c r="B2" s="166"/>
      <c r="C2" s="167"/>
      <c r="D2" s="166"/>
      <c r="E2" s="167"/>
      <c r="F2" s="162">
        <v>0.96921444685973979</v>
      </c>
      <c r="G2" s="163"/>
      <c r="H2" s="162">
        <v>0.84993957300672041</v>
      </c>
      <c r="I2" s="163"/>
      <c r="J2" s="162">
        <v>0.89451158109664175</v>
      </c>
      <c r="K2" s="163"/>
      <c r="L2" s="162">
        <v>0.47646631606720535</v>
      </c>
      <c r="M2" s="163"/>
      <c r="N2" s="162">
        <v>0.5807518739045745</v>
      </c>
      <c r="O2" s="163"/>
      <c r="P2" s="162">
        <v>0.45913104372811059</v>
      </c>
      <c r="Q2" s="163"/>
      <c r="R2" s="162">
        <v>0.19228656171354122</v>
      </c>
      <c r="S2" s="163"/>
      <c r="T2" s="162">
        <v>0.38766364216610377</v>
      </c>
      <c r="U2" s="163"/>
      <c r="V2" s="162">
        <v>0.39927533222456568</v>
      </c>
      <c r="W2" s="163"/>
      <c r="X2" s="162">
        <v>0.10162880029263477</v>
      </c>
      <c r="Y2" s="163"/>
      <c r="Z2" s="162">
        <v>0.32904577311391769</v>
      </c>
      <c r="AA2" s="163"/>
      <c r="AB2" s="162">
        <v>-4.6314127745149536E-2</v>
      </c>
      <c r="AC2" s="163"/>
      <c r="AD2" s="162">
        <v>-5.7766865121217134E-2</v>
      </c>
      <c r="AE2" s="163"/>
      <c r="AF2" s="162">
        <v>0.85377666001342944</v>
      </c>
      <c r="AG2" s="163"/>
    </row>
    <row r="3" spans="1:33" x14ac:dyDescent="0.45">
      <c r="A3" s="70">
        <v>1</v>
      </c>
      <c r="B3" s="71" t="s">
        <v>126</v>
      </c>
      <c r="C3" s="72">
        <v>1554.0999999999997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10798.630136986301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512.20000000000039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0.25139664804469275</v>
      </c>
      <c r="L4" s="81" t="s">
        <v>281</v>
      </c>
      <c r="M4" s="84">
        <v>0.37681159420289856</v>
      </c>
      <c r="N4" s="81" t="s">
        <v>126</v>
      </c>
      <c r="O4" s="84">
        <v>0.13002042205582029</v>
      </c>
      <c r="P4" s="81" t="s">
        <v>281</v>
      </c>
      <c r="Q4" s="85">
        <v>9534.6153846153848</v>
      </c>
      <c r="R4" s="81" t="s">
        <v>171</v>
      </c>
      <c r="S4" s="85">
        <v>-7036.4197530864194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0.51369863013698636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281</v>
      </c>
      <c r="C5" s="80">
        <v>106.5</v>
      </c>
      <c r="D5" s="81" t="s">
        <v>126</v>
      </c>
      <c r="E5" s="93">
        <v>8.6821229050279314</v>
      </c>
      <c r="F5" s="81" t="s">
        <v>126</v>
      </c>
      <c r="G5" s="82">
        <v>1.7877094972067038</v>
      </c>
      <c r="H5" s="81" t="s">
        <v>126</v>
      </c>
      <c r="I5" s="83">
        <v>0.46368715083798884</v>
      </c>
      <c r="J5" s="81" t="s">
        <v>171</v>
      </c>
      <c r="K5" s="83">
        <v>0.30069930069930068</v>
      </c>
      <c r="L5" s="81" t="s">
        <v>274</v>
      </c>
      <c r="M5" s="84">
        <v>0.3559322033898305</v>
      </c>
      <c r="N5" s="81" t="s">
        <v>171</v>
      </c>
      <c r="O5" s="84">
        <v>0.13953488372093023</v>
      </c>
      <c r="P5" s="81" t="s">
        <v>280</v>
      </c>
      <c r="Q5" s="85">
        <v>8512.5</v>
      </c>
      <c r="R5" s="81" t="s">
        <v>126</v>
      </c>
      <c r="S5" s="85">
        <v>-7777.486910994764</v>
      </c>
      <c r="T5" s="81" t="s">
        <v>126</v>
      </c>
      <c r="U5" s="83">
        <v>4.4692737430167599E-2</v>
      </c>
      <c r="V5" s="81" t="s">
        <v>274</v>
      </c>
      <c r="W5" s="84">
        <v>0.30508474576271188</v>
      </c>
      <c r="X5" s="81" t="s">
        <v>127</v>
      </c>
      <c r="Y5" s="84">
        <v>0.30015082956259426</v>
      </c>
      <c r="Z5" s="81" t="s">
        <v>196</v>
      </c>
      <c r="AA5" s="84">
        <v>0.59677419354838712</v>
      </c>
      <c r="AB5" s="81" t="s">
        <v>126</v>
      </c>
      <c r="AC5" s="84">
        <v>0.48275862068965519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203</v>
      </c>
      <c r="C6" s="80">
        <v>26.2</v>
      </c>
      <c r="D6" s="81" t="s">
        <v>170</v>
      </c>
      <c r="E6" s="93">
        <v>3.9400000000000031</v>
      </c>
      <c r="F6" s="81" t="s">
        <v>170</v>
      </c>
      <c r="G6" s="82">
        <v>1.9230769230769231</v>
      </c>
      <c r="H6" s="81" t="s">
        <v>228</v>
      </c>
      <c r="I6" s="83">
        <v>0.42857142857142855</v>
      </c>
      <c r="J6" s="81" t="s">
        <v>127</v>
      </c>
      <c r="K6" s="83">
        <v>0.31446540880503143</v>
      </c>
      <c r="L6" s="81" t="s">
        <v>126</v>
      </c>
      <c r="M6" s="84">
        <v>0.34104833219877467</v>
      </c>
      <c r="N6" s="81" t="s">
        <v>161</v>
      </c>
      <c r="O6" s="84">
        <v>0.1553398058252427</v>
      </c>
      <c r="P6" s="81" t="s">
        <v>196</v>
      </c>
      <c r="Q6" s="85">
        <v>8385.7142857142862</v>
      </c>
      <c r="R6" s="81" t="s">
        <v>161</v>
      </c>
      <c r="S6" s="85">
        <v>-7780.3571428571431</v>
      </c>
      <c r="T6" s="81" t="s">
        <v>171</v>
      </c>
      <c r="U6" s="83">
        <v>6.9930069930069935E-2</v>
      </c>
      <c r="V6" s="81" t="s">
        <v>170</v>
      </c>
      <c r="W6" s="84">
        <v>0.30434782608695654</v>
      </c>
      <c r="X6" s="81" t="s">
        <v>161</v>
      </c>
      <c r="Y6" s="84">
        <v>0.2579750346740638</v>
      </c>
      <c r="Z6" s="81" t="s">
        <v>126</v>
      </c>
      <c r="AA6" s="84">
        <v>0.58611825192802058</v>
      </c>
      <c r="AB6" s="81" t="s">
        <v>281</v>
      </c>
      <c r="AC6" s="84">
        <v>0.45454545454545453</v>
      </c>
      <c r="AD6" s="81" t="s">
        <v>172</v>
      </c>
      <c r="AE6" s="84">
        <v>0.47136563876651982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127</v>
      </c>
      <c r="C7" s="80">
        <v>18.399999999999817</v>
      </c>
      <c r="D7" s="81" t="s">
        <v>127</v>
      </c>
      <c r="E7" s="93">
        <v>0.11572327044025042</v>
      </c>
      <c r="F7" s="81" t="s">
        <v>127</v>
      </c>
      <c r="G7" s="82">
        <v>1.9748427672955975</v>
      </c>
      <c r="H7" s="81" t="s">
        <v>170</v>
      </c>
      <c r="I7" s="83">
        <v>0.4</v>
      </c>
      <c r="J7" s="81" t="s">
        <v>170</v>
      </c>
      <c r="K7" s="83">
        <v>0.32307692307692309</v>
      </c>
      <c r="L7" s="81" t="s">
        <v>127</v>
      </c>
      <c r="M7" s="84">
        <v>0.30769230769230771</v>
      </c>
      <c r="N7" s="81" t="s">
        <v>141</v>
      </c>
      <c r="O7" s="84">
        <v>0.16090599633411887</v>
      </c>
      <c r="P7" s="81" t="s">
        <v>141</v>
      </c>
      <c r="Q7" s="85">
        <v>8381.8666666666668</v>
      </c>
      <c r="R7" s="81" t="s">
        <v>141</v>
      </c>
      <c r="S7" s="85">
        <v>-7789.5036615134259</v>
      </c>
      <c r="T7" s="81" t="s">
        <v>172</v>
      </c>
      <c r="U7" s="83">
        <v>7.1428571428571425E-2</v>
      </c>
      <c r="V7" s="81" t="s">
        <v>172</v>
      </c>
      <c r="W7" s="84">
        <v>0.27672209026128264</v>
      </c>
      <c r="X7" s="81" t="s">
        <v>126</v>
      </c>
      <c r="Y7" s="84">
        <v>0.23689584751531653</v>
      </c>
      <c r="Z7" s="81" t="s">
        <v>171</v>
      </c>
      <c r="AA7" s="84">
        <v>0.55298013245033117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141</v>
      </c>
      <c r="C8" s="80">
        <v>-5.3290705182007514E-14</v>
      </c>
      <c r="D8" s="81" t="s">
        <v>141</v>
      </c>
      <c r="E8" s="93">
        <v>-5.8432790769745078E-17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0.2945797329143755</v>
      </c>
      <c r="N8" s="81" t="s">
        <v>274</v>
      </c>
      <c r="O8" s="84">
        <v>0.16949152542372881</v>
      </c>
      <c r="P8" s="81" t="s">
        <v>171</v>
      </c>
      <c r="Q8" s="85">
        <v>8250.9259259259252</v>
      </c>
      <c r="R8" s="81" t="s">
        <v>172</v>
      </c>
      <c r="S8" s="85">
        <v>-7814.3790849673205</v>
      </c>
      <c r="T8" s="81" t="s">
        <v>161</v>
      </c>
      <c r="U8" s="83">
        <v>7.407407407407407E-2</v>
      </c>
      <c r="V8" s="81" t="s">
        <v>203</v>
      </c>
      <c r="W8" s="84">
        <v>0.26666666666666666</v>
      </c>
      <c r="X8" s="81" t="s">
        <v>141</v>
      </c>
      <c r="Y8" s="84">
        <v>0.23173605655930871</v>
      </c>
      <c r="Z8" s="81" t="s">
        <v>141</v>
      </c>
      <c r="AA8" s="84">
        <v>0.55170630816959665</v>
      </c>
      <c r="AB8" s="81" t="s">
        <v>171</v>
      </c>
      <c r="AC8" s="84">
        <v>0.42537313432835822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196</v>
      </c>
      <c r="C9" s="80">
        <v>-45.7</v>
      </c>
      <c r="D9" s="81" t="s">
        <v>171</v>
      </c>
      <c r="E9" s="93">
        <v>-0.98951048951048937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161</v>
      </c>
      <c r="M9" s="84">
        <v>0.28155339805825241</v>
      </c>
      <c r="N9" s="81" t="s">
        <v>170</v>
      </c>
      <c r="O9" s="84">
        <v>0.17013232514177692</v>
      </c>
      <c r="P9" s="81" t="s">
        <v>126</v>
      </c>
      <c r="Q9" s="85">
        <v>8235.3293413173651</v>
      </c>
      <c r="R9" s="81" t="s">
        <v>127</v>
      </c>
      <c r="S9" s="85">
        <v>-7864.166666666667</v>
      </c>
      <c r="T9" s="81" t="s">
        <v>141</v>
      </c>
      <c r="U9" s="83">
        <v>9.3201754385964911E-2</v>
      </c>
      <c r="V9" s="81" t="s">
        <v>126</v>
      </c>
      <c r="W9" s="84">
        <v>0.26480599046970726</v>
      </c>
      <c r="X9" s="81" t="s">
        <v>171</v>
      </c>
      <c r="Y9" s="84">
        <v>0.23083548664944015</v>
      </c>
      <c r="Z9" s="81" t="s">
        <v>170</v>
      </c>
      <c r="AA9" s="84">
        <v>0.5496894409937888</v>
      </c>
      <c r="AB9" s="81" t="s">
        <v>141</v>
      </c>
      <c r="AC9" s="84">
        <v>0.41977401129943503</v>
      </c>
      <c r="AD9" s="81" t="s">
        <v>141</v>
      </c>
      <c r="AE9" s="84">
        <v>0.44844444444444442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0.33962264150943394</v>
      </c>
      <c r="J10" s="81" t="s">
        <v>274</v>
      </c>
      <c r="K10" s="83">
        <v>0.38461538461538464</v>
      </c>
      <c r="L10" s="81" t="s">
        <v>171</v>
      </c>
      <c r="M10" s="84">
        <v>0.27906976744186046</v>
      </c>
      <c r="N10" s="81" t="s">
        <v>196</v>
      </c>
      <c r="O10" s="84">
        <v>0.17499999999999999</v>
      </c>
      <c r="P10" s="81" t="s">
        <v>127</v>
      </c>
      <c r="Q10" s="85">
        <v>8131.1274509803925</v>
      </c>
      <c r="R10" s="81" t="s">
        <v>280</v>
      </c>
      <c r="S10" s="85">
        <v>-7987.5</v>
      </c>
      <c r="T10" s="81" t="s">
        <v>127</v>
      </c>
      <c r="U10" s="83">
        <v>0.11320754716981132</v>
      </c>
      <c r="V10" s="81" t="s">
        <v>171</v>
      </c>
      <c r="W10" s="84">
        <v>0.26012058570198104</v>
      </c>
      <c r="X10" s="81" t="s">
        <v>197</v>
      </c>
      <c r="Y10" s="84">
        <v>0.22823984526112184</v>
      </c>
      <c r="Z10" s="81" t="s">
        <v>161</v>
      </c>
      <c r="AA10" s="84">
        <v>0.54285714285714282</v>
      </c>
      <c r="AB10" s="81" t="s">
        <v>161</v>
      </c>
      <c r="AC10" s="84">
        <v>0.41935483870967744</v>
      </c>
      <c r="AD10" s="81" t="s">
        <v>171</v>
      </c>
      <c r="AE10" s="84">
        <v>0.44753086419753085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2.0559440559440558</v>
      </c>
      <c r="H11" s="81" t="s">
        <v>141</v>
      </c>
      <c r="I11" s="83">
        <v>0.33333333333333331</v>
      </c>
      <c r="J11" s="81" t="s">
        <v>172</v>
      </c>
      <c r="K11" s="83">
        <v>0.39795918367346939</v>
      </c>
      <c r="L11" s="81" t="s">
        <v>170</v>
      </c>
      <c r="M11" s="84">
        <v>0.27599243856332706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203</v>
      </c>
      <c r="S11" s="85">
        <v>-8000</v>
      </c>
      <c r="T11" s="81" t="s">
        <v>170</v>
      </c>
      <c r="U11" s="83">
        <v>0.11538461538461539</v>
      </c>
      <c r="V11" s="81" t="s">
        <v>196</v>
      </c>
      <c r="W11" s="84">
        <v>0.25833333333333336</v>
      </c>
      <c r="X11" s="81" t="s">
        <v>172</v>
      </c>
      <c r="Y11" s="84">
        <v>0.19121140142517815</v>
      </c>
      <c r="Z11" s="81" t="s">
        <v>172</v>
      </c>
      <c r="AA11" s="84">
        <v>0.54077253218884125</v>
      </c>
      <c r="AB11" s="81" t="s">
        <v>172</v>
      </c>
      <c r="AC11" s="84">
        <v>0.40993788819875776</v>
      </c>
      <c r="AD11" s="81" t="s">
        <v>161</v>
      </c>
      <c r="AE11" s="84">
        <v>0.42857142857142855</v>
      </c>
      <c r="AF11" s="81" t="s">
        <v>281</v>
      </c>
      <c r="AG11" s="88">
        <v>70900</v>
      </c>
    </row>
    <row r="12" spans="1:33" x14ac:dyDescent="0.45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-5.3197530864197562</v>
      </c>
      <c r="F12" s="81" t="s">
        <v>161</v>
      </c>
      <c r="G12" s="82">
        <v>2.1111111111111112</v>
      </c>
      <c r="H12" s="81" t="s">
        <v>161</v>
      </c>
      <c r="I12" s="83">
        <v>0.30864197530864196</v>
      </c>
      <c r="J12" s="81" t="s">
        <v>196</v>
      </c>
      <c r="K12" s="83">
        <v>0.4</v>
      </c>
      <c r="L12" s="81" t="s">
        <v>172</v>
      </c>
      <c r="M12" s="84">
        <v>0.26959619952494063</v>
      </c>
      <c r="N12" s="81" t="s">
        <v>127</v>
      </c>
      <c r="O12" s="84">
        <v>0.18099547511312217</v>
      </c>
      <c r="P12" s="81" t="s">
        <v>172</v>
      </c>
      <c r="Q12" s="85">
        <v>7816.7400881057265</v>
      </c>
      <c r="R12" s="81" t="s">
        <v>170</v>
      </c>
      <c r="S12" s="85">
        <v>-8105.5555555555557</v>
      </c>
      <c r="T12" s="81" t="s">
        <v>196</v>
      </c>
      <c r="U12" s="83">
        <v>0.12</v>
      </c>
      <c r="V12" s="81" t="s">
        <v>141</v>
      </c>
      <c r="W12" s="84">
        <v>0.25320764598062317</v>
      </c>
      <c r="X12" s="81" t="s">
        <v>170</v>
      </c>
      <c r="Y12" s="84">
        <v>0.18525519848771266</v>
      </c>
      <c r="Z12" s="81" t="s">
        <v>228</v>
      </c>
      <c r="AA12" s="84">
        <v>0.53333333333333333</v>
      </c>
      <c r="AB12" s="81" t="s">
        <v>170</v>
      </c>
      <c r="AC12" s="84">
        <v>0.38265306122448978</v>
      </c>
      <c r="AD12" s="81" t="s">
        <v>126</v>
      </c>
      <c r="AE12" s="84">
        <v>0.42514970059880242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171</v>
      </c>
      <c r="C13" s="80">
        <v>-141.49999999999997</v>
      </c>
      <c r="D13" s="81" t="s">
        <v>172</v>
      </c>
      <c r="E13" s="93">
        <v>-7.1499999999999995</v>
      </c>
      <c r="F13" s="81" t="s">
        <v>228</v>
      </c>
      <c r="G13" s="82">
        <v>2.1428571428571428</v>
      </c>
      <c r="H13" s="81" t="s">
        <v>171</v>
      </c>
      <c r="I13" s="83">
        <v>0.24475524475524477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172</v>
      </c>
      <c r="O13" s="84">
        <v>0.18171021377672208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197</v>
      </c>
      <c r="AA13" s="84">
        <v>0.52293577981651373</v>
      </c>
      <c r="AB13" s="81" t="s">
        <v>127</v>
      </c>
      <c r="AC13" s="84">
        <v>0.37688442211055279</v>
      </c>
      <c r="AD13" s="81" t="s">
        <v>127</v>
      </c>
      <c r="AE13" s="84">
        <v>0.41176470588235292</v>
      </c>
      <c r="AF13" s="81" t="s">
        <v>274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-430.90000000000026</v>
      </c>
      <c r="D14" s="81" t="s">
        <v>197</v>
      </c>
      <c r="E14" s="93">
        <v>-10.732258064516131</v>
      </c>
      <c r="F14" s="81" t="s">
        <v>172</v>
      </c>
      <c r="G14" s="82">
        <v>2.1836734693877551</v>
      </c>
      <c r="H14" s="81" t="s">
        <v>172</v>
      </c>
      <c r="I14" s="83">
        <v>0.21428571428571427</v>
      </c>
      <c r="J14" s="81" t="s">
        <v>161</v>
      </c>
      <c r="K14" s="83">
        <v>0.41975308641975306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0.2368024132730015</v>
      </c>
      <c r="X14" s="81" t="s">
        <v>196</v>
      </c>
      <c r="Y14" s="84">
        <v>0.15</v>
      </c>
      <c r="Z14" s="81" t="s">
        <v>127</v>
      </c>
      <c r="AA14" s="84">
        <v>0.51273885350318471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5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197</v>
      </c>
      <c r="K15" s="83">
        <v>0.43548387096774194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7173.8916256157636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5">
      <c r="A16" s="78">
        <v>14</v>
      </c>
      <c r="B16" s="79" t="s">
        <v>172</v>
      </c>
      <c r="C16" s="80">
        <v>-700.69999999999993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0.14563106796116504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91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912</v>
      </c>
      <c r="C2" s="155"/>
      <c r="E2" s="58" t="s">
        <v>66</v>
      </c>
      <c r="F2" s="55" t="s">
        <v>22</v>
      </c>
      <c r="G2" s="43">
        <v>1698</v>
      </c>
      <c r="H2" s="128">
        <f>IF(B$15=0,0,G2/B$15)</f>
        <v>0.75466666666666671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-29.702970297029704</v>
      </c>
      <c r="P2" s="114">
        <v>909</v>
      </c>
      <c r="Q2" s="98">
        <v>-27000</v>
      </c>
    </row>
    <row r="3" spans="1:17" x14ac:dyDescent="0.45">
      <c r="A3" s="51" t="s">
        <v>8</v>
      </c>
      <c r="B3" s="156">
        <v>7638</v>
      </c>
      <c r="C3" s="157"/>
      <c r="E3" s="59" t="s">
        <v>72</v>
      </c>
      <c r="F3" s="56" t="s">
        <v>27</v>
      </c>
      <c r="G3" s="44">
        <v>1209</v>
      </c>
      <c r="H3" s="129">
        <f>IF(B$15=0,0,G3/B$15)</f>
        <v>0.53733333333333333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8.9186176142697882</v>
      </c>
      <c r="P3" s="115">
        <v>897</v>
      </c>
      <c r="Q3" s="99">
        <v>8000</v>
      </c>
    </row>
    <row r="4" spans="1:17" x14ac:dyDescent="0.45">
      <c r="A4" s="51" t="s">
        <v>6</v>
      </c>
      <c r="B4" s="158">
        <v>-5.3290705182007514E-14</v>
      </c>
      <c r="C4" s="159"/>
      <c r="E4" s="59" t="s">
        <v>64</v>
      </c>
      <c r="F4" s="56" t="s">
        <v>20</v>
      </c>
      <c r="G4" s="44">
        <v>1029</v>
      </c>
      <c r="H4" s="129">
        <f>IF(B$15=0,0,G4/B$15)</f>
        <v>0.45733333333333331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-2.3724792408066429</v>
      </c>
      <c r="P4" s="115">
        <v>843</v>
      </c>
      <c r="Q4" s="99">
        <v>-2000</v>
      </c>
    </row>
    <row r="5" spans="1:17" x14ac:dyDescent="0.45">
      <c r="A5" s="51" t="s">
        <v>7</v>
      </c>
      <c r="B5" s="160">
        <f>IF(B$2=0,0,B$4/B$2)</f>
        <v>-5.8432790769745078E-17</v>
      </c>
      <c r="C5" s="161"/>
      <c r="E5" s="59" t="s">
        <v>166</v>
      </c>
      <c r="F5" s="56" t="s">
        <v>167</v>
      </c>
      <c r="G5" s="44">
        <v>875</v>
      </c>
      <c r="H5" s="129">
        <f>IF(B$15=0,0,G5/B$15)</f>
        <v>0.3888888888888889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6.2893081761006293</v>
      </c>
      <c r="P5" s="115">
        <v>795</v>
      </c>
      <c r="Q5" s="99">
        <v>5000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703</v>
      </c>
      <c r="H6" s="129">
        <f>IF(B$15=0,0,G6/B$15)</f>
        <v>0.31244444444444447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6.8306010928961749</v>
      </c>
      <c r="P6" s="115">
        <v>732</v>
      </c>
      <c r="Q6" s="99">
        <v>5000</v>
      </c>
    </row>
    <row r="7" spans="1:17" x14ac:dyDescent="0.45">
      <c r="A7" s="51" t="s">
        <v>2</v>
      </c>
      <c r="B7" s="44">
        <v>304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631</v>
      </c>
      <c r="H7" s="129">
        <f>IF(B$15=0,0,G7/B$15)</f>
        <v>0.28044444444444444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14.77832512315271</v>
      </c>
      <c r="P7" s="116">
        <v>609</v>
      </c>
      <c r="Q7" s="100">
        <v>9000</v>
      </c>
    </row>
    <row r="8" spans="1:17" x14ac:dyDescent="0.45">
      <c r="A8" s="51" t="s">
        <v>3</v>
      </c>
      <c r="B8" s="44">
        <v>304</v>
      </c>
      <c r="C8" s="37">
        <f t="shared" si="1"/>
        <v>0.33333333333333331</v>
      </c>
      <c r="E8" s="59" t="s">
        <v>69</v>
      </c>
      <c r="F8" s="56" t="s">
        <v>24</v>
      </c>
      <c r="G8" s="44">
        <v>322</v>
      </c>
      <c r="H8" s="129">
        <f>IF(B$15=0,0,G8/B$15)</f>
        <v>0.14311111111111111</v>
      </c>
      <c r="I8" s="90">
        <v>7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304</v>
      </c>
      <c r="C9" s="38">
        <f t="shared" si="1"/>
        <v>0.33333333333333331</v>
      </c>
      <c r="E9" s="59" t="s">
        <v>89</v>
      </c>
      <c r="F9" s="56" t="s">
        <v>44</v>
      </c>
      <c r="G9" s="44">
        <v>311</v>
      </c>
      <c r="H9" s="129">
        <f>IF(B$15=0,0,G9/B$15)</f>
        <v>0.13822222222222222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85</v>
      </c>
      <c r="C10" s="40">
        <f t="shared" si="1"/>
        <v>9.3201754385964911E-2</v>
      </c>
      <c r="E10" s="59" t="s">
        <v>65</v>
      </c>
      <c r="F10" s="56" t="s">
        <v>21</v>
      </c>
      <c r="G10" s="44">
        <v>236</v>
      </c>
      <c r="H10" s="129">
        <f>IF(B$15=0,0,G10/B$15)</f>
        <v>0.10488888888888889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-3.4003289473684206</v>
      </c>
      <c r="P10" s="114">
        <v>304</v>
      </c>
      <c r="Q10" s="102">
        <v>-1033.6999999999998</v>
      </c>
    </row>
    <row r="11" spans="1:17" x14ac:dyDescent="0.45">
      <c r="A11" s="54" t="s">
        <v>121</v>
      </c>
      <c r="B11" s="47">
        <v>1934</v>
      </c>
      <c r="C11" s="42">
        <f>IF(B$3=0,0,B11/B$3)</f>
        <v>0.25320764598062317</v>
      </c>
      <c r="E11" s="59" t="s">
        <v>70</v>
      </c>
      <c r="F11" s="56" t="s">
        <v>25</v>
      </c>
      <c r="G11" s="44">
        <v>208</v>
      </c>
      <c r="H11" s="129">
        <f>IF(B$15=0,0,G11/B$15)</f>
        <v>9.244444444444444E-2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0.84177631578947376</v>
      </c>
      <c r="P11" s="115">
        <v>304</v>
      </c>
      <c r="Q11" s="103">
        <v>255.90000000000003</v>
      </c>
    </row>
    <row r="12" spans="1:17" x14ac:dyDescent="0.45">
      <c r="A12" s="51" t="s">
        <v>118</v>
      </c>
      <c r="B12" s="44">
        <v>1770</v>
      </c>
      <c r="C12" s="37">
        <f>IF(B$3=0,0,B12/B$3)</f>
        <v>0.23173605655930871</v>
      </c>
      <c r="E12" s="59" t="s">
        <v>71</v>
      </c>
      <c r="F12" s="56" t="s">
        <v>26</v>
      </c>
      <c r="G12" s="44">
        <v>178</v>
      </c>
      <c r="H12" s="129">
        <f>IF(B$15=0,0,G12/B$15)</f>
        <v>7.9111111111111104E-2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2.5585526315789462</v>
      </c>
      <c r="P12" s="116">
        <v>304</v>
      </c>
      <c r="Q12" s="104">
        <v>777.79999999999961</v>
      </c>
    </row>
    <row r="13" spans="1:17" x14ac:dyDescent="0.45">
      <c r="A13" s="50" t="s">
        <v>123</v>
      </c>
      <c r="B13" s="43">
        <f>B19</f>
        <v>1067</v>
      </c>
      <c r="C13" s="35">
        <f>IF(B$11=0,0,B13/B$11)</f>
        <v>0.55170630816959665</v>
      </c>
      <c r="E13" s="59" t="s">
        <v>83</v>
      </c>
      <c r="F13" s="56" t="s">
        <v>38</v>
      </c>
      <c r="G13" s="44">
        <v>113</v>
      </c>
      <c r="H13" s="129">
        <f>IF(B$15=0,0,G13/B$15)</f>
        <v>5.0222222222222224E-2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743</v>
      </c>
      <c r="C14" s="35">
        <f>IF(B$12=0,0,B14/B$12)</f>
        <v>0.41977401129943503</v>
      </c>
      <c r="E14" s="59" t="s">
        <v>86</v>
      </c>
      <c r="F14" s="56" t="s">
        <v>41</v>
      </c>
      <c r="G14" s="44">
        <v>112</v>
      </c>
      <c r="H14" s="129">
        <f>IF(B$15=0,0,G14/B$15)</f>
        <v>4.9777777777777775E-2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2250</v>
      </c>
      <c r="C15" s="35">
        <f>IF(B$3=0,0,B15/B$3)</f>
        <v>0.2945797329143755</v>
      </c>
      <c r="E15" s="59" t="s">
        <v>78</v>
      </c>
      <c r="F15" s="56" t="s">
        <v>33</v>
      </c>
      <c r="G15" s="44">
        <v>63</v>
      </c>
      <c r="H15" s="129">
        <f>IF(B$15=0,0,G15/B$15)</f>
        <v>2.8000000000000001E-2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1229</v>
      </c>
      <c r="C16" s="37">
        <f>IF(B$3=0,0,B16/B$3)</f>
        <v>0.16090599633411887</v>
      </c>
      <c r="E16" s="59" t="s">
        <v>162</v>
      </c>
      <c r="F16" s="56" t="s">
        <v>163</v>
      </c>
      <c r="G16" s="44">
        <v>49</v>
      </c>
      <c r="H16" s="129">
        <f>IF(B$15=0,0,G16/B$15)</f>
        <v>2.1777777777777778E-2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1009</v>
      </c>
      <c r="C17" s="37">
        <f>IF(B$15=0,0,B17/B$15)</f>
        <v>0.44844444444444442</v>
      </c>
      <c r="E17" s="59" t="s">
        <v>81</v>
      </c>
      <c r="F17" s="56" t="s">
        <v>36</v>
      </c>
      <c r="G17" s="44">
        <v>47</v>
      </c>
      <c r="H17" s="129">
        <f>IF(B$15=0,0,G17/B$15)</f>
        <v>2.0888888888888887E-2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5">
      <c r="A18" s="51" t="s">
        <v>11</v>
      </c>
      <c r="B18" s="44">
        <v>1241</v>
      </c>
      <c r="C18" s="37">
        <f>IF(B$15=0,0,B18/B$15)</f>
        <v>0.55155555555555558</v>
      </c>
      <c r="E18" s="59" t="s">
        <v>91</v>
      </c>
      <c r="F18" s="56" t="s">
        <v>46</v>
      </c>
      <c r="G18" s="44">
        <v>35</v>
      </c>
      <c r="H18" s="129">
        <f>IF(B$15=0,0,G18/B$15)</f>
        <v>1.5555555555555555E-2</v>
      </c>
      <c r="I18" s="90">
        <v>5</v>
      </c>
      <c r="K18" s="36">
        <v>16</v>
      </c>
      <c r="L18" s="95">
        <v>-28.2</v>
      </c>
      <c r="N18" s="111" t="s">
        <v>172</v>
      </c>
      <c r="O18" s="121">
        <f>IF(P18=0,0,Q18/P18)</f>
        <v>10.724999999999994</v>
      </c>
      <c r="P18" s="115">
        <v>196</v>
      </c>
      <c r="Q18" s="103">
        <v>2102.099999999999</v>
      </c>
    </row>
    <row r="19" spans="1:17" x14ac:dyDescent="0.45">
      <c r="A19" s="51" t="s">
        <v>195</v>
      </c>
      <c r="B19" s="44">
        <v>1067</v>
      </c>
      <c r="C19" s="37">
        <f>IF(B$15=0,0,B19/B$15)</f>
        <v>0.47422222222222221</v>
      </c>
      <c r="E19" s="59" t="s">
        <v>79</v>
      </c>
      <c r="F19" s="56" t="s">
        <v>34</v>
      </c>
      <c r="G19" s="44">
        <v>32</v>
      </c>
      <c r="H19" s="129">
        <f>IF(B$15=0,0,G19/B$15)</f>
        <v>1.4222222222222223E-2</v>
      </c>
      <c r="I19" s="90">
        <v>7</v>
      </c>
      <c r="K19" s="36">
        <v>17</v>
      </c>
      <c r="L19" s="95">
        <v>-20.5</v>
      </c>
      <c r="N19" s="111" t="s">
        <v>274</v>
      </c>
      <c r="O19" s="121">
        <f>IF(P19=0,0,Q19/P19)</f>
        <v>5.4923076923076897</v>
      </c>
      <c r="P19" s="115">
        <v>26</v>
      </c>
      <c r="Q19" s="103">
        <v>142.79999999999993</v>
      </c>
    </row>
    <row r="20" spans="1:17" x14ac:dyDescent="0.45">
      <c r="A20" s="51" t="s">
        <v>193</v>
      </c>
      <c r="B20" s="44">
        <v>743</v>
      </c>
      <c r="C20" s="37">
        <f>IF(B$15=0,0,B20/B$15)</f>
        <v>0.33022222222222219</v>
      </c>
      <c r="E20" s="59" t="s">
        <v>75</v>
      </c>
      <c r="F20" s="56" t="s">
        <v>30</v>
      </c>
      <c r="G20" s="44">
        <v>18</v>
      </c>
      <c r="H20" s="129">
        <f>IF(B$15=0,0,G20/B$15)</f>
        <v>8.0000000000000002E-3</v>
      </c>
      <c r="I20" s="90">
        <v>6</v>
      </c>
      <c r="K20" s="36">
        <v>18</v>
      </c>
      <c r="L20" s="95">
        <v>0</v>
      </c>
      <c r="N20" s="111" t="s">
        <v>161</v>
      </c>
      <c r="O20" s="121">
        <f>IF(P20=0,0,Q20/P20)</f>
        <v>5.4674157303370707</v>
      </c>
      <c r="P20" s="115">
        <v>178</v>
      </c>
      <c r="Q20" s="103">
        <v>973.19999999999857</v>
      </c>
    </row>
    <row r="21" spans="1:17" x14ac:dyDescent="0.45">
      <c r="A21" s="51" t="s">
        <v>194</v>
      </c>
      <c r="B21" s="44">
        <v>440</v>
      </c>
      <c r="C21" s="37">
        <f>IF(B$15=0,0,B21/B$15)</f>
        <v>0.19555555555555557</v>
      </c>
      <c r="E21" s="59" t="s">
        <v>85</v>
      </c>
      <c r="F21" s="56" t="s">
        <v>40</v>
      </c>
      <c r="G21" s="44">
        <v>13</v>
      </c>
      <c r="H21" s="129">
        <f>IF(B$15=0,0,G21/B$15)</f>
        <v>5.7777777777777775E-3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5">
      <c r="A22" s="51" t="s">
        <v>5</v>
      </c>
      <c r="B22" s="48">
        <f>IF(B$15=0,0,C22/B$15)</f>
        <v>8381.8666666666668</v>
      </c>
      <c r="C22" s="39">
        <v>18859200</v>
      </c>
      <c r="E22" s="59" t="s">
        <v>92</v>
      </c>
      <c r="F22" s="56" t="s">
        <v>47</v>
      </c>
      <c r="G22" s="44">
        <v>13</v>
      </c>
      <c r="H22" s="129">
        <f>IF(B$15=0,0,G22/B$15)</f>
        <v>5.7777777777777775E-3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1.4842657342657344</v>
      </c>
      <c r="P22" s="115">
        <v>286</v>
      </c>
      <c r="Q22" s="103">
        <v>424.50000000000006</v>
      </c>
    </row>
    <row r="23" spans="1:17" x14ac:dyDescent="0.45">
      <c r="A23" s="52" t="s">
        <v>177</v>
      </c>
      <c r="B23" s="136">
        <f>IF($B$15-B$14=0,0,C23/($B$15-B$14))</f>
        <v>9034.9701393497016</v>
      </c>
      <c r="C23" s="137">
        <v>13615700</v>
      </c>
      <c r="E23" s="59" t="s">
        <v>73</v>
      </c>
      <c r="F23" s="56" t="s">
        <v>28</v>
      </c>
      <c r="G23" s="44">
        <v>8</v>
      </c>
      <c r="H23" s="129">
        <f>IF(B$15=0,0,G23/B$15)</f>
        <v>3.5555555555555557E-3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-0.17358490566038112</v>
      </c>
      <c r="P23" s="115">
        <v>318</v>
      </c>
      <c r="Q23" s="103">
        <v>-55.200000000001197</v>
      </c>
    </row>
    <row r="24" spans="1:17" x14ac:dyDescent="0.45">
      <c r="A24" s="52" t="s">
        <v>178</v>
      </c>
      <c r="B24" s="136">
        <f>IF(B$14=0,0,C24/B$14)</f>
        <v>7057.2005383580081</v>
      </c>
      <c r="C24" s="137">
        <v>5243500</v>
      </c>
      <c r="E24" s="59" t="s">
        <v>74</v>
      </c>
      <c r="F24" s="56" t="s">
        <v>29</v>
      </c>
      <c r="G24" s="44">
        <v>8</v>
      </c>
      <c r="H24" s="129">
        <f>IF(B$15=0,0,G24/B$15)</f>
        <v>3.5555555555555557E-3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-5.909999999999993</v>
      </c>
      <c r="P24" s="115">
        <v>260</v>
      </c>
      <c r="Q24" s="103">
        <v>-1536.5999999999981</v>
      </c>
    </row>
    <row r="25" spans="1:17" x14ac:dyDescent="0.45">
      <c r="A25" s="52" t="s">
        <v>176</v>
      </c>
      <c r="B25" s="136">
        <f>IF(B$16=0,0,C25/B$16)</f>
        <v>-7789.5036615134259</v>
      </c>
      <c r="C25" s="137">
        <v>-9573300</v>
      </c>
      <c r="E25" s="59" t="s">
        <v>84</v>
      </c>
      <c r="F25" s="56" t="s">
        <v>39</v>
      </c>
      <c r="G25" s="44">
        <v>7</v>
      </c>
      <c r="H25" s="129">
        <f>IF(B$15=0,0,G25/B$15)</f>
        <v>3.1111111111111109E-3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-13.023184357541904</v>
      </c>
      <c r="P25" s="115">
        <v>358</v>
      </c>
      <c r="Q25" s="103">
        <v>-4662.300000000002</v>
      </c>
    </row>
    <row r="26" spans="1:17" x14ac:dyDescent="0.45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6</v>
      </c>
      <c r="H26" s="129">
        <f>IF(B$15=0,0,G26/B$15)</f>
        <v>2.6666666666666666E-3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9</v>
      </c>
      <c r="E27" s="59" t="s">
        <v>87</v>
      </c>
      <c r="F27" s="56" t="s">
        <v>42</v>
      </c>
      <c r="G27" s="44">
        <v>5</v>
      </c>
      <c r="H27" s="129">
        <f>IF(B$15=0,0,G27/B$15)</f>
        <v>2.2222222222222222E-3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88</v>
      </c>
      <c r="F28" s="56" t="s">
        <v>43</v>
      </c>
      <c r="G28" s="44">
        <v>5</v>
      </c>
      <c r="H28" s="129">
        <f>IF(B$15=0,0,G28/B$15)</f>
        <v>2.2222222222222222E-3</v>
      </c>
      <c r="I28" s="90">
        <v>4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1.7777777777777779E-3</v>
      </c>
      <c r="I29" s="90">
        <v>4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21</v>
      </c>
      <c r="C30" s="40">
        <f>IF(B$3=0,0,B30/B$3)</f>
        <v>2.7494108405341712E-3</v>
      </c>
      <c r="E30" s="59" t="s">
        <v>93</v>
      </c>
      <c r="F30" s="56" t="s">
        <v>48</v>
      </c>
      <c r="G30" s="44">
        <v>4</v>
      </c>
      <c r="H30" s="129">
        <f>IF(B$15=0,0,G30/B$15)</f>
        <v>1.7777777777777779E-3</v>
      </c>
      <c r="I30" s="90">
        <v>4</v>
      </c>
      <c r="K30" s="36">
        <v>28</v>
      </c>
      <c r="L30" s="95">
        <v>-30.199999999999992</v>
      </c>
    </row>
    <row r="31" spans="1:17" x14ac:dyDescent="0.45">
      <c r="E31" s="59" t="s">
        <v>95</v>
      </c>
      <c r="F31" s="56" t="s">
        <v>50</v>
      </c>
      <c r="G31" s="44">
        <v>4</v>
      </c>
      <c r="H31" s="129">
        <f>IF(B$15=0,0,G31/B$15)</f>
        <v>1.7777777777777779E-3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176</v>
      </c>
      <c r="C32" s="141">
        <f>IF(B$15=0,0,B32/B$15)</f>
        <v>7.8222222222222221E-2</v>
      </c>
      <c r="E32" s="59" t="s">
        <v>97</v>
      </c>
      <c r="F32" s="56" t="s">
        <v>52</v>
      </c>
      <c r="G32" s="44">
        <v>1</v>
      </c>
      <c r="H32" s="129">
        <f>IF(B$15=0,0,G32/B$15)</f>
        <v>4.4444444444444447E-4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383</v>
      </c>
      <c r="C33" s="37">
        <f t="shared" ref="C33:C44" si="2">IF(B$15=0,0,B33/B$15)</f>
        <v>0.17022222222222222</v>
      </c>
      <c r="E33" s="59" t="s">
        <v>101</v>
      </c>
      <c r="F33" s="56" t="s">
        <v>56</v>
      </c>
      <c r="G33" s="44">
        <v>1</v>
      </c>
      <c r="H33" s="129">
        <f>IF(B$15=0,0,G33/B$15)</f>
        <v>4.4444444444444447E-4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437</v>
      </c>
      <c r="C34" s="37">
        <f>IF(B$15=0,0,B34/B$15)</f>
        <v>0.19422222222222221</v>
      </c>
      <c r="E34" s="59" t="s">
        <v>106</v>
      </c>
      <c r="F34" s="56" t="s">
        <v>113</v>
      </c>
      <c r="G34" s="44">
        <v>1</v>
      </c>
      <c r="H34" s="129">
        <f>IF(B$15=0,0,G34/B$15)</f>
        <v>4.4444444444444447E-4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398</v>
      </c>
      <c r="C35" s="37">
        <f t="shared" si="2"/>
        <v>0.1768888888888889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355</v>
      </c>
      <c r="C36" s="37">
        <f t="shared" si="2"/>
        <v>0.15777777777777777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244</v>
      </c>
      <c r="C37" s="37">
        <f t="shared" si="2"/>
        <v>0.10844444444444444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118</v>
      </c>
      <c r="C38" s="37">
        <f t="shared" si="2"/>
        <v>5.2444444444444446E-2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64</v>
      </c>
      <c r="C39" s="37">
        <f t="shared" si="2"/>
        <v>2.8444444444444446E-2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28</v>
      </c>
      <c r="C40" s="37">
        <f t="shared" si="2"/>
        <v>1.2444444444444444E-2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10</v>
      </c>
      <c r="C41" s="37">
        <f t="shared" si="2"/>
        <v>4.4444444444444444E-3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6</v>
      </c>
      <c r="C42" s="37">
        <f t="shared" si="2"/>
        <v>2.6666666666666666E-3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2.6666666666666666E-3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25</v>
      </c>
      <c r="C44" s="40">
        <f t="shared" si="2"/>
        <v>1.1111111111111112E-2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3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81</v>
      </c>
      <c r="C2" s="155"/>
      <c r="E2" s="58" t="s">
        <v>66</v>
      </c>
      <c r="F2" s="55" t="s">
        <v>22</v>
      </c>
      <c r="G2" s="43">
        <v>144</v>
      </c>
      <c r="H2" s="128">
        <f>IF(B$15=0,0,G2/B$15)</f>
        <v>0.70935960591133007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2034.5679012345679</v>
      </c>
      <c r="P2" s="114">
        <v>81</v>
      </c>
      <c r="Q2" s="98">
        <v>164800</v>
      </c>
    </row>
    <row r="3" spans="1:17" x14ac:dyDescent="0.45">
      <c r="A3" s="51" t="s">
        <v>8</v>
      </c>
      <c r="B3" s="156">
        <v>721</v>
      </c>
      <c r="C3" s="157"/>
      <c r="E3" s="59" t="s">
        <v>72</v>
      </c>
      <c r="F3" s="56" t="s">
        <v>27</v>
      </c>
      <c r="G3" s="44">
        <v>115</v>
      </c>
      <c r="H3" s="129">
        <f>IF(B$15=0,0,G3/B$15)</f>
        <v>0.56650246305418717</v>
      </c>
      <c r="I3" s="90">
        <v>3</v>
      </c>
      <c r="K3" s="36">
        <v>1</v>
      </c>
      <c r="L3" s="95">
        <v>-4.5999999999999996</v>
      </c>
      <c r="N3" s="111" t="s">
        <v>131</v>
      </c>
      <c r="O3" s="118">
        <f t="shared" si="0"/>
        <v>-2061.25</v>
      </c>
      <c r="P3" s="115">
        <v>80</v>
      </c>
      <c r="Q3" s="99">
        <v>-164900</v>
      </c>
    </row>
    <row r="4" spans="1:17" x14ac:dyDescent="0.45">
      <c r="A4" s="51" t="s">
        <v>6</v>
      </c>
      <c r="B4" s="158">
        <v>-430.90000000000026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0.35467980295566504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-1572.7272727272727</v>
      </c>
      <c r="P4" s="115">
        <v>77</v>
      </c>
      <c r="Q4" s="99">
        <v>-121100</v>
      </c>
    </row>
    <row r="5" spans="1:17" x14ac:dyDescent="0.45">
      <c r="A5" s="51" t="s">
        <v>7</v>
      </c>
      <c r="B5" s="160">
        <f>IF(B$2=0,0,B$4/B$2)</f>
        <v>-5.3197530864197562</v>
      </c>
      <c r="C5" s="161"/>
      <c r="E5" s="59" t="s">
        <v>64</v>
      </c>
      <c r="F5" s="56" t="s">
        <v>20</v>
      </c>
      <c r="G5" s="44">
        <v>56</v>
      </c>
      <c r="H5" s="129">
        <f>IF(B$15=0,0,G5/B$15)</f>
        <v>0.27586206896551724</v>
      </c>
      <c r="I5" s="90">
        <v>14</v>
      </c>
      <c r="K5" s="36">
        <v>3</v>
      </c>
      <c r="L5" s="95">
        <v>-8.3000000000000007</v>
      </c>
      <c r="N5" s="111" t="s">
        <v>133</v>
      </c>
      <c r="O5" s="118">
        <f t="shared" si="0"/>
        <v>-919.44444444444446</v>
      </c>
      <c r="P5" s="115">
        <v>72</v>
      </c>
      <c r="Q5" s="99">
        <v>-66200</v>
      </c>
    </row>
    <row r="6" spans="1:17" x14ac:dyDescent="0.45">
      <c r="A6" s="51" t="s">
        <v>1</v>
      </c>
      <c r="B6" s="150">
        <f>IF(B$2=0,0,(B$7*1+B$8*2+B$9*3)/B$2)</f>
        <v>2.1111111111111112</v>
      </c>
      <c r="C6" s="151"/>
      <c r="E6" s="59" t="s">
        <v>68</v>
      </c>
      <c r="F6" s="56" t="s">
        <v>12</v>
      </c>
      <c r="G6" s="44">
        <v>54</v>
      </c>
      <c r="H6" s="129">
        <f>IF(B$15=0,0,G6/B$15)</f>
        <v>0.26600985221674878</v>
      </c>
      <c r="I6" s="90">
        <v>12</v>
      </c>
      <c r="K6" s="36">
        <v>4</v>
      </c>
      <c r="L6" s="95">
        <v>-30.7</v>
      </c>
      <c r="N6" s="111" t="s">
        <v>134</v>
      </c>
      <c r="O6" s="118">
        <f t="shared" si="0"/>
        <v>-11.428571428571429</v>
      </c>
      <c r="P6" s="115">
        <v>70</v>
      </c>
      <c r="Q6" s="99">
        <v>-800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0.30864197530864196</v>
      </c>
      <c r="E7" s="59" t="s">
        <v>67</v>
      </c>
      <c r="F7" s="56" t="s">
        <v>23</v>
      </c>
      <c r="G7" s="44">
        <v>36</v>
      </c>
      <c r="H7" s="129">
        <f>IF(B$15=0,0,G7/B$15)</f>
        <v>0.17733990147783252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-1923.3333333333333</v>
      </c>
      <c r="P7" s="116">
        <v>60</v>
      </c>
      <c r="Q7" s="100">
        <v>-115400</v>
      </c>
    </row>
    <row r="8" spans="1:17" x14ac:dyDescent="0.45">
      <c r="A8" s="51" t="s">
        <v>3</v>
      </c>
      <c r="B8" s="44">
        <v>22</v>
      </c>
      <c r="C8" s="37">
        <f t="shared" si="1"/>
        <v>0.27160493827160492</v>
      </c>
      <c r="E8" s="59" t="s">
        <v>69</v>
      </c>
      <c r="F8" s="56" t="s">
        <v>24</v>
      </c>
      <c r="G8" s="44">
        <v>33</v>
      </c>
      <c r="H8" s="129">
        <f>IF(B$15=0,0,G8/B$15)</f>
        <v>0.1625615763546798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34</v>
      </c>
      <c r="C9" s="38">
        <f t="shared" si="1"/>
        <v>0.41975308641975306</v>
      </c>
      <c r="E9" s="59" t="s">
        <v>71</v>
      </c>
      <c r="F9" s="56" t="s">
        <v>26</v>
      </c>
      <c r="G9" s="44">
        <v>24</v>
      </c>
      <c r="H9" s="129">
        <f>IF(B$15=0,0,G9/B$15)</f>
        <v>0.11822660098522167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6</v>
      </c>
      <c r="C10" s="40">
        <f t="shared" si="1"/>
        <v>7.407407407407407E-2</v>
      </c>
      <c r="E10" s="59" t="s">
        <v>70</v>
      </c>
      <c r="F10" s="56" t="s">
        <v>25</v>
      </c>
      <c r="G10" s="44">
        <v>23</v>
      </c>
      <c r="H10" s="129">
        <f>IF(B$15=0,0,G10/B$15)</f>
        <v>0.11330049261083744</v>
      </c>
      <c r="I10" s="90">
        <v>4</v>
      </c>
      <c r="K10" s="36">
        <v>8</v>
      </c>
      <c r="L10" s="95">
        <v>-76.900000000000006</v>
      </c>
      <c r="N10" s="110" t="s">
        <v>157</v>
      </c>
      <c r="O10" s="120">
        <f>IF(P10=0,0,Q10/P10)</f>
        <v>-11.299999999999999</v>
      </c>
      <c r="P10" s="114">
        <v>28</v>
      </c>
      <c r="Q10" s="102">
        <v>-316.39999999999998</v>
      </c>
    </row>
    <row r="11" spans="1:17" x14ac:dyDescent="0.45">
      <c r="A11" s="54" t="s">
        <v>121</v>
      </c>
      <c r="B11" s="47">
        <v>105</v>
      </c>
      <c r="C11" s="42">
        <f>IF(B$3=0,0,B11/B$3)</f>
        <v>0.14563106796116504</v>
      </c>
      <c r="E11" s="59" t="s">
        <v>83</v>
      </c>
      <c r="F11" s="56" t="s">
        <v>38</v>
      </c>
      <c r="G11" s="44">
        <v>18</v>
      </c>
      <c r="H11" s="129">
        <f>IF(B$15=0,0,G11/B$15)</f>
        <v>8.8669950738916259E-2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-5.3439999999999994</v>
      </c>
      <c r="P11" s="115">
        <v>25</v>
      </c>
      <c r="Q11" s="103">
        <v>-133.6</v>
      </c>
    </row>
    <row r="12" spans="1:17" x14ac:dyDescent="0.45">
      <c r="A12" s="51" t="s">
        <v>118</v>
      </c>
      <c r="B12" s="44">
        <v>186</v>
      </c>
      <c r="C12" s="37">
        <f>IF(B$3=0,0,B12/B$3)</f>
        <v>0.2579750346740638</v>
      </c>
      <c r="E12" s="59" t="s">
        <v>89</v>
      </c>
      <c r="F12" s="56" t="s">
        <v>44</v>
      </c>
      <c r="G12" s="44">
        <v>14</v>
      </c>
      <c r="H12" s="129">
        <f>IF(B$15=0,0,G12/B$15)</f>
        <v>6.8965517241379309E-2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0.68214285714285749</v>
      </c>
      <c r="P12" s="116">
        <v>28</v>
      </c>
      <c r="Q12" s="104">
        <v>19.100000000000009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0.54285714285714282</v>
      </c>
      <c r="E13" s="59" t="s">
        <v>65</v>
      </c>
      <c r="F13" s="56" t="s">
        <v>21</v>
      </c>
      <c r="G13" s="44">
        <v>13</v>
      </c>
      <c r="H13" s="129">
        <f>IF(B$15=0,0,G13/B$15)</f>
        <v>6.4039408866995079E-2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78</v>
      </c>
      <c r="C14" s="35">
        <f>IF(B$12=0,0,B14/B$12)</f>
        <v>0.41935483870967744</v>
      </c>
      <c r="E14" s="59" t="s">
        <v>81</v>
      </c>
      <c r="F14" s="56" t="s">
        <v>36</v>
      </c>
      <c r="G14" s="44">
        <v>9</v>
      </c>
      <c r="H14" s="129">
        <f>IF(B$15=0,0,G14/B$15)</f>
        <v>4.4334975369458129E-2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203</v>
      </c>
      <c r="C15" s="35">
        <f>IF(B$3=0,0,B15/B$3)</f>
        <v>0.28155339805825241</v>
      </c>
      <c r="E15" s="59" t="s">
        <v>86</v>
      </c>
      <c r="F15" s="56" t="s">
        <v>41</v>
      </c>
      <c r="G15" s="44">
        <v>7</v>
      </c>
      <c r="H15" s="129">
        <f>IF(B$15=0,0,G15/B$15)</f>
        <v>3.4482758620689655E-2</v>
      </c>
      <c r="I15" s="90">
        <v>9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112</v>
      </c>
      <c r="C16" s="37">
        <f>IF(B$3=0,0,B16/B$3)</f>
        <v>0.1553398058252427</v>
      </c>
      <c r="E16" s="59" t="s">
        <v>79</v>
      </c>
      <c r="F16" s="56" t="s">
        <v>34</v>
      </c>
      <c r="G16" s="44">
        <v>5</v>
      </c>
      <c r="H16" s="129">
        <f>IF(B$15=0,0,G16/B$15)</f>
        <v>2.4630541871921183E-2</v>
      </c>
      <c r="I16" s="90">
        <v>2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87</v>
      </c>
      <c r="C17" s="37">
        <f>IF(B$15=0,0,B17/B$15)</f>
        <v>0.42857142857142855</v>
      </c>
      <c r="E17" s="59" t="s">
        <v>91</v>
      </c>
      <c r="F17" s="56" t="s">
        <v>46</v>
      </c>
      <c r="G17" s="44">
        <v>4</v>
      </c>
      <c r="H17" s="129">
        <f>IF(B$15=0,0,G17/B$15)</f>
        <v>1.9704433497536946E-2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5">
      <c r="A18" s="51" t="s">
        <v>11</v>
      </c>
      <c r="B18" s="44">
        <v>116</v>
      </c>
      <c r="C18" s="37">
        <f>IF(B$15=0,0,B18/B$15)</f>
        <v>0.5714285714285714</v>
      </c>
      <c r="E18" s="59" t="s">
        <v>74</v>
      </c>
      <c r="F18" s="56" t="s">
        <v>29</v>
      </c>
      <c r="G18" s="44">
        <v>2</v>
      </c>
      <c r="H18" s="129">
        <f>IF(B$15=0,0,G18/B$15)</f>
        <v>9.852216748768473E-3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5">
      <c r="A19" s="51" t="s">
        <v>195</v>
      </c>
      <c r="B19" s="44">
        <v>57</v>
      </c>
      <c r="C19" s="37">
        <f>IF(B$15=0,0,B19/B$15)</f>
        <v>0.28078817733990147</v>
      </c>
      <c r="E19" s="59" t="s">
        <v>75</v>
      </c>
      <c r="F19" s="56" t="s">
        <v>30</v>
      </c>
      <c r="G19" s="44">
        <v>2</v>
      </c>
      <c r="H19" s="129">
        <f>IF(B$15=0,0,G19/B$15)</f>
        <v>9.852216748768473E-3</v>
      </c>
      <c r="I19" s="90">
        <v>5</v>
      </c>
      <c r="K19" s="36">
        <v>17</v>
      </c>
      <c r="L19" s="95">
        <v>-65.2</v>
      </c>
      <c r="N19" s="111" t="s">
        <v>127</v>
      </c>
      <c r="O19" s="121">
        <f t="shared" si="2"/>
        <v>-6.1387096774193557</v>
      </c>
      <c r="P19" s="115">
        <v>31</v>
      </c>
      <c r="Q19" s="103">
        <v>-190.30000000000004</v>
      </c>
    </row>
    <row r="20" spans="1:17" x14ac:dyDescent="0.45">
      <c r="A20" s="51" t="s">
        <v>193</v>
      </c>
      <c r="B20" s="44">
        <v>78</v>
      </c>
      <c r="C20" s="37">
        <f>IF(B$15=0,0,B20/B$15)</f>
        <v>0.38423645320197042</v>
      </c>
      <c r="E20" s="59" t="s">
        <v>78</v>
      </c>
      <c r="F20" s="56" t="s">
        <v>33</v>
      </c>
      <c r="G20" s="44">
        <v>2</v>
      </c>
      <c r="H20" s="129">
        <f>IF(B$15=0,0,G20/B$15)</f>
        <v>9.852216748768473E-3</v>
      </c>
      <c r="I20" s="90">
        <v>9</v>
      </c>
      <c r="K20" s="36">
        <v>18</v>
      </c>
      <c r="L20" s="95">
        <v>-80.2</v>
      </c>
      <c r="N20" s="111" t="s">
        <v>126</v>
      </c>
      <c r="O20" s="121">
        <f t="shared" si="2"/>
        <v>-11.944736842105266</v>
      </c>
      <c r="P20" s="115">
        <v>38</v>
      </c>
      <c r="Q20" s="103">
        <v>-453.90000000000015</v>
      </c>
    </row>
    <row r="21" spans="1:17" x14ac:dyDescent="0.45">
      <c r="A21" s="51" t="s">
        <v>194</v>
      </c>
      <c r="B21" s="44">
        <v>68</v>
      </c>
      <c r="C21" s="37">
        <f>IF(B$15=0,0,B21/B$15)</f>
        <v>0.33497536945812806</v>
      </c>
      <c r="E21" s="59" t="s">
        <v>88</v>
      </c>
      <c r="F21" s="56" t="s">
        <v>43</v>
      </c>
      <c r="G21" s="44">
        <v>2</v>
      </c>
      <c r="H21" s="129">
        <f>IF(B$15=0,0,G21/B$15)</f>
        <v>9.852216748768473E-3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5">
      <c r="A22" s="51" t="s">
        <v>5</v>
      </c>
      <c r="B22" s="48">
        <f>IF(B$15=0,0,C22/B$15)</f>
        <v>7173.8916256157636</v>
      </c>
      <c r="C22" s="39">
        <v>1456300</v>
      </c>
      <c r="E22" s="59" t="s">
        <v>93</v>
      </c>
      <c r="F22" s="56" t="s">
        <v>48</v>
      </c>
      <c r="G22" s="44">
        <v>2</v>
      </c>
      <c r="H22" s="129">
        <f>IF(B$15=0,0,G22/B$15)</f>
        <v>9.852216748768473E-3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-26.930769230769229</v>
      </c>
      <c r="P22" s="115">
        <v>26</v>
      </c>
      <c r="Q22" s="103">
        <v>-700.19999999999993</v>
      </c>
    </row>
    <row r="23" spans="1:17" x14ac:dyDescent="0.45">
      <c r="A23" s="52" t="s">
        <v>177</v>
      </c>
      <c r="B23" s="136">
        <f>IF($B$15-B$14=0,0,C23/($B$15-B$14))</f>
        <v>7704.8</v>
      </c>
      <c r="C23" s="137">
        <v>963100</v>
      </c>
      <c r="E23" s="59" t="s">
        <v>77</v>
      </c>
      <c r="F23" s="56" t="s">
        <v>32</v>
      </c>
      <c r="G23" s="44">
        <v>1</v>
      </c>
      <c r="H23" s="129">
        <f>IF(B$15=0,0,G23/B$15)</f>
        <v>4.9261083743842365E-3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6323.0769230769229</v>
      </c>
      <c r="C24" s="137">
        <v>493200</v>
      </c>
      <c r="E24" s="59" t="s">
        <v>84</v>
      </c>
      <c r="F24" s="56" t="s">
        <v>39</v>
      </c>
      <c r="G24" s="44">
        <v>1</v>
      </c>
      <c r="H24" s="129">
        <f>IF(B$15=0,0,G24/B$15)</f>
        <v>4.9261083743842365E-3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-7780.3571428571431</v>
      </c>
      <c r="C25" s="137">
        <v>-871400</v>
      </c>
      <c r="E25" s="59" t="s">
        <v>87</v>
      </c>
      <c r="F25" s="56" t="s">
        <v>42</v>
      </c>
      <c r="G25" s="44">
        <v>1</v>
      </c>
      <c r="H25" s="129">
        <f>IF(B$15=0,0,G25/B$15)</f>
        <v>4.9261083743842365E-3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2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2.7739251040221915E-3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0.13300492610837439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40</v>
      </c>
      <c r="C33" s="37">
        <f t="shared" ref="C33:C44" si="3">IF(B$15=0,0,B33/B$15)</f>
        <v>0.19704433497536947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43</v>
      </c>
      <c r="C34" s="37">
        <f>IF(B$15=0,0,B34/B$15)</f>
        <v>0.21182266009852216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34</v>
      </c>
      <c r="C35" s="37">
        <f t="shared" si="3"/>
        <v>0.16748768472906403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0.10837438423645321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17</v>
      </c>
      <c r="C37" s="37">
        <f t="shared" si="3"/>
        <v>8.3743842364532015E-2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5.4187192118226604E-2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2.9556650246305417E-2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4.9261083743842365E-3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9.852216748768473E-3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</sheetData>
  <sortState xmlns:xlrd2="http://schemas.microsoft.com/office/spreadsheetml/2017/richdata2" ref="E2:I8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8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179</v>
      </c>
      <c r="C2" s="155"/>
      <c r="E2" s="58" t="s">
        <v>66</v>
      </c>
      <c r="F2" s="55" t="s">
        <v>22</v>
      </c>
      <c r="G2" s="43">
        <v>340</v>
      </c>
      <c r="H2" s="128">
        <f>IF(B$15=0,0,G2/B$15)</f>
        <v>0.67864271457085823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1153.370786516854</v>
      </c>
      <c r="P2" s="114">
        <v>178</v>
      </c>
      <c r="Q2" s="98">
        <v>205300</v>
      </c>
    </row>
    <row r="3" spans="1:17" x14ac:dyDescent="0.45">
      <c r="A3" s="51" t="s">
        <v>8</v>
      </c>
      <c r="B3" s="156">
        <v>1469</v>
      </c>
      <c r="C3" s="157"/>
      <c r="E3" s="59" t="s">
        <v>72</v>
      </c>
      <c r="F3" s="56" t="s">
        <v>27</v>
      </c>
      <c r="G3" s="44">
        <v>264</v>
      </c>
      <c r="H3" s="129">
        <f>IF(B$15=0,0,G3/B$15)</f>
        <v>0.52694610778443118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1236.5714285714287</v>
      </c>
      <c r="P3" s="115">
        <v>175</v>
      </c>
      <c r="Q3" s="99">
        <v>216400</v>
      </c>
    </row>
    <row r="4" spans="1:17" x14ac:dyDescent="0.45">
      <c r="A4" s="51" t="s">
        <v>6</v>
      </c>
      <c r="B4" s="158">
        <v>1554.0999999999997</v>
      </c>
      <c r="C4" s="159"/>
      <c r="E4" s="59" t="s">
        <v>64</v>
      </c>
      <c r="F4" s="56" t="s">
        <v>20</v>
      </c>
      <c r="G4" s="44">
        <v>215</v>
      </c>
      <c r="H4" s="129">
        <f>IF(B$15=0,0,G4/B$15)</f>
        <v>0.42914171656686628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941.07142857142856</v>
      </c>
      <c r="P4" s="115">
        <v>168</v>
      </c>
      <c r="Q4" s="99">
        <v>158100</v>
      </c>
    </row>
    <row r="5" spans="1:17" x14ac:dyDescent="0.45">
      <c r="A5" s="51" t="s">
        <v>7</v>
      </c>
      <c r="B5" s="160">
        <f>IF(B$2=0,0,B$4/B$2)</f>
        <v>8.6821229050279314</v>
      </c>
      <c r="C5" s="161"/>
      <c r="E5" s="59" t="s">
        <v>166</v>
      </c>
      <c r="F5" s="56" t="s">
        <v>167</v>
      </c>
      <c r="G5" s="44">
        <v>196</v>
      </c>
      <c r="H5" s="129">
        <f>IF(B$15=0,0,G5/B$15)</f>
        <v>0.39121756487025949</v>
      </c>
      <c r="I5" s="90">
        <v>6</v>
      </c>
      <c r="K5" s="36">
        <v>3</v>
      </c>
      <c r="L5" s="95">
        <v>40.400000000000006</v>
      </c>
      <c r="N5" s="111" t="s">
        <v>133</v>
      </c>
      <c r="O5" s="118">
        <f t="shared" si="0"/>
        <v>346.49681528662421</v>
      </c>
      <c r="P5" s="115">
        <v>157</v>
      </c>
      <c r="Q5" s="99">
        <v>54400</v>
      </c>
    </row>
    <row r="6" spans="1:17" x14ac:dyDescent="0.45">
      <c r="A6" s="51" t="s">
        <v>1</v>
      </c>
      <c r="B6" s="150">
        <f>IF(B$2=0,0,(B$7*1+B$8*2+B$9*3)/B$2)</f>
        <v>1.7877094972067038</v>
      </c>
      <c r="C6" s="151"/>
      <c r="E6" s="59" t="s">
        <v>68</v>
      </c>
      <c r="F6" s="56" t="s">
        <v>12</v>
      </c>
      <c r="G6" s="44">
        <v>139</v>
      </c>
      <c r="H6" s="129">
        <f>IF(B$15=0,0,G6/B$15)</f>
        <v>0.27744510978043913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1623.2876712328766</v>
      </c>
      <c r="P6" s="115">
        <v>146</v>
      </c>
      <c r="Q6" s="99">
        <v>237000</v>
      </c>
    </row>
    <row r="7" spans="1:17" x14ac:dyDescent="0.45">
      <c r="A7" s="51" t="s">
        <v>2</v>
      </c>
      <c r="B7" s="44">
        <v>83</v>
      </c>
      <c r="C7" s="37">
        <f t="shared" ref="C7:C10" si="1">IF(B$2=0,0,B7/B$2)</f>
        <v>0.46368715083798884</v>
      </c>
      <c r="E7" s="59" t="s">
        <v>67</v>
      </c>
      <c r="F7" s="56" t="s">
        <v>23</v>
      </c>
      <c r="G7" s="44">
        <v>119</v>
      </c>
      <c r="H7" s="129">
        <f>IF(B$15=0,0,G7/B$15)</f>
        <v>0.2375249500998004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2100.8333333333335</v>
      </c>
      <c r="P7" s="116">
        <v>120</v>
      </c>
      <c r="Q7" s="100">
        <v>252100</v>
      </c>
    </row>
    <row r="8" spans="1:17" x14ac:dyDescent="0.45">
      <c r="A8" s="51" t="s">
        <v>3</v>
      </c>
      <c r="B8" s="44">
        <v>51</v>
      </c>
      <c r="C8" s="37">
        <f t="shared" si="1"/>
        <v>0.28491620111731841</v>
      </c>
      <c r="E8" s="59" t="s">
        <v>89</v>
      </c>
      <c r="F8" s="56" t="s">
        <v>44</v>
      </c>
      <c r="G8" s="44">
        <v>74</v>
      </c>
      <c r="H8" s="129">
        <f>IF(B$15=0,0,G8/B$15)</f>
        <v>0.14770459081836326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45</v>
      </c>
      <c r="C9" s="38">
        <f t="shared" si="1"/>
        <v>0.25139664804469275</v>
      </c>
      <c r="E9" s="59" t="s">
        <v>69</v>
      </c>
      <c r="F9" s="56" t="s">
        <v>24</v>
      </c>
      <c r="G9" s="44">
        <v>62</v>
      </c>
      <c r="H9" s="129">
        <f>IF(B$15=0,0,G9/B$15)</f>
        <v>0.12375249500998003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4.4692737430167599E-2</v>
      </c>
      <c r="E10" s="59" t="s">
        <v>65</v>
      </c>
      <c r="F10" s="56" t="s">
        <v>21</v>
      </c>
      <c r="G10" s="44">
        <v>55</v>
      </c>
      <c r="H10" s="129">
        <f>IF(B$15=0,0,G10/B$15)</f>
        <v>0.10978043912175649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12.196226415094337</v>
      </c>
      <c r="P10" s="114">
        <v>53</v>
      </c>
      <c r="Q10" s="102">
        <v>646.39999999999986</v>
      </c>
    </row>
    <row r="11" spans="1:17" x14ac:dyDescent="0.45">
      <c r="A11" s="54" t="s">
        <v>121</v>
      </c>
      <c r="B11" s="47">
        <v>389</v>
      </c>
      <c r="C11" s="42">
        <f>IF(B$3=0,0,B11/B$3)</f>
        <v>0.26480599046970726</v>
      </c>
      <c r="E11" s="59" t="s">
        <v>71</v>
      </c>
      <c r="F11" s="56" t="s">
        <v>26</v>
      </c>
      <c r="G11" s="44">
        <v>37</v>
      </c>
      <c r="H11" s="129">
        <f>IF(B$15=0,0,G11/B$15)</f>
        <v>7.3852295409181631E-2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3.5533333333333332</v>
      </c>
      <c r="P11" s="115">
        <v>60</v>
      </c>
      <c r="Q11" s="103">
        <v>213.2</v>
      </c>
    </row>
    <row r="12" spans="1:17" x14ac:dyDescent="0.45">
      <c r="A12" s="51" t="s">
        <v>118</v>
      </c>
      <c r="B12" s="44">
        <v>348</v>
      </c>
      <c r="C12" s="37">
        <f>IF(B$3=0,0,B12/B$3)</f>
        <v>0.23689584751531653</v>
      </c>
      <c r="E12" s="59" t="s">
        <v>86</v>
      </c>
      <c r="F12" s="56" t="s">
        <v>41</v>
      </c>
      <c r="G12" s="44">
        <v>32</v>
      </c>
      <c r="H12" s="129">
        <f>IF(B$15=0,0,G12/B$15)</f>
        <v>6.3872255489021951E-2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10.52272727272727</v>
      </c>
      <c r="P12" s="116">
        <v>66</v>
      </c>
      <c r="Q12" s="104">
        <v>694.49999999999977</v>
      </c>
    </row>
    <row r="13" spans="1:17" x14ac:dyDescent="0.45">
      <c r="A13" s="50" t="s">
        <v>123</v>
      </c>
      <c r="B13" s="43">
        <f>B19</f>
        <v>228</v>
      </c>
      <c r="C13" s="35">
        <f>IF(B$11=0,0,B13/B$11)</f>
        <v>0.58611825192802058</v>
      </c>
      <c r="E13" s="59" t="s">
        <v>70</v>
      </c>
      <c r="F13" s="56" t="s">
        <v>25</v>
      </c>
      <c r="G13" s="44">
        <v>30</v>
      </c>
      <c r="H13" s="129">
        <f>IF(B$15=0,0,G13/B$15)</f>
        <v>5.9880239520958084E-2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168</v>
      </c>
      <c r="C14" s="35">
        <f>IF(B$12=0,0,B14/B$12)</f>
        <v>0.48275862068965519</v>
      </c>
      <c r="E14" s="59" t="s">
        <v>83</v>
      </c>
      <c r="F14" s="56" t="s">
        <v>38</v>
      </c>
      <c r="G14" s="44">
        <v>24</v>
      </c>
      <c r="H14" s="129">
        <f>IF(B$15=0,0,G14/B$15)</f>
        <v>4.790419161676647E-2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501</v>
      </c>
      <c r="C15" s="35">
        <f>IF(B$3=0,0,B15/B$3)</f>
        <v>0.34104833219877467</v>
      </c>
      <c r="E15" s="59" t="s">
        <v>78</v>
      </c>
      <c r="F15" s="56" t="s">
        <v>33</v>
      </c>
      <c r="G15" s="44">
        <v>21</v>
      </c>
      <c r="H15" s="129">
        <f>IF(B$15=0,0,G15/B$15)</f>
        <v>4.1916167664670656E-2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>IF(P15=0,0,Q15/P15)</f>
        <v>49.766666666666659</v>
      </c>
      <c r="P15" s="114">
        <v>3</v>
      </c>
      <c r="Q15" s="102">
        <v>149.29999999999998</v>
      </c>
    </row>
    <row r="16" spans="1:17" x14ac:dyDescent="0.45">
      <c r="A16" s="51" t="s">
        <v>13</v>
      </c>
      <c r="B16" s="44">
        <v>191</v>
      </c>
      <c r="C16" s="37">
        <f>IF(B$3=0,0,B16/B$3)</f>
        <v>0.13002042205582029</v>
      </c>
      <c r="E16" s="59" t="s">
        <v>162</v>
      </c>
      <c r="F16" s="56" t="s">
        <v>163</v>
      </c>
      <c r="G16" s="44">
        <v>15</v>
      </c>
      <c r="H16" s="129">
        <f>IF(B$15=0,0,G16/B$15)</f>
        <v>2.9940119760479042E-2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39.662500000000009</v>
      </c>
      <c r="P16" s="115">
        <v>8</v>
      </c>
      <c r="Q16" s="103">
        <v>317.30000000000007</v>
      </c>
    </row>
    <row r="17" spans="1:17" x14ac:dyDescent="0.45">
      <c r="A17" s="51" t="s">
        <v>12</v>
      </c>
      <c r="B17" s="44">
        <v>213</v>
      </c>
      <c r="C17" s="37">
        <f>IF(B$15=0,0,B17/B$15)</f>
        <v>0.42514970059880242</v>
      </c>
      <c r="E17" s="59" t="s">
        <v>81</v>
      </c>
      <c r="F17" s="56" t="s">
        <v>36</v>
      </c>
      <c r="G17" s="44">
        <v>7</v>
      </c>
      <c r="H17" s="129">
        <f>IF(B$15=0,0,G17/B$15)</f>
        <v>1.3972055888223553E-2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>IF(P17=0,0,Q17/P17)</f>
        <v>26.642105263157898</v>
      </c>
      <c r="P17" s="115">
        <v>19</v>
      </c>
      <c r="Q17" s="103">
        <v>506.20000000000005</v>
      </c>
    </row>
    <row r="18" spans="1:17" x14ac:dyDescent="0.45">
      <c r="A18" s="51" t="s">
        <v>11</v>
      </c>
      <c r="B18" s="44">
        <v>288</v>
      </c>
      <c r="C18" s="37">
        <f>IF(B$15=0,0,B18/B$15)</f>
        <v>0.57485029940119758</v>
      </c>
      <c r="E18" s="59" t="s">
        <v>91</v>
      </c>
      <c r="F18" s="56" t="s">
        <v>46</v>
      </c>
      <c r="G18" s="44">
        <v>6</v>
      </c>
      <c r="H18" s="129">
        <f>IF(B$15=0,0,G18/B$15)</f>
        <v>1.1976047904191617E-2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>IF(P18=0,0,Q18/P18)</f>
        <v>15.169354838709678</v>
      </c>
      <c r="P18" s="115">
        <v>62</v>
      </c>
      <c r="Q18" s="103">
        <v>940.5</v>
      </c>
    </row>
    <row r="19" spans="1:17" x14ac:dyDescent="0.45">
      <c r="A19" s="51" t="s">
        <v>195</v>
      </c>
      <c r="B19" s="44">
        <v>228</v>
      </c>
      <c r="C19" s="37">
        <f>IF(B$15=0,0,B19/B$15)</f>
        <v>0.45508982035928142</v>
      </c>
      <c r="E19" s="59" t="s">
        <v>75</v>
      </c>
      <c r="F19" s="56" t="s">
        <v>30</v>
      </c>
      <c r="G19" s="44">
        <v>5</v>
      </c>
      <c r="H19" s="129">
        <f>IF(B$15=0,0,G19/B$15)</f>
        <v>9.9800399201596807E-3</v>
      </c>
      <c r="I19" s="90">
        <v>4</v>
      </c>
      <c r="K19" s="36">
        <v>17</v>
      </c>
      <c r="L19" s="95">
        <v>359.09999999999991</v>
      </c>
      <c r="N19" s="111" t="s">
        <v>171</v>
      </c>
      <c r="O19" s="121">
        <f>IF(P19=0,0,Q19/P19)</f>
        <v>12.836764705882352</v>
      </c>
      <c r="P19" s="115">
        <v>68</v>
      </c>
      <c r="Q19" s="103">
        <v>872.9</v>
      </c>
    </row>
    <row r="20" spans="1:17" x14ac:dyDescent="0.45">
      <c r="A20" s="51" t="s">
        <v>193</v>
      </c>
      <c r="B20" s="44">
        <v>168</v>
      </c>
      <c r="C20" s="37">
        <f>IF(B$15=0,0,B20/B$15)</f>
        <v>0.33532934131736525</v>
      </c>
      <c r="E20" s="59" t="s">
        <v>79</v>
      </c>
      <c r="F20" s="56" t="s">
        <v>34</v>
      </c>
      <c r="G20" s="44">
        <v>4</v>
      </c>
      <c r="H20" s="129">
        <f>IF(B$15=0,0,G20/B$15)</f>
        <v>7.9840319361277438E-3</v>
      </c>
      <c r="I20" s="90">
        <v>9</v>
      </c>
      <c r="K20" s="36">
        <v>18</v>
      </c>
      <c r="L20" s="95">
        <v>352.39999999999992</v>
      </c>
      <c r="N20" s="111" t="s">
        <v>161</v>
      </c>
      <c r="O20" s="121">
        <f>IF(P20=0,0,Q20/P20)</f>
        <v>12.43846153846154</v>
      </c>
      <c r="P20" s="115">
        <v>39</v>
      </c>
      <c r="Q20" s="103">
        <v>485.10000000000008</v>
      </c>
    </row>
    <row r="21" spans="1:17" x14ac:dyDescent="0.45">
      <c r="A21" s="51" t="s">
        <v>194</v>
      </c>
      <c r="B21" s="44">
        <v>105</v>
      </c>
      <c r="C21" s="37">
        <f>IF(B$15=0,0,B21/B$15)</f>
        <v>0.20958083832335328</v>
      </c>
      <c r="E21" s="59" t="s">
        <v>85</v>
      </c>
      <c r="F21" s="56" t="s">
        <v>40</v>
      </c>
      <c r="G21" s="44">
        <v>4</v>
      </c>
      <c r="H21" s="129">
        <f>IF(B$15=0,0,G21/B$15)</f>
        <v>7.9840319361277438E-3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>IF(P21=0,0,Q21/P21)</f>
        <v>12.382075471698114</v>
      </c>
      <c r="P21" s="115">
        <v>106</v>
      </c>
      <c r="Q21" s="103">
        <v>1312.5</v>
      </c>
    </row>
    <row r="22" spans="1:17" x14ac:dyDescent="0.45">
      <c r="A22" s="51" t="s">
        <v>5</v>
      </c>
      <c r="B22" s="48">
        <f>IF(B$15=0,0,C22/B$15)</f>
        <v>8235.3293413173651</v>
      </c>
      <c r="C22" s="39">
        <v>4125900</v>
      </c>
      <c r="E22" s="59" t="s">
        <v>92</v>
      </c>
      <c r="F22" s="56" t="s">
        <v>47</v>
      </c>
      <c r="G22" s="44">
        <v>4</v>
      </c>
      <c r="H22" s="129">
        <f>IF(B$15=0,0,G22/B$15)</f>
        <v>7.9840319361277438E-3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>IF(P22=0,0,Q22/P22)</f>
        <v>2.8653846153846154</v>
      </c>
      <c r="P22" s="115">
        <v>52</v>
      </c>
      <c r="Q22" s="103">
        <v>149</v>
      </c>
    </row>
    <row r="23" spans="1:17" x14ac:dyDescent="0.45">
      <c r="A23" s="52" t="s">
        <v>177</v>
      </c>
      <c r="B23" s="136">
        <f>IF($B$15-B$14=0,0,C23/($B$15-B$14))</f>
        <v>8721.3213213213221</v>
      </c>
      <c r="C23" s="137">
        <v>2904200</v>
      </c>
      <c r="E23" s="59" t="s">
        <v>77</v>
      </c>
      <c r="F23" s="56" t="s">
        <v>32</v>
      </c>
      <c r="G23" s="44">
        <v>3</v>
      </c>
      <c r="H23" s="129">
        <f>IF(B$15=0,0,G23/B$15)</f>
        <v>5.9880239520958087E-3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7272.0238095238092</v>
      </c>
      <c r="C24" s="137">
        <v>1221700</v>
      </c>
      <c r="E24" s="59" t="s">
        <v>84</v>
      </c>
      <c r="F24" s="56" t="s">
        <v>39</v>
      </c>
      <c r="G24" s="44">
        <v>3</v>
      </c>
      <c r="H24" s="129">
        <f>IF(B$15=0,0,G24/B$15)</f>
        <v>5.9880239520958087E-3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-7777.486910994764</v>
      </c>
      <c r="C25" s="137">
        <v>-1485500</v>
      </c>
      <c r="E25" s="59" t="s">
        <v>74</v>
      </c>
      <c r="F25" s="56" t="s">
        <v>29</v>
      </c>
      <c r="G25" s="44">
        <v>2</v>
      </c>
      <c r="H25" s="129">
        <f>IF(B$15=0,0,G25/B$15)</f>
        <v>3.9920159680638719E-3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2</v>
      </c>
      <c r="E26" s="59" t="s">
        <v>88</v>
      </c>
      <c r="F26" s="56" t="s">
        <v>43</v>
      </c>
      <c r="G26" s="44">
        <v>2</v>
      </c>
      <c r="H26" s="129">
        <f>IF(B$15=0,0,G26/B$15)</f>
        <v>3.9920159680638719E-3</v>
      </c>
      <c r="I26" s="90">
        <v>2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9</v>
      </c>
      <c r="E27" s="59" t="s">
        <v>95</v>
      </c>
      <c r="F27" s="56" t="s">
        <v>50</v>
      </c>
      <c r="G27" s="44">
        <v>2</v>
      </c>
      <c r="H27" s="129">
        <f>IF(B$15=0,0,G27/B$15)</f>
        <v>3.9920159680638719E-3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1.996007984031936E-3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1.996007984031936E-3</v>
      </c>
      <c r="I29" s="90">
        <v>3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1</v>
      </c>
      <c r="C30" s="40">
        <f>IF(B$3=0,0,B30/B$3)</f>
        <v>6.8073519400953025E-4</v>
      </c>
      <c r="E30" s="59" t="s">
        <v>106</v>
      </c>
      <c r="F30" s="56" t="s">
        <v>113</v>
      </c>
      <c r="G30" s="44">
        <v>1</v>
      </c>
      <c r="H30" s="129">
        <f>IF(B$15=0,0,G30/B$15)</f>
        <v>1.996007984031936E-3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47</v>
      </c>
      <c r="C32" s="141">
        <f>IF(B$15=0,0,B32/B$15)</f>
        <v>9.3812375249500993E-2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92</v>
      </c>
      <c r="C33" s="37">
        <f t="shared" ref="C33:C44" si="2">IF(B$15=0,0,B33/B$15)</f>
        <v>0.18363273453093812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98</v>
      </c>
      <c r="C34" s="37">
        <f>IF(B$15=0,0,B34/B$15)</f>
        <v>0.19560878243512975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91</v>
      </c>
      <c r="C35" s="37">
        <f t="shared" si="2"/>
        <v>0.18163672654690619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71</v>
      </c>
      <c r="C36" s="37">
        <f t="shared" si="2"/>
        <v>0.14171656686626746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49</v>
      </c>
      <c r="C37" s="37">
        <f t="shared" si="2"/>
        <v>9.7804391217564873E-2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24</v>
      </c>
      <c r="C38" s="37">
        <f t="shared" si="2"/>
        <v>4.790419161676647E-2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9</v>
      </c>
      <c r="C39" s="37">
        <f t="shared" si="2"/>
        <v>1.7964071856287425E-2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10</v>
      </c>
      <c r="C40" s="37">
        <f t="shared" si="2"/>
        <v>1.9960079840319361E-2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2</v>
      </c>
      <c r="C41" s="37">
        <f t="shared" si="2"/>
        <v>3.9920159680638719E-3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1.996007984031936E-3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7</v>
      </c>
      <c r="C44" s="40">
        <f t="shared" si="2"/>
        <v>1.3972055888223553E-2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6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159</v>
      </c>
      <c r="C2" s="155"/>
      <c r="E2" s="58" t="s">
        <v>66</v>
      </c>
      <c r="F2" s="55" t="s">
        <v>22</v>
      </c>
      <c r="G2" s="43">
        <v>318</v>
      </c>
      <c r="H2" s="128">
        <f>IF(B$15=0,0,G2/B$15)</f>
        <v>0.77941176470588236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-1108.2278481012659</v>
      </c>
      <c r="P2" s="114">
        <v>158</v>
      </c>
      <c r="Q2" s="98">
        <v>-175100</v>
      </c>
    </row>
    <row r="3" spans="1:17" x14ac:dyDescent="0.45">
      <c r="A3" s="51" t="s">
        <v>8</v>
      </c>
      <c r="B3" s="156">
        <v>1326</v>
      </c>
      <c r="C3" s="157"/>
      <c r="E3" s="59" t="s">
        <v>72</v>
      </c>
      <c r="F3" s="56" t="s">
        <v>27</v>
      </c>
      <c r="G3" s="44">
        <v>223</v>
      </c>
      <c r="H3" s="129">
        <f>IF(B$15=0,0,G3/B$15)</f>
        <v>0.54656862745098034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1443.5897435897436</v>
      </c>
      <c r="P3" s="115">
        <v>156</v>
      </c>
      <c r="Q3" s="99">
        <v>225200</v>
      </c>
    </row>
    <row r="4" spans="1:17" x14ac:dyDescent="0.45">
      <c r="A4" s="51" t="s">
        <v>6</v>
      </c>
      <c r="B4" s="158">
        <v>18.399999999999817</v>
      </c>
      <c r="C4" s="159"/>
      <c r="E4" s="59" t="s">
        <v>166</v>
      </c>
      <c r="F4" s="56" t="s">
        <v>167</v>
      </c>
      <c r="G4" s="44">
        <v>163</v>
      </c>
      <c r="H4" s="129">
        <f>IF(B$15=0,0,G4/B$15)</f>
        <v>0.39950980392156865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-302.77777777777777</v>
      </c>
      <c r="P4" s="115">
        <v>144</v>
      </c>
      <c r="Q4" s="99">
        <v>-43600</v>
      </c>
    </row>
    <row r="5" spans="1:17" x14ac:dyDescent="0.45">
      <c r="A5" s="51" t="s">
        <v>7</v>
      </c>
      <c r="B5" s="160">
        <f>IF(B$2=0,0,B$4/B$2)</f>
        <v>0.11572327044025042</v>
      </c>
      <c r="C5" s="161"/>
      <c r="E5" s="59" t="s">
        <v>64</v>
      </c>
      <c r="F5" s="56" t="s">
        <v>20</v>
      </c>
      <c r="G5" s="44">
        <v>161</v>
      </c>
      <c r="H5" s="129">
        <f>IF(B$15=0,0,G5/B$15)</f>
        <v>0.39460784313725489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321.89781021897812</v>
      </c>
      <c r="P5" s="115">
        <v>137</v>
      </c>
      <c r="Q5" s="99">
        <v>44100</v>
      </c>
    </row>
    <row r="6" spans="1:17" x14ac:dyDescent="0.45">
      <c r="A6" s="51" t="s">
        <v>1</v>
      </c>
      <c r="B6" s="150">
        <f>IF(B$2=0,0,(B$7*1+B$8*2+B$9*3)/B$2)</f>
        <v>1.9748427672955975</v>
      </c>
      <c r="C6" s="151"/>
      <c r="E6" s="59" t="s">
        <v>68</v>
      </c>
      <c r="F6" s="56" t="s">
        <v>12</v>
      </c>
      <c r="G6" s="44">
        <v>115</v>
      </c>
      <c r="H6" s="129">
        <f>IF(B$15=0,0,G6/B$15)</f>
        <v>0.28186274509803921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-1267.2</v>
      </c>
      <c r="P6" s="115">
        <v>125</v>
      </c>
      <c r="Q6" s="99">
        <v>-158400</v>
      </c>
    </row>
    <row r="7" spans="1:17" x14ac:dyDescent="0.45">
      <c r="A7" s="51" t="s">
        <v>2</v>
      </c>
      <c r="B7" s="44">
        <v>54</v>
      </c>
      <c r="C7" s="37">
        <f t="shared" ref="C7:C10" si="1">IF(B$2=0,0,B7/B$2)</f>
        <v>0.33962264150943394</v>
      </c>
      <c r="E7" s="59" t="s">
        <v>67</v>
      </c>
      <c r="F7" s="56" t="s">
        <v>23</v>
      </c>
      <c r="G7" s="44">
        <v>89</v>
      </c>
      <c r="H7" s="129">
        <f>IF(B$15=0,0,G7/B$15)</f>
        <v>0.21813725490196079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1200.9615384615386</v>
      </c>
      <c r="P7" s="116">
        <v>104</v>
      </c>
      <c r="Q7" s="100">
        <v>124900</v>
      </c>
    </row>
    <row r="8" spans="1:17" x14ac:dyDescent="0.45">
      <c r="A8" s="51" t="s">
        <v>3</v>
      </c>
      <c r="B8" s="44">
        <v>55</v>
      </c>
      <c r="C8" s="37">
        <f t="shared" si="1"/>
        <v>0.34591194968553457</v>
      </c>
      <c r="E8" s="59" t="s">
        <v>69</v>
      </c>
      <c r="F8" s="56" t="s">
        <v>24</v>
      </c>
      <c r="G8" s="44">
        <v>48</v>
      </c>
      <c r="H8" s="129">
        <f>IF(B$15=0,0,G8/B$15)</f>
        <v>0.11764705882352941</v>
      </c>
      <c r="I8" s="90">
        <v>11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50</v>
      </c>
      <c r="C9" s="38">
        <f t="shared" si="1"/>
        <v>0.31446540880503143</v>
      </c>
      <c r="E9" s="59" t="s">
        <v>89</v>
      </c>
      <c r="F9" s="56" t="s">
        <v>44</v>
      </c>
      <c r="G9" s="44">
        <v>44</v>
      </c>
      <c r="H9" s="129">
        <f>IF(B$15=0,0,G9/B$15)</f>
        <v>0.10784313725490197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18</v>
      </c>
      <c r="C10" s="40">
        <f t="shared" si="1"/>
        <v>0.11320754716981132</v>
      </c>
      <c r="E10" s="59" t="s">
        <v>70</v>
      </c>
      <c r="F10" s="56" t="s">
        <v>25</v>
      </c>
      <c r="G10" s="44">
        <v>42</v>
      </c>
      <c r="H10" s="129">
        <f>IF(B$15=0,0,G10/B$15)</f>
        <v>0.10294117647058823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1.0829787234042558</v>
      </c>
      <c r="P10" s="114">
        <v>47</v>
      </c>
      <c r="Q10" s="102">
        <v>50.90000000000002</v>
      </c>
    </row>
    <row r="11" spans="1:17" x14ac:dyDescent="0.45">
      <c r="A11" s="54" t="s">
        <v>121</v>
      </c>
      <c r="B11" s="47">
        <v>314</v>
      </c>
      <c r="C11" s="42">
        <f>IF(B$3=0,0,B11/B$3)</f>
        <v>0.2368024132730015</v>
      </c>
      <c r="E11" s="59" t="s">
        <v>71</v>
      </c>
      <c r="F11" s="56" t="s">
        <v>26</v>
      </c>
      <c r="G11" s="44">
        <v>37</v>
      </c>
      <c r="H11" s="129">
        <f>IF(B$15=0,0,G11/B$15)</f>
        <v>9.0686274509803919E-2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3.8961538461538479</v>
      </c>
      <c r="P11" s="115">
        <v>52</v>
      </c>
      <c r="Q11" s="103">
        <v>202.60000000000008</v>
      </c>
    </row>
    <row r="12" spans="1:17" x14ac:dyDescent="0.45">
      <c r="A12" s="51" t="s">
        <v>118</v>
      </c>
      <c r="B12" s="44">
        <v>398</v>
      </c>
      <c r="C12" s="37">
        <f>IF(B$3=0,0,B12/B$3)</f>
        <v>0.30015082956259426</v>
      </c>
      <c r="E12" s="59" t="s">
        <v>65</v>
      </c>
      <c r="F12" s="56" t="s">
        <v>21</v>
      </c>
      <c r="G12" s="44">
        <v>33</v>
      </c>
      <c r="H12" s="129">
        <f>IF(B$15=0,0,G12/B$15)</f>
        <v>8.0882352941176475E-2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-3.9183333333333339</v>
      </c>
      <c r="P12" s="116">
        <v>60</v>
      </c>
      <c r="Q12" s="104">
        <v>-235.10000000000002</v>
      </c>
    </row>
    <row r="13" spans="1:17" x14ac:dyDescent="0.45">
      <c r="A13" s="50" t="s">
        <v>123</v>
      </c>
      <c r="B13" s="43">
        <f>B19</f>
        <v>161</v>
      </c>
      <c r="C13" s="35">
        <f>IF(B$11=0,0,B13/B$11)</f>
        <v>0.51273885350318471</v>
      </c>
      <c r="E13" s="59" t="s">
        <v>86</v>
      </c>
      <c r="F13" s="56" t="s">
        <v>41</v>
      </c>
      <c r="G13" s="44">
        <v>24</v>
      </c>
      <c r="H13" s="129">
        <f>IF(B$15=0,0,G13/B$15)</f>
        <v>5.8823529411764705E-2</v>
      </c>
      <c r="I13" s="90">
        <v>4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150</v>
      </c>
      <c r="C14" s="35">
        <f>IF(B$12=0,0,B14/B$12)</f>
        <v>0.37688442211055279</v>
      </c>
      <c r="E14" s="59" t="s">
        <v>83</v>
      </c>
      <c r="F14" s="56" t="s">
        <v>38</v>
      </c>
      <c r="G14" s="44">
        <v>20</v>
      </c>
      <c r="H14" s="129">
        <f>IF(B$15=0,0,G14/B$15)</f>
        <v>4.9019607843137254E-2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408</v>
      </c>
      <c r="C15" s="35">
        <f>IF(B$3=0,0,B15/B$3)</f>
        <v>0.30769230769230771</v>
      </c>
      <c r="E15" s="59" t="s">
        <v>78</v>
      </c>
      <c r="F15" s="56" t="s">
        <v>33</v>
      </c>
      <c r="G15" s="44">
        <v>16</v>
      </c>
      <c r="H15" s="129">
        <f>IF(B$15=0,0,G15/B$15)</f>
        <v>3.9215686274509803E-2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240</v>
      </c>
      <c r="C16" s="37">
        <f>IF(B$3=0,0,B16/B$3)</f>
        <v>0.18099547511312217</v>
      </c>
      <c r="E16" s="59" t="s">
        <v>91</v>
      </c>
      <c r="F16" s="56" t="s">
        <v>46</v>
      </c>
      <c r="G16" s="44">
        <v>13</v>
      </c>
      <c r="H16" s="129">
        <f>IF(B$15=0,0,G16/B$15)</f>
        <v>3.1862745098039214E-2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18.434693877551016</v>
      </c>
      <c r="P16" s="115">
        <v>49</v>
      </c>
      <c r="Q16" s="103">
        <v>903.29999999999973</v>
      </c>
    </row>
    <row r="17" spans="1:17" x14ac:dyDescent="0.45">
      <c r="A17" s="51" t="s">
        <v>12</v>
      </c>
      <c r="B17" s="44">
        <v>168</v>
      </c>
      <c r="C17" s="37">
        <f>IF(B$15=0,0,B17/B$15)</f>
        <v>0.41176470588235292</v>
      </c>
      <c r="E17" s="59" t="s">
        <v>81</v>
      </c>
      <c r="F17" s="56" t="s">
        <v>36</v>
      </c>
      <c r="G17" s="44">
        <v>8</v>
      </c>
      <c r="H17" s="129">
        <f>IF(B$15=0,0,G17/B$15)</f>
        <v>1.9607843137254902E-2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5">
      <c r="A18" s="51" t="s">
        <v>11</v>
      </c>
      <c r="B18" s="44">
        <v>240</v>
      </c>
      <c r="C18" s="37">
        <f>IF(B$15=0,0,B18/B$15)</f>
        <v>0.58823529411764708</v>
      </c>
      <c r="E18" s="59" t="s">
        <v>79</v>
      </c>
      <c r="F18" s="56" t="s">
        <v>34</v>
      </c>
      <c r="G18" s="44">
        <v>7</v>
      </c>
      <c r="H18" s="129">
        <f>IF(B$15=0,0,G18/B$15)</f>
        <v>1.7156862745098041E-2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5">
      <c r="A19" s="51" t="s">
        <v>195</v>
      </c>
      <c r="B19" s="44">
        <v>161</v>
      </c>
      <c r="C19" s="37">
        <f>IF(B$15=0,0,B19/B$15)</f>
        <v>0.39460784313725489</v>
      </c>
      <c r="E19" s="59" t="s">
        <v>162</v>
      </c>
      <c r="F19" s="56" t="s">
        <v>163</v>
      </c>
      <c r="G19" s="44">
        <v>5</v>
      </c>
      <c r="H19" s="129">
        <f>IF(B$15=0,0,G19/B$15)</f>
        <v>1.2254901960784314E-2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6.1387096774193539</v>
      </c>
      <c r="P19" s="115">
        <v>31</v>
      </c>
      <c r="Q19" s="103">
        <v>190.29999999999998</v>
      </c>
    </row>
    <row r="20" spans="1:17" x14ac:dyDescent="0.45">
      <c r="A20" s="51" t="s">
        <v>193</v>
      </c>
      <c r="B20" s="44">
        <v>150</v>
      </c>
      <c r="C20" s="37">
        <f>IF(B$15=0,0,B20/B$15)</f>
        <v>0.36764705882352944</v>
      </c>
      <c r="E20" s="59" t="s">
        <v>92</v>
      </c>
      <c r="F20" s="56" t="s">
        <v>47</v>
      </c>
      <c r="G20" s="44">
        <v>3</v>
      </c>
      <c r="H20" s="129">
        <f>IF(B$15=0,0,G20/B$15)</f>
        <v>7.3529411764705881E-3</v>
      </c>
      <c r="I20" s="90">
        <v>4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5">
      <c r="A21" s="51" t="s">
        <v>194</v>
      </c>
      <c r="B21" s="44">
        <v>97</v>
      </c>
      <c r="C21" s="37">
        <f>IF(B$15=0,0,B21/B$15)</f>
        <v>0.23774509803921567</v>
      </c>
      <c r="E21" s="59" t="s">
        <v>74</v>
      </c>
      <c r="F21" s="56" t="s">
        <v>29</v>
      </c>
      <c r="G21" s="44">
        <v>2</v>
      </c>
      <c r="H21" s="129">
        <f>IF(B$15=0,0,G21/B$15)</f>
        <v>4.9019607843137254E-3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-0.6499999999999988</v>
      </c>
      <c r="P21" s="115">
        <v>56</v>
      </c>
      <c r="Q21" s="103">
        <v>-36.399999999999935</v>
      </c>
    </row>
    <row r="22" spans="1:17" x14ac:dyDescent="0.45">
      <c r="A22" s="51" t="s">
        <v>5</v>
      </c>
      <c r="B22" s="48">
        <f>IF(B$15=0,0,C22/B$15)</f>
        <v>8131.1274509803925</v>
      </c>
      <c r="C22" s="39">
        <v>3317500</v>
      </c>
      <c r="E22" s="59" t="s">
        <v>75</v>
      </c>
      <c r="F22" s="56" t="s">
        <v>30</v>
      </c>
      <c r="G22" s="44">
        <v>2</v>
      </c>
      <c r="H22" s="129">
        <f>IF(B$15=0,0,G22/B$15)</f>
        <v>4.9019607843137254E-3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-2.784313725490192</v>
      </c>
      <c r="P22" s="115">
        <v>51</v>
      </c>
      <c r="Q22" s="103">
        <v>-141.9999999999998</v>
      </c>
    </row>
    <row r="23" spans="1:17" x14ac:dyDescent="0.45">
      <c r="A23" s="52" t="s">
        <v>177</v>
      </c>
      <c r="B23" s="136">
        <f>IF($B$15-B$14=0,0,C23/($B$15-B$14))</f>
        <v>8776.7441860465115</v>
      </c>
      <c r="C23" s="137">
        <v>2264400</v>
      </c>
      <c r="E23" s="59" t="s">
        <v>73</v>
      </c>
      <c r="F23" s="56" t="s">
        <v>28</v>
      </c>
      <c r="G23" s="44">
        <v>1</v>
      </c>
      <c r="H23" s="129">
        <f>IF(B$15=0,0,G23/B$15)</f>
        <v>2.4509803921568627E-3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-12.382075471698114</v>
      </c>
      <c r="P23" s="115">
        <v>106</v>
      </c>
      <c r="Q23" s="103">
        <v>-1312.5</v>
      </c>
    </row>
    <row r="24" spans="1:17" x14ac:dyDescent="0.45">
      <c r="A24" s="52" t="s">
        <v>178</v>
      </c>
      <c r="B24" s="136">
        <f>IF(B$14=0,0,C24/B$14)</f>
        <v>7020.666666666667</v>
      </c>
      <c r="C24" s="137">
        <v>1053100</v>
      </c>
      <c r="E24" s="59" t="s">
        <v>77</v>
      </c>
      <c r="F24" s="56" t="s">
        <v>32</v>
      </c>
      <c r="G24" s="44">
        <v>1</v>
      </c>
      <c r="H24" s="129">
        <f>IF(B$15=0,0,G24/B$15)</f>
        <v>2.4509803921568627E-3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-7864.166666666667</v>
      </c>
      <c r="C25" s="137">
        <v>-1887400</v>
      </c>
      <c r="E25" s="59" t="s">
        <v>84</v>
      </c>
      <c r="F25" s="56" t="s">
        <v>39</v>
      </c>
      <c r="G25" s="44">
        <v>1</v>
      </c>
      <c r="H25" s="129">
        <f>IF(B$15=0,0,G25/B$15)</f>
        <v>2.4509803921568627E-3</v>
      </c>
      <c r="I25" s="90">
        <v>5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2.4509803921568627E-3</v>
      </c>
      <c r="I26" s="90">
        <v>2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30</v>
      </c>
      <c r="C27" s="131">
        <v>1</v>
      </c>
      <c r="E27" s="59" t="s">
        <v>95</v>
      </c>
      <c r="F27" s="56" t="s">
        <v>50</v>
      </c>
      <c r="G27" s="44">
        <v>1</v>
      </c>
      <c r="H27" s="129">
        <f>IF(B$15=0,0,G27/B$15)</f>
        <v>2.4509803921568627E-3</v>
      </c>
      <c r="I27" s="90">
        <v>3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5</v>
      </c>
      <c r="C30" s="40">
        <f>IF(B$3=0,0,B30/B$3)</f>
        <v>3.770739064856712E-3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30</v>
      </c>
      <c r="C32" s="141">
        <f>IF(B$15=0,0,B32/B$15)</f>
        <v>7.3529411764705885E-2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73</v>
      </c>
      <c r="C33" s="37">
        <f t="shared" ref="C33:C44" si="2">IF(B$15=0,0,B33/B$15)</f>
        <v>0.17892156862745098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86</v>
      </c>
      <c r="C34" s="37">
        <f>IF(B$15=0,0,B34/B$15)</f>
        <v>0.2107843137254902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81</v>
      </c>
      <c r="C35" s="37">
        <f t="shared" si="2"/>
        <v>0.19852941176470587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60</v>
      </c>
      <c r="C36" s="37">
        <f t="shared" si="2"/>
        <v>0.14705882352941177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42</v>
      </c>
      <c r="C37" s="37">
        <f t="shared" si="2"/>
        <v>0.10294117647058823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14</v>
      </c>
      <c r="C38" s="37">
        <f t="shared" si="2"/>
        <v>3.4313725490196081E-2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2.2058823529411766E-2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1.4705882352941176E-2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2.4509803921568627E-3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2</v>
      </c>
      <c r="C42" s="37">
        <f t="shared" si="2"/>
        <v>4.9019607843137254E-3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9.8039215686274508E-3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10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98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0.77092511013215859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-526.80412371134025</v>
      </c>
      <c r="P2" s="114">
        <v>97</v>
      </c>
      <c r="Q2" s="98">
        <v>-51100</v>
      </c>
    </row>
    <row r="3" spans="1:17" x14ac:dyDescent="0.45">
      <c r="A3" s="51" t="s">
        <v>8</v>
      </c>
      <c r="B3" s="156">
        <v>842</v>
      </c>
      <c r="C3" s="157"/>
      <c r="E3" s="59" t="s">
        <v>64</v>
      </c>
      <c r="F3" s="56" t="s">
        <v>20</v>
      </c>
      <c r="G3" s="44">
        <v>126</v>
      </c>
      <c r="H3" s="129">
        <f>IF(B$15=0,0,G3/B$15)</f>
        <v>0.55506607929515417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-712.37113402061857</v>
      </c>
      <c r="P3" s="115">
        <v>97</v>
      </c>
      <c r="Q3" s="99">
        <v>-69100</v>
      </c>
    </row>
    <row r="4" spans="1:17" x14ac:dyDescent="0.45">
      <c r="A4" s="51" t="s">
        <v>6</v>
      </c>
      <c r="B4" s="158">
        <v>-700.69999999999993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0.4933920704845815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480.2197802197802</v>
      </c>
      <c r="P4" s="115">
        <v>91</v>
      </c>
      <c r="Q4" s="99">
        <v>43700</v>
      </c>
    </row>
    <row r="5" spans="1:17" x14ac:dyDescent="0.45">
      <c r="A5" s="51" t="s">
        <v>7</v>
      </c>
      <c r="B5" s="160">
        <f>IF(B$2=0,0,B$4/B$2)</f>
        <v>-7.1499999999999995</v>
      </c>
      <c r="C5" s="161"/>
      <c r="E5" s="59" t="s">
        <v>166</v>
      </c>
      <c r="F5" s="56" t="s">
        <v>167</v>
      </c>
      <c r="G5" s="44">
        <v>96</v>
      </c>
      <c r="H5" s="129">
        <f>IF(B$15=0,0,G5/B$15)</f>
        <v>0.42290748898678415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-673.03370786516859</v>
      </c>
      <c r="P5" s="115">
        <v>89</v>
      </c>
      <c r="Q5" s="99">
        <v>-59900</v>
      </c>
    </row>
    <row r="6" spans="1:17" x14ac:dyDescent="0.45">
      <c r="A6" s="51" t="s">
        <v>1</v>
      </c>
      <c r="B6" s="150">
        <f>IF(B$2=0,0,(B$7*1+B$8*2+B$9*3)/B$2)</f>
        <v>2.1836734693877551</v>
      </c>
      <c r="C6" s="151"/>
      <c r="E6" s="59" t="s">
        <v>68</v>
      </c>
      <c r="F6" s="56" t="s">
        <v>12</v>
      </c>
      <c r="G6" s="44">
        <v>80</v>
      </c>
      <c r="H6" s="129">
        <f>IF(B$15=0,0,G6/B$15)</f>
        <v>0.3524229074889868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-2978.5714285714284</v>
      </c>
      <c r="P6" s="115">
        <v>84</v>
      </c>
      <c r="Q6" s="99">
        <v>-250200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0.21428571428571427</v>
      </c>
      <c r="E7" s="59" t="s">
        <v>67</v>
      </c>
      <c r="F7" s="56" t="s">
        <v>23</v>
      </c>
      <c r="G7" s="44">
        <v>70</v>
      </c>
      <c r="H7" s="129">
        <f>IF(B$15=0,0,G7/B$15)</f>
        <v>0.30837004405286345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-1929.7297297297298</v>
      </c>
      <c r="P7" s="116">
        <v>74</v>
      </c>
      <c r="Q7" s="100">
        <v>-142800</v>
      </c>
    </row>
    <row r="8" spans="1:17" x14ac:dyDescent="0.45">
      <c r="A8" s="51" t="s">
        <v>3</v>
      </c>
      <c r="B8" s="44">
        <v>38</v>
      </c>
      <c r="C8" s="37">
        <f t="shared" si="1"/>
        <v>0.38775510204081631</v>
      </c>
      <c r="E8" s="59" t="s">
        <v>69</v>
      </c>
      <c r="F8" s="56" t="s">
        <v>24</v>
      </c>
      <c r="G8" s="44">
        <v>33</v>
      </c>
      <c r="H8" s="129">
        <f>IF(B$15=0,0,G8/B$15)</f>
        <v>0.14537444933920704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0.39795918367346939</v>
      </c>
      <c r="E9" s="59" t="s">
        <v>70</v>
      </c>
      <c r="F9" s="56" t="s">
        <v>25</v>
      </c>
      <c r="G9" s="44">
        <v>28</v>
      </c>
      <c r="H9" s="129">
        <f>IF(B$15=0,0,G9/B$15)</f>
        <v>0.12334801762114538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7.1428571428571425E-2</v>
      </c>
      <c r="E10" s="59" t="s">
        <v>65</v>
      </c>
      <c r="F10" s="56" t="s">
        <v>21</v>
      </c>
      <c r="G10" s="44">
        <v>27</v>
      </c>
      <c r="H10" s="129">
        <f>IF(B$15=0,0,G10/B$15)</f>
        <v>0.11894273127753303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5">
      <c r="A11" s="54" t="s">
        <v>121</v>
      </c>
      <c r="B11" s="47">
        <v>233</v>
      </c>
      <c r="C11" s="42">
        <f>IF(B$3=0,0,B11/B$3)</f>
        <v>0.27672209026128264</v>
      </c>
      <c r="E11" s="59" t="s">
        <v>89</v>
      </c>
      <c r="F11" s="56" t="s">
        <v>44</v>
      </c>
      <c r="G11" s="44">
        <v>25</v>
      </c>
      <c r="H11" s="129">
        <f>IF(B$15=0,0,G11/B$15)</f>
        <v>0.11013215859030837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161</v>
      </c>
      <c r="C12" s="37">
        <f>IF(B$3=0,0,B12/B$3)</f>
        <v>0.19121140142517815</v>
      </c>
      <c r="E12" s="59" t="s">
        <v>83</v>
      </c>
      <c r="F12" s="56" t="s">
        <v>38</v>
      </c>
      <c r="G12" s="44">
        <v>13</v>
      </c>
      <c r="H12" s="129">
        <f>IF(B$15=0,0,G12/B$15)</f>
        <v>5.7268722466960353E-2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-9.5933333333333319</v>
      </c>
      <c r="P12" s="116">
        <v>30</v>
      </c>
      <c r="Q12" s="104">
        <v>-287.79999999999995</v>
      </c>
    </row>
    <row r="13" spans="1:17" x14ac:dyDescent="0.45">
      <c r="A13" s="50" t="s">
        <v>123</v>
      </c>
      <c r="B13" s="43">
        <f>B19</f>
        <v>126</v>
      </c>
      <c r="C13" s="35">
        <f>IF(B$11=0,0,B13/B$11)</f>
        <v>0.54077253218884125</v>
      </c>
      <c r="E13" s="59" t="s">
        <v>86</v>
      </c>
      <c r="F13" s="56" t="s">
        <v>41</v>
      </c>
      <c r="G13" s="44">
        <v>10</v>
      </c>
      <c r="H13" s="129">
        <f>IF(B$15=0,0,G13/B$15)</f>
        <v>4.405286343612335E-2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66</v>
      </c>
      <c r="C14" s="35">
        <f>IF(B$12=0,0,B14/B$12)</f>
        <v>0.40993788819875776</v>
      </c>
      <c r="E14" s="59" t="s">
        <v>71</v>
      </c>
      <c r="F14" s="56" t="s">
        <v>26</v>
      </c>
      <c r="G14" s="44">
        <v>9</v>
      </c>
      <c r="H14" s="129">
        <f>IF(B$15=0,0,G14/B$15)</f>
        <v>3.9647577092511016E-2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227</v>
      </c>
      <c r="C15" s="35">
        <f>IF(B$3=0,0,B15/B$3)</f>
        <v>0.26959619952494063</v>
      </c>
      <c r="E15" s="59" t="s">
        <v>78</v>
      </c>
      <c r="F15" s="56" t="s">
        <v>33</v>
      </c>
      <c r="G15" s="44">
        <v>8</v>
      </c>
      <c r="H15" s="129">
        <f>IF(B$15=0,0,G15/B$15)</f>
        <v>3.5242290748898682E-2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5">
      <c r="A16" s="51" t="s">
        <v>13</v>
      </c>
      <c r="B16" s="44">
        <v>153</v>
      </c>
      <c r="C16" s="37">
        <f>IF(B$3=0,0,B16/B$3)</f>
        <v>0.18171021377672208</v>
      </c>
      <c r="E16" s="59" t="s">
        <v>79</v>
      </c>
      <c r="F16" s="56" t="s">
        <v>34</v>
      </c>
      <c r="G16" s="44">
        <v>4</v>
      </c>
      <c r="H16" s="129">
        <f>IF(B$15=0,0,G16/B$15)</f>
        <v>1.7621145374449341E-2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5">
      <c r="A17" s="51" t="s">
        <v>12</v>
      </c>
      <c r="B17" s="44">
        <v>107</v>
      </c>
      <c r="C17" s="37">
        <f>IF(B$15=0,0,B17/B$15)</f>
        <v>0.47136563876651982</v>
      </c>
      <c r="E17" s="59" t="s">
        <v>81</v>
      </c>
      <c r="F17" s="56" t="s">
        <v>36</v>
      </c>
      <c r="G17" s="44">
        <v>4</v>
      </c>
      <c r="H17" s="129">
        <f>IF(B$15=0,0,G17/B$15)</f>
        <v>1.7621145374449341E-2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120</v>
      </c>
      <c r="C18" s="37">
        <f>IF(B$15=0,0,B18/B$15)</f>
        <v>0.52863436123348018</v>
      </c>
      <c r="E18" s="59" t="s">
        <v>162</v>
      </c>
      <c r="F18" s="56" t="s">
        <v>163</v>
      </c>
      <c r="G18" s="44">
        <v>4</v>
      </c>
      <c r="H18" s="129">
        <f>IF(B$15=0,0,G18/B$15)</f>
        <v>1.7621145374449341E-2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5">
      <c r="A19" s="51" t="s">
        <v>195</v>
      </c>
      <c r="B19" s="44">
        <v>126</v>
      </c>
      <c r="C19" s="37">
        <f>IF(B$15=0,0,B19/B$15)</f>
        <v>0.55506607929515417</v>
      </c>
      <c r="E19" s="59" t="s">
        <v>75</v>
      </c>
      <c r="F19" s="56" t="s">
        <v>30</v>
      </c>
      <c r="G19" s="44">
        <v>3</v>
      </c>
      <c r="H19" s="129">
        <f>IF(B$15=0,0,G19/B$15)</f>
        <v>1.3215859030837005E-2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 t="shared" si="2"/>
        <v>-15.16935483870968</v>
      </c>
      <c r="P19" s="115">
        <v>62</v>
      </c>
      <c r="Q19" s="103">
        <v>-940.50000000000011</v>
      </c>
    </row>
    <row r="20" spans="1:17" x14ac:dyDescent="0.45">
      <c r="A20" s="51" t="s">
        <v>193</v>
      </c>
      <c r="B20" s="44">
        <v>66</v>
      </c>
      <c r="C20" s="37">
        <f>IF(B$15=0,0,B20/B$15)</f>
        <v>0.29074889867841408</v>
      </c>
      <c r="E20" s="59" t="s">
        <v>91</v>
      </c>
      <c r="F20" s="56" t="s">
        <v>46</v>
      </c>
      <c r="G20" s="44">
        <v>1</v>
      </c>
      <c r="H20" s="129">
        <f>IF(B$15=0,0,G20/B$15)</f>
        <v>4.4052863436123352E-3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-15.669230769230769</v>
      </c>
      <c r="P20" s="115">
        <v>26</v>
      </c>
      <c r="Q20" s="103">
        <v>-407.4</v>
      </c>
    </row>
    <row r="21" spans="1:17" x14ac:dyDescent="0.45">
      <c r="A21" s="51" t="s">
        <v>194</v>
      </c>
      <c r="B21" s="44">
        <v>35</v>
      </c>
      <c r="C21" s="37">
        <f>IF(B$15=0,0,B21/B$15)</f>
        <v>0.15418502202643172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7816.7400881057265</v>
      </c>
      <c r="C22" s="39">
        <v>1774400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8450.9316770186342</v>
      </c>
      <c r="C23" s="137">
        <v>1360600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-7814.3790849673205</v>
      </c>
      <c r="C25" s="137">
        <v>-1195600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4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3.5629453681710215E-3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17</v>
      </c>
      <c r="C32" s="141">
        <f>IF(B$15=0,0,B32/B$15)</f>
        <v>7.4889867841409691E-2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0.17180616740088106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52</v>
      </c>
      <c r="C34" s="37">
        <f>IF(B$15=0,0,B34/B$15)</f>
        <v>0.22907488986784141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34</v>
      </c>
      <c r="C35" s="37">
        <f t="shared" si="3"/>
        <v>0.14977973568281938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39</v>
      </c>
      <c r="C36" s="37">
        <f t="shared" si="3"/>
        <v>0.17180616740088106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0.1013215859030837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13</v>
      </c>
      <c r="C38" s="37">
        <f t="shared" si="3"/>
        <v>5.7268722466960353E-2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6</v>
      </c>
      <c r="C39" s="37">
        <f t="shared" si="3"/>
        <v>2.643171806167401E-2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4.4052863436123352E-3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4.4052863436123352E-3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8.8105726872246704E-3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</sheetData>
  <sortState xmlns:xlrd2="http://schemas.microsoft.com/office/spreadsheetml/2017/richdata2" ref="E2:I10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3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130</v>
      </c>
      <c r="C2" s="155"/>
      <c r="E2" s="58" t="s">
        <v>66</v>
      </c>
      <c r="F2" s="55" t="s">
        <v>22</v>
      </c>
      <c r="G2" s="43">
        <v>264</v>
      </c>
      <c r="H2" s="128">
        <f>IF(B$15=0,0,G2/B$15)</f>
        <v>0.90410958904109584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1456.9230769230769</v>
      </c>
      <c r="P2" s="114">
        <v>130</v>
      </c>
      <c r="Q2" s="98">
        <v>189400</v>
      </c>
    </row>
    <row r="3" spans="1:17" x14ac:dyDescent="0.45">
      <c r="A3" s="51" t="s">
        <v>8</v>
      </c>
      <c r="B3" s="156">
        <v>1058</v>
      </c>
      <c r="C3" s="157"/>
      <c r="E3" s="59" t="s">
        <v>72</v>
      </c>
      <c r="F3" s="56" t="s">
        <v>27</v>
      </c>
      <c r="G3" s="44">
        <v>163</v>
      </c>
      <c r="H3" s="129">
        <f>IF(B$15=0,0,G3/B$15)</f>
        <v>0.55821917808219179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-1936.71875</v>
      </c>
      <c r="P3" s="115">
        <v>128</v>
      </c>
      <c r="Q3" s="99">
        <v>-247900</v>
      </c>
    </row>
    <row r="4" spans="1:17" x14ac:dyDescent="0.45">
      <c r="A4" s="51" t="s">
        <v>6</v>
      </c>
      <c r="B4" s="158">
        <v>512.20000000000039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0.54794520547945202</v>
      </c>
      <c r="I4" s="90">
        <v>5</v>
      </c>
      <c r="K4" s="36">
        <v>2</v>
      </c>
      <c r="L4" s="95">
        <v>-67.3</v>
      </c>
      <c r="N4" s="111" t="s">
        <v>132</v>
      </c>
      <c r="O4" s="118">
        <f t="shared" si="0"/>
        <v>-139.65517241379311</v>
      </c>
      <c r="P4" s="115">
        <v>116</v>
      </c>
      <c r="Q4" s="99">
        <v>-16200</v>
      </c>
    </row>
    <row r="5" spans="1:17" x14ac:dyDescent="0.45">
      <c r="A5" s="51" t="s">
        <v>7</v>
      </c>
      <c r="B5" s="160">
        <f>IF(B$2=0,0,B$4/B$2)</f>
        <v>3.9400000000000031</v>
      </c>
      <c r="C5" s="161"/>
      <c r="E5" s="59" t="s">
        <v>67</v>
      </c>
      <c r="F5" s="56" t="s">
        <v>23</v>
      </c>
      <c r="G5" s="44">
        <v>121</v>
      </c>
      <c r="H5" s="129">
        <f>IF(B$15=0,0,G5/B$15)</f>
        <v>0.41438356164383561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2018.1818181818182</v>
      </c>
      <c r="P5" s="115">
        <v>110</v>
      </c>
      <c r="Q5" s="99">
        <v>222000</v>
      </c>
    </row>
    <row r="6" spans="1:17" x14ac:dyDescent="0.45">
      <c r="A6" s="51" t="s">
        <v>1</v>
      </c>
      <c r="B6" s="150">
        <f>IF(B$2=0,0,(B$7*1+B$8*2+B$9*3)/B$2)</f>
        <v>1.9230769230769231</v>
      </c>
      <c r="C6" s="151"/>
      <c r="E6" s="59" t="s">
        <v>68</v>
      </c>
      <c r="F6" s="56" t="s">
        <v>12</v>
      </c>
      <c r="G6" s="44">
        <v>117</v>
      </c>
      <c r="H6" s="129">
        <f>IF(B$15=0,0,G6/B$15)</f>
        <v>0.40068493150684931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1395.9183673469388</v>
      </c>
      <c r="P6" s="115">
        <v>98</v>
      </c>
      <c r="Q6" s="99">
        <v>136800</v>
      </c>
    </row>
    <row r="7" spans="1:17" x14ac:dyDescent="0.45">
      <c r="A7" s="51" t="s">
        <v>2</v>
      </c>
      <c r="B7" s="44">
        <v>52</v>
      </c>
      <c r="C7" s="37">
        <f t="shared" ref="C7:C10" si="1">IF(B$2=0,0,B7/B$2)</f>
        <v>0.4</v>
      </c>
      <c r="E7" s="59" t="s">
        <v>166</v>
      </c>
      <c r="F7" s="56" t="s">
        <v>167</v>
      </c>
      <c r="G7" s="44">
        <v>106</v>
      </c>
      <c r="H7" s="129">
        <f>IF(B$15=0,0,G7/B$15)</f>
        <v>0.36301369863013699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255.26315789473685</v>
      </c>
      <c r="P7" s="116">
        <v>76</v>
      </c>
      <c r="Q7" s="100">
        <v>19400</v>
      </c>
    </row>
    <row r="8" spans="1:17" x14ac:dyDescent="0.45">
      <c r="A8" s="51" t="s">
        <v>3</v>
      </c>
      <c r="B8" s="44">
        <v>36</v>
      </c>
      <c r="C8" s="37">
        <f t="shared" si="1"/>
        <v>0.27692307692307694</v>
      </c>
      <c r="E8" s="59" t="s">
        <v>89</v>
      </c>
      <c r="F8" s="56" t="s">
        <v>44</v>
      </c>
      <c r="G8" s="44">
        <v>73</v>
      </c>
      <c r="H8" s="129">
        <f>IF(B$15=0,0,G8/B$15)</f>
        <v>0.25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42</v>
      </c>
      <c r="C9" s="38">
        <f t="shared" si="1"/>
        <v>0.32307692307692309</v>
      </c>
      <c r="E9" s="59" t="s">
        <v>69</v>
      </c>
      <c r="F9" s="56" t="s">
        <v>24</v>
      </c>
      <c r="G9" s="44">
        <v>64</v>
      </c>
      <c r="H9" s="129">
        <f>IF(B$15=0,0,G9/B$15)</f>
        <v>0.21917808219178081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15</v>
      </c>
      <c r="C10" s="40">
        <f t="shared" si="1"/>
        <v>0.11538461538461539</v>
      </c>
      <c r="E10" s="59" t="s">
        <v>65</v>
      </c>
      <c r="F10" s="56" t="s">
        <v>21</v>
      </c>
      <c r="G10" s="44">
        <v>42</v>
      </c>
      <c r="H10" s="129">
        <f>IF(B$15=0,0,G10/B$15)</f>
        <v>0.14383561643835616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-7.7085714285714291</v>
      </c>
      <c r="P10" s="114">
        <v>35</v>
      </c>
      <c r="Q10" s="102">
        <v>-269.8</v>
      </c>
    </row>
    <row r="11" spans="1:17" x14ac:dyDescent="0.45">
      <c r="A11" s="54" t="s">
        <v>121</v>
      </c>
      <c r="B11" s="47">
        <v>322</v>
      </c>
      <c r="C11" s="42">
        <f>IF(B$3=0,0,B11/B$3)</f>
        <v>0.30434782608695654</v>
      </c>
      <c r="E11" s="59" t="s">
        <v>70</v>
      </c>
      <c r="F11" s="56" t="s">
        <v>25</v>
      </c>
      <c r="G11" s="44">
        <v>33</v>
      </c>
      <c r="H11" s="129">
        <f>IF(B$15=0,0,G11/B$15)</f>
        <v>0.11301369863013698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6.9439999999999991</v>
      </c>
      <c r="P11" s="115">
        <v>50</v>
      </c>
      <c r="Q11" s="103">
        <v>347.19999999999993</v>
      </c>
    </row>
    <row r="12" spans="1:17" x14ac:dyDescent="0.45">
      <c r="A12" s="51" t="s">
        <v>118</v>
      </c>
      <c r="B12" s="44">
        <v>196</v>
      </c>
      <c r="C12" s="37">
        <f>IF(B$3=0,0,B12/B$3)</f>
        <v>0.18525519848771266</v>
      </c>
      <c r="E12" s="59" t="s">
        <v>162</v>
      </c>
      <c r="F12" s="56" t="s">
        <v>163</v>
      </c>
      <c r="G12" s="44">
        <v>17</v>
      </c>
      <c r="H12" s="129">
        <f>IF(B$15=0,0,G12/B$15)</f>
        <v>5.8219178082191778E-2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9.6622222222222227</v>
      </c>
      <c r="P12" s="116">
        <v>45</v>
      </c>
      <c r="Q12" s="104">
        <v>434.8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0.5496894409937888</v>
      </c>
      <c r="E13" s="59" t="s">
        <v>71</v>
      </c>
      <c r="F13" s="56" t="s">
        <v>26</v>
      </c>
      <c r="G13" s="44">
        <v>15</v>
      </c>
      <c r="H13" s="129">
        <f>IF(B$15=0,0,G13/B$15)</f>
        <v>5.1369863013698627E-2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75</v>
      </c>
      <c r="C14" s="35">
        <f>IF(B$12=0,0,B14/B$12)</f>
        <v>0.38265306122448978</v>
      </c>
      <c r="E14" s="59" t="s">
        <v>83</v>
      </c>
      <c r="F14" s="56" t="s">
        <v>38</v>
      </c>
      <c r="G14" s="44">
        <v>10</v>
      </c>
      <c r="H14" s="129">
        <f>IF(B$15=0,0,G14/B$15)</f>
        <v>3.4246575342465752E-2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292</v>
      </c>
      <c r="C15" s="35">
        <f>IF(B$3=0,0,B15/B$3)</f>
        <v>0.27599243856332706</v>
      </c>
      <c r="E15" s="59" t="s">
        <v>86</v>
      </c>
      <c r="F15" s="56" t="s">
        <v>41</v>
      </c>
      <c r="G15" s="44">
        <v>10</v>
      </c>
      <c r="H15" s="129">
        <f>IF(B$15=0,0,G15/B$15)</f>
        <v>3.4246575342465752E-2</v>
      </c>
      <c r="I15" s="90">
        <v>10</v>
      </c>
      <c r="K15" s="36">
        <v>13</v>
      </c>
      <c r="L15" s="95">
        <v>-132.39999999999998</v>
      </c>
      <c r="N15" s="110" t="s">
        <v>228</v>
      </c>
      <c r="O15" s="120">
        <f t="shared" ref="O15:O23" si="2"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180</v>
      </c>
      <c r="C16" s="37">
        <f>IF(B$3=0,0,B16/B$3)</f>
        <v>0.17013232514177692</v>
      </c>
      <c r="E16" s="59" t="s">
        <v>91</v>
      </c>
      <c r="F16" s="56" t="s">
        <v>46</v>
      </c>
      <c r="G16" s="44">
        <v>5</v>
      </c>
      <c r="H16" s="129">
        <f>IF(B$15=0,0,G16/B$15)</f>
        <v>1.7123287671232876E-2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2"/>
        <v>26.930769230769229</v>
      </c>
      <c r="P16" s="115">
        <v>26</v>
      </c>
      <c r="Q16" s="103">
        <v>700.19999999999993</v>
      </c>
    </row>
    <row r="17" spans="1:17" x14ac:dyDescent="0.45">
      <c r="A17" s="51" t="s">
        <v>12</v>
      </c>
      <c r="B17" s="44">
        <v>150</v>
      </c>
      <c r="C17" s="37">
        <f>IF(B$15=0,0,B17/B$15)</f>
        <v>0.51369863013698636</v>
      </c>
      <c r="E17" s="59" t="s">
        <v>78</v>
      </c>
      <c r="F17" s="56" t="s">
        <v>33</v>
      </c>
      <c r="G17" s="44">
        <v>4</v>
      </c>
      <c r="H17" s="129">
        <f>IF(B$15=0,0,G17/B$15)</f>
        <v>1.3698630136986301E-2</v>
      </c>
      <c r="I17" s="90">
        <v>8</v>
      </c>
      <c r="K17" s="36">
        <v>15</v>
      </c>
      <c r="L17" s="95">
        <v>-101.79999999999997</v>
      </c>
      <c r="N17" s="111" t="s">
        <v>197</v>
      </c>
      <c r="O17" s="121">
        <f t="shared" si="2"/>
        <v>11.178571428571431</v>
      </c>
      <c r="P17" s="115">
        <v>28</v>
      </c>
      <c r="Q17" s="103">
        <v>313.00000000000006</v>
      </c>
    </row>
    <row r="18" spans="1:17" x14ac:dyDescent="0.45">
      <c r="A18" s="51" t="s">
        <v>11</v>
      </c>
      <c r="B18" s="44">
        <v>142</v>
      </c>
      <c r="C18" s="37">
        <f>IF(B$15=0,0,B18/B$15)</f>
        <v>0.4863013698630137</v>
      </c>
      <c r="E18" s="59" t="s">
        <v>81</v>
      </c>
      <c r="F18" s="56" t="s">
        <v>36</v>
      </c>
      <c r="G18" s="44">
        <v>4</v>
      </c>
      <c r="H18" s="129">
        <f>IF(B$15=0,0,G18/B$15)</f>
        <v>1.3698630136986301E-2</v>
      </c>
      <c r="I18" s="90">
        <v>10</v>
      </c>
      <c r="K18" s="36">
        <v>16</v>
      </c>
      <c r="L18" s="95">
        <v>-63.099999999999966</v>
      </c>
      <c r="N18" s="111" t="s">
        <v>171</v>
      </c>
      <c r="O18" s="121">
        <f t="shared" si="2"/>
        <v>10.093650793650792</v>
      </c>
      <c r="P18" s="115">
        <v>63</v>
      </c>
      <c r="Q18" s="103">
        <v>635.89999999999986</v>
      </c>
    </row>
    <row r="19" spans="1:17" x14ac:dyDescent="0.45">
      <c r="A19" s="51" t="s">
        <v>195</v>
      </c>
      <c r="B19" s="44">
        <v>177</v>
      </c>
      <c r="C19" s="37">
        <f>IF(B$15=0,0,B19/B$15)</f>
        <v>0.60616438356164382</v>
      </c>
      <c r="E19" s="59" t="s">
        <v>92</v>
      </c>
      <c r="F19" s="56" t="s">
        <v>47</v>
      </c>
      <c r="G19" s="44">
        <v>4</v>
      </c>
      <c r="H19" s="129">
        <f>IF(B$15=0,0,G19/B$15)</f>
        <v>1.3698630136986301E-2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 t="shared" si="2"/>
        <v>5.4749999999999988</v>
      </c>
      <c r="P19" s="115">
        <v>8</v>
      </c>
      <c r="Q19" s="103">
        <v>43.79999999999999</v>
      </c>
    </row>
    <row r="20" spans="1:17" x14ac:dyDescent="0.45">
      <c r="A20" s="51" t="s">
        <v>193</v>
      </c>
      <c r="B20" s="44">
        <v>75</v>
      </c>
      <c r="C20" s="37">
        <f>IF(B$15=0,0,B20/B$15)</f>
        <v>0.25684931506849318</v>
      </c>
      <c r="E20" s="59" t="s">
        <v>79</v>
      </c>
      <c r="F20" s="56" t="s">
        <v>34</v>
      </c>
      <c r="G20" s="44">
        <v>3</v>
      </c>
      <c r="H20" s="129">
        <f>IF(B$15=0,0,G20/B$15)</f>
        <v>1.0273972602739725E-2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 t="shared" si="2"/>
        <v>2.7843137254901946</v>
      </c>
      <c r="P20" s="115">
        <v>51</v>
      </c>
      <c r="Q20" s="103">
        <v>141.99999999999991</v>
      </c>
    </row>
    <row r="21" spans="1:17" x14ac:dyDescent="0.45">
      <c r="A21" s="51" t="s">
        <v>194</v>
      </c>
      <c r="B21" s="44">
        <v>40</v>
      </c>
      <c r="C21" s="37">
        <f>IF(B$15=0,0,B21/B$15)</f>
        <v>0.13698630136986301</v>
      </c>
      <c r="E21" s="59" t="s">
        <v>85</v>
      </c>
      <c r="F21" s="56" t="s">
        <v>40</v>
      </c>
      <c r="G21" s="44">
        <v>3</v>
      </c>
      <c r="H21" s="129">
        <f>IF(B$15=0,0,G21/B$15)</f>
        <v>1.0273972602739725E-2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 t="shared" si="2"/>
        <v>-2.8653846153846181</v>
      </c>
      <c r="P21" s="115">
        <v>52</v>
      </c>
      <c r="Q21" s="103">
        <v>-149.00000000000014</v>
      </c>
    </row>
    <row r="22" spans="1:17" x14ac:dyDescent="0.45">
      <c r="A22" s="51" t="s">
        <v>5</v>
      </c>
      <c r="B22" s="48">
        <f>IF(B$15=0,0,C22/B$15)</f>
        <v>10798.630136986301</v>
      </c>
      <c r="C22" s="39">
        <v>3153200</v>
      </c>
      <c r="E22" s="59" t="s">
        <v>73</v>
      </c>
      <c r="F22" s="56" t="s">
        <v>28</v>
      </c>
      <c r="G22" s="44">
        <v>2</v>
      </c>
      <c r="H22" s="129">
        <f>IF(B$15=0,0,G22/B$15)</f>
        <v>6.8493150684931503E-3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 t="shared" si="2"/>
        <v>-7.1727272727272728</v>
      </c>
      <c r="P22" s="115">
        <v>22</v>
      </c>
      <c r="Q22" s="103">
        <v>-157.80000000000001</v>
      </c>
    </row>
    <row r="23" spans="1:17" x14ac:dyDescent="0.45">
      <c r="A23" s="52" t="s">
        <v>177</v>
      </c>
      <c r="B23" s="136">
        <f>IF($B$15-B$14=0,0,C23/($B$15-B$14))</f>
        <v>11387.096774193549</v>
      </c>
      <c r="C23" s="137">
        <v>2471000</v>
      </c>
      <c r="E23" s="59" t="s">
        <v>75</v>
      </c>
      <c r="F23" s="56" t="s">
        <v>30</v>
      </c>
      <c r="G23" s="44">
        <v>2</v>
      </c>
      <c r="H23" s="129">
        <f>IF(B$15=0,0,G23/B$15)</f>
        <v>6.8493150684931503E-3</v>
      </c>
      <c r="I23" s="90">
        <v>7</v>
      </c>
      <c r="K23" s="36">
        <v>21</v>
      </c>
      <c r="L23" s="95">
        <v>-59.89999999999997</v>
      </c>
      <c r="N23" s="111" t="s">
        <v>196</v>
      </c>
      <c r="O23" s="121">
        <f t="shared" si="2"/>
        <v>-14.099999999999998</v>
      </c>
      <c r="P23" s="115">
        <v>8</v>
      </c>
      <c r="Q23" s="103">
        <v>-112.79999999999998</v>
      </c>
    </row>
    <row r="24" spans="1:17" x14ac:dyDescent="0.45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6.8493150684931503E-3</v>
      </c>
      <c r="I24" s="90">
        <v>1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-8105.5555555555557</v>
      </c>
      <c r="C25" s="137">
        <v>-1459000</v>
      </c>
      <c r="E25" s="59" t="s">
        <v>90</v>
      </c>
      <c r="F25" s="56" t="s">
        <v>45</v>
      </c>
      <c r="G25" s="44">
        <v>2</v>
      </c>
      <c r="H25" s="129">
        <f>IF(B$15=0,0,G25/B$15)</f>
        <v>6.8493150684931503E-3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1</v>
      </c>
      <c r="H26" s="129">
        <f>IF(B$15=0,0,G26/B$15)</f>
        <v>3.4246575342465752E-3</v>
      </c>
      <c r="I26" s="90">
        <v>3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3.4246575342465752E-3</v>
      </c>
      <c r="I27" s="90">
        <v>2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3.4246575342465752E-3</v>
      </c>
      <c r="I28" s="90">
        <v>1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1.890359168241966E-3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8</v>
      </c>
      <c r="C32" s="141">
        <f>IF(B$15=0,0,B32/B$15)</f>
        <v>2.7397260273972601E-2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23</v>
      </c>
      <c r="C33" s="37">
        <f t="shared" ref="C33:C44" si="3">IF(B$15=0,0,B33/B$15)</f>
        <v>7.8767123287671229E-2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7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39</v>
      </c>
      <c r="C34" s="37">
        <f>IF(B$15=0,0,B34/B$15)</f>
        <v>0.13356164383561644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55</v>
      </c>
      <c r="C35" s="37">
        <f t="shared" si="3"/>
        <v>0.18835616438356165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65</v>
      </c>
      <c r="C36" s="37">
        <f t="shared" si="3"/>
        <v>0.2226027397260274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42</v>
      </c>
      <c r="C37" s="37">
        <f t="shared" si="3"/>
        <v>0.14383561643835616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22</v>
      </c>
      <c r="C38" s="37">
        <f t="shared" si="3"/>
        <v>7.5342465753424653E-2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19</v>
      </c>
      <c r="C39" s="37">
        <f t="shared" si="3"/>
        <v>6.5068493150684928E-2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6</v>
      </c>
      <c r="C40" s="37">
        <f t="shared" si="3"/>
        <v>2.0547945205479451E-2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3"/>
        <v>1.0273972602739725E-2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2</v>
      </c>
      <c r="C42" s="37">
        <f t="shared" si="3"/>
        <v>6.8493150684931503E-3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3"/>
        <v>3.4246575342465752E-3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7</v>
      </c>
      <c r="C44" s="40">
        <f t="shared" si="3"/>
        <v>2.3972602739726026E-2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</sheetData>
  <sortState xmlns:xlrd2="http://schemas.microsoft.com/office/spreadsheetml/2017/richdata2" ref="E2:I13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143</v>
      </c>
      <c r="C2" s="155"/>
      <c r="E2" s="58" t="s">
        <v>66</v>
      </c>
      <c r="F2" s="55" t="s">
        <v>22</v>
      </c>
      <c r="G2" s="43">
        <v>234</v>
      </c>
      <c r="H2" s="128">
        <f>IF(B$15=0,0,G2/B$15)</f>
        <v>0.72222222222222221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-323.77622377622379</v>
      </c>
      <c r="P2" s="114">
        <v>143</v>
      </c>
      <c r="Q2" s="98">
        <v>-46300</v>
      </c>
    </row>
    <row r="3" spans="1:17" x14ac:dyDescent="0.45">
      <c r="A3" s="51" t="s">
        <v>8</v>
      </c>
      <c r="B3" s="156">
        <v>1161</v>
      </c>
      <c r="C3" s="157"/>
      <c r="E3" s="59" t="s">
        <v>72</v>
      </c>
      <c r="F3" s="56" t="s">
        <v>27</v>
      </c>
      <c r="G3" s="44">
        <v>183</v>
      </c>
      <c r="H3" s="129">
        <f>IF(B$15=0,0,G3/B$15)</f>
        <v>0.56481481481481477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154.28571428571428</v>
      </c>
      <c r="P3" s="115">
        <v>140</v>
      </c>
      <c r="Q3" s="99">
        <v>21600</v>
      </c>
    </row>
    <row r="4" spans="1:17" x14ac:dyDescent="0.45">
      <c r="A4" s="51" t="s">
        <v>6</v>
      </c>
      <c r="B4" s="158">
        <v>-141.49999999999997</v>
      </c>
      <c r="C4" s="159"/>
      <c r="E4" s="59" t="s">
        <v>64</v>
      </c>
      <c r="F4" s="56" t="s">
        <v>20</v>
      </c>
      <c r="G4" s="44">
        <v>161</v>
      </c>
      <c r="H4" s="129">
        <f>IF(B$15=0,0,G4/B$15)</f>
        <v>0.49691358024691357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247.72727272727272</v>
      </c>
      <c r="P4" s="115">
        <v>132</v>
      </c>
      <c r="Q4" s="99">
        <v>32700</v>
      </c>
    </row>
    <row r="5" spans="1:17" x14ac:dyDescent="0.45">
      <c r="A5" s="51" t="s">
        <v>7</v>
      </c>
      <c r="B5" s="160">
        <f>IF(B$2=0,0,B$4/B$2)</f>
        <v>-0.98951048951048937</v>
      </c>
      <c r="C5" s="161"/>
      <c r="E5" s="59" t="s">
        <v>166</v>
      </c>
      <c r="F5" s="56" t="s">
        <v>167</v>
      </c>
      <c r="G5" s="44">
        <v>138</v>
      </c>
      <c r="H5" s="129">
        <f>IF(B$15=0,0,G5/B$15)</f>
        <v>0.42592592592592593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108.26446280991736</v>
      </c>
      <c r="P5" s="115">
        <v>121</v>
      </c>
      <c r="Q5" s="99">
        <v>13100</v>
      </c>
    </row>
    <row r="6" spans="1:17" x14ac:dyDescent="0.45">
      <c r="A6" s="51" t="s">
        <v>1</v>
      </c>
      <c r="B6" s="150">
        <f>IF(B$2=0,0,(B$7*1+B$8*2+B$9*3)/B$2)</f>
        <v>2.0559440559440558</v>
      </c>
      <c r="C6" s="151"/>
      <c r="E6" s="59" t="s">
        <v>67</v>
      </c>
      <c r="F6" s="56" t="s">
        <v>23</v>
      </c>
      <c r="G6" s="44">
        <v>109</v>
      </c>
      <c r="H6" s="129">
        <f>IF(B$15=0,0,G6/B$15)</f>
        <v>0.33641975308641975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170</v>
      </c>
      <c r="P6" s="115">
        <v>110</v>
      </c>
      <c r="Q6" s="99">
        <v>18700</v>
      </c>
    </row>
    <row r="7" spans="1:17" x14ac:dyDescent="0.45">
      <c r="A7" s="51" t="s">
        <v>2</v>
      </c>
      <c r="B7" s="44">
        <v>35</v>
      </c>
      <c r="C7" s="37">
        <f t="shared" ref="C7:C10" si="1">IF(B$2=0,0,B7/B$2)</f>
        <v>0.24475524475524477</v>
      </c>
      <c r="E7" s="59" t="s">
        <v>68</v>
      </c>
      <c r="F7" s="56" t="s">
        <v>12</v>
      </c>
      <c r="G7" s="44">
        <v>103</v>
      </c>
      <c r="H7" s="129">
        <f>IF(B$15=0,0,G7/B$15)</f>
        <v>0.31790123456790126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-1058.0645161290322</v>
      </c>
      <c r="P7" s="116">
        <v>93</v>
      </c>
      <c r="Q7" s="100">
        <v>-98400</v>
      </c>
    </row>
    <row r="8" spans="1:17" x14ac:dyDescent="0.45">
      <c r="A8" s="51" t="s">
        <v>3</v>
      </c>
      <c r="B8" s="44">
        <v>65</v>
      </c>
      <c r="C8" s="37">
        <f t="shared" si="1"/>
        <v>0.45454545454545453</v>
      </c>
      <c r="E8" s="59" t="s">
        <v>89</v>
      </c>
      <c r="F8" s="56" t="s">
        <v>44</v>
      </c>
      <c r="G8" s="44">
        <v>45</v>
      </c>
      <c r="H8" s="129">
        <f>IF(B$15=0,0,G8/B$15)</f>
        <v>0.1388888888888889</v>
      </c>
      <c r="I8" s="90">
        <v>6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43</v>
      </c>
      <c r="C9" s="38">
        <f t="shared" si="1"/>
        <v>0.30069930069930068</v>
      </c>
      <c r="E9" s="59" t="s">
        <v>69</v>
      </c>
      <c r="F9" s="56" t="s">
        <v>24</v>
      </c>
      <c r="G9" s="44">
        <v>44</v>
      </c>
      <c r="H9" s="129">
        <f>IF(B$15=0,0,G9/B$15)</f>
        <v>0.13580246913580246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6.9930069930069935E-2</v>
      </c>
      <c r="E10" s="59" t="s">
        <v>71</v>
      </c>
      <c r="F10" s="56" t="s">
        <v>26</v>
      </c>
      <c r="G10" s="44">
        <v>31</v>
      </c>
      <c r="H10" s="129">
        <f>IF(B$15=0,0,G10/B$15)</f>
        <v>9.5679012345679007E-2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-2.854237288135594</v>
      </c>
      <c r="P10" s="114">
        <v>59</v>
      </c>
      <c r="Q10" s="102">
        <v>-168.40000000000003</v>
      </c>
    </row>
    <row r="11" spans="1:17" x14ac:dyDescent="0.45">
      <c r="A11" s="54" t="s">
        <v>121</v>
      </c>
      <c r="B11" s="47">
        <v>302</v>
      </c>
      <c r="C11" s="42">
        <f>IF(B$3=0,0,B11/B$3)</f>
        <v>0.26012058570198104</v>
      </c>
      <c r="E11" s="59" t="s">
        <v>65</v>
      </c>
      <c r="F11" s="56" t="s">
        <v>21</v>
      </c>
      <c r="G11" s="44">
        <v>26</v>
      </c>
      <c r="H11" s="129">
        <f>IF(B$15=0,0,G11/B$15)</f>
        <v>8.0246913580246909E-2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0.68222222222222284</v>
      </c>
      <c r="P11" s="115">
        <v>45</v>
      </c>
      <c r="Q11" s="103">
        <v>30.700000000000028</v>
      </c>
    </row>
    <row r="12" spans="1:17" x14ac:dyDescent="0.45">
      <c r="A12" s="51" t="s">
        <v>118</v>
      </c>
      <c r="B12" s="44">
        <v>268</v>
      </c>
      <c r="C12" s="37">
        <f>IF(B$3=0,0,B12/B$3)</f>
        <v>0.23083548664944015</v>
      </c>
      <c r="E12" s="59" t="s">
        <v>70</v>
      </c>
      <c r="F12" s="56" t="s">
        <v>25</v>
      </c>
      <c r="G12" s="44">
        <v>23</v>
      </c>
      <c r="H12" s="129">
        <f>IF(B$15=0,0,G12/B$15)</f>
        <v>7.098765432098765E-2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-9.7435897435897728E-2</v>
      </c>
      <c r="P12" s="116">
        <v>39</v>
      </c>
      <c r="Q12" s="104">
        <v>-3.8000000000000114</v>
      </c>
    </row>
    <row r="13" spans="1:17" x14ac:dyDescent="0.45">
      <c r="A13" s="50" t="s">
        <v>123</v>
      </c>
      <c r="B13" s="43">
        <f>B19</f>
        <v>167</v>
      </c>
      <c r="C13" s="35">
        <f>IF(B$11=0,0,B13/B$11)</f>
        <v>0.55298013245033117</v>
      </c>
      <c r="E13" s="59" t="s">
        <v>86</v>
      </c>
      <c r="F13" s="56" t="s">
        <v>41</v>
      </c>
      <c r="G13" s="44">
        <v>16</v>
      </c>
      <c r="H13" s="129">
        <f>IF(B$15=0,0,G13/B$15)</f>
        <v>4.9382716049382713E-2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114</v>
      </c>
      <c r="C14" s="35">
        <f>IF(B$12=0,0,B14/B$12)</f>
        <v>0.42537313432835822</v>
      </c>
      <c r="E14" s="59" t="s">
        <v>83</v>
      </c>
      <c r="F14" s="56" t="s">
        <v>38</v>
      </c>
      <c r="G14" s="44">
        <v>13</v>
      </c>
      <c r="H14" s="129">
        <f>IF(B$15=0,0,G14/B$15)</f>
        <v>4.0123456790123455E-2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324</v>
      </c>
      <c r="C15" s="35">
        <f>IF(B$3=0,0,B15/B$3)</f>
        <v>0.27906976744186046</v>
      </c>
      <c r="E15" s="59" t="s">
        <v>79</v>
      </c>
      <c r="F15" s="56" t="s">
        <v>34</v>
      </c>
      <c r="G15" s="44">
        <v>7</v>
      </c>
      <c r="H15" s="129">
        <f>IF(B$15=0,0,G15/B$15)</f>
        <v>2.1604938271604937E-2</v>
      </c>
      <c r="I15" s="90">
        <v>4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162</v>
      </c>
      <c r="C16" s="37">
        <f>IF(B$3=0,0,B16/B$3)</f>
        <v>0.13953488372093023</v>
      </c>
      <c r="E16" s="59" t="s">
        <v>162</v>
      </c>
      <c r="F16" s="56" t="s">
        <v>163</v>
      </c>
      <c r="G16" s="44">
        <v>6</v>
      </c>
      <c r="H16" s="129">
        <f>IF(B$15=0,0,G16/B$15)</f>
        <v>1.8518518518518517E-2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145</v>
      </c>
      <c r="C17" s="37">
        <f>IF(B$15=0,0,B17/B$15)</f>
        <v>0.44753086419753085</v>
      </c>
      <c r="E17" s="59" t="s">
        <v>73</v>
      </c>
      <c r="F17" s="56" t="s">
        <v>28</v>
      </c>
      <c r="G17" s="44">
        <v>5</v>
      </c>
      <c r="H17" s="129">
        <f>IF(B$15=0,0,G17/B$15)</f>
        <v>1.5432098765432098E-2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179</v>
      </c>
      <c r="C18" s="37">
        <f>IF(B$15=0,0,B18/B$15)</f>
        <v>0.55246913580246915</v>
      </c>
      <c r="E18" s="59" t="s">
        <v>78</v>
      </c>
      <c r="F18" s="56" t="s">
        <v>33</v>
      </c>
      <c r="G18" s="44">
        <v>5</v>
      </c>
      <c r="H18" s="129">
        <f>IF(B$15=0,0,G18/B$15)</f>
        <v>1.5432098765432098E-2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167</v>
      </c>
      <c r="C19" s="37">
        <f>IF(B$15=0,0,B19/B$15)</f>
        <v>0.51543209876543206</v>
      </c>
      <c r="E19" s="59" t="s">
        <v>81</v>
      </c>
      <c r="F19" s="56" t="s">
        <v>36</v>
      </c>
      <c r="G19" s="44">
        <v>5</v>
      </c>
      <c r="H19" s="129">
        <f>IF(B$15=0,0,G19/B$15)</f>
        <v>1.5432098765432098E-2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114</v>
      </c>
      <c r="C20" s="37">
        <f>IF(B$15=0,0,B20/B$15)</f>
        <v>0.35185185185185186</v>
      </c>
      <c r="E20" s="59" t="s">
        <v>85</v>
      </c>
      <c r="F20" s="56" t="s">
        <v>40</v>
      </c>
      <c r="G20" s="44">
        <v>3</v>
      </c>
      <c r="H20" s="129">
        <f>IF(B$15=0,0,G20/B$15)</f>
        <v>9.2592592592592587E-3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43</v>
      </c>
      <c r="C21" s="37">
        <f>IF(B$15=0,0,B21/B$15)</f>
        <v>0.13271604938271606</v>
      </c>
      <c r="E21" s="59" t="s">
        <v>91</v>
      </c>
      <c r="F21" s="56" t="s">
        <v>46</v>
      </c>
      <c r="G21" s="44">
        <v>3</v>
      </c>
      <c r="H21" s="129">
        <f>IF(B$15=0,0,G21/B$15)</f>
        <v>9.2592592592592587E-3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0.6499999999999998</v>
      </c>
      <c r="P21" s="115">
        <v>56</v>
      </c>
      <c r="Q21" s="103">
        <v>36.399999999999991</v>
      </c>
    </row>
    <row r="22" spans="1:17" x14ac:dyDescent="0.45">
      <c r="A22" s="51" t="s">
        <v>5</v>
      </c>
      <c r="B22" s="48">
        <f>IF(B$15=0,0,C22/B$15)</f>
        <v>8250.9259259259252</v>
      </c>
      <c r="C22" s="39">
        <v>2673300</v>
      </c>
      <c r="E22" s="59" t="s">
        <v>75</v>
      </c>
      <c r="F22" s="56" t="s">
        <v>30</v>
      </c>
      <c r="G22" s="44">
        <v>2</v>
      </c>
      <c r="H22" s="129">
        <f>IF(B$15=0,0,G22/B$15)</f>
        <v>6.1728395061728392E-3</v>
      </c>
      <c r="I22" s="90">
        <v>8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5">
      <c r="A23" s="52" t="s">
        <v>177</v>
      </c>
      <c r="B23" s="136">
        <f>IF($B$15-B$14=0,0,C23/($B$15-B$14))</f>
        <v>9198.0952380952385</v>
      </c>
      <c r="C23" s="137">
        <v>1931600</v>
      </c>
      <c r="E23" s="59" t="s">
        <v>74</v>
      </c>
      <c r="F23" s="56" t="s">
        <v>29</v>
      </c>
      <c r="G23" s="44">
        <v>1</v>
      </c>
      <c r="H23" s="129">
        <f>IF(B$15=0,0,G23/B$15)</f>
        <v>3.0864197530864196E-3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-10.093650793650792</v>
      </c>
      <c r="P23" s="115">
        <v>63</v>
      </c>
      <c r="Q23" s="103">
        <v>-635.89999999999986</v>
      </c>
    </row>
    <row r="24" spans="1:17" x14ac:dyDescent="0.45">
      <c r="A24" s="52" t="s">
        <v>178</v>
      </c>
      <c r="B24" s="136">
        <f>IF(B$14=0,0,C24/B$14)</f>
        <v>6506.1403508771928</v>
      </c>
      <c r="C24" s="137">
        <v>741700</v>
      </c>
      <c r="E24" s="59" t="s">
        <v>87</v>
      </c>
      <c r="F24" s="56" t="s">
        <v>42</v>
      </c>
      <c r="G24" s="44">
        <v>1</v>
      </c>
      <c r="H24" s="129">
        <f>IF(B$15=0,0,G24/B$15)</f>
        <v>3.0864197530864196E-3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-12.836764705882352</v>
      </c>
      <c r="P24" s="115">
        <v>68</v>
      </c>
      <c r="Q24" s="103">
        <v>-872.9</v>
      </c>
    </row>
    <row r="25" spans="1:17" x14ac:dyDescent="0.45">
      <c r="A25" s="52" t="s">
        <v>176</v>
      </c>
      <c r="B25" s="136">
        <f>IF(B$16=0,0,C25/B$16)</f>
        <v>-7036.4197530864194</v>
      </c>
      <c r="C25" s="137">
        <v>-1139900</v>
      </c>
      <c r="E25" s="59" t="s">
        <v>88</v>
      </c>
      <c r="F25" s="56" t="s">
        <v>43</v>
      </c>
      <c r="G25" s="44">
        <v>1</v>
      </c>
      <c r="H25" s="129">
        <f>IF(B$15=0,0,G25/B$15)</f>
        <v>3.0864197530864196E-3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>IF(B$15=0,0,G26/B$15)</f>
        <v>3.0864197530864196E-3</v>
      </c>
      <c r="I26" s="90">
        <v>6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0</v>
      </c>
      <c r="E27" s="59" t="s">
        <v>93</v>
      </c>
      <c r="F27" s="56" t="s">
        <v>48</v>
      </c>
      <c r="G27" s="44">
        <v>1</v>
      </c>
      <c r="H27" s="129">
        <f>IF(B$15=0,0,G27/B$15)</f>
        <v>3.0864197530864196E-3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3.0864197530864196E-3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1.7226528854435831E-3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19</v>
      </c>
      <c r="C32" s="141">
        <f>IF(B$15=0,0,B32/B$15)</f>
        <v>5.8641975308641972E-2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61</v>
      </c>
      <c r="C33" s="37">
        <f t="shared" ref="C33:C44" si="2">IF(B$15=0,0,B33/B$15)</f>
        <v>0.18827160493827161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66</v>
      </c>
      <c r="C34" s="37">
        <f>IF(B$15=0,0,B34/B$15)</f>
        <v>0.20370370370370369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60</v>
      </c>
      <c r="C35" s="37">
        <f t="shared" si="2"/>
        <v>0.18518518518518517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47</v>
      </c>
      <c r="C36" s="37">
        <f t="shared" si="2"/>
        <v>0.14506172839506173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37</v>
      </c>
      <c r="C37" s="37">
        <f t="shared" si="2"/>
        <v>0.11419753086419752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16</v>
      </c>
      <c r="C38" s="37">
        <f t="shared" si="2"/>
        <v>4.9382716049382713E-2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7</v>
      </c>
      <c r="C39" s="37">
        <f t="shared" si="2"/>
        <v>2.1604938271604937E-2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2"/>
        <v>9.2592592592592587E-3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2"/>
        <v>6.1728395061728392E-3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2"/>
        <v>3.0864197530864196E-3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2"/>
        <v>6.1728395061728392E-3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3</v>
      </c>
      <c r="C44" s="40">
        <f t="shared" si="2"/>
        <v>9.2592592592592587E-3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5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5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5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5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5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5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5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5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5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5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6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5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3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5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5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5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5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5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5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5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5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5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8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5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5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5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5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5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5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5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5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5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5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5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5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5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5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5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5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5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5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5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5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5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5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5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5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5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5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5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10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5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5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5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5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3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5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5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5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5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5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5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5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5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5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6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8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4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07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2020-01-16T11:46:26Z</dcterms:modified>
</cp:coreProperties>
</file>