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8EBD9B0-611F-4B1A-A64E-66E8E4F818C9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55" r:id="rId6"/>
    <sheet name="たかの" sheetId="5857" r:id="rId7"/>
    <sheet name="だいち" sheetId="5859" r:id="rId8"/>
    <sheet name="ただ" sheetId="5861" r:id="rId9"/>
    <sheet name="りくと" sheetId="5863" r:id="rId10"/>
    <sheet name="れんたろう" sheetId="5865" r:id="rId11"/>
    <sheet name="まっつん" sheetId="5867" r:id="rId12"/>
    <sheet name="のり" sheetId="5869" r:id="rId13"/>
    <sheet name="ぱぱ" sheetId="5871" r:id="rId14"/>
    <sheet name="ほたに" sheetId="5873" r:id="rId15"/>
    <sheet name="いっしー" sheetId="5875" r:id="rId16"/>
    <sheet name="いっしー2" sheetId="5876" state="hidden" r:id="rId17"/>
    <sheet name="ほたに2" sheetId="5874" state="hidden" r:id="rId18"/>
    <sheet name="ぱぱ2" sheetId="5872" state="hidden" r:id="rId19"/>
    <sheet name="のり2" sheetId="5870" state="hidden" r:id="rId20"/>
    <sheet name="まっつん2" sheetId="5868" state="hidden" r:id="rId21"/>
    <sheet name="れんたろう2" sheetId="5866" state="hidden" r:id="rId22"/>
    <sheet name="りくと2" sheetId="5864" state="hidden" r:id="rId23"/>
    <sheet name="ただ2" sheetId="5862" state="hidden" r:id="rId24"/>
    <sheet name="だいち2" sheetId="5860" state="hidden" r:id="rId25"/>
    <sheet name="たかの2" sheetId="5858" state="hidden" r:id="rId26"/>
    <sheet name="全体2" sheetId="5856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67" l="1"/>
  <c r="O17" i="5875"/>
  <c r="O22" i="5859"/>
  <c r="O16" i="5875"/>
  <c r="O15" i="5875"/>
  <c r="C29" i="5875"/>
  <c r="B26" i="5875"/>
  <c r="B25" i="5875"/>
  <c r="C20" i="5875"/>
  <c r="B17" i="5875"/>
  <c r="H50" i="5875" s="1"/>
  <c r="C16" i="5875"/>
  <c r="C15" i="5875"/>
  <c r="C14" i="5875"/>
  <c r="C13" i="5875"/>
  <c r="O12" i="5875"/>
  <c r="C12" i="5875"/>
  <c r="O11" i="5875"/>
  <c r="C11" i="5875"/>
  <c r="O10" i="5875"/>
  <c r="C10" i="5875"/>
  <c r="C9" i="5875"/>
  <c r="C8" i="5875"/>
  <c r="O7" i="5875"/>
  <c r="C7" i="5875"/>
  <c r="O6" i="5875"/>
  <c r="B6" i="5875"/>
  <c r="O5" i="5875"/>
  <c r="B5" i="5875"/>
  <c r="O4" i="5875"/>
  <c r="O3" i="5875"/>
  <c r="O2" i="5875"/>
  <c r="O17" i="5869"/>
  <c r="O24" i="5855"/>
  <c r="H2" i="5875" l="1"/>
  <c r="H17" i="5875"/>
  <c r="H19" i="5875"/>
  <c r="H9" i="5875"/>
  <c r="H5" i="5875"/>
  <c r="H6" i="5875"/>
  <c r="H39" i="5875"/>
  <c r="B23" i="5875"/>
  <c r="H43" i="5875"/>
  <c r="H4" i="5875"/>
  <c r="C17" i="5875"/>
  <c r="H31" i="5875"/>
  <c r="H47" i="5875"/>
  <c r="H3" i="5875"/>
  <c r="H14" i="5875"/>
  <c r="C18" i="5875"/>
  <c r="H35" i="5875"/>
  <c r="H51" i="5875"/>
  <c r="H21" i="5875"/>
  <c r="H23" i="5875"/>
  <c r="H25" i="5875"/>
  <c r="H27" i="5875"/>
  <c r="H29" i="5875"/>
  <c r="H32" i="5875"/>
  <c r="H36" i="5875"/>
  <c r="H40" i="5875"/>
  <c r="H44" i="5875"/>
  <c r="H48" i="5875"/>
  <c r="H11" i="5875"/>
  <c r="H13" i="5875"/>
  <c r="H16" i="5875"/>
  <c r="H18" i="5875"/>
  <c r="C19" i="5875"/>
  <c r="H8" i="5875"/>
  <c r="B24" i="5875"/>
  <c r="H33" i="5875"/>
  <c r="H37" i="5875"/>
  <c r="H41" i="5875"/>
  <c r="H45" i="5875"/>
  <c r="H49" i="5875"/>
  <c r="H52" i="5875"/>
  <c r="H12" i="5875"/>
  <c r="H7" i="5875"/>
  <c r="H10" i="5875"/>
  <c r="H15" i="5875"/>
  <c r="H20" i="5875"/>
  <c r="H22" i="5875"/>
  <c r="H24" i="5875"/>
  <c r="H26" i="5875"/>
  <c r="H28" i="5875"/>
  <c r="H30" i="5875"/>
  <c r="H34" i="5875"/>
  <c r="H38" i="5875"/>
  <c r="H42" i="5875"/>
  <c r="H46" i="5875"/>
  <c r="O20" i="5857" l="1"/>
  <c r="O16" i="5865"/>
  <c r="O15" i="5865" l="1"/>
  <c r="O19" i="5873"/>
  <c r="O15" i="5863" l="1"/>
  <c r="O20" i="5869"/>
  <c r="O16" i="5873" l="1"/>
  <c r="O22" i="5863"/>
  <c r="O21" i="5857" l="1"/>
  <c r="O16" i="5859"/>
  <c r="O15" i="5869"/>
  <c r="O21" i="5869"/>
  <c r="O19" i="5867" l="1"/>
  <c r="O18" i="5871"/>
  <c r="O16" i="5861" l="1"/>
  <c r="O17" i="5867"/>
  <c r="O19" i="5869"/>
  <c r="O18" i="5869"/>
  <c r="O15" i="5857" l="1"/>
  <c r="O17" i="5871"/>
  <c r="O19" i="5871"/>
  <c r="O17" i="5863"/>
  <c r="O19" i="5861" l="1"/>
  <c r="O21" i="5865"/>
  <c r="O20" i="5865" l="1"/>
  <c r="O21" i="5859"/>
  <c r="O23" i="5869"/>
  <c r="O17" i="5873"/>
  <c r="O15" i="5873"/>
  <c r="O21" i="5871"/>
  <c r="O15" i="5861" l="1"/>
  <c r="O21" i="5861"/>
  <c r="O18" i="5873"/>
  <c r="O20" i="5873"/>
  <c r="C29" i="5873"/>
  <c r="B26" i="5873"/>
  <c r="B25" i="5873"/>
  <c r="C20" i="5873"/>
  <c r="B17" i="5873"/>
  <c r="H51" i="5873" s="1"/>
  <c r="C16" i="5873"/>
  <c r="C15" i="5873"/>
  <c r="C14" i="5873"/>
  <c r="C13" i="5873"/>
  <c r="O12" i="5873"/>
  <c r="C12" i="5873"/>
  <c r="O11" i="5873"/>
  <c r="C11" i="5873"/>
  <c r="O10" i="5873"/>
  <c r="C10" i="5873"/>
  <c r="C9" i="5873"/>
  <c r="C8" i="5873"/>
  <c r="O7" i="5873"/>
  <c r="C7" i="5873"/>
  <c r="O6" i="5873"/>
  <c r="B6" i="5873"/>
  <c r="O5" i="5873"/>
  <c r="B5" i="5873"/>
  <c r="O4" i="5873"/>
  <c r="O3" i="5873"/>
  <c r="O2" i="5873"/>
  <c r="O21" i="5867"/>
  <c r="O15" i="5867"/>
  <c r="O15" i="5855"/>
  <c r="H5" i="5873" l="1"/>
  <c r="H2" i="5873"/>
  <c r="H3" i="5873"/>
  <c r="H11" i="5873"/>
  <c r="C17" i="5873"/>
  <c r="H24" i="5873"/>
  <c r="H27" i="5873"/>
  <c r="H32" i="5873"/>
  <c r="H36" i="5873"/>
  <c r="H40" i="5873"/>
  <c r="H44" i="5873"/>
  <c r="H6" i="5873"/>
  <c r="H18" i="5873"/>
  <c r="H20" i="5873"/>
  <c r="C19" i="5873"/>
  <c r="H14" i="5873"/>
  <c r="B24" i="5873"/>
  <c r="H33" i="5873"/>
  <c r="H37" i="5873"/>
  <c r="H45" i="5873"/>
  <c r="H49" i="5873"/>
  <c r="H52" i="5873"/>
  <c r="H7" i="5873"/>
  <c r="H8" i="5873"/>
  <c r="H12" i="5873"/>
  <c r="H17" i="5873"/>
  <c r="H13" i="5873"/>
  <c r="H23" i="5873"/>
  <c r="H25" i="5873"/>
  <c r="H15" i="5873"/>
  <c r="H28" i="5873"/>
  <c r="H30" i="5873"/>
  <c r="H34" i="5873"/>
  <c r="H38" i="5873"/>
  <c r="H42" i="5873"/>
  <c r="H46" i="5873"/>
  <c r="H50" i="5873"/>
  <c r="H22" i="5873"/>
  <c r="H26" i="5873"/>
  <c r="H29" i="5873"/>
  <c r="H48" i="5873"/>
  <c r="H10" i="5873"/>
  <c r="H41" i="5873"/>
  <c r="H4" i="5873"/>
  <c r="H16" i="5873"/>
  <c r="H19" i="5873"/>
  <c r="H21" i="5873"/>
  <c r="C18" i="5873"/>
  <c r="B23" i="5873"/>
  <c r="H9" i="5873"/>
  <c r="H31" i="5873"/>
  <c r="H35" i="5873"/>
  <c r="H39" i="5873"/>
  <c r="H43" i="5873"/>
  <c r="H47" i="5873"/>
  <c r="O17" i="5859" l="1"/>
  <c r="O21" i="5863"/>
  <c r="O18" i="5859" l="1"/>
  <c r="O20" i="5867"/>
  <c r="O23" i="5867"/>
  <c r="O17" i="5857"/>
  <c r="O18" i="5861"/>
  <c r="O16" i="5863"/>
  <c r="O20" i="5863"/>
  <c r="O19" i="5857"/>
  <c r="O17" i="5861"/>
  <c r="O15" i="5859"/>
  <c r="O20" i="5871"/>
  <c r="O22" i="5871"/>
  <c r="O22" i="5865" l="1"/>
  <c r="O17" i="5865"/>
  <c r="O15" i="5871"/>
  <c r="O16" i="5871"/>
  <c r="C29" i="5871"/>
  <c r="B26" i="5871"/>
  <c r="B25" i="5871"/>
  <c r="C20" i="5871"/>
  <c r="B17" i="5871"/>
  <c r="H5" i="5871" s="1"/>
  <c r="C16" i="5871"/>
  <c r="C15" i="5871"/>
  <c r="C14" i="5871"/>
  <c r="C13" i="5871"/>
  <c r="O12" i="5871"/>
  <c r="C12" i="5871"/>
  <c r="O11" i="5871"/>
  <c r="C11" i="5871"/>
  <c r="O10" i="5871"/>
  <c r="C10" i="5871"/>
  <c r="C9" i="5871"/>
  <c r="C8" i="5871"/>
  <c r="O7" i="5871"/>
  <c r="C7" i="5871"/>
  <c r="O6" i="5871"/>
  <c r="B6" i="5871"/>
  <c r="O5" i="5871"/>
  <c r="B5" i="5871"/>
  <c r="O4" i="5871"/>
  <c r="O3" i="5871"/>
  <c r="O2" i="5871"/>
  <c r="H3" i="5871"/>
  <c r="O16" i="5855"/>
  <c r="O16" i="5869"/>
  <c r="O22" i="5869"/>
  <c r="C29" i="5869"/>
  <c r="B26" i="5869"/>
  <c r="B25" i="5869"/>
  <c r="C20" i="5869"/>
  <c r="B17" i="5869"/>
  <c r="H50" i="5869" s="1"/>
  <c r="C16" i="5869"/>
  <c r="C15" i="5869"/>
  <c r="C14" i="5869"/>
  <c r="C13" i="5869"/>
  <c r="O12" i="5869"/>
  <c r="C12" i="5869"/>
  <c r="O11" i="5869"/>
  <c r="C11" i="5869"/>
  <c r="O10" i="5869"/>
  <c r="C10" i="5869"/>
  <c r="C9" i="5869"/>
  <c r="C8" i="5869"/>
  <c r="O7" i="5869"/>
  <c r="C7" i="5869"/>
  <c r="O6" i="5869"/>
  <c r="B6" i="5869"/>
  <c r="O5" i="5869"/>
  <c r="B5" i="5869"/>
  <c r="O4" i="5869"/>
  <c r="O3" i="5869"/>
  <c r="O2" i="5869"/>
  <c r="O21" i="5855"/>
  <c r="H4" i="5869" l="1"/>
  <c r="H6" i="5871"/>
  <c r="H10" i="5871"/>
  <c r="H17" i="5869"/>
  <c r="H8" i="5871"/>
  <c r="H2" i="5871"/>
  <c r="H32" i="5871"/>
  <c r="H40" i="5871"/>
  <c r="H48" i="5871"/>
  <c r="C17" i="5871"/>
  <c r="H15" i="5871"/>
  <c r="H34" i="5871"/>
  <c r="H42" i="5871"/>
  <c r="H50" i="5871"/>
  <c r="H16" i="5871"/>
  <c r="H24" i="5871"/>
  <c r="H9" i="5871"/>
  <c r="H4" i="5871"/>
  <c r="H11" i="5871"/>
  <c r="H22" i="5871"/>
  <c r="C18" i="5871"/>
  <c r="B23" i="5871"/>
  <c r="H12" i="5871"/>
  <c r="H36" i="5871"/>
  <c r="H44" i="5871"/>
  <c r="H20" i="5871"/>
  <c r="H7" i="5871"/>
  <c r="H21" i="5871"/>
  <c r="H23" i="5871"/>
  <c r="H13" i="5871"/>
  <c r="C19" i="5871"/>
  <c r="B24" i="5871"/>
  <c r="H38" i="5871"/>
  <c r="H46" i="5871"/>
  <c r="H52" i="5871"/>
  <c r="H25" i="5871"/>
  <c r="H17" i="5871"/>
  <c r="H28" i="5871"/>
  <c r="H14" i="5871"/>
  <c r="H29" i="5871"/>
  <c r="H31" i="5871"/>
  <c r="H35" i="5871"/>
  <c r="H39" i="5871"/>
  <c r="H43" i="5871"/>
  <c r="H47" i="5871"/>
  <c r="H51" i="5871"/>
  <c r="H26" i="5871"/>
  <c r="H27" i="5871"/>
  <c r="H18" i="5871"/>
  <c r="H19" i="5871"/>
  <c r="H30" i="5871"/>
  <c r="H33" i="5871"/>
  <c r="H37" i="5871"/>
  <c r="H41" i="5871"/>
  <c r="H45" i="5871"/>
  <c r="H49" i="5871"/>
  <c r="H3" i="5869"/>
  <c r="H8" i="5869"/>
  <c r="H9" i="5869"/>
  <c r="H39" i="5869"/>
  <c r="B23" i="5869"/>
  <c r="H43" i="5869"/>
  <c r="H47" i="5869"/>
  <c r="H22" i="5869"/>
  <c r="H7" i="5869"/>
  <c r="C17" i="5869"/>
  <c r="H32" i="5869"/>
  <c r="H2" i="5869"/>
  <c r="H20" i="5869"/>
  <c r="C18" i="5869"/>
  <c r="H35" i="5869"/>
  <c r="H51" i="5869"/>
  <c r="H25" i="5869"/>
  <c r="H26" i="5869"/>
  <c r="H28" i="5869"/>
  <c r="H29" i="5869"/>
  <c r="H31" i="5869"/>
  <c r="H33" i="5869"/>
  <c r="H36" i="5869"/>
  <c r="H40" i="5869"/>
  <c r="H44" i="5869"/>
  <c r="H48" i="5869"/>
  <c r="H5" i="5869"/>
  <c r="H12" i="5869"/>
  <c r="H21" i="5869"/>
  <c r="H23" i="5869"/>
  <c r="C19" i="5869"/>
  <c r="H13" i="5869"/>
  <c r="B24" i="5869"/>
  <c r="H34" i="5869"/>
  <c r="H37" i="5869"/>
  <c r="H41" i="5869"/>
  <c r="H45" i="5869"/>
  <c r="H49" i="5869"/>
  <c r="H52" i="5869"/>
  <c r="H11" i="5869"/>
  <c r="H6" i="5869"/>
  <c r="H10" i="5869"/>
  <c r="H16" i="5869"/>
  <c r="H24" i="5869"/>
  <c r="H15" i="5869"/>
  <c r="H27" i="5869"/>
  <c r="H14" i="5869"/>
  <c r="H30" i="5869"/>
  <c r="H18" i="5869"/>
  <c r="H19" i="5869"/>
  <c r="H38" i="5869"/>
  <c r="H42" i="5869"/>
  <c r="H46" i="5869"/>
  <c r="O22" i="5867" l="1"/>
  <c r="O18" i="5867"/>
  <c r="C29" i="5867"/>
  <c r="B26" i="5867"/>
  <c r="B25" i="5867"/>
  <c r="C20" i="5867"/>
  <c r="B17" i="5867"/>
  <c r="H51" i="5867" s="1"/>
  <c r="C16" i="5867"/>
  <c r="C15" i="5867"/>
  <c r="C14" i="5867"/>
  <c r="C13" i="5867"/>
  <c r="O12" i="5867"/>
  <c r="C12" i="5867"/>
  <c r="O11" i="5867"/>
  <c r="C11" i="5867"/>
  <c r="O10" i="5867"/>
  <c r="C10" i="5867"/>
  <c r="C9" i="5867"/>
  <c r="C8" i="5867"/>
  <c r="O7" i="5867"/>
  <c r="C7" i="5867"/>
  <c r="O6" i="5867"/>
  <c r="B6" i="5867"/>
  <c r="O5" i="5867"/>
  <c r="B5" i="5867"/>
  <c r="O4" i="5867"/>
  <c r="O3" i="5867"/>
  <c r="O2" i="5867"/>
  <c r="O19" i="5865"/>
  <c r="O18" i="5865"/>
  <c r="C29" i="5865"/>
  <c r="B26" i="5865"/>
  <c r="B25" i="5865"/>
  <c r="C20" i="5865"/>
  <c r="B17" i="5865"/>
  <c r="H6" i="5865" s="1"/>
  <c r="C16" i="5865"/>
  <c r="C15" i="5865"/>
  <c r="C14" i="5865"/>
  <c r="C13" i="5865"/>
  <c r="O12" i="5865"/>
  <c r="C12" i="5865"/>
  <c r="O11" i="5865"/>
  <c r="C11" i="5865"/>
  <c r="O10" i="5865"/>
  <c r="C10" i="5865"/>
  <c r="C9" i="5865"/>
  <c r="C8" i="5865"/>
  <c r="O7" i="5865"/>
  <c r="C7" i="5865"/>
  <c r="O6" i="5865"/>
  <c r="B6" i="5865"/>
  <c r="O5" i="5865"/>
  <c r="B5" i="5865"/>
  <c r="O4" i="5865"/>
  <c r="O3" i="5865"/>
  <c r="O2" i="5865"/>
  <c r="O17" i="5855"/>
  <c r="O19" i="5863"/>
  <c r="O18" i="5863"/>
  <c r="C29" i="5863"/>
  <c r="B26" i="5863"/>
  <c r="B25" i="5863"/>
  <c r="C20" i="5863"/>
  <c r="B17" i="5863"/>
  <c r="H52" i="5863" s="1"/>
  <c r="C16" i="5863"/>
  <c r="C15" i="5863"/>
  <c r="C14" i="5863"/>
  <c r="C13" i="5863"/>
  <c r="O12" i="5863"/>
  <c r="C12" i="5863"/>
  <c r="O11" i="5863"/>
  <c r="C11" i="5863"/>
  <c r="O10" i="5863"/>
  <c r="C10" i="5863"/>
  <c r="C9" i="5863"/>
  <c r="C8" i="5863"/>
  <c r="O7" i="5863"/>
  <c r="C7" i="5863"/>
  <c r="O6" i="5863"/>
  <c r="B6" i="5863"/>
  <c r="O5" i="5863"/>
  <c r="B5" i="5863"/>
  <c r="O4" i="5863"/>
  <c r="O3" i="5863"/>
  <c r="O2" i="5863"/>
  <c r="O20" i="5855"/>
  <c r="O22" i="5855"/>
  <c r="H12" i="5863" l="1"/>
  <c r="H36" i="5863"/>
  <c r="H14" i="5863"/>
  <c r="H23" i="5863"/>
  <c r="C18" i="5863"/>
  <c r="H2" i="5863"/>
  <c r="H3" i="5863"/>
  <c r="H8" i="5863"/>
  <c r="H7" i="5863"/>
  <c r="H21" i="5863"/>
  <c r="H4" i="5867"/>
  <c r="H3" i="5867"/>
  <c r="H18" i="5867"/>
  <c r="H10" i="5867"/>
  <c r="H41" i="5867"/>
  <c r="H12" i="5867"/>
  <c r="B23" i="5867"/>
  <c r="H44" i="5867"/>
  <c r="H28" i="5867"/>
  <c r="C17" i="5867"/>
  <c r="H34" i="5867"/>
  <c r="H48" i="5867"/>
  <c r="H6" i="5867"/>
  <c r="H2" i="5867"/>
  <c r="H17" i="5867"/>
  <c r="C18" i="5867"/>
  <c r="H37" i="5867"/>
  <c r="H16" i="5867"/>
  <c r="H30" i="5867"/>
  <c r="H31" i="5867"/>
  <c r="H22" i="5867"/>
  <c r="H23" i="5867"/>
  <c r="H33" i="5867"/>
  <c r="H26" i="5867"/>
  <c r="H38" i="5867"/>
  <c r="H27" i="5867"/>
  <c r="H45" i="5867"/>
  <c r="H49" i="5867"/>
  <c r="H5" i="5867"/>
  <c r="H8" i="5867"/>
  <c r="H21" i="5867"/>
  <c r="H29" i="5867"/>
  <c r="C19" i="5867"/>
  <c r="H14" i="5867"/>
  <c r="B24" i="5867"/>
  <c r="H35" i="5867"/>
  <c r="H39" i="5867"/>
  <c r="H42" i="5867"/>
  <c r="H46" i="5867"/>
  <c r="H50" i="5867"/>
  <c r="H52" i="5867"/>
  <c r="H11" i="5867"/>
  <c r="H7" i="5867"/>
  <c r="H9" i="5867"/>
  <c r="H20" i="5867"/>
  <c r="H15" i="5867"/>
  <c r="H19" i="5867"/>
  <c r="H32" i="5867"/>
  <c r="H13" i="5867"/>
  <c r="H24" i="5867"/>
  <c r="H25" i="5867"/>
  <c r="H36" i="5867"/>
  <c r="H40" i="5867"/>
  <c r="H43" i="5867"/>
  <c r="H47" i="5867"/>
  <c r="H2" i="5865"/>
  <c r="H3" i="5865"/>
  <c r="H4" i="5865"/>
  <c r="H11" i="5865"/>
  <c r="H8" i="5865"/>
  <c r="C17" i="5865"/>
  <c r="H14" i="5865"/>
  <c r="H42" i="5865"/>
  <c r="H38" i="5865"/>
  <c r="H20" i="5865"/>
  <c r="H7" i="5865"/>
  <c r="H26" i="5865"/>
  <c r="C18" i="5865"/>
  <c r="B23" i="5865"/>
  <c r="H46" i="5865"/>
  <c r="H52" i="5865"/>
  <c r="H28" i="5865"/>
  <c r="H10" i="5865"/>
  <c r="H13" i="5865"/>
  <c r="H5" i="5865"/>
  <c r="H19" i="5865"/>
  <c r="H27" i="5865"/>
  <c r="H21" i="5865"/>
  <c r="C19" i="5865"/>
  <c r="B24" i="5865"/>
  <c r="H35" i="5865"/>
  <c r="H50" i="5865"/>
  <c r="H29" i="5865"/>
  <c r="H16" i="5865"/>
  <c r="H32" i="5865"/>
  <c r="H15" i="5865"/>
  <c r="H34" i="5865"/>
  <c r="H18" i="5865"/>
  <c r="H36" i="5865"/>
  <c r="H39" i="5865"/>
  <c r="H43" i="5865"/>
  <c r="H47" i="5865"/>
  <c r="H51" i="5865"/>
  <c r="H9" i="5865"/>
  <c r="H17" i="5865"/>
  <c r="H37" i="5865"/>
  <c r="H40" i="5865"/>
  <c r="H44" i="5865"/>
  <c r="H48" i="5865"/>
  <c r="H12" i="5865"/>
  <c r="H30" i="5865"/>
  <c r="H31" i="5865"/>
  <c r="H22" i="5865"/>
  <c r="H33" i="5865"/>
  <c r="H23" i="5865"/>
  <c r="H24" i="5865"/>
  <c r="H25" i="5865"/>
  <c r="H41" i="5865"/>
  <c r="H45" i="5865"/>
  <c r="H49" i="5865"/>
  <c r="H40" i="5863"/>
  <c r="H4" i="5863"/>
  <c r="B23" i="5863"/>
  <c r="H9" i="5863"/>
  <c r="H24" i="5863"/>
  <c r="H16" i="5863"/>
  <c r="H44" i="5863"/>
  <c r="C19" i="5863"/>
  <c r="H11" i="5863"/>
  <c r="H18" i="5863"/>
  <c r="C17" i="5863"/>
  <c r="B24" i="5863"/>
  <c r="H10" i="5863"/>
  <c r="H6" i="5863"/>
  <c r="H13" i="5863"/>
  <c r="H22" i="5863"/>
  <c r="H19" i="5863"/>
  <c r="H32" i="5863"/>
  <c r="H48" i="5863"/>
  <c r="H27" i="5863"/>
  <c r="H15" i="5863"/>
  <c r="H30" i="5863"/>
  <c r="H20" i="5863"/>
  <c r="H35" i="5863"/>
  <c r="H39" i="5863"/>
  <c r="H43" i="5863"/>
  <c r="H47" i="5863"/>
  <c r="H51" i="5863"/>
  <c r="H17" i="5863"/>
  <c r="H25" i="5863"/>
  <c r="H26" i="5863"/>
  <c r="H28" i="5863"/>
  <c r="H29" i="5863"/>
  <c r="H31" i="5863"/>
  <c r="H33" i="5863"/>
  <c r="H37" i="5863"/>
  <c r="H41" i="5863"/>
  <c r="H45" i="5863"/>
  <c r="H49" i="5863"/>
  <c r="H5" i="5863"/>
  <c r="H34" i="5863"/>
  <c r="H38" i="5863"/>
  <c r="H42" i="5863"/>
  <c r="H46" i="5863"/>
  <c r="H50" i="5863"/>
  <c r="O22" i="5861" l="1"/>
  <c r="O20" i="5861"/>
  <c r="C29" i="5861"/>
  <c r="B26" i="5861"/>
  <c r="B25" i="5861"/>
  <c r="C20" i="5861"/>
  <c r="B17" i="5861"/>
  <c r="H19" i="5861" s="1"/>
  <c r="C16" i="5861"/>
  <c r="C15" i="5861"/>
  <c r="C14" i="5861"/>
  <c r="C13" i="5861"/>
  <c r="O12" i="5861"/>
  <c r="C12" i="5861"/>
  <c r="O11" i="5861"/>
  <c r="C11" i="5861"/>
  <c r="O10" i="5861"/>
  <c r="C10" i="5861"/>
  <c r="C9" i="5861"/>
  <c r="C8" i="5861"/>
  <c r="O7" i="5861"/>
  <c r="C7" i="5861"/>
  <c r="O6" i="5861"/>
  <c r="B6" i="5861"/>
  <c r="O5" i="5861"/>
  <c r="B5" i="5861"/>
  <c r="O4" i="5861"/>
  <c r="O3" i="5861"/>
  <c r="O2" i="5861"/>
  <c r="O20" i="5859"/>
  <c r="O19" i="5859"/>
  <c r="C29" i="5859"/>
  <c r="B26" i="5859"/>
  <c r="B25" i="5859"/>
  <c r="C20" i="5859"/>
  <c r="B17" i="5859"/>
  <c r="H52" i="5859" s="1"/>
  <c r="C16" i="5859"/>
  <c r="C15" i="5859"/>
  <c r="C14" i="5859"/>
  <c r="C13" i="5859"/>
  <c r="O12" i="5859"/>
  <c r="C12" i="5859"/>
  <c r="O11" i="5859"/>
  <c r="C11" i="5859"/>
  <c r="O10" i="5859"/>
  <c r="C10" i="5859"/>
  <c r="C9" i="5859"/>
  <c r="C8" i="5859"/>
  <c r="O7" i="5859"/>
  <c r="C7" i="5859"/>
  <c r="O6" i="5859"/>
  <c r="B6" i="5859"/>
  <c r="O5" i="5859"/>
  <c r="B5" i="5859"/>
  <c r="O4" i="5859"/>
  <c r="O3" i="5859"/>
  <c r="O2" i="5859"/>
  <c r="O18" i="5855"/>
  <c r="O16" i="5857"/>
  <c r="O18" i="5857"/>
  <c r="C29" i="5857"/>
  <c r="B26" i="5857"/>
  <c r="B25" i="5857"/>
  <c r="C20" i="5857"/>
  <c r="B17" i="5857"/>
  <c r="H50" i="5857" s="1"/>
  <c r="C16" i="5857"/>
  <c r="C15" i="5857"/>
  <c r="C14" i="5857"/>
  <c r="C13" i="5857"/>
  <c r="O12" i="5857"/>
  <c r="C12" i="5857"/>
  <c r="O11" i="5857"/>
  <c r="C11" i="5857"/>
  <c r="O10" i="5857"/>
  <c r="C10" i="5857"/>
  <c r="C9" i="5857"/>
  <c r="C8" i="5857"/>
  <c r="O7" i="5857"/>
  <c r="C7" i="5857"/>
  <c r="O6" i="5857"/>
  <c r="B6" i="5857"/>
  <c r="O5" i="5857"/>
  <c r="B5" i="5857"/>
  <c r="O4" i="5857"/>
  <c r="O3" i="5857"/>
  <c r="O2" i="5857"/>
  <c r="O19" i="5855"/>
  <c r="O23" i="5855"/>
  <c r="C29" i="5855"/>
  <c r="B26" i="5855"/>
  <c r="B25" i="5855"/>
  <c r="C20" i="5855"/>
  <c r="B17" i="5855"/>
  <c r="H51" i="5855" s="1"/>
  <c r="C16" i="5855"/>
  <c r="C15" i="5855"/>
  <c r="C14" i="5855"/>
  <c r="C13" i="5855"/>
  <c r="O12" i="5855"/>
  <c r="C12" i="5855"/>
  <c r="O11" i="5855"/>
  <c r="C11" i="5855"/>
  <c r="O10" i="5855"/>
  <c r="C10" i="5855"/>
  <c r="C9" i="5855"/>
  <c r="C8" i="5855"/>
  <c r="O7" i="5855"/>
  <c r="C7" i="5855"/>
  <c r="O6" i="5855"/>
  <c r="B6" i="5855"/>
  <c r="O5" i="5855"/>
  <c r="B5" i="5855"/>
  <c r="O4" i="5855"/>
  <c r="O3" i="5855"/>
  <c r="O2" i="5855"/>
  <c r="H4" i="5859" l="1"/>
  <c r="H2" i="5861"/>
  <c r="H5" i="5861"/>
  <c r="H3" i="5861"/>
  <c r="H15" i="5855"/>
  <c r="H24" i="5857"/>
  <c r="H5" i="5857"/>
  <c r="H11" i="5861"/>
  <c r="C17" i="5861"/>
  <c r="H28" i="5861"/>
  <c r="H33" i="5861"/>
  <c r="H49" i="5861"/>
  <c r="B24" i="5861"/>
  <c r="H38" i="5861"/>
  <c r="H46" i="5861"/>
  <c r="H52" i="5861"/>
  <c r="H10" i="5861"/>
  <c r="H6" i="5861"/>
  <c r="H12" i="5861"/>
  <c r="H20" i="5861"/>
  <c r="H18" i="5861"/>
  <c r="H17" i="5861"/>
  <c r="H24" i="5861"/>
  <c r="H13" i="5861"/>
  <c r="H32" i="5861"/>
  <c r="H16" i="5861"/>
  <c r="H26" i="5861"/>
  <c r="H39" i="5861"/>
  <c r="H43" i="5861"/>
  <c r="H47" i="5861"/>
  <c r="H51" i="5861"/>
  <c r="H29" i="5861"/>
  <c r="H30" i="5861"/>
  <c r="H31" i="5861"/>
  <c r="H34" i="5861"/>
  <c r="H37" i="5861"/>
  <c r="H41" i="5861"/>
  <c r="H45" i="5861"/>
  <c r="H4" i="5861"/>
  <c r="H9" i="5861"/>
  <c r="H21" i="5861"/>
  <c r="H23" i="5861"/>
  <c r="C19" i="5861"/>
  <c r="H14" i="5861"/>
  <c r="H35" i="5861"/>
  <c r="H42" i="5861"/>
  <c r="H50" i="5861"/>
  <c r="H7" i="5861"/>
  <c r="H22" i="5861"/>
  <c r="H27" i="5861"/>
  <c r="H15" i="5861"/>
  <c r="C18" i="5861"/>
  <c r="B23" i="5861"/>
  <c r="H8" i="5861"/>
  <c r="H25" i="5861"/>
  <c r="H36" i="5861"/>
  <c r="H40" i="5861"/>
  <c r="H44" i="5861"/>
  <c r="H48" i="5861"/>
  <c r="H4" i="5855"/>
  <c r="H7" i="5859"/>
  <c r="H30" i="5859"/>
  <c r="H31" i="5859"/>
  <c r="H15" i="5859"/>
  <c r="C18" i="5859"/>
  <c r="B23" i="5859"/>
  <c r="H25" i="5859"/>
  <c r="H41" i="5859"/>
  <c r="H2" i="5859"/>
  <c r="H13" i="5859"/>
  <c r="H3" i="5859"/>
  <c r="H22" i="5859"/>
  <c r="H24" i="5859"/>
  <c r="H19" i="5859"/>
  <c r="H20" i="5859"/>
  <c r="C17" i="5859"/>
  <c r="H12" i="5859"/>
  <c r="H8" i="5859"/>
  <c r="H28" i="5859"/>
  <c r="H47" i="5859"/>
  <c r="B24" i="5859"/>
  <c r="H44" i="5859"/>
  <c r="H9" i="5859"/>
  <c r="H17" i="5859"/>
  <c r="H10" i="5859"/>
  <c r="H6" i="5859"/>
  <c r="H11" i="5859"/>
  <c r="H26" i="5859"/>
  <c r="H21" i="5859"/>
  <c r="H14" i="5859"/>
  <c r="H40" i="5859"/>
  <c r="H51" i="5859"/>
  <c r="H48" i="5859"/>
  <c r="C19" i="5859"/>
  <c r="H18" i="5859"/>
  <c r="H37" i="5859"/>
  <c r="H45" i="5859"/>
  <c r="H16" i="5859"/>
  <c r="H32" i="5859"/>
  <c r="H33" i="5859"/>
  <c r="H23" i="5859"/>
  <c r="H34" i="5859"/>
  <c r="H27" i="5859"/>
  <c r="H35" i="5859"/>
  <c r="H38" i="5859"/>
  <c r="H42" i="5859"/>
  <c r="H46" i="5859"/>
  <c r="H49" i="5859"/>
  <c r="H5" i="5859"/>
  <c r="H36" i="5859"/>
  <c r="H39" i="5859"/>
  <c r="H43" i="5859"/>
  <c r="H29" i="5859"/>
  <c r="H50" i="5859"/>
  <c r="H13" i="5857"/>
  <c r="H3" i="5857"/>
  <c r="H39" i="5857"/>
  <c r="H23" i="5857"/>
  <c r="B23" i="5857"/>
  <c r="H43" i="5857"/>
  <c r="H9" i="5857"/>
  <c r="H8" i="5857"/>
  <c r="H32" i="5857"/>
  <c r="H47" i="5857"/>
  <c r="C17" i="5857"/>
  <c r="H2" i="5857"/>
  <c r="H22" i="5857"/>
  <c r="C18" i="5857"/>
  <c r="H35" i="5857"/>
  <c r="H51" i="5857"/>
  <c r="H26" i="5857"/>
  <c r="H27" i="5857"/>
  <c r="H29" i="5857"/>
  <c r="H30" i="5857"/>
  <c r="H31" i="5857"/>
  <c r="H21" i="5857"/>
  <c r="H36" i="5857"/>
  <c r="H40" i="5857"/>
  <c r="H44" i="5857"/>
  <c r="H48" i="5857"/>
  <c r="H4" i="5857"/>
  <c r="H7" i="5857"/>
  <c r="H19" i="5857"/>
  <c r="H20" i="5857"/>
  <c r="C19" i="5857"/>
  <c r="H11" i="5857"/>
  <c r="B24" i="5857"/>
  <c r="H33" i="5857"/>
  <c r="H37" i="5857"/>
  <c r="H41" i="5857"/>
  <c r="H45" i="5857"/>
  <c r="H49" i="5857"/>
  <c r="H52" i="5857"/>
  <c r="H12" i="5857"/>
  <c r="H6" i="5857"/>
  <c r="H10" i="5857"/>
  <c r="H18" i="5857"/>
  <c r="H25" i="5857"/>
  <c r="H14" i="5857"/>
  <c r="H28" i="5857"/>
  <c r="H15" i="5857"/>
  <c r="H17" i="5857"/>
  <c r="H16" i="5857"/>
  <c r="H34" i="5857"/>
  <c r="H38" i="5857"/>
  <c r="H42" i="5857"/>
  <c r="H46" i="5857"/>
  <c r="H9" i="5855"/>
  <c r="H3" i="5855"/>
  <c r="H42" i="5855"/>
  <c r="H45" i="5855"/>
  <c r="H7" i="5855"/>
  <c r="H21" i="5855"/>
  <c r="H48" i="5855"/>
  <c r="H11" i="5855"/>
  <c r="H35" i="5855"/>
  <c r="B23" i="5855"/>
  <c r="C17" i="5855"/>
  <c r="H2" i="5855"/>
  <c r="H23" i="5855"/>
  <c r="C18" i="5855"/>
  <c r="H39" i="5855"/>
  <c r="H16" i="5855"/>
  <c r="H36" i="5855"/>
  <c r="H37" i="5855"/>
  <c r="H25" i="5855"/>
  <c r="H30" i="5855"/>
  <c r="H31" i="5855"/>
  <c r="H28" i="5855"/>
  <c r="H32" i="5855"/>
  <c r="H33" i="5855"/>
  <c r="H46" i="5855"/>
  <c r="H49" i="5855"/>
  <c r="H5" i="5855"/>
  <c r="H8" i="5855"/>
  <c r="H20" i="5855"/>
  <c r="H24" i="5855"/>
  <c r="C19" i="5855"/>
  <c r="H13" i="5855"/>
  <c r="B24" i="5855"/>
  <c r="H38" i="5855"/>
  <c r="H40" i="5855"/>
  <c r="H43" i="5855"/>
  <c r="H34" i="5855"/>
  <c r="H50" i="5855"/>
  <c r="H52" i="5855"/>
  <c r="H10" i="5855"/>
  <c r="H6" i="5855"/>
  <c r="H12" i="5855"/>
  <c r="H22" i="5855"/>
  <c r="H19" i="5855"/>
  <c r="H17" i="5855"/>
  <c r="H27" i="5855"/>
  <c r="H14" i="5855"/>
  <c r="H26" i="5855"/>
  <c r="H18" i="5855"/>
  <c r="H29" i="5855"/>
  <c r="H41" i="5855"/>
  <c r="H44" i="5855"/>
  <c r="H47" i="5855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<sst xmlns="http://schemas.openxmlformats.org/spreadsheetml/2006/main" count="2857" uniqueCount="249">
  <si>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</si>
  <si>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</si>
  <si>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</si>
  <si>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</si>
  <si>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</si>
  <si>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</si>
  <si>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</si>
  <si>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</si>
  <si>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</si>
  <si>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</si>
  <si>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</si>
  <si>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</si>
  <si>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</si>
  <si>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</si>
  <si>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</si>
  <si>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</si>
  <si>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</si>
  <si>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</si>
  <si>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</si>
  <si>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</si>
  <si>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</si>
  <si>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</si>
  <si>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</si>
  <si>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</si>
  <si>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</si>
  <si>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</si>
  <si>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</si>
  <si>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</si>
  <si>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</si>
  <si>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</si>
  <si>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</si>
  <si>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</si>
  <si>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</si>
  <si>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</si>
  <si>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</si>
  <si>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</si>
  <si>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</si>
  <si>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</si>
  <si>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</si>
  <si>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</si>
  <si>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</si>
  <si>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</si>
  <si>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</si>
  <si>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</si>
  <si>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</si>
  <si>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</si>
  <si>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</si>
  <si>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</si>
  <si>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</si>
  <si>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</si>
  <si>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</si>
  <si>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</si>
  <si>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</si>
  <si>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</si>
  <si>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</si>
  <si>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</si>
  <si>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</si>
  <si>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</si>
  <si>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</si>
  <si>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</si>
  <si>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</si>
  <si>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</si>
  <si>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</si>
  <si>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</si>
  <si>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</si>
  <si>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</si>
  <si>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</si>
  <si>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</si>
  <si>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</si>
  <si>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</si>
  <si>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</si>
  <si>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</si>
  <si>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</si>
  <si>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</si>
  <si>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</si>
  <si>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</si>
  <si>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</si>
  <si>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</si>
  <si>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</si>
  <si>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</si>
  <si>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</si>
  <si>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</si>
  <si>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</si>
  <si>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</si>
  <si>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</si>
  <si>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</si>
  <si>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</si>
  <si>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</si>
  <si>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</si>
  <si>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</si>
  <si>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</si>
  <si>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</si>
  <si>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</si>
  <si>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</si>
  <si>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</si>
  <si>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</si>
  <si>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</si>
  <si>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</si>
  <si>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</si>
  <si>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</si>
  <si>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</si>
  <si>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</si>
  <si>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</si>
  <si>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</si>
  <si>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</si>
  <si>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</si>
  <si>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</si>
  <si>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</si>
  <si>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</si>
  <si>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</si>
  <si>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</si>
  <si>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</si>
  <si>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</si>
  <si>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</si>
  <si>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</si>
  <si>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</si>
  <si>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</si>
  <si>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</si>
  <si>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</si>
  <si>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</si>
  <si>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</si>
  <si>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</si>
  <si>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</si>
  <si>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</si>
  <si>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</si>
  <si>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</si>
  <si>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</si>
  <si>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</si>
  <si>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</si>
  <si>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</si>
  <si>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</si>
  <si>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</si>
  <si>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</si>
  <si>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</si>
  <si>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</si>
  <si>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</si>
  <si>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</si>
  <si>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</si>
  <si>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</si>
  <si>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</si>
  <si>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</si>
  <si>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</si>
  <si>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</si>
  <si>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</si>
  <si>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</si>
  <si>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</si>
  <si>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</si>
  <si>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</si>
  <si>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</si>
  <si>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</si>
  <si>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</si>
  <si>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</si>
  <si>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</si>
  <si>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</si>
  <si>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</si>
  <si>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</si>
  <si>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</si>
  <si>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</si>
  <si>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</si>
  <si>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</si>
  <si>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</si>
  <si>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</si>
  <si>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</si>
  <si>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</si>
  <si>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</si>
  <si>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</si>
  <si>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</si>
  <si>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</si>
  <si>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</si>
  <si>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</si>
  <si>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</si>
  <si>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</si>
  <si>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</si>
  <si>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</si>
  <si>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</si>
  <si>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</si>
  <si>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</si>
  <si>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</si>
  <si>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</si>
  <si>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</si>
  <si>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</si>
  <si>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</si>
  <si>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</si>
  <si>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</si>
  <si>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</si>
  <si>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</si>
  <si>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</si>
  <si>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</si>
  <si>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</si>
  <si>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</si>
  <si>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</si>
  <si>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</si>
  <si>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</si>
  <si>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</si>
  <si>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</si>
  <si>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</si>
  <si>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</si>
  <si>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</si>
  <si>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</si>
  <si>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</si>
  <si>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</si>
  <si>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</si>
  <si>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</si>
  <si>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</si>
  <si>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</si>
  <si>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</si>
  <si>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</si>
  <si>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</si>
  <si>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</si>
  <si>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</si>
  <si>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</si>
  <si>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</si>
  <si>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</si>
  <si>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</si>
  <si>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</si>
  <si>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</si>
  <si>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</si>
  <si>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</si>
  <si>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</si>
  <si>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</si>
  <si>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</si>
  <si>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</si>
  <si>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</si>
  <si>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</si>
  <si>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</si>
  <si>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</si>
  <si>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</si>
  <si>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</si>
  <si>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</si>
  <si>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</si>
  <si>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</si>
  <si>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</si>
  <si>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</si>
  <si>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</si>
  <si>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</si>
  <si>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</si>
  <si>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</si>
  <si>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2019-11-01@4.xlsm</t>
  </si>
  <si>
    <t>2019-11-01@2.xlsm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</si>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</sst>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全体!$L$2:$L$575</c:f>
              <c:numCache>
                <c:formatCode>\+0.0;\-0.0;\±0</c:formatCode>
                <c:ptCount val="57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69-4D36-9099-E403D23B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-22.807017543859651</c:v>
                </c:pt>
                <c:pt idx="1">
                  <c:v>8.9605734767025087</c:v>
                </c:pt>
                <c:pt idx="2">
                  <c:v>-13.182674199623353</c:v>
                </c:pt>
                <c:pt idx="3">
                  <c:v>7.9840319361277441</c:v>
                </c:pt>
                <c:pt idx="4">
                  <c:v>12.903225806451612</c:v>
                </c:pt>
                <c:pt idx="5">
                  <c:v>13.227513227513228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0-4DCE-A0CC-525D8C6BBA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たかの!$L$2:$L$53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37-4418-B05B-CCC37AE08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1382.3529411764705</c:v>
                </c:pt>
                <c:pt idx="1">
                  <c:v>-948</c:v>
                </c:pt>
                <c:pt idx="2">
                  <c:v>-1997.9166666666667</c:v>
                </c:pt>
                <c:pt idx="3">
                  <c:v>-1374.4680851063829</c:v>
                </c:pt>
                <c:pt idx="4">
                  <c:v>-121.27659574468085</c:v>
                </c:pt>
                <c:pt idx="5">
                  <c:v>-1772.5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C-49C4-ABA4-49CB0A757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だいち!$L$2:$L$123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4D-4BF6-BE4A-0CAA35406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1340.8333333333333</c:v>
                </c:pt>
                <c:pt idx="1">
                  <c:v>922.22222222222217</c:v>
                </c:pt>
                <c:pt idx="2">
                  <c:v>986.72566371681421</c:v>
                </c:pt>
                <c:pt idx="3">
                  <c:v>175.96153846153845</c:v>
                </c:pt>
                <c:pt idx="4">
                  <c:v>1991.7525773195875</c:v>
                </c:pt>
                <c:pt idx="5">
                  <c:v>2606.4935064935066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C7-4DB9-8BF3-6BC52EAFE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ただ!$L$2:$L$108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D6-4835-A82E-9D7C9EC10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-1856.1904761904761</c:v>
                </c:pt>
                <c:pt idx="1">
                  <c:v>1070.8737864077671</c:v>
                </c:pt>
                <c:pt idx="2">
                  <c:v>-8.2474226804123703</c:v>
                </c:pt>
                <c:pt idx="3">
                  <c:v>685.71428571428567</c:v>
                </c:pt>
                <c:pt idx="4">
                  <c:v>-915.47619047619048</c:v>
                </c:pt>
                <c:pt idx="5">
                  <c:v>1361.4285714285713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2-42CE-ACDD-FCC053D2E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りくと!$L$2:$L$69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4-49FD-8194-A7971624C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68.181818181818187</c:v>
                </c:pt>
                <c:pt idx="1">
                  <c:v>-834.84848484848487</c:v>
                </c:pt>
                <c:pt idx="2">
                  <c:v>175.80645161290323</c:v>
                </c:pt>
                <c:pt idx="3">
                  <c:v>-1378.688524590164</c:v>
                </c:pt>
                <c:pt idx="4">
                  <c:v>-3265.5172413793102</c:v>
                </c:pt>
                <c:pt idx="5">
                  <c:v>-1190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81-4A53-935C-B625E9102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9E-41EB-A6B5-6D958486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1454.5454545454545</c:v>
                </c:pt>
                <c:pt idx="1">
                  <c:v>-2165.625</c:v>
                </c:pt>
                <c:pt idx="2">
                  <c:v>1253.3333333333333</c:v>
                </c:pt>
                <c:pt idx="3">
                  <c:v>3556.1403508771928</c:v>
                </c:pt>
                <c:pt idx="4">
                  <c:v>832.07547169811323</c:v>
                </c:pt>
                <c:pt idx="5">
                  <c:v>-305.12820512820514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D-4C37-A15E-1593DF1C5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まっつん!$L$2:$L$94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B2-4496-A1D5-744524F7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932.60869565217388</c:v>
                </c:pt>
                <c:pt idx="1">
                  <c:v>582.02247191011236</c:v>
                </c:pt>
                <c:pt idx="2">
                  <c:v>-631.32530120481931</c:v>
                </c:pt>
                <c:pt idx="3">
                  <c:v>-15.789473684210526</c:v>
                </c:pt>
                <c:pt idx="4">
                  <c:v>-676.11940298507466</c:v>
                </c:pt>
                <c:pt idx="5">
                  <c:v>-814.03508771929819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D7-46D8-8245-64C5EDC05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のり!$L$2:$L$39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D2-4FCE-AAE1-31201BE31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-3375.6756756756758</c:v>
                </c:pt>
                <c:pt idx="1">
                  <c:v>240.54054054054055</c:v>
                </c:pt>
                <c:pt idx="2">
                  <c:v>-1297.2972972972973</c:v>
                </c:pt>
                <c:pt idx="3">
                  <c:v>-2179.4117647058824</c:v>
                </c:pt>
                <c:pt idx="4">
                  <c:v>-1615.1515151515152</c:v>
                </c:pt>
                <c:pt idx="5">
                  <c:v>-3600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7-469A-B478-8598742B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ぱぱ!$L$2:$L$26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3B-445F-9080-52278071B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-3145.8333333333335</c:v>
                </c:pt>
                <c:pt idx="1">
                  <c:v>-1225</c:v>
                </c:pt>
                <c:pt idx="2">
                  <c:v>1560.8695652173913</c:v>
                </c:pt>
                <c:pt idx="3">
                  <c:v>-2230.4347826086955</c:v>
                </c:pt>
                <c:pt idx="4">
                  <c:v>5409.5238095238092</c:v>
                </c:pt>
                <c:pt idx="5">
                  <c:v>112.5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23-4E49-88E1-2811263FF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6B-43B3-86B1-FC4CFD7B4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58-4824-906C-812514C8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0A-422A-9120-C93635261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9E-4E08-8DEE-7214F559A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れんたろう2!$B$3:$B$69</c:f>
              <c:numCache>
                <c:formatCode>\+0.0;\-0.0;\±0</c:formatCode>
                <c:ptCount val="6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れんたろう2!$C$3:$C$69</c:f>
              <c:numCache>
                <c:formatCode>\+0.0;\-0.0;\±0</c:formatCode>
                <c:ptCount val="67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402380707863898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れんたろう2!$D$3:$D$69</c:f>
              <c:numCache>
                <c:formatCode>0.00\ "位"</c:formatCode>
                <c:ptCount val="67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れんたろう2!$E$3:$E$69</c:f>
              <c:numCache>
                <c:formatCode>0.0%</c:formatCode>
                <c:ptCount val="6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れんたろう2!$F$3:$F$69</c:f>
              <c:numCache>
                <c:formatCode>0.0%</c:formatCode>
                <c:ptCount val="6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れんたろう2!$G$3:$G$69</c:f>
              <c:numCache>
                <c:formatCode>0.0%</c:formatCode>
                <c:ptCount val="67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8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れんたろう2!$H$3:$H$69</c:f>
              <c:numCache>
                <c:formatCode>0.0%</c:formatCode>
                <c:ptCount val="67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124999999999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れんたろう2!$I$3:$I$69</c:f>
              <c:numCache>
                <c:formatCode>0</c:formatCode>
                <c:ptCount val="67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1.08910891089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れんたろう2!$J$3:$J$69</c:f>
              <c:numCache>
                <c:formatCode>0</c:formatCode>
                <c:ptCount val="67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50.19157088122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れんたろう2!$K$3:$K$69</c:f>
              <c:numCache>
                <c:formatCode>0.0%</c:formatCode>
                <c:ptCount val="6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24083769633508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れんたろう2!$L$3:$L$69</c:f>
              <c:numCache>
                <c:formatCode>0.0%</c:formatCode>
                <c:ptCount val="6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0.22222222222222221</c:v>
                </c:pt>
                <c:pt idx="28">
                  <c:v>0.21428571428571427</c:v>
                </c:pt>
                <c:pt idx="29">
                  <c:v>0.20689655172413793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0.21875</c:v>
                </c:pt>
                <c:pt idx="33">
                  <c:v>0.21212121212121213</c:v>
                </c:pt>
                <c:pt idx="34">
                  <c:v>0.20588235294117646</c:v>
                </c:pt>
                <c:pt idx="35">
                  <c:v>0.2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0.17777777777777778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0.20833333333333334</c:v>
                </c:pt>
                <c:pt idx="49">
                  <c:v>0.20408163265306123</c:v>
                </c:pt>
                <c:pt idx="50">
                  <c:v>0.22</c:v>
                </c:pt>
                <c:pt idx="51">
                  <c:v>0.21568627450980393</c:v>
                </c:pt>
                <c:pt idx="52">
                  <c:v>0.21153846153846154</c:v>
                </c:pt>
                <c:pt idx="53">
                  <c:v>0.20754716981132076</c:v>
                </c:pt>
                <c:pt idx="54">
                  <c:v>0.20370370370370369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0.19298245614035087</c:v>
                </c:pt>
                <c:pt idx="58">
                  <c:v>0.18965517241379309</c:v>
                </c:pt>
                <c:pt idx="59">
                  <c:v>0.20338983050847459</c:v>
                </c:pt>
                <c:pt idx="60">
                  <c:v>0.2</c:v>
                </c:pt>
                <c:pt idx="61">
                  <c:v>0.19672131147540983</c:v>
                </c:pt>
                <c:pt idx="62">
                  <c:v>0.19354838709677419</c:v>
                </c:pt>
                <c:pt idx="63">
                  <c:v>0.19047619047619047</c:v>
                </c:pt>
                <c:pt idx="64">
                  <c:v>0.1875</c:v>
                </c:pt>
                <c:pt idx="65">
                  <c:v>0.18461538461538463</c:v>
                </c:pt>
                <c:pt idx="66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24083769633508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れんたろう2!$M$3:$M$69</c:f>
              <c:numCache>
                <c:formatCode>0.0%</c:formatCode>
                <c:ptCount val="67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333333333333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れんたろう2!$N$3:$N$69</c:f>
              <c:numCache>
                <c:formatCode>0.0%</c:formatCode>
                <c:ptCount val="67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8124999999999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れんたろう2!$O$3:$O$69</c:f>
              <c:numCache>
                <c:formatCode>0.0%</c:formatCode>
                <c:ptCount val="67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0855263157894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れんたろう2!$P$3:$P$69</c:f>
              <c:numCache>
                <c:formatCode>0.0%</c:formatCode>
                <c:ptCount val="67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0045662100456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れんたろう2!$Q$1:$Q$2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れんたろう2!$A$3:$A$69</c:f>
              <c:numCache>
                <c:formatCode>0\ "回"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れんたろう2!$Q$3:$Q$69</c:f>
              <c:numCache>
                <c:formatCode>0.0%</c:formatCode>
                <c:ptCount val="67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301272984441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57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9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9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9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9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9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9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9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9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9" x14ac:dyDescent="0.4">
      <c r="A41" s="28" t="s">
        <v>232</v>
      </c>
      <c r="B41" s="29">
        <v>43766.037835648145</v>
      </c>
      <c r="C41" s="28" t="s">
        <v>128</v>
      </c>
    </row>
    <row r="42" spans="1:9" x14ac:dyDescent="0.4">
      <c r="A42" s="28" t="s">
        <v>233</v>
      </c>
      <c r="B42" s="29">
        <v>43766.89675925926</v>
      </c>
      <c r="C42" s="28" t="s">
        <v>128</v>
      </c>
      <c r="D42" s="28" t="s">
        <v>129</v>
      </c>
      <c r="E42" s="28" t="s">
        <v>184</v>
      </c>
      <c r="F42" s="28" t="s">
        <v>185</v>
      </c>
    </row>
    <row r="43" spans="1:9" x14ac:dyDescent="0.4">
      <c r="A43" s="28" t="s">
        <v>234</v>
      </c>
      <c r="B43" s="29">
        <v>43768.005439814813</v>
      </c>
      <c r="C43" s="28" t="s">
        <v>128</v>
      </c>
      <c r="D43" s="28" t="s">
        <v>129</v>
      </c>
      <c r="E43" s="28" t="s">
        <v>184</v>
      </c>
      <c r="F43" s="28" t="s">
        <v>185</v>
      </c>
      <c r="G43" s="28" t="s">
        <v>186</v>
      </c>
      <c r="H43" s="28" t="s">
        <v>187</v>
      </c>
    </row>
    <row r="44" spans="1:9" x14ac:dyDescent="0.4">
      <c r="A44" s="28" t="s">
        <v>235</v>
      </c>
      <c r="B44" s="29">
        <v>43768.983483796299</v>
      </c>
      <c r="C44" s="28" t="s">
        <v>128</v>
      </c>
      <c r="D44" s="28" t="s">
        <v>129</v>
      </c>
      <c r="E44" s="28" t="s">
        <v>184</v>
      </c>
      <c r="F44" s="28" t="s">
        <v>185</v>
      </c>
    </row>
    <row r="45" spans="1:9" x14ac:dyDescent="0.4">
      <c r="A45" s="28" t="s">
        <v>236</v>
      </c>
      <c r="B45" s="29">
        <v>43770.558391203704</v>
      </c>
      <c r="C45" s="28" t="s">
        <v>128</v>
      </c>
      <c r="D45" s="28" t="s">
        <v>129</v>
      </c>
    </row>
    <row r="46" spans="1:9" x14ac:dyDescent="0.4">
      <c r="A46" s="28" t="s">
        <v>238</v>
      </c>
      <c r="B46" s="29">
        <v>43771.018865740742</v>
      </c>
      <c r="C46" s="28" t="s">
        <v>128</v>
      </c>
      <c r="D46" s="28" t="s">
        <v>129</v>
      </c>
    </row>
    <row r="47" spans="1:9" x14ac:dyDescent="0.4">
      <c r="A47" s="28" t="s">
        <v>237</v>
      </c>
      <c r="B47" s="29">
        <v>43770.815983796296</v>
      </c>
      <c r="C47" s="28" t="s">
        <v>128</v>
      </c>
    </row>
    <row r="48" spans="1:9" x14ac:dyDescent="0.4">
      <c r="A48" s="28" t="s">
        <v>239</v>
      </c>
      <c r="B48" s="29">
        <v>43771.741539351853</v>
      </c>
      <c r="C48" s="28" t="s">
        <v>128</v>
      </c>
      <c r="D48" s="28" t="s">
        <v>129</v>
      </c>
      <c r="E48" s="28" t="s">
        <v>184</v>
      </c>
      <c r="F48" s="28" t="s">
        <v>185</v>
      </c>
      <c r="G48" s="28" t="s">
        <v>186</v>
      </c>
      <c r="H48" s="28" t="s">
        <v>187</v>
      </c>
      <c r="I48" s="28" t="s">
        <v>190</v>
      </c>
    </row>
    <row r="49" spans="1:7" x14ac:dyDescent="0.4">
      <c r="A49" s="28" t="s">
        <v>240</v>
      </c>
      <c r="B49" s="29">
        <v>43772.854699074072</v>
      </c>
      <c r="C49" s="28" t="s">
        <v>128</v>
      </c>
      <c r="D49" s="28" t="s">
        <v>129</v>
      </c>
    </row>
    <row r="50" spans="1:7" x14ac:dyDescent="0.4">
      <c r="A50" s="28" t="s">
        <v>241</v>
      </c>
      <c r="B50" s="29">
        <v>43773.722453703704</v>
      </c>
      <c r="C50" s="28" t="s">
        <v>128</v>
      </c>
    </row>
    <row r="51" spans="1:7" x14ac:dyDescent="0.4">
      <c r="A51" s="28" t="s">
        <v>242</v>
      </c>
      <c r="B51" s="29">
        <v>43780.866018518522</v>
      </c>
      <c r="C51" s="28" t="s">
        <v>128</v>
      </c>
      <c r="D51" s="28" t="s">
        <v>129</v>
      </c>
      <c r="E51" s="28" t="s">
        <v>184</v>
      </c>
      <c r="F51" s="28" t="s">
        <v>185</v>
      </c>
      <c r="G51" s="28" t="s">
        <v>186</v>
      </c>
    </row>
    <row r="52" spans="1:7" x14ac:dyDescent="0.4">
      <c r="A52" s="28" t="s">
        <v>243</v>
      </c>
      <c r="B52" s="29">
        <v>43781.02715277778</v>
      </c>
      <c r="C52" s="28" t="s">
        <v>128</v>
      </c>
      <c r="D52" s="28" t="s">
        <v>129</v>
      </c>
    </row>
    <row r="53" spans="1:7" x14ac:dyDescent="0.4">
      <c r="A53" s="28" t="s">
        <v>244</v>
      </c>
      <c r="B53" s="29">
        <v>43781.637499999997</v>
      </c>
      <c r="C53" s="28" t="s">
        <v>128</v>
      </c>
    </row>
    <row r="54" spans="1:7" x14ac:dyDescent="0.4">
      <c r="A54" s="28" t="s">
        <v>245</v>
      </c>
      <c r="B54" s="29">
        <v>43782.018078703702</v>
      </c>
      <c r="C54" s="28" t="s">
        <v>128</v>
      </c>
      <c r="D54" s="28" t="s">
        <v>129</v>
      </c>
    </row>
    <row r="55" spans="1:7" x14ac:dyDescent="0.4">
      <c r="A55" s="28" t="s">
        <v>246</v>
      </c>
      <c r="B55" s="29">
        <v>43782.830752314818</v>
      </c>
      <c r="C55" s="28" t="s">
        <v>128</v>
      </c>
      <c r="D55" s="28" t="s">
        <v>129</v>
      </c>
      <c r="E55" s="28" t="s">
        <v>184</v>
      </c>
      <c r="F55" s="28" t="s">
        <v>185</v>
      </c>
      <c r="G55" s="28" t="s">
        <v>186</v>
      </c>
    </row>
    <row r="56" spans="1:7" x14ac:dyDescent="0.4">
      <c r="A56" s="28" t="s">
        <v>247</v>
      </c>
      <c r="B56" s="29">
        <v>43783.744745370372</v>
      </c>
      <c r="C56" s="28" t="s">
        <v>128</v>
      </c>
    </row>
    <row r="57" spans="1:7" x14ac:dyDescent="0.4">
      <c r="A57" s="28" t="s">
        <v>248</v>
      </c>
      <c r="B57" s="29">
        <v>43784.974247685182</v>
      </c>
      <c r="C57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573</v>
      </c>
    </row>
    <row r="2" spans="1:2" x14ac:dyDescent="0.4">
      <c r="A2" t="s">
        <v>166</v>
      </c>
      <c r="B2">
        <v>51</v>
      </c>
    </row>
    <row r="3" spans="1:2" x14ac:dyDescent="0.4">
      <c r="A3" t="s">
        <v>126</v>
      </c>
      <c r="B3">
        <v>121</v>
      </c>
    </row>
    <row r="4" spans="1:2" x14ac:dyDescent="0.4">
      <c r="A4" t="s">
        <v>127</v>
      </c>
      <c r="B4">
        <v>106</v>
      </c>
    </row>
    <row r="5" spans="1:2" x14ac:dyDescent="0.4">
      <c r="A5" t="s">
        <v>179</v>
      </c>
      <c r="B5">
        <v>67</v>
      </c>
    </row>
    <row r="6" spans="1:2" x14ac:dyDescent="0.4">
      <c r="A6" t="s">
        <v>177</v>
      </c>
      <c r="B6">
        <v>66</v>
      </c>
    </row>
    <row r="7" spans="1:2" x14ac:dyDescent="0.4">
      <c r="A7" t="s">
        <v>178</v>
      </c>
      <c r="B7">
        <v>92</v>
      </c>
    </row>
    <row r="8" spans="1:2" x14ac:dyDescent="0.4">
      <c r="A8" t="s">
        <v>182</v>
      </c>
      <c r="B8">
        <v>37</v>
      </c>
    </row>
    <row r="9" spans="1:2" x14ac:dyDescent="0.4">
      <c r="A9" t="s">
        <v>181</v>
      </c>
      <c r="B9">
        <v>24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0.99351433735415284</v>
      </c>
      <c r="G2" s="161"/>
      <c r="H2" s="160">
        <v>0.90014042875170586</v>
      </c>
      <c r="I2" s="161"/>
      <c r="J2" s="160">
        <v>0.9186171797461572</v>
      </c>
      <c r="K2" s="161"/>
      <c r="L2" s="160">
        <v>0.84559701328127856</v>
      </c>
      <c r="M2" s="161"/>
      <c r="N2" s="160">
        <v>0.62185256493313035</v>
      </c>
      <c r="O2" s="161"/>
      <c r="P2" s="160">
        <v>0.57822253532294232</v>
      </c>
      <c r="Q2" s="161"/>
      <c r="R2" s="160">
        <v>-0.15878097871997848</v>
      </c>
      <c r="S2" s="161"/>
      <c r="T2" s="160">
        <v>0.54196602056798482</v>
      </c>
      <c r="U2" s="161"/>
      <c r="V2" s="160">
        <v>0.85352885177209226</v>
      </c>
      <c r="W2" s="161"/>
      <c r="X2" s="160">
        <v>0.59464384715004404</v>
      </c>
      <c r="Y2" s="161"/>
      <c r="Z2" s="160">
        <v>-0.10533099528344184</v>
      </c>
      <c r="AA2" s="161"/>
      <c r="AB2" s="160">
        <v>0.41033958592324488</v>
      </c>
      <c r="AC2" s="161"/>
      <c r="AD2" s="160">
        <v>0.49362586650653956</v>
      </c>
      <c r="AE2" s="161"/>
      <c r="AF2" s="160">
        <v>-0.12507352500343358</v>
      </c>
      <c r="AG2" s="161"/>
      <c r="AH2" s="160">
        <v>0.74837218764266966</v>
      </c>
      <c r="AI2" s="161"/>
    </row>
    <row r="3" spans="1:35" x14ac:dyDescent="0.4">
      <c r="A3" s="70">
        <v>1</v>
      </c>
      <c r="B3" s="71" t="s">
        <v>126</v>
      </c>
      <c r="C3" s="72">
        <v>1071.8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10433.333333333334</v>
      </c>
      <c r="R3" s="73" t="s">
        <v>181</v>
      </c>
      <c r="S3" s="77">
        <v>-6836.8421052631575</v>
      </c>
      <c r="T3" s="73" t="s">
        <v>222</v>
      </c>
      <c r="U3" s="75">
        <v>0</v>
      </c>
      <c r="V3" s="73" t="s">
        <v>177</v>
      </c>
      <c r="W3" s="75">
        <v>0.18181818181818182</v>
      </c>
      <c r="X3" s="73" t="s">
        <v>177</v>
      </c>
      <c r="Y3" s="76">
        <v>0.31860036832412525</v>
      </c>
      <c r="Z3" s="73" t="s">
        <v>195</v>
      </c>
      <c r="AA3" s="76">
        <v>0.35483870967741937</v>
      </c>
      <c r="AB3" s="73" t="s">
        <v>126</v>
      </c>
      <c r="AC3" s="76">
        <v>0.59774436090225569</v>
      </c>
      <c r="AD3" s="73" t="s">
        <v>222</v>
      </c>
      <c r="AE3" s="76">
        <v>1</v>
      </c>
      <c r="AF3" s="73" t="s">
        <v>181</v>
      </c>
      <c r="AG3" s="76">
        <v>0.56451612903225812</v>
      </c>
      <c r="AH3" s="73" t="s">
        <v>126</v>
      </c>
      <c r="AI3" s="87">
        <v>149100</v>
      </c>
    </row>
    <row r="4" spans="1:35" x14ac:dyDescent="0.4">
      <c r="A4" s="78">
        <v>2</v>
      </c>
      <c r="B4" s="79" t="s">
        <v>177</v>
      </c>
      <c r="C4" s="80">
        <v>368.80000000000007</v>
      </c>
      <c r="D4" s="81" t="s">
        <v>126</v>
      </c>
      <c r="E4" s="93">
        <v>8.8578512396694205</v>
      </c>
      <c r="F4" s="81" t="s">
        <v>126</v>
      </c>
      <c r="G4" s="82">
        <v>1.7851239669421488</v>
      </c>
      <c r="H4" s="81" t="s">
        <v>126</v>
      </c>
      <c r="I4" s="83">
        <v>0.45454545454545453</v>
      </c>
      <c r="J4" s="81" t="s">
        <v>126</v>
      </c>
      <c r="K4" s="83">
        <v>0.23966942148760331</v>
      </c>
      <c r="L4" s="81" t="s">
        <v>126</v>
      </c>
      <c r="M4" s="84">
        <v>0.34282807731434384</v>
      </c>
      <c r="N4" s="81" t="s">
        <v>126</v>
      </c>
      <c r="O4" s="84">
        <v>0.12919633774160733</v>
      </c>
      <c r="P4" s="81" t="s">
        <v>127</v>
      </c>
      <c r="Q4" s="85">
        <v>8530.3370786516862</v>
      </c>
      <c r="R4" s="81" t="s">
        <v>166</v>
      </c>
      <c r="S4" s="85">
        <v>-6974.2857142857147</v>
      </c>
      <c r="T4" s="81" t="s">
        <v>166</v>
      </c>
      <c r="U4" s="83">
        <v>1.9607843137254902E-2</v>
      </c>
      <c r="V4" s="81" t="s">
        <v>195</v>
      </c>
      <c r="W4" s="83">
        <v>0.14285714285714285</v>
      </c>
      <c r="X4" s="81" t="s">
        <v>179</v>
      </c>
      <c r="Y4" s="84">
        <v>0.2879581151832461</v>
      </c>
      <c r="Z4" s="81" t="s">
        <v>222</v>
      </c>
      <c r="AA4" s="84">
        <v>0.33333333333333331</v>
      </c>
      <c r="AB4" s="81" t="s">
        <v>181</v>
      </c>
      <c r="AC4" s="84">
        <v>0.5901639344262295</v>
      </c>
      <c r="AD4" s="81" t="s">
        <v>126</v>
      </c>
      <c r="AE4" s="84">
        <v>0.48636363636363639</v>
      </c>
      <c r="AF4" s="81" t="s">
        <v>182</v>
      </c>
      <c r="AG4" s="84">
        <v>0.48684210526315791</v>
      </c>
      <c r="AH4" s="81" t="s">
        <v>143</v>
      </c>
      <c r="AI4" s="88">
        <v>149100</v>
      </c>
    </row>
    <row r="5" spans="1:35" x14ac:dyDescent="0.4">
      <c r="A5" s="78">
        <v>3</v>
      </c>
      <c r="B5" s="79" t="s">
        <v>222</v>
      </c>
      <c r="C5" s="80">
        <v>26.2</v>
      </c>
      <c r="D5" s="81" t="s">
        <v>177</v>
      </c>
      <c r="E5" s="93">
        <v>5.5878787878787888</v>
      </c>
      <c r="F5" s="81" t="s">
        <v>177</v>
      </c>
      <c r="G5" s="82">
        <v>1.8787878787878789</v>
      </c>
      <c r="H5" s="81" t="s">
        <v>195</v>
      </c>
      <c r="I5" s="83">
        <v>0.42857142857142855</v>
      </c>
      <c r="J5" s="81" t="s">
        <v>178</v>
      </c>
      <c r="K5" s="83">
        <v>0.27173913043478259</v>
      </c>
      <c r="L5" s="81" t="s">
        <v>127</v>
      </c>
      <c r="M5" s="84">
        <v>0.29899216125419931</v>
      </c>
      <c r="N5" s="81" t="s">
        <v>178</v>
      </c>
      <c r="O5" s="84">
        <v>0.13469387755102041</v>
      </c>
      <c r="P5" s="81" t="s">
        <v>181</v>
      </c>
      <c r="Q5" s="85">
        <v>8456.4516129032254</v>
      </c>
      <c r="R5" s="81" t="s">
        <v>179</v>
      </c>
      <c r="S5" s="85">
        <v>-7662.3931623931621</v>
      </c>
      <c r="T5" s="81" t="s">
        <v>126</v>
      </c>
      <c r="U5" s="83">
        <v>4.1322314049586778E-2</v>
      </c>
      <c r="V5" s="81" t="s">
        <v>181</v>
      </c>
      <c r="W5" s="83">
        <v>0.125</v>
      </c>
      <c r="X5" s="81" t="s">
        <v>126</v>
      </c>
      <c r="Y5" s="84">
        <v>0.27060020345879959</v>
      </c>
      <c r="Z5" s="81" t="s">
        <v>127</v>
      </c>
      <c r="AA5" s="84">
        <v>0.30235162374020158</v>
      </c>
      <c r="AB5" s="81" t="s">
        <v>178</v>
      </c>
      <c r="AC5" s="84">
        <v>0.57653061224489799</v>
      </c>
      <c r="AD5" s="81" t="s">
        <v>177</v>
      </c>
      <c r="AE5" s="84">
        <v>0.44329896907216493</v>
      </c>
      <c r="AF5" s="81" t="s">
        <v>177</v>
      </c>
      <c r="AG5" s="84">
        <v>0.47169811320754718</v>
      </c>
      <c r="AH5" s="81" t="s">
        <v>177</v>
      </c>
      <c r="AI5" s="88">
        <v>103600</v>
      </c>
    </row>
    <row r="6" spans="1:35" x14ac:dyDescent="0.4">
      <c r="A6" s="78">
        <v>4</v>
      </c>
      <c r="B6" s="79" t="s">
        <v>181</v>
      </c>
      <c r="C6" s="80">
        <v>2.1999999999999957</v>
      </c>
      <c r="D6" s="81" t="s">
        <v>181</v>
      </c>
      <c r="E6" s="93">
        <v>9.1666666666666494E-2</v>
      </c>
      <c r="F6" s="81" t="s">
        <v>127</v>
      </c>
      <c r="G6" s="82">
        <v>1.9811320754716981</v>
      </c>
      <c r="H6" s="81" t="s">
        <v>177</v>
      </c>
      <c r="I6" s="83">
        <v>0.42424242424242425</v>
      </c>
      <c r="J6" s="81" t="s">
        <v>177</v>
      </c>
      <c r="K6" s="83">
        <v>0.30303030303030304</v>
      </c>
      <c r="L6" s="81" t="s">
        <v>143</v>
      </c>
      <c r="M6" s="84">
        <v>0.29458333333333331</v>
      </c>
      <c r="N6" s="81" t="s">
        <v>166</v>
      </c>
      <c r="O6" s="84">
        <v>0.15250544662309368</v>
      </c>
      <c r="P6" s="81" t="s">
        <v>143</v>
      </c>
      <c r="Q6" s="85">
        <v>8441.0891089108918</v>
      </c>
      <c r="R6" s="81" t="s">
        <v>143</v>
      </c>
      <c r="S6" s="85">
        <v>-7850.1915708812257</v>
      </c>
      <c r="T6" s="81" t="s">
        <v>181</v>
      </c>
      <c r="U6" s="83">
        <v>8.3333333333333329E-2</v>
      </c>
      <c r="V6" s="81" t="s">
        <v>126</v>
      </c>
      <c r="W6" s="83">
        <v>0.12396694214876033</v>
      </c>
      <c r="X6" s="81" t="s">
        <v>178</v>
      </c>
      <c r="Y6" s="84">
        <v>0.26666666666666666</v>
      </c>
      <c r="Z6" s="81" t="s">
        <v>166</v>
      </c>
      <c r="AA6" s="84">
        <v>0.22875816993464052</v>
      </c>
      <c r="AB6" s="81" t="s">
        <v>179</v>
      </c>
      <c r="AC6" s="84">
        <v>0.5757575757575758</v>
      </c>
      <c r="AD6" s="81" t="s">
        <v>178</v>
      </c>
      <c r="AE6" s="84">
        <v>0.41358024691358025</v>
      </c>
      <c r="AF6" s="81" t="s">
        <v>179</v>
      </c>
      <c r="AG6" s="84">
        <v>0.45962732919254656</v>
      </c>
      <c r="AH6" s="81" t="s">
        <v>181</v>
      </c>
      <c r="AI6" s="88">
        <v>95200</v>
      </c>
    </row>
    <row r="7" spans="1:35" x14ac:dyDescent="0.4">
      <c r="A7" s="78">
        <v>5</v>
      </c>
      <c r="B7" s="79" t="s">
        <v>143</v>
      </c>
      <c r="C7" s="80">
        <v>-4.2632564145606011E-14</v>
      </c>
      <c r="D7" s="81" t="s">
        <v>143</v>
      </c>
      <c r="E7" s="93">
        <v>-7.4402380707863898E-17</v>
      </c>
      <c r="F7" s="81" t="s">
        <v>181</v>
      </c>
      <c r="G7" s="82">
        <v>2</v>
      </c>
      <c r="H7" s="81" t="s">
        <v>181</v>
      </c>
      <c r="I7" s="83">
        <v>0.375</v>
      </c>
      <c r="J7" s="81" t="s">
        <v>127</v>
      </c>
      <c r="K7" s="83">
        <v>0.32075471698113206</v>
      </c>
      <c r="L7" s="81" t="s">
        <v>177</v>
      </c>
      <c r="M7" s="84">
        <v>0.29281767955801102</v>
      </c>
      <c r="N7" s="81" t="s">
        <v>177</v>
      </c>
      <c r="O7" s="84">
        <v>0.16022099447513813</v>
      </c>
      <c r="P7" s="81" t="s">
        <v>178</v>
      </c>
      <c r="Q7" s="85">
        <v>8431.9047619047615</v>
      </c>
      <c r="R7" s="81" t="s">
        <v>126</v>
      </c>
      <c r="S7" s="85">
        <v>-7880.3149606299212</v>
      </c>
      <c r="T7" s="81" t="s">
        <v>178</v>
      </c>
      <c r="U7" s="83">
        <v>8.6956521739130432E-2</v>
      </c>
      <c r="V7" s="81" t="s">
        <v>127</v>
      </c>
      <c r="W7" s="83">
        <v>9.4339622641509441E-2</v>
      </c>
      <c r="X7" s="81" t="s">
        <v>222</v>
      </c>
      <c r="Y7" s="84">
        <v>0.26666666666666666</v>
      </c>
      <c r="Z7" s="81" t="s">
        <v>143</v>
      </c>
      <c r="AA7" s="84">
        <v>0.22812499999999999</v>
      </c>
      <c r="AB7" s="81" t="s">
        <v>143</v>
      </c>
      <c r="AC7" s="84">
        <v>0.56085526315789469</v>
      </c>
      <c r="AD7" s="81" t="s">
        <v>143</v>
      </c>
      <c r="AE7" s="84">
        <v>0.41004566210045662</v>
      </c>
      <c r="AF7" s="81" t="s">
        <v>178</v>
      </c>
      <c r="AG7" s="84">
        <v>0.45714285714285713</v>
      </c>
      <c r="AH7" s="81" t="s">
        <v>127</v>
      </c>
      <c r="AI7" s="88">
        <v>91800</v>
      </c>
    </row>
    <row r="8" spans="1:35" x14ac:dyDescent="0.4">
      <c r="A8" s="78">
        <v>6</v>
      </c>
      <c r="B8" s="79" t="s">
        <v>178</v>
      </c>
      <c r="C8" s="80">
        <v>-17.100000000000009</v>
      </c>
      <c r="D8" s="81" t="s">
        <v>178</v>
      </c>
      <c r="E8" s="93">
        <v>-0.1858695652173914</v>
      </c>
      <c r="F8" s="81" t="s">
        <v>143</v>
      </c>
      <c r="G8" s="82">
        <v>2</v>
      </c>
      <c r="H8" s="81" t="s">
        <v>127</v>
      </c>
      <c r="I8" s="83">
        <v>0.33962264150943394</v>
      </c>
      <c r="J8" s="81" t="s">
        <v>143</v>
      </c>
      <c r="K8" s="83">
        <v>0.33333333333333331</v>
      </c>
      <c r="L8" s="81" t="s">
        <v>178</v>
      </c>
      <c r="M8" s="84">
        <v>0.2857142857142857</v>
      </c>
      <c r="N8" s="81" t="s">
        <v>143</v>
      </c>
      <c r="O8" s="84">
        <v>0.16312499999999999</v>
      </c>
      <c r="P8" s="81" t="s">
        <v>126</v>
      </c>
      <c r="Q8" s="85">
        <v>8289.0207715133529</v>
      </c>
      <c r="R8" s="81" t="s">
        <v>182</v>
      </c>
      <c r="S8" s="85">
        <v>-7920.6896551724139</v>
      </c>
      <c r="T8" s="81" t="s">
        <v>179</v>
      </c>
      <c r="U8" s="83">
        <v>8.9552238805970144E-2</v>
      </c>
      <c r="V8" s="81" t="s">
        <v>143</v>
      </c>
      <c r="W8" s="83">
        <v>9.4240837696335081E-2</v>
      </c>
      <c r="X8" s="81" t="s">
        <v>181</v>
      </c>
      <c r="Y8" s="84">
        <v>0.26637554585152839</v>
      </c>
      <c r="Z8" s="81" t="s">
        <v>182</v>
      </c>
      <c r="AA8" s="84">
        <v>0.22727272727272727</v>
      </c>
      <c r="AB8" s="81" t="s">
        <v>177</v>
      </c>
      <c r="AC8" s="84">
        <v>0.56069364161849711</v>
      </c>
      <c r="AD8" s="81" t="s">
        <v>179</v>
      </c>
      <c r="AE8" s="84">
        <v>0.40366972477064222</v>
      </c>
      <c r="AF8" s="81" t="s">
        <v>143</v>
      </c>
      <c r="AG8" s="84">
        <v>0.44130127298444133</v>
      </c>
      <c r="AH8" s="81" t="s">
        <v>178</v>
      </c>
      <c r="AI8" s="88">
        <v>87000</v>
      </c>
    </row>
    <row r="9" spans="1:35" x14ac:dyDescent="0.4">
      <c r="A9" s="78">
        <v>7</v>
      </c>
      <c r="B9" s="79" t="s">
        <v>127</v>
      </c>
      <c r="C9" s="80">
        <v>-48.900000000000212</v>
      </c>
      <c r="D9" s="81" t="s">
        <v>127</v>
      </c>
      <c r="E9" s="93">
        <v>-0.46132075471698314</v>
      </c>
      <c r="F9" s="81" t="s">
        <v>178</v>
      </c>
      <c r="G9" s="82">
        <v>2.0326086956521738</v>
      </c>
      <c r="H9" s="81" t="s">
        <v>166</v>
      </c>
      <c r="I9" s="83">
        <v>0.33333333333333331</v>
      </c>
      <c r="J9" s="81" t="s">
        <v>181</v>
      </c>
      <c r="K9" s="83">
        <v>0.375</v>
      </c>
      <c r="L9" s="81" t="s">
        <v>179</v>
      </c>
      <c r="M9" s="84">
        <v>0.28097731239092494</v>
      </c>
      <c r="N9" s="81" t="s">
        <v>181</v>
      </c>
      <c r="O9" s="84">
        <v>0.16593886462882096</v>
      </c>
      <c r="P9" s="81" t="s">
        <v>179</v>
      </c>
      <c r="Q9" s="85">
        <v>8029.1925465838513</v>
      </c>
      <c r="R9" s="81" t="s">
        <v>178</v>
      </c>
      <c r="S9" s="85">
        <v>-7936.363636363636</v>
      </c>
      <c r="T9" s="81" t="s">
        <v>177</v>
      </c>
      <c r="U9" s="83">
        <v>9.0909090909090912E-2</v>
      </c>
      <c r="V9" s="81" t="s">
        <v>178</v>
      </c>
      <c r="W9" s="83">
        <v>8.6956521739130432E-2</v>
      </c>
      <c r="X9" s="81" t="s">
        <v>143</v>
      </c>
      <c r="Y9" s="84">
        <v>0.25333333333333335</v>
      </c>
      <c r="Z9" s="81" t="s">
        <v>126</v>
      </c>
      <c r="AA9" s="84">
        <v>0.22380467955239064</v>
      </c>
      <c r="AB9" s="81" t="s">
        <v>182</v>
      </c>
      <c r="AC9" s="84">
        <v>0.5423728813559322</v>
      </c>
      <c r="AD9" s="81" t="s">
        <v>182</v>
      </c>
      <c r="AE9" s="84">
        <v>0.4</v>
      </c>
      <c r="AF9" s="81" t="s">
        <v>126</v>
      </c>
      <c r="AG9" s="84">
        <v>0.42433234421364985</v>
      </c>
      <c r="AH9" s="81" t="s">
        <v>166</v>
      </c>
      <c r="AI9" s="88">
        <v>86900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-5.3647058823529425</v>
      </c>
      <c r="F10" s="81" t="s">
        <v>166</v>
      </c>
      <c r="G10" s="82">
        <v>2.1176470588235294</v>
      </c>
      <c r="H10" s="81" t="s">
        <v>143</v>
      </c>
      <c r="I10" s="83">
        <v>0.33333333333333331</v>
      </c>
      <c r="J10" s="81" t="s">
        <v>179</v>
      </c>
      <c r="K10" s="83">
        <v>0.40298507462686567</v>
      </c>
      <c r="L10" s="81" t="s">
        <v>181</v>
      </c>
      <c r="M10" s="84">
        <v>0.27074235807860264</v>
      </c>
      <c r="N10" s="81" t="s">
        <v>182</v>
      </c>
      <c r="O10" s="84">
        <v>0.18831168831168832</v>
      </c>
      <c r="P10" s="81" t="s">
        <v>182</v>
      </c>
      <c r="Q10" s="85">
        <v>7810.5263157894733</v>
      </c>
      <c r="R10" s="81" t="s">
        <v>222</v>
      </c>
      <c r="S10" s="85">
        <v>-8000</v>
      </c>
      <c r="T10" s="81" t="s">
        <v>143</v>
      </c>
      <c r="U10" s="83">
        <v>9.4240837696335081E-2</v>
      </c>
      <c r="V10" s="81" t="s">
        <v>166</v>
      </c>
      <c r="W10" s="83">
        <v>3.9215686274509803E-2</v>
      </c>
      <c r="X10" s="81" t="s">
        <v>195</v>
      </c>
      <c r="Y10" s="84">
        <v>0.24193548387096775</v>
      </c>
      <c r="Z10" s="81" t="s">
        <v>178</v>
      </c>
      <c r="AA10" s="84">
        <v>0.22040816326530613</v>
      </c>
      <c r="AB10" s="81" t="s">
        <v>195</v>
      </c>
      <c r="AC10" s="84">
        <v>0.53333333333333333</v>
      </c>
      <c r="AD10" s="81" t="s">
        <v>166</v>
      </c>
      <c r="AE10" s="84">
        <v>0.37142857142857144</v>
      </c>
      <c r="AF10" s="81" t="s">
        <v>166</v>
      </c>
      <c r="AG10" s="84">
        <v>0.40833333333333333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-273.60000000000008</v>
      </c>
      <c r="D11" s="81" t="s">
        <v>179</v>
      </c>
      <c r="E11" s="93">
        <v>-7.1283582089552233</v>
      </c>
      <c r="F11" s="81" t="s">
        <v>195</v>
      </c>
      <c r="G11" s="82">
        <v>2.1428571428571428</v>
      </c>
      <c r="H11" s="81" t="s">
        <v>178</v>
      </c>
      <c r="I11" s="83">
        <v>0.2391304347826087</v>
      </c>
      <c r="J11" s="81" t="s">
        <v>166</v>
      </c>
      <c r="K11" s="83">
        <v>0.45098039215686275</v>
      </c>
      <c r="L11" s="81" t="s">
        <v>166</v>
      </c>
      <c r="M11" s="84">
        <v>0.26143790849673204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177</v>
      </c>
      <c r="S11" s="85">
        <v>-8096.5517241379312</v>
      </c>
      <c r="T11" s="81" t="s">
        <v>127</v>
      </c>
      <c r="U11" s="83">
        <v>0.14150943396226415</v>
      </c>
      <c r="V11" s="81" t="s">
        <v>179</v>
      </c>
      <c r="W11" s="83">
        <v>2.9850746268656716E-2</v>
      </c>
      <c r="X11" s="81" t="s">
        <v>127</v>
      </c>
      <c r="Y11" s="84">
        <v>0.23180291153415453</v>
      </c>
      <c r="Z11" s="81" t="s">
        <v>179</v>
      </c>
      <c r="AA11" s="84">
        <v>0.19022687609075042</v>
      </c>
      <c r="AB11" s="81" t="s">
        <v>127</v>
      </c>
      <c r="AC11" s="84">
        <v>0.50724637681159424</v>
      </c>
      <c r="AD11" s="81" t="s">
        <v>127</v>
      </c>
      <c r="AE11" s="84">
        <v>0.36296296296296299</v>
      </c>
      <c r="AF11" s="81" t="s">
        <v>127</v>
      </c>
      <c r="AG11" s="84">
        <v>0.4044943820224719</v>
      </c>
      <c r="AH11" s="81" t="s">
        <v>179</v>
      </c>
      <c r="AI11" s="88">
        <v>69500</v>
      </c>
    </row>
    <row r="12" spans="1:35" x14ac:dyDescent="0.4">
      <c r="A12" s="78">
        <v>10</v>
      </c>
      <c r="B12" s="79" t="s">
        <v>179</v>
      </c>
      <c r="C12" s="80">
        <v>-477.59999999999997</v>
      </c>
      <c r="D12" s="81" t="s">
        <v>182</v>
      </c>
      <c r="E12" s="93">
        <v>-14.783783783783786</v>
      </c>
      <c r="F12" s="81" t="s">
        <v>179</v>
      </c>
      <c r="G12" s="82">
        <v>2.1791044776119404</v>
      </c>
      <c r="H12" s="81" t="s">
        <v>179</v>
      </c>
      <c r="I12" s="83">
        <v>0.22388059701492538</v>
      </c>
      <c r="J12" s="81" t="s">
        <v>182</v>
      </c>
      <c r="K12" s="83">
        <v>0.54054054054054057</v>
      </c>
      <c r="L12" s="81" t="s">
        <v>182</v>
      </c>
      <c r="M12" s="84">
        <v>0.24675324675324675</v>
      </c>
      <c r="N12" s="81" t="s">
        <v>127</v>
      </c>
      <c r="O12" s="84">
        <v>0.1948488241881299</v>
      </c>
      <c r="P12" s="81" t="s">
        <v>222</v>
      </c>
      <c r="Q12" s="85">
        <v>7385.7142857142853</v>
      </c>
      <c r="R12" s="81" t="s">
        <v>127</v>
      </c>
      <c r="S12" s="85">
        <v>-8247.1264367816093</v>
      </c>
      <c r="T12" s="81" t="s">
        <v>182</v>
      </c>
      <c r="U12" s="83">
        <v>0.1891891891891892</v>
      </c>
      <c r="V12" s="81" t="s">
        <v>182</v>
      </c>
      <c r="W12" s="83">
        <v>2.7027027027027029E-2</v>
      </c>
      <c r="X12" s="81" t="s">
        <v>182</v>
      </c>
      <c r="Y12" s="84">
        <v>0.19155844155844157</v>
      </c>
      <c r="Z12" s="81" t="s">
        <v>177</v>
      </c>
      <c r="AA12" s="84">
        <v>0.17863720073664824</v>
      </c>
      <c r="AB12" s="81" t="s">
        <v>166</v>
      </c>
      <c r="AC12" s="84">
        <v>0.5</v>
      </c>
      <c r="AD12" s="81" t="s">
        <v>181</v>
      </c>
      <c r="AE12" s="84">
        <v>0.34285714285714286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-547.00000000000011</v>
      </c>
      <c r="D13" s="81" t="s">
        <v>195</v>
      </c>
      <c r="E13" s="93">
        <v>-14.971428571428573</v>
      </c>
      <c r="F13" s="81" t="s">
        <v>182</v>
      </c>
      <c r="G13" s="82">
        <v>2.4054054054054053</v>
      </c>
      <c r="H13" s="81" t="s">
        <v>182</v>
      </c>
      <c r="I13" s="83">
        <v>0.13513513513513514</v>
      </c>
      <c r="J13" s="81" t="s">
        <v>195</v>
      </c>
      <c r="K13" s="83">
        <v>0.5714285714285714</v>
      </c>
      <c r="L13" s="81" t="s">
        <v>195</v>
      </c>
      <c r="M13" s="84">
        <v>0.24193548387096775</v>
      </c>
      <c r="N13" s="81" t="s">
        <v>179</v>
      </c>
      <c r="O13" s="84">
        <v>0.20418848167539266</v>
      </c>
      <c r="P13" s="81" t="s">
        <v>166</v>
      </c>
      <c r="Q13" s="85">
        <v>7172.5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0.15250544662309368</v>
      </c>
      <c r="Z13" s="81" t="s">
        <v>181</v>
      </c>
      <c r="AA13" s="84">
        <v>0.15283842794759825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E3EAE-8F74-44DE-A7F3-F8A50A902D80}">
  <sheetPr codeName="Sheet4"/>
  <dimension ref="A1:Q57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573</v>
      </c>
      <c r="C2" s="149"/>
      <c r="E2" s="58" t="s">
        <v>66</v>
      </c>
      <c r="F2" s="55" t="s">
        <v>22</v>
      </c>
      <c r="G2" s="43">
        <v>1102</v>
      </c>
      <c r="H2" s="128">
        <f>IF(B$17=0,0,G2/B$17)</f>
        <v>0.77934936350777939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-22.807017543859651</v>
      </c>
      <c r="P2" s="114">
        <v>570</v>
      </c>
      <c r="Q2" s="98">
        <v>-13000</v>
      </c>
    </row>
    <row r="3" spans="1:17" x14ac:dyDescent="0.4">
      <c r="A3" s="51" t="s">
        <v>8</v>
      </c>
      <c r="B3" s="150">
        <v>4800</v>
      </c>
      <c r="C3" s="151"/>
      <c r="E3" s="59" t="s">
        <v>72</v>
      </c>
      <c r="F3" s="56" t="s">
        <v>27</v>
      </c>
      <c r="G3" s="44">
        <v>756</v>
      </c>
      <c r="H3" s="129">
        <f>IF(B$17=0,0,G3/B$17)</f>
        <v>0.53465346534653468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8.9605734767025087</v>
      </c>
      <c r="P3" s="115">
        <v>558</v>
      </c>
      <c r="Q3" s="99">
        <v>5000</v>
      </c>
    </row>
    <row r="4" spans="1:17" x14ac:dyDescent="0.4">
      <c r="A4" s="51" t="s">
        <v>6</v>
      </c>
      <c r="B4" s="152">
        <v>-4.2632564145606011E-14</v>
      </c>
      <c r="C4" s="153"/>
      <c r="E4" s="59" t="s">
        <v>64</v>
      </c>
      <c r="F4" s="56" t="s">
        <v>20</v>
      </c>
      <c r="G4" s="44">
        <v>654</v>
      </c>
      <c r="H4" s="129">
        <f>IF(B$17=0,0,G4/B$17)</f>
        <v>0.4625176803394625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-13.182674199623353</v>
      </c>
      <c r="P4" s="115">
        <v>531</v>
      </c>
      <c r="Q4" s="99">
        <v>-7000</v>
      </c>
    </row>
    <row r="5" spans="1:17" x14ac:dyDescent="0.4">
      <c r="A5" s="51" t="s">
        <v>7</v>
      </c>
      <c r="B5" s="154">
        <f>IF(B$2=0,0,B$4/B$2)</f>
        <v>-7.4402380707863898E-17</v>
      </c>
      <c r="C5" s="155"/>
      <c r="E5" s="59" t="s">
        <v>171</v>
      </c>
      <c r="F5" s="56" t="s">
        <v>172</v>
      </c>
      <c r="G5" s="44">
        <v>565</v>
      </c>
      <c r="H5" s="129">
        <f>IF(B$17=0,0,G5/B$17)</f>
        <v>0.39957567185289955</v>
      </c>
      <c r="I5" s="90">
        <v>4</v>
      </c>
      <c r="K5" s="36">
        <v>3</v>
      </c>
      <c r="L5" s="95">
        <v>0</v>
      </c>
      <c r="N5" s="111" t="s">
        <v>133</v>
      </c>
      <c r="O5" s="118">
        <f t="shared" si="0"/>
        <v>7.9840319361277441</v>
      </c>
      <c r="P5" s="115">
        <v>501</v>
      </c>
      <c r="Q5" s="99">
        <v>4000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446</v>
      </c>
      <c r="H6" s="129">
        <f>IF(B$17=0,0,G6/B$17)</f>
        <v>0.31541725601131543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12.903225806451612</v>
      </c>
      <c r="P6" s="115">
        <v>465</v>
      </c>
      <c r="Q6" s="99">
        <v>6000</v>
      </c>
    </row>
    <row r="7" spans="1:17" x14ac:dyDescent="0.4">
      <c r="A7" s="51" t="s">
        <v>2</v>
      </c>
      <c r="B7" s="44">
        <v>191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403</v>
      </c>
      <c r="H7" s="129">
        <f>IF(B$17=0,0,G7/B$17)</f>
        <v>0.28500707213578502</v>
      </c>
      <c r="I7" s="90">
        <v>6</v>
      </c>
      <c r="K7" s="36">
        <v>5</v>
      </c>
      <c r="L7" s="95">
        <v>-11.299999999999997</v>
      </c>
      <c r="N7" s="112" t="s">
        <v>135</v>
      </c>
      <c r="O7" s="119">
        <f t="shared" si="0"/>
        <v>13.227513227513228</v>
      </c>
      <c r="P7" s="116">
        <v>378</v>
      </c>
      <c r="Q7" s="100">
        <v>5000</v>
      </c>
    </row>
    <row r="8" spans="1:17" x14ac:dyDescent="0.4">
      <c r="A8" s="51" t="s">
        <v>3</v>
      </c>
      <c r="B8" s="44">
        <v>191</v>
      </c>
      <c r="C8" s="37">
        <f t="shared" si="1"/>
        <v>0.33333333333333331</v>
      </c>
      <c r="E8" s="59" t="s">
        <v>69</v>
      </c>
      <c r="F8" s="56" t="s">
        <v>24</v>
      </c>
      <c r="G8" s="44">
        <v>213</v>
      </c>
      <c r="H8" s="129">
        <f>IF(B$17=0,0,G8/B$17)</f>
        <v>0.15063649222065065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191</v>
      </c>
      <c r="C9" s="38">
        <f t="shared" si="1"/>
        <v>0.33333333333333331</v>
      </c>
      <c r="E9" s="59" t="s">
        <v>89</v>
      </c>
      <c r="F9" s="56" t="s">
        <v>44</v>
      </c>
      <c r="G9" s="44">
        <v>185</v>
      </c>
      <c r="H9" s="129">
        <f>IF(B$17=0,0,G9/B$17)</f>
        <v>0.13083451202263083</v>
      </c>
      <c r="I9" s="90">
        <v>6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54</v>
      </c>
      <c r="C10" s="38">
        <f t="shared" si="1"/>
        <v>9.4240837696335081E-2</v>
      </c>
      <c r="E10" s="59" t="s">
        <v>65</v>
      </c>
      <c r="F10" s="56" t="s">
        <v>21</v>
      </c>
      <c r="G10" s="44">
        <v>150</v>
      </c>
      <c r="H10" s="129">
        <f>IF(B$17=0,0,G10/B$17)</f>
        <v>0.10608203677510608</v>
      </c>
      <c r="I10" s="90">
        <v>6</v>
      </c>
      <c r="K10" s="36">
        <v>8</v>
      </c>
      <c r="L10" s="95">
        <v>-46.9</v>
      </c>
      <c r="N10" s="110" t="s">
        <v>162</v>
      </c>
      <c r="O10" s="120">
        <f>IF(P10=0,0,Q10/P10)</f>
        <v>-0.78900523560209446</v>
      </c>
      <c r="P10" s="114">
        <v>191</v>
      </c>
      <c r="Q10" s="102">
        <v>-150.70000000000005</v>
      </c>
    </row>
    <row r="11" spans="1:17" x14ac:dyDescent="0.4">
      <c r="A11" s="52" t="s">
        <v>138</v>
      </c>
      <c r="B11" s="45">
        <v>54</v>
      </c>
      <c r="C11" s="38">
        <f t="shared" si="1"/>
        <v>9.4240837696335081E-2</v>
      </c>
      <c r="E11" s="59" t="s">
        <v>70</v>
      </c>
      <c r="F11" s="56" t="s">
        <v>25</v>
      </c>
      <c r="G11" s="44">
        <v>137</v>
      </c>
      <c r="H11" s="129">
        <f>IF(B$17=0,0,G11/B$17)</f>
        <v>9.6888260254596889E-2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0.70994764397905741</v>
      </c>
      <c r="P11" s="115">
        <v>191</v>
      </c>
      <c r="Q11" s="103">
        <v>135.59999999999997</v>
      </c>
    </row>
    <row r="12" spans="1:17" x14ac:dyDescent="0.4">
      <c r="A12" s="53" t="s">
        <v>158</v>
      </c>
      <c r="B12" s="46">
        <v>57</v>
      </c>
      <c r="C12" s="40">
        <f t="shared" si="1"/>
        <v>9.947643979057591E-2</v>
      </c>
      <c r="E12" s="59" t="s">
        <v>71</v>
      </c>
      <c r="F12" s="56" t="s">
        <v>26</v>
      </c>
      <c r="G12" s="44">
        <v>110</v>
      </c>
      <c r="H12" s="129">
        <f>IF(B$17=0,0,G12/B$17)</f>
        <v>7.7793493635077787E-2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7.9057591623035953E-2</v>
      </c>
      <c r="P12" s="116">
        <v>191</v>
      </c>
      <c r="Q12" s="104">
        <v>15.099999999999866</v>
      </c>
    </row>
    <row r="13" spans="1:17" x14ac:dyDescent="0.4">
      <c r="A13" s="54" t="s">
        <v>121</v>
      </c>
      <c r="B13" s="47">
        <v>1216</v>
      </c>
      <c r="C13" s="42">
        <f>IF(B$3=0,0,B13/B$3)</f>
        <v>0.25333333333333335</v>
      </c>
      <c r="E13" s="59" t="s">
        <v>83</v>
      </c>
      <c r="F13" s="56" t="s">
        <v>38</v>
      </c>
      <c r="G13" s="44">
        <v>77</v>
      </c>
      <c r="H13" s="129">
        <f>IF(B$17=0,0,G13/B$17)</f>
        <v>5.4455445544554455E-2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1095</v>
      </c>
      <c r="C14" s="37">
        <f>IF(B$3=0,0,B14/B$3)</f>
        <v>0.22812499999999999</v>
      </c>
      <c r="E14" s="59" t="s">
        <v>86</v>
      </c>
      <c r="F14" s="56" t="s">
        <v>41</v>
      </c>
      <c r="G14" s="44">
        <v>70</v>
      </c>
      <c r="H14" s="129">
        <f>IF(B$17=0,0,G14/B$17)</f>
        <v>4.9504950495049507E-2</v>
      </c>
      <c r="I14" s="90">
        <v>6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682</v>
      </c>
      <c r="C15" s="35">
        <f>IF(B$13=0,0,B15/B$13)</f>
        <v>0.56085526315789469</v>
      </c>
      <c r="E15" s="59" t="s">
        <v>78</v>
      </c>
      <c r="F15" s="56" t="s">
        <v>33</v>
      </c>
      <c r="G15" s="44">
        <v>37</v>
      </c>
      <c r="H15" s="129">
        <f>IF(B$17=0,0,G15/B$17)</f>
        <v>2.6166902404526168E-2</v>
      </c>
      <c r="I15" s="90">
        <v>5</v>
      </c>
      <c r="K15" s="36">
        <v>13</v>
      </c>
      <c r="L15" s="95">
        <v>-1.7</v>
      </c>
      <c r="N15" s="110" t="s">
        <v>195</v>
      </c>
      <c r="O15" s="120">
        <f>IF(P15=0,0,Q15/P15)</f>
        <v>22.457142857142856</v>
      </c>
      <c r="P15" s="114">
        <v>14</v>
      </c>
      <c r="Q15" s="102">
        <v>314.39999999999998</v>
      </c>
    </row>
    <row r="16" spans="1:17" x14ac:dyDescent="0.4">
      <c r="A16" s="50" t="s">
        <v>124</v>
      </c>
      <c r="B16" s="43">
        <v>449</v>
      </c>
      <c r="C16" s="35">
        <f>IF(B$14=0,0,B16/B$14)</f>
        <v>0.41004566210045662</v>
      </c>
      <c r="E16" s="59" t="s">
        <v>167</v>
      </c>
      <c r="F16" s="56" t="s">
        <v>168</v>
      </c>
      <c r="G16" s="44">
        <v>35</v>
      </c>
      <c r="H16" s="129">
        <f>IF(B$17=0,0,G16/B$17)</f>
        <v>2.4752475247524754E-2</v>
      </c>
      <c r="I16" s="90">
        <v>3</v>
      </c>
      <c r="K16" s="36">
        <v>14</v>
      </c>
      <c r="L16" s="95">
        <v>24.3</v>
      </c>
      <c r="N16" s="111" t="s">
        <v>182</v>
      </c>
      <c r="O16" s="121">
        <f>IF(P16=0,0,Q16/P16)</f>
        <v>22.175675675675659</v>
      </c>
      <c r="P16" s="115">
        <v>74</v>
      </c>
      <c r="Q16" s="103">
        <v>1640.9999999999989</v>
      </c>
    </row>
    <row r="17" spans="1:17" x14ac:dyDescent="0.4">
      <c r="A17" s="50" t="s">
        <v>10</v>
      </c>
      <c r="B17" s="43">
        <f>B19+B18</f>
        <v>1414</v>
      </c>
      <c r="C17" s="35">
        <f>IF(B$3=0,0,B17/B$3)</f>
        <v>0.29458333333333331</v>
      </c>
      <c r="E17" s="59" t="s">
        <v>81</v>
      </c>
      <c r="F17" s="56" t="s">
        <v>36</v>
      </c>
      <c r="G17" s="44">
        <v>23</v>
      </c>
      <c r="H17" s="129">
        <f>IF(B$17=0,0,G17/B$17)</f>
        <v>1.6265912305516265E-2</v>
      </c>
      <c r="I17" s="90">
        <v>6</v>
      </c>
      <c r="K17" s="36">
        <v>15</v>
      </c>
      <c r="L17" s="95">
        <v>0</v>
      </c>
      <c r="N17" s="111" t="s">
        <v>179</v>
      </c>
      <c r="O17" s="121">
        <f>IF(P17=0,0,Q17/P17)</f>
        <v>10.692537313432835</v>
      </c>
      <c r="P17" s="115">
        <v>134</v>
      </c>
      <c r="Q17" s="103">
        <v>1432.8</v>
      </c>
    </row>
    <row r="18" spans="1:17" x14ac:dyDescent="0.4">
      <c r="A18" s="51" t="s">
        <v>12</v>
      </c>
      <c r="B18" s="44">
        <v>624</v>
      </c>
      <c r="C18" s="37">
        <f>IF(B$17=0,0,B18/B$17)</f>
        <v>0.44130127298444133</v>
      </c>
      <c r="E18" s="59" t="s">
        <v>91</v>
      </c>
      <c r="F18" s="56" t="s">
        <v>46</v>
      </c>
      <c r="G18" s="44">
        <v>18</v>
      </c>
      <c r="H18" s="129">
        <f>IF(B$17=0,0,G18/B$17)</f>
        <v>1.272984441301273E-2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8.0470588235294098</v>
      </c>
      <c r="P18" s="115">
        <v>102</v>
      </c>
      <c r="Q18" s="103">
        <v>820.79999999999973</v>
      </c>
    </row>
    <row r="19" spans="1:17" x14ac:dyDescent="0.4">
      <c r="A19" s="51" t="s">
        <v>11</v>
      </c>
      <c r="B19" s="44">
        <v>790</v>
      </c>
      <c r="C19" s="37">
        <f>IF(B$17=0,0,B19/B$17)</f>
        <v>0.55869872701555867</v>
      </c>
      <c r="E19" s="59" t="s">
        <v>79</v>
      </c>
      <c r="F19" s="56" t="s">
        <v>34</v>
      </c>
      <c r="G19" s="44">
        <v>16</v>
      </c>
      <c r="H19" s="129">
        <f>IF(B$17=0,0,G19/B$17)</f>
        <v>1.1315417256011316E-2</v>
      </c>
      <c r="I19" s="90">
        <v>5</v>
      </c>
      <c r="K19" s="36">
        <v>17</v>
      </c>
      <c r="L19" s="95">
        <v>-20.5</v>
      </c>
      <c r="N19" s="111" t="s">
        <v>127</v>
      </c>
      <c r="O19" s="121">
        <f>IF(P19=0,0,Q19/P19)</f>
        <v>0.69198113207546597</v>
      </c>
      <c r="P19" s="115">
        <v>212</v>
      </c>
      <c r="Q19" s="103">
        <v>146.69999999999879</v>
      </c>
    </row>
    <row r="20" spans="1:17" x14ac:dyDescent="0.4">
      <c r="A20" s="51" t="s">
        <v>13</v>
      </c>
      <c r="B20" s="44">
        <v>783</v>
      </c>
      <c r="C20" s="37">
        <f>IF(B$3=0,0,B20/B$3)</f>
        <v>0.16312499999999999</v>
      </c>
      <c r="E20" s="59" t="s">
        <v>75</v>
      </c>
      <c r="F20" s="56" t="s">
        <v>30</v>
      </c>
      <c r="G20" s="44">
        <v>10</v>
      </c>
      <c r="H20" s="129">
        <f>IF(B$17=0,0,G20/B$17)</f>
        <v>7.0721357850070717E-3</v>
      </c>
      <c r="I20" s="90">
        <v>5</v>
      </c>
      <c r="K20" s="36">
        <v>18</v>
      </c>
      <c r="L20" s="95">
        <v>0</v>
      </c>
      <c r="N20" s="111" t="s">
        <v>178</v>
      </c>
      <c r="O20" s="121">
        <f>IF(P20=0,0,Q20/P20)</f>
        <v>0.27880434782608604</v>
      </c>
      <c r="P20" s="115">
        <v>184</v>
      </c>
      <c r="Q20" s="103">
        <v>51.299999999999827</v>
      </c>
    </row>
    <row r="21" spans="1:17" x14ac:dyDescent="0.4">
      <c r="A21" s="51" t="s">
        <v>169</v>
      </c>
      <c r="B21" s="44">
        <v>7</v>
      </c>
      <c r="C21" s="131">
        <v>1</v>
      </c>
      <c r="E21" s="59" t="s">
        <v>92</v>
      </c>
      <c r="F21" s="56" t="s">
        <v>47</v>
      </c>
      <c r="G21" s="44">
        <v>7</v>
      </c>
      <c r="H21" s="129">
        <f>IF(B$17=0,0,G21/B$17)</f>
        <v>4.9504950495049506E-3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-0.13750000000000018</v>
      </c>
      <c r="P21" s="115">
        <v>48</v>
      </c>
      <c r="Q21" s="103">
        <v>-6.6000000000000085</v>
      </c>
    </row>
    <row r="22" spans="1:17" x14ac:dyDescent="0.4">
      <c r="A22" s="51" t="s">
        <v>170</v>
      </c>
      <c r="B22" s="44">
        <v>31</v>
      </c>
      <c r="C22" s="131">
        <v>2</v>
      </c>
      <c r="E22" s="59" t="s">
        <v>74</v>
      </c>
      <c r="F22" s="56" t="s">
        <v>29</v>
      </c>
      <c r="G22" s="44">
        <v>6</v>
      </c>
      <c r="H22" s="129">
        <f>IF(B$17=0,0,G22/B$17)</f>
        <v>4.2432814710042432E-3</v>
      </c>
      <c r="I22" s="90">
        <v>5</v>
      </c>
      <c r="K22" s="36">
        <v>20</v>
      </c>
      <c r="L22" s="95">
        <v>-61.199999999999996</v>
      </c>
      <c r="N22" s="111" t="s">
        <v>177</v>
      </c>
      <c r="O22" s="121">
        <f>IF(P22=0,0,Q22/P22)</f>
        <v>-8.3818181818181792</v>
      </c>
      <c r="P22" s="115">
        <v>132</v>
      </c>
      <c r="Q22" s="103">
        <v>-1106.3999999999996</v>
      </c>
    </row>
    <row r="23" spans="1:17" x14ac:dyDescent="0.4">
      <c r="A23" s="51" t="s">
        <v>5</v>
      </c>
      <c r="B23" s="48">
        <f>IF(B$17=0,0,C23/B$17)</f>
        <v>8441.0891089108918</v>
      </c>
      <c r="C23" s="39">
        <v>11935700</v>
      </c>
      <c r="E23" s="59" t="s">
        <v>73</v>
      </c>
      <c r="F23" s="56" t="s">
        <v>28</v>
      </c>
      <c r="G23" s="44">
        <v>5</v>
      </c>
      <c r="H23" s="129">
        <f>IF(B$17=0,0,G23/B$17)</f>
        <v>3.5360678925035359E-3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-13.286776859504132</v>
      </c>
      <c r="P23" s="115">
        <v>242</v>
      </c>
      <c r="Q23" s="103">
        <v>-3215.3999999999996</v>
      </c>
    </row>
    <row r="24" spans="1:17" x14ac:dyDescent="0.4">
      <c r="A24" s="52" t="s">
        <v>216</v>
      </c>
      <c r="B24" s="136">
        <f>IF($B$17-B$16=0,0,C24/($B$17-B$16))</f>
        <v>8956.7875647668388</v>
      </c>
      <c r="C24" s="137">
        <v>8643300</v>
      </c>
      <c r="E24" s="59" t="s">
        <v>77</v>
      </c>
      <c r="F24" s="56" t="s">
        <v>32</v>
      </c>
      <c r="G24" s="44">
        <v>5</v>
      </c>
      <c r="H24" s="129">
        <f>IF(B$17=0,0,G24/B$17)</f>
        <v>3.5360678925035359E-3</v>
      </c>
      <c r="I24" s="90">
        <v>4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7332.7394209354125</v>
      </c>
      <c r="C25" s="137">
        <v>3292400</v>
      </c>
      <c r="E25" s="59" t="s">
        <v>85</v>
      </c>
      <c r="F25" s="56" t="s">
        <v>40</v>
      </c>
      <c r="G25" s="44">
        <v>5</v>
      </c>
      <c r="H25" s="129">
        <f>IF(B$17=0,0,G25/B$17)</f>
        <v>3.5360678925035359E-3</v>
      </c>
      <c r="I25" s="90">
        <v>5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-7850.1915708812257</v>
      </c>
      <c r="C26" s="137">
        <v>-6146700</v>
      </c>
      <c r="E26" s="59" t="s">
        <v>88</v>
      </c>
      <c r="F26" s="56" t="s">
        <v>43</v>
      </c>
      <c r="G26" s="44">
        <v>5</v>
      </c>
      <c r="H26" s="129">
        <f>IF(B$17=0,0,G26/B$17)</f>
        <v>3.5360678925035359E-3</v>
      </c>
      <c r="I26" s="90">
        <v>4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4</v>
      </c>
      <c r="H27" s="129">
        <f>IF(B$17=0,0,G27/B$17)</f>
        <v>2.828854314002829E-3</v>
      </c>
      <c r="I27" s="90">
        <v>3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149100</v>
      </c>
      <c r="C28" s="141"/>
      <c r="E28" s="59" t="s">
        <v>93</v>
      </c>
      <c r="F28" s="56" t="s">
        <v>48</v>
      </c>
      <c r="G28" s="44">
        <v>3</v>
      </c>
      <c r="H28" s="129">
        <f>IF(B$17=0,0,G28/B$17)</f>
        <v>2.1216407355021216E-3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14</v>
      </c>
      <c r="C29" s="40">
        <f>IF(B$3=0,0,B29/B$3)</f>
        <v>2.9166666666666668E-3</v>
      </c>
      <c r="E29" s="59" t="s">
        <v>95</v>
      </c>
      <c r="F29" s="56" t="s">
        <v>50</v>
      </c>
      <c r="G29" s="44">
        <v>3</v>
      </c>
      <c r="H29" s="129">
        <f>IF(B$17=0,0,G29/B$17)</f>
        <v>2.1216407355021216E-3</v>
      </c>
      <c r="I29" s="90">
        <v>4</v>
      </c>
      <c r="K29" s="36">
        <v>27</v>
      </c>
      <c r="L29" s="95">
        <v>6.7723604502134549E-15</v>
      </c>
    </row>
    <row r="30" spans="1:17" x14ac:dyDescent="0.4">
      <c r="E30" s="59" t="s">
        <v>87</v>
      </c>
      <c r="F30" s="56" t="s">
        <v>42</v>
      </c>
      <c r="G30" s="44">
        <v>2</v>
      </c>
      <c r="H30" s="129">
        <f>IF(B$17=0,0,G30/B$17)</f>
        <v>1.4144271570014145E-3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90</v>
      </c>
      <c r="F31" s="56" t="s">
        <v>45</v>
      </c>
      <c r="G31" s="44">
        <v>2</v>
      </c>
      <c r="H31" s="129">
        <f>IF(B$17=0,0,G31/B$17)</f>
        <v>1.4144271570014145E-3</v>
      </c>
      <c r="I31" s="90">
        <v>3</v>
      </c>
      <c r="K31" s="36">
        <v>29</v>
      </c>
      <c r="L31" s="95">
        <v>-2.3999999999999915</v>
      </c>
    </row>
    <row r="32" spans="1:17" x14ac:dyDescent="0.4">
      <c r="E32" s="59" t="s">
        <v>97</v>
      </c>
      <c r="F32" s="56" t="s">
        <v>52</v>
      </c>
      <c r="G32" s="44">
        <v>1</v>
      </c>
      <c r="H32" s="129">
        <f>IF(B$17=0,0,G32/B$17)</f>
        <v>7.0721357850070724E-4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101</v>
      </c>
      <c r="F33" s="56" t="s">
        <v>56</v>
      </c>
      <c r="G33" s="44">
        <v>1</v>
      </c>
      <c r="H33" s="129">
        <f>IF(B$17=0,0,G33/B$17)</f>
        <v>7.0721357850070724E-4</v>
      </c>
      <c r="I33" s="90">
        <v>2</v>
      </c>
      <c r="K33" s="36">
        <v>31</v>
      </c>
      <c r="L33" s="95">
        <v>12.500000000000009</v>
      </c>
    </row>
    <row r="34" spans="5:12" x14ac:dyDescent="0.4">
      <c r="E34" s="59" t="s">
        <v>106</v>
      </c>
      <c r="F34" s="56" t="s">
        <v>113</v>
      </c>
      <c r="G34" s="44">
        <v>1</v>
      </c>
      <c r="H34" s="129">
        <f>IF(B$17=0,0,G34/B$17)</f>
        <v>7.0721357850070724E-4</v>
      </c>
      <c r="I34" s="90">
        <v>2</v>
      </c>
      <c r="K34" s="36">
        <v>32</v>
      </c>
      <c r="L34" s="95">
        <v>47.300000000000004</v>
      </c>
    </row>
    <row r="35" spans="5:12" x14ac:dyDescent="0.4">
      <c r="E35" s="59" t="s">
        <v>76</v>
      </c>
      <c r="F35" s="56" t="s">
        <v>31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80</v>
      </c>
      <c r="F36" s="56" t="s">
        <v>35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82</v>
      </c>
      <c r="F37" s="56" t="s">
        <v>37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94</v>
      </c>
      <c r="F38" s="56" t="s">
        <v>49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96</v>
      </c>
      <c r="F39" s="56" t="s">
        <v>51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98</v>
      </c>
      <c r="F40" s="56" t="s">
        <v>53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99</v>
      </c>
      <c r="F41" s="56" t="s">
        <v>54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100</v>
      </c>
      <c r="F42" s="56" t="s">
        <v>55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AC2E2-DE1E-4398-B12E-32C7F5CC7D46}">
  <sheetPr codeName="Sheet7"/>
  <dimension ref="A1:Q5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51</v>
      </c>
      <c r="C2" s="149"/>
      <c r="E2" s="58" t="s">
        <v>66</v>
      </c>
      <c r="F2" s="55" t="s">
        <v>22</v>
      </c>
      <c r="G2" s="43">
        <v>83</v>
      </c>
      <c r="H2" s="128">
        <f>IF(B$17=0,0,G2/B$17)</f>
        <v>0.69166666666666665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1382.3529411764705</v>
      </c>
      <c r="P2" s="114">
        <v>51</v>
      </c>
      <c r="Q2" s="98">
        <v>70500</v>
      </c>
    </row>
    <row r="3" spans="1:17" x14ac:dyDescent="0.4">
      <c r="A3" s="51" t="s">
        <v>8</v>
      </c>
      <c r="B3" s="150">
        <v>459</v>
      </c>
      <c r="C3" s="151"/>
      <c r="E3" s="59" t="s">
        <v>72</v>
      </c>
      <c r="F3" s="56" t="s">
        <v>27</v>
      </c>
      <c r="G3" s="44">
        <v>64</v>
      </c>
      <c r="H3" s="129">
        <f>IF(B$17=0,0,G3/B$17)</f>
        <v>0.53333333333333333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-948</v>
      </c>
      <c r="P3" s="115">
        <v>50</v>
      </c>
      <c r="Q3" s="99">
        <v>-47400</v>
      </c>
    </row>
    <row r="4" spans="1:17" x14ac:dyDescent="0.4">
      <c r="A4" s="51" t="s">
        <v>6</v>
      </c>
      <c r="B4" s="152">
        <v>-273.60000000000008</v>
      </c>
      <c r="C4" s="153"/>
      <c r="E4" s="59" t="s">
        <v>171</v>
      </c>
      <c r="F4" s="56" t="s">
        <v>172</v>
      </c>
      <c r="G4" s="44">
        <v>46</v>
      </c>
      <c r="H4" s="129">
        <f>IF(B$17=0,0,G4/B$17)</f>
        <v>0.38333333333333336</v>
      </c>
      <c r="I4" s="90">
        <v>7</v>
      </c>
      <c r="K4" s="36">
        <v>2</v>
      </c>
      <c r="L4" s="95">
        <v>19.899999999999999</v>
      </c>
      <c r="N4" s="111" t="s">
        <v>132</v>
      </c>
      <c r="O4" s="118">
        <f t="shared" si="0"/>
        <v>-1997.9166666666667</v>
      </c>
      <c r="P4" s="115">
        <v>48</v>
      </c>
      <c r="Q4" s="99">
        <v>-95900</v>
      </c>
    </row>
    <row r="5" spans="1:17" x14ac:dyDescent="0.4">
      <c r="A5" s="51" t="s">
        <v>7</v>
      </c>
      <c r="B5" s="154">
        <f>IF(B$2=0,0,B$4/B$2)</f>
        <v>-5.3647058823529425</v>
      </c>
      <c r="C5" s="155"/>
      <c r="E5" s="59" t="s">
        <v>64</v>
      </c>
      <c r="F5" s="56" t="s">
        <v>20</v>
      </c>
      <c r="G5" s="44">
        <v>34</v>
      </c>
      <c r="H5" s="129">
        <f>IF(B$17=0,0,G5/B$17)</f>
        <v>0.28333333333333333</v>
      </c>
      <c r="I5" s="90">
        <v>11</v>
      </c>
      <c r="K5" s="36">
        <v>3</v>
      </c>
      <c r="L5" s="95">
        <v>-8.3000000000000007</v>
      </c>
      <c r="N5" s="111" t="s">
        <v>133</v>
      </c>
      <c r="O5" s="118">
        <f t="shared" si="0"/>
        <v>-1374.4680851063829</v>
      </c>
      <c r="P5" s="115">
        <v>47</v>
      </c>
      <c r="Q5" s="99">
        <v>-64600</v>
      </c>
    </row>
    <row r="6" spans="1:17" x14ac:dyDescent="0.4">
      <c r="A6" s="51" t="s">
        <v>1</v>
      </c>
      <c r="B6" s="144">
        <f>IF(B$2=0,0,(B$7*1+B$8*2+B$9*3)/B$2)</f>
        <v>2.1176470588235294</v>
      </c>
      <c r="C6" s="145"/>
      <c r="E6" s="59" t="s">
        <v>68</v>
      </c>
      <c r="F6" s="56" t="s">
        <v>12</v>
      </c>
      <c r="G6" s="44">
        <v>33</v>
      </c>
      <c r="H6" s="129">
        <f>IF(B$17=0,0,G6/B$17)</f>
        <v>0.27500000000000002</v>
      </c>
      <c r="I6" s="90">
        <v>10</v>
      </c>
      <c r="K6" s="36">
        <v>4</v>
      </c>
      <c r="L6" s="95">
        <v>-30.7</v>
      </c>
      <c r="N6" s="111" t="s">
        <v>134</v>
      </c>
      <c r="O6" s="118">
        <f t="shared" si="0"/>
        <v>-121.27659574468085</v>
      </c>
      <c r="P6" s="115">
        <v>47</v>
      </c>
      <c r="Q6" s="99">
        <v>-5700</v>
      </c>
    </row>
    <row r="7" spans="1:17" x14ac:dyDescent="0.4">
      <c r="A7" s="51" t="s">
        <v>2</v>
      </c>
      <c r="B7" s="44">
        <v>17</v>
      </c>
      <c r="C7" s="37">
        <f t="shared" ref="C7:C12" si="1">IF(B$2=0,0,B7/B$2)</f>
        <v>0.33333333333333331</v>
      </c>
      <c r="E7" s="59" t="s">
        <v>69</v>
      </c>
      <c r="F7" s="56" t="s">
        <v>24</v>
      </c>
      <c r="G7" s="44">
        <v>25</v>
      </c>
      <c r="H7" s="129">
        <f>IF(B$17=0,0,G7/B$17)</f>
        <v>0.20833333333333334</v>
      </c>
      <c r="I7" s="90">
        <v>3</v>
      </c>
      <c r="K7" s="36">
        <v>5</v>
      </c>
      <c r="L7" s="95">
        <v>-55.8</v>
      </c>
      <c r="N7" s="112" t="s">
        <v>135</v>
      </c>
      <c r="O7" s="119">
        <f t="shared" si="0"/>
        <v>-1772.5</v>
      </c>
      <c r="P7" s="116">
        <v>40</v>
      </c>
      <c r="Q7" s="100">
        <v>-70900</v>
      </c>
    </row>
    <row r="8" spans="1:17" x14ac:dyDescent="0.4">
      <c r="A8" s="51" t="s">
        <v>3</v>
      </c>
      <c r="B8" s="44">
        <v>11</v>
      </c>
      <c r="C8" s="37">
        <f t="shared" si="1"/>
        <v>0.21568627450980393</v>
      </c>
      <c r="E8" s="59" t="s">
        <v>67</v>
      </c>
      <c r="F8" s="56" t="s">
        <v>23</v>
      </c>
      <c r="G8" s="44">
        <v>18</v>
      </c>
      <c r="H8" s="129">
        <f>IF(B$17=0,0,G8/B$17)</f>
        <v>0.15</v>
      </c>
      <c r="I8" s="90">
        <v>11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23</v>
      </c>
      <c r="C9" s="38">
        <f t="shared" si="1"/>
        <v>0.45098039215686275</v>
      </c>
      <c r="E9" s="59" t="s">
        <v>70</v>
      </c>
      <c r="F9" s="56" t="s">
        <v>25</v>
      </c>
      <c r="G9" s="44">
        <v>18</v>
      </c>
      <c r="H9" s="129">
        <f>IF(B$17=0,0,G9/B$17)</f>
        <v>0.15</v>
      </c>
      <c r="I9" s="90">
        <v>2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1.9607843137254902E-2</v>
      </c>
      <c r="E10" s="59" t="s">
        <v>71</v>
      </c>
      <c r="F10" s="56" t="s">
        <v>26</v>
      </c>
      <c r="G10" s="44">
        <v>12</v>
      </c>
      <c r="H10" s="129">
        <f>IF(B$17=0,0,G10/B$17)</f>
        <v>0.1</v>
      </c>
      <c r="I10" s="90">
        <v>3</v>
      </c>
      <c r="K10" s="36">
        <v>8</v>
      </c>
      <c r="L10" s="95">
        <v>-76.900000000000006</v>
      </c>
      <c r="N10" s="110" t="s">
        <v>162</v>
      </c>
      <c r="O10" s="120">
        <f>IF(P10=0,0,Q10/P10)</f>
        <v>-7.0944444444444432</v>
      </c>
      <c r="P10" s="114">
        <v>18</v>
      </c>
      <c r="Q10" s="102">
        <v>-127.69999999999997</v>
      </c>
    </row>
    <row r="11" spans="1:17" x14ac:dyDescent="0.4">
      <c r="A11" s="52" t="s">
        <v>138</v>
      </c>
      <c r="B11" s="45">
        <v>2</v>
      </c>
      <c r="C11" s="38">
        <f t="shared" si="1"/>
        <v>3.9215686274509803E-2</v>
      </c>
      <c r="E11" s="59" t="s">
        <v>83</v>
      </c>
      <c r="F11" s="56" t="s">
        <v>38</v>
      </c>
      <c r="G11" s="44">
        <v>12</v>
      </c>
      <c r="H11" s="129">
        <f>IF(B$17=0,0,G11/B$17)</f>
        <v>0.1</v>
      </c>
      <c r="I11" s="90">
        <v>2</v>
      </c>
      <c r="K11" s="36">
        <v>9</v>
      </c>
      <c r="L11" s="95">
        <v>-59.500000000000007</v>
      </c>
      <c r="N11" s="111" t="s">
        <v>163</v>
      </c>
      <c r="O11" s="121">
        <f>IF(P11=0,0,Q11/P11)</f>
        <v>-3.359999999999999</v>
      </c>
      <c r="P11" s="115">
        <v>15</v>
      </c>
      <c r="Q11" s="103">
        <v>-50.399999999999984</v>
      </c>
    </row>
    <row r="12" spans="1:17" x14ac:dyDescent="0.4">
      <c r="A12" s="53" t="s">
        <v>158</v>
      </c>
      <c r="B12" s="46">
        <v>8</v>
      </c>
      <c r="C12" s="40">
        <f t="shared" si="1"/>
        <v>0.15686274509803921</v>
      </c>
      <c r="E12" s="59" t="s">
        <v>65</v>
      </c>
      <c r="F12" s="56" t="s">
        <v>21</v>
      </c>
      <c r="G12" s="44">
        <v>9</v>
      </c>
      <c r="H12" s="129">
        <f>IF(B$17=0,0,G12/B$17)</f>
        <v>7.4999999999999997E-2</v>
      </c>
      <c r="I12" s="90">
        <v>10</v>
      </c>
      <c r="K12" s="36">
        <v>10</v>
      </c>
      <c r="L12" s="95">
        <v>-32.700000000000003</v>
      </c>
      <c r="N12" s="112" t="s">
        <v>164</v>
      </c>
      <c r="O12" s="122">
        <f>IF(P12=0,0,Q12/P12)</f>
        <v>-5.3055555555555545</v>
      </c>
      <c r="P12" s="116">
        <v>18</v>
      </c>
      <c r="Q12" s="104">
        <v>-95.499999999999986</v>
      </c>
    </row>
    <row r="13" spans="1:17" x14ac:dyDescent="0.4">
      <c r="A13" s="54" t="s">
        <v>121</v>
      </c>
      <c r="B13" s="47">
        <v>70</v>
      </c>
      <c r="C13" s="42">
        <f>IF(B$3=0,0,B13/B$3)</f>
        <v>0.15250544662309368</v>
      </c>
      <c r="E13" s="59" t="s">
        <v>89</v>
      </c>
      <c r="F13" s="56" t="s">
        <v>44</v>
      </c>
      <c r="G13" s="44">
        <v>8</v>
      </c>
      <c r="H13" s="129">
        <f>IF(B$17=0,0,G13/B$17)</f>
        <v>6.6666666666666666E-2</v>
      </c>
      <c r="I13" s="90">
        <v>11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105</v>
      </c>
      <c r="C14" s="37">
        <f>IF(B$3=0,0,B14/B$3)</f>
        <v>0.22875816993464052</v>
      </c>
      <c r="E14" s="59" t="s">
        <v>81</v>
      </c>
      <c r="F14" s="56" t="s">
        <v>36</v>
      </c>
      <c r="G14" s="44">
        <v>4</v>
      </c>
      <c r="H14" s="129">
        <f>IF(B$17=0,0,G14/B$17)</f>
        <v>3.3333333333333333E-2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35</v>
      </c>
      <c r="C15" s="35">
        <f>IF(B$13=0,0,B15/B$13)</f>
        <v>0.5</v>
      </c>
      <c r="E15" s="59" t="s">
        <v>86</v>
      </c>
      <c r="F15" s="56" t="s">
        <v>41</v>
      </c>
      <c r="G15" s="44">
        <v>4</v>
      </c>
      <c r="H15" s="129">
        <f>IF(B$17=0,0,G15/B$17)</f>
        <v>3.3333333333333333E-2</v>
      </c>
      <c r="I15" s="90">
        <v>8</v>
      </c>
      <c r="K15" s="36">
        <v>13</v>
      </c>
      <c r="L15" s="95">
        <v>-66.2</v>
      </c>
      <c r="N15" s="110" t="s">
        <v>181</v>
      </c>
      <c r="O15" s="120">
        <f t="shared" ref="O15:O21" si="2">IF(P15=0,0,Q15/P15)</f>
        <v>7.4333333333333345</v>
      </c>
      <c r="P15" s="114">
        <v>6</v>
      </c>
      <c r="Q15" s="102">
        <v>44.600000000000009</v>
      </c>
    </row>
    <row r="16" spans="1:17" x14ac:dyDescent="0.4">
      <c r="A16" s="50" t="s">
        <v>124</v>
      </c>
      <c r="B16" s="43">
        <v>39</v>
      </c>
      <c r="C16" s="35">
        <f>IF(B$14=0,0,B16/B$14)</f>
        <v>0.37142857142857144</v>
      </c>
      <c r="E16" s="59" t="s">
        <v>91</v>
      </c>
      <c r="F16" s="56" t="s">
        <v>46</v>
      </c>
      <c r="G16" s="44">
        <v>3</v>
      </c>
      <c r="H16" s="129">
        <f>IF(B$17=0,0,G16/B$17)</f>
        <v>2.5000000000000001E-2</v>
      </c>
      <c r="I16" s="90">
        <v>2</v>
      </c>
      <c r="K16" s="36">
        <v>14</v>
      </c>
      <c r="L16" s="95">
        <v>-51.1</v>
      </c>
      <c r="N16" s="111" t="s">
        <v>127</v>
      </c>
      <c r="O16" s="121">
        <f t="shared" si="2"/>
        <v>-2.5681818181818188</v>
      </c>
      <c r="P16" s="115">
        <v>22</v>
      </c>
      <c r="Q16" s="103">
        <v>-56.500000000000014</v>
      </c>
    </row>
    <row r="17" spans="1:17" x14ac:dyDescent="0.4">
      <c r="A17" s="50" t="s">
        <v>10</v>
      </c>
      <c r="B17" s="43">
        <f>B19+B18</f>
        <v>120</v>
      </c>
      <c r="C17" s="35">
        <f>IF(B$3=0,0,B17/B$3)</f>
        <v>0.26143790849673204</v>
      </c>
      <c r="E17" s="59" t="s">
        <v>88</v>
      </c>
      <c r="F17" s="56" t="s">
        <v>43</v>
      </c>
      <c r="G17" s="44">
        <v>2</v>
      </c>
      <c r="H17" s="129">
        <f>IF(B$17=0,0,G17/B$17)</f>
        <v>1.6666666666666666E-2</v>
      </c>
      <c r="I17" s="90">
        <v>1</v>
      </c>
      <c r="K17" s="36">
        <v>15</v>
      </c>
      <c r="L17" s="95">
        <v>-65.2</v>
      </c>
      <c r="N17" s="111" t="s">
        <v>178</v>
      </c>
      <c r="O17" s="121">
        <f t="shared" si="2"/>
        <v>-4.7411764705882362</v>
      </c>
      <c r="P17" s="115">
        <v>17</v>
      </c>
      <c r="Q17" s="103">
        <v>-80.600000000000009</v>
      </c>
    </row>
    <row r="18" spans="1:17" x14ac:dyDescent="0.4">
      <c r="A18" s="51" t="s">
        <v>12</v>
      </c>
      <c r="B18" s="44">
        <v>49</v>
      </c>
      <c r="C18" s="37">
        <f>IF(B$17=0,0,B18/B$17)</f>
        <v>0.40833333333333333</v>
      </c>
      <c r="E18" s="59" t="s">
        <v>74</v>
      </c>
      <c r="F18" s="56" t="s">
        <v>29</v>
      </c>
      <c r="G18" s="44">
        <v>1</v>
      </c>
      <c r="H18" s="129">
        <f>IF(B$17=0,0,G18/B$17)</f>
        <v>8.3333333333333332E-3</v>
      </c>
      <c r="I18" s="90">
        <v>2</v>
      </c>
      <c r="K18" s="36">
        <v>16</v>
      </c>
      <c r="L18" s="95">
        <v>-70.600000000000009</v>
      </c>
      <c r="N18" s="111" t="s">
        <v>126</v>
      </c>
      <c r="O18" s="121">
        <f t="shared" si="2"/>
        <v>-5.2892857142857155</v>
      </c>
      <c r="P18" s="115">
        <v>28</v>
      </c>
      <c r="Q18" s="103">
        <v>-148.10000000000002</v>
      </c>
    </row>
    <row r="19" spans="1:17" x14ac:dyDescent="0.4">
      <c r="A19" s="51" t="s">
        <v>11</v>
      </c>
      <c r="B19" s="44">
        <v>71</v>
      </c>
      <c r="C19" s="37">
        <f>IF(B$17=0,0,B19/B$17)</f>
        <v>0.59166666666666667</v>
      </c>
      <c r="E19" s="59" t="s">
        <v>75</v>
      </c>
      <c r="F19" s="56" t="s">
        <v>30</v>
      </c>
      <c r="G19" s="44">
        <v>1</v>
      </c>
      <c r="H19" s="129">
        <f>IF(B$17=0,0,G19/B$17)</f>
        <v>8.3333333333333332E-3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-12.242857142857146</v>
      </c>
      <c r="P19" s="115">
        <v>14</v>
      </c>
      <c r="Q19" s="103">
        <v>-171.40000000000003</v>
      </c>
    </row>
    <row r="20" spans="1:17" x14ac:dyDescent="0.4">
      <c r="A20" s="51" t="s">
        <v>13</v>
      </c>
      <c r="B20" s="44">
        <v>70</v>
      </c>
      <c r="C20" s="37">
        <f>IF(B$3=0,0,B20/B$3)</f>
        <v>0.15250544662309368</v>
      </c>
      <c r="E20" s="59" t="s">
        <v>77</v>
      </c>
      <c r="F20" s="56" t="s">
        <v>32</v>
      </c>
      <c r="G20" s="44">
        <v>1</v>
      </c>
      <c r="H20" s="129">
        <f>IF(B$17=0,0,G20/B$17)</f>
        <v>8.3333333333333332E-3</v>
      </c>
      <c r="I20" s="90">
        <v>2</v>
      </c>
      <c r="K20" s="36">
        <v>18</v>
      </c>
      <c r="L20" s="95">
        <v>-80.2</v>
      </c>
      <c r="N20" s="111" t="s">
        <v>177</v>
      </c>
      <c r="O20" s="121">
        <f t="shared" si="2"/>
        <v>-27.133333333333329</v>
      </c>
      <c r="P20" s="115">
        <v>9</v>
      </c>
      <c r="Q20" s="103">
        <v>-244.19999999999996</v>
      </c>
    </row>
    <row r="21" spans="1:17" x14ac:dyDescent="0.4">
      <c r="A21" s="51" t="s">
        <v>169</v>
      </c>
      <c r="B21" s="44">
        <v>4</v>
      </c>
      <c r="C21" s="131">
        <v>2</v>
      </c>
      <c r="E21" s="59" t="s">
        <v>93</v>
      </c>
      <c r="F21" s="56" t="s">
        <v>48</v>
      </c>
      <c r="G21" s="44">
        <v>1</v>
      </c>
      <c r="H21" s="129">
        <f>IF(B$17=0,0,G21/B$17)</f>
        <v>8.3333333333333332E-3</v>
      </c>
      <c r="I21" s="90">
        <v>1</v>
      </c>
      <c r="K21" s="36">
        <v>19</v>
      </c>
      <c r="L21" s="95">
        <v>-115.1</v>
      </c>
      <c r="N21" s="111" t="s">
        <v>182</v>
      </c>
      <c r="O21" s="121">
        <f t="shared" si="2"/>
        <v>-27.433333333333326</v>
      </c>
      <c r="P21" s="115">
        <v>6</v>
      </c>
      <c r="Q21" s="103">
        <v>-164.59999999999997</v>
      </c>
    </row>
    <row r="22" spans="1:17" x14ac:dyDescent="0.4">
      <c r="A22" s="51" t="s">
        <v>170</v>
      </c>
      <c r="B22" s="44">
        <v>32</v>
      </c>
      <c r="C22" s="131">
        <v>5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5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7172.5</v>
      </c>
      <c r="C23" s="39">
        <v>860700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7424.691358024691</v>
      </c>
      <c r="C24" s="137">
        <v>601400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6648.7179487179483</v>
      </c>
      <c r="C25" s="137">
        <v>259300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-6974.2857142857147</v>
      </c>
      <c r="C26" s="137">
        <v>-488200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4.3572984749455342E-3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-143.30000000000004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  <c r="K45" s="36">
        <v>43</v>
      </c>
      <c r="L45" s="95">
        <v>-172.20000000000005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-144.10000000000005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-97.300000000000054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  <c r="K51" s="36">
        <v>49</v>
      </c>
      <c r="L51" s="95">
        <v>-256.70000000000005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</sheetData>
  <sortState xmlns:xlrd2="http://schemas.microsoft.com/office/spreadsheetml/2017/richdata2" ref="E2:I5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2BD46-768B-490A-B4D6-E4F4CCC91374}">
  <sheetPr codeName="Sheet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121</v>
      </c>
      <c r="C2" s="149"/>
      <c r="E2" s="58" t="s">
        <v>66</v>
      </c>
      <c r="F2" s="55" t="s">
        <v>22</v>
      </c>
      <c r="G2" s="43">
        <v>227</v>
      </c>
      <c r="H2" s="128">
        <f>IF(B$17=0,0,G2/B$17)</f>
        <v>0.67359050445103863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1340.8333333333333</v>
      </c>
      <c r="P2" s="114">
        <v>120</v>
      </c>
      <c r="Q2" s="98">
        <v>160900</v>
      </c>
    </row>
    <row r="3" spans="1:17" x14ac:dyDescent="0.4">
      <c r="A3" s="51" t="s">
        <v>8</v>
      </c>
      <c r="B3" s="150">
        <v>983</v>
      </c>
      <c r="C3" s="151"/>
      <c r="E3" s="59" t="s">
        <v>72</v>
      </c>
      <c r="F3" s="56" t="s">
        <v>27</v>
      </c>
      <c r="G3" s="44">
        <v>169</v>
      </c>
      <c r="H3" s="129">
        <f>IF(B$17=0,0,G3/B$17)</f>
        <v>0.50148367952522255</v>
      </c>
      <c r="I3" s="90">
        <v>9</v>
      </c>
      <c r="K3" s="36">
        <v>1</v>
      </c>
      <c r="L3" s="95">
        <v>50.2</v>
      </c>
      <c r="N3" s="111" t="s">
        <v>131</v>
      </c>
      <c r="O3" s="118">
        <f t="shared" si="0"/>
        <v>922.22222222222217</v>
      </c>
      <c r="P3" s="115">
        <v>117</v>
      </c>
      <c r="Q3" s="99">
        <v>107900</v>
      </c>
    </row>
    <row r="4" spans="1:17" x14ac:dyDescent="0.4">
      <c r="A4" s="51" t="s">
        <v>6</v>
      </c>
      <c r="B4" s="152">
        <v>1071.8</v>
      </c>
      <c r="C4" s="153"/>
      <c r="E4" s="59" t="s">
        <v>64</v>
      </c>
      <c r="F4" s="56" t="s">
        <v>20</v>
      </c>
      <c r="G4" s="44">
        <v>149</v>
      </c>
      <c r="H4" s="129">
        <f>IF(B$17=0,0,G4/B$17)</f>
        <v>0.44213649851632048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986.72566371681421</v>
      </c>
      <c r="P4" s="115">
        <v>113</v>
      </c>
      <c r="Q4" s="99">
        <v>111500</v>
      </c>
    </row>
    <row r="5" spans="1:17" x14ac:dyDescent="0.4">
      <c r="A5" s="51" t="s">
        <v>7</v>
      </c>
      <c r="B5" s="154">
        <f>IF(B$2=0,0,B$4/B$2)</f>
        <v>8.8578512396694205</v>
      </c>
      <c r="C5" s="155"/>
      <c r="E5" s="59" t="s">
        <v>171</v>
      </c>
      <c r="F5" s="56" t="s">
        <v>172</v>
      </c>
      <c r="G5" s="44">
        <v>127</v>
      </c>
      <c r="H5" s="129">
        <f>IF(B$17=0,0,G5/B$17)</f>
        <v>0.37685459940652821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175.96153846153845</v>
      </c>
      <c r="P5" s="115">
        <v>104</v>
      </c>
      <c r="Q5" s="99">
        <v>18300</v>
      </c>
    </row>
    <row r="6" spans="1:17" x14ac:dyDescent="0.4">
      <c r="A6" s="51" t="s">
        <v>1</v>
      </c>
      <c r="B6" s="144">
        <f>IF(B$2=0,0,(B$7*1+B$8*2+B$9*3)/B$2)</f>
        <v>1.7851239669421488</v>
      </c>
      <c r="C6" s="145"/>
      <c r="E6" s="59" t="s">
        <v>68</v>
      </c>
      <c r="F6" s="56" t="s">
        <v>12</v>
      </c>
      <c r="G6" s="44">
        <v>99</v>
      </c>
      <c r="H6" s="129">
        <f>IF(B$17=0,0,G6/B$17)</f>
        <v>0.29376854599406527</v>
      </c>
      <c r="I6" s="90">
        <v>6</v>
      </c>
      <c r="K6" s="36">
        <v>4</v>
      </c>
      <c r="L6" s="95">
        <v>101.60000000000001</v>
      </c>
      <c r="N6" s="111" t="s">
        <v>134</v>
      </c>
      <c r="O6" s="118">
        <f t="shared" si="0"/>
        <v>1991.7525773195875</v>
      </c>
      <c r="P6" s="115">
        <v>97</v>
      </c>
      <c r="Q6" s="99">
        <v>193200</v>
      </c>
    </row>
    <row r="7" spans="1:17" x14ac:dyDescent="0.4">
      <c r="A7" s="51" t="s">
        <v>2</v>
      </c>
      <c r="B7" s="44">
        <v>55</v>
      </c>
      <c r="C7" s="37">
        <f t="shared" ref="C7:C12" si="1">IF(B$2=0,0,B7/B$2)</f>
        <v>0.45454545454545453</v>
      </c>
      <c r="E7" s="59" t="s">
        <v>67</v>
      </c>
      <c r="F7" s="56" t="s">
        <v>23</v>
      </c>
      <c r="G7" s="44">
        <v>83</v>
      </c>
      <c r="H7" s="129">
        <f>IF(B$17=0,0,G7/B$17)</f>
        <v>0.24629080118694363</v>
      </c>
      <c r="I7" s="90">
        <v>9</v>
      </c>
      <c r="K7" s="36">
        <v>5</v>
      </c>
      <c r="L7" s="95">
        <v>99.9</v>
      </c>
      <c r="N7" s="112" t="s">
        <v>135</v>
      </c>
      <c r="O7" s="119">
        <f t="shared" si="0"/>
        <v>2606.4935064935066</v>
      </c>
      <c r="P7" s="116">
        <v>77</v>
      </c>
      <c r="Q7" s="100">
        <v>200700</v>
      </c>
    </row>
    <row r="8" spans="1:17" x14ac:dyDescent="0.4">
      <c r="A8" s="51" t="s">
        <v>3</v>
      </c>
      <c r="B8" s="44">
        <v>37</v>
      </c>
      <c r="C8" s="37">
        <f t="shared" si="1"/>
        <v>0.30578512396694213</v>
      </c>
      <c r="E8" s="59" t="s">
        <v>89</v>
      </c>
      <c r="F8" s="56" t="s">
        <v>44</v>
      </c>
      <c r="G8" s="44">
        <v>53</v>
      </c>
      <c r="H8" s="129">
        <f>IF(B$17=0,0,G8/B$17)</f>
        <v>0.15727002967359049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29</v>
      </c>
      <c r="C9" s="38">
        <f t="shared" si="1"/>
        <v>0.23966942148760331</v>
      </c>
      <c r="E9" s="59" t="s">
        <v>69</v>
      </c>
      <c r="F9" s="56" t="s">
        <v>24</v>
      </c>
      <c r="G9" s="44">
        <v>52</v>
      </c>
      <c r="H9" s="129">
        <f>IF(B$17=0,0,G9/B$17)</f>
        <v>0.1543026706231454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4.1322314049586778E-2</v>
      </c>
      <c r="E10" s="59" t="s">
        <v>65</v>
      </c>
      <c r="F10" s="56" t="s">
        <v>21</v>
      </c>
      <c r="G10" s="44">
        <v>40</v>
      </c>
      <c r="H10" s="129">
        <f>IF(B$17=0,0,G10/B$17)</f>
        <v>0.11869436201780416</v>
      </c>
      <c r="I10" s="90">
        <v>4</v>
      </c>
      <c r="K10" s="36">
        <v>8</v>
      </c>
      <c r="L10" s="95">
        <v>148.1</v>
      </c>
      <c r="N10" s="110" t="s">
        <v>162</v>
      </c>
      <c r="O10" s="120">
        <f>IF(P10=0,0,Q10/P10)</f>
        <v>11.54705882352941</v>
      </c>
      <c r="P10" s="114">
        <v>34</v>
      </c>
      <c r="Q10" s="102">
        <v>392.59999999999991</v>
      </c>
    </row>
    <row r="11" spans="1:17" x14ac:dyDescent="0.4">
      <c r="A11" s="52" t="s">
        <v>138</v>
      </c>
      <c r="B11" s="45">
        <v>15</v>
      </c>
      <c r="C11" s="38">
        <f t="shared" si="1"/>
        <v>0.12396694214876033</v>
      </c>
      <c r="E11" s="59" t="s">
        <v>71</v>
      </c>
      <c r="F11" s="56" t="s">
        <v>26</v>
      </c>
      <c r="G11" s="44">
        <v>23</v>
      </c>
      <c r="H11" s="129">
        <f>IF(B$17=0,0,G11/B$17)</f>
        <v>6.8249258160237386E-2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4.0704545454545453</v>
      </c>
      <c r="P11" s="115">
        <v>44</v>
      </c>
      <c r="Q11" s="103">
        <v>179.1</v>
      </c>
    </row>
    <row r="12" spans="1:17" x14ac:dyDescent="0.4">
      <c r="A12" s="53" t="s">
        <v>158</v>
      </c>
      <c r="B12" s="46">
        <v>13</v>
      </c>
      <c r="C12" s="40">
        <f t="shared" si="1"/>
        <v>0.10743801652892562</v>
      </c>
      <c r="E12" s="59" t="s">
        <v>86</v>
      </c>
      <c r="F12" s="56" t="s">
        <v>41</v>
      </c>
      <c r="G12" s="44">
        <v>19</v>
      </c>
      <c r="H12" s="129">
        <f>IF(B$17=0,0,G12/B$17)</f>
        <v>5.637982195845697E-2</v>
      </c>
      <c r="I12" s="90">
        <v>4</v>
      </c>
      <c r="K12" s="36">
        <v>10</v>
      </c>
      <c r="L12" s="95">
        <v>158.19999999999999</v>
      </c>
      <c r="N12" s="112" t="s">
        <v>164</v>
      </c>
      <c r="O12" s="122">
        <f>IF(P12=0,0,Q12/P12)</f>
        <v>11.630232558139532</v>
      </c>
      <c r="P12" s="116">
        <v>43</v>
      </c>
      <c r="Q12" s="104">
        <v>500.09999999999985</v>
      </c>
    </row>
    <row r="13" spans="1:17" x14ac:dyDescent="0.4">
      <c r="A13" s="54" t="s">
        <v>121</v>
      </c>
      <c r="B13" s="47">
        <v>266</v>
      </c>
      <c r="C13" s="42">
        <f>IF(B$3=0,0,B13/B$3)</f>
        <v>0.27060020345879959</v>
      </c>
      <c r="E13" s="59" t="s">
        <v>70</v>
      </c>
      <c r="F13" s="56" t="s">
        <v>25</v>
      </c>
      <c r="G13" s="44">
        <v>18</v>
      </c>
      <c r="H13" s="129">
        <f>IF(B$17=0,0,G13/B$17)</f>
        <v>5.3412462908011868E-2</v>
      </c>
      <c r="I13" s="90">
        <v>11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220</v>
      </c>
      <c r="C14" s="37">
        <f>IF(B$3=0,0,B14/B$3)</f>
        <v>0.22380467955239064</v>
      </c>
      <c r="E14" s="59" t="s">
        <v>83</v>
      </c>
      <c r="F14" s="56" t="s">
        <v>38</v>
      </c>
      <c r="G14" s="44">
        <v>15</v>
      </c>
      <c r="H14" s="129">
        <f>IF(B$17=0,0,G14/B$17)</f>
        <v>4.4510385756676561E-2</v>
      </c>
      <c r="I14" s="90">
        <v>8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159</v>
      </c>
      <c r="C15" s="35">
        <f>IF(B$13=0,0,B15/B$13)</f>
        <v>0.59774436090225569</v>
      </c>
      <c r="E15" s="59" t="s">
        <v>78</v>
      </c>
      <c r="F15" s="56" t="s">
        <v>33</v>
      </c>
      <c r="G15" s="44">
        <v>14</v>
      </c>
      <c r="H15" s="129">
        <f>IF(B$17=0,0,G15/B$17)</f>
        <v>4.1543026706231452E-2</v>
      </c>
      <c r="I15" s="90">
        <v>2</v>
      </c>
      <c r="K15" s="36">
        <v>13</v>
      </c>
      <c r="L15" s="95">
        <v>206.39999999999998</v>
      </c>
      <c r="N15" s="110" t="s">
        <v>181</v>
      </c>
      <c r="O15" s="120">
        <f t="shared" ref="O15:O22" si="2">IF(P15=0,0,Q15/P15)</f>
        <v>39.662500000000009</v>
      </c>
      <c r="P15" s="114">
        <v>8</v>
      </c>
      <c r="Q15" s="102">
        <v>317.30000000000007</v>
      </c>
    </row>
    <row r="16" spans="1:17" x14ac:dyDescent="0.4">
      <c r="A16" s="50" t="s">
        <v>124</v>
      </c>
      <c r="B16" s="43">
        <v>107</v>
      </c>
      <c r="C16" s="35">
        <f>IF(B$14=0,0,B16/B$14)</f>
        <v>0.48636363636363639</v>
      </c>
      <c r="E16" s="59" t="s">
        <v>167</v>
      </c>
      <c r="F16" s="56" t="s">
        <v>168</v>
      </c>
      <c r="G16" s="44">
        <v>13</v>
      </c>
      <c r="H16" s="129">
        <f>IF(B$17=0,0,G16/B$17)</f>
        <v>3.857566765578635E-2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 t="shared" si="2"/>
        <v>26.992307692307691</v>
      </c>
      <c r="P16" s="115">
        <v>13</v>
      </c>
      <c r="Q16" s="103">
        <v>350.9</v>
      </c>
    </row>
    <row r="17" spans="1:17" x14ac:dyDescent="0.4">
      <c r="A17" s="50" t="s">
        <v>10</v>
      </c>
      <c r="B17" s="43">
        <f>B19+B18</f>
        <v>337</v>
      </c>
      <c r="C17" s="35">
        <f>IF(B$3=0,0,B17/B$3)</f>
        <v>0.34282807731434384</v>
      </c>
      <c r="E17" s="59" t="s">
        <v>77</v>
      </c>
      <c r="F17" s="56" t="s">
        <v>32</v>
      </c>
      <c r="G17" s="44">
        <v>3</v>
      </c>
      <c r="H17" s="129">
        <f>IF(B$17=0,0,G17/B$17)</f>
        <v>8.9020771513353119E-3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 t="shared" si="2"/>
        <v>17.637777777777782</v>
      </c>
      <c r="P17" s="115">
        <v>45</v>
      </c>
      <c r="Q17" s="103">
        <v>793.70000000000016</v>
      </c>
    </row>
    <row r="18" spans="1:17" x14ac:dyDescent="0.4">
      <c r="A18" s="51" t="s">
        <v>12</v>
      </c>
      <c r="B18" s="44">
        <v>143</v>
      </c>
      <c r="C18" s="37">
        <f>IF(B$17=0,0,B18/B$17)</f>
        <v>0.42433234421364985</v>
      </c>
      <c r="E18" s="59" t="s">
        <v>84</v>
      </c>
      <c r="F18" s="56" t="s">
        <v>39</v>
      </c>
      <c r="G18" s="44">
        <v>3</v>
      </c>
      <c r="H18" s="129">
        <f>IF(B$17=0,0,G18/B$17)</f>
        <v>8.9020771513353119E-3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 t="shared" si="2"/>
        <v>16.541304347826088</v>
      </c>
      <c r="P18" s="115">
        <v>46</v>
      </c>
      <c r="Q18" s="103">
        <v>760.90000000000009</v>
      </c>
    </row>
    <row r="19" spans="1:17" x14ac:dyDescent="0.4">
      <c r="A19" s="51" t="s">
        <v>11</v>
      </c>
      <c r="B19" s="44">
        <v>194</v>
      </c>
      <c r="C19" s="37">
        <f>IF(B$17=0,0,B19/B$17)</f>
        <v>0.57566765578635015</v>
      </c>
      <c r="E19" s="59" t="s">
        <v>92</v>
      </c>
      <c r="F19" s="56" t="s">
        <v>47</v>
      </c>
      <c r="G19" s="44">
        <v>3</v>
      </c>
      <c r="H19" s="129">
        <f>IF(B$17=0,0,G19/B$17)</f>
        <v>8.9020771513353119E-3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 t="shared" si="2"/>
        <v>15.313513513513515</v>
      </c>
      <c r="P19" s="115">
        <v>74</v>
      </c>
      <c r="Q19" s="103">
        <v>1133.2</v>
      </c>
    </row>
    <row r="20" spans="1:17" x14ac:dyDescent="0.4">
      <c r="A20" s="51" t="s">
        <v>13</v>
      </c>
      <c r="B20" s="44">
        <v>127</v>
      </c>
      <c r="C20" s="37">
        <f>IF(B$3=0,0,B20/B$3)</f>
        <v>0.12919633774160733</v>
      </c>
      <c r="E20" s="59" t="s">
        <v>75</v>
      </c>
      <c r="F20" s="56" t="s">
        <v>30</v>
      </c>
      <c r="G20" s="44">
        <v>2</v>
      </c>
      <c r="H20" s="129">
        <f>IF(B$17=0,0,G20/B$17)</f>
        <v>5.9347181008902079E-3</v>
      </c>
      <c r="I20" s="90">
        <v>7</v>
      </c>
      <c r="K20" s="36">
        <v>18</v>
      </c>
      <c r="L20" s="95">
        <v>352.39999999999992</v>
      </c>
      <c r="N20" s="111" t="s">
        <v>166</v>
      </c>
      <c r="O20" s="121">
        <f t="shared" si="2"/>
        <v>5.2892857142857137</v>
      </c>
      <c r="P20" s="115">
        <v>28</v>
      </c>
      <c r="Q20" s="103">
        <v>148.1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79</v>
      </c>
      <c r="F21" s="56" t="s">
        <v>34</v>
      </c>
      <c r="G21" s="44">
        <v>2</v>
      </c>
      <c r="H21" s="129">
        <f>IF(B$17=0,0,G21/B$17)</f>
        <v>5.9347181008902079E-3</v>
      </c>
      <c r="I21" s="90">
        <v>6</v>
      </c>
      <c r="K21" s="36">
        <v>19</v>
      </c>
      <c r="L21" s="95">
        <v>383.19999999999993</v>
      </c>
      <c r="N21" s="111" t="s">
        <v>177</v>
      </c>
      <c r="O21" s="121">
        <f t="shared" si="2"/>
        <v>-8.0814814814814806</v>
      </c>
      <c r="P21" s="115">
        <v>27</v>
      </c>
      <c r="Q21" s="103">
        <v>-218.2</v>
      </c>
    </row>
    <row r="22" spans="1:17" x14ac:dyDescent="0.4">
      <c r="A22" s="51" t="s">
        <v>170</v>
      </c>
      <c r="B22" s="44">
        <v>43</v>
      </c>
      <c r="C22" s="131">
        <v>6</v>
      </c>
      <c r="E22" s="59" t="s">
        <v>81</v>
      </c>
      <c r="F22" s="56" t="s">
        <v>36</v>
      </c>
      <c r="G22" s="44">
        <v>2</v>
      </c>
      <c r="H22" s="129">
        <f>IF(B$17=0,0,G22/B$17)</f>
        <v>5.9347181008902079E-3</v>
      </c>
      <c r="I22" s="90">
        <v>9</v>
      </c>
      <c r="K22" s="36">
        <v>20</v>
      </c>
      <c r="L22" s="95">
        <v>365.49999999999994</v>
      </c>
      <c r="N22" s="111" t="s">
        <v>222</v>
      </c>
      <c r="O22" s="121">
        <f t="shared" si="2"/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8289.0207715133529</v>
      </c>
      <c r="C23" s="39">
        <v>2793400</v>
      </c>
      <c r="E23" s="59" t="s">
        <v>85</v>
      </c>
      <c r="F23" s="56" t="s">
        <v>40</v>
      </c>
      <c r="G23" s="44">
        <v>2</v>
      </c>
      <c r="H23" s="129">
        <f>IF(B$17=0,0,G23/B$17)</f>
        <v>5.9347181008902079E-3</v>
      </c>
      <c r="I23" s="90">
        <v>3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8550.434782608696</v>
      </c>
      <c r="C24" s="137">
        <v>1966600</v>
      </c>
      <c r="E24" s="59" t="s">
        <v>88</v>
      </c>
      <c r="F24" s="56" t="s">
        <v>43</v>
      </c>
      <c r="G24" s="44">
        <v>2</v>
      </c>
      <c r="H24" s="129">
        <f>IF(B$17=0,0,G24/B$17)</f>
        <v>5.9347181008902079E-3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7727.1028037383176</v>
      </c>
      <c r="C25" s="137">
        <v>826800</v>
      </c>
      <c r="E25" s="59" t="s">
        <v>91</v>
      </c>
      <c r="F25" s="56" t="s">
        <v>46</v>
      </c>
      <c r="G25" s="44">
        <v>2</v>
      </c>
      <c r="H25" s="129">
        <f>IF(B$17=0,0,G25/B$17)</f>
        <v>5.9347181008902079E-3</v>
      </c>
      <c r="I25" s="90">
        <v>7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-7880.3149606299212</v>
      </c>
      <c r="C26" s="137">
        <v>-1000800</v>
      </c>
      <c r="E26" s="59" t="s">
        <v>74</v>
      </c>
      <c r="F26" s="56" t="s">
        <v>29</v>
      </c>
      <c r="G26" s="44">
        <v>1</v>
      </c>
      <c r="H26" s="129">
        <f>IF(B$17=0,0,G26/B$17)</f>
        <v>2.967359050445104E-3</v>
      </c>
      <c r="I26" s="90">
        <v>6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90</v>
      </c>
      <c r="F27" s="56" t="s">
        <v>45</v>
      </c>
      <c r="G27" s="44">
        <v>1</v>
      </c>
      <c r="H27" s="129">
        <f>IF(B$17=0,0,G27/B$17)</f>
        <v>2.967359050445104E-3</v>
      </c>
      <c r="I27" s="90">
        <v>2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149100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2.967359050445104E-3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1.017293997965412E-3</v>
      </c>
      <c r="E29" s="59" t="s">
        <v>106</v>
      </c>
      <c r="F29" s="56" t="s">
        <v>113</v>
      </c>
      <c r="G29" s="44">
        <v>1</v>
      </c>
      <c r="H29" s="129">
        <f>IF(B$17=0,0,G29/B$17)</f>
        <v>2.967359050445104E-3</v>
      </c>
      <c r="I29" s="90">
        <v>1</v>
      </c>
      <c r="K29" s="36">
        <v>27</v>
      </c>
      <c r="L29" s="95">
        <v>362.4</v>
      </c>
    </row>
    <row r="30" spans="1:17" x14ac:dyDescent="0.4">
      <c r="E30" s="59" t="s">
        <v>73</v>
      </c>
      <c r="F30" s="56" t="s">
        <v>28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80</v>
      </c>
      <c r="F32" s="56" t="s">
        <v>35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82</v>
      </c>
      <c r="F33" s="56" t="s">
        <v>37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319.49999999999994</v>
      </c>
    </row>
    <row r="34" spans="5:12" x14ac:dyDescent="0.4">
      <c r="E34" s="59" t="s">
        <v>87</v>
      </c>
      <c r="F34" s="56" t="s">
        <v>42</v>
      </c>
      <c r="G34" s="44">
        <v>0</v>
      </c>
      <c r="H34" s="129">
        <f>IF(B$17=0,0,G34/B$17)</f>
        <v>0</v>
      </c>
      <c r="I34" s="90">
        <v>4</v>
      </c>
      <c r="K34" s="36">
        <v>32</v>
      </c>
      <c r="L34" s="95">
        <v>349.39999999999992</v>
      </c>
    </row>
    <row r="35" spans="5:12" x14ac:dyDescent="0.4">
      <c r="E35" s="59" t="s">
        <v>93</v>
      </c>
      <c r="F35" s="56" t="s">
        <v>48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349.19999999999993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312.09999999999991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365.39999999999986</v>
      </c>
    </row>
    <row r="42" spans="5:12" x14ac:dyDescent="0.4">
      <c r="E42" s="59" t="s">
        <v>101</v>
      </c>
      <c r="F42" s="56" t="s">
        <v>56</v>
      </c>
      <c r="G42" s="44">
        <v>0</v>
      </c>
      <c r="H42" s="129">
        <f>IF(B$17=0,0,G42/B$17)</f>
        <v>0</v>
      </c>
      <c r="I42" s="90">
        <v>3</v>
      </c>
      <c r="K42" s="36">
        <v>40</v>
      </c>
      <c r="L42" s="95">
        <v>398.79999999999984</v>
      </c>
    </row>
    <row r="43" spans="5:12" x14ac:dyDescent="0.4">
      <c r="E43" s="59" t="s">
        <v>102</v>
      </c>
      <c r="F43" s="56" t="s">
        <v>57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103</v>
      </c>
      <c r="F44" s="56" t="s">
        <v>58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104</v>
      </c>
      <c r="F45" s="56" t="s">
        <v>59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105</v>
      </c>
      <c r="F46" s="56" t="s">
        <v>112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</sheetData>
  <sortState xmlns:xlrd2="http://schemas.microsoft.com/office/spreadsheetml/2017/richdata2" ref="E2:I124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99B0-06A3-40C1-A7F5-6018324DBA32}">
  <sheetPr codeName="Sheet11"/>
  <dimension ref="A1:Q10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106</v>
      </c>
      <c r="C2" s="149"/>
      <c r="E2" s="58" t="s">
        <v>66</v>
      </c>
      <c r="F2" s="55" t="s">
        <v>22</v>
      </c>
      <c r="G2" s="43">
        <v>243</v>
      </c>
      <c r="H2" s="128">
        <f>IF(B$17=0,0,G2/B$17)</f>
        <v>0.9101123595505618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-1856.1904761904761</v>
      </c>
      <c r="P2" s="114">
        <v>105</v>
      </c>
      <c r="Q2" s="98">
        <v>-194900</v>
      </c>
    </row>
    <row r="3" spans="1:17" x14ac:dyDescent="0.4">
      <c r="A3" s="51" t="s">
        <v>8</v>
      </c>
      <c r="B3" s="150">
        <v>893</v>
      </c>
      <c r="C3" s="151"/>
      <c r="E3" s="59" t="s">
        <v>72</v>
      </c>
      <c r="F3" s="56" t="s">
        <v>27</v>
      </c>
      <c r="G3" s="44">
        <v>154</v>
      </c>
      <c r="H3" s="129">
        <f>IF(B$17=0,0,G3/B$17)</f>
        <v>0.57677902621722843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1070.8737864077671</v>
      </c>
      <c r="P3" s="115">
        <v>103</v>
      </c>
      <c r="Q3" s="99">
        <v>110300</v>
      </c>
    </row>
    <row r="4" spans="1:17" x14ac:dyDescent="0.4">
      <c r="A4" s="51" t="s">
        <v>6</v>
      </c>
      <c r="B4" s="152">
        <v>-48.900000000000212</v>
      </c>
      <c r="C4" s="153"/>
      <c r="E4" s="59" t="s">
        <v>171</v>
      </c>
      <c r="F4" s="56" t="s">
        <v>172</v>
      </c>
      <c r="G4" s="44">
        <v>111</v>
      </c>
      <c r="H4" s="129">
        <f>IF(B$17=0,0,G4/B$17)</f>
        <v>0.4157303370786517</v>
      </c>
      <c r="I4" s="90">
        <v>3</v>
      </c>
      <c r="K4" s="36">
        <v>2</v>
      </c>
      <c r="L4" s="95">
        <v>-34.299999999999997</v>
      </c>
      <c r="N4" s="111" t="s">
        <v>132</v>
      </c>
      <c r="O4" s="118">
        <f t="shared" si="0"/>
        <v>-8.2474226804123703</v>
      </c>
      <c r="P4" s="115">
        <v>97</v>
      </c>
      <c r="Q4" s="99">
        <v>-800</v>
      </c>
    </row>
    <row r="5" spans="1:17" x14ac:dyDescent="0.4">
      <c r="A5" s="51" t="s">
        <v>7</v>
      </c>
      <c r="B5" s="154">
        <f>IF(B$2=0,0,B$4/B$2)</f>
        <v>-0.46132075471698314</v>
      </c>
      <c r="C5" s="155"/>
      <c r="E5" s="59" t="s">
        <v>64</v>
      </c>
      <c r="F5" s="56" t="s">
        <v>20</v>
      </c>
      <c r="G5" s="44">
        <v>106</v>
      </c>
      <c r="H5" s="129">
        <f>IF(B$17=0,0,G5/B$17)</f>
        <v>0.39700374531835209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685.71428571428567</v>
      </c>
      <c r="P5" s="115">
        <v>91</v>
      </c>
      <c r="Q5" s="99">
        <v>62400</v>
      </c>
    </row>
    <row r="6" spans="1:17" x14ac:dyDescent="0.4">
      <c r="A6" s="51" t="s">
        <v>1</v>
      </c>
      <c r="B6" s="144">
        <f>IF(B$2=0,0,(B$7*1+B$8*2+B$9*3)/B$2)</f>
        <v>1.9811320754716981</v>
      </c>
      <c r="C6" s="145"/>
      <c r="E6" s="59" t="s">
        <v>68</v>
      </c>
      <c r="F6" s="56" t="s">
        <v>12</v>
      </c>
      <c r="G6" s="44">
        <v>75</v>
      </c>
      <c r="H6" s="129">
        <f>IF(B$17=0,0,G6/B$17)</f>
        <v>0.2808988764044944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-915.47619047619048</v>
      </c>
      <c r="P6" s="115">
        <v>84</v>
      </c>
      <c r="Q6" s="99">
        <v>-76900</v>
      </c>
    </row>
    <row r="7" spans="1:17" x14ac:dyDescent="0.4">
      <c r="A7" s="51" t="s">
        <v>2</v>
      </c>
      <c r="B7" s="44">
        <v>36</v>
      </c>
      <c r="C7" s="37">
        <f t="shared" ref="C7:C12" si="1">IF(B$2=0,0,B7/B$2)</f>
        <v>0.33962264150943394</v>
      </c>
      <c r="E7" s="59" t="s">
        <v>67</v>
      </c>
      <c r="F7" s="56" t="s">
        <v>23</v>
      </c>
      <c r="G7" s="44">
        <v>57</v>
      </c>
      <c r="H7" s="129">
        <f>IF(B$17=0,0,G7/B$17)</f>
        <v>0.21348314606741572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1361.4285714285713</v>
      </c>
      <c r="P7" s="116">
        <v>70</v>
      </c>
      <c r="Q7" s="100">
        <v>95300</v>
      </c>
    </row>
    <row r="8" spans="1:17" x14ac:dyDescent="0.4">
      <c r="A8" s="51" t="s">
        <v>3</v>
      </c>
      <c r="B8" s="44">
        <v>36</v>
      </c>
      <c r="C8" s="37">
        <f t="shared" si="1"/>
        <v>0.33962264150943394</v>
      </c>
      <c r="E8" s="59" t="s">
        <v>89</v>
      </c>
      <c r="F8" s="56" t="s">
        <v>44</v>
      </c>
      <c r="G8" s="44">
        <v>32</v>
      </c>
      <c r="H8" s="129">
        <f>IF(B$17=0,0,G8/B$17)</f>
        <v>0.1198501872659176</v>
      </c>
      <c r="I8" s="90">
        <v>7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0.32075471698113206</v>
      </c>
      <c r="E9" s="59" t="s">
        <v>69</v>
      </c>
      <c r="F9" s="56" t="s">
        <v>24</v>
      </c>
      <c r="G9" s="44">
        <v>30</v>
      </c>
      <c r="H9" s="129">
        <f>IF(B$17=0,0,G9/B$17)</f>
        <v>0.11235955056179775</v>
      </c>
      <c r="I9" s="90">
        <v>8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15</v>
      </c>
      <c r="C10" s="38">
        <f t="shared" si="1"/>
        <v>0.14150943396226415</v>
      </c>
      <c r="E10" s="59" t="s">
        <v>65</v>
      </c>
      <c r="F10" s="56" t="s">
        <v>21</v>
      </c>
      <c r="G10" s="44">
        <v>26</v>
      </c>
      <c r="H10" s="129">
        <f>IF(B$17=0,0,G10/B$17)</f>
        <v>9.7378277153558054E-2</v>
      </c>
      <c r="I10" s="90">
        <v>7</v>
      </c>
      <c r="K10" s="36">
        <v>8</v>
      </c>
      <c r="L10" s="95">
        <v>-56.79999999999999</v>
      </c>
      <c r="N10" s="110" t="s">
        <v>162</v>
      </c>
      <c r="O10" s="120">
        <f>IF(P10=0,0,Q10/P10)</f>
        <v>1.3407407407407417</v>
      </c>
      <c r="P10" s="114">
        <v>27</v>
      </c>
      <c r="Q10" s="102">
        <v>36.200000000000024</v>
      </c>
    </row>
    <row r="11" spans="1:17" x14ac:dyDescent="0.4">
      <c r="A11" s="52" t="s">
        <v>138</v>
      </c>
      <c r="B11" s="45">
        <v>10</v>
      </c>
      <c r="C11" s="38">
        <f t="shared" si="1"/>
        <v>9.4339622641509441E-2</v>
      </c>
      <c r="E11" s="59" t="s">
        <v>70</v>
      </c>
      <c r="F11" s="56" t="s">
        <v>25</v>
      </c>
      <c r="G11" s="44">
        <v>24</v>
      </c>
      <c r="H11" s="129">
        <f>IF(B$17=0,0,G11/B$17)</f>
        <v>8.98876404494382E-2</v>
      </c>
      <c r="I11" s="90">
        <v>8</v>
      </c>
      <c r="K11" s="36">
        <v>9</v>
      </c>
      <c r="L11" s="95">
        <v>-83.699999999999989</v>
      </c>
      <c r="N11" s="111" t="s">
        <v>163</v>
      </c>
      <c r="O11" s="121">
        <f>IF(P11=0,0,Q11/P11)</f>
        <v>3.7781250000000011</v>
      </c>
      <c r="P11" s="115">
        <v>32</v>
      </c>
      <c r="Q11" s="103">
        <v>120.90000000000003</v>
      </c>
    </row>
    <row r="12" spans="1:17" x14ac:dyDescent="0.4">
      <c r="A12" s="53" t="s">
        <v>158</v>
      </c>
      <c r="B12" s="46">
        <v>17</v>
      </c>
      <c r="C12" s="40">
        <f t="shared" si="1"/>
        <v>0.16037735849056603</v>
      </c>
      <c r="E12" s="59" t="s">
        <v>71</v>
      </c>
      <c r="F12" s="56" t="s">
        <v>26</v>
      </c>
      <c r="G12" s="44">
        <v>23</v>
      </c>
      <c r="H12" s="129">
        <f>IF(B$17=0,0,G12/B$17)</f>
        <v>8.6142322097378279E-2</v>
      </c>
      <c r="I12" s="90">
        <v>6</v>
      </c>
      <c r="K12" s="36">
        <v>10</v>
      </c>
      <c r="L12" s="95">
        <v>-78.399999999999991</v>
      </c>
      <c r="N12" s="112" t="s">
        <v>164</v>
      </c>
      <c r="O12" s="122">
        <f>IF(P12=0,0,Q12/P12)</f>
        <v>-4.3829787234042561</v>
      </c>
      <c r="P12" s="116">
        <v>47</v>
      </c>
      <c r="Q12" s="104">
        <v>-206.00000000000006</v>
      </c>
    </row>
    <row r="13" spans="1:17" x14ac:dyDescent="0.4">
      <c r="A13" s="54" t="s">
        <v>121</v>
      </c>
      <c r="B13" s="47">
        <v>207</v>
      </c>
      <c r="C13" s="42">
        <f>IF(B$3=0,0,B13/B$3)</f>
        <v>0.23180291153415453</v>
      </c>
      <c r="E13" s="59" t="s">
        <v>86</v>
      </c>
      <c r="F13" s="56" t="s">
        <v>41</v>
      </c>
      <c r="G13" s="44">
        <v>18</v>
      </c>
      <c r="H13" s="129">
        <f>IF(B$17=0,0,G13/B$17)</f>
        <v>6.741573033707865E-2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270</v>
      </c>
      <c r="C14" s="37">
        <f>IF(B$3=0,0,B14/B$3)</f>
        <v>0.30235162374020158</v>
      </c>
      <c r="E14" s="59" t="s">
        <v>83</v>
      </c>
      <c r="F14" s="56" t="s">
        <v>38</v>
      </c>
      <c r="G14" s="44">
        <v>15</v>
      </c>
      <c r="H14" s="129">
        <f>IF(B$17=0,0,G14/B$17)</f>
        <v>5.6179775280898875E-2</v>
      </c>
      <c r="I14" s="90">
        <v>6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105</v>
      </c>
      <c r="C15" s="35">
        <f>IF(B$13=0,0,B15/B$13)</f>
        <v>0.50724637681159424</v>
      </c>
      <c r="E15" s="59" t="s">
        <v>78</v>
      </c>
      <c r="F15" s="56" t="s">
        <v>33</v>
      </c>
      <c r="G15" s="44">
        <v>9</v>
      </c>
      <c r="H15" s="129">
        <f>IF(B$17=0,0,G15/B$17)</f>
        <v>3.3707865168539325E-2</v>
      </c>
      <c r="I15" s="90">
        <v>4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98</v>
      </c>
      <c r="C16" s="35">
        <f>IF(B$14=0,0,B16/B$14)</f>
        <v>0.36296296296296299</v>
      </c>
      <c r="E16" s="59" t="s">
        <v>91</v>
      </c>
      <c r="F16" s="56" t="s">
        <v>46</v>
      </c>
      <c r="G16" s="44">
        <v>8</v>
      </c>
      <c r="H16" s="129">
        <f>IF(B$17=0,0,G16/B$17)</f>
        <v>2.9962546816479401E-2</v>
      </c>
      <c r="I16" s="90">
        <v>1</v>
      </c>
      <c r="K16" s="36">
        <v>14</v>
      </c>
      <c r="L16" s="95">
        <v>-138.4</v>
      </c>
      <c r="N16" s="111" t="s">
        <v>182</v>
      </c>
      <c r="O16" s="121">
        <f>IF(P16=0,0,Q16/P16)</f>
        <v>25.583333333333332</v>
      </c>
      <c r="P16" s="115">
        <v>12</v>
      </c>
      <c r="Q16" s="103">
        <v>307</v>
      </c>
    </row>
    <row r="17" spans="1:17" x14ac:dyDescent="0.4">
      <c r="A17" s="50" t="s">
        <v>10</v>
      </c>
      <c r="B17" s="43">
        <f>B19+B18</f>
        <v>267</v>
      </c>
      <c r="C17" s="35">
        <f>IF(B$3=0,0,B17/B$3)</f>
        <v>0.29899216125419931</v>
      </c>
      <c r="E17" s="59" t="s">
        <v>81</v>
      </c>
      <c r="F17" s="56" t="s">
        <v>36</v>
      </c>
      <c r="G17" s="44">
        <v>6</v>
      </c>
      <c r="H17" s="129">
        <f>IF(B$17=0,0,G17/B$17)</f>
        <v>2.247191011235955E-2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13.5</v>
      </c>
      <c r="P17" s="115">
        <v>5</v>
      </c>
      <c r="Q17" s="103">
        <v>67.5</v>
      </c>
    </row>
    <row r="18" spans="1:17" x14ac:dyDescent="0.4">
      <c r="A18" s="51" t="s">
        <v>12</v>
      </c>
      <c r="B18" s="44">
        <v>108</v>
      </c>
      <c r="C18" s="37">
        <f>IF(B$17=0,0,B18/B$17)</f>
        <v>0.4044943820224719</v>
      </c>
      <c r="E18" s="59" t="s">
        <v>79</v>
      </c>
      <c r="F18" s="56" t="s">
        <v>34</v>
      </c>
      <c r="G18" s="44">
        <v>5</v>
      </c>
      <c r="H18" s="129">
        <f>IF(B$17=0,0,G18/B$17)</f>
        <v>1.8726591760299626E-2</v>
      </c>
      <c r="I18" s="90">
        <v>3</v>
      </c>
      <c r="K18" s="36">
        <v>16</v>
      </c>
      <c r="L18" s="95">
        <v>-187.3</v>
      </c>
      <c r="N18" s="111" t="s">
        <v>179</v>
      </c>
      <c r="O18" s="121">
        <f>IF(P18=0,0,Q18/P18)</f>
        <v>13.151515151515149</v>
      </c>
      <c r="P18" s="115">
        <v>33</v>
      </c>
      <c r="Q18" s="103">
        <v>433.99999999999989</v>
      </c>
    </row>
    <row r="19" spans="1:17" x14ac:dyDescent="0.4">
      <c r="A19" s="51" t="s">
        <v>11</v>
      </c>
      <c r="B19" s="44">
        <v>159</v>
      </c>
      <c r="C19" s="37">
        <f>IF(B$17=0,0,B19/B$17)</f>
        <v>0.5955056179775281</v>
      </c>
      <c r="E19" s="59" t="s">
        <v>167</v>
      </c>
      <c r="F19" s="56" t="s">
        <v>168</v>
      </c>
      <c r="G19" s="44">
        <v>3</v>
      </c>
      <c r="H19" s="129">
        <f>IF(B$17=0,0,G19/B$17)</f>
        <v>1.1235955056179775E-2</v>
      </c>
      <c r="I19" s="90">
        <v>7</v>
      </c>
      <c r="K19" s="36">
        <v>17</v>
      </c>
      <c r="L19" s="95">
        <v>-179.70000000000002</v>
      </c>
      <c r="N19" s="111" t="s">
        <v>177</v>
      </c>
      <c r="O19" s="121">
        <f>IF(P19=0,0,Q19/P19)</f>
        <v>2.8703703703703769</v>
      </c>
      <c r="P19" s="115">
        <v>27</v>
      </c>
      <c r="Q19" s="103">
        <v>77.500000000000171</v>
      </c>
    </row>
    <row r="20" spans="1:17" x14ac:dyDescent="0.4">
      <c r="A20" s="51" t="s">
        <v>13</v>
      </c>
      <c r="B20" s="44">
        <v>174</v>
      </c>
      <c r="C20" s="37">
        <f>IF(B$3=0,0,B20/B$3)</f>
        <v>0.1948488241881299</v>
      </c>
      <c r="E20" s="59" t="s">
        <v>74</v>
      </c>
      <c r="F20" s="56" t="s">
        <v>29</v>
      </c>
      <c r="G20" s="44">
        <v>2</v>
      </c>
      <c r="H20" s="129">
        <f>IF(B$17=0,0,G20/B$17)</f>
        <v>7.4906367041198503E-3</v>
      </c>
      <c r="I20" s="90">
        <v>3</v>
      </c>
      <c r="K20" s="36">
        <v>18</v>
      </c>
      <c r="L20" s="95">
        <v>-112.90000000000002</v>
      </c>
      <c r="N20" s="111" t="s">
        <v>166</v>
      </c>
      <c r="O20" s="121">
        <f>IF(P20=0,0,Q20/P20)</f>
        <v>2.5681818181818166</v>
      </c>
      <c r="P20" s="115">
        <v>22</v>
      </c>
      <c r="Q20" s="103">
        <v>56.499999999999964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75</v>
      </c>
      <c r="F21" s="56" t="s">
        <v>30</v>
      </c>
      <c r="G21" s="44">
        <v>2</v>
      </c>
      <c r="H21" s="129">
        <f>IF(B$17=0,0,G21/B$17)</f>
        <v>7.4906367041198503E-3</v>
      </c>
      <c r="I21" s="90">
        <v>4</v>
      </c>
      <c r="K21" s="36">
        <v>19</v>
      </c>
      <c r="L21" s="95">
        <v>-162.40000000000003</v>
      </c>
      <c r="N21" s="111" t="s">
        <v>178</v>
      </c>
      <c r="O21" s="121">
        <f>IF(P21=0,0,Q21/P21)</f>
        <v>-2.8810810810810787</v>
      </c>
      <c r="P21" s="115">
        <v>37</v>
      </c>
      <c r="Q21" s="103">
        <v>-106.59999999999991</v>
      </c>
    </row>
    <row r="22" spans="1:17" x14ac:dyDescent="0.4">
      <c r="A22" s="51" t="s">
        <v>170</v>
      </c>
      <c r="B22" s="44">
        <v>30</v>
      </c>
      <c r="C22" s="131">
        <v>5</v>
      </c>
      <c r="E22" s="59" t="s">
        <v>73</v>
      </c>
      <c r="F22" s="56" t="s">
        <v>28</v>
      </c>
      <c r="G22" s="44">
        <v>1</v>
      </c>
      <c r="H22" s="129">
        <f>IF(B$17=0,0,G22/B$17)</f>
        <v>3.7453183520599251E-3</v>
      </c>
      <c r="I22" s="90">
        <v>3</v>
      </c>
      <c r="K22" s="36">
        <v>20</v>
      </c>
      <c r="L22" s="95">
        <v>-96.000000000000028</v>
      </c>
      <c r="N22" s="111" t="s">
        <v>126</v>
      </c>
      <c r="O22" s="121">
        <f>IF(P22=0,0,Q22/P22)</f>
        <v>-15.313513513513515</v>
      </c>
      <c r="P22" s="115">
        <v>74</v>
      </c>
      <c r="Q22" s="103">
        <v>-1133.2</v>
      </c>
    </row>
    <row r="23" spans="1:17" x14ac:dyDescent="0.4">
      <c r="A23" s="51" t="s">
        <v>5</v>
      </c>
      <c r="B23" s="48">
        <f>IF(B$17=0,0,C23/B$17)</f>
        <v>8530.3370786516862</v>
      </c>
      <c r="C23" s="39">
        <v>2277600</v>
      </c>
      <c r="E23" s="59" t="s">
        <v>77</v>
      </c>
      <c r="F23" s="56" t="s">
        <v>32</v>
      </c>
      <c r="G23" s="44">
        <v>1</v>
      </c>
      <c r="H23" s="129">
        <f>IF(B$17=0,0,G23/B$17)</f>
        <v>3.7453183520599251E-3</v>
      </c>
      <c r="I23" s="90">
        <v>3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8932.544378698225</v>
      </c>
      <c r="C24" s="137">
        <v>1509600</v>
      </c>
      <c r="E24" s="59" t="s">
        <v>84</v>
      </c>
      <c r="F24" s="56" t="s">
        <v>39</v>
      </c>
      <c r="G24" s="44">
        <v>1</v>
      </c>
      <c r="H24" s="129">
        <f>IF(B$17=0,0,G24/B$17)</f>
        <v>3.7453183520599251E-3</v>
      </c>
      <c r="I24" s="90">
        <v>2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7836.7346938775509</v>
      </c>
      <c r="C25" s="137">
        <v>768000</v>
      </c>
      <c r="E25" s="59" t="s">
        <v>92</v>
      </c>
      <c r="F25" s="56" t="s">
        <v>47</v>
      </c>
      <c r="G25" s="44">
        <v>1</v>
      </c>
      <c r="H25" s="129">
        <f>IF(B$17=0,0,G25/B$17)</f>
        <v>3.7453183520599251E-3</v>
      </c>
      <c r="I25" s="90">
        <v>4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-8247.1264367816093</v>
      </c>
      <c r="C26" s="137">
        <v>-1435000</v>
      </c>
      <c r="E26" s="59" t="s">
        <v>95</v>
      </c>
      <c r="F26" s="56" t="s">
        <v>50</v>
      </c>
      <c r="G26" s="44">
        <v>1</v>
      </c>
      <c r="H26" s="129">
        <f>IF(B$17=0,0,G26/B$17)</f>
        <v>3.7453183520599251E-3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3.3594624860022394E-3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9F3F6-5687-4280-9BCF-F6A38CE73CB0}">
  <sheetPr codeName="Sheet13"/>
  <dimension ref="A1:Q6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67</v>
      </c>
      <c r="C2" s="149"/>
      <c r="E2" s="58" t="s">
        <v>66</v>
      </c>
      <c r="F2" s="55" t="s">
        <v>22</v>
      </c>
      <c r="G2" s="43">
        <v>126</v>
      </c>
      <c r="H2" s="128">
        <f>IF(B$17=0,0,G2/B$17)</f>
        <v>0.78260869565217395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68.181818181818187</v>
      </c>
      <c r="P2" s="114">
        <v>66</v>
      </c>
      <c r="Q2" s="98">
        <v>4500</v>
      </c>
    </row>
    <row r="3" spans="1:17" x14ac:dyDescent="0.4">
      <c r="A3" s="51" t="s">
        <v>8</v>
      </c>
      <c r="B3" s="150">
        <v>573</v>
      </c>
      <c r="C3" s="151"/>
      <c r="E3" s="59" t="s">
        <v>64</v>
      </c>
      <c r="F3" s="56" t="s">
        <v>20</v>
      </c>
      <c r="G3" s="44">
        <v>94</v>
      </c>
      <c r="H3" s="129">
        <f>IF(B$17=0,0,G3/B$17)</f>
        <v>0.58385093167701863</v>
      </c>
      <c r="I3" s="90">
        <v>1</v>
      </c>
      <c r="K3" s="36">
        <v>1</v>
      </c>
      <c r="L3" s="95">
        <v>-37.799999999999997</v>
      </c>
      <c r="N3" s="111" t="s">
        <v>131</v>
      </c>
      <c r="O3" s="118">
        <f t="shared" si="0"/>
        <v>-834.84848484848487</v>
      </c>
      <c r="P3" s="115">
        <v>66</v>
      </c>
      <c r="Q3" s="99">
        <v>-55100</v>
      </c>
    </row>
    <row r="4" spans="1:17" x14ac:dyDescent="0.4">
      <c r="A4" s="51" t="s">
        <v>6</v>
      </c>
      <c r="B4" s="152">
        <v>-477.59999999999997</v>
      </c>
      <c r="C4" s="153"/>
      <c r="E4" s="59" t="s">
        <v>72</v>
      </c>
      <c r="F4" s="56" t="s">
        <v>27</v>
      </c>
      <c r="G4" s="44">
        <v>81</v>
      </c>
      <c r="H4" s="129">
        <f>IF(B$17=0,0,G4/B$17)</f>
        <v>0.50310559006211175</v>
      </c>
      <c r="I4" s="90">
        <v>8</v>
      </c>
      <c r="K4" s="36">
        <v>2</v>
      </c>
      <c r="L4" s="95">
        <v>-30.099999999999998</v>
      </c>
      <c r="N4" s="111" t="s">
        <v>132</v>
      </c>
      <c r="O4" s="118">
        <f t="shared" si="0"/>
        <v>175.80645161290323</v>
      </c>
      <c r="P4" s="115">
        <v>62</v>
      </c>
      <c r="Q4" s="99">
        <v>10900</v>
      </c>
    </row>
    <row r="5" spans="1:17" x14ac:dyDescent="0.4">
      <c r="A5" s="51" t="s">
        <v>7</v>
      </c>
      <c r="B5" s="154">
        <f>IF(B$2=0,0,B$4/B$2)</f>
        <v>-7.1283582089552233</v>
      </c>
      <c r="C5" s="155"/>
      <c r="E5" s="59" t="s">
        <v>171</v>
      </c>
      <c r="F5" s="56" t="s">
        <v>172</v>
      </c>
      <c r="G5" s="44">
        <v>69</v>
      </c>
      <c r="H5" s="129">
        <f>IF(B$17=0,0,G5/B$17)</f>
        <v>0.42857142857142855</v>
      </c>
      <c r="I5" s="90">
        <v>2</v>
      </c>
      <c r="K5" s="36">
        <v>3</v>
      </c>
      <c r="L5" s="95">
        <v>-17.599999999999998</v>
      </c>
      <c r="N5" s="111" t="s">
        <v>133</v>
      </c>
      <c r="O5" s="118">
        <f t="shared" si="0"/>
        <v>-1378.688524590164</v>
      </c>
      <c r="P5" s="115">
        <v>61</v>
      </c>
      <c r="Q5" s="99">
        <v>-84100</v>
      </c>
    </row>
    <row r="6" spans="1:17" x14ac:dyDescent="0.4">
      <c r="A6" s="51" t="s">
        <v>1</v>
      </c>
      <c r="B6" s="144">
        <f>IF(B$2=0,0,(B$7*1+B$8*2+B$9*3)/B$2)</f>
        <v>2.1791044776119404</v>
      </c>
      <c r="C6" s="145"/>
      <c r="E6" s="59" t="s">
        <v>68</v>
      </c>
      <c r="F6" s="56" t="s">
        <v>12</v>
      </c>
      <c r="G6" s="44">
        <v>56</v>
      </c>
      <c r="H6" s="129">
        <f>IF(B$17=0,0,G6/B$17)</f>
        <v>0.34782608695652173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-3265.5172413793102</v>
      </c>
      <c r="P6" s="115">
        <v>58</v>
      </c>
      <c r="Q6" s="99">
        <v>-189400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0.22388059701492538</v>
      </c>
      <c r="E7" s="59" t="s">
        <v>67</v>
      </c>
      <c r="F7" s="56" t="s">
        <v>23</v>
      </c>
      <c r="G7" s="44">
        <v>49</v>
      </c>
      <c r="H7" s="129">
        <f>IF(B$17=0,0,G7/B$17)</f>
        <v>0.30434782608695654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-1190</v>
      </c>
      <c r="P7" s="116">
        <v>50</v>
      </c>
      <c r="Q7" s="100">
        <v>-59500</v>
      </c>
    </row>
    <row r="8" spans="1:17" x14ac:dyDescent="0.4">
      <c r="A8" s="51" t="s">
        <v>3</v>
      </c>
      <c r="B8" s="44">
        <v>25</v>
      </c>
      <c r="C8" s="37">
        <f t="shared" si="1"/>
        <v>0.37313432835820898</v>
      </c>
      <c r="E8" s="59" t="s">
        <v>70</v>
      </c>
      <c r="F8" s="56" t="s">
        <v>25</v>
      </c>
      <c r="G8" s="44">
        <v>25</v>
      </c>
      <c r="H8" s="129">
        <f>IF(B$17=0,0,G8/B$17)</f>
        <v>0.15527950310559005</v>
      </c>
      <c r="I8" s="90">
        <v>1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0.40298507462686567</v>
      </c>
      <c r="E9" s="59" t="s">
        <v>69</v>
      </c>
      <c r="F9" s="56" t="s">
        <v>24</v>
      </c>
      <c r="G9" s="44">
        <v>23</v>
      </c>
      <c r="H9" s="129">
        <f>IF(B$17=0,0,G9/B$17)</f>
        <v>0.14285714285714285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8.9552238805970144E-2</v>
      </c>
      <c r="E10" s="59" t="s">
        <v>65</v>
      </c>
      <c r="F10" s="56" t="s">
        <v>21</v>
      </c>
      <c r="G10" s="44">
        <v>18</v>
      </c>
      <c r="H10" s="129">
        <f>IF(B$17=0,0,G10/B$17)</f>
        <v>0.11180124223602485</v>
      </c>
      <c r="I10" s="90">
        <v>5</v>
      </c>
      <c r="K10" s="36">
        <v>8</v>
      </c>
      <c r="L10" s="95">
        <v>-62.999999999999993</v>
      </c>
      <c r="N10" s="110" t="s">
        <v>162</v>
      </c>
      <c r="O10" s="120">
        <f>IF(P10=0,0,Q10/P10)</f>
        <v>-2.9076923076923085</v>
      </c>
      <c r="P10" s="114">
        <v>26</v>
      </c>
      <c r="Q10" s="102">
        <v>-75.600000000000023</v>
      </c>
    </row>
    <row r="11" spans="1:17" x14ac:dyDescent="0.4">
      <c r="A11" s="52" t="s">
        <v>138</v>
      </c>
      <c r="B11" s="45">
        <v>2</v>
      </c>
      <c r="C11" s="38">
        <f t="shared" si="1"/>
        <v>2.9850746268656716E-2</v>
      </c>
      <c r="E11" s="59" t="s">
        <v>89</v>
      </c>
      <c r="F11" s="56" t="s">
        <v>44</v>
      </c>
      <c r="G11" s="44">
        <v>17</v>
      </c>
      <c r="H11" s="129">
        <f>IF(B$17=0,0,G11/B$17)</f>
        <v>0.10559006211180125</v>
      </c>
      <c r="I11" s="90">
        <v>8</v>
      </c>
      <c r="K11" s="36">
        <v>9</v>
      </c>
      <c r="L11" s="95">
        <v>-74.199999999999989</v>
      </c>
      <c r="N11" s="111" t="s">
        <v>163</v>
      </c>
      <c r="O11" s="121">
        <f>IF(P11=0,0,Q11/P11)</f>
        <v>-8.6476190476190489</v>
      </c>
      <c r="P11" s="115">
        <v>21</v>
      </c>
      <c r="Q11" s="103">
        <v>-181.60000000000002</v>
      </c>
    </row>
    <row r="12" spans="1:17" x14ac:dyDescent="0.4">
      <c r="A12" s="53" t="s">
        <v>158</v>
      </c>
      <c r="B12" s="46">
        <v>5</v>
      </c>
      <c r="C12" s="40">
        <f t="shared" si="1"/>
        <v>7.4626865671641784E-2</v>
      </c>
      <c r="E12" s="59" t="s">
        <v>83</v>
      </c>
      <c r="F12" s="56" t="s">
        <v>38</v>
      </c>
      <c r="G12" s="44">
        <v>10</v>
      </c>
      <c r="H12" s="129">
        <f>IF(B$17=0,0,G12/B$17)</f>
        <v>6.2111801242236024E-2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-11.02</v>
      </c>
      <c r="P12" s="116">
        <v>20</v>
      </c>
      <c r="Q12" s="104">
        <v>-220.39999999999998</v>
      </c>
    </row>
    <row r="13" spans="1:17" x14ac:dyDescent="0.4">
      <c r="A13" s="54" t="s">
        <v>121</v>
      </c>
      <c r="B13" s="47">
        <v>165</v>
      </c>
      <c r="C13" s="42">
        <f>IF(B$3=0,0,B13/B$3)</f>
        <v>0.2879581151832461</v>
      </c>
      <c r="E13" s="59" t="s">
        <v>71</v>
      </c>
      <c r="F13" s="56" t="s">
        <v>26</v>
      </c>
      <c r="G13" s="44">
        <v>7</v>
      </c>
      <c r="H13" s="129">
        <f>IF(B$17=0,0,G13/B$17)</f>
        <v>4.3478260869565216E-2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109</v>
      </c>
      <c r="C14" s="37">
        <f>IF(B$3=0,0,B14/B$3)</f>
        <v>0.19022687609075042</v>
      </c>
      <c r="E14" s="59" t="s">
        <v>78</v>
      </c>
      <c r="F14" s="56" t="s">
        <v>33</v>
      </c>
      <c r="G14" s="44">
        <v>6</v>
      </c>
      <c r="H14" s="129">
        <f>IF(B$17=0,0,G14/B$17)</f>
        <v>3.7267080745341616E-2</v>
      </c>
      <c r="I14" s="90">
        <v>3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95</v>
      </c>
      <c r="C15" s="35">
        <f>IF(B$13=0,0,B15/B$13)</f>
        <v>0.5757575757575758</v>
      </c>
      <c r="E15" s="59" t="s">
        <v>86</v>
      </c>
      <c r="F15" s="56" t="s">
        <v>41</v>
      </c>
      <c r="G15" s="44">
        <v>4</v>
      </c>
      <c r="H15" s="129">
        <f>IF(B$17=0,0,G15/B$17)</f>
        <v>2.4844720496894408E-2</v>
      </c>
      <c r="I15" s="90">
        <v>10</v>
      </c>
      <c r="K15" s="36">
        <v>13</v>
      </c>
      <c r="L15" s="95">
        <v>-207.3</v>
      </c>
      <c r="N15" s="110" t="s">
        <v>182</v>
      </c>
      <c r="O15" s="120">
        <f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44</v>
      </c>
      <c r="C16" s="35">
        <f>IF(B$14=0,0,B16/B$14)</f>
        <v>0.40366972477064222</v>
      </c>
      <c r="E16" s="59" t="s">
        <v>81</v>
      </c>
      <c r="F16" s="56" t="s">
        <v>36</v>
      </c>
      <c r="G16" s="44">
        <v>3</v>
      </c>
      <c r="H16" s="129">
        <f>IF(B$17=0,0,G16/B$17)</f>
        <v>1.8633540372670808E-2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>IF(P16=0,0,Q16/P16)</f>
        <v>12.242857142857146</v>
      </c>
      <c r="P16" s="115">
        <v>14</v>
      </c>
      <c r="Q16" s="103">
        <v>171.40000000000003</v>
      </c>
    </row>
    <row r="17" spans="1:17" x14ac:dyDescent="0.4">
      <c r="A17" s="50" t="s">
        <v>10</v>
      </c>
      <c r="B17" s="43">
        <f>B19+B18</f>
        <v>161</v>
      </c>
      <c r="C17" s="35">
        <f>IF(B$3=0,0,B17/B$3)</f>
        <v>0.28097731239092494</v>
      </c>
      <c r="E17" s="59" t="s">
        <v>167</v>
      </c>
      <c r="F17" s="56" t="s">
        <v>168</v>
      </c>
      <c r="G17" s="44">
        <v>3</v>
      </c>
      <c r="H17" s="129">
        <f>IF(B$17=0,0,G17/B$17)</f>
        <v>1.8633540372670808E-2</v>
      </c>
      <c r="I17" s="90">
        <v>5</v>
      </c>
      <c r="K17" s="36">
        <v>15</v>
      </c>
      <c r="L17" s="95">
        <v>-221.5</v>
      </c>
      <c r="N17" s="111" t="s">
        <v>181</v>
      </c>
      <c r="O17" s="121">
        <f>IF(P17=0,0,Q17/P17)</f>
        <v>0.14000000000000129</v>
      </c>
      <c r="P17" s="115">
        <v>10</v>
      </c>
      <c r="Q17" s="103">
        <v>1.4000000000000128</v>
      </c>
    </row>
    <row r="18" spans="1:17" x14ac:dyDescent="0.4">
      <c r="A18" s="51" t="s">
        <v>12</v>
      </c>
      <c r="B18" s="44">
        <v>74</v>
      </c>
      <c r="C18" s="37">
        <f>IF(B$17=0,0,B18/B$17)</f>
        <v>0.45962732919254656</v>
      </c>
      <c r="E18" s="59" t="s">
        <v>75</v>
      </c>
      <c r="F18" s="56" t="s">
        <v>30</v>
      </c>
      <c r="G18" s="44">
        <v>2</v>
      </c>
      <c r="H18" s="129">
        <f>IF(B$17=0,0,G18/B$17)</f>
        <v>1.2422360248447204E-2</v>
      </c>
      <c r="I18" s="90">
        <v>2</v>
      </c>
      <c r="K18" s="36">
        <v>16</v>
      </c>
      <c r="L18" s="95">
        <v>-224.3</v>
      </c>
      <c r="N18" s="111" t="s">
        <v>177</v>
      </c>
      <c r="O18" s="121">
        <f>IF(P18=0,0,Q18/P18)</f>
        <v>-9.2727272727272716</v>
      </c>
      <c r="P18" s="115">
        <v>11</v>
      </c>
      <c r="Q18" s="103">
        <v>-101.99999999999999</v>
      </c>
    </row>
    <row r="19" spans="1:17" x14ac:dyDescent="0.4">
      <c r="A19" s="51" t="s">
        <v>11</v>
      </c>
      <c r="B19" s="44">
        <v>87</v>
      </c>
      <c r="C19" s="37">
        <f>IF(B$17=0,0,B19/B$17)</f>
        <v>0.54037267080745344</v>
      </c>
      <c r="E19" s="59" t="s">
        <v>79</v>
      </c>
      <c r="F19" s="56" t="s">
        <v>34</v>
      </c>
      <c r="G19" s="44">
        <v>2</v>
      </c>
      <c r="H19" s="129">
        <f>IF(B$17=0,0,G19/B$17)</f>
        <v>1.2422360248447204E-2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>IF(P19=0,0,Q19/P19)</f>
        <v>-12.900000000000002</v>
      </c>
      <c r="P19" s="115">
        <v>19</v>
      </c>
      <c r="Q19" s="103">
        <v>-245.10000000000005</v>
      </c>
    </row>
    <row r="20" spans="1:17" x14ac:dyDescent="0.4">
      <c r="A20" s="51" t="s">
        <v>13</v>
      </c>
      <c r="B20" s="44">
        <v>117</v>
      </c>
      <c r="C20" s="37">
        <f>IF(B$3=0,0,B20/B$3)</f>
        <v>0.20418848167539266</v>
      </c>
      <c r="E20" s="59" t="s">
        <v>91</v>
      </c>
      <c r="F20" s="56" t="s">
        <v>46</v>
      </c>
      <c r="G20" s="44">
        <v>1</v>
      </c>
      <c r="H20" s="129">
        <f>IF(B$17=0,0,G20/B$17)</f>
        <v>6.2111801242236021E-3</v>
      </c>
      <c r="I20" s="90">
        <v>6</v>
      </c>
      <c r="K20" s="36">
        <v>18</v>
      </c>
      <c r="L20" s="95">
        <v>-240</v>
      </c>
      <c r="N20" s="111" t="s">
        <v>127</v>
      </c>
      <c r="O20" s="121">
        <f>IF(P20=0,0,Q20/P20)</f>
        <v>-13.151515151515149</v>
      </c>
      <c r="P20" s="115">
        <v>33</v>
      </c>
      <c r="Q20" s="103">
        <v>-433.99999999999989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-218</v>
      </c>
      <c r="N21" s="111" t="s">
        <v>126</v>
      </c>
      <c r="O21" s="121">
        <f>IF(P21=0,0,Q21/P21)</f>
        <v>-17.637777777777785</v>
      </c>
      <c r="P21" s="115">
        <v>45</v>
      </c>
      <c r="Q21" s="103">
        <v>-793.70000000000027</v>
      </c>
    </row>
    <row r="22" spans="1:17" x14ac:dyDescent="0.4">
      <c r="A22" s="51" t="s">
        <v>170</v>
      </c>
      <c r="B22" s="44">
        <v>21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-177.6</v>
      </c>
      <c r="N22" s="111" t="s">
        <v>195</v>
      </c>
      <c r="O22" s="121">
        <f>IF(P22=0,0,Q22/P22)</f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8029.1925465838513</v>
      </c>
      <c r="C23" s="39">
        <v>1292700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8468.3760683760684</v>
      </c>
      <c r="C24" s="137">
        <v>990800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6861.363636363636</v>
      </c>
      <c r="C25" s="137">
        <v>301900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-7662.3931623931621</v>
      </c>
      <c r="C26" s="137">
        <v>-896500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69500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3</v>
      </c>
      <c r="C29" s="40">
        <f>IF(B$3=0,0,B29/B$3)</f>
        <v>5.235602094240838E-3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030EB-27DA-49E0-ABB3-D551961A85FA}">
  <sheetPr codeName="Sheet15"/>
  <dimension ref="A1:Q6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66</v>
      </c>
      <c r="C2" s="149"/>
      <c r="E2" s="58" t="s">
        <v>66</v>
      </c>
      <c r="F2" s="55" t="s">
        <v>22</v>
      </c>
      <c r="G2" s="43">
        <v>137</v>
      </c>
      <c r="H2" s="128">
        <f>IF(B$17=0,0,G2/B$17)</f>
        <v>0.86163522012578619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1454.5454545454545</v>
      </c>
      <c r="P2" s="114">
        <v>66</v>
      </c>
      <c r="Q2" s="98">
        <v>96000</v>
      </c>
    </row>
    <row r="3" spans="1:17" x14ac:dyDescent="0.4">
      <c r="A3" s="51" t="s">
        <v>8</v>
      </c>
      <c r="B3" s="150">
        <v>543</v>
      </c>
      <c r="C3" s="151"/>
      <c r="E3" s="59" t="s">
        <v>72</v>
      </c>
      <c r="F3" s="56" t="s">
        <v>27</v>
      </c>
      <c r="G3" s="44">
        <v>88</v>
      </c>
      <c r="H3" s="129">
        <f>IF(B$17=0,0,G3/B$17)</f>
        <v>0.55345911949685533</v>
      </c>
      <c r="I3" s="90">
        <v>5</v>
      </c>
      <c r="K3" s="36">
        <v>1</v>
      </c>
      <c r="L3" s="95">
        <v>-9.1</v>
      </c>
      <c r="N3" s="111" t="s">
        <v>131</v>
      </c>
      <c r="O3" s="118">
        <f t="shared" si="0"/>
        <v>-2165.625</v>
      </c>
      <c r="P3" s="115">
        <v>64</v>
      </c>
      <c r="Q3" s="99">
        <v>-138600</v>
      </c>
    </row>
    <row r="4" spans="1:17" x14ac:dyDescent="0.4">
      <c r="A4" s="51" t="s">
        <v>6</v>
      </c>
      <c r="B4" s="152">
        <v>368.80000000000007</v>
      </c>
      <c r="C4" s="153"/>
      <c r="E4" s="59" t="s">
        <v>64</v>
      </c>
      <c r="F4" s="56" t="s">
        <v>20</v>
      </c>
      <c r="G4" s="44">
        <v>86</v>
      </c>
      <c r="H4" s="129">
        <f>IF(B$17=0,0,G4/B$17)</f>
        <v>0.54088050314465408</v>
      </c>
      <c r="I4" s="90">
        <v>3</v>
      </c>
      <c r="K4" s="36">
        <v>2</v>
      </c>
      <c r="L4" s="95">
        <v>-67.3</v>
      </c>
      <c r="N4" s="111" t="s">
        <v>132</v>
      </c>
      <c r="O4" s="118">
        <f t="shared" si="0"/>
        <v>1253.3333333333333</v>
      </c>
      <c r="P4" s="115">
        <v>60</v>
      </c>
      <c r="Q4" s="99">
        <v>75200</v>
      </c>
    </row>
    <row r="5" spans="1:17" x14ac:dyDescent="0.4">
      <c r="A5" s="51" t="s">
        <v>7</v>
      </c>
      <c r="B5" s="154">
        <f>IF(B$2=0,0,B$4/B$2)</f>
        <v>5.5878787878787888</v>
      </c>
      <c r="C5" s="155"/>
      <c r="E5" s="59" t="s">
        <v>67</v>
      </c>
      <c r="F5" s="56" t="s">
        <v>23</v>
      </c>
      <c r="G5" s="44">
        <v>69</v>
      </c>
      <c r="H5" s="129">
        <f>IF(B$17=0,0,G5/B$17)</f>
        <v>0.43396226415094341</v>
      </c>
      <c r="I5" s="90">
        <v>2</v>
      </c>
      <c r="K5" s="36">
        <v>3</v>
      </c>
      <c r="L5" s="95">
        <v>-113.8</v>
      </c>
      <c r="N5" s="111" t="s">
        <v>133</v>
      </c>
      <c r="O5" s="118">
        <f t="shared" si="0"/>
        <v>3556.1403508771928</v>
      </c>
      <c r="P5" s="115">
        <v>57</v>
      </c>
      <c r="Q5" s="99">
        <v>202700</v>
      </c>
    </row>
    <row r="6" spans="1:17" x14ac:dyDescent="0.4">
      <c r="A6" s="51" t="s">
        <v>1</v>
      </c>
      <c r="B6" s="144">
        <f>IF(B$2=0,0,(B$7*1+B$8*2+B$9*3)/B$2)</f>
        <v>1.8787878787878789</v>
      </c>
      <c r="C6" s="145"/>
      <c r="E6" s="59" t="s">
        <v>171</v>
      </c>
      <c r="F6" s="56" t="s">
        <v>172</v>
      </c>
      <c r="G6" s="44">
        <v>61</v>
      </c>
      <c r="H6" s="129">
        <f>IF(B$17=0,0,G6/B$17)</f>
        <v>0.38364779874213839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832.07547169811323</v>
      </c>
      <c r="P6" s="115">
        <v>53</v>
      </c>
      <c r="Q6" s="99">
        <v>44100</v>
      </c>
    </row>
    <row r="7" spans="1:17" x14ac:dyDescent="0.4">
      <c r="A7" s="51" t="s">
        <v>2</v>
      </c>
      <c r="B7" s="44">
        <v>28</v>
      </c>
      <c r="C7" s="37">
        <f t="shared" ref="C7:C12" si="1">IF(B$2=0,0,B7/B$2)</f>
        <v>0.42424242424242425</v>
      </c>
      <c r="E7" s="59" t="s">
        <v>68</v>
      </c>
      <c r="F7" s="56" t="s">
        <v>12</v>
      </c>
      <c r="G7" s="44">
        <v>58</v>
      </c>
      <c r="H7" s="129">
        <f>IF(B$17=0,0,G7/B$17)</f>
        <v>0.36477987421383645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-305.12820512820514</v>
      </c>
      <c r="P7" s="116">
        <v>39</v>
      </c>
      <c r="Q7" s="100">
        <v>-11900</v>
      </c>
    </row>
    <row r="8" spans="1:17" x14ac:dyDescent="0.4">
      <c r="A8" s="51" t="s">
        <v>3</v>
      </c>
      <c r="B8" s="44">
        <v>18</v>
      </c>
      <c r="C8" s="37">
        <f t="shared" si="1"/>
        <v>0.27272727272727271</v>
      </c>
      <c r="E8" s="59" t="s">
        <v>69</v>
      </c>
      <c r="F8" s="56" t="s">
        <v>24</v>
      </c>
      <c r="G8" s="44">
        <v>34</v>
      </c>
      <c r="H8" s="129">
        <f>IF(B$17=0,0,G8/B$17)</f>
        <v>0.21383647798742139</v>
      </c>
      <c r="I8" s="90">
        <v>1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0.30303030303030304</v>
      </c>
      <c r="E9" s="59" t="s">
        <v>89</v>
      </c>
      <c r="F9" s="56" t="s">
        <v>44</v>
      </c>
      <c r="G9" s="44">
        <v>33</v>
      </c>
      <c r="H9" s="129">
        <f>IF(B$17=0,0,G9/B$17)</f>
        <v>0.20754716981132076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6</v>
      </c>
      <c r="C10" s="38">
        <f t="shared" si="1"/>
        <v>9.0909090909090912E-2</v>
      </c>
      <c r="E10" s="59" t="s">
        <v>65</v>
      </c>
      <c r="F10" s="56" t="s">
        <v>21</v>
      </c>
      <c r="G10" s="44">
        <v>21</v>
      </c>
      <c r="H10" s="129">
        <f>IF(B$17=0,0,G10/B$17)</f>
        <v>0.13207547169811321</v>
      </c>
      <c r="I10" s="90">
        <v>3</v>
      </c>
      <c r="K10" s="36">
        <v>8</v>
      </c>
      <c r="L10" s="95">
        <v>-110.19999999999999</v>
      </c>
      <c r="N10" s="110" t="s">
        <v>162</v>
      </c>
      <c r="O10" s="120">
        <f>IF(P10=0,0,Q10/P10)</f>
        <v>7.7500000000000018</v>
      </c>
      <c r="P10" s="114">
        <v>18</v>
      </c>
      <c r="Q10" s="102">
        <v>139.50000000000003</v>
      </c>
    </row>
    <row r="11" spans="1:17" x14ac:dyDescent="0.4">
      <c r="A11" s="52" t="s">
        <v>138</v>
      </c>
      <c r="B11" s="45">
        <v>12</v>
      </c>
      <c r="C11" s="38">
        <f t="shared" si="1"/>
        <v>0.18181818181818182</v>
      </c>
      <c r="E11" s="59" t="s">
        <v>70</v>
      </c>
      <c r="F11" s="56" t="s">
        <v>25</v>
      </c>
      <c r="G11" s="44">
        <v>18</v>
      </c>
      <c r="H11" s="129">
        <f>IF(B$17=0,0,G11/B$17)</f>
        <v>0.11320754716981132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4.9677419354838701</v>
      </c>
      <c r="P11" s="115">
        <v>31</v>
      </c>
      <c r="Q11" s="103">
        <v>153.99999999999997</v>
      </c>
    </row>
    <row r="12" spans="1:17" x14ac:dyDescent="0.4">
      <c r="A12" s="53" t="s">
        <v>158</v>
      </c>
      <c r="B12" s="46">
        <v>7</v>
      </c>
      <c r="C12" s="40">
        <f t="shared" si="1"/>
        <v>0.10606060606060606</v>
      </c>
      <c r="E12" s="59" t="s">
        <v>167</v>
      </c>
      <c r="F12" s="56" t="s">
        <v>168</v>
      </c>
      <c r="G12" s="44">
        <v>11</v>
      </c>
      <c r="H12" s="129">
        <f>IF(B$17=0,0,G12/B$17)</f>
        <v>6.9182389937106917E-2</v>
      </c>
      <c r="I12" s="90">
        <v>1</v>
      </c>
      <c r="K12" s="36">
        <v>10</v>
      </c>
      <c r="L12" s="95">
        <v>-113.29999999999998</v>
      </c>
      <c r="N12" s="112" t="s">
        <v>164</v>
      </c>
      <c r="O12" s="122">
        <f>IF(P12=0,0,Q12/P12)</f>
        <v>4.4294117647058826</v>
      </c>
      <c r="P12" s="116">
        <v>17</v>
      </c>
      <c r="Q12" s="104">
        <v>75.300000000000011</v>
      </c>
    </row>
    <row r="13" spans="1:17" x14ac:dyDescent="0.4">
      <c r="A13" s="54" t="s">
        <v>121</v>
      </c>
      <c r="B13" s="47">
        <v>173</v>
      </c>
      <c r="C13" s="42">
        <f>IF(B$3=0,0,B13/B$3)</f>
        <v>0.31860036832412525</v>
      </c>
      <c r="E13" s="59" t="s">
        <v>71</v>
      </c>
      <c r="F13" s="56" t="s">
        <v>26</v>
      </c>
      <c r="G13" s="44">
        <v>8</v>
      </c>
      <c r="H13" s="129">
        <f>IF(B$17=0,0,G13/B$17)</f>
        <v>5.0314465408805034E-2</v>
      </c>
      <c r="I13" s="90">
        <v>10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97</v>
      </c>
      <c r="C14" s="37">
        <f>IF(B$3=0,0,B14/B$3)</f>
        <v>0.17863720073664824</v>
      </c>
      <c r="E14" s="59" t="s">
        <v>83</v>
      </c>
      <c r="F14" s="56" t="s">
        <v>38</v>
      </c>
      <c r="G14" s="44">
        <v>7</v>
      </c>
      <c r="H14" s="129">
        <f>IF(B$17=0,0,G14/B$17)</f>
        <v>4.40251572327044E-2</v>
      </c>
      <c r="I14" s="90">
        <v>9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97</v>
      </c>
      <c r="C15" s="35">
        <f>IF(B$13=0,0,B15/B$13)</f>
        <v>0.56069364161849711</v>
      </c>
      <c r="E15" s="59" t="s">
        <v>86</v>
      </c>
      <c r="F15" s="56" t="s">
        <v>41</v>
      </c>
      <c r="G15" s="44">
        <v>5</v>
      </c>
      <c r="H15" s="129">
        <f>IF(B$17=0,0,G15/B$17)</f>
        <v>3.1446540880503145E-2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43</v>
      </c>
      <c r="C16" s="35">
        <f>IF(B$14=0,0,B16/B$14)</f>
        <v>0.44329896907216493</v>
      </c>
      <c r="E16" s="59" t="s">
        <v>81</v>
      </c>
      <c r="F16" s="56" t="s">
        <v>36</v>
      </c>
      <c r="G16" s="44">
        <v>3</v>
      </c>
      <c r="H16" s="129">
        <f>IF(B$17=0,0,G16/B$17)</f>
        <v>1.8867924528301886E-2</v>
      </c>
      <c r="I16" s="90">
        <v>4</v>
      </c>
      <c r="K16" s="36">
        <v>14</v>
      </c>
      <c r="L16" s="95">
        <v>-86.499999999999972</v>
      </c>
      <c r="N16" s="111" t="s">
        <v>166</v>
      </c>
      <c r="O16" s="121">
        <f>IF(P16=0,0,Q16/P16)</f>
        <v>27.133333333333333</v>
      </c>
      <c r="P16" s="115">
        <v>9</v>
      </c>
      <c r="Q16" s="103">
        <v>244.2</v>
      </c>
    </row>
    <row r="17" spans="1:17" x14ac:dyDescent="0.4">
      <c r="A17" s="50" t="s">
        <v>10</v>
      </c>
      <c r="B17" s="43">
        <f>B19+B18</f>
        <v>159</v>
      </c>
      <c r="C17" s="35">
        <f>IF(B$3=0,0,B17/B$3)</f>
        <v>0.29281767955801102</v>
      </c>
      <c r="E17" s="59" t="s">
        <v>92</v>
      </c>
      <c r="F17" s="56" t="s">
        <v>47</v>
      </c>
      <c r="G17" s="44">
        <v>3</v>
      </c>
      <c r="H17" s="129">
        <f>IF(B$17=0,0,G17/B$17)</f>
        <v>1.8867924528301886E-2</v>
      </c>
      <c r="I17" s="90">
        <v>1</v>
      </c>
      <c r="K17" s="36">
        <v>15</v>
      </c>
      <c r="L17" s="95">
        <v>-101.79999999999997</v>
      </c>
      <c r="N17" s="111" t="s">
        <v>182</v>
      </c>
      <c r="O17" s="121">
        <f>IF(P17=0,0,Q17/P17)</f>
        <v>15.864285714285712</v>
      </c>
      <c r="P17" s="115">
        <v>14</v>
      </c>
      <c r="Q17" s="103">
        <v>222.09999999999997</v>
      </c>
    </row>
    <row r="18" spans="1:17" x14ac:dyDescent="0.4">
      <c r="A18" s="51" t="s">
        <v>12</v>
      </c>
      <c r="B18" s="44">
        <v>75</v>
      </c>
      <c r="C18" s="37">
        <f>IF(B$17=0,0,B18/B$17)</f>
        <v>0.47169811320754718</v>
      </c>
      <c r="E18" s="59" t="s">
        <v>91</v>
      </c>
      <c r="F18" s="56" t="s">
        <v>46</v>
      </c>
      <c r="G18" s="44">
        <v>2</v>
      </c>
      <c r="H18" s="129">
        <f>IF(B$17=0,0,G18/B$17)</f>
        <v>1.2578616352201259E-2</v>
      </c>
      <c r="I18" s="90">
        <v>5</v>
      </c>
      <c r="K18" s="36">
        <v>16</v>
      </c>
      <c r="L18" s="95">
        <v>-63.099999999999966</v>
      </c>
      <c r="N18" s="111" t="s">
        <v>178</v>
      </c>
      <c r="O18" s="121">
        <f>IF(P18=0,0,Q18/P18)</f>
        <v>13.557142857142855</v>
      </c>
      <c r="P18" s="115">
        <v>35</v>
      </c>
      <c r="Q18" s="103">
        <v>474.49999999999994</v>
      </c>
    </row>
    <row r="19" spans="1:17" x14ac:dyDescent="0.4">
      <c r="A19" s="51" t="s">
        <v>11</v>
      </c>
      <c r="B19" s="44">
        <v>84</v>
      </c>
      <c r="C19" s="37">
        <f>IF(B$17=0,0,B19/B$17)</f>
        <v>0.52830188679245282</v>
      </c>
      <c r="E19" s="59" t="s">
        <v>73</v>
      </c>
      <c r="F19" s="56" t="s">
        <v>28</v>
      </c>
      <c r="G19" s="44">
        <v>1</v>
      </c>
      <c r="H19" s="129">
        <f>IF(B$17=0,0,G19/B$17)</f>
        <v>6.2893081761006293E-3</v>
      </c>
      <c r="I19" s="90">
        <v>2</v>
      </c>
      <c r="K19" s="36">
        <v>17</v>
      </c>
      <c r="L19" s="95">
        <v>-55.799999999999969</v>
      </c>
      <c r="N19" s="111" t="s">
        <v>179</v>
      </c>
      <c r="O19" s="121">
        <f>IF(P19=0,0,Q19/P19)</f>
        <v>9.2727272727272716</v>
      </c>
      <c r="P19" s="115">
        <v>11</v>
      </c>
      <c r="Q19" s="103">
        <v>101.99999999999999</v>
      </c>
    </row>
    <row r="20" spans="1:17" x14ac:dyDescent="0.4">
      <c r="A20" s="51" t="s">
        <v>13</v>
      </c>
      <c r="B20" s="44">
        <v>87</v>
      </c>
      <c r="C20" s="37">
        <f>IF(B$3=0,0,B20/B$3)</f>
        <v>0.16022099447513813</v>
      </c>
      <c r="E20" s="59" t="s">
        <v>75</v>
      </c>
      <c r="F20" s="56" t="s">
        <v>30</v>
      </c>
      <c r="G20" s="44">
        <v>1</v>
      </c>
      <c r="H20" s="129">
        <f>IF(B$17=0,0,G20/B$17)</f>
        <v>6.2893081761006293E-3</v>
      </c>
      <c r="I20" s="90">
        <v>6</v>
      </c>
      <c r="K20" s="36">
        <v>18</v>
      </c>
      <c r="L20" s="95">
        <v>-24.999999999999968</v>
      </c>
      <c r="N20" s="111" t="s">
        <v>126</v>
      </c>
      <c r="O20" s="121">
        <f>IF(P20=0,0,Q20/P20)</f>
        <v>8.0814814814814788</v>
      </c>
      <c r="P20" s="115">
        <v>27</v>
      </c>
      <c r="Q20" s="103">
        <v>218.19999999999993</v>
      </c>
    </row>
    <row r="21" spans="1:17" x14ac:dyDescent="0.4">
      <c r="A21" s="51" t="s">
        <v>169</v>
      </c>
      <c r="B21" s="44">
        <v>5</v>
      </c>
      <c r="C21" s="131">
        <v>1</v>
      </c>
      <c r="E21" s="59" t="s">
        <v>78</v>
      </c>
      <c r="F21" s="56" t="s">
        <v>33</v>
      </c>
      <c r="G21" s="44">
        <v>1</v>
      </c>
      <c r="H21" s="129">
        <f>IF(B$17=0,0,G21/B$17)</f>
        <v>6.2893081761006293E-3</v>
      </c>
      <c r="I21" s="90">
        <v>8</v>
      </c>
      <c r="K21" s="36">
        <v>19</v>
      </c>
      <c r="L21" s="95">
        <v>-27.799999999999969</v>
      </c>
      <c r="N21" s="111" t="s">
        <v>127</v>
      </c>
      <c r="O21" s="121">
        <f>IF(P21=0,0,Q21/P21)</f>
        <v>-2.8703703703703729</v>
      </c>
      <c r="P21" s="115">
        <v>27</v>
      </c>
      <c r="Q21" s="103">
        <v>-77.500000000000071</v>
      </c>
    </row>
    <row r="22" spans="1:17" x14ac:dyDescent="0.4">
      <c r="A22" s="51" t="s">
        <v>170</v>
      </c>
      <c r="B22" s="44">
        <v>25</v>
      </c>
      <c r="C22" s="131">
        <v>2</v>
      </c>
      <c r="E22" s="59" t="s">
        <v>85</v>
      </c>
      <c r="F22" s="56" t="s">
        <v>40</v>
      </c>
      <c r="G22" s="44">
        <v>1</v>
      </c>
      <c r="H22" s="129">
        <f>IF(B$17=0,0,G22/B$17)</f>
        <v>6.2893081761006293E-3</v>
      </c>
      <c r="I22" s="90">
        <v>2</v>
      </c>
      <c r="K22" s="36">
        <v>20</v>
      </c>
      <c r="L22" s="95">
        <v>-50.39999999999997</v>
      </c>
      <c r="N22" s="111" t="s">
        <v>181</v>
      </c>
      <c r="O22" s="121">
        <f>IF(P22=0,0,Q22/P22)</f>
        <v>-28.342857142857145</v>
      </c>
      <c r="P22" s="115">
        <v>7</v>
      </c>
      <c r="Q22" s="103">
        <v>-198.4</v>
      </c>
    </row>
    <row r="23" spans="1:17" x14ac:dyDescent="0.4">
      <c r="A23" s="51" t="s">
        <v>5</v>
      </c>
      <c r="B23" s="48">
        <f>IF(B$17=0,0,C23/B$17)</f>
        <v>10433.333333333334</v>
      </c>
      <c r="C23" s="39">
        <v>1658900</v>
      </c>
      <c r="E23" s="59" t="s">
        <v>90</v>
      </c>
      <c r="F23" s="56" t="s">
        <v>45</v>
      </c>
      <c r="G23" s="44">
        <v>1</v>
      </c>
      <c r="H23" s="129">
        <f>IF(B$17=0,0,G23/B$17)</f>
        <v>6.2893081761006293E-3</v>
      </c>
      <c r="I23" s="90">
        <v>1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11243.103448275862</v>
      </c>
      <c r="C24" s="137">
        <v>1304200</v>
      </c>
      <c r="E24" s="59" t="s">
        <v>93</v>
      </c>
      <c r="F24" s="56" t="s">
        <v>48</v>
      </c>
      <c r="G24" s="44">
        <v>1</v>
      </c>
      <c r="H24" s="129">
        <f>IF(B$17=0,0,G24/B$17)</f>
        <v>6.2893081761006293E-3</v>
      </c>
      <c r="I24" s="90">
        <v>2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8248.8372093023263</v>
      </c>
      <c r="C25" s="137">
        <v>354700</v>
      </c>
      <c r="E25" s="59" t="s">
        <v>97</v>
      </c>
      <c r="F25" s="56" t="s">
        <v>52</v>
      </c>
      <c r="G25" s="44">
        <v>1</v>
      </c>
      <c r="H25" s="129">
        <f>IF(B$17=0,0,G25/B$17)</f>
        <v>6.2893081761006293E-3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-8096.5517241379312</v>
      </c>
      <c r="C26" s="137">
        <v>-704400</v>
      </c>
      <c r="E26" s="59" t="s">
        <v>74</v>
      </c>
      <c r="F26" s="56" t="s">
        <v>29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103600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5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79</v>
      </c>
      <c r="F29" s="56" t="s">
        <v>34</v>
      </c>
      <c r="G29" s="44">
        <v>0</v>
      </c>
      <c r="H29" s="129">
        <f>IF(B$17=0,0,G29/B$17)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30.900000000000027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73.900000000000034</v>
      </c>
    </row>
    <row r="34" spans="5:12" x14ac:dyDescent="0.4">
      <c r="E34" s="59" t="s">
        <v>88</v>
      </c>
      <c r="F34" s="56" t="s">
        <v>43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96.100000000000037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112.00000000000004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110.00000000000004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300ED-C805-4DCD-B869-84D750FE114A}">
  <sheetPr codeName="Sheet17"/>
  <dimension ref="A1:Q9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92</v>
      </c>
      <c r="C2" s="149"/>
      <c r="E2" s="58" t="s">
        <v>66</v>
      </c>
      <c r="F2" s="55" t="s">
        <v>22</v>
      </c>
      <c r="G2" s="43">
        <v>157</v>
      </c>
      <c r="H2" s="128">
        <f>IF(B$17=0,0,G2/B$17)</f>
        <v>0.74761904761904763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932.60869565217388</v>
      </c>
      <c r="P2" s="114">
        <v>92</v>
      </c>
      <c r="Q2" s="98">
        <v>85800</v>
      </c>
    </row>
    <row r="3" spans="1:17" x14ac:dyDescent="0.4">
      <c r="A3" s="51" t="s">
        <v>8</v>
      </c>
      <c r="B3" s="150">
        <v>735</v>
      </c>
      <c r="C3" s="151"/>
      <c r="E3" s="59" t="s">
        <v>72</v>
      </c>
      <c r="F3" s="56" t="s">
        <v>27</v>
      </c>
      <c r="G3" s="44">
        <v>119</v>
      </c>
      <c r="H3" s="129">
        <f>IF(B$17=0,0,G3/B$17)</f>
        <v>0.56666666666666665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582.02247191011236</v>
      </c>
      <c r="P3" s="115">
        <v>89</v>
      </c>
      <c r="Q3" s="99">
        <v>51800</v>
      </c>
    </row>
    <row r="4" spans="1:17" x14ac:dyDescent="0.4">
      <c r="A4" s="51" t="s">
        <v>6</v>
      </c>
      <c r="B4" s="152">
        <v>-17.100000000000009</v>
      </c>
      <c r="C4" s="153"/>
      <c r="E4" s="59" t="s">
        <v>64</v>
      </c>
      <c r="F4" s="56" t="s">
        <v>20</v>
      </c>
      <c r="G4" s="44">
        <v>108</v>
      </c>
      <c r="H4" s="129">
        <f>IF(B$17=0,0,G4/B$17)</f>
        <v>0.51428571428571423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-631.32530120481931</v>
      </c>
      <c r="P4" s="115">
        <v>83</v>
      </c>
      <c r="Q4" s="99">
        <v>-52400</v>
      </c>
    </row>
    <row r="5" spans="1:17" x14ac:dyDescent="0.4">
      <c r="A5" s="51" t="s">
        <v>7</v>
      </c>
      <c r="B5" s="154">
        <f>IF(B$2=0,0,B$4/B$2)</f>
        <v>-0.1858695652173914</v>
      </c>
      <c r="C5" s="155"/>
      <c r="E5" s="59" t="s">
        <v>171</v>
      </c>
      <c r="F5" s="56" t="s">
        <v>172</v>
      </c>
      <c r="G5" s="44">
        <v>98</v>
      </c>
      <c r="H5" s="129">
        <f>IF(B$17=0,0,G5/B$17)</f>
        <v>0.46666666666666667</v>
      </c>
      <c r="I5" s="90">
        <v>1</v>
      </c>
      <c r="K5" s="36">
        <v>3</v>
      </c>
      <c r="L5" s="95">
        <v>25.8</v>
      </c>
      <c r="N5" s="111" t="s">
        <v>133</v>
      </c>
      <c r="O5" s="118">
        <f t="shared" si="0"/>
        <v>-15.789473684210526</v>
      </c>
      <c r="P5" s="115">
        <v>76</v>
      </c>
      <c r="Q5" s="99">
        <v>-1200</v>
      </c>
    </row>
    <row r="6" spans="1:17" x14ac:dyDescent="0.4">
      <c r="A6" s="51" t="s">
        <v>1</v>
      </c>
      <c r="B6" s="144">
        <f>IF(B$2=0,0,(B$7*1+B$8*2+B$9*3)/B$2)</f>
        <v>2.0326086956521738</v>
      </c>
      <c r="C6" s="145"/>
      <c r="E6" s="59" t="s">
        <v>67</v>
      </c>
      <c r="F6" s="56" t="s">
        <v>23</v>
      </c>
      <c r="G6" s="44">
        <v>82</v>
      </c>
      <c r="H6" s="129">
        <f>IF(B$17=0,0,G6/B$17)</f>
        <v>0.39047619047619048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-676.11940298507466</v>
      </c>
      <c r="P6" s="115">
        <v>67</v>
      </c>
      <c r="Q6" s="99">
        <v>-45300</v>
      </c>
    </row>
    <row r="7" spans="1:17" x14ac:dyDescent="0.4">
      <c r="A7" s="51" t="s">
        <v>2</v>
      </c>
      <c r="B7" s="44">
        <v>22</v>
      </c>
      <c r="C7" s="37">
        <f t="shared" ref="C7:C12" si="1">IF(B$2=0,0,B7/B$2)</f>
        <v>0.2391304347826087</v>
      </c>
      <c r="E7" s="59" t="s">
        <v>68</v>
      </c>
      <c r="F7" s="56" t="s">
        <v>12</v>
      </c>
      <c r="G7" s="44">
        <v>71</v>
      </c>
      <c r="H7" s="129">
        <f>IF(B$17=0,0,G7/B$17)</f>
        <v>0.33809523809523812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-814.03508771929819</v>
      </c>
      <c r="P7" s="116">
        <v>57</v>
      </c>
      <c r="Q7" s="100">
        <v>-46400</v>
      </c>
    </row>
    <row r="8" spans="1:17" x14ac:dyDescent="0.4">
      <c r="A8" s="51" t="s">
        <v>3</v>
      </c>
      <c r="B8" s="44">
        <v>45</v>
      </c>
      <c r="C8" s="37">
        <f t="shared" si="1"/>
        <v>0.4891304347826087</v>
      </c>
      <c r="E8" s="59" t="s">
        <v>69</v>
      </c>
      <c r="F8" s="56" t="s">
        <v>24</v>
      </c>
      <c r="G8" s="44">
        <v>29</v>
      </c>
      <c r="H8" s="129">
        <f>IF(B$17=0,0,G8/B$17)</f>
        <v>0.1380952380952381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25</v>
      </c>
      <c r="C9" s="38">
        <f t="shared" si="1"/>
        <v>0.27173913043478259</v>
      </c>
      <c r="E9" s="59" t="s">
        <v>71</v>
      </c>
      <c r="F9" s="56" t="s">
        <v>26</v>
      </c>
      <c r="G9" s="44">
        <v>21</v>
      </c>
      <c r="H9" s="129">
        <f>IF(B$17=0,0,G9/B$17)</f>
        <v>0.1</v>
      </c>
      <c r="I9" s="90">
        <v>3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8</v>
      </c>
      <c r="C10" s="38">
        <f t="shared" si="1"/>
        <v>8.6956521739130432E-2</v>
      </c>
      <c r="E10" s="59" t="s">
        <v>89</v>
      </c>
      <c r="F10" s="56" t="s">
        <v>44</v>
      </c>
      <c r="G10" s="44">
        <v>21</v>
      </c>
      <c r="H10" s="129">
        <f>IF(B$17=0,0,G10/B$17)</f>
        <v>0.1</v>
      </c>
      <c r="I10" s="90">
        <v>9</v>
      </c>
      <c r="K10" s="36">
        <v>8</v>
      </c>
      <c r="L10" s="95">
        <v>-46.7</v>
      </c>
      <c r="N10" s="110" t="s">
        <v>162</v>
      </c>
      <c r="O10" s="120">
        <f>IF(P10=0,0,Q10/P10)</f>
        <v>0.18974358974358951</v>
      </c>
      <c r="P10" s="114">
        <v>39</v>
      </c>
      <c r="Q10" s="102">
        <v>7.3999999999999915</v>
      </c>
    </row>
    <row r="11" spans="1:17" x14ac:dyDescent="0.4">
      <c r="A11" s="52" t="s">
        <v>138</v>
      </c>
      <c r="B11" s="45">
        <v>8</v>
      </c>
      <c r="C11" s="38">
        <f t="shared" si="1"/>
        <v>8.6956521739130432E-2</v>
      </c>
      <c r="E11" s="59" t="s">
        <v>65</v>
      </c>
      <c r="F11" s="56" t="s">
        <v>21</v>
      </c>
      <c r="G11" s="44">
        <v>17</v>
      </c>
      <c r="H11" s="129">
        <f>IF(B$17=0,0,G11/B$17)</f>
        <v>8.0952380952380956E-2</v>
      </c>
      <c r="I11" s="90">
        <v>9</v>
      </c>
      <c r="K11" s="36">
        <v>9</v>
      </c>
      <c r="L11" s="95">
        <v>-90.9</v>
      </c>
      <c r="N11" s="111" t="s">
        <v>163</v>
      </c>
      <c r="O11" s="121">
        <f>IF(P11=0,0,Q11/P11)</f>
        <v>1.6333333333333331</v>
      </c>
      <c r="P11" s="115">
        <v>27</v>
      </c>
      <c r="Q11" s="103">
        <v>44.099999999999994</v>
      </c>
    </row>
    <row r="12" spans="1:17" x14ac:dyDescent="0.4">
      <c r="A12" s="53" t="s">
        <v>158</v>
      </c>
      <c r="B12" s="46">
        <v>5</v>
      </c>
      <c r="C12" s="40">
        <f t="shared" si="1"/>
        <v>5.434782608695652E-2</v>
      </c>
      <c r="E12" s="59" t="s">
        <v>70</v>
      </c>
      <c r="F12" s="56" t="s">
        <v>25</v>
      </c>
      <c r="G12" s="44">
        <v>17</v>
      </c>
      <c r="H12" s="129">
        <f>IF(B$17=0,0,G12/B$17)</f>
        <v>8.0952380952380956E-2</v>
      </c>
      <c r="I12" s="90">
        <v>9</v>
      </c>
      <c r="K12" s="36">
        <v>10</v>
      </c>
      <c r="L12" s="95">
        <v>-146.69999999999999</v>
      </c>
      <c r="N12" s="112" t="s">
        <v>164</v>
      </c>
      <c r="O12" s="122">
        <f>IF(P12=0,0,Q12/P12)</f>
        <v>-2.6384615384615389</v>
      </c>
      <c r="P12" s="116">
        <v>26</v>
      </c>
      <c r="Q12" s="104">
        <v>-68.600000000000009</v>
      </c>
    </row>
    <row r="13" spans="1:17" x14ac:dyDescent="0.4">
      <c r="A13" s="54" t="s">
        <v>121</v>
      </c>
      <c r="B13" s="47">
        <v>196</v>
      </c>
      <c r="C13" s="42">
        <f>IF(B$3=0,0,B13/B$3)</f>
        <v>0.26666666666666666</v>
      </c>
      <c r="E13" s="59" t="s">
        <v>86</v>
      </c>
      <c r="F13" s="56" t="s">
        <v>41</v>
      </c>
      <c r="G13" s="44">
        <v>11</v>
      </c>
      <c r="H13" s="129">
        <f>IF(B$17=0,0,G13/B$17)</f>
        <v>5.2380952380952382E-2</v>
      </c>
      <c r="I13" s="90">
        <v>5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162</v>
      </c>
      <c r="C14" s="37">
        <f>IF(B$3=0,0,B14/B$3)</f>
        <v>0.22040816326530613</v>
      </c>
      <c r="E14" s="59" t="s">
        <v>83</v>
      </c>
      <c r="F14" s="56" t="s">
        <v>38</v>
      </c>
      <c r="G14" s="44">
        <v>7</v>
      </c>
      <c r="H14" s="129">
        <f>IF(B$17=0,0,G14/B$17)</f>
        <v>3.3333333333333333E-2</v>
      </c>
      <c r="I14" s="90">
        <v>10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113</v>
      </c>
      <c r="C15" s="35">
        <f>IF(B$13=0,0,B15/B$13)</f>
        <v>0.57653061224489799</v>
      </c>
      <c r="E15" s="59" t="s">
        <v>79</v>
      </c>
      <c r="F15" s="56" t="s">
        <v>34</v>
      </c>
      <c r="G15" s="44">
        <v>6</v>
      </c>
      <c r="H15" s="129">
        <f>IF(B$17=0,0,G15/B$17)</f>
        <v>2.8571428571428571E-2</v>
      </c>
      <c r="I15" s="90">
        <v>2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67</v>
      </c>
      <c r="C16" s="35">
        <f>IF(B$14=0,0,B16/B$14)</f>
        <v>0.41358024691358025</v>
      </c>
      <c r="E16" s="59" t="s">
        <v>167</v>
      </c>
      <c r="F16" s="56" t="s">
        <v>168</v>
      </c>
      <c r="G16" s="44">
        <v>4</v>
      </c>
      <c r="H16" s="129">
        <f>IF(B$17=0,0,G16/B$17)</f>
        <v>1.9047619047619049E-2</v>
      </c>
      <c r="I16" s="90">
        <v>4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210</v>
      </c>
      <c r="C17" s="35">
        <f>IF(B$3=0,0,B17/B$3)</f>
        <v>0.2857142857142857</v>
      </c>
      <c r="E17" s="59" t="s">
        <v>73</v>
      </c>
      <c r="F17" s="56" t="s">
        <v>28</v>
      </c>
      <c r="G17" s="44">
        <v>3</v>
      </c>
      <c r="H17" s="129">
        <f>IF(B$17=0,0,G17/B$17)</f>
        <v>1.4285714285714285E-2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22.642105263157891</v>
      </c>
      <c r="P17" s="115">
        <v>19</v>
      </c>
      <c r="Q17" s="103">
        <v>430.19999999999993</v>
      </c>
    </row>
    <row r="18" spans="1:17" x14ac:dyDescent="0.4">
      <c r="A18" s="51" t="s">
        <v>12</v>
      </c>
      <c r="B18" s="44">
        <v>96</v>
      </c>
      <c r="C18" s="37">
        <f>IF(B$17=0,0,B18/B$17)</f>
        <v>0.45714285714285713</v>
      </c>
      <c r="E18" s="59" t="s">
        <v>78</v>
      </c>
      <c r="F18" s="56" t="s">
        <v>33</v>
      </c>
      <c r="G18" s="44">
        <v>3</v>
      </c>
      <c r="H18" s="129">
        <f>IF(B$17=0,0,G18/B$17)</f>
        <v>1.4285714285714285E-2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12.900000000000002</v>
      </c>
      <c r="P18" s="115">
        <v>19</v>
      </c>
      <c r="Q18" s="103">
        <v>245.10000000000005</v>
      </c>
    </row>
    <row r="19" spans="1:17" x14ac:dyDescent="0.4">
      <c r="A19" s="51" t="s">
        <v>11</v>
      </c>
      <c r="B19" s="44">
        <v>114</v>
      </c>
      <c r="C19" s="37">
        <f>IF(B$17=0,0,B19/B$17)</f>
        <v>0.54285714285714282</v>
      </c>
      <c r="E19" s="59" t="s">
        <v>81</v>
      </c>
      <c r="F19" s="56" t="s">
        <v>36</v>
      </c>
      <c r="G19" s="44">
        <v>2</v>
      </c>
      <c r="H19" s="129">
        <f>IF(B$17=0,0,G19/B$17)</f>
        <v>9.5238095238095247E-3</v>
      </c>
      <c r="I19" s="90">
        <v>8</v>
      </c>
      <c r="K19" s="36">
        <v>17</v>
      </c>
      <c r="L19" s="95">
        <v>-29.799999999999986</v>
      </c>
      <c r="N19" s="111" t="s">
        <v>181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">
      <c r="A20" s="51" t="s">
        <v>13</v>
      </c>
      <c r="B20" s="44">
        <v>99</v>
      </c>
      <c r="C20" s="37">
        <f>IF(B$3=0,0,B20/B$3)</f>
        <v>0.13469387755102041</v>
      </c>
      <c r="E20" s="59" t="s">
        <v>74</v>
      </c>
      <c r="F20" s="56" t="s">
        <v>29</v>
      </c>
      <c r="G20" s="44">
        <v>1</v>
      </c>
      <c r="H20" s="129">
        <f>IF(B$17=0,0,G20/B$17)</f>
        <v>4.7619047619047623E-3</v>
      </c>
      <c r="I20" s="90">
        <v>4</v>
      </c>
      <c r="K20" s="36">
        <v>18</v>
      </c>
      <c r="L20" s="95">
        <v>-62.399999999999991</v>
      </c>
      <c r="N20" s="111" t="s">
        <v>166</v>
      </c>
      <c r="O20" s="121">
        <f t="shared" si="2"/>
        <v>4.7411764705882353</v>
      </c>
      <c r="P20" s="115">
        <v>17</v>
      </c>
      <c r="Q20" s="103">
        <v>80.599999999999994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75</v>
      </c>
      <c r="F21" s="56" t="s">
        <v>30</v>
      </c>
      <c r="G21" s="44">
        <v>1</v>
      </c>
      <c r="H21" s="129">
        <f>IF(B$17=0,0,G21/B$17)</f>
        <v>4.7619047619047623E-3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 t="shared" si="2"/>
        <v>2.8810810810810819</v>
      </c>
      <c r="P21" s="115">
        <v>37</v>
      </c>
      <c r="Q21" s="103">
        <v>106.60000000000002</v>
      </c>
    </row>
    <row r="22" spans="1:17" x14ac:dyDescent="0.4">
      <c r="A22" s="51" t="s">
        <v>170</v>
      </c>
      <c r="B22" s="44">
        <v>44</v>
      </c>
      <c r="C22" s="131">
        <v>5</v>
      </c>
      <c r="E22" s="59" t="s">
        <v>85</v>
      </c>
      <c r="F22" s="56" t="s">
        <v>40</v>
      </c>
      <c r="G22" s="44">
        <v>1</v>
      </c>
      <c r="H22" s="129">
        <f>IF(B$17=0,0,G22/B$17)</f>
        <v>4.7619047619047623E-3</v>
      </c>
      <c r="I22" s="90">
        <v>4</v>
      </c>
      <c r="K22" s="36">
        <v>20</v>
      </c>
      <c r="L22" s="95">
        <v>-93.199999999999989</v>
      </c>
      <c r="N22" s="111" t="s">
        <v>177</v>
      </c>
      <c r="O22" s="121">
        <f t="shared" si="2"/>
        <v>-13.557142857142857</v>
      </c>
      <c r="P22" s="115">
        <v>35</v>
      </c>
      <c r="Q22" s="103">
        <v>-474.5</v>
      </c>
    </row>
    <row r="23" spans="1:17" x14ac:dyDescent="0.4">
      <c r="A23" s="51" t="s">
        <v>5</v>
      </c>
      <c r="B23" s="48">
        <f>IF(B$17=0,0,C23/B$17)</f>
        <v>8431.9047619047615</v>
      </c>
      <c r="C23" s="39">
        <v>1770700</v>
      </c>
      <c r="E23" s="59" t="s">
        <v>87</v>
      </c>
      <c r="F23" s="56" t="s">
        <v>42</v>
      </c>
      <c r="G23" s="44">
        <v>1</v>
      </c>
      <c r="H23" s="129">
        <f>IF(B$17=0,0,G23/B$17)</f>
        <v>4.7619047619047623E-3</v>
      </c>
      <c r="I23" s="90">
        <v>2</v>
      </c>
      <c r="K23" s="36">
        <v>21</v>
      </c>
      <c r="L23" s="95">
        <v>-123.69999999999999</v>
      </c>
      <c r="N23" s="111" t="s">
        <v>126</v>
      </c>
      <c r="O23" s="121">
        <f t="shared" si="2"/>
        <v>-16.541304347826088</v>
      </c>
      <c r="P23" s="115">
        <v>46</v>
      </c>
      <c r="Q23" s="103">
        <v>-760.90000000000009</v>
      </c>
    </row>
    <row r="24" spans="1:17" x14ac:dyDescent="0.4">
      <c r="A24" s="52" t="s">
        <v>216</v>
      </c>
      <c r="B24" s="136">
        <f>IF($B$17-B$16=0,0,C24/($B$17-B$16))</f>
        <v>9455.9440559440554</v>
      </c>
      <c r="C24" s="137">
        <v>1352200</v>
      </c>
      <c r="E24" s="59" t="s">
        <v>88</v>
      </c>
      <c r="F24" s="56" t="s">
        <v>43</v>
      </c>
      <c r="G24" s="44">
        <v>1</v>
      </c>
      <c r="H24" s="129">
        <f>IF(B$17=0,0,G24/B$17)</f>
        <v>4.7619047619047623E-3</v>
      </c>
      <c r="I24" s="90">
        <v>3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6246.2686567164183</v>
      </c>
      <c r="C25" s="137">
        <v>418500</v>
      </c>
      <c r="E25" s="59" t="s">
        <v>91</v>
      </c>
      <c r="F25" s="56" t="s">
        <v>46</v>
      </c>
      <c r="G25" s="44">
        <v>1</v>
      </c>
      <c r="H25" s="129">
        <f>IF(B$17=0,0,G25/B$17)</f>
        <v>4.7619047619047623E-3</v>
      </c>
      <c r="I25" s="90">
        <v>8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-7936.363636363636</v>
      </c>
      <c r="C26" s="137">
        <v>-785700</v>
      </c>
      <c r="E26" s="59" t="s">
        <v>93</v>
      </c>
      <c r="F26" s="56" t="s">
        <v>48</v>
      </c>
      <c r="G26" s="44">
        <v>1</v>
      </c>
      <c r="H26" s="129">
        <f>IF(B$17=0,0,G26/B$17)</f>
        <v>4.7619047619047623E-3</v>
      </c>
      <c r="I26" s="90">
        <v>3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8</v>
      </c>
      <c r="C27" s="143"/>
      <c r="E27" s="59" t="s">
        <v>101</v>
      </c>
      <c r="F27" s="56" t="s">
        <v>56</v>
      </c>
      <c r="G27" s="44">
        <v>1</v>
      </c>
      <c r="H27" s="129">
        <f>IF(B$17=0,0,G27/B$17)</f>
        <v>4.7619047619047623E-3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87000</v>
      </c>
      <c r="C28" s="141"/>
      <c r="E28" s="59" t="s">
        <v>76</v>
      </c>
      <c r="F28" s="56" t="s">
        <v>31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2.7210884353741495E-3</v>
      </c>
      <c r="E29" s="59" t="s">
        <v>77</v>
      </c>
      <c r="F29" s="56" t="s">
        <v>32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-70.199999999999989</v>
      </c>
    </row>
    <row r="30" spans="1:17" x14ac:dyDescent="0.4">
      <c r="E30" s="59" t="s">
        <v>80</v>
      </c>
      <c r="F30" s="56" t="s">
        <v>35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82</v>
      </c>
      <c r="F31" s="56" t="s">
        <v>37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E32" s="59" t="s">
        <v>84</v>
      </c>
      <c r="F32" s="56" t="s">
        <v>39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-96.799999999999983</v>
      </c>
    </row>
    <row r="34" spans="5:12" x14ac:dyDescent="0.4">
      <c r="E34" s="59" t="s">
        <v>92</v>
      </c>
      <c r="F34" s="56" t="s">
        <v>47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3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</sheetData>
  <sortState xmlns:xlrd2="http://schemas.microsoft.com/office/spreadsheetml/2017/richdata2" ref="E2:I95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16730-E777-4663-90C5-448C65CAE978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37</v>
      </c>
      <c r="C2" s="149"/>
      <c r="E2" s="58" t="s">
        <v>66</v>
      </c>
      <c r="F2" s="55" t="s">
        <v>22</v>
      </c>
      <c r="G2" s="43">
        <v>52</v>
      </c>
      <c r="H2" s="128">
        <f>IF(B$17=0,0,G2/B$17)</f>
        <v>0.68421052631578949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-3375.6756756756758</v>
      </c>
      <c r="P2" s="114">
        <v>37</v>
      </c>
      <c r="Q2" s="98">
        <v>-124900</v>
      </c>
    </row>
    <row r="3" spans="1:17" x14ac:dyDescent="0.4">
      <c r="A3" s="51" t="s">
        <v>8</v>
      </c>
      <c r="B3" s="150">
        <v>308</v>
      </c>
      <c r="C3" s="151"/>
      <c r="E3" s="59" t="s">
        <v>72</v>
      </c>
      <c r="F3" s="56" t="s">
        <v>27</v>
      </c>
      <c r="G3" s="44">
        <v>46</v>
      </c>
      <c r="H3" s="129">
        <f>IF(B$17=0,0,G3/B$17)</f>
        <v>0.60526315789473684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240.54054054054055</v>
      </c>
      <c r="P3" s="115">
        <v>37</v>
      </c>
      <c r="Q3" s="99">
        <v>8900</v>
      </c>
    </row>
    <row r="4" spans="1:17" x14ac:dyDescent="0.4">
      <c r="A4" s="51" t="s">
        <v>6</v>
      </c>
      <c r="B4" s="152">
        <v>-547.00000000000011</v>
      </c>
      <c r="C4" s="153"/>
      <c r="E4" s="59" t="s">
        <v>64</v>
      </c>
      <c r="F4" s="56" t="s">
        <v>20</v>
      </c>
      <c r="G4" s="44">
        <v>31</v>
      </c>
      <c r="H4" s="129">
        <f>IF(B$17=0,0,G4/B$17)</f>
        <v>0.40789473684210525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-1297.2972972972973</v>
      </c>
      <c r="P4" s="115">
        <v>37</v>
      </c>
      <c r="Q4" s="99">
        <v>-48000</v>
      </c>
    </row>
    <row r="5" spans="1:17" x14ac:dyDescent="0.4">
      <c r="A5" s="51" t="s">
        <v>7</v>
      </c>
      <c r="B5" s="154">
        <f>IF(B$2=0,0,B$4/B$2)</f>
        <v>-14.783783783783786</v>
      </c>
      <c r="C5" s="155"/>
      <c r="E5" s="59" t="s">
        <v>171</v>
      </c>
      <c r="F5" s="56" t="s">
        <v>172</v>
      </c>
      <c r="G5" s="44">
        <v>23</v>
      </c>
      <c r="H5" s="129">
        <f>IF(B$17=0,0,G5/B$17)</f>
        <v>0.30263157894736842</v>
      </c>
      <c r="I5" s="90">
        <v>10</v>
      </c>
      <c r="K5" s="36">
        <v>3</v>
      </c>
      <c r="L5" s="95">
        <v>-33.6</v>
      </c>
      <c r="N5" s="111" t="s">
        <v>133</v>
      </c>
      <c r="O5" s="118">
        <f t="shared" si="0"/>
        <v>-2179.4117647058824</v>
      </c>
      <c r="P5" s="115">
        <v>34</v>
      </c>
      <c r="Q5" s="99">
        <v>-74100</v>
      </c>
    </row>
    <row r="6" spans="1:17" x14ac:dyDescent="0.4">
      <c r="A6" s="51" t="s">
        <v>1</v>
      </c>
      <c r="B6" s="144">
        <f>IF(B$2=0,0,(B$7*1+B$8*2+B$9*3)/B$2)</f>
        <v>2.4054054054054053</v>
      </c>
      <c r="C6" s="145"/>
      <c r="E6" s="59" t="s">
        <v>68</v>
      </c>
      <c r="F6" s="56" t="s">
        <v>12</v>
      </c>
      <c r="G6" s="44">
        <v>22</v>
      </c>
      <c r="H6" s="129">
        <f>IF(B$17=0,0,G6/B$17)</f>
        <v>0.28947368421052633</v>
      </c>
      <c r="I6" s="90">
        <v>7</v>
      </c>
      <c r="K6" s="36">
        <v>4</v>
      </c>
      <c r="L6" s="95">
        <v>-80.5</v>
      </c>
      <c r="N6" s="111" t="s">
        <v>134</v>
      </c>
      <c r="O6" s="118">
        <f t="shared" si="0"/>
        <v>-1615.1515151515152</v>
      </c>
      <c r="P6" s="115">
        <v>33</v>
      </c>
      <c r="Q6" s="99">
        <v>-53300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0.13513513513513514</v>
      </c>
      <c r="E7" s="59" t="s">
        <v>67</v>
      </c>
      <c r="F7" s="56" t="s">
        <v>23</v>
      </c>
      <c r="G7" s="44">
        <v>19</v>
      </c>
      <c r="H7" s="129">
        <f>IF(B$17=0,0,G7/B$17)</f>
        <v>0.25</v>
      </c>
      <c r="I7" s="90">
        <v>8</v>
      </c>
      <c r="K7" s="36">
        <v>5</v>
      </c>
      <c r="L7" s="95">
        <v>-124.3</v>
      </c>
      <c r="N7" s="112" t="s">
        <v>135</v>
      </c>
      <c r="O7" s="119">
        <f t="shared" si="0"/>
        <v>-3600</v>
      </c>
      <c r="P7" s="116">
        <v>26</v>
      </c>
      <c r="Q7" s="100">
        <v>-93600</v>
      </c>
    </row>
    <row r="8" spans="1:17" x14ac:dyDescent="0.4">
      <c r="A8" s="51" t="s">
        <v>3</v>
      </c>
      <c r="B8" s="44">
        <v>12</v>
      </c>
      <c r="C8" s="37">
        <f t="shared" si="1"/>
        <v>0.32432432432432434</v>
      </c>
      <c r="E8" s="59" t="s">
        <v>89</v>
      </c>
      <c r="F8" s="56" t="s">
        <v>44</v>
      </c>
      <c r="G8" s="44">
        <v>11</v>
      </c>
      <c r="H8" s="129">
        <f>IF(B$17=0,0,G8/B$17)</f>
        <v>0.14473684210526316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0.54054054054054057</v>
      </c>
      <c r="E9" s="59" t="s">
        <v>70</v>
      </c>
      <c r="F9" s="56" t="s">
        <v>25</v>
      </c>
      <c r="G9" s="44">
        <v>9</v>
      </c>
      <c r="H9" s="129">
        <f>IF(B$17=0,0,G9/B$17)</f>
        <v>0.11842105263157894</v>
      </c>
      <c r="I9" s="90">
        <v>4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7</v>
      </c>
      <c r="C10" s="38">
        <f t="shared" si="1"/>
        <v>0.1891891891891892</v>
      </c>
      <c r="E10" s="59" t="s">
        <v>71</v>
      </c>
      <c r="F10" s="56" t="s">
        <v>26</v>
      </c>
      <c r="G10" s="44">
        <v>8</v>
      </c>
      <c r="H10" s="129">
        <f>IF(B$17=0,0,G10/B$17)</f>
        <v>0.10526315789473684</v>
      </c>
      <c r="I10" s="90">
        <v>2</v>
      </c>
      <c r="K10" s="36">
        <v>8</v>
      </c>
      <c r="L10" s="95">
        <v>-152.6</v>
      </c>
      <c r="N10" s="110" t="s">
        <v>162</v>
      </c>
      <c r="O10" s="120">
        <f>IF(P10=0,0,Q10/P10)</f>
        <v>-23.488888888888891</v>
      </c>
      <c r="P10" s="114">
        <v>18</v>
      </c>
      <c r="Q10" s="102">
        <v>-422.8</v>
      </c>
    </row>
    <row r="11" spans="1:17" x14ac:dyDescent="0.4">
      <c r="A11" s="52" t="s">
        <v>138</v>
      </c>
      <c r="B11" s="45">
        <v>1</v>
      </c>
      <c r="C11" s="38">
        <f t="shared" si="1"/>
        <v>2.7027027027027029E-2</v>
      </c>
      <c r="E11" s="59" t="s">
        <v>65</v>
      </c>
      <c r="F11" s="56" t="s">
        <v>21</v>
      </c>
      <c r="G11" s="44">
        <v>7</v>
      </c>
      <c r="H11" s="129">
        <f>IF(B$17=0,0,G11/B$17)</f>
        <v>9.2105263157894732E-2</v>
      </c>
      <c r="I11" s="90">
        <v>8</v>
      </c>
      <c r="K11" s="36">
        <v>9</v>
      </c>
      <c r="L11" s="95">
        <v>-150.6</v>
      </c>
      <c r="N11" s="111" t="s">
        <v>163</v>
      </c>
      <c r="O11" s="121">
        <f>IF(P11=0,0,Q11/P11)</f>
        <v>-12.288888888888888</v>
      </c>
      <c r="P11" s="115">
        <v>9</v>
      </c>
      <c r="Q11" s="103">
        <v>-110.6</v>
      </c>
    </row>
    <row r="12" spans="1:17" x14ac:dyDescent="0.4">
      <c r="A12" s="53" t="s">
        <v>158</v>
      </c>
      <c r="B12" s="46">
        <v>1</v>
      </c>
      <c r="C12" s="40">
        <f t="shared" si="1"/>
        <v>2.7027027027027029E-2</v>
      </c>
      <c r="E12" s="59" t="s">
        <v>69</v>
      </c>
      <c r="F12" s="56" t="s">
        <v>24</v>
      </c>
      <c r="G12" s="44">
        <v>6</v>
      </c>
      <c r="H12" s="129">
        <f>IF(B$17=0,0,G12/B$17)</f>
        <v>7.8947368421052627E-2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-1.3599999999999994</v>
      </c>
      <c r="P12" s="116">
        <v>10</v>
      </c>
      <c r="Q12" s="104">
        <v>-13.599999999999994</v>
      </c>
    </row>
    <row r="13" spans="1:17" x14ac:dyDescent="0.4">
      <c r="A13" s="54" t="s">
        <v>121</v>
      </c>
      <c r="B13" s="47">
        <v>59</v>
      </c>
      <c r="C13" s="42">
        <f>IF(B$3=0,0,B13/B$3)</f>
        <v>0.19155844155844157</v>
      </c>
      <c r="E13" s="59" t="s">
        <v>83</v>
      </c>
      <c r="F13" s="56" t="s">
        <v>38</v>
      </c>
      <c r="G13" s="44">
        <v>6</v>
      </c>
      <c r="H13" s="129">
        <f>IF(B$17=0,0,G13/B$17)</f>
        <v>7.8947368421052627E-2</v>
      </c>
      <c r="I13" s="90">
        <v>3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70</v>
      </c>
      <c r="C14" s="37">
        <f>IF(B$3=0,0,B14/B$3)</f>
        <v>0.22727272727272727</v>
      </c>
      <c r="E14" s="59" t="s">
        <v>86</v>
      </c>
      <c r="F14" s="56" t="s">
        <v>41</v>
      </c>
      <c r="G14" s="44">
        <v>5</v>
      </c>
      <c r="H14" s="129">
        <f>IF(B$17=0,0,G14/B$17)</f>
        <v>6.5789473684210523E-2</v>
      </c>
      <c r="I14" s="90">
        <v>3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32</v>
      </c>
      <c r="C15" s="35">
        <f>IF(B$13=0,0,B15/B$13)</f>
        <v>0.5423728813559322</v>
      </c>
      <c r="E15" s="59" t="s">
        <v>81</v>
      </c>
      <c r="F15" s="56" t="s">
        <v>36</v>
      </c>
      <c r="G15" s="44">
        <v>2</v>
      </c>
      <c r="H15" s="129">
        <f>IF(B$17=0,0,G15/B$17)</f>
        <v>2.6315789473684209E-2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 t="shared" ref="O15:O23" si="2">IF(P15=0,0,Q15/P15)</f>
        <v>27.433333333333334</v>
      </c>
      <c r="P15" s="114">
        <v>6</v>
      </c>
      <c r="Q15" s="102">
        <v>164.6</v>
      </c>
    </row>
    <row r="16" spans="1:17" x14ac:dyDescent="0.4">
      <c r="A16" s="50" t="s">
        <v>124</v>
      </c>
      <c r="B16" s="43">
        <v>28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1.3157894736842105E-2</v>
      </c>
      <c r="I16" s="90">
        <v>1</v>
      </c>
      <c r="K16" s="36">
        <v>14</v>
      </c>
      <c r="L16" s="95">
        <v>-266.90000000000003</v>
      </c>
      <c r="N16" s="111" t="s">
        <v>177</v>
      </c>
      <c r="O16" s="121">
        <f t="shared" si="2"/>
        <v>-15.864285714285714</v>
      </c>
      <c r="P16" s="115">
        <v>14</v>
      </c>
      <c r="Q16" s="103">
        <v>-222.1</v>
      </c>
    </row>
    <row r="17" spans="1:17" x14ac:dyDescent="0.4">
      <c r="A17" s="50" t="s">
        <v>10</v>
      </c>
      <c r="B17" s="43">
        <f>B19+B18</f>
        <v>76</v>
      </c>
      <c r="C17" s="35">
        <f>IF(B$3=0,0,B17/B$3)</f>
        <v>0.24675324675324675</v>
      </c>
      <c r="E17" s="59" t="s">
        <v>78</v>
      </c>
      <c r="F17" s="56" t="s">
        <v>33</v>
      </c>
      <c r="G17" s="44">
        <v>1</v>
      </c>
      <c r="H17" s="129">
        <f>IF(B$17=0,0,G17/B$17)</f>
        <v>1.3157894736842105E-2</v>
      </c>
      <c r="I17" s="90">
        <v>7</v>
      </c>
      <c r="K17" s="36">
        <v>15</v>
      </c>
      <c r="L17" s="95">
        <v>-272.50000000000006</v>
      </c>
      <c r="N17" s="111" t="s">
        <v>222</v>
      </c>
      <c r="O17" s="121">
        <f t="shared" si="2"/>
        <v>-17.649999999999999</v>
      </c>
      <c r="P17" s="115">
        <v>2</v>
      </c>
      <c r="Q17" s="103">
        <v>-35.299999999999997</v>
      </c>
    </row>
    <row r="18" spans="1:17" x14ac:dyDescent="0.4">
      <c r="A18" s="51" t="s">
        <v>12</v>
      </c>
      <c r="B18" s="44">
        <v>37</v>
      </c>
      <c r="C18" s="37">
        <f>IF(B$17=0,0,B18/B$17)</f>
        <v>0.48684210526315791</v>
      </c>
      <c r="E18" s="59" t="s">
        <v>91</v>
      </c>
      <c r="F18" s="56" t="s">
        <v>46</v>
      </c>
      <c r="G18" s="44">
        <v>1</v>
      </c>
      <c r="H18" s="129">
        <f>IF(B$17=0,0,G18/B$17)</f>
        <v>1.3157894736842105E-2</v>
      </c>
      <c r="I18" s="90">
        <v>3</v>
      </c>
      <c r="K18" s="36">
        <v>16</v>
      </c>
      <c r="L18" s="95">
        <v>-320.30000000000007</v>
      </c>
      <c r="N18" s="111" t="s">
        <v>178</v>
      </c>
      <c r="O18" s="121">
        <f t="shared" si="2"/>
        <v>-22.642105263157891</v>
      </c>
      <c r="P18" s="115">
        <v>19</v>
      </c>
      <c r="Q18" s="103">
        <v>-430.19999999999993</v>
      </c>
    </row>
    <row r="19" spans="1:17" x14ac:dyDescent="0.4">
      <c r="A19" s="51" t="s">
        <v>11</v>
      </c>
      <c r="B19" s="44">
        <v>39</v>
      </c>
      <c r="C19" s="37">
        <f>IF(B$17=0,0,B19/B$17)</f>
        <v>0.51315789473684215</v>
      </c>
      <c r="E19" s="59" t="s">
        <v>95</v>
      </c>
      <c r="F19" s="56" t="s">
        <v>50</v>
      </c>
      <c r="G19" s="44">
        <v>1</v>
      </c>
      <c r="H19" s="129">
        <f>IF(B$17=0,0,G19/B$17)</f>
        <v>1.3157894736842105E-2</v>
      </c>
      <c r="I19" s="90">
        <v>1</v>
      </c>
      <c r="K19" s="36">
        <v>17</v>
      </c>
      <c r="L19" s="95">
        <v>-352.60000000000008</v>
      </c>
      <c r="N19" s="111" t="s">
        <v>127</v>
      </c>
      <c r="O19" s="121">
        <f t="shared" si="2"/>
        <v>-25.583333333333332</v>
      </c>
      <c r="P19" s="115">
        <v>12</v>
      </c>
      <c r="Q19" s="103">
        <v>-307</v>
      </c>
    </row>
    <row r="20" spans="1:17" x14ac:dyDescent="0.4">
      <c r="A20" s="51" t="s">
        <v>13</v>
      </c>
      <c r="B20" s="44">
        <v>58</v>
      </c>
      <c r="C20" s="37">
        <f>IF(B$3=0,0,B20/B$3)</f>
        <v>0.18831168831168832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5</v>
      </c>
      <c r="K20" s="36">
        <v>18</v>
      </c>
      <c r="L20" s="95">
        <v>-355.50000000000006</v>
      </c>
      <c r="N20" s="111" t="s">
        <v>179</v>
      </c>
      <c r="O20" s="121">
        <f t="shared" si="2"/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75</v>
      </c>
      <c r="F21" s="56" t="s">
        <v>30</v>
      </c>
      <c r="G21" s="44">
        <v>0</v>
      </c>
      <c r="H21" s="129">
        <f>IF(B$17=0,0,G21/B$17)</f>
        <v>0</v>
      </c>
      <c r="I21" s="90">
        <v>9</v>
      </c>
      <c r="K21" s="36">
        <v>19</v>
      </c>
      <c r="L21" s="95">
        <v>-400.60000000000008</v>
      </c>
      <c r="N21" s="111" t="s">
        <v>126</v>
      </c>
      <c r="O21" s="121">
        <f t="shared" si="2"/>
        <v>-26.992307692307694</v>
      </c>
      <c r="P21" s="115">
        <v>13</v>
      </c>
      <c r="Q21" s="103">
        <v>-350.90000000000003</v>
      </c>
    </row>
    <row r="22" spans="1:17" x14ac:dyDescent="0.4">
      <c r="A22" s="51" t="s">
        <v>170</v>
      </c>
      <c r="B22" s="44">
        <v>16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K22" s="36">
        <v>20</v>
      </c>
      <c r="L22" s="95">
        <v>-428.10000000000008</v>
      </c>
      <c r="N22" s="111" t="s">
        <v>181</v>
      </c>
      <c r="O22" s="121">
        <f t="shared" si="2"/>
        <v>-60.640000000000008</v>
      </c>
      <c r="P22" s="115">
        <v>5</v>
      </c>
      <c r="Q22" s="103">
        <v>-303.20000000000005</v>
      </c>
    </row>
    <row r="23" spans="1:17" x14ac:dyDescent="0.4">
      <c r="A23" s="51" t="s">
        <v>5</v>
      </c>
      <c r="B23" s="48">
        <f>IF(B$17=0,0,C23/B$17)</f>
        <v>7810.5263157894733</v>
      </c>
      <c r="C23" s="39">
        <v>593600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5</v>
      </c>
      <c r="K23" s="36">
        <v>21</v>
      </c>
      <c r="L23" s="95">
        <v>-423.7000000000001</v>
      </c>
      <c r="N23" s="111" t="s">
        <v>195</v>
      </c>
      <c r="O23" s="121">
        <f t="shared" si="2"/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8183.333333333333</v>
      </c>
      <c r="C24" s="137">
        <v>392800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7171.4285714285716</v>
      </c>
      <c r="C25" s="137">
        <v>200800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-7920.6896551724139</v>
      </c>
      <c r="C26" s="137">
        <v>-459400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3.246753246753247E-3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-418.80000000000013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-447.30000000000013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-525.40000000000009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-548.20000000000005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  <c r="K36" s="36">
        <v>34</v>
      </c>
      <c r="L36" s="95">
        <v>-531.90000000000009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-482.7000000000001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-498.00000000000011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-547.00000000000011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D713-13C1-41E6-B5E5-3886DC9D03F0}">
  <sheetPr codeName="Sheet21"/>
  <dimension ref="A1:Q52"/>
  <sheetViews>
    <sheetView showGridLines="0" topLeftCell="A5" zoomScaleNormal="100" workbookViewId="0">
      <selection activeCell="B27" sqref="B27:C29"/>
    </sheetView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24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1.0161290322580645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-3145.8333333333335</v>
      </c>
      <c r="P2" s="114">
        <v>24</v>
      </c>
      <c r="Q2" s="98">
        <v>-75500</v>
      </c>
    </row>
    <row r="3" spans="1:17" x14ac:dyDescent="0.4">
      <c r="A3" s="51" t="s">
        <v>8</v>
      </c>
      <c r="B3" s="150">
        <v>229</v>
      </c>
      <c r="C3" s="151"/>
      <c r="E3" s="59" t="s">
        <v>64</v>
      </c>
      <c r="F3" s="56" t="s">
        <v>20</v>
      </c>
      <c r="G3" s="44">
        <v>36</v>
      </c>
      <c r="H3" s="129">
        <f>IF(B$17=0,0,G3/B$17)</f>
        <v>0.58064516129032262</v>
      </c>
      <c r="I3" s="90">
        <v>2</v>
      </c>
      <c r="K3" s="36">
        <v>1</v>
      </c>
      <c r="L3" s="95">
        <v>70.2</v>
      </c>
      <c r="N3" s="111" t="s">
        <v>131</v>
      </c>
      <c r="O3" s="118">
        <f t="shared" si="0"/>
        <v>-1225</v>
      </c>
      <c r="P3" s="115">
        <v>24</v>
      </c>
      <c r="Q3" s="99">
        <v>-29400</v>
      </c>
    </row>
    <row r="4" spans="1:17" x14ac:dyDescent="0.4">
      <c r="A4" s="51" t="s">
        <v>6</v>
      </c>
      <c r="B4" s="152">
        <v>2.1999999999999957</v>
      </c>
      <c r="C4" s="153"/>
      <c r="E4" s="59" t="s">
        <v>68</v>
      </c>
      <c r="F4" s="56" t="s">
        <v>12</v>
      </c>
      <c r="G4" s="44">
        <v>27</v>
      </c>
      <c r="H4" s="129">
        <f>IF(B$17=0,0,G4/B$17)</f>
        <v>0.43548387096774194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1560.8695652173913</v>
      </c>
      <c r="P4" s="115">
        <v>23</v>
      </c>
      <c r="Q4" s="99">
        <v>35900</v>
      </c>
    </row>
    <row r="5" spans="1:17" x14ac:dyDescent="0.4">
      <c r="A5" s="51" t="s">
        <v>7</v>
      </c>
      <c r="B5" s="154">
        <f>IF(B$2=0,0,B$4/B$2)</f>
        <v>9.1666666666666494E-2</v>
      </c>
      <c r="C5" s="155"/>
      <c r="E5" s="59" t="s">
        <v>171</v>
      </c>
      <c r="F5" s="56" t="s">
        <v>172</v>
      </c>
      <c r="G5" s="44">
        <v>24</v>
      </c>
      <c r="H5" s="129">
        <f>IF(B$17=0,0,G5/B$17)</f>
        <v>0.38709677419354838</v>
      </c>
      <c r="I5" s="90">
        <v>5</v>
      </c>
      <c r="K5" s="36">
        <v>3</v>
      </c>
      <c r="L5" s="95">
        <v>76</v>
      </c>
      <c r="N5" s="111" t="s">
        <v>133</v>
      </c>
      <c r="O5" s="118">
        <f t="shared" si="0"/>
        <v>-2230.4347826086955</v>
      </c>
      <c r="P5" s="115">
        <v>23</v>
      </c>
      <c r="Q5" s="99">
        <v>-51300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72</v>
      </c>
      <c r="F6" s="56" t="s">
        <v>27</v>
      </c>
      <c r="G6" s="44">
        <v>21</v>
      </c>
      <c r="H6" s="129">
        <f>IF(B$17=0,0,G6/B$17)</f>
        <v>0.33870967741935482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5409.5238095238092</v>
      </c>
      <c r="P6" s="115">
        <v>21</v>
      </c>
      <c r="Q6" s="99">
        <v>113600</v>
      </c>
    </row>
    <row r="7" spans="1:17" x14ac:dyDescent="0.4">
      <c r="A7" s="51" t="s">
        <v>2</v>
      </c>
      <c r="B7" s="44">
        <v>9</v>
      </c>
      <c r="C7" s="37">
        <f t="shared" ref="C7:C12" si="1">IF(B$2=0,0,B7/B$2)</f>
        <v>0.375</v>
      </c>
      <c r="E7" s="59" t="s">
        <v>67</v>
      </c>
      <c r="F7" s="56" t="s">
        <v>23</v>
      </c>
      <c r="G7" s="44">
        <v>16</v>
      </c>
      <c r="H7" s="129">
        <f>IF(B$17=0,0,G7/B$17)</f>
        <v>0.25806451612903225</v>
      </c>
      <c r="I7" s="90">
        <v>7</v>
      </c>
      <c r="K7" s="36">
        <v>5</v>
      </c>
      <c r="L7" s="95">
        <v>127.9</v>
      </c>
      <c r="N7" s="112" t="s">
        <v>135</v>
      </c>
      <c r="O7" s="119">
        <f t="shared" si="0"/>
        <v>112.5</v>
      </c>
      <c r="P7" s="116">
        <v>16</v>
      </c>
      <c r="Q7" s="100">
        <v>1800</v>
      </c>
    </row>
    <row r="8" spans="1:17" x14ac:dyDescent="0.4">
      <c r="A8" s="51" t="s">
        <v>3</v>
      </c>
      <c r="B8" s="44">
        <v>6</v>
      </c>
      <c r="C8" s="37">
        <f t="shared" si="1"/>
        <v>0.25</v>
      </c>
      <c r="E8" s="59" t="s">
        <v>69</v>
      </c>
      <c r="F8" s="56" t="s">
        <v>24</v>
      </c>
      <c r="G8" s="44">
        <v>13</v>
      </c>
      <c r="H8" s="129">
        <f>IF(B$17=0,0,G8/B$17)</f>
        <v>0.20967741935483872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9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IF(B$17=0,0,G9/B$17)</f>
        <v>0.14516129032258066</v>
      </c>
      <c r="I9" s="90">
        <v>2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2</v>
      </c>
      <c r="C10" s="38">
        <f t="shared" si="1"/>
        <v>8.3333333333333329E-2</v>
      </c>
      <c r="E10" s="59" t="s">
        <v>70</v>
      </c>
      <c r="F10" s="56" t="s">
        <v>25</v>
      </c>
      <c r="G10" s="44">
        <v>6</v>
      </c>
      <c r="H10" s="129">
        <f>IF(B$17=0,0,G10/B$17)</f>
        <v>9.6774193548387094E-2</v>
      </c>
      <c r="I10" s="90">
        <v>7</v>
      </c>
      <c r="K10" s="36">
        <v>8</v>
      </c>
      <c r="L10" s="95">
        <v>124.6</v>
      </c>
      <c r="N10" s="110" t="s">
        <v>162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2" t="s">
        <v>138</v>
      </c>
      <c r="B11" s="45">
        <v>3</v>
      </c>
      <c r="C11" s="38">
        <f t="shared" si="1"/>
        <v>0.125</v>
      </c>
      <c r="E11" s="59" t="s">
        <v>71</v>
      </c>
      <c r="F11" s="56" t="s">
        <v>26</v>
      </c>
      <c r="G11" s="44">
        <v>6</v>
      </c>
      <c r="H11" s="129">
        <f>IF(B$17=0,0,G11/B$17)</f>
        <v>9.6774193548387094E-2</v>
      </c>
      <c r="I11" s="90">
        <v>5</v>
      </c>
      <c r="K11" s="36">
        <v>9</v>
      </c>
      <c r="L11" s="95">
        <v>141.5</v>
      </c>
      <c r="N11" s="111" t="s">
        <v>163</v>
      </c>
      <c r="O11" s="121">
        <f>IF(P11=0,0,Q11/P11)</f>
        <v>8.1999999999999993</v>
      </c>
      <c r="P11" s="115">
        <v>5</v>
      </c>
      <c r="Q11" s="103">
        <v>40.999999999999993</v>
      </c>
    </row>
    <row r="12" spans="1:17" x14ac:dyDescent="0.4">
      <c r="A12" s="53" t="s">
        <v>158</v>
      </c>
      <c r="B12" s="46">
        <v>1</v>
      </c>
      <c r="C12" s="40">
        <f t="shared" si="1"/>
        <v>4.1666666666666664E-2</v>
      </c>
      <c r="E12" s="59" t="s">
        <v>89</v>
      </c>
      <c r="F12" s="56" t="s">
        <v>44</v>
      </c>
      <c r="G12" s="44">
        <v>5</v>
      </c>
      <c r="H12" s="129">
        <f>IF(B$17=0,0,G12/B$17)</f>
        <v>8.0645161290322578E-2</v>
      </c>
      <c r="I12" s="90">
        <v>10</v>
      </c>
      <c r="K12" s="36">
        <v>10</v>
      </c>
      <c r="L12" s="95">
        <v>162.80000000000001</v>
      </c>
      <c r="N12" s="112" t="s">
        <v>164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4" t="s">
        <v>121</v>
      </c>
      <c r="B13" s="47">
        <v>61</v>
      </c>
      <c r="C13" s="42">
        <f>IF(B$3=0,0,B13/B$3)</f>
        <v>0.26637554585152839</v>
      </c>
      <c r="E13" s="59" t="s">
        <v>78</v>
      </c>
      <c r="F13" s="56" t="s">
        <v>33</v>
      </c>
      <c r="G13" s="44">
        <v>3</v>
      </c>
      <c r="H13" s="129">
        <f>IF(B$17=0,0,G13/B$17)</f>
        <v>4.8387096774193547E-2</v>
      </c>
      <c r="I13" s="90">
        <v>1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35</v>
      </c>
      <c r="C14" s="37">
        <f>IF(B$3=0,0,B14/B$3)</f>
        <v>0.15283842794759825</v>
      </c>
      <c r="E14" s="59" t="s">
        <v>86</v>
      </c>
      <c r="F14" s="56" t="s">
        <v>41</v>
      </c>
      <c r="G14" s="44">
        <v>3</v>
      </c>
      <c r="H14" s="129">
        <f>IF(B$17=0,0,G14/B$17)</f>
        <v>4.8387096774193547E-2</v>
      </c>
      <c r="I14" s="90">
        <v>7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36</v>
      </c>
      <c r="C15" s="35">
        <f>IF(B$13=0,0,B15/B$13)</f>
        <v>0.5901639344262295</v>
      </c>
      <c r="E15" s="59" t="s">
        <v>83</v>
      </c>
      <c r="F15" s="56" t="s">
        <v>38</v>
      </c>
      <c r="G15" s="44">
        <v>2</v>
      </c>
      <c r="H15" s="129">
        <f>IF(B$17=0,0,G15/B$17)</f>
        <v>3.2258064516129031E-2</v>
      </c>
      <c r="I15" s="90">
        <v>11</v>
      </c>
      <c r="K15" s="36">
        <v>13</v>
      </c>
      <c r="L15" s="95">
        <v>76.7</v>
      </c>
      <c r="N15" s="110" t="s">
        <v>182</v>
      </c>
      <c r="O15" s="120">
        <f t="shared" ref="O15:O22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0" t="s">
        <v>124</v>
      </c>
      <c r="B16" s="43">
        <v>12</v>
      </c>
      <c r="C16" s="35">
        <f>IF(B$14=0,0,B16/B$14)</f>
        <v>0.34285714285714286</v>
      </c>
      <c r="E16" s="59" t="s">
        <v>75</v>
      </c>
      <c r="F16" s="56" t="s">
        <v>30</v>
      </c>
      <c r="G16" s="44">
        <v>1</v>
      </c>
      <c r="H16" s="129">
        <f>IF(B$17=0,0,G16/B$17)</f>
        <v>1.6129032258064516E-2</v>
      </c>
      <c r="I16" s="90">
        <v>1</v>
      </c>
      <c r="K16" s="36">
        <v>14</v>
      </c>
      <c r="L16" s="95">
        <v>49.900000000000006</v>
      </c>
      <c r="N16" s="111" t="s">
        <v>177</v>
      </c>
      <c r="O16" s="121">
        <f t="shared" si="2"/>
        <v>28.342857142857145</v>
      </c>
      <c r="P16" s="115">
        <v>7</v>
      </c>
      <c r="Q16" s="103">
        <v>198.4</v>
      </c>
    </row>
    <row r="17" spans="1:17" x14ac:dyDescent="0.4">
      <c r="A17" s="50" t="s">
        <v>10</v>
      </c>
      <c r="B17" s="43">
        <f>B19+B18</f>
        <v>62</v>
      </c>
      <c r="C17" s="35">
        <f>IF(B$3=0,0,B17/B$3)</f>
        <v>0.27074235807860264</v>
      </c>
      <c r="E17" s="59" t="s">
        <v>81</v>
      </c>
      <c r="F17" s="56" t="s">
        <v>36</v>
      </c>
      <c r="G17" s="44">
        <v>1</v>
      </c>
      <c r="H17" s="129">
        <f>IF(B$17=0,0,G17/B$17)</f>
        <v>1.6129032258064516E-2</v>
      </c>
      <c r="I17" s="90">
        <v>7</v>
      </c>
      <c r="K17" s="36">
        <v>15</v>
      </c>
      <c r="L17" s="95">
        <v>73.7</v>
      </c>
      <c r="N17" s="111" t="s">
        <v>179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12</v>
      </c>
      <c r="B18" s="44">
        <v>35</v>
      </c>
      <c r="C18" s="37">
        <f>IF(B$17=0,0,B18/B$17)</f>
        <v>0.56451612903225812</v>
      </c>
      <c r="E18" s="59" t="s">
        <v>85</v>
      </c>
      <c r="F18" s="56" t="s">
        <v>40</v>
      </c>
      <c r="G18" s="44">
        <v>1</v>
      </c>
      <c r="H18" s="129">
        <f>IF(B$17=0,0,G18/B$17)</f>
        <v>1.6129032258064516E-2</v>
      </c>
      <c r="I18" s="90">
        <v>1</v>
      </c>
      <c r="K18" s="36">
        <v>16</v>
      </c>
      <c r="L18" s="95">
        <v>28.300000000000004</v>
      </c>
      <c r="N18" s="111" t="s">
        <v>178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11</v>
      </c>
      <c r="B19" s="44">
        <v>27</v>
      </c>
      <c r="C19" s="37">
        <f>IF(B$17=0,0,B19/B$17)</f>
        <v>0.43548387096774194</v>
      </c>
      <c r="E19" s="59" t="s">
        <v>87</v>
      </c>
      <c r="F19" s="56" t="s">
        <v>42</v>
      </c>
      <c r="G19" s="44">
        <v>1</v>
      </c>
      <c r="H19" s="129">
        <f>IF(B$17=0,0,G19/B$17)</f>
        <v>1.6129032258064516E-2</v>
      </c>
      <c r="I19" s="90">
        <v>1</v>
      </c>
      <c r="K19" s="36">
        <v>17</v>
      </c>
      <c r="L19" s="95">
        <v>49.800000000000004</v>
      </c>
      <c r="N19" s="111" t="s">
        <v>166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13</v>
      </c>
      <c r="B20" s="44">
        <v>38</v>
      </c>
      <c r="C20" s="37">
        <f>IF(B$3=0,0,B20/B$3)</f>
        <v>0.16593886462882096</v>
      </c>
      <c r="E20" s="59" t="s">
        <v>167</v>
      </c>
      <c r="F20" s="56" t="s">
        <v>168</v>
      </c>
      <c r="G20" s="44">
        <v>1</v>
      </c>
      <c r="H20" s="129">
        <f>IF(B$17=0,0,G20/B$17)</f>
        <v>1.6129032258064516E-2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5</v>
      </c>
      <c r="K21" s="36">
        <v>19</v>
      </c>
      <c r="L21" s="95">
        <v>8.7000000000000028</v>
      </c>
      <c r="N21" s="111" t="s">
        <v>195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170</v>
      </c>
      <c r="B22" s="44">
        <v>19</v>
      </c>
      <c r="C22" s="131">
        <v>0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1" t="s">
        <v>5</v>
      </c>
      <c r="B23" s="48">
        <f>IF(B$17=0,0,C23/B$17)</f>
        <v>8456.4516129032254</v>
      </c>
      <c r="C23" s="39">
        <v>524300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-35.4</v>
      </c>
    </row>
    <row r="24" spans="1:17" x14ac:dyDescent="0.4">
      <c r="A24" s="52" t="s">
        <v>216</v>
      </c>
      <c r="B24" s="136">
        <f>IF($B$17-B$16=0,0,C24/($B$17-B$16))</f>
        <v>8780</v>
      </c>
      <c r="C24" s="137">
        <v>439000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5</v>
      </c>
      <c r="K24" s="36">
        <v>22</v>
      </c>
      <c r="L24" s="95">
        <v>-13.5</v>
      </c>
    </row>
    <row r="25" spans="1:17" x14ac:dyDescent="0.4">
      <c r="A25" s="52" t="s">
        <v>217</v>
      </c>
      <c r="B25" s="136">
        <f>IF(B$16=0,0,C25/B$16)</f>
        <v>7108.333333333333</v>
      </c>
      <c r="C25" s="137">
        <v>85300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27.299999999999997</v>
      </c>
    </row>
    <row r="26" spans="1:17" x14ac:dyDescent="0.4">
      <c r="A26" s="52" t="s">
        <v>215</v>
      </c>
      <c r="B26" s="136">
        <f>IF(B$20=0,0,C26/B$20)</f>
        <v>-6836.8421052631575</v>
      </c>
      <c r="C26" s="137">
        <v>-259800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86" t="s">
        <v>140</v>
      </c>
      <c r="B27" s="142">
        <v>7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1</v>
      </c>
      <c r="C29" s="40">
        <f>IF(B$3=0,0,B29/B$3)</f>
        <v>4.3668122270742356E-3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5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3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3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B709C-D98B-46DE-961D-CCD6ADFBC57D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4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5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2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5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7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9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5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53E7-64E6-4F76-9AE4-D26E133AC16F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9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5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9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3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3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5113F-A490-429F-AF48-30D21A9CC8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06F0-3AF1-45A1-A637-A1DFF216F41D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1400B-C680-4ED2-B7D7-230F405CF1D9}">
  <sheetPr codeName="Sheet22"/>
  <dimension ref="A1:Q2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  <row r="18" spans="1:17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0.13333333333333333</v>
      </c>
      <c r="M18" s="63">
        <v>0.28187919463087246</v>
      </c>
      <c r="N18" s="63">
        <v>0.1476510067114094</v>
      </c>
      <c r="O18" s="63">
        <v>0.6428571428571429</v>
      </c>
      <c r="P18" s="63">
        <v>0.31818181818181818</v>
      </c>
      <c r="Q18" s="63">
        <v>0.52272727272727271</v>
      </c>
    </row>
    <row r="19" spans="1:17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0.125</v>
      </c>
      <c r="M19" s="63">
        <v>0.29220779220779219</v>
      </c>
      <c r="N19" s="63">
        <v>0.14285714285714285</v>
      </c>
      <c r="O19" s="63">
        <v>0.62222222222222223</v>
      </c>
      <c r="P19" s="63">
        <v>0.31818181818181818</v>
      </c>
      <c r="Q19" s="63">
        <v>0.53333333333333333</v>
      </c>
    </row>
    <row r="20" spans="1:17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0.11764705882352941</v>
      </c>
      <c r="M20" s="63">
        <v>0.28749999999999998</v>
      </c>
      <c r="N20" s="63">
        <v>0.14374999999999999</v>
      </c>
      <c r="O20" s="63">
        <v>0.63043478260869568</v>
      </c>
      <c r="P20" s="63">
        <v>0.34782608695652173</v>
      </c>
      <c r="Q20" s="63">
        <v>0.55102040816326525</v>
      </c>
    </row>
    <row r="21" spans="1:17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0.1111111111111111</v>
      </c>
      <c r="M21" s="63">
        <v>0.27380952380952384</v>
      </c>
      <c r="N21" s="63">
        <v>0.13690476190476192</v>
      </c>
      <c r="O21" s="63">
        <v>0.63043478260869568</v>
      </c>
      <c r="P21" s="63">
        <v>0.34782608695652173</v>
      </c>
      <c r="Q21" s="63">
        <v>0.55102040816326525</v>
      </c>
    </row>
    <row r="22" spans="1:17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0.10526315789473684</v>
      </c>
      <c r="M22" s="63">
        <v>0.27840909090909088</v>
      </c>
      <c r="N22" s="63">
        <v>0.13068181818181818</v>
      </c>
      <c r="O22" s="63">
        <v>0.61224489795918369</v>
      </c>
      <c r="P22" s="63">
        <v>0.34782608695652173</v>
      </c>
      <c r="Q22" s="63">
        <v>0.56000000000000005</v>
      </c>
    </row>
    <row r="23" spans="1:17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0.1</v>
      </c>
      <c r="M23" s="63">
        <v>0.27717391304347827</v>
      </c>
      <c r="N23" s="63">
        <v>0.14130434782608695</v>
      </c>
      <c r="O23" s="63">
        <v>0.58823529411764708</v>
      </c>
      <c r="P23" s="63">
        <v>0.30769230769230771</v>
      </c>
      <c r="Q23" s="63">
        <v>0.56000000000000005</v>
      </c>
    </row>
    <row r="24" spans="1:17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9.5238095238095233E-2</v>
      </c>
      <c r="M24" s="63">
        <v>0.27368421052631581</v>
      </c>
      <c r="N24" s="63">
        <v>0.14210526315789473</v>
      </c>
      <c r="O24" s="63">
        <v>0.59615384615384615</v>
      </c>
      <c r="P24" s="63">
        <v>0.33333333333333331</v>
      </c>
      <c r="Q24" s="63">
        <v>0.53846153846153844</v>
      </c>
    </row>
    <row r="25" spans="1:17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9.0909090909090912E-2</v>
      </c>
      <c r="M25" s="63">
        <v>0.26470588235294118</v>
      </c>
      <c r="N25" s="63">
        <v>0.15686274509803921</v>
      </c>
      <c r="O25" s="63">
        <v>0.61111111111111116</v>
      </c>
      <c r="P25" s="63">
        <v>0.375</v>
      </c>
      <c r="Q25" s="63">
        <v>0.54385964912280704</v>
      </c>
    </row>
    <row r="26" spans="1:17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0.13043478260869565</v>
      </c>
      <c r="M26" s="63">
        <v>0.26940639269406391</v>
      </c>
      <c r="N26" s="63">
        <v>0.15525114155251141</v>
      </c>
      <c r="O26" s="63">
        <v>0.59322033898305082</v>
      </c>
      <c r="P26" s="63">
        <v>0.35294117647058826</v>
      </c>
      <c r="Q26" s="63">
        <v>0.55737704918032782</v>
      </c>
    </row>
    <row r="27" spans="1:17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0.125</v>
      </c>
      <c r="M27" s="63">
        <v>0.26637554585152839</v>
      </c>
      <c r="N27" s="63">
        <v>0.15283842794759825</v>
      </c>
      <c r="O27" s="63">
        <v>0.5901639344262295</v>
      </c>
      <c r="P27" s="63">
        <v>0.34285714285714286</v>
      </c>
      <c r="Q27" s="63">
        <v>0.56451612903225812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95F22-2C45-49FE-A30C-9A02C21C393E}">
  <sheetPr codeName="Sheet20"/>
  <dimension ref="A1:Q4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  <row r="35" spans="1:17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3.125E-2</v>
      </c>
      <c r="M35" s="63">
        <v>0.2</v>
      </c>
      <c r="N35" s="63">
        <v>0.22264150943396227</v>
      </c>
      <c r="O35" s="63">
        <v>0.54716981132075471</v>
      </c>
      <c r="P35" s="63">
        <v>0.3728813559322034</v>
      </c>
      <c r="Q35" s="63">
        <v>0.46774193548387094</v>
      </c>
    </row>
    <row r="36" spans="1:17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3.0303030303030304E-2</v>
      </c>
      <c r="M36" s="63">
        <v>0.19557195571955718</v>
      </c>
      <c r="N36" s="63">
        <v>0.22140221402214022</v>
      </c>
      <c r="O36" s="63">
        <v>0.54716981132075471</v>
      </c>
      <c r="P36" s="63">
        <v>0.36666666666666664</v>
      </c>
      <c r="Q36" s="63">
        <v>0.46031746031746029</v>
      </c>
    </row>
    <row r="37" spans="1:17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2.9411764705882353E-2</v>
      </c>
      <c r="M37" s="63">
        <v>0.19354838709677419</v>
      </c>
      <c r="N37" s="63">
        <v>0.22222222222222221</v>
      </c>
      <c r="O37" s="63">
        <v>0.55555555555555558</v>
      </c>
      <c r="P37" s="63">
        <v>0.37096774193548387</v>
      </c>
      <c r="Q37" s="63">
        <v>0.47692307692307695</v>
      </c>
    </row>
    <row r="38" spans="1:17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2.8571428571428571E-2</v>
      </c>
      <c r="M38" s="63">
        <v>0.19243986254295534</v>
      </c>
      <c r="N38" s="63">
        <v>0.22680412371134021</v>
      </c>
      <c r="O38" s="63">
        <v>0.5714285714285714</v>
      </c>
      <c r="P38" s="63">
        <v>0.37878787878787878</v>
      </c>
      <c r="Q38" s="63">
        <v>0.45833333333333331</v>
      </c>
    </row>
    <row r="39" spans="1:17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2.7777777777777776E-2</v>
      </c>
      <c r="M39" s="63">
        <v>0.19205298013245034</v>
      </c>
      <c r="N39" s="63">
        <v>0.23178807947019867</v>
      </c>
      <c r="O39" s="63">
        <v>0.55172413793103448</v>
      </c>
      <c r="P39" s="63">
        <v>0.4</v>
      </c>
      <c r="Q39" s="63">
        <v>0.48</v>
      </c>
    </row>
    <row r="40" spans="1:17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2.7027027027027029E-2</v>
      </c>
      <c r="M40" s="63">
        <v>0.19155844155844157</v>
      </c>
      <c r="N40" s="63">
        <v>0.22727272727272727</v>
      </c>
      <c r="O40" s="63">
        <v>0.5423728813559322</v>
      </c>
      <c r="P40" s="63">
        <v>0.4</v>
      </c>
      <c r="Q40" s="63">
        <v>0.48684210526315791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0C5CB-FF10-4F86-B946-F640B4129512}">
  <sheetPr codeName="Sheet18"/>
  <dimension ref="A1:Q9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  <row r="70" spans="1:17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8.9552238805970144E-2</v>
      </c>
      <c r="M70" s="63">
        <v>0.25504587155963304</v>
      </c>
      <c r="N70" s="63">
        <v>0.25321100917431194</v>
      </c>
      <c r="O70" s="63">
        <v>0.58273381294964033</v>
      </c>
      <c r="P70" s="63">
        <v>0.40579710144927539</v>
      </c>
      <c r="Q70" s="63">
        <v>0.44871794871794873</v>
      </c>
    </row>
    <row r="71" spans="1:17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8.8235294117647065E-2</v>
      </c>
      <c r="M71" s="63">
        <v>0.25362318840579712</v>
      </c>
      <c r="N71" s="63">
        <v>0.25362318840579712</v>
      </c>
      <c r="O71" s="63">
        <v>0.57857142857142863</v>
      </c>
      <c r="P71" s="63">
        <v>0.4</v>
      </c>
      <c r="Q71" s="63">
        <v>0.45222929936305734</v>
      </c>
    </row>
    <row r="72" spans="1:17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8.6956521739130432E-2</v>
      </c>
      <c r="M72" s="63">
        <v>0.25223613595706618</v>
      </c>
      <c r="N72" s="63">
        <v>0.25223613595706618</v>
      </c>
      <c r="O72" s="63">
        <v>0.57446808510638303</v>
      </c>
      <c r="P72" s="63">
        <v>0.40425531914893614</v>
      </c>
      <c r="Q72" s="63">
        <v>0.44936708860759494</v>
      </c>
    </row>
    <row r="73" spans="1:17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8.5714285714285715E-2</v>
      </c>
      <c r="M73" s="63">
        <v>0.25354609929078015</v>
      </c>
      <c r="N73" s="63">
        <v>0.25177304964539005</v>
      </c>
      <c r="O73" s="63">
        <v>0.57342657342657344</v>
      </c>
      <c r="P73" s="63">
        <v>0.40845070422535212</v>
      </c>
      <c r="Q73" s="63">
        <v>0.45624999999999999</v>
      </c>
    </row>
    <row r="74" spans="1:17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8.4507042253521125E-2</v>
      </c>
      <c r="M74" s="63">
        <v>0.25043782837127848</v>
      </c>
      <c r="N74" s="63">
        <v>0.24868651488616461</v>
      </c>
      <c r="O74" s="63">
        <v>0.57342657342657344</v>
      </c>
      <c r="P74" s="63">
        <v>0.40845070422535212</v>
      </c>
      <c r="Q74" s="63">
        <v>0.453416149068323</v>
      </c>
    </row>
    <row r="75" spans="1:17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8.3333333333333329E-2</v>
      </c>
      <c r="M75" s="63">
        <v>0.25043177892918828</v>
      </c>
      <c r="N75" s="63">
        <v>0.24525043177892919</v>
      </c>
      <c r="O75" s="63">
        <v>0.57241379310344831</v>
      </c>
      <c r="P75" s="63">
        <v>0.40845070422535212</v>
      </c>
      <c r="Q75" s="63">
        <v>0.46012269938650308</v>
      </c>
    </row>
    <row r="76" spans="1:17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8.2191780821917804E-2</v>
      </c>
      <c r="M76" s="63">
        <v>0.24957264957264957</v>
      </c>
      <c r="N76" s="63">
        <v>0.24615384615384617</v>
      </c>
      <c r="O76" s="63">
        <v>0.57534246575342463</v>
      </c>
      <c r="P76" s="63">
        <v>0.40277777777777779</v>
      </c>
      <c r="Q76" s="63">
        <v>0.46341463414634149</v>
      </c>
    </row>
    <row r="77" spans="1:17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8.1081081081081086E-2</v>
      </c>
      <c r="M77" s="63">
        <v>0.25126475548060706</v>
      </c>
      <c r="N77" s="63">
        <v>0.24283305227655985</v>
      </c>
      <c r="O77" s="63">
        <v>0.57718120805369133</v>
      </c>
      <c r="P77" s="63">
        <v>0.40277777777777779</v>
      </c>
      <c r="Q77" s="63">
        <v>0.44970414201183434</v>
      </c>
    </row>
    <row r="78" spans="1:17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0.08</v>
      </c>
      <c r="M78" s="63">
        <v>0.25666666666666665</v>
      </c>
      <c r="N78" s="63">
        <v>0.24166666666666667</v>
      </c>
      <c r="O78" s="63">
        <v>0.5714285714285714</v>
      </c>
      <c r="P78" s="63">
        <v>0.4</v>
      </c>
      <c r="Q78" s="63">
        <v>0.45029239766081869</v>
      </c>
    </row>
    <row r="79" spans="1:17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7.8947368421052627E-2</v>
      </c>
      <c r="M79" s="63">
        <v>0.25577557755775576</v>
      </c>
      <c r="N79" s="63">
        <v>0.24092409240924093</v>
      </c>
      <c r="O79" s="63">
        <v>0.5741935483870968</v>
      </c>
      <c r="P79" s="63">
        <v>0.4041095890410959</v>
      </c>
      <c r="Q79" s="63">
        <v>0.45086705202312138</v>
      </c>
    </row>
    <row r="80" spans="1:17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7.792207792207792E-2</v>
      </c>
      <c r="M80" s="63">
        <v>0.25283630470016205</v>
      </c>
      <c r="N80" s="63">
        <v>0.23824959481361427</v>
      </c>
      <c r="O80" s="63">
        <v>0.57051282051282048</v>
      </c>
      <c r="P80" s="63">
        <v>0.40136054421768708</v>
      </c>
      <c r="Q80" s="63">
        <v>0.45086705202312138</v>
      </c>
    </row>
    <row r="81" spans="1:17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7.6923076923076927E-2</v>
      </c>
      <c r="M81" s="63">
        <v>0.2504012841091493</v>
      </c>
      <c r="N81" s="63">
        <v>0.23595505617977527</v>
      </c>
      <c r="O81" s="63">
        <v>0.57051282051282048</v>
      </c>
      <c r="P81" s="63">
        <v>0.40136054421768708</v>
      </c>
      <c r="Q81" s="63">
        <v>0.45086705202312138</v>
      </c>
    </row>
    <row r="82" spans="1:17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7.5949367088607597E-2</v>
      </c>
      <c r="M82" s="63">
        <v>0.25078864353312302</v>
      </c>
      <c r="N82" s="63">
        <v>0.23501577287066247</v>
      </c>
      <c r="O82" s="63">
        <v>0.55974842767295596</v>
      </c>
      <c r="P82" s="63">
        <v>0.40268456375838924</v>
      </c>
      <c r="Q82" s="63">
        <v>0.44886363636363635</v>
      </c>
    </row>
    <row r="83" spans="1:17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7.4999999999999997E-2</v>
      </c>
      <c r="M83" s="63">
        <v>0.25039123630672927</v>
      </c>
      <c r="N83" s="63">
        <v>0.23630672926447574</v>
      </c>
      <c r="O83" s="63">
        <v>0.5625</v>
      </c>
      <c r="P83" s="63">
        <v>0.40397350993377484</v>
      </c>
      <c r="Q83" s="63">
        <v>0.449438202247191</v>
      </c>
    </row>
    <row r="84" spans="1:17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7.407407407407407E-2</v>
      </c>
      <c r="M84" s="63">
        <v>0.25386996904024767</v>
      </c>
      <c r="N84" s="63">
        <v>0.23529411764705882</v>
      </c>
      <c r="O84" s="63">
        <v>0.56707317073170727</v>
      </c>
      <c r="P84" s="63">
        <v>0.40789473684210525</v>
      </c>
      <c r="Q84" s="63">
        <v>0.44808743169398907</v>
      </c>
    </row>
    <row r="85" spans="1:17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7.3170731707317069E-2</v>
      </c>
      <c r="M85" s="63">
        <v>0.25229357798165136</v>
      </c>
      <c r="N85" s="63">
        <v>0.23547400611620795</v>
      </c>
      <c r="O85" s="63">
        <v>0.5696969696969697</v>
      </c>
      <c r="P85" s="63">
        <v>0.40909090909090912</v>
      </c>
      <c r="Q85" s="63">
        <v>0.44864864864864867</v>
      </c>
    </row>
    <row r="86" spans="1:17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7.2289156626506021E-2</v>
      </c>
      <c r="M86" s="63">
        <v>0.25264750378214829</v>
      </c>
      <c r="N86" s="63">
        <v>0.2329803328290469</v>
      </c>
      <c r="O86" s="63">
        <v>0.56287425149700598</v>
      </c>
      <c r="P86" s="63">
        <v>0.40909090909090912</v>
      </c>
      <c r="Q86" s="63">
        <v>0.44864864864864867</v>
      </c>
    </row>
    <row r="87" spans="1:17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7.1428571428571425E-2</v>
      </c>
      <c r="M87" s="63">
        <v>0.25337331334332835</v>
      </c>
      <c r="N87" s="63">
        <v>0.23088455772113944</v>
      </c>
      <c r="O87" s="63">
        <v>0.56804733727810652</v>
      </c>
      <c r="P87" s="63">
        <v>0.40909090909090912</v>
      </c>
      <c r="Q87" s="63">
        <v>0.44385026737967914</v>
      </c>
    </row>
    <row r="88" spans="1:17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7.0588235294117646E-2</v>
      </c>
      <c r="M88" s="63">
        <v>0.25370919881305637</v>
      </c>
      <c r="N88" s="63">
        <v>0.2314540059347181</v>
      </c>
      <c r="O88" s="63">
        <v>0.56140350877192979</v>
      </c>
      <c r="P88" s="63">
        <v>0.41025641025641024</v>
      </c>
      <c r="Q88" s="63">
        <v>0.44973544973544971</v>
      </c>
    </row>
    <row r="89" spans="1:17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6.9767441860465115E-2</v>
      </c>
      <c r="M89" s="63">
        <v>0.25768667642752563</v>
      </c>
      <c r="N89" s="63">
        <v>0.22986822840409957</v>
      </c>
      <c r="O89" s="63">
        <v>0.55681818181818177</v>
      </c>
      <c r="P89" s="63">
        <v>0.4140127388535032</v>
      </c>
      <c r="Q89" s="63">
        <v>0.44791666666666669</v>
      </c>
    </row>
    <row r="90" spans="1:17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6.8965517241379309E-2</v>
      </c>
      <c r="M90" s="63">
        <v>0.2608695652173913</v>
      </c>
      <c r="N90" s="63">
        <v>0.22898550724637681</v>
      </c>
      <c r="O90" s="63">
        <v>0.56111111111111112</v>
      </c>
      <c r="P90" s="63">
        <v>0.41139240506329117</v>
      </c>
      <c r="Q90" s="63">
        <v>0.44615384615384618</v>
      </c>
    </row>
    <row r="91" spans="1:17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6.8181818181818177E-2</v>
      </c>
      <c r="M91" s="63">
        <v>0.26315789473684209</v>
      </c>
      <c r="N91" s="63">
        <v>0.22759601706970128</v>
      </c>
      <c r="O91" s="63">
        <v>0.56216216216216219</v>
      </c>
      <c r="P91" s="63">
        <v>0.41249999999999998</v>
      </c>
      <c r="Q91" s="63">
        <v>0.44221105527638194</v>
      </c>
    </row>
    <row r="92" spans="1:17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6.741573033707865E-2</v>
      </c>
      <c r="M92" s="63">
        <v>0.26396648044692739</v>
      </c>
      <c r="N92" s="63">
        <v>0.22346368715083798</v>
      </c>
      <c r="O92" s="63">
        <v>0.56084656084656082</v>
      </c>
      <c r="P92" s="63">
        <v>0.41249999999999998</v>
      </c>
      <c r="Q92" s="63">
        <v>0.4405940594059406</v>
      </c>
    </row>
    <row r="93" spans="1:17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7.7777777777777779E-2</v>
      </c>
      <c r="M93" s="63">
        <v>0.26592797783933519</v>
      </c>
      <c r="N93" s="63">
        <v>0.22160664819944598</v>
      </c>
      <c r="O93" s="63">
        <v>0.56770833333333337</v>
      </c>
      <c r="P93" s="63">
        <v>0.41249999999999998</v>
      </c>
      <c r="Q93" s="63">
        <v>0.44878048780487806</v>
      </c>
    </row>
    <row r="94" spans="1:17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7.6923076923076927E-2</v>
      </c>
      <c r="M94" s="63">
        <v>0.26648351648351648</v>
      </c>
      <c r="N94" s="63">
        <v>0.22115384615384615</v>
      </c>
      <c r="O94" s="63">
        <v>0.57216494845360821</v>
      </c>
      <c r="P94" s="63">
        <v>0.40993788819875776</v>
      </c>
      <c r="Q94" s="63">
        <v>0.44927536231884058</v>
      </c>
    </row>
    <row r="95" spans="1:17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8.6956521739130432E-2</v>
      </c>
      <c r="M95" s="63">
        <v>0.26666666666666666</v>
      </c>
      <c r="N95" s="63">
        <v>0.22040816326530613</v>
      </c>
      <c r="O95" s="63">
        <v>0.57653061224489799</v>
      </c>
      <c r="P95" s="63">
        <v>0.41358024691358025</v>
      </c>
      <c r="Q95" s="63">
        <v>0.45714285714285713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3AC30-7107-4E5C-AAD4-07F911C35F0B}">
  <sheetPr codeName="Sheet16"/>
  <dimension ref="A1:Q6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  <row r="50" spans="1:17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0.19148936170212766</v>
      </c>
      <c r="M50" s="63">
        <v>0.31675392670157065</v>
      </c>
      <c r="N50" s="63">
        <v>0.19633507853403143</v>
      </c>
      <c r="O50" s="63">
        <v>0.51239669421487599</v>
      </c>
      <c r="P50" s="63">
        <v>0.45333333333333331</v>
      </c>
      <c r="Q50" s="63">
        <v>0.47272727272727272</v>
      </c>
    </row>
    <row r="51" spans="1:17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0.20833333333333334</v>
      </c>
      <c r="M51" s="63">
        <v>0.32133676092544988</v>
      </c>
      <c r="N51" s="63">
        <v>0.19537275064267351</v>
      </c>
      <c r="O51" s="63">
        <v>0.52800000000000002</v>
      </c>
      <c r="P51" s="63">
        <v>0.46052631578947367</v>
      </c>
      <c r="Q51" s="63">
        <v>0.46956521739130436</v>
      </c>
    </row>
    <row r="52" spans="1:17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0.20408163265306123</v>
      </c>
      <c r="M52" s="63">
        <v>0.32070707070707072</v>
      </c>
      <c r="N52" s="63">
        <v>0.19696969696969696</v>
      </c>
      <c r="O52" s="63">
        <v>0.52755905511811019</v>
      </c>
      <c r="P52" s="63">
        <v>0.46153846153846156</v>
      </c>
      <c r="Q52" s="63">
        <v>0.46153846153846156</v>
      </c>
    </row>
    <row r="53" spans="1:17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0.22</v>
      </c>
      <c r="M53" s="63">
        <v>0.31920199501246882</v>
      </c>
      <c r="N53" s="63">
        <v>0.19451371571072318</v>
      </c>
      <c r="O53" s="63">
        <v>0.53125</v>
      </c>
      <c r="P53" s="63">
        <v>0.46153846153846156</v>
      </c>
      <c r="Q53" s="63">
        <v>0.46610169491525422</v>
      </c>
    </row>
    <row r="54" spans="1:17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0.21568627450980393</v>
      </c>
      <c r="M54" s="63">
        <v>0.32107843137254904</v>
      </c>
      <c r="N54" s="63">
        <v>0.19117647058823528</v>
      </c>
      <c r="O54" s="63">
        <v>0.52671755725190839</v>
      </c>
      <c r="P54" s="63">
        <v>0.46153846153846156</v>
      </c>
      <c r="Q54" s="63">
        <v>0.47499999999999998</v>
      </c>
    </row>
    <row r="55" spans="1:17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0.21153846153846154</v>
      </c>
      <c r="M55" s="63">
        <v>0.32692307692307693</v>
      </c>
      <c r="N55" s="63">
        <v>0.18990384615384615</v>
      </c>
      <c r="O55" s="63">
        <v>0.53676470588235292</v>
      </c>
      <c r="P55" s="63">
        <v>0.46835443037974683</v>
      </c>
      <c r="Q55" s="63">
        <v>0.48799999999999999</v>
      </c>
    </row>
    <row r="56" spans="1:17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0.20754716981132076</v>
      </c>
      <c r="M56" s="63">
        <v>0.32938388625592419</v>
      </c>
      <c r="N56" s="63">
        <v>0.1872037914691943</v>
      </c>
      <c r="O56" s="63">
        <v>0.53237410071942448</v>
      </c>
      <c r="P56" s="63">
        <v>0.46835443037974683</v>
      </c>
      <c r="Q56" s="63">
        <v>0.49206349206349204</v>
      </c>
    </row>
    <row r="57" spans="1:17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0.20370370370370369</v>
      </c>
      <c r="M57" s="63">
        <v>0.32558139534883723</v>
      </c>
      <c r="N57" s="63">
        <v>0.18604651162790697</v>
      </c>
      <c r="O57" s="63">
        <v>0.5357142857142857</v>
      </c>
      <c r="P57" s="63">
        <v>0.46250000000000002</v>
      </c>
      <c r="Q57" s="63">
        <v>0.49612403100775193</v>
      </c>
    </row>
    <row r="58" spans="1:17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0.2</v>
      </c>
      <c r="M58" s="63">
        <v>0.32118451025056949</v>
      </c>
      <c r="N58" s="63">
        <v>0.18223234624145787</v>
      </c>
      <c r="O58" s="63">
        <v>0.53191489361702127</v>
      </c>
      <c r="P58" s="63">
        <v>0.46250000000000002</v>
      </c>
      <c r="Q58" s="63">
        <v>0.49612403100775193</v>
      </c>
    </row>
    <row r="59" spans="1:17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0.19642857142857142</v>
      </c>
      <c r="M59" s="63">
        <v>0.32</v>
      </c>
      <c r="N59" s="63">
        <v>0.18222222222222223</v>
      </c>
      <c r="O59" s="63">
        <v>0.53472222222222221</v>
      </c>
      <c r="P59" s="63">
        <v>0.45121951219512196</v>
      </c>
      <c r="Q59" s="63">
        <v>0.49618320610687022</v>
      </c>
    </row>
    <row r="60" spans="1:17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0.19298245614035087</v>
      </c>
      <c r="M60" s="63">
        <v>0.32385120350109409</v>
      </c>
      <c r="N60" s="63">
        <v>0.17943107221006566</v>
      </c>
      <c r="O60" s="63">
        <v>0.54729729729729726</v>
      </c>
      <c r="P60" s="63">
        <v>0.45121951219512196</v>
      </c>
      <c r="Q60" s="63">
        <v>0.48529411764705882</v>
      </c>
    </row>
    <row r="61" spans="1:17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0.18965517241379309</v>
      </c>
      <c r="M61" s="63">
        <v>0.32258064516129031</v>
      </c>
      <c r="N61" s="63">
        <v>0.17634408602150536</v>
      </c>
      <c r="O61" s="63">
        <v>0.54666666666666663</v>
      </c>
      <c r="P61" s="63">
        <v>0.45121951219512196</v>
      </c>
      <c r="Q61" s="63">
        <v>0.48550724637681159</v>
      </c>
    </row>
    <row r="62" spans="1:17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0.20338983050847459</v>
      </c>
      <c r="M62" s="63">
        <v>0.32845188284518828</v>
      </c>
      <c r="N62" s="63">
        <v>0.17782426778242677</v>
      </c>
      <c r="O62" s="63">
        <v>0.55414012738853502</v>
      </c>
      <c r="P62" s="63">
        <v>0.43529411764705883</v>
      </c>
      <c r="Q62" s="63">
        <v>0.4825174825174825</v>
      </c>
    </row>
    <row r="63" spans="1:17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0.2</v>
      </c>
      <c r="M63" s="63">
        <v>0.32723577235772355</v>
      </c>
      <c r="N63" s="63">
        <v>0.17886178861788618</v>
      </c>
      <c r="O63" s="63">
        <v>0.54658385093167705</v>
      </c>
      <c r="P63" s="63">
        <v>0.44318181818181818</v>
      </c>
      <c r="Q63" s="63">
        <v>0.47945205479452052</v>
      </c>
    </row>
    <row r="64" spans="1:17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0.19672131147540983</v>
      </c>
      <c r="M64" s="63">
        <v>0.32341269841269843</v>
      </c>
      <c r="N64" s="63">
        <v>0.18055555555555555</v>
      </c>
      <c r="O64" s="63">
        <v>0.54601226993865026</v>
      </c>
      <c r="P64" s="63">
        <v>0.43956043956043955</v>
      </c>
      <c r="Q64" s="63">
        <v>0.47297297297297297</v>
      </c>
    </row>
    <row r="65" spans="1:17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0.19354838709677419</v>
      </c>
      <c r="M65" s="63">
        <v>0.32156862745098042</v>
      </c>
      <c r="N65" s="63">
        <v>0.17843137254901961</v>
      </c>
      <c r="O65" s="63">
        <v>0.54878048780487809</v>
      </c>
      <c r="P65" s="63">
        <v>0.43956043956043955</v>
      </c>
      <c r="Q65" s="63">
        <v>0.46979865771812079</v>
      </c>
    </row>
    <row r="66" spans="1:17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0.19047619047619047</v>
      </c>
      <c r="M66" s="63">
        <v>0.31782945736434109</v>
      </c>
      <c r="N66" s="63">
        <v>0.17635658914728683</v>
      </c>
      <c r="O66" s="63">
        <v>0.54878048780487809</v>
      </c>
      <c r="P66" s="63">
        <v>0.43956043956043955</v>
      </c>
      <c r="Q66" s="63">
        <v>0.46979865771812079</v>
      </c>
    </row>
    <row r="67" spans="1:17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0.1875</v>
      </c>
      <c r="M67" s="63">
        <v>0.31739961759082219</v>
      </c>
      <c r="N67" s="63">
        <v>0.17782026768642448</v>
      </c>
      <c r="O67" s="63">
        <v>0.54819277108433739</v>
      </c>
      <c r="P67" s="63">
        <v>0.43010752688172044</v>
      </c>
      <c r="Q67" s="63">
        <v>0.47333333333333333</v>
      </c>
    </row>
    <row r="68" spans="1:17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0.18461538461538463</v>
      </c>
      <c r="M68" s="63">
        <v>0.31826741996233521</v>
      </c>
      <c r="N68" s="63">
        <v>0.17890772128060264</v>
      </c>
      <c r="O68" s="63">
        <v>0.55621301775147924</v>
      </c>
      <c r="P68" s="63">
        <v>0.44210526315789472</v>
      </c>
      <c r="Q68" s="63">
        <v>0.47741935483870968</v>
      </c>
    </row>
    <row r="69" spans="1:17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0.18181818181818182</v>
      </c>
      <c r="M69" s="63">
        <v>0.31860036832412525</v>
      </c>
      <c r="N69" s="63">
        <v>0.17863720073664824</v>
      </c>
      <c r="O69" s="63">
        <v>0.56069364161849711</v>
      </c>
      <c r="P69" s="63">
        <v>0.44329896907216493</v>
      </c>
      <c r="Q69" s="63">
        <v>0.47169811320754718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F0A0-967D-4C91-AF21-E24D6E2A0C30}">
  <sheetPr codeName="Sheet14"/>
  <dimension ref="A1:Q7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  <row r="61" spans="1:17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3.4482758620689655E-2</v>
      </c>
      <c r="M61" s="63">
        <v>0.28834355828220859</v>
      </c>
      <c r="N61" s="63">
        <v>0.18404907975460122</v>
      </c>
      <c r="O61" s="63">
        <v>0.6028368794326241</v>
      </c>
      <c r="P61" s="63">
        <v>0.3888888888888889</v>
      </c>
      <c r="Q61" s="63">
        <v>0.46376811594202899</v>
      </c>
    </row>
    <row r="62" spans="1:17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3.3898305084745763E-2</v>
      </c>
      <c r="M62" s="63">
        <v>0.28629032258064518</v>
      </c>
      <c r="N62" s="63">
        <v>0.1875</v>
      </c>
      <c r="O62" s="63">
        <v>0.59859154929577463</v>
      </c>
      <c r="P62" s="63">
        <v>0.38709677419354838</v>
      </c>
      <c r="Q62" s="63">
        <v>0.45714285714285713</v>
      </c>
    </row>
    <row r="63" spans="1:17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3.3333333333333333E-2</v>
      </c>
      <c r="M63" s="63">
        <v>0.28286852589641437</v>
      </c>
      <c r="N63" s="63">
        <v>0.18725099601593626</v>
      </c>
      <c r="O63" s="63">
        <v>0.59859154929577463</v>
      </c>
      <c r="P63" s="63">
        <v>0.38297872340425532</v>
      </c>
      <c r="Q63" s="63">
        <v>0.45714285714285713</v>
      </c>
    </row>
    <row r="64" spans="1:17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3.2786885245901641E-2</v>
      </c>
      <c r="M64" s="63">
        <v>0.28488372093023256</v>
      </c>
      <c r="N64" s="63">
        <v>0.18992248062015504</v>
      </c>
      <c r="O64" s="63">
        <v>0.59183673469387754</v>
      </c>
      <c r="P64" s="63">
        <v>0.38775510204081631</v>
      </c>
      <c r="Q64" s="63">
        <v>0.4513888888888889</v>
      </c>
    </row>
    <row r="65" spans="1:17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3.2258064516129031E-2</v>
      </c>
      <c r="M65" s="63">
        <v>0.28516377649325625</v>
      </c>
      <c r="N65" s="63">
        <v>0.18882466281310212</v>
      </c>
      <c r="O65" s="63">
        <v>0.58783783783783783</v>
      </c>
      <c r="P65" s="63">
        <v>0.38775510204081631</v>
      </c>
      <c r="Q65" s="63">
        <v>0.4513888888888889</v>
      </c>
    </row>
    <row r="66" spans="1:17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3.1746031746031744E-2</v>
      </c>
      <c r="M66" s="63">
        <v>0.29166666666666669</v>
      </c>
      <c r="N66" s="63">
        <v>0.1875</v>
      </c>
      <c r="O66" s="63">
        <v>0.58441558441558439</v>
      </c>
      <c r="P66" s="63">
        <v>0.38383838383838381</v>
      </c>
      <c r="Q66" s="63">
        <v>0.45270270270270269</v>
      </c>
    </row>
    <row r="67" spans="1:17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3.125E-2</v>
      </c>
      <c r="M67" s="63">
        <v>0.28782287822878228</v>
      </c>
      <c r="N67" s="63">
        <v>0.18819188191881919</v>
      </c>
      <c r="O67" s="63">
        <v>0.58333333333333337</v>
      </c>
      <c r="P67" s="63">
        <v>0.40196078431372551</v>
      </c>
      <c r="Q67" s="63">
        <v>0.46052631578947367</v>
      </c>
    </row>
    <row r="68" spans="1:17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3.0769230769230771E-2</v>
      </c>
      <c r="M68" s="63">
        <v>0.2867513611615245</v>
      </c>
      <c r="N68" s="63">
        <v>0.19237749546279492</v>
      </c>
      <c r="O68" s="63">
        <v>0.58227848101265822</v>
      </c>
      <c r="P68" s="63">
        <v>0.3867924528301887</v>
      </c>
      <c r="Q68" s="63">
        <v>0.45751633986928103</v>
      </c>
    </row>
    <row r="69" spans="1:17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3.0303030303030304E-2</v>
      </c>
      <c r="M69" s="63">
        <v>0.28520499108734404</v>
      </c>
      <c r="N69" s="63">
        <v>0.19073083778966132</v>
      </c>
      <c r="O69" s="63">
        <v>0.58750000000000002</v>
      </c>
      <c r="P69" s="63">
        <v>0.3925233644859813</v>
      </c>
      <c r="Q69" s="63">
        <v>0.46202531645569622</v>
      </c>
    </row>
    <row r="70" spans="1:17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2.9850746268656716E-2</v>
      </c>
      <c r="M70" s="63">
        <v>0.2879581151832461</v>
      </c>
      <c r="N70" s="63">
        <v>0.19022687609075042</v>
      </c>
      <c r="O70" s="63">
        <v>0.5757575757575758</v>
      </c>
      <c r="P70" s="63">
        <v>0.40366972477064222</v>
      </c>
      <c r="Q70" s="63">
        <v>0.45962732919254656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E04CE-6D5F-4791-A615-DDFD21B8A421}">
  <sheetPr codeName="Sheet12"/>
  <dimension ref="A1:Q10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  <row r="87" spans="1:17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9.5238095238095233E-2</v>
      </c>
      <c r="M87" s="63">
        <v>0.23001402524544179</v>
      </c>
      <c r="N87" s="63">
        <v>0.30575035063113604</v>
      </c>
      <c r="O87" s="63">
        <v>0.53048780487804881</v>
      </c>
      <c r="P87" s="63">
        <v>0.37155963302752293</v>
      </c>
      <c r="Q87" s="63">
        <v>0.39189189189189189</v>
      </c>
    </row>
    <row r="88" spans="1:17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0.10588235294117647</v>
      </c>
      <c r="M88" s="63">
        <v>0.23204419889502761</v>
      </c>
      <c r="N88" s="63">
        <v>0.30524861878453041</v>
      </c>
      <c r="O88" s="63">
        <v>0.5357142857142857</v>
      </c>
      <c r="P88" s="63">
        <v>0.37104072398190047</v>
      </c>
      <c r="Q88" s="63">
        <v>0.38495575221238937</v>
      </c>
    </row>
    <row r="89" spans="1:17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0.10465116279069768</v>
      </c>
      <c r="M89" s="63">
        <v>0.23087431693989072</v>
      </c>
      <c r="N89" s="63">
        <v>0.3046448087431694</v>
      </c>
      <c r="O89" s="63">
        <v>0.53846153846153844</v>
      </c>
      <c r="P89" s="63">
        <v>0.37219730941704038</v>
      </c>
      <c r="Q89" s="63">
        <v>0.37991266375545851</v>
      </c>
    </row>
    <row r="90" spans="1:17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0.11494252873563218</v>
      </c>
      <c r="M90" s="63">
        <v>0.22899728997289973</v>
      </c>
      <c r="N90" s="63">
        <v>0.30623306233062331</v>
      </c>
      <c r="O90" s="63">
        <v>0.53846153846153844</v>
      </c>
      <c r="P90" s="63">
        <v>0.38053097345132741</v>
      </c>
      <c r="Q90" s="63">
        <v>0.38197424892703863</v>
      </c>
    </row>
    <row r="91" spans="1:17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0.11363636363636363</v>
      </c>
      <c r="M91" s="63">
        <v>0.22739361702127658</v>
      </c>
      <c r="N91" s="63">
        <v>0.30718085106382981</v>
      </c>
      <c r="O91" s="63">
        <v>0.53216374269005851</v>
      </c>
      <c r="P91" s="63">
        <v>0.38528138528138528</v>
      </c>
      <c r="Q91" s="63">
        <v>0.38396624472573837</v>
      </c>
    </row>
    <row r="92" spans="1:17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0.11235955056179775</v>
      </c>
      <c r="M92" s="63">
        <v>0.22823218997361477</v>
      </c>
      <c r="N92" s="63">
        <v>0.30606860158311344</v>
      </c>
      <c r="O92" s="63">
        <v>0.53179190751445082</v>
      </c>
      <c r="P92" s="63">
        <v>0.38362068965517243</v>
      </c>
      <c r="Q92" s="63">
        <v>0.38493723849372385</v>
      </c>
    </row>
    <row r="93" spans="1:17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0.1111111111111111</v>
      </c>
      <c r="M93" s="63">
        <v>0.23216601815823606</v>
      </c>
      <c r="N93" s="63">
        <v>0.30998702983138782</v>
      </c>
      <c r="O93" s="63">
        <v>0.51955307262569828</v>
      </c>
      <c r="P93" s="63">
        <v>0.38493723849372385</v>
      </c>
      <c r="Q93" s="63">
        <v>0.38683127572016462</v>
      </c>
    </row>
    <row r="94" spans="1:17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0.10989010989010989</v>
      </c>
      <c r="M94" s="63">
        <v>0.2326478149100257</v>
      </c>
      <c r="N94" s="63">
        <v>0.30976863753213368</v>
      </c>
      <c r="O94" s="63">
        <v>0.51933701657458564</v>
      </c>
      <c r="P94" s="63">
        <v>0.38174273858921159</v>
      </c>
      <c r="Q94" s="63">
        <v>0.38524590163934425</v>
      </c>
    </row>
    <row r="95" spans="1:17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0.10869565217391304</v>
      </c>
      <c r="M95" s="63">
        <v>0.2340966921119593</v>
      </c>
      <c r="N95" s="63">
        <v>0.30916030534351147</v>
      </c>
      <c r="O95" s="63">
        <v>0.51630434782608692</v>
      </c>
      <c r="P95" s="63">
        <v>0.37860082304526749</v>
      </c>
      <c r="Q95" s="63">
        <v>0.38775510204081631</v>
      </c>
    </row>
    <row r="96" spans="1:17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0.10752688172043011</v>
      </c>
      <c r="M96" s="63">
        <v>0.23707440100882723</v>
      </c>
      <c r="N96" s="63">
        <v>0.30643127364438838</v>
      </c>
      <c r="O96" s="63">
        <v>0.51063829787234039</v>
      </c>
      <c r="P96" s="63">
        <v>0.37860082304526749</v>
      </c>
      <c r="Q96" s="63">
        <v>0.38617886178861788</v>
      </c>
    </row>
    <row r="97" spans="1:17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0.10638297872340426</v>
      </c>
      <c r="M97" s="63">
        <v>0.23654568210262827</v>
      </c>
      <c r="N97" s="63">
        <v>0.30663329161451813</v>
      </c>
      <c r="O97" s="63">
        <v>0.50793650793650791</v>
      </c>
      <c r="P97" s="63">
        <v>0.37551020408163266</v>
      </c>
      <c r="Q97" s="63">
        <v>0.38617886178861788</v>
      </c>
    </row>
    <row r="98" spans="1:17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0.10526315789473684</v>
      </c>
      <c r="M98" s="63">
        <v>0.23449131513647642</v>
      </c>
      <c r="N98" s="63">
        <v>0.30645161290322581</v>
      </c>
      <c r="O98" s="63">
        <v>0.50793650793650791</v>
      </c>
      <c r="P98" s="63">
        <v>0.37651821862348178</v>
      </c>
      <c r="Q98" s="63">
        <v>0.38461538461538464</v>
      </c>
    </row>
    <row r="99" spans="1:17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0.10416666666666667</v>
      </c>
      <c r="M99" s="63">
        <v>0.2343558282208589</v>
      </c>
      <c r="N99" s="63">
        <v>0.30674846625766872</v>
      </c>
      <c r="O99" s="63">
        <v>0.50785340314136129</v>
      </c>
      <c r="P99" s="63">
        <v>0.376</v>
      </c>
      <c r="Q99" s="63">
        <v>0.38554216867469882</v>
      </c>
    </row>
    <row r="100" spans="1:17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0.10309278350515463</v>
      </c>
      <c r="M100" s="63">
        <v>0.2334963325183374</v>
      </c>
      <c r="N100" s="63">
        <v>0.30562347188264061</v>
      </c>
      <c r="O100" s="63">
        <v>0.50785340314136129</v>
      </c>
      <c r="P100" s="63">
        <v>0.376</v>
      </c>
      <c r="Q100" s="63">
        <v>0.38554216867469882</v>
      </c>
    </row>
    <row r="101" spans="1:17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0.10204081632653061</v>
      </c>
      <c r="M101" s="63">
        <v>0.23458282950423218</v>
      </c>
      <c r="N101" s="63">
        <v>0.30350665054413545</v>
      </c>
      <c r="O101" s="63">
        <v>0.51030927835051543</v>
      </c>
      <c r="P101" s="63">
        <v>0.37450199203187251</v>
      </c>
      <c r="Q101" s="63">
        <v>0.38645418326693226</v>
      </c>
    </row>
    <row r="102" spans="1:17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0.10101010101010101</v>
      </c>
      <c r="M102" s="63">
        <v>0.2347305389221557</v>
      </c>
      <c r="N102" s="63">
        <v>0.30419161676646705</v>
      </c>
      <c r="O102" s="63">
        <v>0.51020408163265307</v>
      </c>
      <c r="P102" s="63">
        <v>0.37401574803149606</v>
      </c>
      <c r="Q102" s="63">
        <v>0.38735177865612647</v>
      </c>
    </row>
    <row r="103" spans="1:17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0.1</v>
      </c>
      <c r="M103" s="63">
        <v>0.23515439429928742</v>
      </c>
      <c r="N103" s="63">
        <v>0.30403800475059384</v>
      </c>
      <c r="O103" s="63">
        <v>0.51010101010101006</v>
      </c>
      <c r="P103" s="63">
        <v>0.37109375</v>
      </c>
      <c r="Q103" s="63">
        <v>0.38976377952755903</v>
      </c>
    </row>
    <row r="104" spans="1:17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9.9009900990099015E-2</v>
      </c>
      <c r="M104" s="63">
        <v>0.23349056603773585</v>
      </c>
      <c r="N104" s="63">
        <v>0.30306603773584906</v>
      </c>
      <c r="O104" s="63">
        <v>0.51010101010101006</v>
      </c>
      <c r="P104" s="63">
        <v>0.36964980544747084</v>
      </c>
      <c r="Q104" s="63">
        <v>0.38976377952755903</v>
      </c>
    </row>
    <row r="105" spans="1:17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9.8039215686274508E-2</v>
      </c>
      <c r="M105" s="63">
        <v>0.23481308411214954</v>
      </c>
      <c r="N105" s="63">
        <v>0.30373831775700932</v>
      </c>
      <c r="O105" s="63">
        <v>0.5074626865671642</v>
      </c>
      <c r="P105" s="63">
        <v>0.36923076923076925</v>
      </c>
      <c r="Q105" s="63">
        <v>0.390625</v>
      </c>
    </row>
    <row r="106" spans="1:17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9.7087378640776698E-2</v>
      </c>
      <c r="M106" s="63">
        <v>0.23495370370370369</v>
      </c>
      <c r="N106" s="63">
        <v>0.30324074074074076</v>
      </c>
      <c r="O106" s="63">
        <v>0.5073891625615764</v>
      </c>
      <c r="P106" s="63">
        <v>0.36641221374045801</v>
      </c>
      <c r="Q106" s="63">
        <v>0.39768339768339767</v>
      </c>
    </row>
    <row r="107" spans="1:17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9.6153846153846159E-2</v>
      </c>
      <c r="M107" s="63">
        <v>0.23279816513761467</v>
      </c>
      <c r="N107" s="63">
        <v>0.30389908256880732</v>
      </c>
      <c r="O107" s="63">
        <v>0.5073891625615764</v>
      </c>
      <c r="P107" s="63">
        <v>0.36603773584905658</v>
      </c>
      <c r="Q107" s="63">
        <v>0.39846743295019155</v>
      </c>
    </row>
    <row r="108" spans="1:17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9.5238095238095233E-2</v>
      </c>
      <c r="M108" s="63">
        <v>0.23269012485811577</v>
      </c>
      <c r="N108" s="63">
        <v>0.30192962542565266</v>
      </c>
      <c r="O108" s="63">
        <v>0.50731707317073171</v>
      </c>
      <c r="P108" s="63">
        <v>0.36466165413533835</v>
      </c>
      <c r="Q108" s="63">
        <v>0.39923954372623577</v>
      </c>
    </row>
    <row r="109" spans="1:17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9.4339622641509441E-2</v>
      </c>
      <c r="M109" s="63">
        <v>0.23180291153415453</v>
      </c>
      <c r="N109" s="63">
        <v>0.30235162374020158</v>
      </c>
      <c r="O109" s="63">
        <v>0.50724637681159424</v>
      </c>
      <c r="P109" s="63">
        <v>0.36296296296296299</v>
      </c>
      <c r="Q109" s="63">
        <v>0.4044943820224719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B146A-B0BB-42B1-BF16-5CE984828BE6}">
  <sheetPr codeName="Sheet10"/>
  <dimension ref="A1:Q12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  <row r="92" spans="1:17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8.98876404494382E-2</v>
      </c>
      <c r="M92" s="63">
        <v>0.26470588235294118</v>
      </c>
      <c r="N92" s="63">
        <v>0.22969187675070027</v>
      </c>
      <c r="O92" s="63">
        <v>0.59259259259259256</v>
      </c>
      <c r="P92" s="63">
        <v>0.47560975609756095</v>
      </c>
      <c r="Q92" s="63">
        <v>0.43220338983050849</v>
      </c>
    </row>
    <row r="93" spans="1:17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8.8888888888888892E-2</v>
      </c>
      <c r="M93" s="63">
        <v>0.26490984743411927</v>
      </c>
      <c r="N93" s="63">
        <v>0.2288488210818308</v>
      </c>
      <c r="O93" s="63">
        <v>0.58638743455497377</v>
      </c>
      <c r="P93" s="63">
        <v>0.47272727272727272</v>
      </c>
      <c r="Q93" s="63">
        <v>0.43459915611814348</v>
      </c>
    </row>
    <row r="94" spans="1:17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8.7912087912087919E-2</v>
      </c>
      <c r="M94" s="63">
        <v>0.26438356164383564</v>
      </c>
      <c r="N94" s="63">
        <v>0.23013698630136986</v>
      </c>
      <c r="O94" s="63">
        <v>0.59067357512953367</v>
      </c>
      <c r="P94" s="63">
        <v>0.47023809523809523</v>
      </c>
      <c r="Q94" s="63">
        <v>0.43388429752066116</v>
      </c>
    </row>
    <row r="95" spans="1:17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8.6956521739130432E-2</v>
      </c>
      <c r="M95" s="63">
        <v>0.26458616010854819</v>
      </c>
      <c r="N95" s="63">
        <v>0.22930800542740842</v>
      </c>
      <c r="O95" s="63">
        <v>0.59487179487179487</v>
      </c>
      <c r="P95" s="63">
        <v>0.46745562130177515</v>
      </c>
      <c r="Q95" s="63">
        <v>0.43265306122448982</v>
      </c>
    </row>
    <row r="96" spans="1:17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9.6774193548387094E-2</v>
      </c>
      <c r="M96" s="63">
        <v>0.26648721399730824</v>
      </c>
      <c r="N96" s="63">
        <v>0.22880215343203231</v>
      </c>
      <c r="O96" s="63">
        <v>0.59595959595959591</v>
      </c>
      <c r="P96" s="63">
        <v>0.47058823529411764</v>
      </c>
      <c r="Q96" s="63">
        <v>0.42741935483870969</v>
      </c>
    </row>
    <row r="97" spans="1:17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9.5744680851063829E-2</v>
      </c>
      <c r="M97" s="63">
        <v>0.26790450928381965</v>
      </c>
      <c r="N97" s="63">
        <v>0.22944297082228116</v>
      </c>
      <c r="O97" s="63">
        <v>0.59405940594059403</v>
      </c>
      <c r="P97" s="63">
        <v>0.47976878612716761</v>
      </c>
      <c r="Q97" s="63">
        <v>0.42292490118577075</v>
      </c>
    </row>
    <row r="98" spans="1:17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9.4736842105263161E-2</v>
      </c>
      <c r="M98" s="63">
        <v>0.26902887139107612</v>
      </c>
      <c r="N98" s="63">
        <v>0.22703412073490814</v>
      </c>
      <c r="O98" s="63">
        <v>0.59512195121951217</v>
      </c>
      <c r="P98" s="63">
        <v>0.47976878612716761</v>
      </c>
      <c r="Q98" s="63">
        <v>0.42578125</v>
      </c>
    </row>
    <row r="99" spans="1:17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9.375E-2</v>
      </c>
      <c r="M99" s="63">
        <v>0.27142857142857141</v>
      </c>
      <c r="N99" s="63">
        <v>0.22467532467532467</v>
      </c>
      <c r="O99" s="63">
        <v>0.59330143540669855</v>
      </c>
      <c r="P99" s="63">
        <v>0.47976878612716761</v>
      </c>
      <c r="Q99" s="63">
        <v>0.4263565891472868</v>
      </c>
    </row>
    <row r="100" spans="1:17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0.10309278350515463</v>
      </c>
      <c r="M100" s="63">
        <v>0.27319587628865977</v>
      </c>
      <c r="N100" s="63">
        <v>0.22551546391752578</v>
      </c>
      <c r="O100" s="63">
        <v>0.59433962264150941</v>
      </c>
      <c r="P100" s="63">
        <v>0.48571428571428571</v>
      </c>
      <c r="Q100" s="63">
        <v>0.43129770992366412</v>
      </c>
    </row>
    <row r="101" spans="1:17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0.10204081632653061</v>
      </c>
      <c r="M101" s="63">
        <v>0.27376425855513309</v>
      </c>
      <c r="N101" s="63">
        <v>0.2256020278833967</v>
      </c>
      <c r="O101" s="63">
        <v>0.59259259259259256</v>
      </c>
      <c r="P101" s="63">
        <v>0.47752808988764045</v>
      </c>
      <c r="Q101" s="63">
        <v>0.42803030303030304</v>
      </c>
    </row>
    <row r="102" spans="1:17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0.10101010101010101</v>
      </c>
      <c r="M102" s="63">
        <v>0.27124999999999999</v>
      </c>
      <c r="N102" s="63">
        <v>0.22750000000000001</v>
      </c>
      <c r="O102" s="63">
        <v>0.59447004608294929</v>
      </c>
      <c r="P102" s="63">
        <v>0.47802197802197804</v>
      </c>
      <c r="Q102" s="63">
        <v>0.43122676579925651</v>
      </c>
    </row>
    <row r="103" spans="1:17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0.11</v>
      </c>
      <c r="M103" s="63">
        <v>0.27204968944099378</v>
      </c>
      <c r="N103" s="63">
        <v>0.22608695652173913</v>
      </c>
      <c r="O103" s="63">
        <v>0.59817351598173518</v>
      </c>
      <c r="P103" s="63">
        <v>0.47802197802197804</v>
      </c>
      <c r="Q103" s="63">
        <v>0.43014705882352944</v>
      </c>
    </row>
    <row r="104" spans="1:17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0.10891089108910891</v>
      </c>
      <c r="M104" s="63">
        <v>0.27093596059113301</v>
      </c>
      <c r="N104" s="63">
        <v>0.22536945812807882</v>
      </c>
      <c r="O104" s="63">
        <v>0.6</v>
      </c>
      <c r="P104" s="63">
        <v>0.47540983606557374</v>
      </c>
      <c r="Q104" s="63">
        <v>0.42857142857142855</v>
      </c>
    </row>
    <row r="105" spans="1:17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0.11764705882352941</v>
      </c>
      <c r="M105" s="63">
        <v>0.27317073170731709</v>
      </c>
      <c r="N105" s="63">
        <v>0.22560975609756098</v>
      </c>
      <c r="O105" s="63">
        <v>0.5982142857142857</v>
      </c>
      <c r="P105" s="63">
        <v>0.48108108108108111</v>
      </c>
      <c r="Q105" s="63">
        <v>0.4296028880866426</v>
      </c>
    </row>
    <row r="106" spans="1:17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0.12621359223300971</v>
      </c>
      <c r="M106" s="63">
        <v>0.27360774818401939</v>
      </c>
      <c r="N106" s="63">
        <v>0.22397094430992737</v>
      </c>
      <c r="O106" s="63">
        <v>0.59734513274336287</v>
      </c>
      <c r="P106" s="63">
        <v>0.48108108108108111</v>
      </c>
      <c r="Q106" s="63">
        <v>0.42857142857142855</v>
      </c>
    </row>
    <row r="107" spans="1:17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0.125</v>
      </c>
      <c r="M107" s="63">
        <v>0.27370948379351739</v>
      </c>
      <c r="N107" s="63">
        <v>0.22208883553421369</v>
      </c>
      <c r="O107" s="63">
        <v>0.60087719298245612</v>
      </c>
      <c r="P107" s="63">
        <v>0.48108108108108111</v>
      </c>
      <c r="Q107" s="63">
        <v>0.43109540636042404</v>
      </c>
    </row>
    <row r="108" spans="1:17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0.12380952380952381</v>
      </c>
      <c r="M108" s="63">
        <v>0.27197149643705465</v>
      </c>
      <c r="N108" s="63">
        <v>0.22446555819477435</v>
      </c>
      <c r="O108" s="63">
        <v>0.6026200873362445</v>
      </c>
      <c r="P108" s="63">
        <v>0.47619047619047616</v>
      </c>
      <c r="Q108" s="63">
        <v>0.43508771929824563</v>
      </c>
    </row>
    <row r="109" spans="1:17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0.13207547169811321</v>
      </c>
      <c r="M109" s="63">
        <v>0.2710059171597633</v>
      </c>
      <c r="N109" s="63">
        <v>0.22603550295857988</v>
      </c>
      <c r="O109" s="63">
        <v>0.6026200873362445</v>
      </c>
      <c r="P109" s="63">
        <v>0.48167539267015708</v>
      </c>
      <c r="Q109" s="63">
        <v>0.4375</v>
      </c>
    </row>
    <row r="110" spans="1:17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0.13084112149532709</v>
      </c>
      <c r="M110" s="63">
        <v>0.27166276346604218</v>
      </c>
      <c r="N110" s="63">
        <v>0.22599531615925059</v>
      </c>
      <c r="O110" s="63">
        <v>0.59482758620689657</v>
      </c>
      <c r="P110" s="63">
        <v>0.47668393782383417</v>
      </c>
      <c r="Q110" s="63">
        <v>0.43598615916955019</v>
      </c>
    </row>
    <row r="111" spans="1:17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0.12962962962962962</v>
      </c>
      <c r="M111" s="63">
        <v>0.27030162412993042</v>
      </c>
      <c r="N111" s="63">
        <v>0.22737819025522041</v>
      </c>
      <c r="O111" s="63">
        <v>0.59227467811158796</v>
      </c>
      <c r="P111" s="63">
        <v>0.47959183673469385</v>
      </c>
      <c r="Q111" s="63">
        <v>0.4315068493150685</v>
      </c>
    </row>
    <row r="112" spans="1:17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0.12844036697247707</v>
      </c>
      <c r="M112" s="63">
        <v>0.26812428078250861</v>
      </c>
      <c r="N112" s="63">
        <v>0.22669735327963175</v>
      </c>
      <c r="O112" s="63">
        <v>0.59227467811158796</v>
      </c>
      <c r="P112" s="63">
        <v>0.48223350253807107</v>
      </c>
      <c r="Q112" s="63">
        <v>0.42857142857142855</v>
      </c>
    </row>
    <row r="113" spans="1:17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0.12727272727272726</v>
      </c>
      <c r="M113" s="63">
        <v>0.26583710407239819</v>
      </c>
      <c r="N113" s="63">
        <v>0.2239819004524887</v>
      </c>
      <c r="O113" s="63">
        <v>0.5957446808510638</v>
      </c>
      <c r="P113" s="63">
        <v>0.47979797979797978</v>
      </c>
      <c r="Q113" s="63">
        <v>0.42474916387959866</v>
      </c>
    </row>
    <row r="114" spans="1:17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0.13513513513513514</v>
      </c>
      <c r="M114" s="63">
        <v>0.26629213483146069</v>
      </c>
      <c r="N114" s="63">
        <v>0.2247191011235955</v>
      </c>
      <c r="O114" s="63">
        <v>0.59915611814345993</v>
      </c>
      <c r="P114" s="63">
        <v>0.48499999999999999</v>
      </c>
      <c r="Q114" s="63">
        <v>0.43092105263157893</v>
      </c>
    </row>
    <row r="115" spans="1:17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0.13392857142857142</v>
      </c>
      <c r="M115" s="63">
        <v>0.267260579064588</v>
      </c>
      <c r="N115" s="63">
        <v>0.22494432071269488</v>
      </c>
      <c r="O115" s="63">
        <v>0.60416666666666663</v>
      </c>
      <c r="P115" s="63">
        <v>0.48514851485148514</v>
      </c>
      <c r="Q115" s="63">
        <v>0.42857142857142855</v>
      </c>
    </row>
    <row r="116" spans="1:17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0.13274336283185842</v>
      </c>
      <c r="M116" s="63">
        <v>0.26783754116355651</v>
      </c>
      <c r="N116" s="63">
        <v>0.2239297475301866</v>
      </c>
      <c r="O116" s="63">
        <v>0.60655737704918034</v>
      </c>
      <c r="P116" s="63">
        <v>0.48529411764705882</v>
      </c>
      <c r="Q116" s="63">
        <v>0.43130990415335463</v>
      </c>
    </row>
    <row r="117" spans="1:17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0.13157894736842105</v>
      </c>
      <c r="M117" s="63">
        <v>0.27056277056277056</v>
      </c>
      <c r="N117" s="63">
        <v>0.22294372294372294</v>
      </c>
      <c r="O117" s="63">
        <v>0.60399999999999998</v>
      </c>
      <c r="P117" s="63">
        <v>0.4854368932038835</v>
      </c>
      <c r="Q117" s="63">
        <v>0.4308176100628931</v>
      </c>
    </row>
    <row r="118" spans="1:17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0.13043478260869565</v>
      </c>
      <c r="M118" s="63">
        <v>0.27038626609442062</v>
      </c>
      <c r="N118" s="63">
        <v>0.22424892703862662</v>
      </c>
      <c r="O118" s="63">
        <v>0.60317460317460314</v>
      </c>
      <c r="P118" s="63">
        <v>0.48325358851674644</v>
      </c>
      <c r="Q118" s="63">
        <v>0.42812499999999998</v>
      </c>
    </row>
    <row r="119" spans="1:17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0.12931034482758622</v>
      </c>
      <c r="M119" s="63">
        <v>0.26723223753976671</v>
      </c>
      <c r="N119" s="63">
        <v>0.22481442205726404</v>
      </c>
      <c r="O119" s="63">
        <v>0.60317460317460314</v>
      </c>
      <c r="P119" s="63">
        <v>0.48584905660377359</v>
      </c>
      <c r="Q119" s="63">
        <v>0.42592592592592593</v>
      </c>
    </row>
    <row r="120" spans="1:17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0.12820512820512819</v>
      </c>
      <c r="M120" s="63">
        <v>0.26765015806111697</v>
      </c>
      <c r="N120" s="63">
        <v>0.22444678609062171</v>
      </c>
      <c r="O120" s="63">
        <v>0.60236220472440949</v>
      </c>
      <c r="P120" s="63">
        <v>0.48826291079812206</v>
      </c>
      <c r="Q120" s="63">
        <v>0.42638036809815949</v>
      </c>
    </row>
    <row r="121" spans="1:17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0.1271186440677966</v>
      </c>
      <c r="M121" s="63">
        <v>0.26882845188284521</v>
      </c>
      <c r="N121" s="63">
        <v>0.22280334728033474</v>
      </c>
      <c r="O121" s="63">
        <v>0.59922178988326846</v>
      </c>
      <c r="P121" s="63">
        <v>0.48826291079812206</v>
      </c>
      <c r="Q121" s="63">
        <v>0.42378048780487804</v>
      </c>
    </row>
    <row r="122" spans="1:17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0.12605042016806722</v>
      </c>
      <c r="M122" s="63">
        <v>0.26867219917012447</v>
      </c>
      <c r="N122" s="63">
        <v>0.22199170124481327</v>
      </c>
      <c r="O122" s="63">
        <v>0.59459459459459463</v>
      </c>
      <c r="P122" s="63">
        <v>0.48598130841121495</v>
      </c>
      <c r="Q122" s="63">
        <v>0.42378048780487804</v>
      </c>
    </row>
    <row r="123" spans="1:17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0.125</v>
      </c>
      <c r="M123" s="63">
        <v>0.27132579650565264</v>
      </c>
      <c r="N123" s="63">
        <v>0.22096608427543679</v>
      </c>
      <c r="O123" s="63">
        <v>0.59848484848484851</v>
      </c>
      <c r="P123" s="63">
        <v>0.48837209302325579</v>
      </c>
      <c r="Q123" s="63">
        <v>0.42814371257485029</v>
      </c>
    </row>
    <row r="124" spans="1:17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0.12396694214876033</v>
      </c>
      <c r="M124" s="63">
        <v>0.27060020345879959</v>
      </c>
      <c r="N124" s="63">
        <v>0.22380467955239064</v>
      </c>
      <c r="O124" s="63">
        <v>0.59774436090225569</v>
      </c>
      <c r="P124" s="63">
        <v>0.48636363636363639</v>
      </c>
      <c r="Q124" s="63">
        <v>0.42433234421364985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80268-1D4D-45D2-BB64-9EA72EED5712}">
  <sheetPr codeName="Sheet8"/>
  <dimension ref="A1:Q5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  <row r="45" spans="1:17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4.7619047619047616E-2</v>
      </c>
      <c r="M45" s="63">
        <v>0.15258855585831063</v>
      </c>
      <c r="N45" s="63">
        <v>0.23160762942779292</v>
      </c>
      <c r="O45" s="63">
        <v>0.5178571428571429</v>
      </c>
      <c r="P45" s="63">
        <v>0.35294117647058826</v>
      </c>
      <c r="Q45" s="63">
        <v>0.40625</v>
      </c>
    </row>
    <row r="46" spans="1:17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4.6511627906976744E-2</v>
      </c>
      <c r="M46" s="63">
        <v>0.152</v>
      </c>
      <c r="N46" s="63">
        <v>0.22666666666666666</v>
      </c>
      <c r="O46" s="63">
        <v>0.50877192982456143</v>
      </c>
      <c r="P46" s="63">
        <v>0.35294117647058826</v>
      </c>
      <c r="Q46" s="63">
        <v>0.41237113402061853</v>
      </c>
    </row>
    <row r="47" spans="1:17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4.5454545454545456E-2</v>
      </c>
      <c r="M47" s="63">
        <v>0.15404699738903394</v>
      </c>
      <c r="N47" s="63">
        <v>0.22715404699738903</v>
      </c>
      <c r="O47" s="63">
        <v>0.50847457627118642</v>
      </c>
      <c r="P47" s="63">
        <v>0.36781609195402298</v>
      </c>
      <c r="Q47" s="63">
        <v>0.41176470588235292</v>
      </c>
    </row>
    <row r="48" spans="1:17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4.4444444444444446E-2</v>
      </c>
      <c r="M48" s="63">
        <v>0.15404040404040403</v>
      </c>
      <c r="N48" s="63">
        <v>0.23484848484848486</v>
      </c>
      <c r="O48" s="63">
        <v>0.50819672131147542</v>
      </c>
      <c r="P48" s="63">
        <v>0.36559139784946237</v>
      </c>
      <c r="Q48" s="63">
        <v>0.42990654205607476</v>
      </c>
    </row>
    <row r="49" spans="1:17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4.3478260869565216E-2</v>
      </c>
      <c r="M49" s="63">
        <v>0.15211970074812967</v>
      </c>
      <c r="N49" s="63">
        <v>0.23441396508728179</v>
      </c>
      <c r="O49" s="63">
        <v>0.50819672131147542</v>
      </c>
      <c r="P49" s="63">
        <v>0.36170212765957449</v>
      </c>
      <c r="Q49" s="63">
        <v>0.42990654205607476</v>
      </c>
    </row>
    <row r="50" spans="1:17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4.2553191489361701E-2</v>
      </c>
      <c r="M50" s="63">
        <v>0.15217391304347827</v>
      </c>
      <c r="N50" s="63">
        <v>0.23429951690821257</v>
      </c>
      <c r="O50" s="63">
        <v>0.49206349206349204</v>
      </c>
      <c r="P50" s="63">
        <v>0.37113402061855671</v>
      </c>
      <c r="Q50" s="63">
        <v>0.42727272727272725</v>
      </c>
    </row>
    <row r="51" spans="1:17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4.1666666666666664E-2</v>
      </c>
      <c r="M51" s="63">
        <v>0.14719626168224298</v>
      </c>
      <c r="N51" s="63">
        <v>0.23831775700934579</v>
      </c>
      <c r="O51" s="63">
        <v>0.49206349206349204</v>
      </c>
      <c r="P51" s="63">
        <v>0.37254901960784315</v>
      </c>
      <c r="Q51" s="63">
        <v>0.41228070175438597</v>
      </c>
    </row>
    <row r="52" spans="1:17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4.0816326530612242E-2</v>
      </c>
      <c r="M52" s="63">
        <v>0.1536697247706422</v>
      </c>
      <c r="N52" s="63">
        <v>0.23394495412844038</v>
      </c>
      <c r="O52" s="63">
        <v>0.4925373134328358</v>
      </c>
      <c r="P52" s="63">
        <v>0.37254901960784315</v>
      </c>
      <c r="Q52" s="63">
        <v>0.40517241379310343</v>
      </c>
    </row>
    <row r="53" spans="1:17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0.04</v>
      </c>
      <c r="M53" s="63">
        <v>0.15178571428571427</v>
      </c>
      <c r="N53" s="63">
        <v>0.23214285714285715</v>
      </c>
      <c r="O53" s="63">
        <v>0.48529411764705882</v>
      </c>
      <c r="P53" s="63">
        <v>0.375</v>
      </c>
      <c r="Q53" s="63">
        <v>0.41025641025641024</v>
      </c>
    </row>
    <row r="54" spans="1:17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3.9215686274509803E-2</v>
      </c>
      <c r="M54" s="63">
        <v>0.15250544662309368</v>
      </c>
      <c r="N54" s="63">
        <v>0.22875816993464052</v>
      </c>
      <c r="O54" s="63">
        <v>0.5</v>
      </c>
      <c r="P54" s="63">
        <v>0.37142857142857144</v>
      </c>
      <c r="Q54" s="63">
        <v>0.40833333333333333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188D3-402F-4988-9232-20C012E418A8}">
  <sheetPr codeName="Sheet6"/>
  <dimension ref="A1:Q19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  <row r="149" spans="1:17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8.9041095890410954E-2</v>
      </c>
      <c r="M149" s="63">
        <v>0.24883784522832922</v>
      </c>
      <c r="N149" s="63">
        <v>0.23735302160240634</v>
      </c>
      <c r="O149" s="63">
        <v>0.56593406593406592</v>
      </c>
      <c r="P149" s="63">
        <v>0.40552995391705071</v>
      </c>
      <c r="Q149" s="63">
        <v>0.43802423112767941</v>
      </c>
    </row>
    <row r="150" spans="1:17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9.0702947845804988E-2</v>
      </c>
      <c r="M150" s="63">
        <v>0.24932028276237087</v>
      </c>
      <c r="N150" s="63">
        <v>0.23708537248504621</v>
      </c>
      <c r="O150" s="63">
        <v>0.56597600872410037</v>
      </c>
      <c r="P150" s="63">
        <v>0.40481651376146788</v>
      </c>
      <c r="Q150" s="63">
        <v>0.43888888888888888</v>
      </c>
    </row>
    <row r="151" spans="1:17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9.0090090090090086E-2</v>
      </c>
      <c r="M151" s="63">
        <v>0.2492565558258989</v>
      </c>
      <c r="N151" s="63">
        <v>0.23655041903217086</v>
      </c>
      <c r="O151" s="63">
        <v>0.56616052060737532</v>
      </c>
      <c r="P151" s="63">
        <v>0.40571428571428569</v>
      </c>
      <c r="Q151" s="63">
        <v>0.43738489871086556</v>
      </c>
    </row>
    <row r="152" spans="1:17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9.1722595078299773E-2</v>
      </c>
      <c r="M152" s="63">
        <v>0.24986537425955843</v>
      </c>
      <c r="N152" s="63">
        <v>0.23586429725363489</v>
      </c>
      <c r="O152" s="63">
        <v>0.56573275862068961</v>
      </c>
      <c r="P152" s="63">
        <v>0.40639269406392692</v>
      </c>
      <c r="Q152" s="63">
        <v>0.43944954128440367</v>
      </c>
    </row>
    <row r="153" spans="1:17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9.1111111111111115E-2</v>
      </c>
      <c r="M153" s="63">
        <v>0.24953145917001338</v>
      </c>
      <c r="N153" s="63">
        <v>0.23480589022757697</v>
      </c>
      <c r="O153" s="63">
        <v>0.56545064377682408</v>
      </c>
      <c r="P153" s="63">
        <v>0.40706955530216649</v>
      </c>
      <c r="Q153" s="63">
        <v>0.43938012762078393</v>
      </c>
    </row>
    <row r="154" spans="1:17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9.0507726269315678E-2</v>
      </c>
      <c r="M154" s="63">
        <v>0.25006650704974726</v>
      </c>
      <c r="N154" s="63">
        <v>0.23357275871242353</v>
      </c>
      <c r="O154" s="63">
        <v>0.56595744680851068</v>
      </c>
      <c r="P154" s="63">
        <v>0.40774487471526194</v>
      </c>
      <c r="Q154" s="63">
        <v>0.44253393665158369</v>
      </c>
    </row>
    <row r="155" spans="1:17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8.9912280701754388E-2</v>
      </c>
      <c r="M155" s="63">
        <v>0.25019857029388404</v>
      </c>
      <c r="N155" s="63">
        <v>0.23325390521577971</v>
      </c>
      <c r="O155" s="63">
        <v>0.56613756613756616</v>
      </c>
      <c r="P155" s="63">
        <v>0.40749148694665155</v>
      </c>
      <c r="Q155" s="63">
        <v>0.44464446444644462</v>
      </c>
    </row>
    <row r="156" spans="1:17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8.9324618736383449E-2</v>
      </c>
      <c r="M156" s="63">
        <v>0.2496711391739016</v>
      </c>
      <c r="N156" s="63">
        <v>0.23204419889502761</v>
      </c>
      <c r="O156" s="63">
        <v>0.5669125395152792</v>
      </c>
      <c r="P156" s="63">
        <v>0.40702947845804988</v>
      </c>
      <c r="Q156" s="63">
        <v>0.44325290437890974</v>
      </c>
    </row>
    <row r="157" spans="1:17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8.8744588744588751E-2</v>
      </c>
      <c r="M157" s="63">
        <v>0.2497387669801463</v>
      </c>
      <c r="N157" s="63">
        <v>0.23171368861024033</v>
      </c>
      <c r="O157" s="63">
        <v>0.56589958158995812</v>
      </c>
      <c r="P157" s="63">
        <v>0.40698985343855693</v>
      </c>
      <c r="Q157" s="63">
        <v>0.44227353463587921</v>
      </c>
    </row>
    <row r="158" spans="1:17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8.8172043010752682E-2</v>
      </c>
      <c r="M158" s="63">
        <v>0.25045466354897378</v>
      </c>
      <c r="N158" s="63">
        <v>0.23174850610548195</v>
      </c>
      <c r="O158" s="63">
        <v>0.56535269709543567</v>
      </c>
      <c r="P158" s="63">
        <v>0.40582959641255606</v>
      </c>
      <c r="Q158" s="63">
        <v>0.44130626654898497</v>
      </c>
    </row>
    <row r="159" spans="1:17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8.9743589743589744E-2</v>
      </c>
      <c r="M159" s="63">
        <v>0.25084044478924233</v>
      </c>
      <c r="N159" s="63">
        <v>0.23196276183087663</v>
      </c>
      <c r="O159" s="63">
        <v>0.56494845360824741</v>
      </c>
      <c r="P159" s="63">
        <v>0.40579710144927539</v>
      </c>
      <c r="Q159" s="63">
        <v>0.44024604569420034</v>
      </c>
    </row>
    <row r="160" spans="1:17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9.1295116772823773E-2</v>
      </c>
      <c r="M160" s="63">
        <v>0.25102564102564101</v>
      </c>
      <c r="N160" s="63">
        <v>0.23179487179487179</v>
      </c>
      <c r="O160" s="63">
        <v>0.56486210418794691</v>
      </c>
      <c r="P160" s="63">
        <v>0.40707964601769914</v>
      </c>
      <c r="Q160" s="63">
        <v>0.43766346992153443</v>
      </c>
    </row>
    <row r="161" spans="1:17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9.0717299578059074E-2</v>
      </c>
      <c r="M161" s="63">
        <v>0.25127420998980632</v>
      </c>
      <c r="N161" s="63">
        <v>0.23088685015290519</v>
      </c>
      <c r="O161" s="63">
        <v>0.56490872210953347</v>
      </c>
      <c r="P161" s="63">
        <v>0.40728476821192056</v>
      </c>
      <c r="Q161" s="63">
        <v>0.43760831889081458</v>
      </c>
    </row>
    <row r="162" spans="1:17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9.0146750524109018E-2</v>
      </c>
      <c r="M162" s="63">
        <v>0.25177304964539005</v>
      </c>
      <c r="N162" s="63">
        <v>0.2307497467071935</v>
      </c>
      <c r="O162" s="63">
        <v>0.56338028169014087</v>
      </c>
      <c r="P162" s="63">
        <v>0.40724478594950603</v>
      </c>
      <c r="Q162" s="63">
        <v>0.43755383290267014</v>
      </c>
    </row>
    <row r="163" spans="1:17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9.166666666666666E-2</v>
      </c>
      <c r="M163" s="63">
        <v>0.2508825012607161</v>
      </c>
      <c r="N163" s="63">
        <v>0.23096318709026728</v>
      </c>
      <c r="O163" s="63">
        <v>0.56381909547738696</v>
      </c>
      <c r="P163" s="63">
        <v>0.40938864628820959</v>
      </c>
      <c r="Q163" s="63">
        <v>0.43701799485861181</v>
      </c>
    </row>
    <row r="164" spans="1:17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9.1097308488612833E-2</v>
      </c>
      <c r="M164" s="63">
        <v>0.250499001996008</v>
      </c>
      <c r="N164" s="63">
        <v>0.23203592814371257</v>
      </c>
      <c r="O164" s="63">
        <v>0.5627490039840638</v>
      </c>
      <c r="P164" s="63">
        <v>0.41182795698924729</v>
      </c>
      <c r="Q164" s="63">
        <v>0.43728813559322033</v>
      </c>
    </row>
    <row r="165" spans="1:17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9.2592592592592587E-2</v>
      </c>
      <c r="M165" s="63">
        <v>0.25062096373571785</v>
      </c>
      <c r="N165" s="63">
        <v>0.23174366616989567</v>
      </c>
      <c r="O165" s="63">
        <v>0.56293359762140738</v>
      </c>
      <c r="P165" s="63">
        <v>0.41264737406216506</v>
      </c>
      <c r="Q165" s="63">
        <v>0.43844856661045534</v>
      </c>
    </row>
    <row r="166" spans="1:17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9.202453987730061E-2</v>
      </c>
      <c r="M166" s="63">
        <v>0.25116851168511684</v>
      </c>
      <c r="N166" s="63">
        <v>0.23345633456334564</v>
      </c>
      <c r="O166" s="63">
        <v>0.56023506366307541</v>
      </c>
      <c r="P166" s="63">
        <v>0.41095890410958902</v>
      </c>
      <c r="Q166" s="63">
        <v>0.43943191311612362</v>
      </c>
    </row>
    <row r="167" spans="1:17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9.1463414634146339E-2</v>
      </c>
      <c r="M167" s="63">
        <v>0.25085407515861396</v>
      </c>
      <c r="N167" s="63">
        <v>0.23352855051244509</v>
      </c>
      <c r="O167" s="63">
        <v>0.55933852140077822</v>
      </c>
      <c r="P167" s="63">
        <v>0.41065830721003133</v>
      </c>
      <c r="Q167" s="63">
        <v>0.43993371996685998</v>
      </c>
    </row>
    <row r="168" spans="1:17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9.2929292929292931E-2</v>
      </c>
      <c r="M168" s="63">
        <v>0.25066861171893995</v>
      </c>
      <c r="N168" s="63">
        <v>0.23340627279358134</v>
      </c>
      <c r="O168" s="63">
        <v>0.56062075654704169</v>
      </c>
      <c r="P168" s="63">
        <v>0.41041666666666665</v>
      </c>
      <c r="Q168" s="63">
        <v>0.43976897689768979</v>
      </c>
    </row>
    <row r="169" spans="1:17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9.2369477911646583E-2</v>
      </c>
      <c r="M169" s="63">
        <v>0.25108853410740201</v>
      </c>
      <c r="N169" s="63">
        <v>0.2331881954523464</v>
      </c>
      <c r="O169" s="63">
        <v>0.56165703275529866</v>
      </c>
      <c r="P169" s="63">
        <v>0.40975103734439833</v>
      </c>
      <c r="Q169" s="63">
        <v>0.43888433141919608</v>
      </c>
    </row>
    <row r="170" spans="1:17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9.3812375249500993E-2</v>
      </c>
      <c r="M170" s="63">
        <v>0.25156325156325154</v>
      </c>
      <c r="N170" s="63">
        <v>0.23328523328523329</v>
      </c>
      <c r="O170" s="63">
        <v>0.56118546845124284</v>
      </c>
      <c r="P170" s="63">
        <v>0.41030927835051545</v>
      </c>
      <c r="Q170" s="63">
        <v>0.43964110929853178</v>
      </c>
    </row>
    <row r="171" spans="1:17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9.3253968253968256E-2</v>
      </c>
      <c r="M171" s="63">
        <v>0.25269203158650394</v>
      </c>
      <c r="N171" s="63">
        <v>0.23211294568078489</v>
      </c>
      <c r="O171" s="63">
        <v>0.56060606060606055</v>
      </c>
      <c r="P171" s="63">
        <v>0.41030927835051545</v>
      </c>
      <c r="Q171" s="63">
        <v>0.43831168831168832</v>
      </c>
    </row>
    <row r="172" spans="1:17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9.4674556213017749E-2</v>
      </c>
      <c r="M172" s="63">
        <v>0.2527996187753157</v>
      </c>
      <c r="N172" s="63">
        <v>0.2315939957112223</v>
      </c>
      <c r="O172" s="63">
        <v>0.56079170593779448</v>
      </c>
      <c r="P172" s="63">
        <v>0.40946502057613171</v>
      </c>
      <c r="Q172" s="63">
        <v>0.43734842360549719</v>
      </c>
    </row>
    <row r="173" spans="1:17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9.4117647058823528E-2</v>
      </c>
      <c r="M173" s="63">
        <v>0.25248933143669988</v>
      </c>
      <c r="N173" s="63">
        <v>0.23138928402086298</v>
      </c>
      <c r="O173" s="63">
        <v>0.56056338028169017</v>
      </c>
      <c r="P173" s="63">
        <v>0.4098360655737705</v>
      </c>
      <c r="Q173" s="63">
        <v>0.43845534995977475</v>
      </c>
    </row>
    <row r="174" spans="1:17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9.3567251461988299E-2</v>
      </c>
      <c r="M174" s="63">
        <v>0.25276796230859833</v>
      </c>
      <c r="N174" s="63">
        <v>0.23180212014134274</v>
      </c>
      <c r="O174" s="63">
        <v>0.5601118359739049</v>
      </c>
      <c r="P174" s="63">
        <v>0.40955284552845528</v>
      </c>
      <c r="Q174" s="63">
        <v>0.43919999999999998</v>
      </c>
    </row>
    <row r="175" spans="1:17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9.4961240310077522E-2</v>
      </c>
      <c r="M175" s="63">
        <v>0.25246826516220028</v>
      </c>
      <c r="N175" s="63">
        <v>0.23178185237423601</v>
      </c>
      <c r="O175" s="63">
        <v>0.55959031657355685</v>
      </c>
      <c r="P175" s="63">
        <v>0.41075050709939148</v>
      </c>
      <c r="Q175" s="63">
        <v>0.43974461292897049</v>
      </c>
    </row>
    <row r="176" spans="1:17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9.4412331406551059E-2</v>
      </c>
      <c r="M176" s="63">
        <v>0.25367904695164684</v>
      </c>
      <c r="N176" s="63">
        <v>0.23125437981779959</v>
      </c>
      <c r="O176" s="63">
        <v>0.55801104972375692</v>
      </c>
      <c r="P176" s="63">
        <v>0.40909090909090912</v>
      </c>
      <c r="Q176" s="63">
        <v>0.43968253968253967</v>
      </c>
    </row>
    <row r="177" spans="1:17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9.3869731800766285E-2</v>
      </c>
      <c r="M177" s="63">
        <v>0.25342624854819978</v>
      </c>
      <c r="N177" s="63">
        <v>0.23135888501742161</v>
      </c>
      <c r="O177" s="63">
        <v>0.55728689275893672</v>
      </c>
      <c r="P177" s="63">
        <v>0.40963855421686746</v>
      </c>
      <c r="Q177" s="63">
        <v>0.43883188634569847</v>
      </c>
    </row>
    <row r="178" spans="1:17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9.3333333333333338E-2</v>
      </c>
      <c r="M178" s="63">
        <v>0.25358298659269535</v>
      </c>
      <c r="N178" s="63">
        <v>0.23116042533518261</v>
      </c>
      <c r="O178" s="63">
        <v>0.55788514129443934</v>
      </c>
      <c r="P178" s="63">
        <v>0.40899999999999997</v>
      </c>
      <c r="Q178" s="63">
        <v>0.43833464257659072</v>
      </c>
    </row>
    <row r="179" spans="1:17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9.4696969696969696E-2</v>
      </c>
      <c r="M179" s="63">
        <v>0.25371768474033402</v>
      </c>
      <c r="N179" s="63">
        <v>0.23038206360100663</v>
      </c>
      <c r="O179" s="63">
        <v>0.55816050495942293</v>
      </c>
      <c r="P179" s="63">
        <v>0.40615690168818275</v>
      </c>
      <c r="Q179" s="63">
        <v>0.43779160186625193</v>
      </c>
    </row>
    <row r="180" spans="1:17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9.6045197740112997E-2</v>
      </c>
      <c r="M180" s="63">
        <v>0.25313283208020049</v>
      </c>
      <c r="N180" s="63">
        <v>0.23034859876965141</v>
      </c>
      <c r="O180" s="63">
        <v>0.55895589558955894</v>
      </c>
      <c r="P180" s="63">
        <v>0.40652818991097922</v>
      </c>
      <c r="Q180" s="63">
        <v>0.4388544891640867</v>
      </c>
    </row>
    <row r="181" spans="1:17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9.5505617977528087E-2</v>
      </c>
      <c r="M181" s="63">
        <v>0.25334239746204396</v>
      </c>
      <c r="N181" s="63">
        <v>0.23068207568547475</v>
      </c>
      <c r="O181" s="63">
        <v>0.55992844364937389</v>
      </c>
      <c r="P181" s="63">
        <v>0.40667976424361491</v>
      </c>
      <c r="Q181" s="63">
        <v>0.43923076923076926</v>
      </c>
    </row>
    <row r="182" spans="1:17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9.4972067039106142E-2</v>
      </c>
      <c r="M182" s="63">
        <v>0.25359389038634322</v>
      </c>
      <c r="N182" s="63">
        <v>0.2302336028751123</v>
      </c>
      <c r="O182" s="63">
        <v>0.55978742249778568</v>
      </c>
      <c r="P182" s="63">
        <v>0.40780487804878046</v>
      </c>
      <c r="Q182" s="63">
        <v>0.43902439024390244</v>
      </c>
    </row>
    <row r="183" spans="1:17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9.6296296296296297E-2</v>
      </c>
      <c r="M183" s="63">
        <v>0.25517702070808285</v>
      </c>
      <c r="N183" s="63">
        <v>0.2293475840570029</v>
      </c>
      <c r="O183" s="63">
        <v>0.56020942408376961</v>
      </c>
      <c r="P183" s="63">
        <v>0.40679611650485437</v>
      </c>
      <c r="Q183" s="63">
        <v>0.43849056603773584</v>
      </c>
    </row>
    <row r="184" spans="1:17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9.5764272559852676E-2</v>
      </c>
      <c r="M184" s="63">
        <v>0.25413633355393778</v>
      </c>
      <c r="N184" s="63">
        <v>0.22964923891462607</v>
      </c>
      <c r="O184" s="63">
        <v>0.55902777777777779</v>
      </c>
      <c r="P184" s="63">
        <v>0.40922190201729108</v>
      </c>
      <c r="Q184" s="63">
        <v>0.43787425149700598</v>
      </c>
    </row>
    <row r="185" spans="1:17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9.5238095238095233E-2</v>
      </c>
      <c r="M185" s="63">
        <v>0.25455343427693661</v>
      </c>
      <c r="N185" s="63">
        <v>0.22953697608075488</v>
      </c>
      <c r="O185" s="63">
        <v>0.55862068965517242</v>
      </c>
      <c r="P185" s="63">
        <v>0.40822179732313574</v>
      </c>
      <c r="Q185" s="63">
        <v>0.4378257632166791</v>
      </c>
    </row>
    <row r="186" spans="1:17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9.4717668488160295E-2</v>
      </c>
      <c r="M186" s="63">
        <v>0.25364685390812103</v>
      </c>
      <c r="N186" s="63">
        <v>0.22969736555628129</v>
      </c>
      <c r="O186" s="63">
        <v>0.55879828326180259</v>
      </c>
      <c r="P186" s="63">
        <v>0.40853080568720379</v>
      </c>
      <c r="Q186" s="63">
        <v>0.43680709534368073</v>
      </c>
    </row>
    <row r="187" spans="1:17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9.420289855072464E-2</v>
      </c>
      <c r="M187" s="63">
        <v>0.25270211846087332</v>
      </c>
      <c r="N187" s="63">
        <v>0.22978815391266752</v>
      </c>
      <c r="O187" s="63">
        <v>0.55859709153122328</v>
      </c>
      <c r="P187" s="63">
        <v>0.4101599247412982</v>
      </c>
      <c r="Q187" s="63">
        <v>0.43727072633895819</v>
      </c>
    </row>
    <row r="188" spans="1:17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9.5495495495495492E-2</v>
      </c>
      <c r="M188" s="63">
        <v>0.25279931093884583</v>
      </c>
      <c r="N188" s="63">
        <v>0.22889750215331611</v>
      </c>
      <c r="O188" s="63">
        <v>0.55962521294718914</v>
      </c>
      <c r="P188" s="63">
        <v>0.4101599247412982</v>
      </c>
      <c r="Q188" s="63">
        <v>0.43859649122807015</v>
      </c>
    </row>
    <row r="189" spans="1:17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9.4982078853046589E-2</v>
      </c>
      <c r="M189" s="63">
        <v>0.25268125268125269</v>
      </c>
      <c r="N189" s="63">
        <v>0.22844272844272845</v>
      </c>
      <c r="O189" s="63">
        <v>0.56027164685908315</v>
      </c>
      <c r="P189" s="63">
        <v>0.41032863849765261</v>
      </c>
      <c r="Q189" s="63">
        <v>0.43877551020408162</v>
      </c>
    </row>
    <row r="190" spans="1:17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9.6256684491978606E-2</v>
      </c>
      <c r="M190" s="63">
        <v>0.25304292120435617</v>
      </c>
      <c r="N190" s="63">
        <v>0.22805893657911594</v>
      </c>
      <c r="O190" s="63">
        <v>0.56033755274261599</v>
      </c>
      <c r="P190" s="63">
        <v>0.4101123595505618</v>
      </c>
      <c r="Q190" s="63">
        <v>0.43976777939042089</v>
      </c>
    </row>
    <row r="191" spans="1:17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9.5744680851063829E-2</v>
      </c>
      <c r="M191" s="63">
        <v>0.25281495644784363</v>
      </c>
      <c r="N191" s="63">
        <v>0.22817080943275972</v>
      </c>
      <c r="O191" s="63">
        <v>0.56050420168067228</v>
      </c>
      <c r="P191" s="63">
        <v>0.41061452513966479</v>
      </c>
      <c r="Q191" s="63">
        <v>0.44043321299638988</v>
      </c>
    </row>
    <row r="192" spans="1:17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9.5238095238095233E-2</v>
      </c>
      <c r="M192" s="63">
        <v>0.25327418673426277</v>
      </c>
      <c r="N192" s="63">
        <v>0.22813688212927757</v>
      </c>
      <c r="O192" s="63">
        <v>0.56130108423686409</v>
      </c>
      <c r="P192" s="63">
        <v>0.40925925925925927</v>
      </c>
      <c r="Q192" s="63">
        <v>0.44117647058823528</v>
      </c>
    </row>
    <row r="193" spans="1:17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9.4736842105263161E-2</v>
      </c>
      <c r="M193" s="63">
        <v>0.25293870696893367</v>
      </c>
      <c r="N193" s="63">
        <v>0.22816960537363559</v>
      </c>
      <c r="O193" s="63">
        <v>0.56182572614107884</v>
      </c>
      <c r="P193" s="63">
        <v>0.40938362465501382</v>
      </c>
      <c r="Q193" s="63">
        <v>0.44119743406985035</v>
      </c>
    </row>
    <row r="194" spans="1:17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9.4240837696335081E-2</v>
      </c>
      <c r="M194" s="63">
        <v>0.25333333333333335</v>
      </c>
      <c r="N194" s="63">
        <v>0.22812499999999999</v>
      </c>
      <c r="O194" s="63">
        <v>0.56085526315789469</v>
      </c>
      <c r="P194" s="63">
        <v>0.41004566210045662</v>
      </c>
      <c r="Q194" s="63">
        <v>0.44130127298444133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2019-11-16T14:52:34Z</dcterms:modified>
</cp:coreProperties>
</file>