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0C9920D-B6DF-4C67-9A17-362187B7B42D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54" r:id="rId6"/>
    <sheet name="たかの" sheetId="6056" r:id="rId7"/>
    <sheet name="だいち" sheetId="6058" r:id="rId8"/>
    <sheet name="ただ" sheetId="6060" r:id="rId9"/>
    <sheet name="りくと" sheetId="6062" r:id="rId10"/>
    <sheet name="れんたろう" sheetId="6064" r:id="rId11"/>
    <sheet name="まっつん" sheetId="6066" r:id="rId12"/>
    <sheet name="のり" sheetId="6068" r:id="rId13"/>
    <sheet name="ぱぱ" sheetId="6070" r:id="rId14"/>
    <sheet name="ほたに" sheetId="6072" r:id="rId15"/>
    <sheet name="いっしー" sheetId="6074" r:id="rId16"/>
    <sheet name="ともき" sheetId="6076" r:id="rId17"/>
    <sheet name="たか" sheetId="6078" r:id="rId18"/>
    <sheet name="ゆう" sheetId="6080" r:id="rId19"/>
    <sheet name="ゆう2" sheetId="6081" state="hidden" r:id="rId20"/>
    <sheet name="たか2" sheetId="6079" state="hidden" r:id="rId21"/>
    <sheet name="ともき2" sheetId="6077" state="hidden" r:id="rId22"/>
    <sheet name="いっしー2" sheetId="6075" state="hidden" r:id="rId23"/>
    <sheet name="ほたに2" sheetId="6073" state="hidden" r:id="rId24"/>
    <sheet name="ぱぱ2" sheetId="6071" state="hidden" r:id="rId25"/>
    <sheet name="のり2" sheetId="6069" state="hidden" r:id="rId26"/>
    <sheet name="まっつん2" sheetId="6067" state="hidden" r:id="rId27"/>
    <sheet name="れんたろう2" sheetId="6065" state="hidden" r:id="rId28"/>
    <sheet name="りくと2" sheetId="6063" state="hidden" r:id="rId29"/>
    <sheet name="ただ2" sheetId="6061" state="hidden" r:id="rId30"/>
    <sheet name="だいち2" sheetId="6059" state="hidden" r:id="rId31"/>
    <sheet name="たかの2" sheetId="6057" state="hidden" r:id="rId32"/>
    <sheet name="全体2" sheetId="605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078" l="1"/>
  <c r="O25" i="6066" l="1"/>
  <c r="O15" i="6076"/>
  <c r="O16" i="6078" l="1"/>
  <c r="O23" i="6056"/>
  <c r="O20" i="6066" l="1"/>
  <c r="O16" i="6080"/>
  <c r="O18" i="6078"/>
  <c r="O15" i="6056" l="1"/>
  <c r="O22" i="6076"/>
  <c r="O19" i="6078" l="1"/>
  <c r="O15" i="6080"/>
  <c r="O17" i="6080"/>
  <c r="C34" i="6080"/>
  <c r="B29" i="6080"/>
  <c r="C20" i="6080"/>
  <c r="B19" i="6080"/>
  <c r="H50" i="6080" s="1"/>
  <c r="B18" i="6080"/>
  <c r="B28" i="6080" s="1"/>
  <c r="B17" i="6080"/>
  <c r="C17" i="6080" s="1"/>
  <c r="C16" i="6080"/>
  <c r="C15" i="6080"/>
  <c r="C14" i="6080"/>
  <c r="O12" i="6080"/>
  <c r="B12" i="6080"/>
  <c r="O11" i="6080"/>
  <c r="B11" i="6080"/>
  <c r="O10" i="6080"/>
  <c r="B10" i="6080"/>
  <c r="C9" i="6080"/>
  <c r="C8" i="6080"/>
  <c r="O7" i="6080"/>
  <c r="C7" i="6080"/>
  <c r="O6" i="6080"/>
  <c r="B6" i="6080"/>
  <c r="O5" i="6080"/>
  <c r="B5" i="6080"/>
  <c r="O4" i="6080"/>
  <c r="O3" i="6080"/>
  <c r="O2" i="6080"/>
  <c r="O16" i="6068"/>
  <c r="O15" i="6078"/>
  <c r="O17" i="6078"/>
  <c r="C34" i="6078"/>
  <c r="B29" i="6078"/>
  <c r="C20" i="6078"/>
  <c r="B19" i="6078"/>
  <c r="H50" i="6078" s="1"/>
  <c r="B18" i="6078"/>
  <c r="B28" i="6078" s="1"/>
  <c r="B17" i="6078"/>
  <c r="C17" i="6078" s="1"/>
  <c r="C16" i="6078"/>
  <c r="C15" i="6078"/>
  <c r="C14" i="6078"/>
  <c r="O12" i="6078"/>
  <c r="B12" i="6078"/>
  <c r="O11" i="6078"/>
  <c r="B11" i="6078"/>
  <c r="O10" i="6078"/>
  <c r="B10" i="6078"/>
  <c r="C9" i="6078"/>
  <c r="C8" i="6078"/>
  <c r="O7" i="6078"/>
  <c r="C7" i="6078"/>
  <c r="O6" i="6078"/>
  <c r="B6" i="6078"/>
  <c r="O5" i="6078"/>
  <c r="B5" i="6078"/>
  <c r="O4" i="6078"/>
  <c r="O3" i="6078"/>
  <c r="O2" i="6078"/>
  <c r="O15" i="6054"/>
  <c r="H37" i="6080" l="1"/>
  <c r="H11" i="6080"/>
  <c r="H24" i="6080"/>
  <c r="H9" i="6080"/>
  <c r="H42" i="6080"/>
  <c r="C22" i="6080"/>
  <c r="C42" i="6080"/>
  <c r="C23" i="6080"/>
  <c r="H15" i="6080"/>
  <c r="H41" i="6080"/>
  <c r="C46" i="6080"/>
  <c r="H7" i="6080"/>
  <c r="H21" i="6080"/>
  <c r="B13" i="6078"/>
  <c r="B13" i="6080"/>
  <c r="C36" i="6080"/>
  <c r="C18" i="6078"/>
  <c r="B27" i="6080"/>
  <c r="C18" i="6080"/>
  <c r="H47" i="6080"/>
  <c r="H18" i="6080"/>
  <c r="H36" i="6080"/>
  <c r="H48" i="6080"/>
  <c r="H19" i="6080"/>
  <c r="H38" i="6080"/>
  <c r="H43" i="6080"/>
  <c r="C48" i="6080"/>
  <c r="C19" i="6080"/>
  <c r="C24" i="6080"/>
  <c r="H31" i="6080"/>
  <c r="C38" i="6080"/>
  <c r="H44" i="6080"/>
  <c r="H49" i="6080"/>
  <c r="H2" i="6080"/>
  <c r="H30" i="6080"/>
  <c r="H16" i="6080"/>
  <c r="C44" i="6080"/>
  <c r="H10" i="6080"/>
  <c r="H14" i="6080"/>
  <c r="H22" i="6080"/>
  <c r="C25" i="6080"/>
  <c r="H33" i="6080"/>
  <c r="H39" i="6080"/>
  <c r="H4" i="6080"/>
  <c r="H13" i="6080"/>
  <c r="H26" i="6080"/>
  <c r="H6" i="6080"/>
  <c r="H5" i="6080"/>
  <c r="H51" i="6080"/>
  <c r="H12" i="6080"/>
  <c r="H34" i="6080"/>
  <c r="H40" i="6080"/>
  <c r="H45" i="6080"/>
  <c r="H3" i="6080"/>
  <c r="H8" i="6080"/>
  <c r="H17" i="6080"/>
  <c r="C21" i="6080"/>
  <c r="B26" i="6080"/>
  <c r="C40" i="6080"/>
  <c r="H46" i="6080"/>
  <c r="H52" i="6080"/>
  <c r="H20" i="6080"/>
  <c r="H23" i="6080"/>
  <c r="H27" i="6080"/>
  <c r="H29" i="6080"/>
  <c r="H35" i="6080"/>
  <c r="C39" i="6080"/>
  <c r="C43" i="6080"/>
  <c r="C47" i="6080"/>
  <c r="H25" i="6080"/>
  <c r="H28" i="6080"/>
  <c r="H32" i="6080"/>
  <c r="C37" i="6080"/>
  <c r="C41" i="6080"/>
  <c r="C45" i="6080"/>
  <c r="H15" i="6078"/>
  <c r="H7" i="6078"/>
  <c r="H37" i="6078"/>
  <c r="B27" i="6078"/>
  <c r="H10" i="6078"/>
  <c r="C46" i="6078"/>
  <c r="H19" i="6078"/>
  <c r="H24" i="6078"/>
  <c r="H38" i="6078"/>
  <c r="H3" i="6078"/>
  <c r="C21" i="6078"/>
  <c r="H21" i="6078"/>
  <c r="H39" i="6078"/>
  <c r="H48" i="6078"/>
  <c r="H28" i="6078"/>
  <c r="C43" i="6078"/>
  <c r="H23" i="6078"/>
  <c r="H14" i="6078"/>
  <c r="H47" i="6078"/>
  <c r="H9" i="6078"/>
  <c r="H6" i="6078"/>
  <c r="H17" i="6078"/>
  <c r="C22" i="6078"/>
  <c r="H31" i="6078"/>
  <c r="H27" i="6078"/>
  <c r="H42" i="6078"/>
  <c r="C48" i="6078"/>
  <c r="H43" i="6078"/>
  <c r="B26" i="6078"/>
  <c r="H4" i="6078"/>
  <c r="H44" i="6078"/>
  <c r="C38" i="6078"/>
  <c r="C39" i="6078"/>
  <c r="H8" i="6078"/>
  <c r="H33" i="6078"/>
  <c r="H2" i="6078"/>
  <c r="H18" i="6078"/>
  <c r="H22" i="6078"/>
  <c r="C25" i="6078"/>
  <c r="H34" i="6078"/>
  <c r="C42" i="6078"/>
  <c r="H49" i="6078"/>
  <c r="C23" i="6078"/>
  <c r="H13" i="6078"/>
  <c r="H35" i="6078"/>
  <c r="H40" i="6078"/>
  <c r="C44" i="6078"/>
  <c r="H51" i="6078"/>
  <c r="H11" i="6078"/>
  <c r="H16" i="6078"/>
  <c r="H20" i="6078"/>
  <c r="C19" i="6078"/>
  <c r="H26" i="6078"/>
  <c r="H36" i="6078"/>
  <c r="H45" i="6078"/>
  <c r="H5" i="6078"/>
  <c r="H30" i="6078"/>
  <c r="C40" i="6078"/>
  <c r="H12" i="6078"/>
  <c r="C24" i="6078"/>
  <c r="C36" i="6078"/>
  <c r="H41" i="6078"/>
  <c r="H46" i="6078"/>
  <c r="H52" i="6078"/>
  <c r="C47" i="6078"/>
  <c r="H25" i="6078"/>
  <c r="H29" i="6078"/>
  <c r="H32" i="6078"/>
  <c r="C37" i="6078"/>
  <c r="C41" i="6078"/>
  <c r="C45" i="6078"/>
  <c r="O21" i="6076" l="1"/>
  <c r="O15" i="6058"/>
  <c r="O20" i="6060" l="1"/>
  <c r="O16" i="6076"/>
  <c r="O19" i="6076"/>
  <c r="O22" i="6062"/>
  <c r="O17" i="6070" l="1"/>
  <c r="O20" i="6076"/>
  <c r="O21" i="6064" l="1"/>
  <c r="O17" i="6076"/>
  <c r="O18" i="6076"/>
  <c r="C34" i="6076"/>
  <c r="B29" i="6076"/>
  <c r="C20" i="6076"/>
  <c r="B19" i="6076"/>
  <c r="H50" i="6076" s="1"/>
  <c r="C18" i="6076"/>
  <c r="B18" i="6076"/>
  <c r="B28" i="6076" s="1"/>
  <c r="B17" i="6076"/>
  <c r="C17" i="6076" s="1"/>
  <c r="C16" i="6076"/>
  <c r="C15" i="6076"/>
  <c r="C14" i="6076"/>
  <c r="O12" i="6076"/>
  <c r="B12" i="6076"/>
  <c r="O11" i="6076"/>
  <c r="B11" i="6076"/>
  <c r="O10" i="6076"/>
  <c r="B10" i="6076"/>
  <c r="C9" i="6076"/>
  <c r="C8" i="6076"/>
  <c r="O7" i="6076"/>
  <c r="C7" i="6076"/>
  <c r="O6" i="6076"/>
  <c r="B6" i="6076"/>
  <c r="O5" i="6076"/>
  <c r="B5" i="6076"/>
  <c r="O4" i="6076"/>
  <c r="O3" i="6076"/>
  <c r="O2" i="6076"/>
  <c r="O17" i="6068"/>
  <c r="O20" i="6054"/>
  <c r="B13" i="6076" l="1"/>
  <c r="H9" i="6076"/>
  <c r="H4" i="6076"/>
  <c r="H36" i="6076"/>
  <c r="H2" i="6076"/>
  <c r="H42" i="6076"/>
  <c r="H21" i="6076"/>
  <c r="C36" i="6076"/>
  <c r="H14" i="6076"/>
  <c r="H41" i="6076"/>
  <c r="C46" i="6076"/>
  <c r="H23" i="6076"/>
  <c r="H18" i="6076"/>
  <c r="C22" i="6076"/>
  <c r="B27" i="6076"/>
  <c r="H11" i="6076"/>
  <c r="H47" i="6076"/>
  <c r="H37" i="6076"/>
  <c r="H48" i="6076"/>
  <c r="H8" i="6076"/>
  <c r="H19" i="6076"/>
  <c r="C19" i="6076"/>
  <c r="H15" i="6076"/>
  <c r="H30" i="6076"/>
  <c r="H38" i="6076"/>
  <c r="H43" i="6076"/>
  <c r="C48" i="6076"/>
  <c r="C42" i="6076"/>
  <c r="H49" i="6076"/>
  <c r="H16" i="6076"/>
  <c r="H24" i="6076"/>
  <c r="C44" i="6076"/>
  <c r="H51" i="6076"/>
  <c r="H10" i="6076"/>
  <c r="H13" i="6076"/>
  <c r="H25" i="6076"/>
  <c r="H27" i="6076"/>
  <c r="H40" i="6076"/>
  <c r="H45" i="6076"/>
  <c r="H7" i="6076"/>
  <c r="C23" i="6076"/>
  <c r="H6" i="6076"/>
  <c r="H22" i="6076"/>
  <c r="C24" i="6076"/>
  <c r="H31" i="6076"/>
  <c r="C38" i="6076"/>
  <c r="H44" i="6076"/>
  <c r="H3" i="6076"/>
  <c r="H5" i="6076"/>
  <c r="H12" i="6076"/>
  <c r="C25" i="6076"/>
  <c r="H33" i="6076"/>
  <c r="H39" i="6076"/>
  <c r="H34" i="6076"/>
  <c r="H20" i="6076"/>
  <c r="C21" i="6076"/>
  <c r="B26" i="6076"/>
  <c r="C40" i="6076"/>
  <c r="H46" i="6076"/>
  <c r="H52" i="6076"/>
  <c r="H17" i="6076"/>
  <c r="H29" i="6076"/>
  <c r="H35" i="6076"/>
  <c r="C39" i="6076"/>
  <c r="C43" i="6076"/>
  <c r="C47" i="6076"/>
  <c r="H26" i="6076"/>
  <c r="H28" i="6076"/>
  <c r="H32" i="6076"/>
  <c r="C37" i="6076"/>
  <c r="C41" i="6076"/>
  <c r="C45" i="6076"/>
  <c r="O16" i="6066" l="1"/>
  <c r="O17" i="6074"/>
  <c r="O23" i="6058"/>
  <c r="O16" i="6074"/>
  <c r="O15" i="6074"/>
  <c r="C34" i="6074"/>
  <c r="B29" i="6074"/>
  <c r="C20" i="6074"/>
  <c r="B19" i="6074"/>
  <c r="H50" i="6074" s="1"/>
  <c r="B18" i="6074"/>
  <c r="B28" i="6074" s="1"/>
  <c r="B17" i="6074"/>
  <c r="C17" i="6074" s="1"/>
  <c r="C16" i="6074"/>
  <c r="C15" i="6074"/>
  <c r="C14" i="6074"/>
  <c r="O12" i="6074"/>
  <c r="B12" i="6074"/>
  <c r="O11" i="6074"/>
  <c r="B11" i="6074"/>
  <c r="O10" i="6074"/>
  <c r="B10" i="6074"/>
  <c r="C9" i="6074"/>
  <c r="C8" i="6074"/>
  <c r="O7" i="6074"/>
  <c r="C7" i="6074"/>
  <c r="O6" i="6074"/>
  <c r="B6" i="6074"/>
  <c r="O5" i="6074"/>
  <c r="B5" i="6074"/>
  <c r="O4" i="6074"/>
  <c r="O3" i="6074"/>
  <c r="O2" i="6074"/>
  <c r="O20" i="6068"/>
  <c r="O26" i="6054"/>
  <c r="B13" i="6074" l="1"/>
  <c r="C18" i="6074"/>
  <c r="H30" i="6074"/>
  <c r="H17" i="6074"/>
  <c r="H43" i="6074"/>
  <c r="H37" i="6074"/>
  <c r="C21" i="6074"/>
  <c r="H38" i="6074"/>
  <c r="H12" i="6074"/>
  <c r="C38" i="6074"/>
  <c r="H44" i="6074"/>
  <c r="H2" i="6074"/>
  <c r="H8" i="6074"/>
  <c r="C22" i="6074"/>
  <c r="H3" i="6074"/>
  <c r="H20" i="6074"/>
  <c r="B27" i="6074"/>
  <c r="H16" i="6074"/>
  <c r="C44" i="6074"/>
  <c r="C46" i="6074"/>
  <c r="H13" i="6074"/>
  <c r="C24" i="6074"/>
  <c r="H39" i="6074"/>
  <c r="H14" i="6074"/>
  <c r="H18" i="6074"/>
  <c r="H33" i="6074"/>
  <c r="C25" i="6074"/>
  <c r="H48" i="6074"/>
  <c r="H26" i="6074"/>
  <c r="C39" i="6074"/>
  <c r="H47" i="6074"/>
  <c r="H22" i="6074"/>
  <c r="H34" i="6074"/>
  <c r="H4" i="6074"/>
  <c r="H27" i="6074"/>
  <c r="H42" i="6074"/>
  <c r="C48" i="6074"/>
  <c r="H21" i="6074"/>
  <c r="H31" i="6074"/>
  <c r="H41" i="6074"/>
  <c r="H9" i="6074"/>
  <c r="H6" i="6074"/>
  <c r="H23" i="6074"/>
  <c r="B26" i="6074"/>
  <c r="C36" i="6074"/>
  <c r="C42" i="6074"/>
  <c r="H49" i="6074"/>
  <c r="H51" i="6074"/>
  <c r="C23" i="6074"/>
  <c r="H5" i="6074"/>
  <c r="H35" i="6074"/>
  <c r="H40" i="6074"/>
  <c r="H45" i="6074"/>
  <c r="H11" i="6074"/>
  <c r="H7" i="6074"/>
  <c r="H10" i="6074"/>
  <c r="H15" i="6074"/>
  <c r="H19" i="6074"/>
  <c r="C19" i="6074"/>
  <c r="H25" i="6074"/>
  <c r="H29" i="6074"/>
  <c r="H36" i="6074"/>
  <c r="C40" i="6074"/>
  <c r="H46" i="6074"/>
  <c r="H52" i="6074"/>
  <c r="C43" i="6074"/>
  <c r="C47" i="6074"/>
  <c r="H24" i="6074"/>
  <c r="H28" i="6074"/>
  <c r="H32" i="6074"/>
  <c r="C37" i="6074"/>
  <c r="C41" i="6074"/>
  <c r="C45" i="6074"/>
  <c r="O22" i="6056" l="1"/>
  <c r="O16" i="6064"/>
  <c r="O15" i="6064" l="1"/>
  <c r="O19" i="6072"/>
  <c r="O15" i="6062" l="1"/>
  <c r="O22" i="6068"/>
  <c r="O16" i="6072" l="1"/>
  <c r="O23" i="6062"/>
  <c r="O21" i="6056" l="1"/>
  <c r="O17" i="6058"/>
  <c r="O15" i="6068"/>
  <c r="O23" i="6068"/>
  <c r="O19" i="6066" l="1"/>
  <c r="O19" i="6070"/>
  <c r="O18" i="6060" l="1"/>
  <c r="O17" i="6066"/>
  <c r="O18" i="6068"/>
  <c r="O19" i="6068"/>
  <c r="O16" i="6056" l="1"/>
  <c r="O16" i="6070"/>
  <c r="O20" i="6070"/>
  <c r="O18" i="6062"/>
  <c r="O22" i="6060" l="1"/>
  <c r="O20" i="6064"/>
  <c r="O23" i="6064" l="1"/>
  <c r="O22" i="6058"/>
  <c r="O25" i="6068"/>
  <c r="O17" i="6072"/>
  <c r="O15" i="6072"/>
  <c r="O21" i="6070"/>
  <c r="O15" i="6060" l="1"/>
  <c r="O21" i="6060"/>
  <c r="O18" i="6072"/>
  <c r="O20" i="6072"/>
  <c r="C34" i="6072"/>
  <c r="B29" i="6072"/>
  <c r="C20" i="6072"/>
  <c r="B19" i="6072"/>
  <c r="H50" i="6072" s="1"/>
  <c r="B18" i="6072"/>
  <c r="B28" i="6072" s="1"/>
  <c r="B17" i="6072"/>
  <c r="C17" i="6072" s="1"/>
  <c r="C16" i="6072"/>
  <c r="C15" i="6072"/>
  <c r="C14" i="6072"/>
  <c r="O12" i="6072"/>
  <c r="B12" i="6072"/>
  <c r="O11" i="6072"/>
  <c r="B11" i="6072"/>
  <c r="O10" i="6072"/>
  <c r="B10" i="6072"/>
  <c r="C9" i="6072"/>
  <c r="C8" i="6072"/>
  <c r="O7" i="6072"/>
  <c r="C7" i="6072"/>
  <c r="O6" i="6072"/>
  <c r="B6" i="6072"/>
  <c r="O5" i="6072"/>
  <c r="B5" i="6072"/>
  <c r="O4" i="6072"/>
  <c r="O3" i="6072"/>
  <c r="O2" i="6072"/>
  <c r="O21" i="6066"/>
  <c r="O15" i="6066"/>
  <c r="O16" i="6054"/>
  <c r="B13" i="6072" l="1"/>
  <c r="H19" i="6072"/>
  <c r="H48" i="6072"/>
  <c r="B26" i="6072"/>
  <c r="C25" i="6072"/>
  <c r="H27" i="6072"/>
  <c r="H3" i="6072"/>
  <c r="H22" i="6072"/>
  <c r="H38" i="6072"/>
  <c r="C38" i="6072"/>
  <c r="C18" i="6072"/>
  <c r="H43" i="6072"/>
  <c r="C42" i="6072"/>
  <c r="H10" i="6072"/>
  <c r="H31" i="6072"/>
  <c r="C43" i="6072"/>
  <c r="H20" i="6072"/>
  <c r="H16" i="6072"/>
  <c r="H24" i="6072"/>
  <c r="C21" i="6072"/>
  <c r="H13" i="6072"/>
  <c r="H34" i="6072"/>
  <c r="H47" i="6072"/>
  <c r="H39" i="6072"/>
  <c r="H33" i="6072"/>
  <c r="H14" i="6072"/>
  <c r="H4" i="6072"/>
  <c r="H11" i="6072"/>
  <c r="C22" i="6072"/>
  <c r="C47" i="6072"/>
  <c r="B27" i="6072"/>
  <c r="C39" i="6072"/>
  <c r="H44" i="6072"/>
  <c r="C48" i="6072"/>
  <c r="H49" i="6072"/>
  <c r="H9" i="6072"/>
  <c r="C44" i="6072"/>
  <c r="H7" i="6072"/>
  <c r="H8" i="6072"/>
  <c r="H17" i="6072"/>
  <c r="C19" i="6072"/>
  <c r="H29" i="6072"/>
  <c r="H36" i="6072"/>
  <c r="H45" i="6072"/>
  <c r="H51" i="6072"/>
  <c r="H21" i="6072"/>
  <c r="H26" i="6072"/>
  <c r="C40" i="6072"/>
  <c r="H23" i="6072"/>
  <c r="C24" i="6072"/>
  <c r="C36" i="6072"/>
  <c r="H46" i="6072"/>
  <c r="H6" i="6072"/>
  <c r="C23" i="6072"/>
  <c r="H35" i="6072"/>
  <c r="H40" i="6072"/>
  <c r="H12" i="6072"/>
  <c r="H41" i="6072"/>
  <c r="H2" i="6072"/>
  <c r="H5" i="6072"/>
  <c r="H18" i="6072"/>
  <c r="H15" i="6072"/>
  <c r="H30" i="6072"/>
  <c r="H37" i="6072"/>
  <c r="H42" i="6072"/>
  <c r="C46" i="6072"/>
  <c r="H52" i="6072"/>
  <c r="H25" i="6072"/>
  <c r="H28" i="6072"/>
  <c r="H32" i="6072"/>
  <c r="C37" i="6072"/>
  <c r="C41" i="6072"/>
  <c r="C45" i="6072"/>
  <c r="O18" i="6058" l="1"/>
  <c r="O20" i="6062"/>
  <c r="O21" i="6058" l="1"/>
  <c r="O22" i="6066"/>
  <c r="O24" i="6066"/>
  <c r="O18" i="6056"/>
  <c r="O17" i="6060"/>
  <c r="O17" i="6062"/>
  <c r="O21" i="6062"/>
  <c r="O17" i="6056"/>
  <c r="O16" i="6060"/>
  <c r="O16" i="6058"/>
  <c r="O22" i="6070"/>
  <c r="O23" i="6070"/>
  <c r="O19" i="6064" l="1"/>
  <c r="O17" i="6064"/>
  <c r="O15" i="6070"/>
  <c r="O18" i="6070"/>
  <c r="C34" i="6070"/>
  <c r="B29" i="6070"/>
  <c r="B28" i="6070"/>
  <c r="C20" i="6070"/>
  <c r="B19" i="6070"/>
  <c r="H20" i="6070" s="1"/>
  <c r="B18" i="6070"/>
  <c r="C18" i="6070" s="1"/>
  <c r="B17" i="6070"/>
  <c r="C17" i="6070" s="1"/>
  <c r="C16" i="6070"/>
  <c r="C15" i="6070"/>
  <c r="C14" i="6070"/>
  <c r="B13" i="6070"/>
  <c r="O12" i="6070"/>
  <c r="B12" i="6070"/>
  <c r="O11" i="6070"/>
  <c r="B11" i="6070"/>
  <c r="O10" i="6070"/>
  <c r="B10" i="6070"/>
  <c r="C9" i="6070"/>
  <c r="C8" i="6070"/>
  <c r="O7" i="6070"/>
  <c r="C7" i="6070"/>
  <c r="O6" i="6070"/>
  <c r="B6" i="6070"/>
  <c r="O5" i="6070"/>
  <c r="B5" i="6070"/>
  <c r="O4" i="6070"/>
  <c r="O3" i="6070"/>
  <c r="O2" i="6070"/>
  <c r="O17" i="6054"/>
  <c r="O21" i="6068"/>
  <c r="O24" i="6068"/>
  <c r="C34" i="6068"/>
  <c r="B29" i="6068"/>
  <c r="C20" i="6068"/>
  <c r="B19" i="6068"/>
  <c r="H51" i="6068" s="1"/>
  <c r="C18" i="6068"/>
  <c r="B18" i="6068"/>
  <c r="B28" i="6068" s="1"/>
  <c r="B17" i="6068"/>
  <c r="C17" i="6068" s="1"/>
  <c r="C16" i="6068"/>
  <c r="C15" i="6068"/>
  <c r="C14" i="6068"/>
  <c r="O12" i="6068"/>
  <c r="B12" i="6068"/>
  <c r="O11" i="6068"/>
  <c r="B11" i="6068"/>
  <c r="O10" i="6068"/>
  <c r="B10" i="6068"/>
  <c r="C9" i="6068"/>
  <c r="C8" i="6068"/>
  <c r="O7" i="6068"/>
  <c r="C7" i="6068"/>
  <c r="O6" i="6068"/>
  <c r="B6" i="6068"/>
  <c r="O5" i="6068"/>
  <c r="B5" i="6068"/>
  <c r="O4" i="6068"/>
  <c r="O3" i="6068"/>
  <c r="O2" i="6068"/>
  <c r="O21" i="6054"/>
  <c r="H27" i="6068" l="1"/>
  <c r="H21" i="6070"/>
  <c r="H37" i="6070"/>
  <c r="H36" i="6070"/>
  <c r="H10" i="6070"/>
  <c r="C22" i="6070"/>
  <c r="C40" i="6070"/>
  <c r="H22" i="6070"/>
  <c r="H41" i="6070"/>
  <c r="H3" i="6070"/>
  <c r="H12" i="6070"/>
  <c r="H4" i="6070"/>
  <c r="H42" i="6070"/>
  <c r="H23" i="6070"/>
  <c r="C21" i="6070"/>
  <c r="H7" i="6070"/>
  <c r="H15" i="6070"/>
  <c r="B26" i="6070"/>
  <c r="H11" i="6070"/>
  <c r="H9" i="6070"/>
  <c r="H26" i="6070"/>
  <c r="H46" i="6070"/>
  <c r="C46" i="6070"/>
  <c r="H24" i="6070"/>
  <c r="H48" i="6070"/>
  <c r="H18" i="6070"/>
  <c r="H30" i="6070"/>
  <c r="C36" i="6070"/>
  <c r="C42" i="6070"/>
  <c r="C47" i="6070"/>
  <c r="C48" i="6070"/>
  <c r="H13" i="6070"/>
  <c r="C19" i="6070"/>
  <c r="C24" i="6070"/>
  <c r="H38" i="6070"/>
  <c r="H44" i="6070"/>
  <c r="H2" i="6070"/>
  <c r="H6" i="6070"/>
  <c r="H17" i="6070"/>
  <c r="H14" i="6070"/>
  <c r="H31" i="6070"/>
  <c r="C38" i="6070"/>
  <c r="C43" i="6070"/>
  <c r="H50" i="6070"/>
  <c r="H8" i="6070"/>
  <c r="H16" i="6070"/>
  <c r="C25" i="6070"/>
  <c r="H32" i="6070"/>
  <c r="H40" i="6070"/>
  <c r="H45" i="6070"/>
  <c r="H5" i="6070"/>
  <c r="H25" i="6070"/>
  <c r="H27" i="6070"/>
  <c r="H19" i="6070"/>
  <c r="H35" i="6070"/>
  <c r="C39" i="6070"/>
  <c r="C44" i="6070"/>
  <c r="H52" i="6070"/>
  <c r="H49" i="6070"/>
  <c r="H28" i="6070"/>
  <c r="H29" i="6070"/>
  <c r="H33" i="6070"/>
  <c r="C37" i="6070"/>
  <c r="C41" i="6070"/>
  <c r="C45" i="6070"/>
  <c r="H51" i="6070"/>
  <c r="C23" i="6070"/>
  <c r="B27" i="6070"/>
  <c r="H34" i="6070"/>
  <c r="H39" i="6070"/>
  <c r="H43" i="6070"/>
  <c r="H47" i="6070"/>
  <c r="B13" i="6068"/>
  <c r="H7" i="6068"/>
  <c r="H26" i="6068"/>
  <c r="H37" i="6068"/>
  <c r="H4" i="6068"/>
  <c r="H14" i="6068"/>
  <c r="C40" i="6068"/>
  <c r="H18" i="6068"/>
  <c r="H42" i="6068"/>
  <c r="C46" i="6068"/>
  <c r="C22" i="6068"/>
  <c r="B26" i="6068"/>
  <c r="H47" i="6068"/>
  <c r="B27" i="6068"/>
  <c r="H11" i="6068"/>
  <c r="H8" i="6068"/>
  <c r="H52" i="6068"/>
  <c r="C23" i="6068"/>
  <c r="C36" i="6068"/>
  <c r="H9" i="6068"/>
  <c r="H12" i="6068"/>
  <c r="H17" i="6068"/>
  <c r="H30" i="6068"/>
  <c r="C42" i="6068"/>
  <c r="C24" i="6068"/>
  <c r="H39" i="6068"/>
  <c r="C48" i="6068"/>
  <c r="H2" i="6068"/>
  <c r="H3" i="6068"/>
  <c r="H24" i="6068"/>
  <c r="H15" i="6068"/>
  <c r="H21" i="6068"/>
  <c r="C38" i="6068"/>
  <c r="H45" i="6068"/>
  <c r="H50" i="6068"/>
  <c r="H48" i="6068"/>
  <c r="H19" i="6068"/>
  <c r="H38" i="6068"/>
  <c r="H20" i="6068"/>
  <c r="H35" i="6068"/>
  <c r="C44" i="6068"/>
  <c r="H23" i="6068"/>
  <c r="H43" i="6068"/>
  <c r="H6" i="6068"/>
  <c r="C19" i="6068"/>
  <c r="H49" i="6068"/>
  <c r="H13" i="6068"/>
  <c r="H16" i="6068"/>
  <c r="H44" i="6068"/>
  <c r="H10" i="6068"/>
  <c r="H28" i="6068"/>
  <c r="C25" i="6068"/>
  <c r="H40" i="6068"/>
  <c r="H25" i="6068"/>
  <c r="C21" i="6068"/>
  <c r="H31" i="6068"/>
  <c r="H22" i="6068"/>
  <c r="H41" i="6068"/>
  <c r="H46" i="6068"/>
  <c r="H5" i="6068"/>
  <c r="H33" i="6068"/>
  <c r="H36" i="6068"/>
  <c r="C39" i="6068"/>
  <c r="C43" i="6068"/>
  <c r="C47" i="6068"/>
  <c r="H29" i="6068"/>
  <c r="H32" i="6068"/>
  <c r="H34" i="6068"/>
  <c r="C37" i="6068"/>
  <c r="C41" i="6068"/>
  <c r="C45" i="6068"/>
  <c r="O23" i="6066" l="1"/>
  <c r="O18" i="6066"/>
  <c r="C34" i="6066"/>
  <c r="B29" i="6066"/>
  <c r="C20" i="6066"/>
  <c r="B19" i="6066"/>
  <c r="H51" i="6066" s="1"/>
  <c r="B18" i="6066"/>
  <c r="B28" i="6066" s="1"/>
  <c r="B17" i="6066"/>
  <c r="C17" i="6066" s="1"/>
  <c r="C16" i="6066"/>
  <c r="C15" i="6066"/>
  <c r="C14" i="6066"/>
  <c r="O12" i="6066"/>
  <c r="B12" i="6066"/>
  <c r="O11" i="6066"/>
  <c r="B11" i="6066"/>
  <c r="O10" i="6066"/>
  <c r="B10" i="6066"/>
  <c r="C9" i="6066"/>
  <c r="C8" i="6066"/>
  <c r="O7" i="6066"/>
  <c r="C7" i="6066"/>
  <c r="O6" i="6066"/>
  <c r="B6" i="6066"/>
  <c r="O5" i="6066"/>
  <c r="B5" i="6066"/>
  <c r="O4" i="6066"/>
  <c r="O3" i="6066"/>
  <c r="O2" i="6066"/>
  <c r="O22" i="6064"/>
  <c r="O18" i="6064"/>
  <c r="C34" i="6064"/>
  <c r="B29" i="6064"/>
  <c r="C20" i="6064"/>
  <c r="B19" i="6064"/>
  <c r="H51" i="6064" s="1"/>
  <c r="B18" i="6064"/>
  <c r="B28" i="6064" s="1"/>
  <c r="B17" i="6064"/>
  <c r="C17" i="6064" s="1"/>
  <c r="C16" i="6064"/>
  <c r="C15" i="6064"/>
  <c r="C14" i="6064"/>
  <c r="O12" i="6064"/>
  <c r="B12" i="6064"/>
  <c r="O11" i="6064"/>
  <c r="B11" i="6064"/>
  <c r="O10" i="6064"/>
  <c r="B10" i="6064"/>
  <c r="C9" i="6064"/>
  <c r="C8" i="6064"/>
  <c r="O7" i="6064"/>
  <c r="C7" i="6064"/>
  <c r="O6" i="6064"/>
  <c r="B6" i="6064"/>
  <c r="O5" i="6064"/>
  <c r="B5" i="6064"/>
  <c r="O4" i="6064"/>
  <c r="O3" i="6064"/>
  <c r="O2" i="6064"/>
  <c r="O18" i="6054"/>
  <c r="O19" i="6062"/>
  <c r="O16" i="6062"/>
  <c r="C34" i="6062"/>
  <c r="B29" i="6062"/>
  <c r="C20" i="6062"/>
  <c r="B19" i="6062"/>
  <c r="H18" i="6062" s="1"/>
  <c r="B18" i="6062"/>
  <c r="B28" i="6062" s="1"/>
  <c r="B17" i="6062"/>
  <c r="C17" i="6062" s="1"/>
  <c r="C16" i="6062"/>
  <c r="C15" i="6062"/>
  <c r="C14" i="6062"/>
  <c r="O12" i="6062"/>
  <c r="B12" i="6062"/>
  <c r="O11" i="6062"/>
  <c r="B11" i="6062"/>
  <c r="O10" i="6062"/>
  <c r="B10" i="6062"/>
  <c r="C9" i="6062"/>
  <c r="C8" i="6062"/>
  <c r="O7" i="6062"/>
  <c r="C7" i="6062"/>
  <c r="O6" i="6062"/>
  <c r="B6" i="6062"/>
  <c r="O5" i="6062"/>
  <c r="B5" i="6062"/>
  <c r="O4" i="6062"/>
  <c r="O3" i="6062"/>
  <c r="O2" i="6062"/>
  <c r="O22" i="6054"/>
  <c r="O24" i="6054"/>
  <c r="B13" i="6064" l="1"/>
  <c r="C18" i="6064"/>
  <c r="B13" i="6066"/>
  <c r="H31" i="6066"/>
  <c r="H23" i="6066"/>
  <c r="H6" i="6066"/>
  <c r="H42" i="6066"/>
  <c r="H43" i="6066"/>
  <c r="H4" i="6066"/>
  <c r="H3" i="6066"/>
  <c r="H14" i="6066"/>
  <c r="C25" i="6066"/>
  <c r="C42" i="6066"/>
  <c r="H11" i="6066"/>
  <c r="C22" i="6066"/>
  <c r="H26" i="6066"/>
  <c r="H38" i="6066"/>
  <c r="C36" i="6066"/>
  <c r="H15" i="6066"/>
  <c r="H12" i="6066"/>
  <c r="C18" i="6062"/>
  <c r="B13" i="6062"/>
  <c r="C46" i="6062"/>
  <c r="H26" i="6062"/>
  <c r="H48" i="6062"/>
  <c r="H9" i="6062"/>
  <c r="H11" i="6062"/>
  <c r="H37" i="6062"/>
  <c r="H36" i="6062"/>
  <c r="H25" i="6062"/>
  <c r="H12" i="6062"/>
  <c r="C40" i="6062"/>
  <c r="H3" i="6062"/>
  <c r="C22" i="6062"/>
  <c r="H42" i="6062"/>
  <c r="H35" i="6066"/>
  <c r="H46" i="6066"/>
  <c r="H9" i="6066"/>
  <c r="H36" i="6066"/>
  <c r="C46" i="6066"/>
  <c r="H29" i="6066"/>
  <c r="H2" i="6066"/>
  <c r="H32" i="6066"/>
  <c r="C21" i="6066"/>
  <c r="H48" i="6066"/>
  <c r="C18" i="6066"/>
  <c r="H41" i="6066"/>
  <c r="H49" i="6066"/>
  <c r="H18" i="6066"/>
  <c r="H30" i="6066"/>
  <c r="B26" i="6066"/>
  <c r="H34" i="6066"/>
  <c r="H28" i="6066"/>
  <c r="C48" i="6066"/>
  <c r="B27" i="6066"/>
  <c r="H21" i="6066"/>
  <c r="H39" i="6066"/>
  <c r="H44" i="6066"/>
  <c r="H50" i="6066"/>
  <c r="H7" i="6066"/>
  <c r="H10" i="6066"/>
  <c r="H25" i="6066"/>
  <c r="H16" i="6066"/>
  <c r="C19" i="6066"/>
  <c r="H20" i="6066"/>
  <c r="H40" i="6066"/>
  <c r="H45" i="6066"/>
  <c r="H17" i="6066"/>
  <c r="C24" i="6066"/>
  <c r="H19" i="6066"/>
  <c r="H13" i="6066"/>
  <c r="H22" i="6066"/>
  <c r="C38" i="6066"/>
  <c r="C44" i="6066"/>
  <c r="H5" i="6066"/>
  <c r="C23" i="6066"/>
  <c r="H8" i="6066"/>
  <c r="H37" i="6066"/>
  <c r="C40" i="6066"/>
  <c r="H47" i="6066"/>
  <c r="H52" i="6066"/>
  <c r="C39" i="6066"/>
  <c r="C43" i="6066"/>
  <c r="C47" i="6066"/>
  <c r="H33" i="6066"/>
  <c r="H24" i="6066"/>
  <c r="H27" i="6066"/>
  <c r="C37" i="6066"/>
  <c r="C41" i="6066"/>
  <c r="C45" i="6066"/>
  <c r="H46" i="6064"/>
  <c r="H32" i="6064"/>
  <c r="H33" i="6064"/>
  <c r="H48" i="6064"/>
  <c r="C36" i="6064"/>
  <c r="H35" i="6064"/>
  <c r="B26" i="6064"/>
  <c r="H4" i="6064"/>
  <c r="H17" i="6064"/>
  <c r="H8" i="6064"/>
  <c r="H41" i="6064"/>
  <c r="H49" i="6064"/>
  <c r="H47" i="6064"/>
  <c r="C48" i="6064"/>
  <c r="H31" i="6064"/>
  <c r="H10" i="6064"/>
  <c r="C21" i="6064"/>
  <c r="H36" i="6064"/>
  <c r="H43" i="6064"/>
  <c r="H13" i="6064"/>
  <c r="C25" i="6064"/>
  <c r="H23" i="6064"/>
  <c r="H7" i="6064"/>
  <c r="H40" i="6064"/>
  <c r="H12" i="6064"/>
  <c r="H5" i="6064"/>
  <c r="H3" i="6064"/>
  <c r="C22" i="6064"/>
  <c r="C42" i="6064"/>
  <c r="H6" i="6064"/>
  <c r="H38" i="6064"/>
  <c r="H11" i="6064"/>
  <c r="H25" i="6064"/>
  <c r="H19" i="6064"/>
  <c r="C40" i="6064"/>
  <c r="H24" i="6064"/>
  <c r="H29" i="6064"/>
  <c r="H2" i="6064"/>
  <c r="C23" i="6064"/>
  <c r="C44" i="6064"/>
  <c r="H52" i="6064"/>
  <c r="H9" i="6064"/>
  <c r="H14" i="6064"/>
  <c r="B27" i="6064"/>
  <c r="H30" i="6064"/>
  <c r="H42" i="6064"/>
  <c r="C46" i="6064"/>
  <c r="H21" i="6064"/>
  <c r="H16" i="6064"/>
  <c r="H39" i="6064"/>
  <c r="H44" i="6064"/>
  <c r="C19" i="6064"/>
  <c r="C24" i="6064"/>
  <c r="H18" i="6064"/>
  <c r="C38" i="6064"/>
  <c r="H45" i="6064"/>
  <c r="H50" i="6064"/>
  <c r="H20" i="6064"/>
  <c r="H34" i="6064"/>
  <c r="H15" i="6064"/>
  <c r="H26" i="6064"/>
  <c r="H37" i="6064"/>
  <c r="C39" i="6064"/>
  <c r="C43" i="6064"/>
  <c r="C47" i="6064"/>
  <c r="H22" i="6064"/>
  <c r="H27" i="6064"/>
  <c r="H28" i="6064"/>
  <c r="C37" i="6064"/>
  <c r="C41" i="6064"/>
  <c r="C45" i="6064"/>
  <c r="H6" i="6062"/>
  <c r="H31" i="6062"/>
  <c r="C47" i="6062"/>
  <c r="H14" i="6062"/>
  <c r="H20" i="6062"/>
  <c r="C19" i="6062"/>
  <c r="C24" i="6062"/>
  <c r="H38" i="6062"/>
  <c r="H44" i="6062"/>
  <c r="H49" i="6062"/>
  <c r="C48" i="6062"/>
  <c r="H15" i="6062"/>
  <c r="H13" i="6062"/>
  <c r="C38" i="6062"/>
  <c r="C25" i="6062"/>
  <c r="H40" i="6062"/>
  <c r="H45" i="6062"/>
  <c r="H50" i="6062"/>
  <c r="H10" i="6062"/>
  <c r="C42" i="6062"/>
  <c r="H2" i="6062"/>
  <c r="H8" i="6062"/>
  <c r="H19" i="6062"/>
  <c r="H32" i="6062"/>
  <c r="H17" i="6062"/>
  <c r="H27" i="6062"/>
  <c r="H29" i="6062"/>
  <c r="H35" i="6062"/>
  <c r="C39" i="6062"/>
  <c r="C44" i="6062"/>
  <c r="H5" i="6062"/>
  <c r="H23" i="6062"/>
  <c r="C36" i="6062"/>
  <c r="H4" i="6062"/>
  <c r="H16" i="6062"/>
  <c r="H21" i="6062"/>
  <c r="C43" i="6062"/>
  <c r="H7" i="6062"/>
  <c r="H22" i="6062"/>
  <c r="H24" i="6062"/>
  <c r="C21" i="6062"/>
  <c r="B26" i="6062"/>
  <c r="H41" i="6062"/>
  <c r="H46" i="6062"/>
  <c r="H52" i="6062"/>
  <c r="H28" i="6062"/>
  <c r="H30" i="6062"/>
  <c r="H33" i="6062"/>
  <c r="C37" i="6062"/>
  <c r="C41" i="6062"/>
  <c r="C45" i="6062"/>
  <c r="H51" i="6062"/>
  <c r="C23" i="6062"/>
  <c r="B27" i="6062"/>
  <c r="H34" i="6062"/>
  <c r="H39" i="6062"/>
  <c r="H43" i="6062"/>
  <c r="H47" i="6062"/>
  <c r="O23" i="6060" l="1"/>
  <c r="O19" i="6060"/>
  <c r="C34" i="6060"/>
  <c r="B29" i="6060"/>
  <c r="B28" i="6060"/>
  <c r="C20" i="6060"/>
  <c r="B19" i="6060"/>
  <c r="H19" i="6060" s="1"/>
  <c r="C18" i="6060"/>
  <c r="B18" i="6060"/>
  <c r="B17" i="6060"/>
  <c r="C17" i="6060" s="1"/>
  <c r="C16" i="6060"/>
  <c r="C15" i="6060"/>
  <c r="C14" i="6060"/>
  <c r="O12" i="6060"/>
  <c r="B12" i="6060"/>
  <c r="B13" i="6060" s="1"/>
  <c r="O11" i="6060"/>
  <c r="B11" i="6060"/>
  <c r="O10" i="6060"/>
  <c r="B10" i="6060"/>
  <c r="C9" i="6060"/>
  <c r="C8" i="6060"/>
  <c r="O7" i="6060"/>
  <c r="C7" i="6060"/>
  <c r="O6" i="6060"/>
  <c r="B6" i="6060"/>
  <c r="O5" i="6060"/>
  <c r="B5" i="6060"/>
  <c r="O4" i="6060"/>
  <c r="O3" i="6060"/>
  <c r="O2" i="6060"/>
  <c r="O19" i="6058"/>
  <c r="O20" i="6058"/>
  <c r="C34" i="6058"/>
  <c r="B29" i="6058"/>
  <c r="C20" i="6058"/>
  <c r="B19" i="6058"/>
  <c r="H51" i="6058" s="1"/>
  <c r="B18" i="6058"/>
  <c r="B28" i="6058" s="1"/>
  <c r="B17" i="6058"/>
  <c r="C17" i="6058" s="1"/>
  <c r="C16" i="6058"/>
  <c r="C15" i="6058"/>
  <c r="C14" i="6058"/>
  <c r="O12" i="6058"/>
  <c r="B12" i="6058"/>
  <c r="O11" i="6058"/>
  <c r="B11" i="6058"/>
  <c r="O10" i="6058"/>
  <c r="B10" i="6058"/>
  <c r="C9" i="6058"/>
  <c r="C8" i="6058"/>
  <c r="O7" i="6058"/>
  <c r="C7" i="6058"/>
  <c r="O6" i="6058"/>
  <c r="B6" i="6058"/>
  <c r="O5" i="6058"/>
  <c r="B5" i="6058"/>
  <c r="O4" i="6058"/>
  <c r="O3" i="6058"/>
  <c r="O2" i="6058"/>
  <c r="O19" i="6054"/>
  <c r="O19" i="6056"/>
  <c r="O20" i="6056"/>
  <c r="C34" i="6056"/>
  <c r="B29" i="6056"/>
  <c r="C20" i="6056"/>
  <c r="B19" i="6056"/>
  <c r="H51" i="6056" s="1"/>
  <c r="B18" i="6056"/>
  <c r="B28" i="6056" s="1"/>
  <c r="B17" i="6056"/>
  <c r="C17" i="6056" s="1"/>
  <c r="C16" i="6056"/>
  <c r="C15" i="6056"/>
  <c r="C14" i="6056"/>
  <c r="O12" i="6056"/>
  <c r="B12" i="6056"/>
  <c r="O11" i="6056"/>
  <c r="B11" i="6056"/>
  <c r="O10" i="6056"/>
  <c r="B10" i="6056"/>
  <c r="C9" i="6056"/>
  <c r="C8" i="6056"/>
  <c r="O7" i="6056"/>
  <c r="C7" i="6056"/>
  <c r="O6" i="6056"/>
  <c r="B6" i="6056"/>
  <c r="O5" i="6056"/>
  <c r="B5" i="6056"/>
  <c r="O4" i="6056"/>
  <c r="O3" i="6056"/>
  <c r="O2" i="6056"/>
  <c r="O23" i="6054"/>
  <c r="O25" i="6054"/>
  <c r="C34" i="6054"/>
  <c r="B29" i="6054"/>
  <c r="C20" i="6054"/>
  <c r="B19" i="6054"/>
  <c r="H51" i="6054" s="1"/>
  <c r="B18" i="6054"/>
  <c r="B28" i="6054" s="1"/>
  <c r="B17" i="6054"/>
  <c r="C17" i="6054" s="1"/>
  <c r="C16" i="6054"/>
  <c r="C15" i="6054"/>
  <c r="C14" i="6054"/>
  <c r="O12" i="6054"/>
  <c r="B12" i="6054"/>
  <c r="O11" i="6054"/>
  <c r="B11" i="6054"/>
  <c r="O10" i="6054"/>
  <c r="B10" i="6054"/>
  <c r="C9" i="6054"/>
  <c r="C8" i="6054"/>
  <c r="O7" i="6054"/>
  <c r="C7" i="6054"/>
  <c r="O6" i="6054"/>
  <c r="B6" i="6054"/>
  <c r="O5" i="6054"/>
  <c r="B5" i="6054"/>
  <c r="O4" i="6054"/>
  <c r="O3" i="6054"/>
  <c r="O2" i="6054"/>
  <c r="B13" i="6058" l="1"/>
  <c r="C18" i="6058"/>
  <c r="H20" i="6060"/>
  <c r="H29" i="6060"/>
  <c r="H28" i="6060"/>
  <c r="H6" i="6060"/>
  <c r="H42" i="6060"/>
  <c r="H3" i="6060"/>
  <c r="H12" i="6060"/>
  <c r="C24" i="6060"/>
  <c r="C43" i="6060"/>
  <c r="H22" i="6060"/>
  <c r="C42" i="6060"/>
  <c r="H8" i="6060"/>
  <c r="C22" i="6060"/>
  <c r="H31" i="6060"/>
  <c r="H2" i="6060"/>
  <c r="B13" i="6056"/>
  <c r="C18" i="6056"/>
  <c r="B26" i="6060"/>
  <c r="H36" i="6060"/>
  <c r="H46" i="6060"/>
  <c r="H26" i="6060"/>
  <c r="C19" i="6060"/>
  <c r="H9" i="6060"/>
  <c r="H38" i="6060"/>
  <c r="C46" i="6060"/>
  <c r="C38" i="6060"/>
  <c r="H48" i="6060"/>
  <c r="H17" i="6060"/>
  <c r="H21" i="6060"/>
  <c r="H40" i="6060"/>
  <c r="C47" i="6060"/>
  <c r="H23" i="6060"/>
  <c r="H11" i="6060"/>
  <c r="H18" i="6060"/>
  <c r="H30" i="6060"/>
  <c r="C39" i="6060"/>
  <c r="H50" i="6060"/>
  <c r="H4" i="6060"/>
  <c r="H13" i="6060"/>
  <c r="H44" i="6060"/>
  <c r="H52" i="6060"/>
  <c r="H7" i="6060"/>
  <c r="H24" i="6060"/>
  <c r="H25" i="6060"/>
  <c r="C21" i="6060"/>
  <c r="C25" i="6060"/>
  <c r="H37" i="6060"/>
  <c r="H41" i="6060"/>
  <c r="H45" i="6060"/>
  <c r="H49" i="6060"/>
  <c r="H5" i="6060"/>
  <c r="H10" i="6060"/>
  <c r="H14" i="6060"/>
  <c r="H32" i="6060"/>
  <c r="H16" i="6060"/>
  <c r="C36" i="6060"/>
  <c r="C40" i="6060"/>
  <c r="C44" i="6060"/>
  <c r="C48" i="6060"/>
  <c r="H27" i="6060"/>
  <c r="H33" i="6060"/>
  <c r="H34" i="6060"/>
  <c r="C37" i="6060"/>
  <c r="C41" i="6060"/>
  <c r="C45" i="6060"/>
  <c r="H51" i="6060"/>
  <c r="H15" i="6060"/>
  <c r="C23" i="6060"/>
  <c r="B27" i="6060"/>
  <c r="H35" i="6060"/>
  <c r="H39" i="6060"/>
  <c r="H43" i="6060"/>
  <c r="H47" i="6060"/>
  <c r="B13" i="6054"/>
  <c r="C18" i="6054"/>
  <c r="H10" i="6058"/>
  <c r="H39" i="6058"/>
  <c r="H14" i="6058"/>
  <c r="C36" i="6058"/>
  <c r="C23" i="6058"/>
  <c r="B27" i="6058"/>
  <c r="H44" i="6058"/>
  <c r="H4" i="6058"/>
  <c r="H23" i="6058"/>
  <c r="H43" i="6058"/>
  <c r="H12" i="6058"/>
  <c r="H7" i="6058"/>
  <c r="H8" i="6058"/>
  <c r="C46" i="6058"/>
  <c r="H38" i="6058"/>
  <c r="H31" i="6058"/>
  <c r="C22" i="6058"/>
  <c r="H32" i="6058"/>
  <c r="H33" i="6058"/>
  <c r="H48" i="6058"/>
  <c r="C42" i="6058"/>
  <c r="H49" i="6058"/>
  <c r="H22" i="6058"/>
  <c r="H18" i="6058"/>
  <c r="H40" i="6058"/>
  <c r="H45" i="6058"/>
  <c r="C48" i="6058"/>
  <c r="H6" i="6058"/>
  <c r="C24" i="6058"/>
  <c r="H50" i="6058"/>
  <c r="H11" i="6058"/>
  <c r="C19" i="6058"/>
  <c r="H19" i="6058"/>
  <c r="C38" i="6058"/>
  <c r="H46" i="6058"/>
  <c r="H17" i="6058"/>
  <c r="C25" i="6058"/>
  <c r="H36" i="6058"/>
  <c r="H41" i="6058"/>
  <c r="C44" i="6058"/>
  <c r="H16" i="6058"/>
  <c r="H25" i="6058"/>
  <c r="H2" i="6058"/>
  <c r="H3" i="6058"/>
  <c r="H20" i="6058"/>
  <c r="H28" i="6058"/>
  <c r="H27" i="6058"/>
  <c r="H42" i="6058"/>
  <c r="H30" i="6058"/>
  <c r="H5" i="6058"/>
  <c r="H15" i="6058"/>
  <c r="H9" i="6058"/>
  <c r="H21" i="6058"/>
  <c r="C21" i="6058"/>
  <c r="B26" i="6058"/>
  <c r="C40" i="6058"/>
  <c r="H47" i="6058"/>
  <c r="H52" i="6058"/>
  <c r="H34" i="6058"/>
  <c r="H13" i="6058"/>
  <c r="H29" i="6058"/>
  <c r="H37" i="6058"/>
  <c r="C39" i="6058"/>
  <c r="C43" i="6058"/>
  <c r="C47" i="6058"/>
  <c r="H24" i="6058"/>
  <c r="H26" i="6058"/>
  <c r="H35" i="6058"/>
  <c r="C37" i="6058"/>
  <c r="C41" i="6058"/>
  <c r="C45" i="6058"/>
  <c r="B26" i="6056"/>
  <c r="H23" i="6056"/>
  <c r="H25" i="6056"/>
  <c r="C36" i="6056"/>
  <c r="H45" i="6056"/>
  <c r="C46" i="6056"/>
  <c r="H39" i="6056"/>
  <c r="H14" i="6056"/>
  <c r="H12" i="6056"/>
  <c r="H18" i="6056"/>
  <c r="C38" i="6056"/>
  <c r="H5" i="6056"/>
  <c r="H9" i="6056"/>
  <c r="H11" i="6056"/>
  <c r="C22" i="6056"/>
  <c r="H17" i="6056"/>
  <c r="C40" i="6056"/>
  <c r="H49" i="6056"/>
  <c r="H43" i="6056"/>
  <c r="C44" i="6056"/>
  <c r="H6" i="6056"/>
  <c r="H13" i="6056"/>
  <c r="H3" i="6056"/>
  <c r="H19" i="6056"/>
  <c r="H30" i="6056"/>
  <c r="H32" i="6056"/>
  <c r="H41" i="6056"/>
  <c r="H4" i="6056"/>
  <c r="C19" i="6056"/>
  <c r="H10" i="6056"/>
  <c r="H37" i="6056"/>
  <c r="H47" i="6056"/>
  <c r="H2" i="6056"/>
  <c r="H8" i="6056"/>
  <c r="H28" i="6056"/>
  <c r="C24" i="6056"/>
  <c r="H34" i="6056"/>
  <c r="C42" i="6056"/>
  <c r="H52" i="6056"/>
  <c r="H16" i="6056"/>
  <c r="H29" i="6056"/>
  <c r="H15" i="6056"/>
  <c r="H31" i="6056"/>
  <c r="H35" i="6056"/>
  <c r="C39" i="6056"/>
  <c r="C43" i="6056"/>
  <c r="C47" i="6056"/>
  <c r="H7" i="6056"/>
  <c r="H26" i="6056"/>
  <c r="H27" i="6056"/>
  <c r="C21" i="6056"/>
  <c r="C25" i="6056"/>
  <c r="H36" i="6056"/>
  <c r="H40" i="6056"/>
  <c r="H44" i="6056"/>
  <c r="H48" i="6056"/>
  <c r="C48" i="6056"/>
  <c r="H24" i="6056"/>
  <c r="H21" i="6056"/>
  <c r="H22" i="6056"/>
  <c r="C37" i="6056"/>
  <c r="C41" i="6056"/>
  <c r="C45" i="6056"/>
  <c r="H50" i="6056"/>
  <c r="H20" i="6056"/>
  <c r="C23" i="6056"/>
  <c r="B27" i="6056"/>
  <c r="H33" i="6056"/>
  <c r="H38" i="6056"/>
  <c r="H42" i="6056"/>
  <c r="H46" i="6056"/>
  <c r="H18" i="6054"/>
  <c r="C23" i="6054"/>
  <c r="H9" i="6054"/>
  <c r="H2" i="6054"/>
  <c r="H38" i="6054"/>
  <c r="H30" i="6054"/>
  <c r="H20" i="6054"/>
  <c r="H47" i="6054"/>
  <c r="H42" i="6054"/>
  <c r="H3" i="6054"/>
  <c r="H34" i="6054"/>
  <c r="H22" i="6054"/>
  <c r="C46" i="6054"/>
  <c r="C19" i="6054"/>
  <c r="H49" i="6054"/>
  <c r="H28" i="6054"/>
  <c r="C40" i="6054"/>
  <c r="H7" i="6054"/>
  <c r="H44" i="6054"/>
  <c r="H4" i="6054"/>
  <c r="H11" i="6054"/>
  <c r="H16" i="6054"/>
  <c r="C42" i="6054"/>
  <c r="H15" i="6054"/>
  <c r="B27" i="6054"/>
  <c r="C36" i="6054"/>
  <c r="H45" i="6054"/>
  <c r="H17" i="6054"/>
  <c r="H32" i="6054"/>
  <c r="C48" i="6054"/>
  <c r="H10" i="6054"/>
  <c r="H6" i="6054"/>
  <c r="H12" i="6054"/>
  <c r="H24" i="6054"/>
  <c r="H8" i="6054"/>
  <c r="H46" i="6054"/>
  <c r="H5" i="6054"/>
  <c r="C24" i="6054"/>
  <c r="H48" i="6054"/>
  <c r="H23" i="6054"/>
  <c r="C25" i="6054"/>
  <c r="H33" i="6054"/>
  <c r="C21" i="6054"/>
  <c r="H41" i="6054"/>
  <c r="H13" i="6054"/>
  <c r="C38" i="6054"/>
  <c r="C44" i="6054"/>
  <c r="H52" i="6054"/>
  <c r="H19" i="6054"/>
  <c r="H37" i="6054"/>
  <c r="H14" i="6054"/>
  <c r="H29" i="6054"/>
  <c r="H39" i="6054"/>
  <c r="C39" i="6054"/>
  <c r="C43" i="6054"/>
  <c r="C47" i="6054"/>
  <c r="H26" i="6054"/>
  <c r="H36" i="6054"/>
  <c r="C22" i="6054"/>
  <c r="B26" i="6054"/>
  <c r="H21" i="6054"/>
  <c r="H40" i="6054"/>
  <c r="H43" i="6054"/>
  <c r="H35" i="6054"/>
  <c r="H50" i="6054"/>
  <c r="H25" i="6054"/>
  <c r="H27" i="6054"/>
  <c r="H31" i="6054"/>
  <c r="C37" i="6054"/>
  <c r="C41" i="6054"/>
  <c r="C45" i="605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<sst xmlns="http://schemas.openxmlformats.org/spreadsheetml/2006/main" count="3996" uniqueCount="321">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</sst>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全体!$K$2:$K$1061</c:f>
              <c:numCache>
                <c:formatCode>General</c:formatCode>
                <c:ptCount val="10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</c:numCache>
            </c:numRef>
          </c:xVal>
          <c:yVal>
            <c:numRef>
              <c:f>全体!$L$2:$L$1061</c:f>
              <c:numCache>
                <c:formatCode>\+0.0;\-0.0;\±0</c:formatCode>
                <c:ptCount val="106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7-4EB7-BEDC-9327A40B3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-29.439696106362774</c:v>
                </c:pt>
                <c:pt idx="1">
                  <c:v>7.7294685990338161</c:v>
                </c:pt>
                <c:pt idx="2">
                  <c:v>1.0256410256410255</c:v>
                </c:pt>
                <c:pt idx="3">
                  <c:v>-2.192982456140351</c:v>
                </c:pt>
                <c:pt idx="4">
                  <c:v>10.676156583629894</c:v>
                </c:pt>
                <c:pt idx="5">
                  <c:v>20.114942528735632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1-4BD1-8086-693C34D94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205</c:v>
                </c:pt>
                <c:pt idx="1">
                  <c:v>445</c:v>
                </c:pt>
                <c:pt idx="2">
                  <c:v>499</c:v>
                </c:pt>
                <c:pt idx="3">
                  <c:v>471</c:v>
                </c:pt>
                <c:pt idx="4">
                  <c:v>405</c:v>
                </c:pt>
                <c:pt idx="5">
                  <c:v>272</c:v>
                </c:pt>
                <c:pt idx="6">
                  <c:v>132</c:v>
                </c:pt>
                <c:pt idx="7">
                  <c:v>76</c:v>
                </c:pt>
                <c:pt idx="8">
                  <c:v>35</c:v>
                </c:pt>
                <c:pt idx="9">
                  <c:v>13</c:v>
                </c:pt>
                <c:pt idx="10">
                  <c:v>10</c:v>
                </c:pt>
                <c:pt idx="11">
                  <c:v>6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8-40F9-9062-896B659FE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たかの!$L$2:$L$95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8-45CF-B33D-2B448B49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1841.9354838709678</c:v>
                </c:pt>
                <c:pt idx="1">
                  <c:v>-1781.3186813186812</c:v>
                </c:pt>
                <c:pt idx="2">
                  <c:v>-2753.932584269663</c:v>
                </c:pt>
                <c:pt idx="3">
                  <c:v>-592.77108433734941</c:v>
                </c:pt>
                <c:pt idx="4">
                  <c:v>-1100</c:v>
                </c:pt>
                <c:pt idx="5">
                  <c:v>-2504.5454545454545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DE-4DD1-95BC-F61270625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46</c:v>
                </c:pt>
                <c:pt idx="2">
                  <c:v>48</c:v>
                </c:pt>
                <c:pt idx="3">
                  <c:v>42</c:v>
                </c:pt>
                <c:pt idx="4">
                  <c:v>23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E8-47F9-932F-78C816814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だいち!$K$2:$K$214</c:f>
              <c:numCache>
                <c:formatCode>General</c:formatCode>
                <c:ptCount val="2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</c:numCache>
            </c:numRef>
          </c:xVal>
          <c:yVal>
            <c:numRef>
              <c:f>だいち!$L$2:$L$214</c:f>
              <c:numCache>
                <c:formatCode>\+0.0;\-0.0;\±0</c:formatCode>
                <c:ptCount val="21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A-4043-B415-5F5FC506A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1280.0947867298578</c:v>
                </c:pt>
                <c:pt idx="1">
                  <c:v>1744.2307692307693</c:v>
                </c:pt>
                <c:pt idx="2">
                  <c:v>1350.5</c:v>
                </c:pt>
                <c:pt idx="3">
                  <c:v>136.36363636363637</c:v>
                </c:pt>
                <c:pt idx="4">
                  <c:v>1550</c:v>
                </c:pt>
                <c:pt idx="5">
                  <c:v>1921.8309859154929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E-482E-A8A5-0ED739DDF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55</c:v>
                </c:pt>
                <c:pt idx="1">
                  <c:v>113</c:v>
                </c:pt>
                <c:pt idx="2">
                  <c:v>118</c:v>
                </c:pt>
                <c:pt idx="3">
                  <c:v>109</c:v>
                </c:pt>
                <c:pt idx="4">
                  <c:v>87</c:v>
                </c:pt>
                <c:pt idx="5">
                  <c:v>57</c:v>
                </c:pt>
                <c:pt idx="6">
                  <c:v>27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E-4D48-9C87-CD4741B2C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ただ!$K$2:$K$186</c:f>
              <c:numCache>
                <c:formatCode>General</c:formatCode>
                <c:ptCount val="1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</c:numCache>
            </c:numRef>
          </c:xVal>
          <c:yVal>
            <c:numRef>
              <c:f>ただ!$L$2:$L$186</c:f>
              <c:numCache>
                <c:formatCode>\+0.0;\-0.0;\±0</c:formatCode>
                <c:ptCount val="185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0-4B45-A0E8-12C8F228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-1037.3626373626373</c:v>
                </c:pt>
                <c:pt idx="1">
                  <c:v>1034.63687150838</c:v>
                </c:pt>
                <c:pt idx="2">
                  <c:v>-298.80239520958082</c:v>
                </c:pt>
                <c:pt idx="3">
                  <c:v>10.691823899371069</c:v>
                </c:pt>
                <c:pt idx="4">
                  <c:v>-1001.3698630136986</c:v>
                </c:pt>
                <c:pt idx="5">
                  <c:v>1210.5691056910568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0-4CCB-BFD4-ECF34DDC7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41</c:v>
                </c:pt>
                <c:pt idx="1">
                  <c:v>93</c:v>
                </c:pt>
                <c:pt idx="2">
                  <c:v>102</c:v>
                </c:pt>
                <c:pt idx="3">
                  <c:v>98</c:v>
                </c:pt>
                <c:pt idx="4">
                  <c:v>68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0-4312-B3E3-5E4D8144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りくと!$L$2:$L$106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9-4556-8196-2C146DD15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-624.27184466019412</c:v>
                </c:pt>
                <c:pt idx="1">
                  <c:v>-937.86407766990294</c:v>
                </c:pt>
                <c:pt idx="2">
                  <c:v>632.98969072164948</c:v>
                </c:pt>
                <c:pt idx="3">
                  <c:v>-985.26315789473688</c:v>
                </c:pt>
                <c:pt idx="4">
                  <c:v>-2636.6666666666665</c:v>
                </c:pt>
                <c:pt idx="5">
                  <c:v>-1740.506329113924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6-4F33-8AD3-5C1CA48AE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56</c:v>
                </c:pt>
                <c:pt idx="3">
                  <c:v>39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BA4-9643-71DE8062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れんたろう!$L$2:$L$161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0-42C0-9176-86BFB1990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1745.5696202531647</c:v>
                </c:pt>
                <c:pt idx="1">
                  <c:v>-2301.9480519480521</c:v>
                </c:pt>
                <c:pt idx="2">
                  <c:v>168.57142857142858</c:v>
                </c:pt>
                <c:pt idx="3">
                  <c:v>2275.968992248062</c:v>
                </c:pt>
                <c:pt idx="4">
                  <c:v>1589.7435897435898</c:v>
                </c:pt>
                <c:pt idx="5">
                  <c:v>224.71910112359549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4-4070-945B-06448F60D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29</c:v>
                </c:pt>
                <c:pt idx="2">
                  <c:v>46</c:v>
                </c:pt>
                <c:pt idx="3">
                  <c:v>65</c:v>
                </c:pt>
                <c:pt idx="4">
                  <c:v>76</c:v>
                </c:pt>
                <c:pt idx="5">
                  <c:v>49</c:v>
                </c:pt>
                <c:pt idx="6">
                  <c:v>26</c:v>
                </c:pt>
                <c:pt idx="7">
                  <c:v>24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7-4132-8D9D-A8F10B9B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まっつん!$K$2:$K$160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まっつん!$L$2:$L$160</c:f>
              <c:numCache>
                <c:formatCode>\+0.0;\-0.0;\±0</c:formatCode>
                <c:ptCount val="15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9-492D-87D8-E358F933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-352.53164556962025</c:v>
                </c:pt>
                <c:pt idx="1">
                  <c:v>551.61290322580646</c:v>
                </c:pt>
                <c:pt idx="2">
                  <c:v>234.93150684931507</c:v>
                </c:pt>
                <c:pt idx="3">
                  <c:v>200.75757575757575</c:v>
                </c:pt>
                <c:pt idx="4">
                  <c:v>42.5</c:v>
                </c:pt>
                <c:pt idx="5">
                  <c:v>-770.58823529411768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E-4F80-AC2A-257A0628C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68</c:v>
                </c:pt>
                <c:pt idx="4">
                  <c:v>51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0-4980-A113-0753E5767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のり!$L$2:$L$77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1-4243-B918-750162FEA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-3541.3333333333335</c:v>
                </c:pt>
                <c:pt idx="1">
                  <c:v>1344.5945945945946</c:v>
                </c:pt>
                <c:pt idx="2">
                  <c:v>-1360</c:v>
                </c:pt>
                <c:pt idx="3">
                  <c:v>-1795.2380952380952</c:v>
                </c:pt>
                <c:pt idx="4">
                  <c:v>-1438.9830508474577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D-46D2-B8F2-D1A029BC4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DDC-90CF-48BE406D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A7-4C22-AAAA-B26C681A1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8-4FF2-A439-8059E0B94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C-49E8-ABA4-5DB8A0421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06-47E6-89C0-AD402995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D-4FF8-BE71-74425588A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2-48C1-8FE0-89530D16E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6D-45F2-A7C9-3AED63C14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1F-4C72-B3F6-56DDE682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6-49DB-81C5-657E0E00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5B-44C2-9BA2-C072D76B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1-4347-B1DF-24C6AF77A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8-4D5C-956D-542263754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0D-4315-8B61-AC1FE1950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F-428E-86A4-AD2D72D84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A-4E61-9A8D-7E7C1CF32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D8-4B46-8BBF-4788DB2C8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4-41BB-A309-E80535335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4-43F1-8969-5AE8CE0ED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704148513061227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219214837640441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26621545403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84207557811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59.93084902036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7.2547635850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094428706326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423011844331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487309644670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5945945945945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758369723435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249711870918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24E71A-8584-4A2C-8EB0-557AF0D93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2532FD-6339-480A-A50F-6B8F26085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7F1F25-73C1-4A48-B1B6-453D7300CA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4A0563-4676-4EA5-AD97-A52E5AD33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AD1F6A-3354-4167-95AC-C1E6912785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477C04-19DC-49B7-A917-DB48F16508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E384AD8-AA09-44B8-910D-BB56D0095E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80BB0D-BCB9-4880-8146-B6F9C732E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CADB043-E9AF-40B3-BF23-DCF1BCC17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BDB5C2-1138-4ADB-BC0B-76AE87AF1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A6D0DE-A437-4E5D-8513-D55F36FCC6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8C1B87B-1220-48F9-B970-D6524E4AA0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21BC9B-B81C-4B59-A0C8-FCA76C1DC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B74DDF-1132-48F3-9E9F-B3D904D29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3FECD4-68E1-4793-9FBB-EDD828BD40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4E0C00-9ACF-48D1-904E-0AC604130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251C92-2392-491E-B948-A2CCE9B3F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5177F90-3B68-454B-A580-7EBF237A4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1E686D-2AD7-40A2-9960-9CCF5442B3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F870A4-CCB7-4B17-9684-179808E38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23A2A3-7A26-40B4-BE9F-CCF18161B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951302-BD7E-4F52-B0D0-8997B6D81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3E7D454-43E8-4BA3-8BE4-A04E2761A1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E4E59EE-96D9-4718-8E56-5067F0E1D1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793E1B-DB96-4102-A200-521FF1C54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B0104AA-8C72-4606-8FC8-018D1AE87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9E4C4D2-F04D-43CF-83C3-C0D0E9041B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ABD991-AADD-461D-8F1B-406A9D474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65DC37-56A9-41F5-9BC9-A65D78B04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CFAF511-634B-4447-B42D-2114FB789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793438-CBB3-49DD-B352-3152D59714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49D3B4-625C-4533-9E9B-C74D745135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166D92D-6644-4D4E-A9FC-229A09FA49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863A7B-A7E0-49B5-92ED-3CCC53C7F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0446D95-1F11-4934-81EA-25F8E0FE8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2B8E314-7959-454C-8F8E-DE8AEFDF3D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50EE9D-5B9A-4FDF-A397-AE43AD59DA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CC5375-F677-4523-86BD-3787D04BE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2A7E2F0-C721-4EFD-8D10-61D76E172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C81E2D-04C7-43A9-BF38-237A9B7227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BB2B73-9A8F-4587-AB51-14754538E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709FCA8-3CEC-4E1E-98E7-8E2215CE6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3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6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1059</v>
      </c>
    </row>
    <row r="2" spans="1:2" x14ac:dyDescent="0.45">
      <c r="A2" t="s">
        <v>158</v>
      </c>
      <c r="B2">
        <v>93</v>
      </c>
    </row>
    <row r="3" spans="1:2" x14ac:dyDescent="0.45">
      <c r="A3" t="s">
        <v>126</v>
      </c>
      <c r="B3">
        <v>212</v>
      </c>
    </row>
    <row r="4" spans="1:2" x14ac:dyDescent="0.45">
      <c r="A4" t="s">
        <v>127</v>
      </c>
      <c r="B4">
        <v>184</v>
      </c>
    </row>
    <row r="5" spans="1:2" x14ac:dyDescent="0.45">
      <c r="A5" t="s">
        <v>169</v>
      </c>
      <c r="B5">
        <v>104</v>
      </c>
    </row>
    <row r="6" spans="1:2" x14ac:dyDescent="0.45">
      <c r="A6" t="s">
        <v>167</v>
      </c>
      <c r="B6">
        <v>159</v>
      </c>
    </row>
    <row r="7" spans="1:2" x14ac:dyDescent="0.45">
      <c r="A7" t="s">
        <v>168</v>
      </c>
      <c r="B7">
        <v>158</v>
      </c>
    </row>
    <row r="8" spans="1:2" x14ac:dyDescent="0.45">
      <c r="A8" t="s">
        <v>195</v>
      </c>
      <c r="B8">
        <v>75</v>
      </c>
    </row>
    <row r="9" spans="1:2" x14ac:dyDescent="0.45">
      <c r="A9" t="s">
        <v>194</v>
      </c>
      <c r="B9">
        <v>32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18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/>
      <c r="C1" s="128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0</v>
      </c>
      <c r="C2" s="13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1">
        <v>0</v>
      </c>
      <c r="C3" s="13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3">
        <v>0</v>
      </c>
      <c r="C4" s="13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1">
        <f>IF(B$2=0,0,B$4/B$2)</f>
        <v>0</v>
      </c>
      <c r="C5" s="12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5">
        <f>IF(B$2=0,0,(B$7*1+B$8*2+B$9*3)/B$2)</f>
        <v>0</v>
      </c>
      <c r="C6" s="13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3">
        <v>0</v>
      </c>
      <c r="C32" s="12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5">
        <v>-1000000</v>
      </c>
      <c r="C33" s="12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49" customWidth="1"/>
    <col min="3" max="3" width="10.69921875" style="50" customWidth="1"/>
    <col min="4" max="4" width="10.69921875" style="51" customWidth="1"/>
    <col min="5" max="5" width="10.69921875" style="63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52" customWidth="1"/>
    <col min="10" max="10" width="10.69921875" style="51" customWidth="1"/>
    <col min="11" max="11" width="10.69921875" style="53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4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5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3" customWidth="1"/>
    <col min="24" max="24" width="10.69921875" style="51" customWidth="1"/>
    <col min="25" max="25" width="10.69921875" style="54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8" customWidth="1"/>
    <col min="36" max="16384" width="9" style="39"/>
  </cols>
  <sheetData>
    <row r="1" spans="1:35" x14ac:dyDescent="0.45">
      <c r="A1" s="38"/>
      <c r="B1" s="139" t="s">
        <v>6</v>
      </c>
      <c r="C1" s="140"/>
      <c r="D1" s="139" t="s">
        <v>7</v>
      </c>
      <c r="E1" s="140"/>
      <c r="F1" s="143" t="s">
        <v>206</v>
      </c>
      <c r="G1" s="144"/>
      <c r="H1" s="139" t="s">
        <v>15</v>
      </c>
      <c r="I1" s="140"/>
      <c r="J1" s="139" t="s">
        <v>14</v>
      </c>
      <c r="K1" s="140"/>
      <c r="L1" s="139" t="s">
        <v>152</v>
      </c>
      <c r="M1" s="140"/>
      <c r="N1" s="139" t="s">
        <v>145</v>
      </c>
      <c r="O1" s="140"/>
      <c r="P1" s="139" t="s">
        <v>146</v>
      </c>
      <c r="Q1" s="140"/>
      <c r="R1" s="139" t="s">
        <v>5</v>
      </c>
      <c r="S1" s="140"/>
      <c r="T1" s="139" t="s">
        <v>16</v>
      </c>
      <c r="U1" s="140"/>
      <c r="V1" s="139" t="s">
        <v>17</v>
      </c>
      <c r="W1" s="140"/>
      <c r="X1" s="139" t="s">
        <v>122</v>
      </c>
      <c r="Y1" s="140"/>
      <c r="Z1" s="139" t="s">
        <v>119</v>
      </c>
      <c r="AA1" s="140"/>
      <c r="AB1" s="139" t="s">
        <v>125</v>
      </c>
      <c r="AC1" s="140"/>
      <c r="AD1" s="139" t="s">
        <v>147</v>
      </c>
      <c r="AE1" s="140"/>
      <c r="AF1" s="139" t="s">
        <v>140</v>
      </c>
      <c r="AG1" s="140"/>
      <c r="AH1" s="139" t="s">
        <v>189</v>
      </c>
      <c r="AI1" s="140"/>
    </row>
    <row r="2" spans="1:35" x14ac:dyDescent="0.45">
      <c r="A2" s="38" t="s">
        <v>151</v>
      </c>
      <c r="B2" s="141"/>
      <c r="C2" s="142"/>
      <c r="D2" s="141"/>
      <c r="E2" s="142"/>
      <c r="F2" s="137">
        <v>0.71533322653203513</v>
      </c>
      <c r="G2" s="138"/>
      <c r="H2" s="137">
        <v>0.97591429084351322</v>
      </c>
      <c r="I2" s="138"/>
      <c r="J2" s="137">
        <v>0.83354586570756506</v>
      </c>
      <c r="K2" s="138"/>
      <c r="L2" s="137">
        <v>0.67758834715888205</v>
      </c>
      <c r="M2" s="138"/>
      <c r="N2" s="137">
        <v>0.60979774021099398</v>
      </c>
      <c r="O2" s="138"/>
      <c r="P2" s="137">
        <v>0.29130387916179601</v>
      </c>
      <c r="Q2" s="138"/>
      <c r="R2" s="137">
        <v>0.43505999062108774</v>
      </c>
      <c r="S2" s="138"/>
      <c r="T2" s="137">
        <v>-0.10156262698679415</v>
      </c>
      <c r="U2" s="138"/>
      <c r="V2" s="137">
        <v>0.34236394369393047</v>
      </c>
      <c r="W2" s="138"/>
      <c r="X2" s="137">
        <v>0.39892286904404978</v>
      </c>
      <c r="Y2" s="138"/>
      <c r="Z2" s="137">
        <v>3.8075217930962925E-3</v>
      </c>
      <c r="AA2" s="138"/>
      <c r="AB2" s="137">
        <v>0.48342298687021268</v>
      </c>
      <c r="AC2" s="138"/>
      <c r="AD2" s="137">
        <v>0.11320231629340488</v>
      </c>
      <c r="AE2" s="138"/>
      <c r="AF2" s="137">
        <v>-9.1263519972759638E-2</v>
      </c>
      <c r="AG2" s="138"/>
      <c r="AH2" s="137">
        <v>0.73024588032640603</v>
      </c>
      <c r="AI2" s="138"/>
    </row>
    <row r="3" spans="1:35" x14ac:dyDescent="0.45">
      <c r="A3" s="40">
        <v>1</v>
      </c>
      <c r="B3" s="41" t="s">
        <v>126</v>
      </c>
      <c r="C3" s="42">
        <v>2015.3999999999999</v>
      </c>
      <c r="D3" s="43" t="s">
        <v>202</v>
      </c>
      <c r="E3" s="62">
        <v>13.1</v>
      </c>
      <c r="F3" s="43" t="s">
        <v>202</v>
      </c>
      <c r="G3" s="62">
        <v>8.7333333333333325</v>
      </c>
      <c r="H3" s="43" t="s">
        <v>202</v>
      </c>
      <c r="I3" s="44">
        <v>1.5</v>
      </c>
      <c r="J3" s="43" t="s">
        <v>282</v>
      </c>
      <c r="K3" s="45">
        <v>0.5</v>
      </c>
      <c r="L3" s="43" t="s">
        <v>202</v>
      </c>
      <c r="M3" s="45">
        <v>0</v>
      </c>
      <c r="N3" s="43" t="s">
        <v>202</v>
      </c>
      <c r="O3" s="46">
        <v>0.46666666666666667</v>
      </c>
      <c r="P3" s="43" t="s">
        <v>202</v>
      </c>
      <c r="Q3" s="46">
        <v>6.6666666666666666E-2</v>
      </c>
      <c r="R3" s="43" t="s">
        <v>167</v>
      </c>
      <c r="S3" s="47">
        <v>11125.141242937852</v>
      </c>
      <c r="T3" s="43" t="s">
        <v>194</v>
      </c>
      <c r="U3" s="47">
        <v>-7102</v>
      </c>
      <c r="V3" s="43" t="s">
        <v>202</v>
      </c>
      <c r="W3" s="45">
        <v>0</v>
      </c>
      <c r="X3" s="43" t="s">
        <v>282</v>
      </c>
      <c r="Y3" s="46">
        <v>0.38461538461538464</v>
      </c>
      <c r="Z3" s="43" t="s">
        <v>201</v>
      </c>
      <c r="AA3" s="46">
        <v>0.35483870967741937</v>
      </c>
      <c r="AB3" s="43" t="s">
        <v>282</v>
      </c>
      <c r="AC3" s="46">
        <v>0.6333333333333333</v>
      </c>
      <c r="AD3" s="43" t="s">
        <v>202</v>
      </c>
      <c r="AE3" s="46">
        <v>1</v>
      </c>
      <c r="AF3" s="43" t="s">
        <v>194</v>
      </c>
      <c r="AG3" s="46">
        <v>0.58441558441558439</v>
      </c>
      <c r="AH3" s="43" t="s">
        <v>126</v>
      </c>
      <c r="AI3" s="57">
        <v>149100</v>
      </c>
    </row>
    <row r="4" spans="1:35" x14ac:dyDescent="0.45">
      <c r="A4" s="48">
        <v>2</v>
      </c>
      <c r="B4" s="49" t="s">
        <v>167</v>
      </c>
      <c r="C4" s="50">
        <v>699.60000000000048</v>
      </c>
      <c r="D4" s="51" t="s">
        <v>126</v>
      </c>
      <c r="E4" s="63">
        <v>9.5066037735849047</v>
      </c>
      <c r="F4" s="51" t="s">
        <v>168</v>
      </c>
      <c r="G4" s="63">
        <v>1.4384440909626477</v>
      </c>
      <c r="H4" s="51" t="s">
        <v>126</v>
      </c>
      <c r="I4" s="52">
        <v>1.7594339622641511</v>
      </c>
      <c r="J4" s="51" t="s">
        <v>202</v>
      </c>
      <c r="K4" s="53">
        <v>0.5</v>
      </c>
      <c r="L4" s="51" t="s">
        <v>126</v>
      </c>
      <c r="M4" s="53">
        <v>0.23584905660377359</v>
      </c>
      <c r="N4" s="51" t="s">
        <v>275</v>
      </c>
      <c r="O4" s="54">
        <v>0.34838709677419355</v>
      </c>
      <c r="P4" s="51" t="s">
        <v>126</v>
      </c>
      <c r="Q4" s="54">
        <v>0.12322544009085747</v>
      </c>
      <c r="R4" s="51" t="s">
        <v>282</v>
      </c>
      <c r="S4" s="55">
        <v>9534.6153846153848</v>
      </c>
      <c r="T4" s="51" t="s">
        <v>168</v>
      </c>
      <c r="U4" s="55">
        <v>-7164.0883977900548</v>
      </c>
      <c r="V4" s="51" t="s">
        <v>126</v>
      </c>
      <c r="W4" s="53">
        <v>4.716981132075472E-2</v>
      </c>
      <c r="X4" s="51" t="s">
        <v>281</v>
      </c>
      <c r="Y4" s="54">
        <v>0.375</v>
      </c>
      <c r="Z4" s="51" t="s">
        <v>202</v>
      </c>
      <c r="AA4" s="54">
        <v>0.33333333333333331</v>
      </c>
      <c r="AB4" s="51" t="s">
        <v>126</v>
      </c>
      <c r="AC4" s="54">
        <v>0.58458244111349034</v>
      </c>
      <c r="AD4" s="51" t="s">
        <v>275</v>
      </c>
      <c r="AE4" s="54">
        <v>0.68421052631578949</v>
      </c>
      <c r="AF4" s="51" t="s">
        <v>275</v>
      </c>
      <c r="AG4" s="54">
        <v>0.53703703703703709</v>
      </c>
      <c r="AH4" s="51" t="s">
        <v>141</v>
      </c>
      <c r="AI4" s="58">
        <v>149100</v>
      </c>
    </row>
    <row r="5" spans="1:35" x14ac:dyDescent="0.45">
      <c r="A5" s="48">
        <v>3</v>
      </c>
      <c r="B5" s="49" t="s">
        <v>202</v>
      </c>
      <c r="C5" s="50">
        <v>26.2</v>
      </c>
      <c r="D5" s="51" t="s">
        <v>167</v>
      </c>
      <c r="E5" s="63">
        <v>4.400000000000003</v>
      </c>
      <c r="F5" s="51" t="s">
        <v>126</v>
      </c>
      <c r="G5" s="63">
        <v>1.3939457880214168</v>
      </c>
      <c r="H5" s="51" t="s">
        <v>167</v>
      </c>
      <c r="I5" s="52">
        <v>1.9245283018867925</v>
      </c>
      <c r="J5" s="51" t="s">
        <v>126</v>
      </c>
      <c r="K5" s="53">
        <v>0.47641509433962265</v>
      </c>
      <c r="L5" s="51" t="s">
        <v>168</v>
      </c>
      <c r="M5" s="53">
        <v>0.30379746835443039</v>
      </c>
      <c r="N5" s="51" t="s">
        <v>126</v>
      </c>
      <c r="O5" s="54">
        <v>0.34241908006814309</v>
      </c>
      <c r="P5" s="51" t="s">
        <v>168</v>
      </c>
      <c r="Q5" s="54">
        <v>0.14173844949099451</v>
      </c>
      <c r="R5" s="51" t="s">
        <v>168</v>
      </c>
      <c r="S5" s="55">
        <v>8560.7344632768363</v>
      </c>
      <c r="T5" s="51" t="s">
        <v>126</v>
      </c>
      <c r="U5" s="55">
        <v>-7690.7834101382487</v>
      </c>
      <c r="V5" s="51" t="s">
        <v>169</v>
      </c>
      <c r="W5" s="53">
        <v>7.6923076923076927E-2</v>
      </c>
      <c r="X5" s="51" t="s">
        <v>275</v>
      </c>
      <c r="Y5" s="54">
        <v>0.34838709677419355</v>
      </c>
      <c r="Z5" s="51" t="s">
        <v>127</v>
      </c>
      <c r="AA5" s="54">
        <v>0.2983028720626632</v>
      </c>
      <c r="AB5" s="51" t="s">
        <v>275</v>
      </c>
      <c r="AC5" s="54">
        <v>0.57407407407407407</v>
      </c>
      <c r="AD5" s="51" t="s">
        <v>126</v>
      </c>
      <c r="AE5" s="54">
        <v>0.47980997624703087</v>
      </c>
      <c r="AF5" s="51" t="s">
        <v>167</v>
      </c>
      <c r="AG5" s="54">
        <v>0.51412429378531077</v>
      </c>
      <c r="AH5" s="51" t="s">
        <v>167</v>
      </c>
      <c r="AI5" s="58">
        <v>122100</v>
      </c>
    </row>
    <row r="6" spans="1:35" x14ac:dyDescent="0.45">
      <c r="A6" s="48">
        <v>4</v>
      </c>
      <c r="B6" s="49" t="s">
        <v>282</v>
      </c>
      <c r="C6" s="50">
        <v>9.2999999999999972</v>
      </c>
      <c r="D6" s="51" t="s">
        <v>282</v>
      </c>
      <c r="E6" s="63">
        <v>0.92999999999999972</v>
      </c>
      <c r="F6" s="51" t="s">
        <v>167</v>
      </c>
      <c r="G6" s="63">
        <v>1.3178711484593773</v>
      </c>
      <c r="H6" s="51" t="s">
        <v>127</v>
      </c>
      <c r="I6" s="52">
        <v>1.9782608695652173</v>
      </c>
      <c r="J6" s="51" t="s">
        <v>201</v>
      </c>
      <c r="K6" s="53">
        <v>0.42857142857142855</v>
      </c>
      <c r="L6" s="51" t="s">
        <v>127</v>
      </c>
      <c r="M6" s="53">
        <v>0.31521739130434784</v>
      </c>
      <c r="N6" s="51" t="s">
        <v>282</v>
      </c>
      <c r="O6" s="54">
        <v>0.33333333333333331</v>
      </c>
      <c r="P6" s="51" t="s">
        <v>141</v>
      </c>
      <c r="Q6" s="54">
        <v>0.15984207557811619</v>
      </c>
      <c r="R6" s="51" t="s">
        <v>195</v>
      </c>
      <c r="S6" s="55">
        <v>8516.339869281046</v>
      </c>
      <c r="T6" s="51" t="s">
        <v>158</v>
      </c>
      <c r="U6" s="55">
        <v>-7708.8888888888887</v>
      </c>
      <c r="V6" s="51" t="s">
        <v>168</v>
      </c>
      <c r="W6" s="53">
        <v>8.2278481012658222E-2</v>
      </c>
      <c r="X6" s="51" t="s">
        <v>167</v>
      </c>
      <c r="Y6" s="54">
        <v>0.29471228615863143</v>
      </c>
      <c r="Z6" s="51" t="s">
        <v>158</v>
      </c>
      <c r="AA6" s="54">
        <v>0.26322115384615385</v>
      </c>
      <c r="AB6" s="51" t="s">
        <v>194</v>
      </c>
      <c r="AC6" s="54">
        <v>0.5662650602409639</v>
      </c>
      <c r="AD6" s="51" t="s">
        <v>168</v>
      </c>
      <c r="AE6" s="54">
        <v>0.41979522184300339</v>
      </c>
      <c r="AF6" s="51" t="s">
        <v>169</v>
      </c>
      <c r="AG6" s="54">
        <v>0.47302904564315351</v>
      </c>
      <c r="AH6" s="51" t="s">
        <v>168</v>
      </c>
      <c r="AI6" s="58">
        <v>101400</v>
      </c>
    </row>
    <row r="7" spans="1:35" x14ac:dyDescent="0.45">
      <c r="A7" s="48">
        <v>5</v>
      </c>
      <c r="B7" s="49" t="s">
        <v>141</v>
      </c>
      <c r="C7" s="50">
        <v>-8.7041485130612273E-14</v>
      </c>
      <c r="D7" s="51" t="s">
        <v>141</v>
      </c>
      <c r="E7" s="63">
        <v>-8.2192148376404417E-17</v>
      </c>
      <c r="F7" s="51" t="s">
        <v>282</v>
      </c>
      <c r="G7" s="63">
        <v>0.61999999999999977</v>
      </c>
      <c r="H7" s="51" t="s">
        <v>194</v>
      </c>
      <c r="I7" s="52">
        <v>2</v>
      </c>
      <c r="J7" s="51" t="s">
        <v>167</v>
      </c>
      <c r="K7" s="53">
        <v>0.39622641509433965</v>
      </c>
      <c r="L7" s="51" t="s">
        <v>167</v>
      </c>
      <c r="M7" s="53">
        <v>0.32075471698113206</v>
      </c>
      <c r="N7" s="51" t="s">
        <v>127</v>
      </c>
      <c r="O7" s="54">
        <v>0.31592689295039167</v>
      </c>
      <c r="P7" s="51" t="s">
        <v>275</v>
      </c>
      <c r="Q7" s="54">
        <v>0.16129032258064516</v>
      </c>
      <c r="R7" s="51" t="s">
        <v>281</v>
      </c>
      <c r="S7" s="55">
        <v>8512.5</v>
      </c>
      <c r="T7" s="51" t="s">
        <v>169</v>
      </c>
      <c r="U7" s="55">
        <v>-7790.9638554216872</v>
      </c>
      <c r="V7" s="51" t="s">
        <v>158</v>
      </c>
      <c r="W7" s="53">
        <v>9.6774193548387094E-2</v>
      </c>
      <c r="X7" s="51" t="s">
        <v>194</v>
      </c>
      <c r="Y7" s="54">
        <v>0.27852348993288589</v>
      </c>
      <c r="Z7" s="51" t="s">
        <v>126</v>
      </c>
      <c r="AA7" s="54">
        <v>0.23906871095968199</v>
      </c>
      <c r="AB7" s="51" t="s">
        <v>141</v>
      </c>
      <c r="AC7" s="54">
        <v>0.54594594594594592</v>
      </c>
      <c r="AD7" s="51" t="s">
        <v>141</v>
      </c>
      <c r="AE7" s="54">
        <v>0.41775836972343522</v>
      </c>
      <c r="AF7" s="51" t="s">
        <v>282</v>
      </c>
      <c r="AG7" s="54">
        <v>0.46153846153846156</v>
      </c>
      <c r="AH7" s="51" t="s">
        <v>194</v>
      </c>
      <c r="AI7" s="58">
        <v>95200</v>
      </c>
    </row>
    <row r="8" spans="1:35" x14ac:dyDescent="0.45">
      <c r="A8" s="48">
        <v>6</v>
      </c>
      <c r="B8" s="49" t="s">
        <v>127</v>
      </c>
      <c r="C8" s="50">
        <v>-27.200000000000216</v>
      </c>
      <c r="D8" s="51" t="s">
        <v>127</v>
      </c>
      <c r="E8" s="63">
        <v>-0.14782608695652291</v>
      </c>
      <c r="F8" s="51" t="s">
        <v>141</v>
      </c>
      <c r="G8" s="63">
        <v>0</v>
      </c>
      <c r="H8" s="51" t="s">
        <v>282</v>
      </c>
      <c r="I8" s="52">
        <v>2</v>
      </c>
      <c r="J8" s="51" t="s">
        <v>194</v>
      </c>
      <c r="K8" s="53">
        <v>0.375</v>
      </c>
      <c r="L8" s="51" t="s">
        <v>141</v>
      </c>
      <c r="M8" s="53">
        <v>0.33333333333333331</v>
      </c>
      <c r="N8" s="51" t="s">
        <v>141</v>
      </c>
      <c r="O8" s="54">
        <v>0.29362662154540325</v>
      </c>
      <c r="P8" s="51" t="s">
        <v>158</v>
      </c>
      <c r="Q8" s="54">
        <v>0.16225961538461539</v>
      </c>
      <c r="R8" s="51" t="s">
        <v>141</v>
      </c>
      <c r="S8" s="55">
        <v>8459.9308490203603</v>
      </c>
      <c r="T8" s="51" t="s">
        <v>141</v>
      </c>
      <c r="U8" s="55">
        <v>-7867.2547635850387</v>
      </c>
      <c r="V8" s="51" t="s">
        <v>141</v>
      </c>
      <c r="W8" s="53">
        <v>0.10009442870632672</v>
      </c>
      <c r="X8" s="51" t="s">
        <v>169</v>
      </c>
      <c r="Y8" s="54">
        <v>0.27624309392265195</v>
      </c>
      <c r="Z8" s="51" t="s">
        <v>141</v>
      </c>
      <c r="AA8" s="54">
        <v>0.23248730964467004</v>
      </c>
      <c r="AB8" s="51" t="s">
        <v>168</v>
      </c>
      <c r="AC8" s="54">
        <v>0.54268292682926833</v>
      </c>
      <c r="AD8" s="51" t="s">
        <v>127</v>
      </c>
      <c r="AE8" s="54">
        <v>0.40262582056892782</v>
      </c>
      <c r="AF8" s="51" t="s">
        <v>168</v>
      </c>
      <c r="AG8" s="54">
        <v>0.46045197740112992</v>
      </c>
      <c r="AH8" s="51" t="s">
        <v>127</v>
      </c>
      <c r="AI8" s="58">
        <v>91800</v>
      </c>
    </row>
    <row r="9" spans="1:35" x14ac:dyDescent="0.45">
      <c r="A9" s="48">
        <v>7</v>
      </c>
      <c r="B9" s="49" t="s">
        <v>275</v>
      </c>
      <c r="C9" s="50">
        <v>-55.6</v>
      </c>
      <c r="D9" s="51" t="s">
        <v>168</v>
      </c>
      <c r="E9" s="63">
        <v>-0.38037974683544301</v>
      </c>
      <c r="F9" s="51" t="s">
        <v>195</v>
      </c>
      <c r="G9" s="63">
        <v>-0.88347996089931746</v>
      </c>
      <c r="H9" s="51" t="s">
        <v>141</v>
      </c>
      <c r="I9" s="52">
        <v>2</v>
      </c>
      <c r="J9" s="51" t="s">
        <v>127</v>
      </c>
      <c r="K9" s="53">
        <v>0.33695652173913043</v>
      </c>
      <c r="L9" s="51" t="s">
        <v>194</v>
      </c>
      <c r="M9" s="53">
        <v>0.375</v>
      </c>
      <c r="N9" s="51" t="s">
        <v>168</v>
      </c>
      <c r="O9" s="54">
        <v>0.27721221613155833</v>
      </c>
      <c r="P9" s="51" t="s">
        <v>194</v>
      </c>
      <c r="Q9" s="54">
        <v>0.16778523489932887</v>
      </c>
      <c r="R9" s="51" t="s">
        <v>126</v>
      </c>
      <c r="S9" s="55">
        <v>8295.0248756218898</v>
      </c>
      <c r="T9" s="51" t="s">
        <v>127</v>
      </c>
      <c r="U9" s="55">
        <v>-7954.8507462686566</v>
      </c>
      <c r="V9" s="51" t="s">
        <v>127</v>
      </c>
      <c r="W9" s="53">
        <v>0.10326086956521739</v>
      </c>
      <c r="X9" s="51" t="s">
        <v>202</v>
      </c>
      <c r="Y9" s="54">
        <v>0.26666666666666666</v>
      </c>
      <c r="Z9" s="51" t="s">
        <v>168</v>
      </c>
      <c r="AA9" s="54">
        <v>0.22944400939702428</v>
      </c>
      <c r="AB9" s="51" t="s">
        <v>167</v>
      </c>
      <c r="AC9" s="54">
        <v>0.54089709762532978</v>
      </c>
      <c r="AD9" s="51" t="s">
        <v>195</v>
      </c>
      <c r="AE9" s="54">
        <v>0.39860139860139859</v>
      </c>
      <c r="AF9" s="51" t="s">
        <v>195</v>
      </c>
      <c r="AG9" s="54">
        <v>0.45751633986928103</v>
      </c>
      <c r="AH9" s="51" t="s">
        <v>158</v>
      </c>
      <c r="AI9" s="58">
        <v>87400</v>
      </c>
    </row>
    <row r="10" spans="1:35" x14ac:dyDescent="0.45">
      <c r="A10" s="48">
        <v>8</v>
      </c>
      <c r="B10" s="49" t="s">
        <v>168</v>
      </c>
      <c r="C10" s="50">
        <v>-60.099999999999994</v>
      </c>
      <c r="D10" s="51" t="s">
        <v>194</v>
      </c>
      <c r="E10" s="63">
        <v>-3.0218749999999992</v>
      </c>
      <c r="F10" s="51" t="s">
        <v>127</v>
      </c>
      <c r="G10" s="63">
        <v>-0.92809719132368451</v>
      </c>
      <c r="H10" s="51" t="s">
        <v>168</v>
      </c>
      <c r="I10" s="52">
        <v>2.0443037974683542</v>
      </c>
      <c r="J10" s="51" t="s">
        <v>275</v>
      </c>
      <c r="K10" s="53">
        <v>0.33333333333333331</v>
      </c>
      <c r="L10" s="51" t="s">
        <v>275</v>
      </c>
      <c r="M10" s="53">
        <v>0.3888888888888889</v>
      </c>
      <c r="N10" s="51" t="s">
        <v>167</v>
      </c>
      <c r="O10" s="54">
        <v>0.27527216174183516</v>
      </c>
      <c r="P10" s="51" t="s">
        <v>167</v>
      </c>
      <c r="Q10" s="54">
        <v>0.17107309486780714</v>
      </c>
      <c r="R10" s="51" t="s">
        <v>194</v>
      </c>
      <c r="S10" s="55">
        <v>8164.9350649350654</v>
      </c>
      <c r="T10" s="51" t="s">
        <v>281</v>
      </c>
      <c r="U10" s="55">
        <v>-7987.5</v>
      </c>
      <c r="V10" s="51" t="s">
        <v>167</v>
      </c>
      <c r="W10" s="53">
        <v>0.11949685534591195</v>
      </c>
      <c r="X10" s="51" t="s">
        <v>126</v>
      </c>
      <c r="Y10" s="54">
        <v>0.26519023282226006</v>
      </c>
      <c r="Z10" s="51" t="s">
        <v>195</v>
      </c>
      <c r="AA10" s="54">
        <v>0.22916666666666666</v>
      </c>
      <c r="AB10" s="51" t="s">
        <v>169</v>
      </c>
      <c r="AC10" s="54">
        <v>0.54</v>
      </c>
      <c r="AD10" s="51" t="s">
        <v>158</v>
      </c>
      <c r="AE10" s="54">
        <v>0.39726027397260272</v>
      </c>
      <c r="AF10" s="51" t="s">
        <v>141</v>
      </c>
      <c r="AG10" s="54">
        <v>0.45024971187091817</v>
      </c>
      <c r="AH10" s="51" t="s">
        <v>195</v>
      </c>
      <c r="AI10" s="58">
        <v>85100</v>
      </c>
    </row>
    <row r="11" spans="1:35" x14ac:dyDescent="0.45">
      <c r="A11" s="48">
        <v>9</v>
      </c>
      <c r="B11" s="49" t="s">
        <v>281</v>
      </c>
      <c r="C11" s="50">
        <v>-80.800000000000011</v>
      </c>
      <c r="D11" s="51" t="s">
        <v>275</v>
      </c>
      <c r="E11" s="63">
        <v>-3.088888888888889</v>
      </c>
      <c r="F11" s="51" t="s">
        <v>275</v>
      </c>
      <c r="G11" s="63">
        <v>-0.98952380952380992</v>
      </c>
      <c r="H11" s="51" t="s">
        <v>275</v>
      </c>
      <c r="I11" s="52">
        <v>2.0555555555555554</v>
      </c>
      <c r="J11" s="51" t="s">
        <v>141</v>
      </c>
      <c r="K11" s="53">
        <v>0.33333333333333331</v>
      </c>
      <c r="L11" s="51" t="s">
        <v>281</v>
      </c>
      <c r="M11" s="53">
        <v>0.4</v>
      </c>
      <c r="N11" s="51" t="s">
        <v>158</v>
      </c>
      <c r="O11" s="54">
        <v>0.27283653846153844</v>
      </c>
      <c r="P11" s="51" t="s">
        <v>127</v>
      </c>
      <c r="Q11" s="54">
        <v>0.17493472584856398</v>
      </c>
      <c r="R11" s="51" t="s">
        <v>169</v>
      </c>
      <c r="S11" s="55">
        <v>7848.1327800829877</v>
      </c>
      <c r="T11" s="51" t="s">
        <v>202</v>
      </c>
      <c r="U11" s="55">
        <v>-8000</v>
      </c>
      <c r="V11" s="51" t="s">
        <v>194</v>
      </c>
      <c r="W11" s="53">
        <v>0.15625</v>
      </c>
      <c r="X11" s="51" t="s">
        <v>168</v>
      </c>
      <c r="Y11" s="54">
        <v>0.25685199686765858</v>
      </c>
      <c r="Z11" s="51" t="s">
        <v>169</v>
      </c>
      <c r="AA11" s="54">
        <v>0.19337016574585636</v>
      </c>
      <c r="AB11" s="51" t="s">
        <v>201</v>
      </c>
      <c r="AC11" s="54">
        <v>0.53333333333333333</v>
      </c>
      <c r="AD11" s="51" t="s">
        <v>169</v>
      </c>
      <c r="AE11" s="54">
        <v>0.39428571428571429</v>
      </c>
      <c r="AF11" s="51" t="s">
        <v>158</v>
      </c>
      <c r="AG11" s="54">
        <v>0.42290748898678415</v>
      </c>
      <c r="AH11" s="51" t="s">
        <v>282</v>
      </c>
      <c r="AI11" s="58">
        <v>70900</v>
      </c>
    </row>
    <row r="12" spans="1:35" x14ac:dyDescent="0.45">
      <c r="A12" s="48">
        <v>10</v>
      </c>
      <c r="B12" s="49" t="s">
        <v>194</v>
      </c>
      <c r="C12" s="50">
        <v>-96.699999999999974</v>
      </c>
      <c r="D12" s="51" t="s">
        <v>169</v>
      </c>
      <c r="E12" s="63">
        <v>-7.3278846153846153</v>
      </c>
      <c r="F12" s="51" t="s">
        <v>158</v>
      </c>
      <c r="G12" s="63">
        <v>-1.9166251129177947</v>
      </c>
      <c r="H12" s="51" t="s">
        <v>201</v>
      </c>
      <c r="I12" s="52">
        <v>2.1428571428571428</v>
      </c>
      <c r="J12" s="51" t="s">
        <v>158</v>
      </c>
      <c r="K12" s="53">
        <v>0.26881720430107525</v>
      </c>
      <c r="L12" s="51" t="s">
        <v>169</v>
      </c>
      <c r="M12" s="53">
        <v>0.40384615384615385</v>
      </c>
      <c r="N12" s="51" t="s">
        <v>169</v>
      </c>
      <c r="O12" s="54">
        <v>0.26629834254143647</v>
      </c>
      <c r="P12" s="51" t="s">
        <v>169</v>
      </c>
      <c r="Q12" s="54">
        <v>0.18342541436464088</v>
      </c>
      <c r="R12" s="51" t="s">
        <v>127</v>
      </c>
      <c r="S12" s="55">
        <v>7823.3471074380168</v>
      </c>
      <c r="T12" s="51" t="s">
        <v>195</v>
      </c>
      <c r="U12" s="55">
        <v>-8213.9130434782601</v>
      </c>
      <c r="V12" s="51" t="s">
        <v>275</v>
      </c>
      <c r="W12" s="53">
        <v>0.16666666666666666</v>
      </c>
      <c r="X12" s="51" t="s">
        <v>141</v>
      </c>
      <c r="Y12" s="54">
        <v>0.25042301184433163</v>
      </c>
      <c r="Z12" s="51" t="s">
        <v>167</v>
      </c>
      <c r="AA12" s="54">
        <v>0.18662519440124417</v>
      </c>
      <c r="AB12" s="51" t="s">
        <v>158</v>
      </c>
      <c r="AC12" s="54">
        <v>0.52542372881355937</v>
      </c>
      <c r="AD12" s="51" t="s">
        <v>167</v>
      </c>
      <c r="AE12" s="54">
        <v>0.38750000000000001</v>
      </c>
      <c r="AF12" s="51" t="s">
        <v>126</v>
      </c>
      <c r="AG12" s="54">
        <v>0.41956882255389716</v>
      </c>
      <c r="AH12" s="51" t="s">
        <v>169</v>
      </c>
      <c r="AI12" s="58">
        <v>69500</v>
      </c>
    </row>
    <row r="13" spans="1:35" x14ac:dyDescent="0.45">
      <c r="A13" s="48">
        <v>11</v>
      </c>
      <c r="B13" s="49" t="s">
        <v>201</v>
      </c>
      <c r="C13" s="50">
        <v>-104.80000000000001</v>
      </c>
      <c r="D13" s="51" t="s">
        <v>158</v>
      </c>
      <c r="E13" s="63">
        <v>-7.5677419354838742</v>
      </c>
      <c r="F13" s="51" t="s">
        <v>169</v>
      </c>
      <c r="G13" s="63">
        <v>-1.9656277056277058</v>
      </c>
      <c r="H13" s="51" t="s">
        <v>158</v>
      </c>
      <c r="I13" s="52">
        <v>2.172043010752688</v>
      </c>
      <c r="J13" s="51" t="s">
        <v>168</v>
      </c>
      <c r="K13" s="53">
        <v>0.25949367088607594</v>
      </c>
      <c r="L13" s="51" t="s">
        <v>195</v>
      </c>
      <c r="M13" s="53">
        <v>0.44</v>
      </c>
      <c r="N13" s="51" t="s">
        <v>194</v>
      </c>
      <c r="O13" s="54">
        <v>0.25838926174496646</v>
      </c>
      <c r="P13" s="51" t="s">
        <v>195</v>
      </c>
      <c r="Q13" s="54">
        <v>0.18429487179487181</v>
      </c>
      <c r="R13" s="51" t="s">
        <v>201</v>
      </c>
      <c r="S13" s="55">
        <v>7473.333333333333</v>
      </c>
      <c r="T13" s="51" t="s">
        <v>275</v>
      </c>
      <c r="U13" s="55">
        <v>-8220</v>
      </c>
      <c r="V13" s="51" t="s">
        <v>195</v>
      </c>
      <c r="W13" s="53">
        <v>0.17333333333333334</v>
      </c>
      <c r="X13" s="51" t="s">
        <v>201</v>
      </c>
      <c r="Y13" s="54">
        <v>0.24193548387096775</v>
      </c>
      <c r="Z13" s="51" t="s">
        <v>282</v>
      </c>
      <c r="AA13" s="54">
        <v>0.16666666666666666</v>
      </c>
      <c r="AB13" s="51" t="s">
        <v>127</v>
      </c>
      <c r="AC13" s="54">
        <v>0.51585014409221897</v>
      </c>
      <c r="AD13" s="51" t="s">
        <v>282</v>
      </c>
      <c r="AE13" s="54">
        <v>0.38461538461538464</v>
      </c>
      <c r="AF13" s="51" t="s">
        <v>127</v>
      </c>
      <c r="AG13" s="54">
        <v>0.41115702479338845</v>
      </c>
      <c r="AH13" s="51" t="s">
        <v>275</v>
      </c>
      <c r="AI13" s="58">
        <v>65900</v>
      </c>
    </row>
    <row r="14" spans="1:35" x14ac:dyDescent="0.45">
      <c r="A14" s="48">
        <v>12</v>
      </c>
      <c r="B14" s="49" t="s">
        <v>158</v>
      </c>
      <c r="C14" s="50">
        <v>-703.8000000000003</v>
      </c>
      <c r="D14" s="51" t="s">
        <v>195</v>
      </c>
      <c r="E14" s="63">
        <v>-11.458666666666669</v>
      </c>
      <c r="F14" s="51" t="s">
        <v>194</v>
      </c>
      <c r="G14" s="63">
        <v>-2.7208333333333337</v>
      </c>
      <c r="H14" s="51" t="s">
        <v>169</v>
      </c>
      <c r="I14" s="52">
        <v>2.1923076923076925</v>
      </c>
      <c r="J14" s="51" t="s">
        <v>169</v>
      </c>
      <c r="K14" s="53">
        <v>0.21153846153846154</v>
      </c>
      <c r="L14" s="51" t="s">
        <v>158</v>
      </c>
      <c r="M14" s="53">
        <v>0.44086021505376344</v>
      </c>
      <c r="N14" s="51" t="s">
        <v>195</v>
      </c>
      <c r="O14" s="54">
        <v>0.24519230769230768</v>
      </c>
      <c r="P14" s="51" t="s">
        <v>201</v>
      </c>
      <c r="Q14" s="54">
        <v>0.19354838709677419</v>
      </c>
      <c r="R14" s="51" t="s">
        <v>202</v>
      </c>
      <c r="S14" s="55">
        <v>7385.7142857142853</v>
      </c>
      <c r="T14" s="51" t="s">
        <v>167</v>
      </c>
      <c r="U14" s="55">
        <v>-8364.545454545454</v>
      </c>
      <c r="V14" s="51" t="s">
        <v>282</v>
      </c>
      <c r="W14" s="53">
        <v>0.2</v>
      </c>
      <c r="X14" s="51" t="s">
        <v>127</v>
      </c>
      <c r="Y14" s="54">
        <v>0.22650130548302871</v>
      </c>
      <c r="Z14" s="51" t="s">
        <v>194</v>
      </c>
      <c r="AA14" s="54">
        <v>0.16107382550335569</v>
      </c>
      <c r="AB14" s="51" t="s">
        <v>195</v>
      </c>
      <c r="AC14" s="54">
        <v>0.51538461538461533</v>
      </c>
      <c r="AD14" s="51" t="s">
        <v>281</v>
      </c>
      <c r="AE14" s="54">
        <v>0.33333333333333331</v>
      </c>
      <c r="AF14" s="51" t="s">
        <v>201</v>
      </c>
      <c r="AG14" s="54">
        <v>0.33333333333333331</v>
      </c>
      <c r="AH14" s="51" t="s">
        <v>201</v>
      </c>
      <c r="AI14" s="58">
        <v>59500</v>
      </c>
    </row>
    <row r="15" spans="1:35" x14ac:dyDescent="0.45">
      <c r="A15" s="48">
        <v>13</v>
      </c>
      <c r="B15" s="49" t="s">
        <v>169</v>
      </c>
      <c r="C15" s="50">
        <v>-762.1</v>
      </c>
      <c r="D15" s="51" t="s">
        <v>201</v>
      </c>
      <c r="E15" s="63">
        <v>-14.971428571428573</v>
      </c>
      <c r="F15" s="51" t="s">
        <v>201</v>
      </c>
      <c r="G15" s="63">
        <v>-6.4861111111111098</v>
      </c>
      <c r="H15" s="51" t="s">
        <v>281</v>
      </c>
      <c r="I15" s="52">
        <v>2.2000000000000002</v>
      </c>
      <c r="J15" s="51" t="s">
        <v>281</v>
      </c>
      <c r="K15" s="53">
        <v>0.2</v>
      </c>
      <c r="L15" s="51" t="s">
        <v>282</v>
      </c>
      <c r="M15" s="53">
        <v>0.5</v>
      </c>
      <c r="N15" s="51" t="s">
        <v>201</v>
      </c>
      <c r="O15" s="54">
        <v>0.24193548387096775</v>
      </c>
      <c r="P15" s="51" t="s">
        <v>281</v>
      </c>
      <c r="Q15" s="54">
        <v>0.2</v>
      </c>
      <c r="R15" s="51" t="s">
        <v>158</v>
      </c>
      <c r="S15" s="55">
        <v>7057.7092511013216</v>
      </c>
      <c r="T15" s="51" t="s">
        <v>201</v>
      </c>
      <c r="U15" s="55">
        <v>-9075</v>
      </c>
      <c r="V15" s="51" t="s">
        <v>281</v>
      </c>
      <c r="W15" s="53">
        <v>0.2</v>
      </c>
      <c r="X15" s="51" t="s">
        <v>195</v>
      </c>
      <c r="Y15" s="54">
        <v>0.20833333333333334</v>
      </c>
      <c r="Z15" s="51" t="s">
        <v>281</v>
      </c>
      <c r="AA15" s="54">
        <v>0.15</v>
      </c>
      <c r="AB15" s="51" t="s">
        <v>202</v>
      </c>
      <c r="AC15" s="54">
        <v>0.5</v>
      </c>
      <c r="AD15" s="51" t="s">
        <v>194</v>
      </c>
      <c r="AE15" s="54">
        <v>0.3125</v>
      </c>
      <c r="AF15" s="51" t="s">
        <v>202</v>
      </c>
      <c r="AG15" s="54">
        <v>0.2857142857142857</v>
      </c>
      <c r="AH15" s="51" t="s">
        <v>202</v>
      </c>
      <c r="AI15" s="58">
        <v>52800</v>
      </c>
    </row>
    <row r="16" spans="1:35" x14ac:dyDescent="0.45">
      <c r="A16" s="48">
        <v>14</v>
      </c>
      <c r="B16" s="49" t="s">
        <v>195</v>
      </c>
      <c r="C16" s="50">
        <v>-859.4000000000002</v>
      </c>
      <c r="D16" s="51" t="s">
        <v>281</v>
      </c>
      <c r="E16" s="63">
        <v>-16.160000000000004</v>
      </c>
      <c r="F16" s="51" t="s">
        <v>281</v>
      </c>
      <c r="G16" s="63">
        <v>-8.9666666666666668</v>
      </c>
      <c r="H16" s="51" t="s">
        <v>195</v>
      </c>
      <c r="I16" s="52">
        <v>2.2933333333333334</v>
      </c>
      <c r="J16" s="51" t="s">
        <v>195</v>
      </c>
      <c r="K16" s="53">
        <v>0.14666666666666667</v>
      </c>
      <c r="L16" s="51" t="s">
        <v>201</v>
      </c>
      <c r="M16" s="53">
        <v>0.5714285714285714</v>
      </c>
      <c r="N16" s="51" t="s">
        <v>281</v>
      </c>
      <c r="O16" s="54">
        <v>0.2</v>
      </c>
      <c r="P16" s="51" t="s">
        <v>282</v>
      </c>
      <c r="Q16" s="54">
        <v>0.24358974358974358</v>
      </c>
      <c r="R16" s="51" t="s">
        <v>275</v>
      </c>
      <c r="S16" s="55">
        <v>6648.1481481481478</v>
      </c>
      <c r="T16" s="51" t="s">
        <v>282</v>
      </c>
      <c r="U16" s="55">
        <v>-10010.526315789473</v>
      </c>
      <c r="V16" s="51" t="s">
        <v>201</v>
      </c>
      <c r="W16" s="53">
        <v>0.5714285714285714</v>
      </c>
      <c r="X16" s="51" t="s">
        <v>158</v>
      </c>
      <c r="Y16" s="54">
        <v>0.14182692307692307</v>
      </c>
      <c r="Z16" s="51" t="s">
        <v>275</v>
      </c>
      <c r="AA16" s="54">
        <v>0.12258064516129032</v>
      </c>
      <c r="AB16" s="51" t="s">
        <v>281</v>
      </c>
      <c r="AC16" s="54">
        <v>0.4</v>
      </c>
      <c r="AD16" s="51" t="s">
        <v>201</v>
      </c>
      <c r="AE16" s="54">
        <v>0.27272727272727271</v>
      </c>
      <c r="AF16" s="51" t="s">
        <v>281</v>
      </c>
      <c r="AG16" s="54">
        <v>0.25</v>
      </c>
      <c r="AH16" s="51" t="s">
        <v>281</v>
      </c>
      <c r="AI16" s="58">
        <v>52000</v>
      </c>
    </row>
  </sheetData>
  <sortState xmlns:xlrd2="http://schemas.microsoft.com/office/spreadsheetml/2017/richdata2" ref="AH3:AI47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2D3-54B6-478D-8D41-FDCE2F911B4F}">
  <sheetPr codeName="Sheet4"/>
  <dimension ref="A1:Q106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141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1059</v>
      </c>
      <c r="C2" s="130"/>
      <c r="E2" s="28" t="s">
        <v>66</v>
      </c>
      <c r="F2" s="25" t="s">
        <v>22</v>
      </c>
      <c r="G2" s="13">
        <v>1956</v>
      </c>
      <c r="H2" s="91">
        <f>IF(B$19=0,0,G2/B$19)</f>
        <v>0.75144064540914335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-29.439696106362774</v>
      </c>
      <c r="P2" s="80">
        <v>1053</v>
      </c>
      <c r="Q2" s="67">
        <v>-31000</v>
      </c>
    </row>
    <row r="3" spans="1:17" x14ac:dyDescent="0.45">
      <c r="A3" s="21" t="s">
        <v>8</v>
      </c>
      <c r="B3" s="131">
        <v>8865</v>
      </c>
      <c r="C3" s="132"/>
      <c r="E3" s="29" t="s">
        <v>72</v>
      </c>
      <c r="F3" s="26" t="s">
        <v>27</v>
      </c>
      <c r="G3" s="14">
        <v>1418</v>
      </c>
      <c r="H3" s="92">
        <f>IF(B$19=0,0,G3/B$19)</f>
        <v>0.54475605071071842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0"/>
        <v>7.7294685990338161</v>
      </c>
      <c r="P3" s="81">
        <v>1035</v>
      </c>
      <c r="Q3" s="68">
        <v>8000</v>
      </c>
    </row>
    <row r="4" spans="1:17" x14ac:dyDescent="0.45">
      <c r="A4" s="21" t="s">
        <v>6</v>
      </c>
      <c r="B4" s="133">
        <v>-8.7041485130612273E-14</v>
      </c>
      <c r="C4" s="134"/>
      <c r="E4" s="29" t="s">
        <v>64</v>
      </c>
      <c r="F4" s="26" t="s">
        <v>20</v>
      </c>
      <c r="G4" s="14">
        <v>1175</v>
      </c>
      <c r="H4" s="92">
        <f>IF(B$19=0,0,G4/B$19)</f>
        <v>0.45140222819823284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1.0256410256410255</v>
      </c>
      <c r="P4" s="81">
        <v>975</v>
      </c>
      <c r="Q4" s="68">
        <v>1000</v>
      </c>
    </row>
    <row r="5" spans="1:17" x14ac:dyDescent="0.45">
      <c r="A5" s="21" t="s">
        <v>7</v>
      </c>
      <c r="B5" s="121">
        <f>IF(B$2=0,0,B$4/B$2)</f>
        <v>-8.2192148376404417E-17</v>
      </c>
      <c r="C5" s="122"/>
      <c r="E5" s="29" t="s">
        <v>163</v>
      </c>
      <c r="F5" s="26" t="s">
        <v>164</v>
      </c>
      <c r="G5" s="14">
        <v>1024</v>
      </c>
      <c r="H5" s="92">
        <f>IF(B$19=0,0,G5/B$19)</f>
        <v>0.3933922397233961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-2.192982456140351</v>
      </c>
      <c r="P5" s="81">
        <v>912</v>
      </c>
      <c r="Q5" s="68">
        <v>-2000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815</v>
      </c>
      <c r="H6" s="92">
        <f>IF(B$19=0,0,G6/B$19)</f>
        <v>0.31310026892047638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10.676156583629894</v>
      </c>
      <c r="P6" s="81">
        <v>843</v>
      </c>
      <c r="Q6" s="68">
        <v>9000</v>
      </c>
    </row>
    <row r="7" spans="1:17" x14ac:dyDescent="0.45">
      <c r="A7" s="21" t="s">
        <v>2</v>
      </c>
      <c r="B7" s="14">
        <v>353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717</v>
      </c>
      <c r="H7" s="92">
        <f>IF(B$19=0,0,G7/B$19)</f>
        <v>0.27545140222819825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20.114942528735632</v>
      </c>
      <c r="P7" s="82">
        <v>696</v>
      </c>
      <c r="Q7" s="69">
        <v>14000</v>
      </c>
    </row>
    <row r="8" spans="1:17" x14ac:dyDescent="0.45">
      <c r="A8" s="21" t="s">
        <v>3</v>
      </c>
      <c r="B8" s="14">
        <v>353</v>
      </c>
      <c r="C8" s="8">
        <f t="shared" si="1"/>
        <v>0.33333333333333331</v>
      </c>
      <c r="E8" s="29" t="s">
        <v>89</v>
      </c>
      <c r="F8" s="26" t="s">
        <v>44</v>
      </c>
      <c r="G8" s="14">
        <v>367</v>
      </c>
      <c r="H8" s="92">
        <f>IF(B$19=0,0,G8/B$19)</f>
        <v>0.14099116404149059</v>
      </c>
      <c r="I8" s="60">
        <v>7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353</v>
      </c>
      <c r="C9" s="9">
        <f t="shared" si="1"/>
        <v>0.33333333333333331</v>
      </c>
      <c r="E9" s="29" t="s">
        <v>69</v>
      </c>
      <c r="F9" s="26" t="s">
        <v>24</v>
      </c>
      <c r="G9" s="14">
        <v>360</v>
      </c>
      <c r="H9" s="92">
        <f>IF(B$19=0,0,G9/B$19)</f>
        <v>0.13830195927775643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35.267988668555255</v>
      </c>
      <c r="C10" s="114">
        <v>12449.600000000004</v>
      </c>
      <c r="E10" s="29" t="s">
        <v>65</v>
      </c>
      <c r="F10" s="26" t="s">
        <v>21</v>
      </c>
      <c r="G10" s="14">
        <v>264</v>
      </c>
      <c r="H10" s="92">
        <f>IF(B$19=0,0,G10/B$19)</f>
        <v>0.10142143680368805</v>
      </c>
      <c r="I10" s="60">
        <v>10</v>
      </c>
      <c r="K10" s="7">
        <v>8</v>
      </c>
      <c r="L10" s="65">
        <v>-46.9</v>
      </c>
      <c r="N10" s="77" t="s">
        <v>154</v>
      </c>
      <c r="O10" s="86">
        <f>IF(P10=0,0,Q10/P10)</f>
        <v>-4.1050991501416432</v>
      </c>
      <c r="P10" s="80">
        <v>353</v>
      </c>
      <c r="Q10" s="71">
        <v>-1449.1000000000001</v>
      </c>
    </row>
    <row r="11" spans="1:17" x14ac:dyDescent="0.45">
      <c r="A11" s="22" t="s">
        <v>204</v>
      </c>
      <c r="B11" s="113">
        <f>IF(B8=0,0,C11/B8)</f>
        <v>1.1048158640226359E-2</v>
      </c>
      <c r="C11" s="114">
        <v>3.8999999999999044</v>
      </c>
      <c r="E11" s="29" t="s">
        <v>70</v>
      </c>
      <c r="F11" s="26" t="s">
        <v>25</v>
      </c>
      <c r="G11" s="14">
        <v>246</v>
      </c>
      <c r="H11" s="92">
        <f>IF(B$19=0,0,G11/B$19)</f>
        <v>9.4506338839800225E-2</v>
      </c>
      <c r="I11" s="60">
        <v>8</v>
      </c>
      <c r="K11" s="7">
        <v>9</v>
      </c>
      <c r="L11" s="65">
        <v>0</v>
      </c>
      <c r="N11" s="78" t="s">
        <v>155</v>
      </c>
      <c r="O11" s="87">
        <f>IF(P11=0,0,Q11/P11)</f>
        <v>1.7770538243626064</v>
      </c>
      <c r="P11" s="81">
        <v>353</v>
      </c>
      <c r="Q11" s="72">
        <v>627.30000000000007</v>
      </c>
    </row>
    <row r="12" spans="1:17" x14ac:dyDescent="0.45">
      <c r="A12" s="22" t="s">
        <v>205</v>
      </c>
      <c r="B12" s="113">
        <f>IF(B9=0,0,C12/B9)</f>
        <v>-35.279036827195512</v>
      </c>
      <c r="C12" s="114">
        <v>-12453.500000000015</v>
      </c>
      <c r="E12" s="29" t="s">
        <v>71</v>
      </c>
      <c r="F12" s="26" t="s">
        <v>26</v>
      </c>
      <c r="G12" s="14">
        <v>212</v>
      </c>
      <c r="H12" s="92">
        <f>IF(B$19=0,0,G12/B$19)</f>
        <v>8.1444487130234347E-2</v>
      </c>
      <c r="I12" s="60">
        <v>7</v>
      </c>
      <c r="K12" s="7">
        <v>10</v>
      </c>
      <c r="L12" s="65">
        <v>-12</v>
      </c>
      <c r="N12" s="79" t="s">
        <v>156</v>
      </c>
      <c r="O12" s="88">
        <f>IF(P12=0,0,Q12/P12)</f>
        <v>2.3280453257790352</v>
      </c>
      <c r="P12" s="82">
        <v>353</v>
      </c>
      <c r="Q12" s="73">
        <v>821.79999999999939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83</v>
      </c>
      <c r="F13" s="26" t="s">
        <v>38</v>
      </c>
      <c r="G13" s="14">
        <v>129</v>
      </c>
      <c r="H13" s="92">
        <f>IF(B$19=0,0,G13/B$19)</f>
        <v>4.9558202074529392E-2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106</v>
      </c>
      <c r="C14" s="11">
        <f t="shared" si="1"/>
        <v>0.10009442870632672</v>
      </c>
      <c r="E14" s="29" t="s">
        <v>86</v>
      </c>
      <c r="F14" s="26" t="s">
        <v>41</v>
      </c>
      <c r="G14" s="14">
        <v>125</v>
      </c>
      <c r="H14" s="92">
        <f>IF(B$19=0,0,G14/B$19)</f>
        <v>4.8021513638109872E-2</v>
      </c>
      <c r="I14" s="60">
        <v>7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2220</v>
      </c>
      <c r="C15" s="12">
        <f>IF(B$3=0,0,B15/B$3)</f>
        <v>0.25042301184433163</v>
      </c>
      <c r="E15" s="29" t="s">
        <v>78</v>
      </c>
      <c r="F15" s="26" t="s">
        <v>33</v>
      </c>
      <c r="G15" s="14">
        <v>71</v>
      </c>
      <c r="H15" s="92">
        <f>IF(B$19=0,0,G15/B$19)</f>
        <v>2.7276219746446409E-2</v>
      </c>
      <c r="I15" s="60">
        <v>6</v>
      </c>
      <c r="K15" s="7">
        <v>13</v>
      </c>
      <c r="L15" s="65">
        <v>-1.7</v>
      </c>
      <c r="N15" s="77" t="s">
        <v>281</v>
      </c>
      <c r="O15" s="86">
        <f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2061</v>
      </c>
      <c r="C16" s="8">
        <f>IF(B$3=0,0,B16/B$3)</f>
        <v>0.23248730964467004</v>
      </c>
      <c r="E16" s="29" t="s">
        <v>81</v>
      </c>
      <c r="F16" s="26" t="s">
        <v>36</v>
      </c>
      <c r="G16" s="14">
        <v>61</v>
      </c>
      <c r="H16" s="92">
        <f>IF(B$19=0,0,G16/B$19)</f>
        <v>2.343449865539762E-2</v>
      </c>
      <c r="I16" s="60">
        <v>6</v>
      </c>
      <c r="K16" s="7">
        <v>14</v>
      </c>
      <c r="L16" s="65">
        <v>24.3</v>
      </c>
      <c r="N16" s="78" t="s">
        <v>201</v>
      </c>
      <c r="O16" s="87">
        <f>IF(P16=0,0,Q16/P16)</f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1212</v>
      </c>
      <c r="C17" s="6">
        <f>IF(B$15=0,0,B17/B$15)</f>
        <v>0.54594594594594592</v>
      </c>
      <c r="E17" s="29" t="s">
        <v>159</v>
      </c>
      <c r="F17" s="26" t="s">
        <v>160</v>
      </c>
      <c r="G17" s="14">
        <v>51</v>
      </c>
      <c r="H17" s="92">
        <f>IF(B$19=0,0,G17/B$19)</f>
        <v>1.9592777564348827E-2</v>
      </c>
      <c r="I17" s="60">
        <v>3</v>
      </c>
      <c r="K17" s="7">
        <v>15</v>
      </c>
      <c r="L17" s="65">
        <v>0</v>
      </c>
      <c r="N17" s="78" t="s">
        <v>195</v>
      </c>
      <c r="O17" s="87">
        <f>IF(P17=0,0,Q17/P17)</f>
        <v>17.187999999999978</v>
      </c>
      <c r="P17" s="81">
        <v>150</v>
      </c>
      <c r="Q17" s="72">
        <v>2578.1999999999966</v>
      </c>
    </row>
    <row r="18" spans="1:17" x14ac:dyDescent="0.45">
      <c r="A18" s="20" t="s">
        <v>124</v>
      </c>
      <c r="B18" s="13">
        <f>B24</f>
        <v>861</v>
      </c>
      <c r="C18" s="6">
        <f>IF(B$16=0,0,B18/B$16)</f>
        <v>0.41775836972343522</v>
      </c>
      <c r="E18" s="29" t="s">
        <v>91</v>
      </c>
      <c r="F18" s="26" t="s">
        <v>46</v>
      </c>
      <c r="G18" s="14">
        <v>42</v>
      </c>
      <c r="H18" s="92">
        <f>IF(B$19=0,0,G18/B$19)</f>
        <v>1.6135228582404917E-2</v>
      </c>
      <c r="I18" s="60">
        <v>6</v>
      </c>
      <c r="K18" s="7">
        <v>16</v>
      </c>
      <c r="L18" s="65">
        <v>-28.2</v>
      </c>
      <c r="N18" s="78" t="s">
        <v>169</v>
      </c>
      <c r="O18" s="87">
        <f>IF(P18=0,0,Q18/P18)</f>
        <v>10.991826923076916</v>
      </c>
      <c r="P18" s="81">
        <v>208</v>
      </c>
      <c r="Q18" s="72">
        <v>2286.2999999999984</v>
      </c>
    </row>
    <row r="19" spans="1:17" x14ac:dyDescent="0.45">
      <c r="A19" s="20" t="s">
        <v>10</v>
      </c>
      <c r="B19" s="13">
        <f>B22+B21</f>
        <v>2603</v>
      </c>
      <c r="C19" s="6">
        <f>IF(B$3=0,0,B19/B$3)</f>
        <v>0.29362662154540325</v>
      </c>
      <c r="E19" s="29" t="s">
        <v>79</v>
      </c>
      <c r="F19" s="26" t="s">
        <v>34</v>
      </c>
      <c r="G19" s="14">
        <v>37</v>
      </c>
      <c r="H19" s="92">
        <f>IF(B$19=0,0,G19/B$19)</f>
        <v>1.4214368036880523E-2</v>
      </c>
      <c r="I19" s="60">
        <v>7</v>
      </c>
      <c r="K19" s="7">
        <v>17</v>
      </c>
      <c r="L19" s="65">
        <v>-20.5</v>
      </c>
      <c r="N19" s="78" t="s">
        <v>158</v>
      </c>
      <c r="O19" s="87">
        <f>IF(P19=0,0,Q19/P19)</f>
        <v>10.114077669902903</v>
      </c>
      <c r="P19" s="81">
        <v>206</v>
      </c>
      <c r="Q19" s="72">
        <v>2083.4999999999982</v>
      </c>
    </row>
    <row r="20" spans="1:17" x14ac:dyDescent="0.45">
      <c r="A20" s="21" t="s">
        <v>13</v>
      </c>
      <c r="B20" s="14">
        <v>1417</v>
      </c>
      <c r="C20" s="8">
        <f>IF(B$3=0,0,B20/B$3)</f>
        <v>0.15984207557811619</v>
      </c>
      <c r="E20" s="29" t="s">
        <v>75</v>
      </c>
      <c r="F20" s="26" t="s">
        <v>30</v>
      </c>
      <c r="G20" s="14">
        <v>19</v>
      </c>
      <c r="H20" s="92">
        <f>IF(B$19=0,0,G20/B$19)</f>
        <v>7.2992700729927005E-3</v>
      </c>
      <c r="I20" s="60">
        <v>6</v>
      </c>
      <c r="K20" s="7">
        <v>18</v>
      </c>
      <c r="L20" s="65">
        <v>0</v>
      </c>
      <c r="N20" s="78" t="s">
        <v>275</v>
      </c>
      <c r="O20" s="87">
        <f>IF(P20=0,0,Q20/P20)</f>
        <v>4.6333333333333302</v>
      </c>
      <c r="P20" s="81">
        <v>36</v>
      </c>
      <c r="Q20" s="72">
        <v>166.7999999999999</v>
      </c>
    </row>
    <row r="21" spans="1:17" x14ac:dyDescent="0.45">
      <c r="A21" s="21" t="s">
        <v>12</v>
      </c>
      <c r="B21" s="14">
        <v>1172</v>
      </c>
      <c r="C21" s="8">
        <f>IF(B$19=0,0,B21/B$19)</f>
        <v>0.45024971187091817</v>
      </c>
      <c r="E21" s="29" t="s">
        <v>92</v>
      </c>
      <c r="F21" s="26" t="s">
        <v>47</v>
      </c>
      <c r="G21" s="14">
        <v>19</v>
      </c>
      <c r="H21" s="92">
        <f>IF(B$19=0,0,G21/B$19)</f>
        <v>7.2992700729927005E-3</v>
      </c>
      <c r="I21" s="60">
        <v>4</v>
      </c>
      <c r="K21" s="7">
        <v>19</v>
      </c>
      <c r="L21" s="65">
        <v>-22.4</v>
      </c>
      <c r="N21" s="78" t="s">
        <v>194</v>
      </c>
      <c r="O21" s="87">
        <f>IF(P21=0,0,Q21/P21)</f>
        <v>4.532812500000003</v>
      </c>
      <c r="P21" s="81">
        <v>64</v>
      </c>
      <c r="Q21" s="72">
        <v>290.10000000000019</v>
      </c>
    </row>
    <row r="22" spans="1:17" x14ac:dyDescent="0.45">
      <c r="A22" s="21" t="s">
        <v>11</v>
      </c>
      <c r="B22" s="14">
        <v>1431</v>
      </c>
      <c r="C22" s="8">
        <f>IF(B$19=0,0,B22/B$19)</f>
        <v>0.54975028812908178</v>
      </c>
      <c r="E22" s="29" t="s">
        <v>85</v>
      </c>
      <c r="F22" s="26" t="s">
        <v>40</v>
      </c>
      <c r="G22" s="14">
        <v>15</v>
      </c>
      <c r="H22" s="92">
        <f>IF(B$19=0,0,G22/B$19)</f>
        <v>5.7625816365731849E-3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>IF(P22=0,0,Q22/P22)</f>
        <v>0.57056962025316482</v>
      </c>
      <c r="P22" s="81">
        <v>316</v>
      </c>
      <c r="Q22" s="72">
        <v>180.30000000000007</v>
      </c>
    </row>
    <row r="23" spans="1:17" x14ac:dyDescent="0.45">
      <c r="A23" s="21" t="s">
        <v>192</v>
      </c>
      <c r="B23" s="14">
        <v>1212</v>
      </c>
      <c r="C23" s="8">
        <f>IF(B$19=0,0,B23/B$19)</f>
        <v>0.46561659623511331</v>
      </c>
      <c r="E23" s="29" t="s">
        <v>73</v>
      </c>
      <c r="F23" s="26" t="s">
        <v>28</v>
      </c>
      <c r="G23" s="14">
        <v>9</v>
      </c>
      <c r="H23" s="92">
        <f>IF(B$19=0,0,G23/B$19)</f>
        <v>3.4575489819439107E-3</v>
      </c>
      <c r="I23" s="60">
        <v>4</v>
      </c>
      <c r="K23" s="7">
        <v>21</v>
      </c>
      <c r="L23" s="65">
        <v>7.1054273576010019E-15</v>
      </c>
      <c r="N23" s="78" t="s">
        <v>127</v>
      </c>
      <c r="O23" s="87">
        <f>IF(P23=0,0,Q23/P23)</f>
        <v>0.22173913043477966</v>
      </c>
      <c r="P23" s="81">
        <v>368</v>
      </c>
      <c r="Q23" s="72">
        <v>81.599999999998914</v>
      </c>
    </row>
    <row r="24" spans="1:17" x14ac:dyDescent="0.45">
      <c r="A24" s="21" t="s">
        <v>190</v>
      </c>
      <c r="B24" s="14">
        <v>861</v>
      </c>
      <c r="C24" s="8">
        <f>IF(B$19=0,0,B24/B$19)</f>
        <v>0.3307721859393008</v>
      </c>
      <c r="E24" s="29" t="s">
        <v>74</v>
      </c>
      <c r="F24" s="26" t="s">
        <v>29</v>
      </c>
      <c r="G24" s="14">
        <v>8</v>
      </c>
      <c r="H24" s="92">
        <f>IF(B$19=0,0,G24/B$19)</f>
        <v>3.073376872839032E-3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>IF(P24=0,0,Q24/P24)</f>
        <v>-6.5999999999999934</v>
      </c>
      <c r="P24" s="81">
        <v>318</v>
      </c>
      <c r="Q24" s="72">
        <v>-2098.7999999999979</v>
      </c>
    </row>
    <row r="25" spans="1:17" x14ac:dyDescent="0.45">
      <c r="A25" s="21" t="s">
        <v>191</v>
      </c>
      <c r="B25" s="14">
        <v>530</v>
      </c>
      <c r="C25" s="8">
        <f>IF(B$19=0,0,B25/B$19)</f>
        <v>0.20361121782558586</v>
      </c>
      <c r="E25" s="29" t="s">
        <v>84</v>
      </c>
      <c r="F25" s="26" t="s">
        <v>39</v>
      </c>
      <c r="G25" s="14">
        <v>8</v>
      </c>
      <c r="H25" s="92">
        <f>IF(B$19=0,0,G25/B$19)</f>
        <v>3.073376872839032E-3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>IF(P25=0,0,Q25/P25)</f>
        <v>-14.259905660377356</v>
      </c>
      <c r="P25" s="81">
        <v>424</v>
      </c>
      <c r="Q25" s="72">
        <v>-6046.1999999999989</v>
      </c>
    </row>
    <row r="26" spans="1:17" x14ac:dyDescent="0.45">
      <c r="A26" s="21" t="s">
        <v>5</v>
      </c>
      <c r="B26" s="18">
        <f>IF(B$19=0,0,C26/B$19)</f>
        <v>8459.9308490203603</v>
      </c>
      <c r="C26" s="10">
        <v>22021200</v>
      </c>
      <c r="E26" s="29" t="s">
        <v>77</v>
      </c>
      <c r="F26" s="26" t="s">
        <v>32</v>
      </c>
      <c r="G26" s="14">
        <v>7</v>
      </c>
      <c r="H26" s="92">
        <f>IF(B$19=0,0,G26/B$19)</f>
        <v>2.6892047637341529E-3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>IF(P26=0,0,Q26/P26)</f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9152.066590126291</v>
      </c>
      <c r="C27" s="100">
        <v>15942900</v>
      </c>
      <c r="E27" s="29" t="s">
        <v>88</v>
      </c>
      <c r="F27" s="26" t="s">
        <v>43</v>
      </c>
      <c r="G27" s="14">
        <v>7</v>
      </c>
      <c r="H27" s="92">
        <f>IF(B$19=0,0,G27/B$19)</f>
        <v>2.6892047637341529E-3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7059.5818815331013</v>
      </c>
      <c r="C28" s="100">
        <v>6078300</v>
      </c>
      <c r="E28" s="29" t="s">
        <v>87</v>
      </c>
      <c r="F28" s="26" t="s">
        <v>42</v>
      </c>
      <c r="G28" s="14">
        <v>5</v>
      </c>
      <c r="H28" s="92">
        <f>IF(B$19=0,0,G28/B$19)</f>
        <v>1.9208605455243949E-3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-7867.2547635850387</v>
      </c>
      <c r="C29" s="100">
        <v>-11147900</v>
      </c>
      <c r="E29" s="29" t="s">
        <v>90</v>
      </c>
      <c r="F29" s="26" t="s">
        <v>45</v>
      </c>
      <c r="G29" s="14">
        <v>5</v>
      </c>
      <c r="H29" s="92">
        <f>IF(B$19=0,0,G29/B$19)</f>
        <v>1.9208605455243949E-3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1</v>
      </c>
      <c r="E30" s="29" t="s">
        <v>95</v>
      </c>
      <c r="F30" s="26" t="s">
        <v>50</v>
      </c>
      <c r="G30" s="14">
        <v>5</v>
      </c>
      <c r="H30" s="92">
        <f>IF(B$19=0,0,G30/B$19)</f>
        <v>1.9208605455243949E-3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31</v>
      </c>
      <c r="C31" s="94">
        <v>3</v>
      </c>
      <c r="E31" s="29" t="s">
        <v>93</v>
      </c>
      <c r="F31" s="26" t="s">
        <v>48</v>
      </c>
      <c r="G31" s="14">
        <v>4</v>
      </c>
      <c r="H31" s="92">
        <f>IF(B$19=0,0,G31/B$19)</f>
        <v>1.536688436419516E-3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1</v>
      </c>
      <c r="H32" s="92">
        <f>IF(B$19=0,0,G32/B$19)</f>
        <v>3.84172109104879E-4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5">
        <v>149100</v>
      </c>
      <c r="C33" s="126"/>
      <c r="E33" s="29" t="s">
        <v>97</v>
      </c>
      <c r="F33" s="26" t="s">
        <v>52</v>
      </c>
      <c r="G33" s="14">
        <v>1</v>
      </c>
      <c r="H33" s="92">
        <f>IF(B$19=0,0,G33/B$19)</f>
        <v>3.84172109104879E-4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24</v>
      </c>
      <c r="C34" s="11">
        <f>IF(B$3=0,0,B34/B$3)</f>
        <v>2.7072758037225042E-3</v>
      </c>
      <c r="E34" s="29" t="s">
        <v>101</v>
      </c>
      <c r="F34" s="26" t="s">
        <v>56</v>
      </c>
      <c r="G34" s="14">
        <v>1</v>
      </c>
      <c r="H34" s="92">
        <f>IF(B$19=0,0,G34/B$19)</f>
        <v>3.84172109104879E-4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3.84172109104879E-4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205</v>
      </c>
      <c r="C36" s="102">
        <f t="shared" ref="C36:C48" si="2">IF(B$19=0,0,B36/B$19)</f>
        <v>7.8755282366500187E-2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445</v>
      </c>
      <c r="C37" s="8">
        <f t="shared" si="2"/>
        <v>0.17095658855167115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499</v>
      </c>
      <c r="C38" s="8">
        <f t="shared" si="2"/>
        <v>0.19170188244333461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471</v>
      </c>
      <c r="C39" s="8">
        <f t="shared" si="2"/>
        <v>0.180945063388398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405</v>
      </c>
      <c r="C40" s="8">
        <f t="shared" si="2"/>
        <v>0.155589704187476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272</v>
      </c>
      <c r="C41" s="8">
        <f t="shared" si="2"/>
        <v>0.10449481367652709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132</v>
      </c>
      <c r="C42" s="8">
        <f t="shared" si="2"/>
        <v>5.0710718401844025E-2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76</v>
      </c>
      <c r="C43" s="8">
        <f t="shared" si="2"/>
        <v>2.9197080291970802E-2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35</v>
      </c>
      <c r="C44" s="8">
        <f t="shared" si="2"/>
        <v>1.3446023818670765E-2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13</v>
      </c>
      <c r="C45" s="8">
        <f t="shared" si="2"/>
        <v>4.9942374183634267E-3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10</v>
      </c>
      <c r="C46" s="8">
        <f t="shared" si="2"/>
        <v>3.8417210910487898E-3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2"/>
        <v>2.3050326546292738E-3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34</v>
      </c>
      <c r="C48" s="11">
        <f t="shared" si="2"/>
        <v>1.3061851709565886E-2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</sheetData>
  <sortState xmlns:xlrd2="http://schemas.microsoft.com/office/spreadsheetml/2017/richdata2" ref="N15:Q2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E513-04E4-4FD2-B990-E53DD798BD99}">
  <sheetPr codeName="Sheet7"/>
  <dimension ref="A1:Q9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158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93</v>
      </c>
      <c r="C2" s="130"/>
      <c r="E2" s="28" t="s">
        <v>66</v>
      </c>
      <c r="F2" s="25" t="s">
        <v>22</v>
      </c>
      <c r="G2" s="13">
        <v>155</v>
      </c>
      <c r="H2" s="91">
        <f>IF(B$19=0,0,G2/B$19)</f>
        <v>0.68281938325991187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1841.9354838709678</v>
      </c>
      <c r="P2" s="80">
        <v>93</v>
      </c>
      <c r="Q2" s="67">
        <v>171300</v>
      </c>
    </row>
    <row r="3" spans="1:17" x14ac:dyDescent="0.45">
      <c r="A3" s="21" t="s">
        <v>8</v>
      </c>
      <c r="B3" s="131">
        <v>832</v>
      </c>
      <c r="C3" s="132"/>
      <c r="E3" s="29" t="s">
        <v>72</v>
      </c>
      <c r="F3" s="26" t="s">
        <v>27</v>
      </c>
      <c r="G3" s="14">
        <v>125</v>
      </c>
      <c r="H3" s="92">
        <f>IF(B$19=0,0,G3/B$19)</f>
        <v>0.5506607929515418</v>
      </c>
      <c r="I3" s="60">
        <v>6</v>
      </c>
      <c r="K3" s="7">
        <v>1</v>
      </c>
      <c r="L3" s="65">
        <v>-4.5999999999999996</v>
      </c>
      <c r="N3" s="78" t="s">
        <v>131</v>
      </c>
      <c r="O3" s="84">
        <f t="shared" si="0"/>
        <v>-1781.3186813186812</v>
      </c>
      <c r="P3" s="81">
        <v>91</v>
      </c>
      <c r="Q3" s="68">
        <v>-162100</v>
      </c>
    </row>
    <row r="4" spans="1:17" x14ac:dyDescent="0.45">
      <c r="A4" s="21" t="s">
        <v>6</v>
      </c>
      <c r="B4" s="133">
        <v>-703.8000000000003</v>
      </c>
      <c r="C4" s="134"/>
      <c r="E4" s="29" t="s">
        <v>163</v>
      </c>
      <c r="F4" s="26" t="s">
        <v>164</v>
      </c>
      <c r="G4" s="14">
        <v>80</v>
      </c>
      <c r="H4" s="92">
        <f>IF(B$19=0,0,G4/B$19)</f>
        <v>0.3524229074889868</v>
      </c>
      <c r="I4" s="60">
        <v>11</v>
      </c>
      <c r="K4" s="7">
        <v>2</v>
      </c>
      <c r="L4" s="65">
        <v>19.899999999999999</v>
      </c>
      <c r="N4" s="78" t="s">
        <v>132</v>
      </c>
      <c r="O4" s="84">
        <f t="shared" si="0"/>
        <v>-2753.932584269663</v>
      </c>
      <c r="P4" s="81">
        <v>89</v>
      </c>
      <c r="Q4" s="68">
        <v>-245100</v>
      </c>
    </row>
    <row r="5" spans="1:17" x14ac:dyDescent="0.45">
      <c r="A5" s="21" t="s">
        <v>7</v>
      </c>
      <c r="B5" s="121">
        <f>IF(B$2=0,0,B$4/B$2)</f>
        <v>-7.5677419354838742</v>
      </c>
      <c r="C5" s="122"/>
      <c r="E5" s="29" t="s">
        <v>68</v>
      </c>
      <c r="F5" s="26" t="s">
        <v>12</v>
      </c>
      <c r="G5" s="14">
        <v>62</v>
      </c>
      <c r="H5" s="92">
        <f>IF(B$19=0,0,G5/B$19)</f>
        <v>0.27312775330396477</v>
      </c>
      <c r="I5" s="60">
        <v>11</v>
      </c>
      <c r="K5" s="7">
        <v>3</v>
      </c>
      <c r="L5" s="65">
        <v>-8.3000000000000007</v>
      </c>
      <c r="N5" s="78" t="s">
        <v>133</v>
      </c>
      <c r="O5" s="84">
        <f t="shared" si="0"/>
        <v>-592.77108433734941</v>
      </c>
      <c r="P5" s="81">
        <v>83</v>
      </c>
      <c r="Q5" s="68">
        <v>-49200</v>
      </c>
    </row>
    <row r="6" spans="1:17" x14ac:dyDescent="0.45">
      <c r="A6" s="21" t="s">
        <v>1</v>
      </c>
      <c r="B6" s="135">
        <f>IF(B$2=0,0,(B$7*1+B$8*2+B$9*3)/B$2)</f>
        <v>2.172043010752688</v>
      </c>
      <c r="C6" s="136"/>
      <c r="E6" s="29" t="s">
        <v>64</v>
      </c>
      <c r="F6" s="26" t="s">
        <v>20</v>
      </c>
      <c r="G6" s="14">
        <v>61</v>
      </c>
      <c r="H6" s="92">
        <f>IF(B$19=0,0,G6/B$19)</f>
        <v>0.2687224669603524</v>
      </c>
      <c r="I6" s="60">
        <v>14</v>
      </c>
      <c r="K6" s="7">
        <v>4</v>
      </c>
      <c r="L6" s="65">
        <v>-30.7</v>
      </c>
      <c r="N6" s="78" t="s">
        <v>134</v>
      </c>
      <c r="O6" s="84">
        <f t="shared" si="0"/>
        <v>-1100</v>
      </c>
      <c r="P6" s="81">
        <v>81</v>
      </c>
      <c r="Q6" s="68">
        <v>-89100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0.26881720430107525</v>
      </c>
      <c r="E7" s="29" t="s">
        <v>67</v>
      </c>
      <c r="F7" s="26" t="s">
        <v>23</v>
      </c>
      <c r="G7" s="14">
        <v>41</v>
      </c>
      <c r="H7" s="92">
        <f>IF(B$19=0,0,G7/B$19)</f>
        <v>0.18061674008810572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-2504.5454545454545</v>
      </c>
      <c r="P7" s="82">
        <v>66</v>
      </c>
      <c r="Q7" s="69">
        <v>-165300</v>
      </c>
    </row>
    <row r="8" spans="1:17" x14ac:dyDescent="0.45">
      <c r="A8" s="21" t="s">
        <v>3</v>
      </c>
      <c r="B8" s="14">
        <v>27</v>
      </c>
      <c r="C8" s="8">
        <f t="shared" si="1"/>
        <v>0.29032258064516131</v>
      </c>
      <c r="E8" s="29" t="s">
        <v>69</v>
      </c>
      <c r="F8" s="26" t="s">
        <v>24</v>
      </c>
      <c r="G8" s="14">
        <v>38</v>
      </c>
      <c r="H8" s="92">
        <f>IF(B$19=0,0,G8/B$19)</f>
        <v>0.16740088105726872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0.44086021505376344</v>
      </c>
      <c r="E9" s="29" t="s">
        <v>71</v>
      </c>
      <c r="F9" s="26" t="s">
        <v>26</v>
      </c>
      <c r="G9" s="14">
        <v>31</v>
      </c>
      <c r="H9" s="92">
        <f>IF(B$19=0,0,G9/B$19)</f>
        <v>0.13656387665198239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0.12334801762114538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-12.988235294117645</v>
      </c>
      <c r="P10" s="80">
        <v>34</v>
      </c>
      <c r="Q10" s="71">
        <v>-441.59999999999997</v>
      </c>
    </row>
    <row r="11" spans="1:17" x14ac:dyDescent="0.45">
      <c r="A11" s="22" t="s">
        <v>204</v>
      </c>
      <c r="B11" s="113">
        <f>IF(B8=0,0,C11/B8)</f>
        <v>-0.37777777777777816</v>
      </c>
      <c r="C11" s="114">
        <v>-10.20000000000001</v>
      </c>
      <c r="E11" s="29" t="s">
        <v>83</v>
      </c>
      <c r="F11" s="26" t="s">
        <v>38</v>
      </c>
      <c r="G11" s="14">
        <v>20</v>
      </c>
      <c r="H11" s="92">
        <f>IF(B$19=0,0,G11/B$19)</f>
        <v>8.8105726872246701E-2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6.6079295154185022E-2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-2.3903225806451611</v>
      </c>
      <c r="P12" s="82">
        <v>31</v>
      </c>
      <c r="Q12" s="73">
        <v>-74.099999999999994</v>
      </c>
    </row>
    <row r="13" spans="1:17" x14ac:dyDescent="0.45">
      <c r="A13" s="22" t="s">
        <v>206</v>
      </c>
      <c r="B13" s="121">
        <f>AVERAGE(B10:B12)</f>
        <v>-1.9166251129177947</v>
      </c>
      <c r="C13" s="122"/>
      <c r="E13" s="29" t="s">
        <v>65</v>
      </c>
      <c r="F13" s="26" t="s">
        <v>21</v>
      </c>
      <c r="G13" s="14">
        <v>13</v>
      </c>
      <c r="H13" s="92">
        <f>IF(B$19=0,0,G13/B$19)</f>
        <v>5.7268722466960353E-2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9.6774193548387094E-2</v>
      </c>
      <c r="E14" s="29" t="s">
        <v>81</v>
      </c>
      <c r="F14" s="26" t="s">
        <v>36</v>
      </c>
      <c r="G14" s="14">
        <v>10</v>
      </c>
      <c r="H14" s="92">
        <f>IF(B$19=0,0,G14/B$19)</f>
        <v>4.405286343612335E-2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118</v>
      </c>
      <c r="C15" s="12">
        <f>IF(B$3=0,0,B15/B$3)</f>
        <v>0.14182692307692307</v>
      </c>
      <c r="E15" s="29" t="s">
        <v>86</v>
      </c>
      <c r="F15" s="26" t="s">
        <v>41</v>
      </c>
      <c r="G15" s="14">
        <v>7</v>
      </c>
      <c r="H15" s="92">
        <f>IF(B$19=0,0,G15/B$19)</f>
        <v>3.0837004405286344E-2</v>
      </c>
      <c r="I15" s="60">
        <v>10</v>
      </c>
      <c r="K15" s="7">
        <v>13</v>
      </c>
      <c r="L15" s="65">
        <v>-66.2</v>
      </c>
      <c r="N15" s="77" t="s">
        <v>275</v>
      </c>
      <c r="O15" s="86">
        <f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219</v>
      </c>
      <c r="C16" s="8">
        <f>IF(B$3=0,0,B16/B$3)</f>
        <v>0.26322115384615385</v>
      </c>
      <c r="E16" s="29" t="s">
        <v>79</v>
      </c>
      <c r="F16" s="26" t="s">
        <v>34</v>
      </c>
      <c r="G16" s="14">
        <v>5</v>
      </c>
      <c r="H16" s="92">
        <f>IF(B$19=0,0,G16/B$19)</f>
        <v>2.2026431718061675E-2</v>
      </c>
      <c r="I16" s="60">
        <v>3</v>
      </c>
      <c r="K16" s="7">
        <v>14</v>
      </c>
      <c r="L16" s="65">
        <v>-51.1</v>
      </c>
      <c r="N16" s="78" t="s">
        <v>194</v>
      </c>
      <c r="O16" s="87">
        <f>IF(P16=0,0,Q16/P16)</f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62</v>
      </c>
      <c r="C17" s="6">
        <f>IF(B$15=0,0,B17/B$15)</f>
        <v>0.52542372881355937</v>
      </c>
      <c r="E17" s="29" t="s">
        <v>91</v>
      </c>
      <c r="F17" s="26" t="s">
        <v>46</v>
      </c>
      <c r="G17" s="14">
        <v>4</v>
      </c>
      <c r="H17" s="92">
        <f>IF(B$19=0,0,G17/B$19)</f>
        <v>1.7621145374449341E-2</v>
      </c>
      <c r="I17" s="60">
        <v>5</v>
      </c>
      <c r="K17" s="7">
        <v>15</v>
      </c>
      <c r="L17" s="65">
        <v>-65.2</v>
      </c>
      <c r="N17" s="78" t="s">
        <v>169</v>
      </c>
      <c r="O17" s="87">
        <f>IF(P17=0,0,Q17/P17)</f>
        <v>-1.5750000000000026</v>
      </c>
      <c r="P17" s="81">
        <v>20</v>
      </c>
      <c r="Q17" s="72">
        <v>-31.500000000000053</v>
      </c>
    </row>
    <row r="18" spans="1:17" x14ac:dyDescent="0.45">
      <c r="A18" s="20" t="s">
        <v>124</v>
      </c>
      <c r="B18" s="13">
        <f>B24</f>
        <v>87</v>
      </c>
      <c r="C18" s="6">
        <f>IF(B$16=0,0,B18/B$16)</f>
        <v>0.39726027397260272</v>
      </c>
      <c r="E18" s="29" t="s">
        <v>74</v>
      </c>
      <c r="F18" s="26" t="s">
        <v>29</v>
      </c>
      <c r="G18" s="14">
        <v>2</v>
      </c>
      <c r="H18" s="92">
        <f>IF(B$19=0,0,G18/B$19)</f>
        <v>8.8105726872246704E-3</v>
      </c>
      <c r="I18" s="60">
        <v>1</v>
      </c>
      <c r="K18" s="7">
        <v>16</v>
      </c>
      <c r="L18" s="65">
        <v>-70.600000000000009</v>
      </c>
      <c r="N18" s="78" t="s">
        <v>168</v>
      </c>
      <c r="O18" s="87">
        <f>IF(P18=0,0,Q18/P18)</f>
        <v>-1.6133333333333333</v>
      </c>
      <c r="P18" s="81">
        <v>30</v>
      </c>
      <c r="Q18" s="72">
        <v>-48.4</v>
      </c>
    </row>
    <row r="19" spans="1:17" x14ac:dyDescent="0.45">
      <c r="A19" s="20" t="s">
        <v>10</v>
      </c>
      <c r="B19" s="13">
        <f>B22+B21</f>
        <v>227</v>
      </c>
      <c r="C19" s="6">
        <f>IF(B$3=0,0,B19/B$3)</f>
        <v>0.27283653846153844</v>
      </c>
      <c r="E19" s="29" t="s">
        <v>75</v>
      </c>
      <c r="F19" s="26" t="s">
        <v>30</v>
      </c>
      <c r="G19" s="14">
        <v>2</v>
      </c>
      <c r="H19" s="92">
        <f>IF(B$19=0,0,G19/B$19)</f>
        <v>8.8105726872246704E-3</v>
      </c>
      <c r="I19" s="60">
        <v>4</v>
      </c>
      <c r="K19" s="7">
        <v>17</v>
      </c>
      <c r="L19" s="65">
        <v>-65.2</v>
      </c>
      <c r="N19" s="78" t="s">
        <v>127</v>
      </c>
      <c r="O19" s="87">
        <f>IF(P19=0,0,Q19/P19)</f>
        <v>-13.864864864864865</v>
      </c>
      <c r="P19" s="81">
        <v>37</v>
      </c>
      <c r="Q19" s="72">
        <v>-513</v>
      </c>
    </row>
    <row r="20" spans="1:17" x14ac:dyDescent="0.45">
      <c r="A20" s="21" t="s">
        <v>13</v>
      </c>
      <c r="B20" s="14">
        <v>135</v>
      </c>
      <c r="C20" s="8">
        <f>IF(B$3=0,0,B20/B$3)</f>
        <v>0.16225961538461539</v>
      </c>
      <c r="E20" s="29" t="s">
        <v>78</v>
      </c>
      <c r="F20" s="26" t="s">
        <v>33</v>
      </c>
      <c r="G20" s="14">
        <v>2</v>
      </c>
      <c r="H20" s="92">
        <f>IF(B$19=0,0,G20/B$19)</f>
        <v>8.8105726872246704E-3</v>
      </c>
      <c r="I20" s="60">
        <v>10</v>
      </c>
      <c r="K20" s="7">
        <v>18</v>
      </c>
      <c r="L20" s="65">
        <v>-80.2</v>
      </c>
      <c r="N20" s="78" t="s">
        <v>126</v>
      </c>
      <c r="O20" s="87">
        <f>IF(P20=0,0,Q20/P20)</f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96</v>
      </c>
      <c r="C21" s="8">
        <f>IF(B$19=0,0,B21/B$19)</f>
        <v>0.42290748898678415</v>
      </c>
      <c r="E21" s="29" t="s">
        <v>88</v>
      </c>
      <c r="F21" s="26" t="s">
        <v>43</v>
      </c>
      <c r="G21" s="14">
        <v>2</v>
      </c>
      <c r="H21" s="92">
        <f>IF(B$19=0,0,G21/B$19)</f>
        <v>8.8105726872246704E-3</v>
      </c>
      <c r="I21" s="60">
        <v>1</v>
      </c>
      <c r="K21" s="7">
        <v>19</v>
      </c>
      <c r="L21" s="65">
        <v>-115.1</v>
      </c>
      <c r="N21" s="78" t="s">
        <v>195</v>
      </c>
      <c r="O21" s="87">
        <f>IF(P21=0,0,Q21/P21)</f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131</v>
      </c>
      <c r="C22" s="8">
        <f>IF(B$19=0,0,B22/B$19)</f>
        <v>0.5770925110132159</v>
      </c>
      <c r="E22" s="29" t="s">
        <v>93</v>
      </c>
      <c r="F22" s="26" t="s">
        <v>48</v>
      </c>
      <c r="G22" s="14">
        <v>2</v>
      </c>
      <c r="H22" s="92">
        <f>IF(B$19=0,0,G22/B$19)</f>
        <v>8.8105726872246704E-3</v>
      </c>
      <c r="I22" s="60">
        <v>1</v>
      </c>
      <c r="K22" s="7">
        <v>20</v>
      </c>
      <c r="L22" s="65">
        <v>-88.8</v>
      </c>
      <c r="N22" s="78" t="s">
        <v>167</v>
      </c>
      <c r="O22" s="87">
        <f>IF(P22=0,0,Q22/P22)</f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62</v>
      </c>
      <c r="C23" s="8">
        <f>IF(B$19=0,0,B23/B$19)</f>
        <v>0.27312775330396477</v>
      </c>
      <c r="E23" s="29" t="s">
        <v>77</v>
      </c>
      <c r="F23" s="26" t="s">
        <v>32</v>
      </c>
      <c r="G23" s="14">
        <v>1</v>
      </c>
      <c r="H23" s="92">
        <f>IF(B$19=0,0,G23/B$19)</f>
        <v>4.4052863436123352E-3</v>
      </c>
      <c r="I23" s="60">
        <v>3</v>
      </c>
      <c r="K23" s="7">
        <v>21</v>
      </c>
      <c r="L23" s="65">
        <v>-111.4</v>
      </c>
      <c r="N23" s="78" t="s">
        <v>282</v>
      </c>
      <c r="O23" s="87">
        <f>IF(P23=0,0,Q23/P23)</f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87</v>
      </c>
      <c r="C24" s="8">
        <f>IF(B$19=0,0,B24/B$19)</f>
        <v>0.38325991189427311</v>
      </c>
      <c r="E24" s="29" t="s">
        <v>84</v>
      </c>
      <c r="F24" s="26" t="s">
        <v>39</v>
      </c>
      <c r="G24" s="14">
        <v>1</v>
      </c>
      <c r="H24" s="92">
        <f>IF(B$19=0,0,G24/B$19)</f>
        <v>4.4052863436123352E-3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78</v>
      </c>
      <c r="C25" s="8">
        <f>IF(B$19=0,0,B25/B$19)</f>
        <v>0.34361233480176212</v>
      </c>
      <c r="E25" s="29" t="s">
        <v>87</v>
      </c>
      <c r="F25" s="26" t="s">
        <v>42</v>
      </c>
      <c r="G25" s="14">
        <v>1</v>
      </c>
      <c r="H25" s="92">
        <f>IF(B$19=0,0,G25/B$19)</f>
        <v>4.4052863436123352E-3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7057.7092511013216</v>
      </c>
      <c r="C26" s="10">
        <v>1602100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7562.8571428571431</v>
      </c>
      <c r="C27" s="100">
        <v>1058800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6244.8275862068967</v>
      </c>
      <c r="C28" s="100">
        <v>543300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-7708.8888888888887</v>
      </c>
      <c r="C29" s="100">
        <v>-1040700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3">
        <v>6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5">
        <v>87400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2</v>
      </c>
      <c r="C34" s="11">
        <f>IF(B$3=0,0,B34/B$3)</f>
        <v>2.403846153846154E-3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2">IF(B$19=0,0,B36/B$19)</f>
        <v>0.13215859030837004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46</v>
      </c>
      <c r="C37" s="8">
        <f t="shared" si="2"/>
        <v>0.20264317180616739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48</v>
      </c>
      <c r="C38" s="8">
        <f t="shared" si="2"/>
        <v>0.21145374449339208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42</v>
      </c>
      <c r="C39" s="8">
        <f t="shared" si="2"/>
        <v>0.18502202643171806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23</v>
      </c>
      <c r="C40" s="8">
        <f t="shared" si="2"/>
        <v>0.1013215859030837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2"/>
        <v>7.9295154185022032E-2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2"/>
        <v>4.8458149779735685E-2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2"/>
        <v>2.643171806167401E-2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2"/>
        <v>4.4052863436123352E-3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2"/>
        <v>8.8105726872246704E-3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2616-B656-4EA8-9763-B391CEFBB08A}">
  <sheetPr codeName="Sheet9"/>
  <dimension ref="A1:Q21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126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212</v>
      </c>
      <c r="C2" s="130"/>
      <c r="E2" s="28" t="s">
        <v>66</v>
      </c>
      <c r="F2" s="25" t="s">
        <v>22</v>
      </c>
      <c r="G2" s="13">
        <v>419</v>
      </c>
      <c r="H2" s="91">
        <f>IF(B$19=0,0,G2/B$19)</f>
        <v>0.69485903814262018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1280.0947867298578</v>
      </c>
      <c r="P2" s="80">
        <v>211</v>
      </c>
      <c r="Q2" s="67">
        <v>270100</v>
      </c>
    </row>
    <row r="3" spans="1:17" x14ac:dyDescent="0.45">
      <c r="A3" s="21" t="s">
        <v>8</v>
      </c>
      <c r="B3" s="131">
        <v>1761</v>
      </c>
      <c r="C3" s="132"/>
      <c r="E3" s="29" t="s">
        <v>72</v>
      </c>
      <c r="F3" s="26" t="s">
        <v>27</v>
      </c>
      <c r="G3" s="14">
        <v>325</v>
      </c>
      <c r="H3" s="92">
        <f>IF(B$19=0,0,G3/B$19)</f>
        <v>0.53897180762852404</v>
      </c>
      <c r="I3" s="60">
        <v>8</v>
      </c>
      <c r="K3" s="7">
        <v>1</v>
      </c>
      <c r="L3" s="65">
        <v>50.2</v>
      </c>
      <c r="N3" s="78" t="s">
        <v>131</v>
      </c>
      <c r="O3" s="84">
        <f t="shared" si="0"/>
        <v>1744.2307692307693</v>
      </c>
      <c r="P3" s="81">
        <v>208</v>
      </c>
      <c r="Q3" s="68">
        <v>362800</v>
      </c>
    </row>
    <row r="4" spans="1:17" x14ac:dyDescent="0.45">
      <c r="A4" s="21" t="s">
        <v>6</v>
      </c>
      <c r="B4" s="133">
        <v>2015.3999999999999</v>
      </c>
      <c r="C4" s="134"/>
      <c r="E4" s="29" t="s">
        <v>64</v>
      </c>
      <c r="F4" s="26" t="s">
        <v>20</v>
      </c>
      <c r="G4" s="14">
        <v>261</v>
      </c>
      <c r="H4" s="92">
        <f>IF(B$19=0,0,G4/B$19)</f>
        <v>0.43283582089552236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1350.5</v>
      </c>
      <c r="P4" s="81">
        <v>200</v>
      </c>
      <c r="Q4" s="68">
        <v>270100</v>
      </c>
    </row>
    <row r="5" spans="1:17" x14ac:dyDescent="0.45">
      <c r="A5" s="21" t="s">
        <v>7</v>
      </c>
      <c r="B5" s="121">
        <f>IF(B$2=0,0,B$4/B$2)</f>
        <v>9.5066037735849047</v>
      </c>
      <c r="C5" s="122"/>
      <c r="E5" s="29" t="s">
        <v>163</v>
      </c>
      <c r="F5" s="26" t="s">
        <v>164</v>
      </c>
      <c r="G5" s="14">
        <v>231</v>
      </c>
      <c r="H5" s="92">
        <f>IF(B$19=0,0,G5/B$19)</f>
        <v>0.38308457711442784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136.36363636363637</v>
      </c>
      <c r="P5" s="81">
        <v>187</v>
      </c>
      <c r="Q5" s="68">
        <v>25500</v>
      </c>
    </row>
    <row r="6" spans="1:17" x14ac:dyDescent="0.45">
      <c r="A6" s="21" t="s">
        <v>1</v>
      </c>
      <c r="B6" s="135">
        <f>IF(B$2=0,0,(B$7*1+B$8*2+B$9*3)/B$2)</f>
        <v>1.7594339622641511</v>
      </c>
      <c r="C6" s="136"/>
      <c r="E6" s="29" t="s">
        <v>68</v>
      </c>
      <c r="F6" s="26" t="s">
        <v>12</v>
      </c>
      <c r="G6" s="14">
        <v>169</v>
      </c>
      <c r="H6" s="92">
        <f>IF(B$19=0,0,G6/B$19)</f>
        <v>0.28026533996683251</v>
      </c>
      <c r="I6" s="60">
        <v>10</v>
      </c>
      <c r="K6" s="7">
        <v>4</v>
      </c>
      <c r="L6" s="65">
        <v>101.60000000000001</v>
      </c>
      <c r="N6" s="78" t="s">
        <v>134</v>
      </c>
      <c r="O6" s="84">
        <f t="shared" si="0"/>
        <v>1550</v>
      </c>
      <c r="P6" s="81">
        <v>174</v>
      </c>
      <c r="Q6" s="68">
        <v>269700</v>
      </c>
    </row>
    <row r="7" spans="1:17" x14ac:dyDescent="0.45">
      <c r="A7" s="21" t="s">
        <v>2</v>
      </c>
      <c r="B7" s="14">
        <v>101</v>
      </c>
      <c r="C7" s="8">
        <f t="shared" ref="C7:C14" si="1">IF(B$2=0,0,B7/B$2)</f>
        <v>0.47641509433962265</v>
      </c>
      <c r="E7" s="29" t="s">
        <v>67</v>
      </c>
      <c r="F7" s="26" t="s">
        <v>23</v>
      </c>
      <c r="G7" s="14">
        <v>146</v>
      </c>
      <c r="H7" s="92">
        <f>IF(B$19=0,0,G7/B$19)</f>
        <v>0.24212271973466004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1921.8309859154929</v>
      </c>
      <c r="P7" s="82">
        <v>142</v>
      </c>
      <c r="Q7" s="69">
        <v>272900</v>
      </c>
    </row>
    <row r="8" spans="1:17" x14ac:dyDescent="0.45">
      <c r="A8" s="21" t="s">
        <v>3</v>
      </c>
      <c r="B8" s="14">
        <v>61</v>
      </c>
      <c r="C8" s="8">
        <f t="shared" si="1"/>
        <v>0.28773584905660377</v>
      </c>
      <c r="E8" s="29" t="s">
        <v>89</v>
      </c>
      <c r="F8" s="26" t="s">
        <v>44</v>
      </c>
      <c r="G8" s="14">
        <v>92</v>
      </c>
      <c r="H8" s="92">
        <f>IF(B$19=0,0,G8/B$19)</f>
        <v>0.15257048092868988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50</v>
      </c>
      <c r="C9" s="9">
        <f t="shared" si="1"/>
        <v>0.23584905660377359</v>
      </c>
      <c r="E9" s="29" t="s">
        <v>69</v>
      </c>
      <c r="F9" s="26" t="s">
        <v>24</v>
      </c>
      <c r="G9" s="14">
        <v>74</v>
      </c>
      <c r="H9" s="92">
        <f>IF(B$19=0,0,G9/B$19)</f>
        <v>0.12271973466003316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35.180198019801971</v>
      </c>
      <c r="C10" s="114">
        <v>3553.1999999999989</v>
      </c>
      <c r="E10" s="29" t="s">
        <v>65</v>
      </c>
      <c r="F10" s="26" t="s">
        <v>21</v>
      </c>
      <c r="G10" s="14">
        <v>66</v>
      </c>
      <c r="H10" s="92">
        <f>IF(B$19=0,0,G10/B$19)</f>
        <v>0.10945273631840796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12.734426229508196</v>
      </c>
      <c r="P10" s="80">
        <v>61</v>
      </c>
      <c r="Q10" s="71">
        <v>776.8</v>
      </c>
    </row>
    <row r="11" spans="1:17" x14ac:dyDescent="0.45">
      <c r="A11" s="22" t="s">
        <v>204</v>
      </c>
      <c r="B11" s="113">
        <f>IF(B8=0,0,C11/B8)</f>
        <v>1.1016393442622954</v>
      </c>
      <c r="C11" s="114">
        <v>67.200000000000017</v>
      </c>
      <c r="E11" s="29" t="s">
        <v>71</v>
      </c>
      <c r="F11" s="26" t="s">
        <v>26</v>
      </c>
      <c r="G11" s="14">
        <v>44</v>
      </c>
      <c r="H11" s="92">
        <f>IF(B$19=0,0,G11/B$19)</f>
        <v>7.2968490878938641E-2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6.8287671232876717</v>
      </c>
      <c r="P11" s="81">
        <v>73</v>
      </c>
      <c r="Q11" s="72">
        <v>498.5</v>
      </c>
    </row>
    <row r="12" spans="1:17" x14ac:dyDescent="0.45">
      <c r="A12" s="22" t="s">
        <v>205</v>
      </c>
      <c r="B12" s="113">
        <f>IF(B9=0,0,C12/B9)</f>
        <v>-32.100000000000016</v>
      </c>
      <c r="C12" s="114">
        <v>-1605.0000000000009</v>
      </c>
      <c r="E12" s="29" t="s">
        <v>70</v>
      </c>
      <c r="F12" s="26" t="s">
        <v>25</v>
      </c>
      <c r="G12" s="14">
        <v>40</v>
      </c>
      <c r="H12" s="92">
        <f>IF(B$19=0,0,G12/B$19)</f>
        <v>6.633499170812604E-2</v>
      </c>
      <c r="I12" s="60">
        <v>13</v>
      </c>
      <c r="K12" s="7">
        <v>10</v>
      </c>
      <c r="L12" s="65">
        <v>158.19999999999999</v>
      </c>
      <c r="N12" s="79" t="s">
        <v>156</v>
      </c>
      <c r="O12" s="88">
        <f>IF(P12=0,0,Q12/P12)</f>
        <v>9.4884615384615358</v>
      </c>
      <c r="P12" s="82">
        <v>78</v>
      </c>
      <c r="Q12" s="73">
        <v>740.0999999999998</v>
      </c>
    </row>
    <row r="13" spans="1:17" x14ac:dyDescent="0.45">
      <c r="A13" s="22" t="s">
        <v>206</v>
      </c>
      <c r="B13" s="121">
        <f>AVERAGE(B10:B12)</f>
        <v>1.3939457880214168</v>
      </c>
      <c r="C13" s="122"/>
      <c r="E13" s="29" t="s">
        <v>86</v>
      </c>
      <c r="F13" s="26" t="s">
        <v>41</v>
      </c>
      <c r="G13" s="14">
        <v>37</v>
      </c>
      <c r="H13" s="92">
        <f>IF(B$19=0,0,G13/B$19)</f>
        <v>6.1359867330016582E-2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</v>
      </c>
      <c r="C14" s="11">
        <f t="shared" si="1"/>
        <v>4.716981132075472E-2</v>
      </c>
      <c r="E14" s="29" t="s">
        <v>83</v>
      </c>
      <c r="F14" s="26" t="s">
        <v>38</v>
      </c>
      <c r="G14" s="14">
        <v>30</v>
      </c>
      <c r="H14" s="92">
        <f>IF(B$19=0,0,G14/B$19)</f>
        <v>4.975124378109453E-2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467</v>
      </c>
      <c r="C15" s="12">
        <f>IF(B$3=0,0,B15/B$3)</f>
        <v>0.26519023282226006</v>
      </c>
      <c r="E15" s="29" t="s">
        <v>78</v>
      </c>
      <c r="F15" s="26" t="s">
        <v>33</v>
      </c>
      <c r="G15" s="14">
        <v>21</v>
      </c>
      <c r="H15" s="92">
        <f>IF(B$19=0,0,G15/B$19)</f>
        <v>3.482587064676617E-2</v>
      </c>
      <c r="I15" s="60">
        <v>4</v>
      </c>
      <c r="K15" s="7">
        <v>13</v>
      </c>
      <c r="L15" s="65">
        <v>206.39999999999998</v>
      </c>
      <c r="N15" s="77" t="s">
        <v>275</v>
      </c>
      <c r="O15" s="86">
        <f>IF(P15=0,0,Q15/P15)</f>
        <v>42.716666666666661</v>
      </c>
      <c r="P15" s="80">
        <v>6</v>
      </c>
      <c r="Q15" s="71">
        <v>256.29999999999995</v>
      </c>
    </row>
    <row r="16" spans="1:17" x14ac:dyDescent="0.45">
      <c r="A16" s="21" t="s">
        <v>118</v>
      </c>
      <c r="B16" s="14">
        <v>421</v>
      </c>
      <c r="C16" s="8">
        <f>IF(B$3=0,0,B16/B$3)</f>
        <v>0.23906871095968199</v>
      </c>
      <c r="E16" s="29" t="s">
        <v>159</v>
      </c>
      <c r="F16" s="26" t="s">
        <v>160</v>
      </c>
      <c r="G16" s="14">
        <v>15</v>
      </c>
      <c r="H16" s="92">
        <f>IF(B$19=0,0,G16/B$19)</f>
        <v>2.4875621890547265E-2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>IF(P16=0,0,Q16/P16)</f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273</v>
      </c>
      <c r="C17" s="6">
        <f>IF(B$15=0,0,B17/B$15)</f>
        <v>0.58458244111349034</v>
      </c>
      <c r="E17" s="29" t="s">
        <v>81</v>
      </c>
      <c r="F17" s="26" t="s">
        <v>36</v>
      </c>
      <c r="G17" s="14">
        <v>9</v>
      </c>
      <c r="H17" s="92">
        <f>IF(B$19=0,0,G17/B$19)</f>
        <v>1.4925373134328358E-2</v>
      </c>
      <c r="I17" s="60">
        <v>8</v>
      </c>
      <c r="K17" s="7">
        <v>15</v>
      </c>
      <c r="L17" s="65">
        <v>269.49999999999994</v>
      </c>
      <c r="N17" s="78" t="s">
        <v>195</v>
      </c>
      <c r="O17" s="87">
        <f>IF(P17=0,0,Q17/P17)</f>
        <v>28.93076923076924</v>
      </c>
      <c r="P17" s="81">
        <v>26</v>
      </c>
      <c r="Q17" s="72">
        <v>752.20000000000027</v>
      </c>
    </row>
    <row r="18" spans="1:17" x14ac:dyDescent="0.45">
      <c r="A18" s="20" t="s">
        <v>124</v>
      </c>
      <c r="B18" s="13">
        <f>B24</f>
        <v>202</v>
      </c>
      <c r="C18" s="6">
        <f>IF(B$16=0,0,B18/B$16)</f>
        <v>0.47980997624703087</v>
      </c>
      <c r="E18" s="29" t="s">
        <v>91</v>
      </c>
      <c r="F18" s="26" t="s">
        <v>46</v>
      </c>
      <c r="G18" s="14">
        <v>6</v>
      </c>
      <c r="H18" s="92">
        <f>IF(B$19=0,0,G18/B$19)</f>
        <v>9.9502487562189053E-3</v>
      </c>
      <c r="I18" s="60">
        <v>8</v>
      </c>
      <c r="K18" s="7">
        <v>16</v>
      </c>
      <c r="L18" s="65">
        <v>323.69999999999993</v>
      </c>
      <c r="N18" s="78" t="s">
        <v>169</v>
      </c>
      <c r="O18" s="87">
        <f>IF(P18=0,0,Q18/P18)</f>
        <v>16.403030303030302</v>
      </c>
      <c r="P18" s="81">
        <v>66</v>
      </c>
      <c r="Q18" s="72">
        <v>1082.5999999999999</v>
      </c>
    </row>
    <row r="19" spans="1:17" x14ac:dyDescent="0.45">
      <c r="A19" s="20" t="s">
        <v>10</v>
      </c>
      <c r="B19" s="13">
        <f>B22+B21</f>
        <v>603</v>
      </c>
      <c r="C19" s="6">
        <f>IF(B$3=0,0,B19/B$3)</f>
        <v>0.34241908006814309</v>
      </c>
      <c r="E19" s="29" t="s">
        <v>92</v>
      </c>
      <c r="F19" s="26" t="s">
        <v>47</v>
      </c>
      <c r="G19" s="14">
        <v>6</v>
      </c>
      <c r="H19" s="92">
        <f>IF(B$19=0,0,G19/B$19)</f>
        <v>9.9502487562189053E-3</v>
      </c>
      <c r="I19" s="60">
        <v>2</v>
      </c>
      <c r="K19" s="7">
        <v>17</v>
      </c>
      <c r="L19" s="65">
        <v>359.09999999999991</v>
      </c>
      <c r="N19" s="78" t="s">
        <v>158</v>
      </c>
      <c r="O19" s="87">
        <f>IF(P19=0,0,Q19/P19)</f>
        <v>15.44090909090909</v>
      </c>
      <c r="P19" s="81">
        <v>44</v>
      </c>
      <c r="Q19" s="72">
        <v>679.4</v>
      </c>
    </row>
    <row r="20" spans="1:17" x14ac:dyDescent="0.45">
      <c r="A20" s="21" t="s">
        <v>13</v>
      </c>
      <c r="B20" s="14">
        <v>217</v>
      </c>
      <c r="C20" s="8">
        <f>IF(B$3=0,0,B20/B$3)</f>
        <v>0.12322544009085747</v>
      </c>
      <c r="E20" s="29" t="s">
        <v>75</v>
      </c>
      <c r="F20" s="26" t="s">
        <v>30</v>
      </c>
      <c r="G20" s="14">
        <v>5</v>
      </c>
      <c r="H20" s="92">
        <f>IF(B$19=0,0,G20/B$19)</f>
        <v>8.291873963515755E-3</v>
      </c>
      <c r="I20" s="60">
        <v>5</v>
      </c>
      <c r="K20" s="7">
        <v>18</v>
      </c>
      <c r="L20" s="65">
        <v>352.39999999999992</v>
      </c>
      <c r="N20" s="78" t="s">
        <v>127</v>
      </c>
      <c r="O20" s="87">
        <f>IF(P20=0,0,Q20/P20)</f>
        <v>13.436885245901642</v>
      </c>
      <c r="P20" s="81">
        <v>122</v>
      </c>
      <c r="Q20" s="72">
        <v>1639.3000000000004</v>
      </c>
    </row>
    <row r="21" spans="1:17" x14ac:dyDescent="0.45">
      <c r="A21" s="21" t="s">
        <v>12</v>
      </c>
      <c r="B21" s="14">
        <v>253</v>
      </c>
      <c r="C21" s="8">
        <f>IF(B$19=0,0,B21/B$19)</f>
        <v>0.41956882255389716</v>
      </c>
      <c r="E21" s="29" t="s">
        <v>79</v>
      </c>
      <c r="F21" s="26" t="s">
        <v>34</v>
      </c>
      <c r="G21" s="14">
        <v>5</v>
      </c>
      <c r="H21" s="92">
        <f>IF(B$19=0,0,G21/B$19)</f>
        <v>8.291873963515755E-3</v>
      </c>
      <c r="I21" s="60">
        <v>9</v>
      </c>
      <c r="K21" s="7">
        <v>19</v>
      </c>
      <c r="L21" s="65">
        <v>383.19999999999993</v>
      </c>
      <c r="N21" s="78" t="s">
        <v>168</v>
      </c>
      <c r="O21" s="87">
        <f>IF(P21=0,0,Q21/P21)</f>
        <v>13.262820512820516</v>
      </c>
      <c r="P21" s="81">
        <v>78</v>
      </c>
      <c r="Q21" s="72">
        <v>1034.5000000000002</v>
      </c>
    </row>
    <row r="22" spans="1:17" x14ac:dyDescent="0.45">
      <c r="A22" s="21" t="s">
        <v>11</v>
      </c>
      <c r="B22" s="14">
        <v>350</v>
      </c>
      <c r="C22" s="8">
        <f>IF(B$19=0,0,B22/B$19)</f>
        <v>0.58043117744610284</v>
      </c>
      <c r="E22" s="29" t="s">
        <v>85</v>
      </c>
      <c r="F22" s="26" t="s">
        <v>40</v>
      </c>
      <c r="G22" s="14">
        <v>4</v>
      </c>
      <c r="H22" s="92">
        <f>IF(B$19=0,0,G22/B$19)</f>
        <v>6.6334991708126038E-3</v>
      </c>
      <c r="I22" s="60">
        <v>5</v>
      </c>
      <c r="K22" s="7">
        <v>20</v>
      </c>
      <c r="L22" s="65">
        <v>365.49999999999994</v>
      </c>
      <c r="N22" s="78" t="s">
        <v>167</v>
      </c>
      <c r="O22" s="87">
        <f>IF(P22=0,0,Q22/P22)</f>
        <v>4.3463768115942019</v>
      </c>
      <c r="P22" s="81">
        <v>69</v>
      </c>
      <c r="Q22" s="72">
        <v>299.89999999999992</v>
      </c>
    </row>
    <row r="23" spans="1:17" x14ac:dyDescent="0.45">
      <c r="A23" s="21" t="s">
        <v>192</v>
      </c>
      <c r="B23" s="14">
        <v>273</v>
      </c>
      <c r="C23" s="8">
        <f>IF(B$19=0,0,B23/B$19)</f>
        <v>0.45273631840796019</v>
      </c>
      <c r="E23" s="29" t="s">
        <v>77</v>
      </c>
      <c r="F23" s="26" t="s">
        <v>32</v>
      </c>
      <c r="G23" s="14">
        <v>3</v>
      </c>
      <c r="H23" s="92">
        <f>IF(B$19=0,0,G23/B$19)</f>
        <v>4.9751243781094526E-3</v>
      </c>
      <c r="I23" s="60">
        <v>2</v>
      </c>
      <c r="K23" s="7">
        <v>21</v>
      </c>
      <c r="L23" s="65">
        <v>371.39999999999992</v>
      </c>
      <c r="N23" s="78" t="s">
        <v>202</v>
      </c>
      <c r="O23" s="87">
        <f>IF(P23=0,0,Q23/P23)</f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202</v>
      </c>
      <c r="C24" s="8">
        <f>IF(B$19=0,0,B24/B$19)</f>
        <v>0.33499170812603646</v>
      </c>
      <c r="E24" s="29" t="s">
        <v>84</v>
      </c>
      <c r="F24" s="26" t="s">
        <v>39</v>
      </c>
      <c r="G24" s="14">
        <v>3</v>
      </c>
      <c r="H24" s="92">
        <f>IF(B$19=0,0,G24/B$19)</f>
        <v>4.9751243781094526E-3</v>
      </c>
      <c r="I24" s="60">
        <v>2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128</v>
      </c>
      <c r="C25" s="8">
        <f>IF(B$19=0,0,B25/B$19)</f>
        <v>0.21227197346600332</v>
      </c>
      <c r="E25" s="29" t="s">
        <v>74</v>
      </c>
      <c r="F25" s="26" t="s">
        <v>29</v>
      </c>
      <c r="G25" s="14">
        <v>2</v>
      </c>
      <c r="H25" s="92">
        <f>IF(B$19=0,0,G25/B$19)</f>
        <v>3.3167495854063019E-3</v>
      </c>
      <c r="I25" s="60">
        <v>4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8295.0248756218898</v>
      </c>
      <c r="C26" s="10">
        <v>5001900</v>
      </c>
      <c r="E26" s="29" t="s">
        <v>88</v>
      </c>
      <c r="F26" s="26" t="s">
        <v>43</v>
      </c>
      <c r="G26" s="14">
        <v>2</v>
      </c>
      <c r="H26" s="92">
        <f>IF(B$19=0,0,G26/B$19)</f>
        <v>3.3167495854063019E-3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8879.0523690773061</v>
      </c>
      <c r="C27" s="100">
        <v>3560500</v>
      </c>
      <c r="E27" s="29" t="s">
        <v>95</v>
      </c>
      <c r="F27" s="26" t="s">
        <v>50</v>
      </c>
      <c r="G27" s="14">
        <v>2</v>
      </c>
      <c r="H27" s="92">
        <f>IF(B$19=0,0,G27/B$19)</f>
        <v>3.3167495854063019E-3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7135.6435643564355</v>
      </c>
      <c r="C28" s="100">
        <v>1441400</v>
      </c>
      <c r="E28" s="29" t="s">
        <v>87</v>
      </c>
      <c r="F28" s="26" t="s">
        <v>42</v>
      </c>
      <c r="G28" s="14">
        <v>1</v>
      </c>
      <c r="H28" s="92">
        <f>IF(B$19=0,0,G28/B$19)</f>
        <v>1.658374792703151E-3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-7690.7834101382487</v>
      </c>
      <c r="C29" s="100">
        <v>-1668900</v>
      </c>
      <c r="E29" s="29" t="s">
        <v>90</v>
      </c>
      <c r="F29" s="26" t="s">
        <v>45</v>
      </c>
      <c r="G29" s="14">
        <v>1</v>
      </c>
      <c r="H29" s="92">
        <f>IF(B$19=0,0,G29/B$19)</f>
        <v>1.658374792703151E-3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106</v>
      </c>
      <c r="F30" s="26" t="s">
        <v>113</v>
      </c>
      <c r="G30" s="14">
        <v>1</v>
      </c>
      <c r="H30" s="92">
        <f>IF(B$19=0,0,G30/B$19)</f>
        <v>1.658374792703151E-3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15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5">
        <v>149100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1.1357183418512209E-3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55</v>
      </c>
      <c r="C36" s="102">
        <f t="shared" ref="C36:C48" si="2">IF(B$19=0,0,B36/B$19)</f>
        <v>9.1210613598673301E-2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113</v>
      </c>
      <c r="C37" s="8">
        <f t="shared" si="2"/>
        <v>0.18739635157545606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118</v>
      </c>
      <c r="C38" s="8">
        <f t="shared" si="2"/>
        <v>0.19568822553897181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109</v>
      </c>
      <c r="C39" s="8">
        <f t="shared" si="2"/>
        <v>0.18076285240464346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87</v>
      </c>
      <c r="C40" s="8">
        <f t="shared" si="2"/>
        <v>0.14427860696517414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57</v>
      </c>
      <c r="C41" s="8">
        <f t="shared" si="2"/>
        <v>9.4527363184079602E-2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27</v>
      </c>
      <c r="C42" s="8">
        <f t="shared" si="2"/>
        <v>4.4776119402985072E-2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2"/>
        <v>1.9900497512437811E-2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11</v>
      </c>
      <c r="C44" s="8">
        <f t="shared" si="2"/>
        <v>1.824212271973466E-2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2"/>
        <v>4.9751243781094526E-3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2"/>
        <v>1.658374792703151E-3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2"/>
        <v>1.658374792703151E-2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922-00AE-4DD6-A4CF-7E33AB550919}">
  <sheetPr codeName="Sheet11"/>
  <dimension ref="A1:Q18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184</v>
      </c>
      <c r="C2" s="130"/>
      <c r="E2" s="28" t="s">
        <v>66</v>
      </c>
      <c r="F2" s="25" t="s">
        <v>22</v>
      </c>
      <c r="G2" s="13">
        <v>358</v>
      </c>
      <c r="H2" s="91">
        <f>IF(B$19=0,0,G2/B$19)</f>
        <v>0.73966942148760328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-1037.3626373626373</v>
      </c>
      <c r="P2" s="80">
        <v>182</v>
      </c>
      <c r="Q2" s="67">
        <v>-188800</v>
      </c>
    </row>
    <row r="3" spans="1:17" x14ac:dyDescent="0.45">
      <c r="A3" s="21" t="s">
        <v>8</v>
      </c>
      <c r="B3" s="131">
        <v>1532</v>
      </c>
      <c r="C3" s="132"/>
      <c r="E3" s="29" t="s">
        <v>72</v>
      </c>
      <c r="F3" s="26" t="s">
        <v>27</v>
      </c>
      <c r="G3" s="14">
        <v>277</v>
      </c>
      <c r="H3" s="92">
        <f>IF(B$19=0,0,G3/B$19)</f>
        <v>0.5723140495867769</v>
      </c>
      <c r="I3" s="60">
        <v>3</v>
      </c>
      <c r="K3" s="7">
        <v>1</v>
      </c>
      <c r="L3" s="65">
        <v>-45.6</v>
      </c>
      <c r="N3" s="78" t="s">
        <v>131</v>
      </c>
      <c r="O3" s="84">
        <f t="shared" si="0"/>
        <v>1034.63687150838</v>
      </c>
      <c r="P3" s="81">
        <v>179</v>
      </c>
      <c r="Q3" s="68">
        <v>185200</v>
      </c>
    </row>
    <row r="4" spans="1:17" x14ac:dyDescent="0.45">
      <c r="A4" s="21" t="s">
        <v>6</v>
      </c>
      <c r="B4" s="133">
        <v>-27.200000000000216</v>
      </c>
      <c r="C4" s="134"/>
      <c r="E4" s="29" t="s">
        <v>163</v>
      </c>
      <c r="F4" s="26" t="s">
        <v>164</v>
      </c>
      <c r="G4" s="14">
        <v>197</v>
      </c>
      <c r="H4" s="92">
        <f>IF(B$19=0,0,G4/B$19)</f>
        <v>0.40702479338842973</v>
      </c>
      <c r="I4" s="60">
        <v>5</v>
      </c>
      <c r="K4" s="7">
        <v>2</v>
      </c>
      <c r="L4" s="65">
        <v>-34.299999999999997</v>
      </c>
      <c r="N4" s="78" t="s">
        <v>132</v>
      </c>
      <c r="O4" s="84">
        <f t="shared" si="0"/>
        <v>-298.80239520958082</v>
      </c>
      <c r="P4" s="81">
        <v>167</v>
      </c>
      <c r="Q4" s="68">
        <v>-49900</v>
      </c>
    </row>
    <row r="5" spans="1:17" x14ac:dyDescent="0.45">
      <c r="A5" s="21" t="s">
        <v>7</v>
      </c>
      <c r="B5" s="121">
        <f>IF(B$2=0,0,B$4/B$2)</f>
        <v>-0.14782608695652291</v>
      </c>
      <c r="C5" s="122"/>
      <c r="E5" s="29" t="s">
        <v>64</v>
      </c>
      <c r="F5" s="26" t="s">
        <v>20</v>
      </c>
      <c r="G5" s="14">
        <v>181</v>
      </c>
      <c r="H5" s="92">
        <f>IF(B$19=0,0,G5/B$19)</f>
        <v>0.37396694214876031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10.691823899371069</v>
      </c>
      <c r="P5" s="81">
        <v>159</v>
      </c>
      <c r="Q5" s="68">
        <v>1700</v>
      </c>
    </row>
    <row r="6" spans="1:17" x14ac:dyDescent="0.45">
      <c r="A6" s="21" t="s">
        <v>1</v>
      </c>
      <c r="B6" s="135">
        <f>IF(B$2=0,0,(B$7*1+B$8*2+B$9*3)/B$2)</f>
        <v>1.9782608695652173</v>
      </c>
      <c r="C6" s="136"/>
      <c r="E6" s="29" t="s">
        <v>68</v>
      </c>
      <c r="F6" s="26" t="s">
        <v>12</v>
      </c>
      <c r="G6" s="14">
        <v>130</v>
      </c>
      <c r="H6" s="92">
        <f>IF(B$19=0,0,G6/B$19)</f>
        <v>0.26859504132231404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-1001.3698630136986</v>
      </c>
      <c r="P6" s="81">
        <v>146</v>
      </c>
      <c r="Q6" s="68">
        <v>-146200</v>
      </c>
    </row>
    <row r="7" spans="1:17" x14ac:dyDescent="0.45">
      <c r="A7" s="21" t="s">
        <v>2</v>
      </c>
      <c r="B7" s="14">
        <v>62</v>
      </c>
      <c r="C7" s="8">
        <f t="shared" ref="C7:C14" si="1">IF(B$2=0,0,B7/B$2)</f>
        <v>0.33695652173913043</v>
      </c>
      <c r="E7" s="29" t="s">
        <v>67</v>
      </c>
      <c r="F7" s="26" t="s">
        <v>23</v>
      </c>
      <c r="G7" s="14">
        <v>97</v>
      </c>
      <c r="H7" s="92">
        <f>IF(B$19=0,0,G7/B$19)</f>
        <v>0.20041322314049587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1210.5691056910568</v>
      </c>
      <c r="P7" s="82">
        <v>123</v>
      </c>
      <c r="Q7" s="69">
        <v>148900</v>
      </c>
    </row>
    <row r="8" spans="1:17" x14ac:dyDescent="0.45">
      <c r="A8" s="21" t="s">
        <v>3</v>
      </c>
      <c r="B8" s="14">
        <v>64</v>
      </c>
      <c r="C8" s="8">
        <f t="shared" si="1"/>
        <v>0.34782608695652173</v>
      </c>
      <c r="E8" s="29" t="s">
        <v>69</v>
      </c>
      <c r="F8" s="26" t="s">
        <v>24</v>
      </c>
      <c r="G8" s="14">
        <v>52</v>
      </c>
      <c r="H8" s="92">
        <f>IF(B$19=0,0,G8/B$19)</f>
        <v>0.10743801652892562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58</v>
      </c>
      <c r="C9" s="9">
        <f t="shared" si="1"/>
        <v>0.31521739130434784</v>
      </c>
      <c r="E9" s="29" t="s">
        <v>89</v>
      </c>
      <c r="F9" s="26" t="s">
        <v>44</v>
      </c>
      <c r="G9" s="14">
        <v>51</v>
      </c>
      <c r="H9" s="92">
        <f>IF(B$19=0,0,G9/B$19)</f>
        <v>0.10537190082644628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35.31129032258066</v>
      </c>
      <c r="C10" s="114">
        <v>2189.3000000000011</v>
      </c>
      <c r="E10" s="29" t="s">
        <v>70</v>
      </c>
      <c r="F10" s="26" t="s">
        <v>25</v>
      </c>
      <c r="G10" s="14">
        <v>45</v>
      </c>
      <c r="H10" s="92">
        <f>IF(B$19=0,0,G10/B$19)</f>
        <v>9.2975206611570244E-2</v>
      </c>
      <c r="I10" s="60">
        <v>9</v>
      </c>
      <c r="K10" s="7">
        <v>8</v>
      </c>
      <c r="L10" s="65">
        <v>-56.79999999999999</v>
      </c>
      <c r="N10" s="77" t="s">
        <v>154</v>
      </c>
      <c r="O10" s="86">
        <f>IF(P10=0,0,Q10/P10)</f>
        <v>-0.61228070175438565</v>
      </c>
      <c r="P10" s="80">
        <v>57</v>
      </c>
      <c r="Q10" s="71">
        <v>-34.899999999999984</v>
      </c>
    </row>
    <row r="11" spans="1:17" x14ac:dyDescent="0.45">
      <c r="A11" s="22" t="s">
        <v>204</v>
      </c>
      <c r="B11" s="113">
        <f>IF(B8=0,0,C11/B8)</f>
        <v>-1.159375</v>
      </c>
      <c r="C11" s="114">
        <v>-74.2</v>
      </c>
      <c r="E11" s="29" t="s">
        <v>71</v>
      </c>
      <c r="F11" s="26" t="s">
        <v>26</v>
      </c>
      <c r="G11" s="14">
        <v>42</v>
      </c>
      <c r="H11" s="92">
        <f>IF(B$19=0,0,G11/B$19)</f>
        <v>8.6776859504132234E-2</v>
      </c>
      <c r="I11" s="60">
        <v>5</v>
      </c>
      <c r="K11" s="7">
        <v>9</v>
      </c>
      <c r="L11" s="65">
        <v>-83.699999999999989</v>
      </c>
      <c r="N11" s="78" t="s">
        <v>155</v>
      </c>
      <c r="O11" s="87">
        <f>IF(P11=0,0,Q11/P11)</f>
        <v>3.5066666666666677</v>
      </c>
      <c r="P11" s="81">
        <v>60</v>
      </c>
      <c r="Q11" s="72">
        <v>210.40000000000006</v>
      </c>
    </row>
    <row r="12" spans="1:17" x14ac:dyDescent="0.45">
      <c r="A12" s="22" t="s">
        <v>205</v>
      </c>
      <c r="B12" s="113">
        <f>IF(B9=0,0,C12/B9)</f>
        <v>-36.936206896551717</v>
      </c>
      <c r="C12" s="114">
        <v>-2142.2999999999997</v>
      </c>
      <c r="E12" s="29" t="s">
        <v>65</v>
      </c>
      <c r="F12" s="26" t="s">
        <v>21</v>
      </c>
      <c r="G12" s="14">
        <v>37</v>
      </c>
      <c r="H12" s="92">
        <f>IF(B$19=0,0,G12/B$19)</f>
        <v>7.6446280991735532E-2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-3.0253731343283583</v>
      </c>
      <c r="P12" s="82">
        <v>67</v>
      </c>
      <c r="Q12" s="73">
        <v>-202.70000000000002</v>
      </c>
    </row>
    <row r="13" spans="1:17" x14ac:dyDescent="0.45">
      <c r="A13" s="22" t="s">
        <v>206</v>
      </c>
      <c r="B13" s="121">
        <f>AVERAGE(B10:B12)</f>
        <v>-0.92809719132368451</v>
      </c>
      <c r="C13" s="122"/>
      <c r="E13" s="29" t="s">
        <v>86</v>
      </c>
      <c r="F13" s="26" t="s">
        <v>41</v>
      </c>
      <c r="G13" s="14">
        <v>26</v>
      </c>
      <c r="H13" s="92">
        <f>IF(B$19=0,0,G13/B$19)</f>
        <v>5.3719008264462811E-2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0.10326086956521739</v>
      </c>
      <c r="E14" s="29" t="s">
        <v>83</v>
      </c>
      <c r="F14" s="26" t="s">
        <v>38</v>
      </c>
      <c r="G14" s="14">
        <v>22</v>
      </c>
      <c r="H14" s="92">
        <f>IF(B$19=0,0,G14/B$19)</f>
        <v>4.5454545454545456E-2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347</v>
      </c>
      <c r="C15" s="12">
        <f>IF(B$3=0,0,B15/B$3)</f>
        <v>0.22650130548302871</v>
      </c>
      <c r="E15" s="29" t="s">
        <v>78</v>
      </c>
      <c r="F15" s="26" t="s">
        <v>33</v>
      </c>
      <c r="G15" s="14">
        <v>19</v>
      </c>
      <c r="H15" s="92">
        <f>IF(B$19=0,0,G15/B$19)</f>
        <v>3.9256198347107439E-2</v>
      </c>
      <c r="I15" s="60">
        <v>3</v>
      </c>
      <c r="K15" s="7">
        <v>13</v>
      </c>
      <c r="L15" s="65">
        <v>-86.8</v>
      </c>
      <c r="N15" s="77" t="s">
        <v>201</v>
      </c>
      <c r="O15" s="86">
        <f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457</v>
      </c>
      <c r="C16" s="8">
        <f>IF(B$3=0,0,B16/B$3)</f>
        <v>0.2983028720626632</v>
      </c>
      <c r="E16" s="29" t="s">
        <v>91</v>
      </c>
      <c r="F16" s="26" t="s">
        <v>46</v>
      </c>
      <c r="G16" s="14">
        <v>14</v>
      </c>
      <c r="H16" s="92">
        <f>IF(B$19=0,0,G16/B$19)</f>
        <v>2.8925619834710745E-2</v>
      </c>
      <c r="I16" s="60">
        <v>2</v>
      </c>
      <c r="K16" s="7">
        <v>14</v>
      </c>
      <c r="L16" s="65">
        <v>-138.4</v>
      </c>
      <c r="N16" s="78" t="s">
        <v>194</v>
      </c>
      <c r="O16" s="87">
        <f>IF(P16=0,0,Q16/P16)</f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179</v>
      </c>
      <c r="C17" s="6">
        <f>IF(B$15=0,0,B17/B$15)</f>
        <v>0.51585014409221897</v>
      </c>
      <c r="E17" s="29" t="s">
        <v>81</v>
      </c>
      <c r="F17" s="26" t="s">
        <v>36</v>
      </c>
      <c r="G17" s="14">
        <v>12</v>
      </c>
      <c r="H17" s="92">
        <f>IF(B$19=0,0,G17/B$19)</f>
        <v>2.4793388429752067E-2</v>
      </c>
      <c r="I17" s="60">
        <v>5</v>
      </c>
      <c r="K17" s="7">
        <v>15</v>
      </c>
      <c r="L17" s="65">
        <v>-144.30000000000001</v>
      </c>
      <c r="N17" s="78" t="s">
        <v>169</v>
      </c>
      <c r="O17" s="87">
        <f>IF(P17=0,0,Q17/P17)</f>
        <v>18.434693877551016</v>
      </c>
      <c r="P17" s="81">
        <v>49</v>
      </c>
      <c r="Q17" s="72">
        <v>903.29999999999973</v>
      </c>
    </row>
    <row r="18" spans="1:17" x14ac:dyDescent="0.45">
      <c r="A18" s="20" t="s">
        <v>124</v>
      </c>
      <c r="B18" s="13">
        <f>B24</f>
        <v>184</v>
      </c>
      <c r="C18" s="6">
        <f>IF(B$16=0,0,B18/B$16)</f>
        <v>0.40262582056892782</v>
      </c>
      <c r="E18" s="29" t="s">
        <v>79</v>
      </c>
      <c r="F18" s="26" t="s">
        <v>34</v>
      </c>
      <c r="G18" s="14">
        <v>8</v>
      </c>
      <c r="H18" s="92">
        <f>IF(B$19=0,0,G18/B$19)</f>
        <v>1.6528925619834711E-2</v>
      </c>
      <c r="I18" s="60">
        <v>6</v>
      </c>
      <c r="K18" s="7">
        <v>16</v>
      </c>
      <c r="L18" s="65">
        <v>-187.3</v>
      </c>
      <c r="N18" s="78" t="s">
        <v>195</v>
      </c>
      <c r="O18" s="87">
        <f>IF(P18=0,0,Q18/P18)</f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484</v>
      </c>
      <c r="C19" s="6">
        <f>IF(B$3=0,0,B19/B$3)</f>
        <v>0.31592689295039167</v>
      </c>
      <c r="E19" s="29" t="s">
        <v>159</v>
      </c>
      <c r="F19" s="26" t="s">
        <v>160</v>
      </c>
      <c r="G19" s="14">
        <v>5</v>
      </c>
      <c r="H19" s="92">
        <f>IF(B$19=0,0,G19/B$19)</f>
        <v>1.0330578512396695E-2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>IF(P19=0,0,Q19/P19)</f>
        <v>13.864864864864865</v>
      </c>
      <c r="P19" s="81">
        <v>37</v>
      </c>
      <c r="Q19" s="72">
        <v>513</v>
      </c>
    </row>
    <row r="20" spans="1:17" x14ac:dyDescent="0.45">
      <c r="A20" s="21" t="s">
        <v>13</v>
      </c>
      <c r="B20" s="14">
        <v>268</v>
      </c>
      <c r="C20" s="8">
        <f>IF(B$3=0,0,B20/B$3)</f>
        <v>0.17493472584856398</v>
      </c>
      <c r="E20" s="29" t="s">
        <v>92</v>
      </c>
      <c r="F20" s="26" t="s">
        <v>47</v>
      </c>
      <c r="G20" s="14">
        <v>3</v>
      </c>
      <c r="H20" s="92">
        <f>IF(B$19=0,0,G20/B$19)</f>
        <v>6.1983471074380167E-3</v>
      </c>
      <c r="I20" s="60">
        <v>6</v>
      </c>
      <c r="K20" s="7">
        <v>18</v>
      </c>
      <c r="L20" s="65">
        <v>-112.90000000000002</v>
      </c>
      <c r="N20" s="78" t="s">
        <v>275</v>
      </c>
      <c r="O20" s="87">
        <f>IF(P20=0,0,Q20/P20)</f>
        <v>-2.86</v>
      </c>
      <c r="P20" s="81">
        <v>5</v>
      </c>
      <c r="Q20" s="72">
        <v>-14.299999999999999</v>
      </c>
    </row>
    <row r="21" spans="1:17" x14ac:dyDescent="0.45">
      <c r="A21" s="21" t="s">
        <v>12</v>
      </c>
      <c r="B21" s="14">
        <v>199</v>
      </c>
      <c r="C21" s="8">
        <f>IF(B$19=0,0,B21/B$19)</f>
        <v>0.41115702479338845</v>
      </c>
      <c r="E21" s="29" t="s">
        <v>74</v>
      </c>
      <c r="F21" s="26" t="s">
        <v>29</v>
      </c>
      <c r="G21" s="14">
        <v>2</v>
      </c>
      <c r="H21" s="92">
        <f>IF(B$19=0,0,G21/B$19)</f>
        <v>4.1322314049586778E-3</v>
      </c>
      <c r="I21" s="60">
        <v>3</v>
      </c>
      <c r="K21" s="7">
        <v>19</v>
      </c>
      <c r="L21" s="65">
        <v>-162.40000000000003</v>
      </c>
      <c r="N21" s="78" t="s">
        <v>168</v>
      </c>
      <c r="O21" s="87">
        <f>IF(P21=0,0,Q21/P21)</f>
        <v>-3.1396825396825383</v>
      </c>
      <c r="P21" s="81">
        <v>63</v>
      </c>
      <c r="Q21" s="72">
        <v>-197.79999999999993</v>
      </c>
    </row>
    <row r="22" spans="1:17" x14ac:dyDescent="0.45">
      <c r="A22" s="21" t="s">
        <v>11</v>
      </c>
      <c r="B22" s="14">
        <v>285</v>
      </c>
      <c r="C22" s="8">
        <f>IF(B$19=0,0,B22/B$19)</f>
        <v>0.58884297520661155</v>
      </c>
      <c r="E22" s="29" t="s">
        <v>75</v>
      </c>
      <c r="F22" s="26" t="s">
        <v>30</v>
      </c>
      <c r="G22" s="14">
        <v>2</v>
      </c>
      <c r="H22" s="92">
        <f>IF(B$19=0,0,G22/B$19)</f>
        <v>4.1322314049586778E-3</v>
      </c>
      <c r="I22" s="60">
        <v>9</v>
      </c>
      <c r="K22" s="7">
        <v>20</v>
      </c>
      <c r="L22" s="65">
        <v>-96.000000000000028</v>
      </c>
      <c r="N22" s="78" t="s">
        <v>167</v>
      </c>
      <c r="O22" s="87">
        <f>IF(P22=0,0,Q22/P22)</f>
        <v>-3.8437499999999973</v>
      </c>
      <c r="P22" s="81">
        <v>64</v>
      </c>
      <c r="Q22" s="72">
        <v>-245.99999999999983</v>
      </c>
    </row>
    <row r="23" spans="1:17" x14ac:dyDescent="0.45">
      <c r="A23" s="21" t="s">
        <v>192</v>
      </c>
      <c r="B23" s="14">
        <v>179</v>
      </c>
      <c r="C23" s="8">
        <f>IF(B$19=0,0,B23/B$19)</f>
        <v>0.36983471074380164</v>
      </c>
      <c r="E23" s="29" t="s">
        <v>90</v>
      </c>
      <c r="F23" s="26" t="s">
        <v>45</v>
      </c>
      <c r="G23" s="14">
        <v>2</v>
      </c>
      <c r="H23" s="92">
        <f>IF(B$19=0,0,G23/B$19)</f>
        <v>4.1322314049586778E-3</v>
      </c>
      <c r="I23" s="60">
        <v>2</v>
      </c>
      <c r="K23" s="7">
        <v>21</v>
      </c>
      <c r="L23" s="65">
        <v>-67.200000000000031</v>
      </c>
      <c r="N23" s="78" t="s">
        <v>126</v>
      </c>
      <c r="O23" s="87">
        <f>IF(P23=0,0,Q23/P23)</f>
        <v>-13.436885245901642</v>
      </c>
      <c r="P23" s="81">
        <v>122</v>
      </c>
      <c r="Q23" s="72">
        <v>-1639.3000000000004</v>
      </c>
    </row>
    <row r="24" spans="1:17" x14ac:dyDescent="0.45">
      <c r="A24" s="21" t="s">
        <v>190</v>
      </c>
      <c r="B24" s="14">
        <v>184</v>
      </c>
      <c r="C24" s="8">
        <f>IF(B$19=0,0,B24/B$19)</f>
        <v>0.38016528925619836</v>
      </c>
      <c r="E24" s="29" t="s">
        <v>73</v>
      </c>
      <c r="F24" s="26" t="s">
        <v>28</v>
      </c>
      <c r="G24" s="14">
        <v>1</v>
      </c>
      <c r="H24" s="92">
        <f>IF(B$19=0,0,G24/B$19)</f>
        <v>2.0661157024793389E-3</v>
      </c>
      <c r="I24" s="60">
        <v>5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121</v>
      </c>
      <c r="C25" s="8">
        <f>IF(B$19=0,0,B25/B$19)</f>
        <v>0.25</v>
      </c>
      <c r="E25" s="29" t="s">
        <v>76</v>
      </c>
      <c r="F25" s="26" t="s">
        <v>31</v>
      </c>
      <c r="G25" s="14">
        <v>1</v>
      </c>
      <c r="H25" s="92">
        <f>IF(B$19=0,0,G25/B$19)</f>
        <v>2.0661157024793389E-3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7823.3471074380168</v>
      </c>
      <c r="C26" s="10">
        <v>3786500</v>
      </c>
      <c r="E26" s="29" t="s">
        <v>77</v>
      </c>
      <c r="F26" s="26" t="s">
        <v>32</v>
      </c>
      <c r="G26" s="14">
        <v>1</v>
      </c>
      <c r="H26" s="92">
        <f>IF(B$19=0,0,G26/B$19)</f>
        <v>2.0661157024793389E-3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8488</v>
      </c>
      <c r="C27" s="100">
        <v>2546400</v>
      </c>
      <c r="E27" s="29" t="s">
        <v>84</v>
      </c>
      <c r="F27" s="26" t="s">
        <v>39</v>
      </c>
      <c r="G27" s="14">
        <v>1</v>
      </c>
      <c r="H27" s="92">
        <f>IF(B$19=0,0,G27/B$19)</f>
        <v>2.0661157024793389E-3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6739.673913043478</v>
      </c>
      <c r="C28" s="100">
        <v>1240100</v>
      </c>
      <c r="E28" s="29" t="s">
        <v>95</v>
      </c>
      <c r="F28" s="26" t="s">
        <v>50</v>
      </c>
      <c r="G28" s="14">
        <v>1</v>
      </c>
      <c r="H28" s="92">
        <f>IF(B$19=0,0,G28/B$19)</f>
        <v>2.0661157024793389E-3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-7954.8507462686566</v>
      </c>
      <c r="C29" s="100">
        <v>-2131900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9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3">
        <v>8</v>
      </c>
      <c r="C32" s="124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5">
        <v>91800</v>
      </c>
      <c r="C33" s="12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6</v>
      </c>
      <c r="C34" s="11">
        <f>IF(B$3=0,0,B34/B$3)</f>
        <v>3.9164490861618795E-3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41</v>
      </c>
      <c r="C36" s="102">
        <f t="shared" ref="C36:C48" si="2">IF(B$19=0,0,B36/B$19)</f>
        <v>8.4710743801652888E-2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93</v>
      </c>
      <c r="C37" s="8">
        <f t="shared" si="2"/>
        <v>0.19214876033057851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102</v>
      </c>
      <c r="C38" s="8">
        <f t="shared" si="2"/>
        <v>0.21074380165289255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98</v>
      </c>
      <c r="C39" s="8">
        <f t="shared" si="2"/>
        <v>0.2024793388429752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68</v>
      </c>
      <c r="C40" s="8">
        <f t="shared" si="2"/>
        <v>0.14049586776859505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44</v>
      </c>
      <c r="C41" s="8">
        <f t="shared" si="2"/>
        <v>9.0909090909090912E-2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15</v>
      </c>
      <c r="C42" s="8">
        <f t="shared" si="2"/>
        <v>3.0991735537190084E-2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9</v>
      </c>
      <c r="C43" s="8">
        <f t="shared" si="2"/>
        <v>1.859504132231405E-2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2"/>
        <v>1.2396694214876033E-2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2"/>
        <v>2.0661157024793389E-3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2"/>
        <v>6.1983471074380167E-3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4</v>
      </c>
      <c r="C48" s="11">
        <f t="shared" si="2"/>
        <v>8.2644628099173556E-3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F8D04-BEA7-4254-83CD-B65B48E85DF4}">
  <sheetPr codeName="Sheet13"/>
  <dimension ref="A1:Q10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169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104</v>
      </c>
      <c r="C2" s="130"/>
      <c r="E2" s="28" t="s">
        <v>66</v>
      </c>
      <c r="F2" s="25" t="s">
        <v>22</v>
      </c>
      <c r="G2" s="13">
        <v>182</v>
      </c>
      <c r="H2" s="91">
        <f>IF(B$19=0,0,G2/B$19)</f>
        <v>0.75518672199170123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-624.27184466019412</v>
      </c>
      <c r="P2" s="80">
        <v>103</v>
      </c>
      <c r="Q2" s="67">
        <v>-64300</v>
      </c>
    </row>
    <row r="3" spans="1:17" x14ac:dyDescent="0.45">
      <c r="A3" s="21" t="s">
        <v>8</v>
      </c>
      <c r="B3" s="131">
        <v>905</v>
      </c>
      <c r="C3" s="132"/>
      <c r="E3" s="29" t="s">
        <v>64</v>
      </c>
      <c r="F3" s="26" t="s">
        <v>20</v>
      </c>
      <c r="G3" s="14">
        <v>135</v>
      </c>
      <c r="H3" s="92">
        <f>IF(B$19=0,0,G3/B$19)</f>
        <v>0.56016597510373445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-937.86407766990294</v>
      </c>
      <c r="P3" s="81">
        <v>103</v>
      </c>
      <c r="Q3" s="68">
        <v>-96600</v>
      </c>
    </row>
    <row r="4" spans="1:17" x14ac:dyDescent="0.45">
      <c r="A4" s="21" t="s">
        <v>6</v>
      </c>
      <c r="B4" s="133">
        <v>-762.1</v>
      </c>
      <c r="C4" s="134"/>
      <c r="E4" s="29" t="s">
        <v>72</v>
      </c>
      <c r="F4" s="26" t="s">
        <v>27</v>
      </c>
      <c r="G4" s="14">
        <v>121</v>
      </c>
      <c r="H4" s="92">
        <f>IF(B$19=0,0,G4/B$19)</f>
        <v>0.50207468879668049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632.98969072164948</v>
      </c>
      <c r="P4" s="81">
        <v>97</v>
      </c>
      <c r="Q4" s="68">
        <v>61400</v>
      </c>
    </row>
    <row r="5" spans="1:17" x14ac:dyDescent="0.45">
      <c r="A5" s="21" t="s">
        <v>7</v>
      </c>
      <c r="B5" s="121">
        <f>IF(B$2=0,0,B$4/B$2)</f>
        <v>-7.3278846153846153</v>
      </c>
      <c r="C5" s="122"/>
      <c r="E5" s="29" t="s">
        <v>163</v>
      </c>
      <c r="F5" s="26" t="s">
        <v>164</v>
      </c>
      <c r="G5" s="14">
        <v>100</v>
      </c>
      <c r="H5" s="92">
        <f>IF(B$19=0,0,G5/B$19)</f>
        <v>0.41493775933609961</v>
      </c>
      <c r="I5" s="60">
        <v>4</v>
      </c>
      <c r="K5" s="7">
        <v>3</v>
      </c>
      <c r="L5" s="65">
        <v>-17.599999999999998</v>
      </c>
      <c r="N5" s="78" t="s">
        <v>133</v>
      </c>
      <c r="O5" s="84">
        <f t="shared" si="0"/>
        <v>-985.26315789473688</v>
      </c>
      <c r="P5" s="81">
        <v>95</v>
      </c>
      <c r="Q5" s="68">
        <v>-93600</v>
      </c>
    </row>
    <row r="6" spans="1:17" x14ac:dyDescent="0.45">
      <c r="A6" s="21" t="s">
        <v>1</v>
      </c>
      <c r="B6" s="135">
        <f>IF(B$2=0,0,(B$7*1+B$8*2+B$9*3)/B$2)</f>
        <v>2.1923076923076925</v>
      </c>
      <c r="C6" s="136"/>
      <c r="E6" s="29" t="s">
        <v>68</v>
      </c>
      <c r="F6" s="26" t="s">
        <v>12</v>
      </c>
      <c r="G6" s="14">
        <v>86</v>
      </c>
      <c r="H6" s="92">
        <f>IF(B$19=0,0,G6/B$19)</f>
        <v>0.35684647302904565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-2636.6666666666665</v>
      </c>
      <c r="P6" s="81">
        <v>90</v>
      </c>
      <c r="Q6" s="68">
        <v>-237300</v>
      </c>
    </row>
    <row r="7" spans="1:17" x14ac:dyDescent="0.45">
      <c r="A7" s="21" t="s">
        <v>2</v>
      </c>
      <c r="B7" s="14">
        <v>22</v>
      </c>
      <c r="C7" s="8">
        <f t="shared" ref="C7:C14" si="1">IF(B$2=0,0,B7/B$2)</f>
        <v>0.21153846153846154</v>
      </c>
      <c r="E7" s="29" t="s">
        <v>67</v>
      </c>
      <c r="F7" s="26" t="s">
        <v>23</v>
      </c>
      <c r="G7" s="14">
        <v>74</v>
      </c>
      <c r="H7" s="92">
        <f>IF(B$19=0,0,G7/B$19)</f>
        <v>0.30705394190871371</v>
      </c>
      <c r="I7" s="60">
        <v>7</v>
      </c>
      <c r="K7" s="7">
        <v>5</v>
      </c>
      <c r="L7" s="65">
        <v>-33.699999999999989</v>
      </c>
      <c r="N7" s="79" t="s">
        <v>135</v>
      </c>
      <c r="O7" s="85">
        <f t="shared" si="0"/>
        <v>-1740.506329113924</v>
      </c>
      <c r="P7" s="82">
        <v>79</v>
      </c>
      <c r="Q7" s="69">
        <v>-137500</v>
      </c>
    </row>
    <row r="8" spans="1:17" x14ac:dyDescent="0.45">
      <c r="A8" s="21" t="s">
        <v>3</v>
      </c>
      <c r="B8" s="14">
        <v>40</v>
      </c>
      <c r="C8" s="8">
        <f t="shared" si="1"/>
        <v>0.38461538461538464</v>
      </c>
      <c r="E8" s="29" t="s">
        <v>69</v>
      </c>
      <c r="F8" s="26" t="s">
        <v>24</v>
      </c>
      <c r="G8" s="14">
        <v>36</v>
      </c>
      <c r="H8" s="92">
        <f>IF(B$19=0,0,G8/B$19)</f>
        <v>0.14937759336099585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42</v>
      </c>
      <c r="C9" s="9">
        <f t="shared" si="1"/>
        <v>0.40384615384615385</v>
      </c>
      <c r="E9" s="29" t="s">
        <v>70</v>
      </c>
      <c r="F9" s="26" t="s">
        <v>25</v>
      </c>
      <c r="G9" s="14">
        <v>29</v>
      </c>
      <c r="H9" s="92">
        <f>IF(B$19=0,0,G9/B$19)</f>
        <v>0.12033195020746888</v>
      </c>
      <c r="I9" s="60">
        <v>5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25.554545454545451</v>
      </c>
      <c r="C10" s="114">
        <v>562.19999999999993</v>
      </c>
      <c r="E10" s="29" t="s">
        <v>65</v>
      </c>
      <c r="F10" s="26" t="s">
        <v>21</v>
      </c>
      <c r="G10" s="14">
        <v>28</v>
      </c>
      <c r="H10" s="92">
        <f>IF(B$19=0,0,G10/B$19)</f>
        <v>0.11618257261410789</v>
      </c>
      <c r="I10" s="60">
        <v>7</v>
      </c>
      <c r="K10" s="7">
        <v>8</v>
      </c>
      <c r="L10" s="65">
        <v>-62.999999999999993</v>
      </c>
      <c r="N10" s="77" t="s">
        <v>154</v>
      </c>
      <c r="O10" s="86">
        <f>IF(P10=0,0,Q10/P10)</f>
        <v>-7.102325581395351</v>
      </c>
      <c r="P10" s="80">
        <v>43</v>
      </c>
      <c r="Q10" s="71">
        <v>-305.40000000000009</v>
      </c>
    </row>
    <row r="11" spans="1:17" x14ac:dyDescent="0.45">
      <c r="A11" s="22" t="s">
        <v>204</v>
      </c>
      <c r="B11" s="113">
        <f>IF(B8=0,0,C11/B8)</f>
        <v>1.67</v>
      </c>
      <c r="C11" s="114">
        <v>66.8</v>
      </c>
      <c r="E11" s="29" t="s">
        <v>89</v>
      </c>
      <c r="F11" s="26" t="s">
        <v>44</v>
      </c>
      <c r="G11" s="14">
        <v>28</v>
      </c>
      <c r="H11" s="92">
        <f>IF(B$19=0,0,G11/B$19)</f>
        <v>0.11618257261410789</v>
      </c>
      <c r="I11" s="60">
        <v>9</v>
      </c>
      <c r="K11" s="7">
        <v>9</v>
      </c>
      <c r="L11" s="65">
        <v>-74.199999999999989</v>
      </c>
      <c r="N11" s="78" t="s">
        <v>155</v>
      </c>
      <c r="O11" s="87">
        <f>IF(P11=0,0,Q11/P11)</f>
        <v>-5.4066666666666681</v>
      </c>
      <c r="P11" s="81">
        <v>30</v>
      </c>
      <c r="Q11" s="72">
        <v>-162.20000000000005</v>
      </c>
    </row>
    <row r="12" spans="1:17" x14ac:dyDescent="0.45">
      <c r="A12" s="22" t="s">
        <v>205</v>
      </c>
      <c r="B12" s="113">
        <f>IF(B9=0,0,C12/B9)</f>
        <v>-33.121428571428567</v>
      </c>
      <c r="C12" s="114">
        <v>-1391.0999999999997</v>
      </c>
      <c r="E12" s="29" t="s">
        <v>83</v>
      </c>
      <c r="F12" s="26" t="s">
        <v>38</v>
      </c>
      <c r="G12" s="14">
        <v>15</v>
      </c>
      <c r="H12" s="92">
        <f>IF(B$19=0,0,G12/B$19)</f>
        <v>6.2240663900414939E-2</v>
      </c>
      <c r="I12" s="60">
        <v>4</v>
      </c>
      <c r="K12" s="7">
        <v>10</v>
      </c>
      <c r="L12" s="65">
        <v>-117.19999999999999</v>
      </c>
      <c r="N12" s="79" t="s">
        <v>156</v>
      </c>
      <c r="O12" s="88">
        <f>IF(P12=0,0,Q12/P12)</f>
        <v>-9.4999999999999982</v>
      </c>
      <c r="P12" s="82">
        <v>31</v>
      </c>
      <c r="Q12" s="73">
        <v>-294.49999999999994</v>
      </c>
    </row>
    <row r="13" spans="1:17" x14ac:dyDescent="0.45">
      <c r="A13" s="22" t="s">
        <v>206</v>
      </c>
      <c r="B13" s="121">
        <f>AVERAGE(B10:B12)</f>
        <v>-1.9656277056277058</v>
      </c>
      <c r="C13" s="122"/>
      <c r="E13" s="29" t="s">
        <v>86</v>
      </c>
      <c r="F13" s="26" t="s">
        <v>41</v>
      </c>
      <c r="G13" s="14">
        <v>11</v>
      </c>
      <c r="H13" s="92">
        <f>IF(B$19=0,0,G13/B$19)</f>
        <v>4.5643153526970952E-2</v>
      </c>
      <c r="I13" s="60">
        <v>8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7.6923076923076927E-2</v>
      </c>
      <c r="E14" s="29" t="s">
        <v>71</v>
      </c>
      <c r="F14" s="26" t="s">
        <v>26</v>
      </c>
      <c r="G14" s="14">
        <v>10</v>
      </c>
      <c r="H14" s="92">
        <f>IF(B$19=0,0,G14/B$19)</f>
        <v>4.1493775933609957E-2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250</v>
      </c>
      <c r="C15" s="12">
        <f>IF(B$3=0,0,B15/B$3)</f>
        <v>0.27624309392265195</v>
      </c>
      <c r="E15" s="29" t="s">
        <v>78</v>
      </c>
      <c r="F15" s="26" t="s">
        <v>33</v>
      </c>
      <c r="G15" s="14">
        <v>8</v>
      </c>
      <c r="H15" s="92">
        <f>IF(B$19=0,0,G15/B$19)</f>
        <v>3.3195020746887967E-2</v>
      </c>
      <c r="I15" s="60">
        <v>5</v>
      </c>
      <c r="K15" s="7">
        <v>13</v>
      </c>
      <c r="L15" s="65">
        <v>-207.3</v>
      </c>
      <c r="N15" s="77" t="s">
        <v>195</v>
      </c>
      <c r="O15" s="86">
        <f>IF(P15=0,0,Q15/P15)</f>
        <v>21.183333333333334</v>
      </c>
      <c r="P15" s="80">
        <v>6</v>
      </c>
      <c r="Q15" s="71">
        <v>127.1</v>
      </c>
    </row>
    <row r="16" spans="1:17" x14ac:dyDescent="0.45">
      <c r="A16" s="21" t="s">
        <v>118</v>
      </c>
      <c r="B16" s="14">
        <v>175</v>
      </c>
      <c r="C16" s="8">
        <f>IF(B$3=0,0,B16/B$3)</f>
        <v>0.19337016574585636</v>
      </c>
      <c r="E16" s="29" t="s">
        <v>81</v>
      </c>
      <c r="F16" s="26" t="s">
        <v>36</v>
      </c>
      <c r="G16" s="14">
        <v>6</v>
      </c>
      <c r="H16" s="92">
        <f>IF(B$19=0,0,G16/B$19)</f>
        <v>2.4896265560165973E-2</v>
      </c>
      <c r="I16" s="60">
        <v>4</v>
      </c>
      <c r="K16" s="7">
        <v>14</v>
      </c>
      <c r="L16" s="65">
        <v>-204.8</v>
      </c>
      <c r="N16" s="78" t="s">
        <v>167</v>
      </c>
      <c r="O16" s="87">
        <f>IF(P16=0,0,Q16/P16)</f>
        <v>4.1120000000000019</v>
      </c>
      <c r="P16" s="81">
        <v>25</v>
      </c>
      <c r="Q16" s="72">
        <v>102.80000000000005</v>
      </c>
    </row>
    <row r="17" spans="1:17" x14ac:dyDescent="0.45">
      <c r="A17" s="20" t="s">
        <v>123</v>
      </c>
      <c r="B17" s="13">
        <f>B23</f>
        <v>135</v>
      </c>
      <c r="C17" s="6">
        <f>IF(B$15=0,0,B17/B$15)</f>
        <v>0.54</v>
      </c>
      <c r="E17" s="29" t="s">
        <v>79</v>
      </c>
      <c r="F17" s="26" t="s">
        <v>34</v>
      </c>
      <c r="G17" s="14">
        <v>4</v>
      </c>
      <c r="H17" s="92">
        <f>IF(B$19=0,0,G17/B$19)</f>
        <v>1.6597510373443983E-2</v>
      </c>
      <c r="I17" s="60">
        <v>5</v>
      </c>
      <c r="K17" s="7">
        <v>15</v>
      </c>
      <c r="L17" s="65">
        <v>-221.5</v>
      </c>
      <c r="N17" s="78" t="s">
        <v>158</v>
      </c>
      <c r="O17" s="87">
        <f>IF(P17=0,0,Q17/P17)</f>
        <v>1.5750000000000028</v>
      </c>
      <c r="P17" s="81">
        <v>20</v>
      </c>
      <c r="Q17" s="72">
        <v>31.500000000000057</v>
      </c>
    </row>
    <row r="18" spans="1:17" x14ac:dyDescent="0.45">
      <c r="A18" s="20" t="s">
        <v>124</v>
      </c>
      <c r="B18" s="13">
        <f>B24</f>
        <v>69</v>
      </c>
      <c r="C18" s="6">
        <f>IF(B$16=0,0,B18/B$16)</f>
        <v>0.39428571428571429</v>
      </c>
      <c r="E18" s="29" t="s">
        <v>159</v>
      </c>
      <c r="F18" s="26" t="s">
        <v>160</v>
      </c>
      <c r="G18" s="14">
        <v>4</v>
      </c>
      <c r="H18" s="92">
        <f>IF(B$19=0,0,G18/B$19)</f>
        <v>1.6597510373443983E-2</v>
      </c>
      <c r="I18" s="60">
        <v>5</v>
      </c>
      <c r="K18" s="7">
        <v>16</v>
      </c>
      <c r="L18" s="65">
        <v>-224.3</v>
      </c>
      <c r="N18" s="78" t="s">
        <v>194</v>
      </c>
      <c r="O18" s="87">
        <f>IF(P18=0,0,Q18/P18)</f>
        <v>-1.8909090909090898</v>
      </c>
      <c r="P18" s="81">
        <v>11</v>
      </c>
      <c r="Q18" s="72">
        <v>-20.799999999999986</v>
      </c>
    </row>
    <row r="19" spans="1:17" x14ac:dyDescent="0.45">
      <c r="A19" s="20" t="s">
        <v>10</v>
      </c>
      <c r="B19" s="13">
        <f>B22+B21</f>
        <v>241</v>
      </c>
      <c r="C19" s="6">
        <f>IF(B$3=0,0,B19/B$3)</f>
        <v>0.26629834254143647</v>
      </c>
      <c r="E19" s="29" t="s">
        <v>75</v>
      </c>
      <c r="F19" s="26" t="s">
        <v>30</v>
      </c>
      <c r="G19" s="14">
        <v>3</v>
      </c>
      <c r="H19" s="92">
        <f>IF(B$19=0,0,G19/B$19)</f>
        <v>1.2448132780082987E-2</v>
      </c>
      <c r="I19" s="60">
        <v>3</v>
      </c>
      <c r="K19" s="7">
        <v>17</v>
      </c>
      <c r="L19" s="65">
        <v>-251.4</v>
      </c>
      <c r="N19" s="78" t="s">
        <v>168</v>
      </c>
      <c r="O19" s="87">
        <f>IF(P19=0,0,Q19/P19)</f>
        <v>-15.669230769230769</v>
      </c>
      <c r="P19" s="81">
        <v>26</v>
      </c>
      <c r="Q19" s="72">
        <v>-407.4</v>
      </c>
    </row>
    <row r="20" spans="1:17" x14ac:dyDescent="0.45">
      <c r="A20" s="21" t="s">
        <v>13</v>
      </c>
      <c r="B20" s="14">
        <v>166</v>
      </c>
      <c r="C20" s="8">
        <f>IF(B$3=0,0,B20/B$3)</f>
        <v>0.18342541436464088</v>
      </c>
      <c r="E20" s="29" t="s">
        <v>85</v>
      </c>
      <c r="F20" s="26" t="s">
        <v>40</v>
      </c>
      <c r="G20" s="14">
        <v>1</v>
      </c>
      <c r="H20" s="92">
        <f>IF(B$19=0,0,G20/B$19)</f>
        <v>4.1493775933609959E-3</v>
      </c>
      <c r="I20" s="60">
        <v>7</v>
      </c>
      <c r="K20" s="7">
        <v>18</v>
      </c>
      <c r="L20" s="65">
        <v>-240</v>
      </c>
      <c r="N20" s="78" t="s">
        <v>126</v>
      </c>
      <c r="O20" s="87">
        <f>IF(P20=0,0,Q20/P20)</f>
        <v>-16.403030303030302</v>
      </c>
      <c r="P20" s="81">
        <v>66</v>
      </c>
      <c r="Q20" s="72">
        <v>-1082.5999999999999</v>
      </c>
    </row>
    <row r="21" spans="1:17" x14ac:dyDescent="0.45">
      <c r="A21" s="21" t="s">
        <v>12</v>
      </c>
      <c r="B21" s="14">
        <v>114</v>
      </c>
      <c r="C21" s="8">
        <f>IF(B$19=0,0,B21/B$19)</f>
        <v>0.47302904564315351</v>
      </c>
      <c r="E21" s="29" t="s">
        <v>91</v>
      </c>
      <c r="F21" s="26" t="s">
        <v>46</v>
      </c>
      <c r="G21" s="14">
        <v>1</v>
      </c>
      <c r="H21" s="92">
        <f>IF(B$19=0,0,G21/B$19)</f>
        <v>4.1493775933609959E-3</v>
      </c>
      <c r="I21" s="60">
        <v>9</v>
      </c>
      <c r="K21" s="7">
        <v>19</v>
      </c>
      <c r="L21" s="65">
        <v>-218</v>
      </c>
      <c r="N21" s="78" t="s">
        <v>127</v>
      </c>
      <c r="O21" s="87">
        <f>IF(P21=0,0,Q21/P21)</f>
        <v>-18.434693877551016</v>
      </c>
      <c r="P21" s="81">
        <v>49</v>
      </c>
      <c r="Q21" s="72">
        <v>-903.29999999999973</v>
      </c>
    </row>
    <row r="22" spans="1:17" x14ac:dyDescent="0.45">
      <c r="A22" s="21" t="s">
        <v>11</v>
      </c>
      <c r="B22" s="14">
        <v>127</v>
      </c>
      <c r="C22" s="8">
        <f>IF(B$19=0,0,B22/B$19)</f>
        <v>0.52697095435684649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-177.6</v>
      </c>
      <c r="N22" s="78" t="s">
        <v>275</v>
      </c>
      <c r="O22" s="87">
        <f>IF(P22=0,0,Q22/P22)</f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135</v>
      </c>
      <c r="C23" s="8">
        <f>IF(B$19=0,0,B23/B$19)</f>
        <v>0.56016597510373445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-133.30000000000001</v>
      </c>
      <c r="N23" s="78" t="s">
        <v>201</v>
      </c>
      <c r="O23" s="87">
        <f>IF(P23=0,0,Q23/P23)</f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69</v>
      </c>
      <c r="C24" s="8">
        <f>IF(B$19=0,0,B24/B$19)</f>
        <v>0.2863070539419087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37</v>
      </c>
      <c r="C25" s="8">
        <f>IF(B$19=0,0,B25/B$19)</f>
        <v>0.15352697095435686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7848.1327800829877</v>
      </c>
      <c r="C26" s="10">
        <v>1891400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8445.9302325581393</v>
      </c>
      <c r="C27" s="100">
        <v>1452700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6357.971014492754</v>
      </c>
      <c r="C28" s="100">
        <v>438700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-7790.9638554216872</v>
      </c>
      <c r="C29" s="100">
        <v>-1293300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7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21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-159.9</v>
      </c>
    </row>
    <row r="32" spans="1:17" x14ac:dyDescent="0.45">
      <c r="A32" s="56" t="s">
        <v>138</v>
      </c>
      <c r="B32" s="123">
        <v>8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-175.6</v>
      </c>
    </row>
    <row r="33" spans="1:12" x14ac:dyDescent="0.45">
      <c r="A33" s="24" t="s">
        <v>189</v>
      </c>
      <c r="B33" s="125">
        <v>69500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3.3149171270718232E-3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18</v>
      </c>
      <c r="C36" s="102">
        <f t="shared" ref="C36:C48" si="2">IF(B$19=0,0,B36/B$19)</f>
        <v>7.4688796680497924E-2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39</v>
      </c>
      <c r="C37" s="8">
        <f t="shared" si="2"/>
        <v>0.16182572614107885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56</v>
      </c>
      <c r="C38" s="8">
        <f t="shared" si="2"/>
        <v>0.23236514522821577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39</v>
      </c>
      <c r="C39" s="8">
        <f t="shared" si="2"/>
        <v>0.16182572614107885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40</v>
      </c>
      <c r="C40" s="8">
        <f t="shared" si="2"/>
        <v>0.16597510373443983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23</v>
      </c>
      <c r="C41" s="8">
        <f t="shared" si="2"/>
        <v>9.5435684647302899E-2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14</v>
      </c>
      <c r="C42" s="8">
        <f t="shared" si="2"/>
        <v>5.8091286307053944E-2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7</v>
      </c>
      <c r="C43" s="8">
        <f t="shared" si="2"/>
        <v>2.9045643153526972E-2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2"/>
        <v>4.1493775933609959E-3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2"/>
        <v>4.1493775933609959E-3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2"/>
        <v>4.1493775933609959E-3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2"/>
        <v>8.2987551867219917E-3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0</v>
      </c>
      <c r="C48" s="11">
        <f t="shared" si="2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2336-32EC-4BB2-8C53-FBC5C392609F}">
  <sheetPr codeName="Sheet15"/>
  <dimension ref="A1:Q16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159</v>
      </c>
      <c r="C2" s="130"/>
      <c r="E2" s="28" t="s">
        <v>66</v>
      </c>
      <c r="F2" s="25" t="s">
        <v>22</v>
      </c>
      <c r="G2" s="13">
        <v>329</v>
      </c>
      <c r="H2" s="91">
        <f>IF(B$19=0,0,G2/B$19)</f>
        <v>0.92937853107344637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1745.5696202531647</v>
      </c>
      <c r="P2" s="80">
        <v>158</v>
      </c>
      <c r="Q2" s="67">
        <v>275800</v>
      </c>
    </row>
    <row r="3" spans="1:17" x14ac:dyDescent="0.45">
      <c r="A3" s="21" t="s">
        <v>8</v>
      </c>
      <c r="B3" s="131">
        <v>1286</v>
      </c>
      <c r="C3" s="132"/>
      <c r="E3" s="29" t="s">
        <v>72</v>
      </c>
      <c r="F3" s="26" t="s">
        <v>27</v>
      </c>
      <c r="G3" s="14">
        <v>200</v>
      </c>
      <c r="H3" s="92">
        <f>IF(B$19=0,0,G3/B$19)</f>
        <v>0.56497175141242939</v>
      </c>
      <c r="I3" s="60">
        <v>4</v>
      </c>
      <c r="K3" s="7">
        <v>1</v>
      </c>
      <c r="L3" s="65">
        <v>-9.1</v>
      </c>
      <c r="N3" s="78" t="s">
        <v>131</v>
      </c>
      <c r="O3" s="84">
        <f t="shared" si="0"/>
        <v>-2301.9480519480521</v>
      </c>
      <c r="P3" s="81">
        <v>154</v>
      </c>
      <c r="Q3" s="68">
        <v>-354500</v>
      </c>
    </row>
    <row r="4" spans="1:17" x14ac:dyDescent="0.45">
      <c r="A4" s="21" t="s">
        <v>6</v>
      </c>
      <c r="B4" s="133">
        <v>699.60000000000048</v>
      </c>
      <c r="C4" s="134"/>
      <c r="E4" s="29" t="s">
        <v>64</v>
      </c>
      <c r="F4" s="26" t="s">
        <v>20</v>
      </c>
      <c r="G4" s="14">
        <v>187</v>
      </c>
      <c r="H4" s="92">
        <f>IF(B$19=0,0,G4/B$19)</f>
        <v>0.52824858757062143</v>
      </c>
      <c r="I4" s="60">
        <v>7</v>
      </c>
      <c r="K4" s="7">
        <v>2</v>
      </c>
      <c r="L4" s="65">
        <v>-67.3</v>
      </c>
      <c r="N4" s="78" t="s">
        <v>132</v>
      </c>
      <c r="O4" s="84">
        <f t="shared" si="0"/>
        <v>168.57142857142858</v>
      </c>
      <c r="P4" s="81">
        <v>140</v>
      </c>
      <c r="Q4" s="68">
        <v>23600</v>
      </c>
    </row>
    <row r="5" spans="1:17" x14ac:dyDescent="0.45">
      <c r="A5" s="21" t="s">
        <v>7</v>
      </c>
      <c r="B5" s="121">
        <f>IF(B$2=0,0,B$4/B$2)</f>
        <v>4.400000000000003</v>
      </c>
      <c r="C5" s="122"/>
      <c r="E5" s="29" t="s">
        <v>68</v>
      </c>
      <c r="F5" s="26" t="s">
        <v>12</v>
      </c>
      <c r="G5" s="14">
        <v>138</v>
      </c>
      <c r="H5" s="92">
        <f>IF(B$19=0,0,G5/B$19)</f>
        <v>0.38983050847457629</v>
      </c>
      <c r="I5" s="60">
        <v>3</v>
      </c>
      <c r="K5" s="7">
        <v>3</v>
      </c>
      <c r="L5" s="65">
        <v>-113.8</v>
      </c>
      <c r="N5" s="78" t="s">
        <v>133</v>
      </c>
      <c r="O5" s="84">
        <f t="shared" si="0"/>
        <v>2275.968992248062</v>
      </c>
      <c r="P5" s="81">
        <v>129</v>
      </c>
      <c r="Q5" s="68">
        <v>293600</v>
      </c>
    </row>
    <row r="6" spans="1:17" x14ac:dyDescent="0.45">
      <c r="A6" s="21" t="s">
        <v>1</v>
      </c>
      <c r="B6" s="135">
        <f>IF(B$2=0,0,(B$7*1+B$8*2+B$9*3)/B$2)</f>
        <v>1.9245283018867925</v>
      </c>
      <c r="C6" s="136"/>
      <c r="E6" s="29" t="s">
        <v>163</v>
      </c>
      <c r="F6" s="26" t="s">
        <v>164</v>
      </c>
      <c r="G6" s="14">
        <v>138</v>
      </c>
      <c r="H6" s="92">
        <f>IF(B$19=0,0,G6/B$19)</f>
        <v>0.38983050847457629</v>
      </c>
      <c r="I6" s="60">
        <v>8</v>
      </c>
      <c r="K6" s="7">
        <v>4</v>
      </c>
      <c r="L6" s="65">
        <v>-74.599999999999994</v>
      </c>
      <c r="N6" s="78" t="s">
        <v>134</v>
      </c>
      <c r="O6" s="84">
        <f t="shared" si="0"/>
        <v>1589.7435897435898</v>
      </c>
      <c r="P6" s="81">
        <v>117</v>
      </c>
      <c r="Q6" s="68">
        <v>186000</v>
      </c>
    </row>
    <row r="7" spans="1:17" x14ac:dyDescent="0.45">
      <c r="A7" s="21" t="s">
        <v>2</v>
      </c>
      <c r="B7" s="14">
        <v>63</v>
      </c>
      <c r="C7" s="8">
        <f t="shared" ref="C7:C14" si="1">IF(B$2=0,0,B7/B$2)</f>
        <v>0.39622641509433965</v>
      </c>
      <c r="E7" s="29" t="s">
        <v>67</v>
      </c>
      <c r="F7" s="26" t="s">
        <v>23</v>
      </c>
      <c r="G7" s="14">
        <v>133</v>
      </c>
      <c r="H7" s="92">
        <f>IF(B$19=0,0,G7/B$19)</f>
        <v>0.37570621468926552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224.71910112359549</v>
      </c>
      <c r="P7" s="82">
        <v>89</v>
      </c>
      <c r="Q7" s="69">
        <v>20000</v>
      </c>
    </row>
    <row r="8" spans="1:17" x14ac:dyDescent="0.45">
      <c r="A8" s="21" t="s">
        <v>3</v>
      </c>
      <c r="B8" s="14">
        <v>45</v>
      </c>
      <c r="C8" s="8">
        <f t="shared" si="1"/>
        <v>0.28301886792452829</v>
      </c>
      <c r="E8" s="29" t="s">
        <v>89</v>
      </c>
      <c r="F8" s="26" t="s">
        <v>44</v>
      </c>
      <c r="G8" s="14">
        <v>88</v>
      </c>
      <c r="H8" s="92">
        <f>IF(B$19=0,0,G8/B$19)</f>
        <v>0.24858757062146894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51</v>
      </c>
      <c r="C9" s="9">
        <f t="shared" si="1"/>
        <v>0.32075471698113206</v>
      </c>
      <c r="E9" s="29" t="s">
        <v>69</v>
      </c>
      <c r="F9" s="26" t="s">
        <v>24</v>
      </c>
      <c r="G9" s="14">
        <v>70</v>
      </c>
      <c r="H9" s="92">
        <f>IF(B$19=0,0,G9/B$19)</f>
        <v>0.19774011299435029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41.123809523809513</v>
      </c>
      <c r="C10" s="114">
        <v>2590.7999999999993</v>
      </c>
      <c r="E10" s="29" t="s">
        <v>65</v>
      </c>
      <c r="F10" s="26" t="s">
        <v>21</v>
      </c>
      <c r="G10" s="14">
        <v>49</v>
      </c>
      <c r="H10" s="92">
        <f>IF(B$19=0,0,G10/B$19)</f>
        <v>0.1384180790960452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-7.3666666666666663</v>
      </c>
      <c r="P10" s="80">
        <v>45</v>
      </c>
      <c r="Q10" s="71">
        <v>-331.5</v>
      </c>
    </row>
    <row r="11" spans="1:17" x14ac:dyDescent="0.45">
      <c r="A11" s="22" t="s">
        <v>204</v>
      </c>
      <c r="B11" s="113">
        <f>IF(B8=0,0,C11/B8)</f>
        <v>-0.74666666666666748</v>
      </c>
      <c r="C11" s="114">
        <v>-33.600000000000037</v>
      </c>
      <c r="E11" s="29" t="s">
        <v>70</v>
      </c>
      <c r="F11" s="26" t="s">
        <v>25</v>
      </c>
      <c r="G11" s="14">
        <v>45</v>
      </c>
      <c r="H11" s="92">
        <f>IF(B$19=0,0,G11/B$19)</f>
        <v>0.1271186440677966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7.1084745762711847</v>
      </c>
      <c r="P11" s="81">
        <v>59</v>
      </c>
      <c r="Q11" s="72">
        <v>419.39999999999992</v>
      </c>
    </row>
    <row r="12" spans="1:17" x14ac:dyDescent="0.45">
      <c r="A12" s="22" t="s">
        <v>205</v>
      </c>
      <c r="B12" s="113">
        <f>IF(B9=0,0,C12/B9)</f>
        <v>-36.423529411764711</v>
      </c>
      <c r="C12" s="114">
        <v>-1857.6000000000001</v>
      </c>
      <c r="E12" s="29" t="s">
        <v>71</v>
      </c>
      <c r="F12" s="26" t="s">
        <v>26</v>
      </c>
      <c r="G12" s="14">
        <v>23</v>
      </c>
      <c r="H12" s="92">
        <f>IF(B$19=0,0,G12/B$19)</f>
        <v>6.4971751412429377E-2</v>
      </c>
      <c r="I12" s="60">
        <v>11</v>
      </c>
      <c r="K12" s="7">
        <v>10</v>
      </c>
      <c r="L12" s="65">
        <v>-113.29999999999998</v>
      </c>
      <c r="N12" s="79" t="s">
        <v>156</v>
      </c>
      <c r="O12" s="88">
        <f>IF(P12=0,0,Q12/P12)</f>
        <v>11.121818181818183</v>
      </c>
      <c r="P12" s="82">
        <v>55</v>
      </c>
      <c r="Q12" s="73">
        <v>611.70000000000005</v>
      </c>
    </row>
    <row r="13" spans="1:17" x14ac:dyDescent="0.45">
      <c r="A13" s="22" t="s">
        <v>206</v>
      </c>
      <c r="B13" s="121">
        <f>AVERAGE(B10:B12)</f>
        <v>1.3178711484593773</v>
      </c>
      <c r="C13" s="122"/>
      <c r="E13" s="29" t="s">
        <v>159</v>
      </c>
      <c r="F13" s="26" t="s">
        <v>160</v>
      </c>
      <c r="G13" s="14">
        <v>19</v>
      </c>
      <c r="H13" s="92">
        <f>IF(B$19=0,0,G13/B$19)</f>
        <v>5.3672316384180789E-2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0.11949685534591195</v>
      </c>
      <c r="E14" s="29" t="s">
        <v>83</v>
      </c>
      <c r="F14" s="26" t="s">
        <v>38</v>
      </c>
      <c r="G14" s="14">
        <v>12</v>
      </c>
      <c r="H14" s="92">
        <f>IF(B$19=0,0,G14/B$19)</f>
        <v>3.3898305084745763E-2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379</v>
      </c>
      <c r="C15" s="12">
        <f>IF(B$3=0,0,B15/B$3)</f>
        <v>0.29471228615863143</v>
      </c>
      <c r="E15" s="29" t="s">
        <v>86</v>
      </c>
      <c r="F15" s="26" t="s">
        <v>41</v>
      </c>
      <c r="G15" s="14">
        <v>12</v>
      </c>
      <c r="H15" s="92">
        <f>IF(B$19=0,0,G15/B$19)</f>
        <v>3.3898305084745763E-2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240</v>
      </c>
      <c r="C16" s="8">
        <f>IF(B$3=0,0,B16/B$3)</f>
        <v>0.18662519440124417</v>
      </c>
      <c r="E16" s="29" t="s">
        <v>91</v>
      </c>
      <c r="F16" s="26" t="s">
        <v>46</v>
      </c>
      <c r="G16" s="14">
        <v>8</v>
      </c>
      <c r="H16" s="92">
        <f>IF(B$19=0,0,G16/B$19)</f>
        <v>2.2598870056497175E-2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>IF(P16=0,0,Q16/P16)</f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205</v>
      </c>
      <c r="C17" s="6">
        <f>IF(B$15=0,0,B17/B$15)</f>
        <v>0.54089709762532978</v>
      </c>
      <c r="E17" s="29" t="s">
        <v>81</v>
      </c>
      <c r="F17" s="26" t="s">
        <v>36</v>
      </c>
      <c r="G17" s="14">
        <v>6</v>
      </c>
      <c r="H17" s="92">
        <f>IF(B$19=0,0,G17/B$19)</f>
        <v>1.6949152542372881E-2</v>
      </c>
      <c r="I17" s="60">
        <v>7</v>
      </c>
      <c r="K17" s="7">
        <v>15</v>
      </c>
      <c r="L17" s="65">
        <v>-101.79999999999997</v>
      </c>
      <c r="N17" s="78" t="s">
        <v>195</v>
      </c>
      <c r="O17" s="87">
        <f>IF(P17=0,0,Q17/P17)</f>
        <v>19.176470588235297</v>
      </c>
      <c r="P17" s="81">
        <v>34</v>
      </c>
      <c r="Q17" s="72">
        <v>652.00000000000011</v>
      </c>
    </row>
    <row r="18" spans="1:17" x14ac:dyDescent="0.45">
      <c r="A18" s="20" t="s">
        <v>124</v>
      </c>
      <c r="B18" s="13">
        <f>B24</f>
        <v>93</v>
      </c>
      <c r="C18" s="6">
        <f>IF(B$16=0,0,B18/B$16)</f>
        <v>0.38750000000000001</v>
      </c>
      <c r="E18" s="29" t="s">
        <v>92</v>
      </c>
      <c r="F18" s="26" t="s">
        <v>47</v>
      </c>
      <c r="G18" s="14">
        <v>6</v>
      </c>
      <c r="H18" s="92">
        <f>IF(B$19=0,0,G18/B$19)</f>
        <v>1.6949152542372881E-2</v>
      </c>
      <c r="I18" s="60">
        <v>1</v>
      </c>
      <c r="K18" s="7">
        <v>16</v>
      </c>
      <c r="L18" s="65">
        <v>-63.099999999999966</v>
      </c>
      <c r="N18" s="78" t="s">
        <v>168</v>
      </c>
      <c r="O18" s="87">
        <f>IF(P18=0,0,Q18/P18)</f>
        <v>7.1323943661971825</v>
      </c>
      <c r="P18" s="81">
        <v>71</v>
      </c>
      <c r="Q18" s="72">
        <v>506.4</v>
      </c>
    </row>
    <row r="19" spans="1:17" x14ac:dyDescent="0.45">
      <c r="A19" s="20" t="s">
        <v>10</v>
      </c>
      <c r="B19" s="13">
        <f>B22+B21</f>
        <v>354</v>
      </c>
      <c r="C19" s="6">
        <f>IF(B$3=0,0,B19/B$3)</f>
        <v>0.27527216174183516</v>
      </c>
      <c r="E19" s="29" t="s">
        <v>78</v>
      </c>
      <c r="F19" s="26" t="s">
        <v>33</v>
      </c>
      <c r="G19" s="14">
        <v>5</v>
      </c>
      <c r="H19" s="92">
        <f>IF(B$19=0,0,G19/B$19)</f>
        <v>1.4124293785310734E-2</v>
      </c>
      <c r="I19" s="60">
        <v>8</v>
      </c>
      <c r="K19" s="7">
        <v>17</v>
      </c>
      <c r="L19" s="65">
        <v>-55.799999999999969</v>
      </c>
      <c r="N19" s="78" t="s">
        <v>194</v>
      </c>
      <c r="O19" s="87">
        <f>IF(P19=0,0,Q19/P19)</f>
        <v>5.1500000000000012</v>
      </c>
      <c r="P19" s="81">
        <v>10</v>
      </c>
      <c r="Q19" s="72">
        <v>51.500000000000014</v>
      </c>
    </row>
    <row r="20" spans="1:17" x14ac:dyDescent="0.45">
      <c r="A20" s="21" t="s">
        <v>13</v>
      </c>
      <c r="B20" s="14">
        <v>220</v>
      </c>
      <c r="C20" s="8">
        <f>IF(B$3=0,0,B20/B$3)</f>
        <v>0.17107309486780714</v>
      </c>
      <c r="E20" s="29" t="s">
        <v>79</v>
      </c>
      <c r="F20" s="26" t="s">
        <v>34</v>
      </c>
      <c r="G20" s="14">
        <v>4</v>
      </c>
      <c r="H20" s="92">
        <f>IF(B$19=0,0,G20/B$19)</f>
        <v>1.1299435028248588E-2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>IF(P20=0,0,Q20/P20)</f>
        <v>3.8437499999999996</v>
      </c>
      <c r="P20" s="81">
        <v>64</v>
      </c>
      <c r="Q20" s="72">
        <v>245.99999999999997</v>
      </c>
    </row>
    <row r="21" spans="1:17" x14ac:dyDescent="0.45">
      <c r="A21" s="21" t="s">
        <v>12</v>
      </c>
      <c r="B21" s="14">
        <v>182</v>
      </c>
      <c r="C21" s="8">
        <f>IF(B$19=0,0,B21/B$19)</f>
        <v>0.51412429378531077</v>
      </c>
      <c r="E21" s="29" t="s">
        <v>85</v>
      </c>
      <c r="F21" s="26" t="s">
        <v>40</v>
      </c>
      <c r="G21" s="14">
        <v>4</v>
      </c>
      <c r="H21" s="92">
        <f>IF(B$19=0,0,G21/B$19)</f>
        <v>1.1299435028248588E-2</v>
      </c>
      <c r="I21" s="60">
        <v>3</v>
      </c>
      <c r="K21" s="7">
        <v>19</v>
      </c>
      <c r="L21" s="65">
        <v>-27.799999999999969</v>
      </c>
      <c r="N21" s="78" t="s">
        <v>275</v>
      </c>
      <c r="O21" s="87">
        <f>IF(P21=0,0,Q21/P21)</f>
        <v>-2.910000000000001</v>
      </c>
      <c r="P21" s="81">
        <v>10</v>
      </c>
      <c r="Q21" s="72">
        <v>-29.100000000000009</v>
      </c>
    </row>
    <row r="22" spans="1:17" x14ac:dyDescent="0.45">
      <c r="A22" s="21" t="s">
        <v>11</v>
      </c>
      <c r="B22" s="14">
        <v>172</v>
      </c>
      <c r="C22" s="8">
        <f>IF(B$19=0,0,B22/B$19)</f>
        <v>0.48587570621468928</v>
      </c>
      <c r="E22" s="29" t="s">
        <v>84</v>
      </c>
      <c r="F22" s="26" t="s">
        <v>39</v>
      </c>
      <c r="G22" s="14">
        <v>3</v>
      </c>
      <c r="H22" s="92">
        <f>IF(B$19=0,0,G22/B$19)</f>
        <v>8.4745762711864406E-3</v>
      </c>
      <c r="I22" s="60">
        <v>1</v>
      </c>
      <c r="K22" s="7">
        <v>20</v>
      </c>
      <c r="L22" s="65">
        <v>-50.39999999999997</v>
      </c>
      <c r="N22" s="78" t="s">
        <v>169</v>
      </c>
      <c r="O22" s="87">
        <f>IF(P22=0,0,Q22/P22)</f>
        <v>-4.1120000000000001</v>
      </c>
      <c r="P22" s="81">
        <v>25</v>
      </c>
      <c r="Q22" s="72">
        <v>-102.80000000000001</v>
      </c>
    </row>
    <row r="23" spans="1:17" x14ac:dyDescent="0.45">
      <c r="A23" s="21" t="s">
        <v>192</v>
      </c>
      <c r="B23" s="14">
        <v>205</v>
      </c>
      <c r="C23" s="8">
        <f>IF(B$19=0,0,B23/B$19)</f>
        <v>0.57909604519774016</v>
      </c>
      <c r="E23" s="29" t="s">
        <v>73</v>
      </c>
      <c r="F23" s="26" t="s">
        <v>28</v>
      </c>
      <c r="G23" s="14">
        <v>2</v>
      </c>
      <c r="H23" s="92">
        <f>IF(B$19=0,0,G23/B$19)</f>
        <v>5.6497175141242938E-3</v>
      </c>
      <c r="I23" s="60">
        <v>3</v>
      </c>
      <c r="K23" s="7">
        <v>21</v>
      </c>
      <c r="L23" s="65">
        <v>-59.89999999999997</v>
      </c>
      <c r="N23" s="78" t="s">
        <v>126</v>
      </c>
      <c r="O23" s="87">
        <f>IF(P23=0,0,Q23/P23)</f>
        <v>-4.3463768115942036</v>
      </c>
      <c r="P23" s="81">
        <v>69</v>
      </c>
      <c r="Q23" s="72">
        <v>-299.90000000000003</v>
      </c>
    </row>
    <row r="24" spans="1:17" x14ac:dyDescent="0.45">
      <c r="A24" s="21" t="s">
        <v>190</v>
      </c>
      <c r="B24" s="14">
        <v>93</v>
      </c>
      <c r="C24" s="8">
        <f>IF(B$19=0,0,B24/B$19)</f>
        <v>0.26271186440677968</v>
      </c>
      <c r="E24" s="29" t="s">
        <v>75</v>
      </c>
      <c r="F24" s="26" t="s">
        <v>30</v>
      </c>
      <c r="G24" s="14">
        <v>2</v>
      </c>
      <c r="H24" s="92">
        <f>IF(B$19=0,0,G24/B$19)</f>
        <v>5.6497175141242938E-3</v>
      </c>
      <c r="I24" s="60">
        <v>7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56</v>
      </c>
      <c r="C25" s="8">
        <f>IF(B$19=0,0,B25/B$19)</f>
        <v>0.15819209039548024</v>
      </c>
      <c r="E25" s="29" t="s">
        <v>77</v>
      </c>
      <c r="F25" s="26" t="s">
        <v>32</v>
      </c>
      <c r="G25" s="14">
        <v>2</v>
      </c>
      <c r="H25" s="92">
        <f>IF(B$19=0,0,G25/B$19)</f>
        <v>5.6497175141242938E-3</v>
      </c>
      <c r="I25" s="60">
        <v>1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11125.141242937852</v>
      </c>
      <c r="C26" s="10">
        <v>3938300</v>
      </c>
      <c r="E26" s="29" t="s">
        <v>90</v>
      </c>
      <c r="F26" s="26" t="s">
        <v>45</v>
      </c>
      <c r="G26" s="14">
        <v>2</v>
      </c>
      <c r="H26" s="92">
        <f>IF(B$19=0,0,G26/B$19)</f>
        <v>5.6497175141242938E-3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11759.386973180077</v>
      </c>
      <c r="C27" s="100">
        <v>3069200</v>
      </c>
      <c r="E27" s="29" t="s">
        <v>88</v>
      </c>
      <c r="F27" s="26" t="s">
        <v>43</v>
      </c>
      <c r="G27" s="14">
        <v>1</v>
      </c>
      <c r="H27" s="92">
        <f>IF(B$19=0,0,G27/B$19)</f>
        <v>2.8248587570621469E-3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9345.1612903225814</v>
      </c>
      <c r="C28" s="100">
        <v>869100</v>
      </c>
      <c r="E28" s="29" t="s">
        <v>93</v>
      </c>
      <c r="F28" s="26" t="s">
        <v>48</v>
      </c>
      <c r="G28" s="14">
        <v>1</v>
      </c>
      <c r="H28" s="92">
        <f>IF(B$19=0,0,G28/B$19)</f>
        <v>2.8248587570621469E-3</v>
      </c>
      <c r="I28" s="60">
        <v>2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-8364.545454545454</v>
      </c>
      <c r="C29" s="100">
        <v>-1840200</v>
      </c>
      <c r="E29" s="29" t="s">
        <v>95</v>
      </c>
      <c r="F29" s="26" t="s">
        <v>50</v>
      </c>
      <c r="G29" s="14">
        <v>1</v>
      </c>
      <c r="H29" s="92">
        <f>IF(B$19=0,0,G29/B$19)</f>
        <v>2.8248587570621469E-3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2.8248587570621469E-3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0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5">
        <v>122100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1.5552099533437014E-3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2">IF(B$19=0,0,B36/B$19)</f>
        <v>2.8248587570621469E-2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29</v>
      </c>
      <c r="C37" s="8">
        <f t="shared" si="2"/>
        <v>8.1920903954802254E-2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46</v>
      </c>
      <c r="C38" s="8">
        <f t="shared" si="2"/>
        <v>0.12994350282485875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65</v>
      </c>
      <c r="C39" s="8">
        <f t="shared" si="2"/>
        <v>0.18361581920903955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76</v>
      </c>
      <c r="C40" s="8">
        <f t="shared" si="2"/>
        <v>0.21468926553672316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49</v>
      </c>
      <c r="C41" s="8">
        <f t="shared" si="2"/>
        <v>0.1384180790960452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26</v>
      </c>
      <c r="C42" s="8">
        <f t="shared" si="2"/>
        <v>7.3446327683615822E-2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24</v>
      </c>
      <c r="C43" s="8">
        <f t="shared" si="2"/>
        <v>6.7796610169491525E-2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11</v>
      </c>
      <c r="C44" s="8">
        <f t="shared" si="2"/>
        <v>3.1073446327683617E-2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2"/>
        <v>8.4745762711864406E-3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2"/>
        <v>8.4745762711864406E-3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2"/>
        <v>2.8248587570621469E-3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2"/>
        <v>3.1073446327683617E-2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4263-9889-4381-B55F-EF9E9388E37D}">
  <sheetPr codeName="Sheet17"/>
  <dimension ref="A1:Q16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158</v>
      </c>
      <c r="C2" s="130"/>
      <c r="E2" s="28" t="s">
        <v>66</v>
      </c>
      <c r="F2" s="25" t="s">
        <v>22</v>
      </c>
      <c r="G2" s="13">
        <v>264</v>
      </c>
      <c r="H2" s="91">
        <f>IF(B$19=0,0,G2/B$19)</f>
        <v>0.74576271186440679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-352.53164556962025</v>
      </c>
      <c r="P2" s="80">
        <v>158</v>
      </c>
      <c r="Q2" s="67">
        <v>-55700</v>
      </c>
    </row>
    <row r="3" spans="1:17" x14ac:dyDescent="0.45">
      <c r="A3" s="21" t="s">
        <v>8</v>
      </c>
      <c r="B3" s="131">
        <v>1277</v>
      </c>
      <c r="C3" s="132"/>
      <c r="E3" s="29" t="s">
        <v>72</v>
      </c>
      <c r="F3" s="26" t="s">
        <v>27</v>
      </c>
      <c r="G3" s="14">
        <v>195</v>
      </c>
      <c r="H3" s="92">
        <f>IF(B$19=0,0,G3/B$19)</f>
        <v>0.55084745762711862</v>
      </c>
      <c r="I3" s="60">
        <v>5</v>
      </c>
      <c r="K3" s="7">
        <v>1</v>
      </c>
      <c r="L3" s="65">
        <v>46.9</v>
      </c>
      <c r="N3" s="78" t="s">
        <v>131</v>
      </c>
      <c r="O3" s="84">
        <f t="shared" si="0"/>
        <v>551.61290322580646</v>
      </c>
      <c r="P3" s="81">
        <v>155</v>
      </c>
      <c r="Q3" s="68">
        <v>85500</v>
      </c>
    </row>
    <row r="4" spans="1:17" x14ac:dyDescent="0.45">
      <c r="A4" s="21" t="s">
        <v>6</v>
      </c>
      <c r="B4" s="133">
        <v>-60.099999999999994</v>
      </c>
      <c r="C4" s="134"/>
      <c r="E4" s="29" t="s">
        <v>64</v>
      </c>
      <c r="F4" s="26" t="s">
        <v>20</v>
      </c>
      <c r="G4" s="14">
        <v>172</v>
      </c>
      <c r="H4" s="92">
        <f>IF(B$19=0,0,G4/B$19)</f>
        <v>0.48587570621468928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234.93150684931507</v>
      </c>
      <c r="P4" s="81">
        <v>146</v>
      </c>
      <c r="Q4" s="68">
        <v>34300</v>
      </c>
    </row>
    <row r="5" spans="1:17" x14ac:dyDescent="0.45">
      <c r="A5" s="21" t="s">
        <v>7</v>
      </c>
      <c r="B5" s="121">
        <f>IF(B$2=0,0,B$4/B$2)</f>
        <v>-0.38037974683544301</v>
      </c>
      <c r="C5" s="122"/>
      <c r="E5" s="29" t="s">
        <v>163</v>
      </c>
      <c r="F5" s="26" t="s">
        <v>164</v>
      </c>
      <c r="G5" s="14">
        <v>157</v>
      </c>
      <c r="H5" s="92">
        <f>IF(B$19=0,0,G5/B$19)</f>
        <v>0.44350282485875708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200.75757575757575</v>
      </c>
      <c r="P5" s="81">
        <v>132</v>
      </c>
      <c r="Q5" s="68">
        <v>26500</v>
      </c>
    </row>
    <row r="6" spans="1:17" x14ac:dyDescent="0.45">
      <c r="A6" s="21" t="s">
        <v>1</v>
      </c>
      <c r="B6" s="135">
        <f>IF(B$2=0,0,(B$7*1+B$8*2+B$9*3)/B$2)</f>
        <v>2.0443037974683542</v>
      </c>
      <c r="C6" s="136"/>
      <c r="E6" s="29" t="s">
        <v>67</v>
      </c>
      <c r="F6" s="26" t="s">
        <v>23</v>
      </c>
      <c r="G6" s="14">
        <v>115</v>
      </c>
      <c r="H6" s="92">
        <f>IF(B$19=0,0,G6/B$19)</f>
        <v>0.3248587570621469</v>
      </c>
      <c r="I6" s="60">
        <v>6</v>
      </c>
      <c r="K6" s="7">
        <v>4</v>
      </c>
      <c r="L6" s="65">
        <v>-19.3</v>
      </c>
      <c r="N6" s="78" t="s">
        <v>134</v>
      </c>
      <c r="O6" s="84">
        <f t="shared" si="0"/>
        <v>42.5</v>
      </c>
      <c r="P6" s="81">
        <v>120</v>
      </c>
      <c r="Q6" s="68">
        <v>5100</v>
      </c>
    </row>
    <row r="7" spans="1:17" x14ac:dyDescent="0.45">
      <c r="A7" s="21" t="s">
        <v>2</v>
      </c>
      <c r="B7" s="14">
        <v>41</v>
      </c>
      <c r="C7" s="8">
        <f t="shared" ref="C7:C14" si="1">IF(B$2=0,0,B7/B$2)</f>
        <v>0.25949367088607594</v>
      </c>
      <c r="E7" s="29" t="s">
        <v>68</v>
      </c>
      <c r="F7" s="26" t="s">
        <v>12</v>
      </c>
      <c r="G7" s="14">
        <v>114</v>
      </c>
      <c r="H7" s="92">
        <f>IF(B$19=0,0,G7/B$19)</f>
        <v>0.32203389830508472</v>
      </c>
      <c r="I7" s="60">
        <v>5</v>
      </c>
      <c r="K7" s="7">
        <v>5</v>
      </c>
      <c r="L7" s="65">
        <v>-1.6000000000000014</v>
      </c>
      <c r="N7" s="79" t="s">
        <v>135</v>
      </c>
      <c r="O7" s="85">
        <f t="shared" si="0"/>
        <v>-770.58823529411768</v>
      </c>
      <c r="P7" s="82">
        <v>102</v>
      </c>
      <c r="Q7" s="69">
        <v>-78600</v>
      </c>
    </row>
    <row r="8" spans="1:17" x14ac:dyDescent="0.45">
      <c r="A8" s="21" t="s">
        <v>3</v>
      </c>
      <c r="B8" s="14">
        <v>69</v>
      </c>
      <c r="C8" s="8">
        <f t="shared" si="1"/>
        <v>0.43670886075949367</v>
      </c>
      <c r="E8" s="29" t="s">
        <v>89</v>
      </c>
      <c r="F8" s="26" t="s">
        <v>44</v>
      </c>
      <c r="G8" s="14">
        <v>50</v>
      </c>
      <c r="H8" s="92">
        <f>IF(B$19=0,0,G8/B$19)</f>
        <v>0.14124293785310735</v>
      </c>
      <c r="I8" s="60">
        <v>6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48</v>
      </c>
      <c r="C9" s="9">
        <f t="shared" si="1"/>
        <v>0.30379746835443039</v>
      </c>
      <c r="E9" s="29" t="s">
        <v>69</v>
      </c>
      <c r="F9" s="26" t="s">
        <v>24</v>
      </c>
      <c r="G9" s="14">
        <v>48</v>
      </c>
      <c r="H9" s="92">
        <f>IF(B$19=0,0,G9/B$19)</f>
        <v>0.13559322033898305</v>
      </c>
      <c r="I9" s="60">
        <v>8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38.524390243902431</v>
      </c>
      <c r="C10" s="114">
        <v>1579.4999999999998</v>
      </c>
      <c r="E10" s="29" t="s">
        <v>71</v>
      </c>
      <c r="F10" s="26" t="s">
        <v>26</v>
      </c>
      <c r="G10" s="14">
        <v>37</v>
      </c>
      <c r="H10" s="92">
        <f>IF(B$19=0,0,G10/B$19)</f>
        <v>0.10451977401129943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-2.8193548387096778</v>
      </c>
      <c r="P10" s="80">
        <v>62</v>
      </c>
      <c r="Q10" s="71">
        <v>-174.80000000000004</v>
      </c>
    </row>
    <row r="11" spans="1:17" x14ac:dyDescent="0.45">
      <c r="A11" s="22" t="s">
        <v>204</v>
      </c>
      <c r="B11" s="113">
        <f>IF(B8=0,0,C11/B8)</f>
        <v>0.11594202898550743</v>
      </c>
      <c r="C11" s="114">
        <v>8.0000000000000124</v>
      </c>
      <c r="E11" s="29" t="s">
        <v>65</v>
      </c>
      <c r="F11" s="26" t="s">
        <v>21</v>
      </c>
      <c r="G11" s="14">
        <v>29</v>
      </c>
      <c r="H11" s="92">
        <f>IF(B$19=0,0,G11/B$19)</f>
        <v>8.1920903954802254E-2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2.2244897959183678</v>
      </c>
      <c r="P11" s="81">
        <v>49</v>
      </c>
      <c r="Q11" s="72">
        <v>109.00000000000003</v>
      </c>
    </row>
    <row r="12" spans="1:17" x14ac:dyDescent="0.45">
      <c r="A12" s="22" t="s">
        <v>205</v>
      </c>
      <c r="B12" s="113">
        <f>IF(B9=0,0,C12/B9)</f>
        <v>-34.324999999999996</v>
      </c>
      <c r="C12" s="114">
        <v>-1647.5999999999997</v>
      </c>
      <c r="E12" s="29" t="s">
        <v>70</v>
      </c>
      <c r="F12" s="26" t="s">
        <v>25</v>
      </c>
      <c r="G12" s="14">
        <v>26</v>
      </c>
      <c r="H12" s="92">
        <f>IF(B$19=0,0,G12/B$19)</f>
        <v>7.3446327683615822E-2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0.12127659574468061</v>
      </c>
      <c r="P12" s="82">
        <v>47</v>
      </c>
      <c r="Q12" s="73">
        <v>5.6999999999999886</v>
      </c>
    </row>
    <row r="13" spans="1:17" x14ac:dyDescent="0.45">
      <c r="A13" s="22" t="s">
        <v>206</v>
      </c>
      <c r="B13" s="121">
        <f>AVERAGE(B10:B12)</f>
        <v>1.4384440909626477</v>
      </c>
      <c r="C13" s="122"/>
      <c r="E13" s="29" t="s">
        <v>86</v>
      </c>
      <c r="F13" s="26" t="s">
        <v>41</v>
      </c>
      <c r="G13" s="14">
        <v>18</v>
      </c>
      <c r="H13" s="92">
        <f>IF(B$19=0,0,G13/B$19)</f>
        <v>5.0847457627118647E-2</v>
      </c>
      <c r="I13" s="60">
        <v>6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13</v>
      </c>
      <c r="C14" s="11">
        <f t="shared" si="1"/>
        <v>8.2278481012658222E-2</v>
      </c>
      <c r="E14" s="29" t="s">
        <v>83</v>
      </c>
      <c r="F14" s="26" t="s">
        <v>38</v>
      </c>
      <c r="G14" s="14">
        <v>14</v>
      </c>
      <c r="H14" s="92">
        <f>IF(B$19=0,0,G14/B$19)</f>
        <v>3.954802259887006E-2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328</v>
      </c>
      <c r="C15" s="12">
        <f>IF(B$3=0,0,B15/B$3)</f>
        <v>0.25685199686765858</v>
      </c>
      <c r="E15" s="29" t="s">
        <v>79</v>
      </c>
      <c r="F15" s="26" t="s">
        <v>34</v>
      </c>
      <c r="G15" s="14">
        <v>7</v>
      </c>
      <c r="H15" s="92">
        <f>IF(B$19=0,0,G15/B$19)</f>
        <v>1.977401129943503E-2</v>
      </c>
      <c r="I15" s="60">
        <v>4</v>
      </c>
      <c r="K15" s="7">
        <v>13</v>
      </c>
      <c r="L15" s="65">
        <v>-68.399999999999991</v>
      </c>
      <c r="N15" s="77" t="s">
        <v>201</v>
      </c>
      <c r="O15" s="86">
        <f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293</v>
      </c>
      <c r="C16" s="8">
        <f>IF(B$3=0,0,B16/B$3)</f>
        <v>0.22944400939702428</v>
      </c>
      <c r="E16" s="29" t="s">
        <v>78</v>
      </c>
      <c r="F16" s="26" t="s">
        <v>33</v>
      </c>
      <c r="G16" s="14">
        <v>6</v>
      </c>
      <c r="H16" s="92">
        <f>IF(B$19=0,0,G16/B$19)</f>
        <v>1.6949152542372881E-2</v>
      </c>
      <c r="I16" s="60">
        <v>7</v>
      </c>
      <c r="K16" s="7">
        <v>14</v>
      </c>
      <c r="L16" s="65">
        <v>-25.79999999999999</v>
      </c>
      <c r="N16" s="78" t="s">
        <v>202</v>
      </c>
      <c r="O16" s="87">
        <f>IF(P16=0,0,Q16/P16)</f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178</v>
      </c>
      <c r="C17" s="6">
        <f>IF(B$15=0,0,B17/B$15)</f>
        <v>0.54268292682926833</v>
      </c>
      <c r="E17" s="29" t="s">
        <v>159</v>
      </c>
      <c r="F17" s="26" t="s">
        <v>160</v>
      </c>
      <c r="G17" s="14">
        <v>6</v>
      </c>
      <c r="H17" s="92">
        <f>IF(B$19=0,0,G17/B$19)</f>
        <v>1.6949152542372881E-2</v>
      </c>
      <c r="I17" s="60">
        <v>4</v>
      </c>
      <c r="K17" s="7">
        <v>15</v>
      </c>
      <c r="L17" s="65">
        <v>-35.499999999999986</v>
      </c>
      <c r="N17" s="78" t="s">
        <v>195</v>
      </c>
      <c r="O17" s="87">
        <f>IF(P17=0,0,Q17/P17)</f>
        <v>16.860714285714284</v>
      </c>
      <c r="P17" s="81">
        <v>28</v>
      </c>
      <c r="Q17" s="72">
        <v>472.09999999999997</v>
      </c>
    </row>
    <row r="18" spans="1:17" x14ac:dyDescent="0.45">
      <c r="A18" s="20" t="s">
        <v>124</v>
      </c>
      <c r="B18" s="13">
        <f>B24</f>
        <v>123</v>
      </c>
      <c r="C18" s="6">
        <f>IF(B$16=0,0,B18/B$16)</f>
        <v>0.41979522184300339</v>
      </c>
      <c r="E18" s="29" t="s">
        <v>73</v>
      </c>
      <c r="F18" s="26" t="s">
        <v>28</v>
      </c>
      <c r="G18" s="14">
        <v>5</v>
      </c>
      <c r="H18" s="92">
        <f>IF(B$19=0,0,G18/B$19)</f>
        <v>1.4124293785310734E-2</v>
      </c>
      <c r="I18" s="60">
        <v>1</v>
      </c>
      <c r="K18" s="7">
        <v>16</v>
      </c>
      <c r="L18" s="65">
        <v>-35.599999999999987</v>
      </c>
      <c r="N18" s="78" t="s">
        <v>169</v>
      </c>
      <c r="O18" s="87">
        <f>IF(P18=0,0,Q18/P18)</f>
        <v>15.66923076923077</v>
      </c>
      <c r="P18" s="81">
        <v>26</v>
      </c>
      <c r="Q18" s="72">
        <v>407.40000000000003</v>
      </c>
    </row>
    <row r="19" spans="1:17" x14ac:dyDescent="0.45">
      <c r="A19" s="20" t="s">
        <v>10</v>
      </c>
      <c r="B19" s="13">
        <f>B22+B21</f>
        <v>354</v>
      </c>
      <c r="C19" s="6">
        <f>IF(B$3=0,0,B19/B$3)</f>
        <v>0.27721221613155833</v>
      </c>
      <c r="E19" s="29" t="s">
        <v>81</v>
      </c>
      <c r="F19" s="26" t="s">
        <v>36</v>
      </c>
      <c r="G19" s="14">
        <v>5</v>
      </c>
      <c r="H19" s="92">
        <f>IF(B$19=0,0,G19/B$19)</f>
        <v>1.4124293785310734E-2</v>
      </c>
      <c r="I19" s="60">
        <v>9</v>
      </c>
      <c r="K19" s="7">
        <v>17</v>
      </c>
      <c r="L19" s="65">
        <v>-29.799999999999986</v>
      </c>
      <c r="N19" s="78" t="s">
        <v>194</v>
      </c>
      <c r="O19" s="87">
        <f>IF(P19=0,0,Q19/P19)</f>
        <v>5.6999999999999984</v>
      </c>
      <c r="P19" s="81">
        <v>5</v>
      </c>
      <c r="Q19" s="72">
        <v>28.499999999999993</v>
      </c>
    </row>
    <row r="20" spans="1:17" x14ac:dyDescent="0.45">
      <c r="A20" s="21" t="s">
        <v>13</v>
      </c>
      <c r="B20" s="14">
        <v>181</v>
      </c>
      <c r="C20" s="8">
        <f>IF(B$3=0,0,B20/B$3)</f>
        <v>0.14173844949099451</v>
      </c>
      <c r="E20" s="29" t="s">
        <v>91</v>
      </c>
      <c r="F20" s="26" t="s">
        <v>46</v>
      </c>
      <c r="G20" s="14">
        <v>4</v>
      </c>
      <c r="H20" s="92">
        <f>IF(B$19=0,0,G20/B$19)</f>
        <v>1.1299435028248588E-2</v>
      </c>
      <c r="I20" s="60">
        <v>7</v>
      </c>
      <c r="K20" s="7">
        <v>18</v>
      </c>
      <c r="L20" s="65">
        <v>-62.399999999999991</v>
      </c>
      <c r="N20" s="78" t="s">
        <v>281</v>
      </c>
      <c r="O20" s="87">
        <f>IF(P20=0,0,Q20/P20)</f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163</v>
      </c>
      <c r="C21" s="8">
        <f>IF(B$19=0,0,B21/B$19)</f>
        <v>0.46045197740112992</v>
      </c>
      <c r="E21" s="29" t="s">
        <v>85</v>
      </c>
      <c r="F21" s="26" t="s">
        <v>40</v>
      </c>
      <c r="G21" s="14">
        <v>3</v>
      </c>
      <c r="H21" s="92">
        <f>IF(B$19=0,0,G21/B$19)</f>
        <v>8.4745762711864406E-3</v>
      </c>
      <c r="I21" s="60">
        <v>4</v>
      </c>
      <c r="K21" s="7">
        <v>19</v>
      </c>
      <c r="L21" s="65">
        <v>-56.399999999999991</v>
      </c>
      <c r="N21" s="78" t="s">
        <v>127</v>
      </c>
      <c r="O21" s="87">
        <f>IF(P21=0,0,Q21/P21)</f>
        <v>3.1396825396825396</v>
      </c>
      <c r="P21" s="81">
        <v>63</v>
      </c>
      <c r="Q21" s="72">
        <v>197.79999999999998</v>
      </c>
    </row>
    <row r="22" spans="1:17" x14ac:dyDescent="0.45">
      <c r="A22" s="21" t="s">
        <v>11</v>
      </c>
      <c r="B22" s="14">
        <v>191</v>
      </c>
      <c r="C22" s="8">
        <f>IF(B$19=0,0,B22/B$19)</f>
        <v>0.53954802259887003</v>
      </c>
      <c r="E22" s="29" t="s">
        <v>92</v>
      </c>
      <c r="F22" s="26" t="s">
        <v>47</v>
      </c>
      <c r="G22" s="14">
        <v>3</v>
      </c>
      <c r="H22" s="92">
        <f>IF(B$19=0,0,G22/B$19)</f>
        <v>8.4745762711864406E-3</v>
      </c>
      <c r="I22" s="60">
        <v>3</v>
      </c>
      <c r="K22" s="7">
        <v>20</v>
      </c>
      <c r="L22" s="65">
        <v>-93.199999999999989</v>
      </c>
      <c r="N22" s="78" t="s">
        <v>158</v>
      </c>
      <c r="O22" s="87">
        <f>IF(P22=0,0,Q22/P22)</f>
        <v>2.4666666666666668</v>
      </c>
      <c r="P22" s="81">
        <v>33</v>
      </c>
      <c r="Q22" s="72">
        <v>81.400000000000006</v>
      </c>
    </row>
    <row r="23" spans="1:17" x14ac:dyDescent="0.45">
      <c r="A23" s="21" t="s">
        <v>192</v>
      </c>
      <c r="B23" s="14">
        <v>178</v>
      </c>
      <c r="C23" s="8">
        <f>IF(B$19=0,0,B23/B$19)</f>
        <v>0.50282485875706218</v>
      </c>
      <c r="E23" s="29" t="s">
        <v>75</v>
      </c>
      <c r="F23" s="26" t="s">
        <v>30</v>
      </c>
      <c r="G23" s="14">
        <v>2</v>
      </c>
      <c r="H23" s="92">
        <f>IF(B$19=0,0,G23/B$19)</f>
        <v>5.6497175141242938E-3</v>
      </c>
      <c r="I23" s="60">
        <v>7</v>
      </c>
      <c r="K23" s="7">
        <v>21</v>
      </c>
      <c r="L23" s="65">
        <v>-123.69999999999999</v>
      </c>
      <c r="N23" s="78" t="s">
        <v>167</v>
      </c>
      <c r="O23" s="87">
        <f>IF(P23=0,0,Q23/P23)</f>
        <v>-7.1323943661971825</v>
      </c>
      <c r="P23" s="81">
        <v>71</v>
      </c>
      <c r="Q23" s="72">
        <v>-506.4</v>
      </c>
    </row>
    <row r="24" spans="1:17" x14ac:dyDescent="0.45">
      <c r="A24" s="21" t="s">
        <v>190</v>
      </c>
      <c r="B24" s="14">
        <v>123</v>
      </c>
      <c r="C24" s="8">
        <f>IF(B$19=0,0,B24/B$19)</f>
        <v>0.34745762711864409</v>
      </c>
      <c r="E24" s="29" t="s">
        <v>88</v>
      </c>
      <c r="F24" s="26" t="s">
        <v>43</v>
      </c>
      <c r="G24" s="14">
        <v>2</v>
      </c>
      <c r="H24" s="92">
        <f>IF(B$19=0,0,G24/B$19)</f>
        <v>5.6497175141242938E-3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>IF(P24=0,0,Q24/P24)</f>
        <v>-13.262820512820516</v>
      </c>
      <c r="P24" s="81">
        <v>78</v>
      </c>
      <c r="Q24" s="72">
        <v>-1034.5000000000002</v>
      </c>
    </row>
    <row r="25" spans="1:17" x14ac:dyDescent="0.45">
      <c r="A25" s="21" t="s">
        <v>191</v>
      </c>
      <c r="B25" s="14">
        <v>53</v>
      </c>
      <c r="C25" s="8">
        <f>IF(B$19=0,0,B25/B$19)</f>
        <v>0.14971751412429379</v>
      </c>
      <c r="E25" s="29" t="s">
        <v>74</v>
      </c>
      <c r="F25" s="26" t="s">
        <v>29</v>
      </c>
      <c r="G25" s="14">
        <v>1</v>
      </c>
      <c r="H25" s="92">
        <f>IF(B$19=0,0,G25/B$19)</f>
        <v>2.8248587570621469E-3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>IF(P25=0,0,Q25/P25)</f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8560.7344632768363</v>
      </c>
      <c r="C26" s="10">
        <v>3030500</v>
      </c>
      <c r="E26" s="29" t="s">
        <v>87</v>
      </c>
      <c r="F26" s="26" t="s">
        <v>42</v>
      </c>
      <c r="G26" s="14">
        <v>1</v>
      </c>
      <c r="H26" s="92">
        <f>IF(B$19=0,0,G26/B$19)</f>
        <v>2.8248587570621469E-3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9556.2770562770565</v>
      </c>
      <c r="C27" s="100">
        <v>2207500</v>
      </c>
      <c r="E27" s="29" t="s">
        <v>93</v>
      </c>
      <c r="F27" s="26" t="s">
        <v>48</v>
      </c>
      <c r="G27" s="14">
        <v>1</v>
      </c>
      <c r="H27" s="92">
        <f>IF(B$19=0,0,G27/B$19)</f>
        <v>2.8248587570621469E-3</v>
      </c>
      <c r="I27" s="60">
        <v>2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6691.0569105691056</v>
      </c>
      <c r="C28" s="100">
        <v>823000</v>
      </c>
      <c r="E28" s="29" t="s">
        <v>101</v>
      </c>
      <c r="F28" s="26" t="s">
        <v>56</v>
      </c>
      <c r="G28" s="14">
        <v>1</v>
      </c>
      <c r="H28" s="92">
        <f>IF(B$19=0,0,G28/B$19)</f>
        <v>2.8248587570621469E-3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-7164.0883977900548</v>
      </c>
      <c r="C29" s="100">
        <v>-1296700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0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3">
        <v>8</v>
      </c>
      <c r="C32" s="12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5">
        <v>101400</v>
      </c>
      <c r="C33" s="126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1.5661707126076742E-3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20</v>
      </c>
      <c r="C36" s="102">
        <f t="shared" ref="C36:C48" si="2">IF(B$19=0,0,B36/B$19)</f>
        <v>5.6497175141242938E-2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64</v>
      </c>
      <c r="C37" s="8">
        <f t="shared" si="2"/>
        <v>0.1807909604519774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68</v>
      </c>
      <c r="C38" s="8">
        <f t="shared" si="2"/>
        <v>0.19209039548022599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68</v>
      </c>
      <c r="C39" s="8">
        <f t="shared" si="2"/>
        <v>0.19209039548022599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2"/>
        <v>0.1440677966101695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41</v>
      </c>
      <c r="C41" s="8">
        <f t="shared" si="2"/>
        <v>0.11581920903954802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19</v>
      </c>
      <c r="C42" s="8">
        <f t="shared" si="2"/>
        <v>5.3672316384180789E-2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9</v>
      </c>
      <c r="C43" s="8">
        <f t="shared" si="2"/>
        <v>2.5423728813559324E-2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2"/>
        <v>1.1299435028248588E-2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2</v>
      </c>
      <c r="C45" s="8">
        <f t="shared" si="2"/>
        <v>5.6497175141242938E-3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2"/>
        <v>2.8248587570621469E-3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2"/>
        <v>5.6497175141242938E-3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2"/>
        <v>1.4124293785310734E-2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25214-1F11-431F-A7D8-34AB6079247D}">
  <sheetPr codeName="Sheet19"/>
  <dimension ref="A1:Q7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75</v>
      </c>
      <c r="C2" s="130"/>
      <c r="E2" s="28" t="s">
        <v>66</v>
      </c>
      <c r="F2" s="25" t="s">
        <v>22</v>
      </c>
      <c r="G2" s="13">
        <v>105</v>
      </c>
      <c r="H2" s="91">
        <f>IF(B$19=0,0,G2/B$19)</f>
        <v>0.68627450980392157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-3541.3333333333335</v>
      </c>
      <c r="P2" s="80">
        <v>75</v>
      </c>
      <c r="Q2" s="67">
        <v>-265600</v>
      </c>
    </row>
    <row r="3" spans="1:17" x14ac:dyDescent="0.45">
      <c r="A3" s="21" t="s">
        <v>8</v>
      </c>
      <c r="B3" s="131">
        <v>624</v>
      </c>
      <c r="C3" s="132"/>
      <c r="E3" s="29" t="s">
        <v>72</v>
      </c>
      <c r="F3" s="26" t="s">
        <v>27</v>
      </c>
      <c r="G3" s="14">
        <v>102</v>
      </c>
      <c r="H3" s="92">
        <f>IF(B$19=0,0,G3/B$19)</f>
        <v>0.66666666666666663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1344.5945945945946</v>
      </c>
      <c r="P3" s="81">
        <v>74</v>
      </c>
      <c r="Q3" s="68">
        <v>99500</v>
      </c>
    </row>
    <row r="4" spans="1:17" x14ac:dyDescent="0.45">
      <c r="A4" s="21" t="s">
        <v>6</v>
      </c>
      <c r="B4" s="133">
        <v>-859.4000000000002</v>
      </c>
      <c r="C4" s="134"/>
      <c r="E4" s="29" t="s">
        <v>64</v>
      </c>
      <c r="F4" s="26" t="s">
        <v>20</v>
      </c>
      <c r="G4" s="14">
        <v>64</v>
      </c>
      <c r="H4" s="92">
        <f>IF(B$19=0,0,G4/B$19)</f>
        <v>0.41830065359477125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-1360</v>
      </c>
      <c r="P4" s="81">
        <v>70</v>
      </c>
      <c r="Q4" s="68">
        <v>-95200</v>
      </c>
    </row>
    <row r="5" spans="1:17" x14ac:dyDescent="0.45">
      <c r="A5" s="21" t="s">
        <v>7</v>
      </c>
      <c r="B5" s="121">
        <f>IF(B$2=0,0,B$4/B$2)</f>
        <v>-11.458666666666669</v>
      </c>
      <c r="C5" s="122"/>
      <c r="E5" s="29" t="s">
        <v>163</v>
      </c>
      <c r="F5" s="26" t="s">
        <v>164</v>
      </c>
      <c r="G5" s="14">
        <v>54</v>
      </c>
      <c r="H5" s="92">
        <f>IF(B$19=0,0,G5/B$19)</f>
        <v>0.35294117647058826</v>
      </c>
      <c r="I5" s="60">
        <v>10</v>
      </c>
      <c r="K5" s="7">
        <v>3</v>
      </c>
      <c r="L5" s="65">
        <v>-33.6</v>
      </c>
      <c r="N5" s="78" t="s">
        <v>133</v>
      </c>
      <c r="O5" s="84">
        <f t="shared" si="0"/>
        <v>-1795.2380952380952</v>
      </c>
      <c r="P5" s="81">
        <v>63</v>
      </c>
      <c r="Q5" s="68">
        <v>-113100</v>
      </c>
    </row>
    <row r="6" spans="1:17" x14ac:dyDescent="0.45">
      <c r="A6" s="21" t="s">
        <v>1</v>
      </c>
      <c r="B6" s="135">
        <f>IF(B$2=0,0,(B$7*1+B$8*2+B$9*3)/B$2)</f>
        <v>2.2933333333333334</v>
      </c>
      <c r="C6" s="136"/>
      <c r="E6" s="29" t="s">
        <v>68</v>
      </c>
      <c r="F6" s="26" t="s">
        <v>12</v>
      </c>
      <c r="G6" s="14">
        <v>43</v>
      </c>
      <c r="H6" s="92">
        <f>IF(B$19=0,0,G6/B$19)</f>
        <v>0.28104575163398693</v>
      </c>
      <c r="I6" s="60">
        <v>9</v>
      </c>
      <c r="K6" s="7">
        <v>4</v>
      </c>
      <c r="L6" s="65">
        <v>-80.5</v>
      </c>
      <c r="N6" s="78" t="s">
        <v>134</v>
      </c>
      <c r="O6" s="84">
        <f t="shared" si="0"/>
        <v>-1438.9830508474577</v>
      </c>
      <c r="P6" s="81">
        <v>59</v>
      </c>
      <c r="Q6" s="68">
        <v>-84900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0.14666666666666667</v>
      </c>
      <c r="E7" s="29" t="s">
        <v>67</v>
      </c>
      <c r="F7" s="26" t="s">
        <v>23</v>
      </c>
      <c r="G7" s="14">
        <v>40</v>
      </c>
      <c r="H7" s="92">
        <f>IF(B$19=0,0,G7/B$19)</f>
        <v>0.26143790849673204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-2165.9574468085107</v>
      </c>
      <c r="P7" s="82">
        <v>47</v>
      </c>
      <c r="Q7" s="69">
        <v>-101800</v>
      </c>
    </row>
    <row r="8" spans="1:17" x14ac:dyDescent="0.45">
      <c r="A8" s="21" t="s">
        <v>3</v>
      </c>
      <c r="B8" s="14">
        <v>31</v>
      </c>
      <c r="C8" s="8">
        <f t="shared" si="1"/>
        <v>0.41333333333333333</v>
      </c>
      <c r="E8" s="29" t="s">
        <v>89</v>
      </c>
      <c r="F8" s="26" t="s">
        <v>44</v>
      </c>
      <c r="G8" s="14">
        <v>25</v>
      </c>
      <c r="H8" s="92">
        <f>IF(B$19=0,0,G8/B$19)</f>
        <v>0.16339869281045752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33</v>
      </c>
      <c r="C9" s="9">
        <f t="shared" si="1"/>
        <v>0.44</v>
      </c>
      <c r="E9" s="29" t="s">
        <v>65</v>
      </c>
      <c r="F9" s="26" t="s">
        <v>21</v>
      </c>
      <c r="G9" s="14">
        <v>16</v>
      </c>
      <c r="H9" s="92">
        <f>IF(B$19=0,0,G9/B$19)</f>
        <v>0.10457516339869281</v>
      </c>
      <c r="I9" s="60">
        <v>9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35.145454545454541</v>
      </c>
      <c r="C10" s="114">
        <v>386.59999999999997</v>
      </c>
      <c r="E10" s="29" t="s">
        <v>69</v>
      </c>
      <c r="F10" s="26" t="s">
        <v>24</v>
      </c>
      <c r="G10" s="14">
        <v>13</v>
      </c>
      <c r="H10" s="92">
        <f>IF(B$19=0,0,G10/B$19)</f>
        <v>8.4967320261437912E-2</v>
      </c>
      <c r="I10" s="60">
        <v>12</v>
      </c>
      <c r="K10" s="7">
        <v>8</v>
      </c>
      <c r="L10" s="65">
        <v>-152.6</v>
      </c>
      <c r="N10" s="77" t="s">
        <v>154</v>
      </c>
      <c r="O10" s="86">
        <f>IF(P10=0,0,Q10/P10)</f>
        <v>-21.2</v>
      </c>
      <c r="P10" s="80">
        <v>30</v>
      </c>
      <c r="Q10" s="71">
        <v>-636</v>
      </c>
    </row>
    <row r="11" spans="1:17" x14ac:dyDescent="0.45">
      <c r="A11" s="22" t="s">
        <v>204</v>
      </c>
      <c r="B11" s="113">
        <f>IF(B8=0,0,C11/B8)</f>
        <v>-0.63225806451612887</v>
      </c>
      <c r="C11" s="114">
        <v>-19.599999999999994</v>
      </c>
      <c r="E11" s="29" t="s">
        <v>70</v>
      </c>
      <c r="F11" s="26" t="s">
        <v>25</v>
      </c>
      <c r="G11" s="14">
        <v>13</v>
      </c>
      <c r="H11" s="92">
        <f>IF(B$19=0,0,G11/B$19)</f>
        <v>8.4967320261437912E-2</v>
      </c>
      <c r="I11" s="60">
        <v>10</v>
      </c>
      <c r="K11" s="7">
        <v>9</v>
      </c>
      <c r="L11" s="65">
        <v>-150.6</v>
      </c>
      <c r="N11" s="78" t="s">
        <v>155</v>
      </c>
      <c r="O11" s="87">
        <f>IF(P11=0,0,Q11/P11)</f>
        <v>0.32608695652173947</v>
      </c>
      <c r="P11" s="81">
        <v>23</v>
      </c>
      <c r="Q11" s="72">
        <v>7.500000000000008</v>
      </c>
    </row>
    <row r="12" spans="1:17" x14ac:dyDescent="0.45">
      <c r="A12" s="22" t="s">
        <v>205</v>
      </c>
      <c r="B12" s="113">
        <f>IF(B9=0,0,C12/B9)</f>
        <v>-37.163636363636364</v>
      </c>
      <c r="C12" s="114">
        <v>-1226.4000000000001</v>
      </c>
      <c r="E12" s="29" t="s">
        <v>71</v>
      </c>
      <c r="F12" s="26" t="s">
        <v>26</v>
      </c>
      <c r="G12" s="14">
        <v>13</v>
      </c>
      <c r="H12" s="92">
        <f>IF(B$19=0,0,G12/B$19)</f>
        <v>8.4967320261437912E-2</v>
      </c>
      <c r="I12" s="60">
        <v>6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1">
        <f>AVERAGE(B10:B12)</f>
        <v>-0.88347996089931746</v>
      </c>
      <c r="C13" s="122"/>
      <c r="E13" s="29" t="s">
        <v>81</v>
      </c>
      <c r="F13" s="26" t="s">
        <v>36</v>
      </c>
      <c r="G13" s="14">
        <v>10</v>
      </c>
      <c r="H13" s="92">
        <f>IF(B$19=0,0,G13/B$19)</f>
        <v>6.535947712418301E-2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13</v>
      </c>
      <c r="C14" s="11">
        <f t="shared" si="1"/>
        <v>0.17333333333333334</v>
      </c>
      <c r="E14" s="29" t="s">
        <v>83</v>
      </c>
      <c r="F14" s="26" t="s">
        <v>38</v>
      </c>
      <c r="G14" s="14">
        <v>9</v>
      </c>
      <c r="H14" s="92">
        <f>IF(B$19=0,0,G14/B$19)</f>
        <v>5.8823529411764705E-2</v>
      </c>
      <c r="I14" s="60">
        <v>5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130</v>
      </c>
      <c r="C15" s="12">
        <f>IF(B$3=0,0,B15/B$3)</f>
        <v>0.20833333333333334</v>
      </c>
      <c r="E15" s="29" t="s">
        <v>86</v>
      </c>
      <c r="F15" s="26" t="s">
        <v>41</v>
      </c>
      <c r="G15" s="14">
        <v>8</v>
      </c>
      <c r="H15" s="92">
        <f>IF(B$19=0,0,G15/B$19)</f>
        <v>5.2287581699346407E-2</v>
      </c>
      <c r="I15" s="60">
        <v>4</v>
      </c>
      <c r="K15" s="7">
        <v>13</v>
      </c>
      <c r="L15" s="65">
        <v>-217.60000000000002</v>
      </c>
      <c r="N15" s="77" t="s">
        <v>158</v>
      </c>
      <c r="O15" s="86">
        <f>IF(P15=0,0,Q15/P15)</f>
        <v>11.63478260869565</v>
      </c>
      <c r="P15" s="80">
        <v>23</v>
      </c>
      <c r="Q15" s="71">
        <v>267.59999999999997</v>
      </c>
    </row>
    <row r="16" spans="1:17" x14ac:dyDescent="0.45">
      <c r="A16" s="21" t="s">
        <v>118</v>
      </c>
      <c r="B16" s="14">
        <v>143</v>
      </c>
      <c r="C16" s="8">
        <f>IF(B$3=0,0,B16/B$3)</f>
        <v>0.22916666666666666</v>
      </c>
      <c r="E16" s="29" t="s">
        <v>91</v>
      </c>
      <c r="F16" s="26" t="s">
        <v>46</v>
      </c>
      <c r="G16" s="14">
        <v>4</v>
      </c>
      <c r="H16" s="92">
        <f>IF(B$19=0,0,G16/B$19)</f>
        <v>2.6143790849673203E-2</v>
      </c>
      <c r="I16" s="60">
        <v>3</v>
      </c>
      <c r="K16" s="7">
        <v>14</v>
      </c>
      <c r="L16" s="65">
        <v>-266.90000000000003</v>
      </c>
      <c r="N16" s="78" t="s">
        <v>281</v>
      </c>
      <c r="O16" s="87">
        <f>IF(P16=0,0,Q16/P16)</f>
        <v>2.1000000000000014</v>
      </c>
      <c r="P16" s="81">
        <v>3</v>
      </c>
      <c r="Q16" s="72">
        <v>6.3000000000000043</v>
      </c>
    </row>
    <row r="17" spans="1:17" x14ac:dyDescent="0.45">
      <c r="A17" s="20" t="s">
        <v>123</v>
      </c>
      <c r="B17" s="13">
        <f>B23</f>
        <v>67</v>
      </c>
      <c r="C17" s="6">
        <f>IF(B$15=0,0,B17/B$15)</f>
        <v>0.51538461538461533</v>
      </c>
      <c r="E17" s="29" t="s">
        <v>78</v>
      </c>
      <c r="F17" s="26" t="s">
        <v>33</v>
      </c>
      <c r="G17" s="14">
        <v>2</v>
      </c>
      <c r="H17" s="92">
        <f>IF(B$19=0,0,G17/B$19)</f>
        <v>1.3071895424836602E-2</v>
      </c>
      <c r="I17" s="60">
        <v>9</v>
      </c>
      <c r="K17" s="7">
        <v>15</v>
      </c>
      <c r="L17" s="65">
        <v>-272.50000000000006</v>
      </c>
      <c r="N17" s="78" t="s">
        <v>275</v>
      </c>
      <c r="O17" s="87">
        <f>IF(P17=0,0,Q17/P17)</f>
        <v>-12.000000000000002</v>
      </c>
      <c r="P17" s="81">
        <v>1</v>
      </c>
      <c r="Q17" s="72">
        <v>-12.000000000000002</v>
      </c>
    </row>
    <row r="18" spans="1:17" x14ac:dyDescent="0.45">
      <c r="A18" s="20" t="s">
        <v>124</v>
      </c>
      <c r="B18" s="13">
        <f>B24</f>
        <v>57</v>
      </c>
      <c r="C18" s="6">
        <f>IF(B$16=0,0,B18/B$16)</f>
        <v>0.39860139860139859</v>
      </c>
      <c r="E18" s="29" t="s">
        <v>73</v>
      </c>
      <c r="F18" s="26" t="s">
        <v>28</v>
      </c>
      <c r="G18" s="14">
        <v>1</v>
      </c>
      <c r="H18" s="92">
        <f>IF(B$19=0,0,G18/B$19)</f>
        <v>6.5359477124183009E-3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>IF(P18=0,0,Q18/P18)</f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153</v>
      </c>
      <c r="C19" s="6">
        <f>IF(B$3=0,0,B19/B$3)</f>
        <v>0.24519230769230768</v>
      </c>
      <c r="E19" s="29" t="s">
        <v>74</v>
      </c>
      <c r="F19" s="26" t="s">
        <v>29</v>
      </c>
      <c r="G19" s="14">
        <v>1</v>
      </c>
      <c r="H19" s="92">
        <f>IF(B$19=0,0,G19/B$19)</f>
        <v>6.5359477124183009E-3</v>
      </c>
      <c r="I19" s="60">
        <v>2</v>
      </c>
      <c r="K19" s="7">
        <v>17</v>
      </c>
      <c r="L19" s="65">
        <v>-352.60000000000008</v>
      </c>
      <c r="N19" s="78" t="s">
        <v>168</v>
      </c>
      <c r="O19" s="87">
        <f>IF(P19=0,0,Q19/P19)</f>
        <v>-16.860714285714284</v>
      </c>
      <c r="P19" s="81">
        <v>28</v>
      </c>
      <c r="Q19" s="72">
        <v>-472.09999999999997</v>
      </c>
    </row>
    <row r="20" spans="1:17" x14ac:dyDescent="0.45">
      <c r="A20" s="21" t="s">
        <v>13</v>
      </c>
      <c r="B20" s="14">
        <v>115</v>
      </c>
      <c r="C20" s="8">
        <f>IF(B$3=0,0,B20/B$3)</f>
        <v>0.18429487179487181</v>
      </c>
      <c r="E20" s="29" t="s">
        <v>79</v>
      </c>
      <c r="F20" s="26" t="s">
        <v>34</v>
      </c>
      <c r="G20" s="14">
        <v>1</v>
      </c>
      <c r="H20" s="92">
        <f>IF(B$19=0,0,G20/B$19)</f>
        <v>6.5359477124183009E-3</v>
      </c>
      <c r="I20" s="60">
        <v>10</v>
      </c>
      <c r="K20" s="7">
        <v>18</v>
      </c>
      <c r="L20" s="65">
        <v>-355.50000000000006</v>
      </c>
      <c r="N20" s="78" t="s">
        <v>202</v>
      </c>
      <c r="O20" s="87">
        <f>IF(P20=0,0,Q20/P20)</f>
        <v>-17.649999999999999</v>
      </c>
      <c r="P20" s="81">
        <v>2</v>
      </c>
      <c r="Q20" s="72">
        <v>-35.299999999999997</v>
      </c>
    </row>
    <row r="21" spans="1:17" x14ac:dyDescent="0.45">
      <c r="A21" s="21" t="s">
        <v>12</v>
      </c>
      <c r="B21" s="14">
        <v>70</v>
      </c>
      <c r="C21" s="8">
        <f>IF(B$19=0,0,B21/B$19)</f>
        <v>0.45751633986928103</v>
      </c>
      <c r="E21" s="29" t="s">
        <v>92</v>
      </c>
      <c r="F21" s="26" t="s">
        <v>47</v>
      </c>
      <c r="G21" s="14">
        <v>1</v>
      </c>
      <c r="H21" s="92">
        <f>IF(B$19=0,0,G21/B$19)</f>
        <v>6.5359477124183009E-3</v>
      </c>
      <c r="I21" s="60">
        <v>5</v>
      </c>
      <c r="K21" s="7">
        <v>19</v>
      </c>
      <c r="L21" s="65">
        <v>-400.60000000000008</v>
      </c>
      <c r="N21" s="78" t="s">
        <v>167</v>
      </c>
      <c r="O21" s="87">
        <f>IF(P21=0,0,Q21/P21)</f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83</v>
      </c>
      <c r="C22" s="8">
        <f>IF(B$19=0,0,B22/B$19)</f>
        <v>0.54248366013071891</v>
      </c>
      <c r="E22" s="29" t="s">
        <v>95</v>
      </c>
      <c r="F22" s="26" t="s">
        <v>50</v>
      </c>
      <c r="G22" s="14">
        <v>1</v>
      </c>
      <c r="H22" s="92">
        <f>IF(B$19=0,0,G22/B$19)</f>
        <v>6.5359477124183009E-3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>IF(P22=0,0,Q22/P22)</f>
        <v>-21.183333333333334</v>
      </c>
      <c r="P22" s="81">
        <v>6</v>
      </c>
      <c r="Q22" s="72">
        <v>-127.1</v>
      </c>
    </row>
    <row r="23" spans="1:17" x14ac:dyDescent="0.45">
      <c r="A23" s="21" t="s">
        <v>192</v>
      </c>
      <c r="B23" s="14">
        <v>67</v>
      </c>
      <c r="C23" s="8">
        <f>IF(B$19=0,0,B23/B$19)</f>
        <v>0.43790849673202614</v>
      </c>
      <c r="E23" s="29" t="s">
        <v>159</v>
      </c>
      <c r="F23" s="26" t="s">
        <v>160</v>
      </c>
      <c r="G23" s="14">
        <v>1</v>
      </c>
      <c r="H23" s="92">
        <f>IF(B$19=0,0,G23/B$19)</f>
        <v>6.5359477124183009E-3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>IF(P23=0,0,Q23/P23)</f>
        <v>-28.930769230769247</v>
      </c>
      <c r="P23" s="81">
        <v>26</v>
      </c>
      <c r="Q23" s="72">
        <v>-752.20000000000039</v>
      </c>
    </row>
    <row r="24" spans="1:17" x14ac:dyDescent="0.45">
      <c r="A24" s="21" t="s">
        <v>190</v>
      </c>
      <c r="B24" s="14">
        <v>57</v>
      </c>
      <c r="C24" s="8">
        <f>IF(B$19=0,0,B24/B$19)</f>
        <v>0.37254901960784315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>IF(P24=0,0,Q24/P24)</f>
        <v>-56.614285714285721</v>
      </c>
      <c r="P24" s="81">
        <v>7</v>
      </c>
      <c r="Q24" s="72">
        <v>-396.30000000000007</v>
      </c>
    </row>
    <row r="25" spans="1:17" x14ac:dyDescent="0.45">
      <c r="A25" s="21" t="s">
        <v>191</v>
      </c>
      <c r="B25" s="14">
        <v>29</v>
      </c>
      <c r="C25" s="8">
        <f>IF(B$19=0,0,B25/B$19)</f>
        <v>0.18954248366013071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>IF(P25=0,0,Q25/P25)</f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8516.339869281046</v>
      </c>
      <c r="C26" s="10">
        <v>1303000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9097.9166666666661</v>
      </c>
      <c r="C27" s="100">
        <v>873400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7536.8421052631575</v>
      </c>
      <c r="C28" s="100">
        <v>429600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-8213.9130434782601</v>
      </c>
      <c r="C29" s="100">
        <v>-944600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3">
        <v>6</v>
      </c>
      <c r="C32" s="12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5">
        <v>85100</v>
      </c>
      <c r="C33" s="12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4.807692307692308E-3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2">IF(B$19=0,0,B36/B$19)</f>
        <v>7.8431372549019607E-2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27</v>
      </c>
      <c r="C37" s="8">
        <f t="shared" si="2"/>
        <v>0.17647058823529413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30</v>
      </c>
      <c r="C38" s="8">
        <f t="shared" si="2"/>
        <v>0.19607843137254902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27</v>
      </c>
      <c r="C39" s="8">
        <f t="shared" si="2"/>
        <v>0.17647058823529413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22</v>
      </c>
      <c r="C40" s="8">
        <f t="shared" si="2"/>
        <v>0.1437908496732026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2"/>
        <v>9.1503267973856203E-2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2"/>
        <v>6.535947712418301E-2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2"/>
        <v>3.9215686274509803E-2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2"/>
        <v>6.5359477124183009E-3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2"/>
        <v>1.3071895424836602E-2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2"/>
        <v>1.3071895424836602E-2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287B-1FE8-4199-8EA0-A840D3F2F1D2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194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32</v>
      </c>
      <c r="C2" s="130"/>
      <c r="E2" s="28" t="s">
        <v>66</v>
      </c>
      <c r="F2" s="25" t="s">
        <v>22</v>
      </c>
      <c r="G2" s="13">
        <v>67</v>
      </c>
      <c r="H2" s="91">
        <f>IF(B$19=0,0,G2/B$19)</f>
        <v>0.87012987012987009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-2816.1290322580644</v>
      </c>
      <c r="P2" s="80">
        <v>31</v>
      </c>
      <c r="Q2" s="67">
        <v>-87300</v>
      </c>
    </row>
    <row r="3" spans="1:17" x14ac:dyDescent="0.45">
      <c r="A3" s="21" t="s">
        <v>8</v>
      </c>
      <c r="B3" s="131">
        <v>298</v>
      </c>
      <c r="C3" s="132"/>
      <c r="E3" s="29" t="s">
        <v>64</v>
      </c>
      <c r="F3" s="26" t="s">
        <v>20</v>
      </c>
      <c r="G3" s="14">
        <v>47</v>
      </c>
      <c r="H3" s="92">
        <f>IF(B$19=0,0,G3/B$19)</f>
        <v>0.61038961038961037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-1836.6666666666667</v>
      </c>
      <c r="P3" s="81">
        <v>30</v>
      </c>
      <c r="Q3" s="68">
        <v>-55100</v>
      </c>
    </row>
    <row r="4" spans="1:17" x14ac:dyDescent="0.45">
      <c r="A4" s="21" t="s">
        <v>6</v>
      </c>
      <c r="B4" s="133">
        <v>-96.699999999999974</v>
      </c>
      <c r="C4" s="134"/>
      <c r="E4" s="29" t="s">
        <v>68</v>
      </c>
      <c r="F4" s="26" t="s">
        <v>12</v>
      </c>
      <c r="G4" s="14">
        <v>36</v>
      </c>
      <c r="H4" s="92">
        <f>IF(B$19=0,0,G4/B$19)</f>
        <v>0.46753246753246752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1862.0689655172414</v>
      </c>
      <c r="P4" s="81">
        <v>29</v>
      </c>
      <c r="Q4" s="68">
        <v>54000</v>
      </c>
    </row>
    <row r="5" spans="1:17" x14ac:dyDescent="0.45">
      <c r="A5" s="21" t="s">
        <v>7</v>
      </c>
      <c r="B5" s="121">
        <f>IF(B$2=0,0,B$4/B$2)</f>
        <v>-3.0218749999999992</v>
      </c>
      <c r="C5" s="122"/>
      <c r="E5" s="29" t="s">
        <v>163</v>
      </c>
      <c r="F5" s="26" t="s">
        <v>164</v>
      </c>
      <c r="G5" s="14">
        <v>31</v>
      </c>
      <c r="H5" s="92">
        <f>IF(B$19=0,0,G5/B$19)</f>
        <v>0.40259740259740262</v>
      </c>
      <c r="I5" s="60">
        <v>6</v>
      </c>
      <c r="K5" s="7">
        <v>3</v>
      </c>
      <c r="L5" s="65">
        <v>76</v>
      </c>
      <c r="N5" s="78" t="s">
        <v>133</v>
      </c>
      <c r="O5" s="84">
        <f t="shared" si="0"/>
        <v>-2503.4482758620688</v>
      </c>
      <c r="P5" s="81">
        <v>29</v>
      </c>
      <c r="Q5" s="68">
        <v>-72600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72</v>
      </c>
      <c r="F6" s="26" t="s">
        <v>27</v>
      </c>
      <c r="G6" s="14">
        <v>29</v>
      </c>
      <c r="H6" s="92">
        <f>IF(B$19=0,0,G6/B$19)</f>
        <v>0.37662337662337664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3992.3076923076924</v>
      </c>
      <c r="P6" s="81">
        <v>26</v>
      </c>
      <c r="Q6" s="68">
        <v>103800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0.375</v>
      </c>
      <c r="E7" s="29" t="s">
        <v>67</v>
      </c>
      <c r="F7" s="26" t="s">
        <v>23</v>
      </c>
      <c r="G7" s="14">
        <v>17</v>
      </c>
      <c r="H7" s="92">
        <f>IF(B$19=0,0,G7/B$19)</f>
        <v>0.22077922077922077</v>
      </c>
      <c r="I7" s="60">
        <v>11</v>
      </c>
      <c r="K7" s="7">
        <v>5</v>
      </c>
      <c r="L7" s="65">
        <v>127.9</v>
      </c>
      <c r="N7" s="79" t="s">
        <v>135</v>
      </c>
      <c r="O7" s="85">
        <f t="shared" si="0"/>
        <v>772.72727272727275</v>
      </c>
      <c r="P7" s="82">
        <v>22</v>
      </c>
      <c r="Q7" s="69">
        <v>17000</v>
      </c>
    </row>
    <row r="8" spans="1:17" x14ac:dyDescent="0.45">
      <c r="A8" s="21" t="s">
        <v>3</v>
      </c>
      <c r="B8" s="14">
        <v>8</v>
      </c>
      <c r="C8" s="8">
        <f t="shared" si="1"/>
        <v>0.25</v>
      </c>
      <c r="E8" s="29" t="s">
        <v>69</v>
      </c>
      <c r="F8" s="26" t="s">
        <v>24</v>
      </c>
      <c r="G8" s="14">
        <v>16</v>
      </c>
      <c r="H8" s="92">
        <f>IF(B$19=0,0,G8/B$19)</f>
        <v>0.20779220779220781</v>
      </c>
      <c r="I8" s="60">
        <v>2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0.375</v>
      </c>
      <c r="E9" s="29" t="s">
        <v>65</v>
      </c>
      <c r="F9" s="26" t="s">
        <v>21</v>
      </c>
      <c r="G9" s="14">
        <v>9</v>
      </c>
      <c r="H9" s="92">
        <f>IF(B$19=0,0,G9/B$19)</f>
        <v>0.11688311688311688</v>
      </c>
      <c r="I9" s="60">
        <v>6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8</v>
      </c>
      <c r="H10" s="92">
        <f>IF(B$19=0,0,G10/B$19)</f>
        <v>0.1038961038961039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-6.4916666666666671</v>
      </c>
      <c r="P10" s="80">
        <v>12</v>
      </c>
      <c r="Q10" s="71">
        <v>-77.900000000000006</v>
      </c>
    </row>
    <row r="11" spans="1:17" x14ac:dyDescent="0.45">
      <c r="A11" s="22" t="s">
        <v>204</v>
      </c>
      <c r="B11" s="113">
        <f>IF(B8=0,0,C11/B8)</f>
        <v>-0.31249999999999956</v>
      </c>
      <c r="C11" s="114">
        <v>-2.4999999999999964</v>
      </c>
      <c r="E11" s="29" t="s">
        <v>89</v>
      </c>
      <c r="F11" s="26" t="s">
        <v>44</v>
      </c>
      <c r="G11" s="14">
        <v>7</v>
      </c>
      <c r="H11" s="92">
        <f>IF(B$19=0,0,G11/B$19)</f>
        <v>9.0909090909090912E-2</v>
      </c>
      <c r="I11" s="60">
        <v>11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-36.56666666666667</v>
      </c>
      <c r="C12" s="114">
        <v>-438.80000000000007</v>
      </c>
      <c r="E12" s="29" t="s">
        <v>71</v>
      </c>
      <c r="F12" s="26" t="s">
        <v>26</v>
      </c>
      <c r="G12" s="14">
        <v>6</v>
      </c>
      <c r="H12" s="92">
        <f>IF(B$19=0,0,G12/B$19)</f>
        <v>7.792207792207792E-2</v>
      </c>
      <c r="I12" s="60">
        <v>8</v>
      </c>
      <c r="K12" s="7">
        <v>10</v>
      </c>
      <c r="L12" s="65">
        <v>162.80000000000001</v>
      </c>
      <c r="N12" s="79" t="s">
        <v>156</v>
      </c>
      <c r="O12" s="88">
        <f>IF(P12=0,0,Q12/P12)</f>
        <v>5.8</v>
      </c>
      <c r="P12" s="82">
        <v>10</v>
      </c>
      <c r="Q12" s="73">
        <v>58</v>
      </c>
    </row>
    <row r="13" spans="1:17" x14ac:dyDescent="0.45">
      <c r="A13" s="22" t="s">
        <v>206</v>
      </c>
      <c r="B13" s="121">
        <f>AVERAGE(B10:B12)</f>
        <v>-2.7208333333333337</v>
      </c>
      <c r="C13" s="122"/>
      <c r="E13" s="29" t="s">
        <v>78</v>
      </c>
      <c r="F13" s="26" t="s">
        <v>33</v>
      </c>
      <c r="G13" s="14">
        <v>5</v>
      </c>
      <c r="H13" s="92">
        <f>IF(B$19=0,0,G13/B$19)</f>
        <v>6.4935064935064929E-2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0.15625</v>
      </c>
      <c r="E14" s="29" t="s">
        <v>86</v>
      </c>
      <c r="F14" s="26" t="s">
        <v>41</v>
      </c>
      <c r="G14" s="14">
        <v>4</v>
      </c>
      <c r="H14" s="92">
        <f>IF(B$19=0,0,G14/B$19)</f>
        <v>5.1948051948051951E-2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83</v>
      </c>
      <c r="C15" s="12">
        <f>IF(B$3=0,0,B15/B$3)</f>
        <v>0.27852348993288589</v>
      </c>
      <c r="E15" s="29" t="s">
        <v>83</v>
      </c>
      <c r="F15" s="26" t="s">
        <v>38</v>
      </c>
      <c r="G15" s="14">
        <v>2</v>
      </c>
      <c r="H15" s="92">
        <f>IF(B$19=0,0,G15/B$19)</f>
        <v>2.5974025974025976E-2</v>
      </c>
      <c r="I15" s="60">
        <v>12</v>
      </c>
      <c r="K15" s="7">
        <v>13</v>
      </c>
      <c r="L15" s="65">
        <v>76.7</v>
      </c>
      <c r="N15" s="77" t="s">
        <v>195</v>
      </c>
      <c r="O15" s="86">
        <f>IF(P15=0,0,Q15/P15)</f>
        <v>56.614285714285721</v>
      </c>
      <c r="P15" s="80">
        <v>7</v>
      </c>
      <c r="Q15" s="71">
        <v>396.30000000000007</v>
      </c>
    </row>
    <row r="16" spans="1:17" x14ac:dyDescent="0.45">
      <c r="A16" s="21" t="s">
        <v>118</v>
      </c>
      <c r="B16" s="14">
        <v>48</v>
      </c>
      <c r="C16" s="8">
        <f>IF(B$3=0,0,B16/B$3)</f>
        <v>0.16107382550335569</v>
      </c>
      <c r="E16" s="29" t="s">
        <v>75</v>
      </c>
      <c r="F16" s="26" t="s">
        <v>30</v>
      </c>
      <c r="G16" s="14">
        <v>1</v>
      </c>
      <c r="H16" s="92">
        <f>IF(B$19=0,0,G16/B$19)</f>
        <v>1.2987012987012988E-2</v>
      </c>
      <c r="I16" s="60">
        <v>2</v>
      </c>
      <c r="K16" s="7">
        <v>14</v>
      </c>
      <c r="L16" s="65">
        <v>49.900000000000006</v>
      </c>
      <c r="N16" s="78" t="s">
        <v>169</v>
      </c>
      <c r="O16" s="87">
        <f>IF(P16=0,0,Q16/P16)</f>
        <v>1.8909090909090909</v>
      </c>
      <c r="P16" s="81">
        <v>11</v>
      </c>
      <c r="Q16" s="72">
        <v>20.8</v>
      </c>
    </row>
    <row r="17" spans="1:17" x14ac:dyDescent="0.45">
      <c r="A17" s="20" t="s">
        <v>123</v>
      </c>
      <c r="B17" s="13">
        <f>B23</f>
        <v>47</v>
      </c>
      <c r="C17" s="6">
        <f>IF(B$15=0,0,B17/B$15)</f>
        <v>0.5662650602409639</v>
      </c>
      <c r="E17" s="29" t="s">
        <v>81</v>
      </c>
      <c r="F17" s="26" t="s">
        <v>36</v>
      </c>
      <c r="G17" s="14">
        <v>1</v>
      </c>
      <c r="H17" s="92">
        <f>IF(B$19=0,0,G17/B$19)</f>
        <v>1.2987012987012988E-2</v>
      </c>
      <c r="I17" s="60">
        <v>10</v>
      </c>
      <c r="K17" s="7">
        <v>15</v>
      </c>
      <c r="L17" s="65">
        <v>73.7</v>
      </c>
      <c r="N17" s="78" t="s">
        <v>275</v>
      </c>
      <c r="O17" s="87">
        <f>IF(P17=0,0,Q17/P17)</f>
        <v>0.16666666666666785</v>
      </c>
      <c r="P17" s="81">
        <v>3</v>
      </c>
      <c r="Q17" s="72">
        <v>0.50000000000000355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0.3125</v>
      </c>
      <c r="E18" s="29" t="s">
        <v>85</v>
      </c>
      <c r="F18" s="26" t="s">
        <v>40</v>
      </c>
      <c r="G18" s="14">
        <v>1</v>
      </c>
      <c r="H18" s="92">
        <f>IF(B$19=0,0,G18/B$19)</f>
        <v>1.2987012987012988E-2</v>
      </c>
      <c r="I18" s="60">
        <v>2</v>
      </c>
      <c r="K18" s="7">
        <v>16</v>
      </c>
      <c r="L18" s="65">
        <v>28.300000000000004</v>
      </c>
      <c r="N18" s="78" t="s">
        <v>167</v>
      </c>
      <c r="O18" s="87">
        <f>IF(P18=0,0,Q18/P18)</f>
        <v>-5.15</v>
      </c>
      <c r="P18" s="81">
        <v>10</v>
      </c>
      <c r="Q18" s="72">
        <v>-51.500000000000007</v>
      </c>
    </row>
    <row r="19" spans="1:17" x14ac:dyDescent="0.45">
      <c r="A19" s="20" t="s">
        <v>10</v>
      </c>
      <c r="B19" s="13">
        <f>B22+B21</f>
        <v>77</v>
      </c>
      <c r="C19" s="6">
        <f>IF(B$3=0,0,B19/B$3)</f>
        <v>0.25838926174496646</v>
      </c>
      <c r="E19" s="29" t="s">
        <v>87</v>
      </c>
      <c r="F19" s="26" t="s">
        <v>42</v>
      </c>
      <c r="G19" s="14">
        <v>1</v>
      </c>
      <c r="H19" s="92">
        <f>IF(B$19=0,0,G19/B$19)</f>
        <v>1.2987012987012988E-2</v>
      </c>
      <c r="I19" s="60">
        <v>2</v>
      </c>
      <c r="K19" s="7">
        <v>17</v>
      </c>
      <c r="L19" s="65">
        <v>49.800000000000004</v>
      </c>
      <c r="N19" s="78" t="s">
        <v>168</v>
      </c>
      <c r="O19" s="87">
        <f>IF(P19=0,0,Q19/P19)</f>
        <v>-5.7000000000000011</v>
      </c>
      <c r="P19" s="81">
        <v>5</v>
      </c>
      <c r="Q19" s="72">
        <v>-28.500000000000004</v>
      </c>
    </row>
    <row r="20" spans="1:17" x14ac:dyDescent="0.45">
      <c r="A20" s="21" t="s">
        <v>13</v>
      </c>
      <c r="B20" s="14">
        <v>50</v>
      </c>
      <c r="C20" s="8">
        <f>IF(B$3=0,0,B20/B$3)</f>
        <v>0.16778523489932887</v>
      </c>
      <c r="E20" s="29" t="s">
        <v>159</v>
      </c>
      <c r="F20" s="26" t="s">
        <v>160</v>
      </c>
      <c r="G20" s="14">
        <v>1</v>
      </c>
      <c r="H20" s="92">
        <f>IF(B$19=0,0,G20/B$19)</f>
        <v>1.2987012987012988E-2</v>
      </c>
      <c r="I20" s="60">
        <v>6</v>
      </c>
      <c r="K20" s="7">
        <v>18</v>
      </c>
      <c r="L20" s="65">
        <v>24.700000000000003</v>
      </c>
      <c r="N20" s="78" t="s">
        <v>158</v>
      </c>
      <c r="O20" s="87">
        <f>IF(P20=0,0,Q20/P20)</f>
        <v>-7.4333333333333336</v>
      </c>
      <c r="P20" s="81">
        <v>6</v>
      </c>
      <c r="Q20" s="72">
        <v>-44.6</v>
      </c>
    </row>
    <row r="21" spans="1:17" x14ac:dyDescent="0.45">
      <c r="A21" s="21" t="s">
        <v>12</v>
      </c>
      <c r="B21" s="14">
        <v>45</v>
      </c>
      <c r="C21" s="8">
        <f>IF(B$19=0,0,B21/B$19)</f>
        <v>0.58441558441558439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201</v>
      </c>
      <c r="O21" s="87">
        <f>IF(P21=0,0,Q21/P21)</f>
        <v>-17.850000000000001</v>
      </c>
      <c r="P21" s="81">
        <v>2</v>
      </c>
      <c r="Q21" s="72">
        <v>-35.700000000000003</v>
      </c>
    </row>
    <row r="22" spans="1:17" x14ac:dyDescent="0.45">
      <c r="A22" s="21" t="s">
        <v>11</v>
      </c>
      <c r="B22" s="14">
        <v>32</v>
      </c>
      <c r="C22" s="8">
        <f>IF(B$19=0,0,B22/B$19)</f>
        <v>0.41558441558441561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127</v>
      </c>
      <c r="O22" s="87">
        <f>IF(P22=0,0,Q22/P22)</f>
        <v>-21.862499999999997</v>
      </c>
      <c r="P22" s="81">
        <v>8</v>
      </c>
      <c r="Q22" s="72">
        <v>-174.89999999999998</v>
      </c>
    </row>
    <row r="23" spans="1:17" x14ac:dyDescent="0.45">
      <c r="A23" s="21" t="s">
        <v>192</v>
      </c>
      <c r="B23" s="14">
        <v>47</v>
      </c>
      <c r="C23" s="8">
        <f>IF(B$19=0,0,B23/B$19)</f>
        <v>0.61038961038961037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>IF(P23=0,0,Q23/P23)</f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0.19480519480519481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15</v>
      </c>
      <c r="C25" s="8">
        <f>IF(B$19=0,0,B25/B$19)</f>
        <v>0.19480519480519481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8164.9350649350654</v>
      </c>
      <c r="C26" s="10">
        <v>628700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8512.9032258064508</v>
      </c>
      <c r="C27" s="100">
        <v>527800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-7102</v>
      </c>
      <c r="C29" s="100">
        <v>-355100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8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3">
        <v>7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5">
        <v>95200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1</v>
      </c>
      <c r="C34" s="11">
        <f>IF(B$3=0,0,B34/B$3)</f>
        <v>3.3557046979865771E-3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</row>
    <row r="36" spans="1:12" x14ac:dyDescent="0.45">
      <c r="A36" s="56" t="s">
        <v>180</v>
      </c>
      <c r="B36" s="119">
        <v>9</v>
      </c>
      <c r="C36" s="102">
        <f t="shared" ref="C36:C48" si="2">IF(B$19=0,0,B36/B$19)</f>
        <v>0.11688311688311688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176</v>
      </c>
      <c r="B37" s="14">
        <v>11</v>
      </c>
      <c r="C37" s="8">
        <f t="shared" si="2"/>
        <v>0.14285714285714285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177</v>
      </c>
      <c r="B38" s="120">
        <v>13</v>
      </c>
      <c r="C38" s="8">
        <f t="shared" si="2"/>
        <v>0.16883116883116883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178</v>
      </c>
      <c r="B39" s="120">
        <v>10</v>
      </c>
      <c r="C39" s="8">
        <f t="shared" si="2"/>
        <v>0.12987012987012986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13</v>
      </c>
      <c r="C40" s="8">
        <f t="shared" si="2"/>
        <v>0.16883116883116883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2"/>
        <v>0.18181818181818182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2"/>
        <v>5.1948051948051951E-2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2"/>
        <v>2.5974025974025976E-2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2"/>
        <v>1.2987012987012988E-2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2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EF21-C0E1-4B49-B17E-CFFFDE786A2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</v>
      </c>
      <c r="C2" s="130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1">
        <v>62</v>
      </c>
      <c r="C3" s="132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6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3">
        <v>-104.80000000000001</v>
      </c>
      <c r="C4" s="134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1">
        <f>IF(B$2=0,0,B$4/B$2)</f>
        <v>-14.971428571428573</v>
      </c>
      <c r="C5" s="122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5">
        <f>IF(B$2=0,0,(B$7*1+B$8*2+B$9*3)/B$2)</f>
        <v>2.1428571428571428</v>
      </c>
      <c r="C6" s="136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12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10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1">
        <f>AVERAGE(B10:B12)</f>
        <v>-6.4861111111111098</v>
      </c>
      <c r="C13" s="122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>IF(P16=0,0,Q16/P16)</f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>IF(P17=0,0,Q17/P17)</f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>IF(P18=0,0,Q18/P18)</f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>IF(P19=0,0,Q19/P19)</f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>IF(P20=0,0,Q20/P20)</f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59500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2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2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2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170FE-E9CA-43BF-85F5-A925B8D85A08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</v>
      </c>
      <c r="C2" s="130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1">
        <v>15</v>
      </c>
      <c r="C3" s="132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3">
        <v>26.2</v>
      </c>
      <c r="C4" s="134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1">
        <f>IF(B$2=0,0,B$4/B$2)</f>
        <v>13.1</v>
      </c>
      <c r="C5" s="122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5">
        <f>IF(B$2=0,0,(B$7*1+B$8*2+B$9*3)/B$2)</f>
        <v>1.5</v>
      </c>
      <c r="C6" s="136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1">
        <f>AVERAGE(B10:B12)</f>
        <v>8.7333333333333325</v>
      </c>
      <c r="C13" s="12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52800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D89A-BE45-45FD-8A6A-6009224735D3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275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</v>
      </c>
      <c r="C2" s="130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-2194.4444444444443</v>
      </c>
      <c r="P2" s="80">
        <v>18</v>
      </c>
      <c r="Q2" s="67">
        <v>-39500</v>
      </c>
    </row>
    <row r="3" spans="1:17" x14ac:dyDescent="0.45">
      <c r="A3" s="21" t="s">
        <v>8</v>
      </c>
      <c r="B3" s="131">
        <v>155</v>
      </c>
      <c r="C3" s="132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-188.88888888888889</v>
      </c>
      <c r="P3" s="81">
        <v>18</v>
      </c>
      <c r="Q3" s="68">
        <v>-3400</v>
      </c>
    </row>
    <row r="4" spans="1:17" x14ac:dyDescent="0.45">
      <c r="A4" s="21" t="s">
        <v>6</v>
      </c>
      <c r="B4" s="133">
        <v>-55.6</v>
      </c>
      <c r="C4" s="134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-2300</v>
      </c>
      <c r="P4" s="81">
        <v>18</v>
      </c>
      <c r="Q4" s="68">
        <v>-41400</v>
      </c>
    </row>
    <row r="5" spans="1:17" x14ac:dyDescent="0.45">
      <c r="A5" s="21" t="s">
        <v>7</v>
      </c>
      <c r="B5" s="121">
        <f>IF(B$2=0,0,B$4/B$2)</f>
        <v>-3.088888888888889</v>
      </c>
      <c r="C5" s="122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1650</v>
      </c>
      <c r="P5" s="81">
        <v>16</v>
      </c>
      <c r="Q5" s="68">
        <v>26400</v>
      </c>
    </row>
    <row r="6" spans="1:17" x14ac:dyDescent="0.45">
      <c r="A6" s="21" t="s">
        <v>1</v>
      </c>
      <c r="B6" s="135">
        <f>IF(B$2=0,0,(B$7*1+B$8*2+B$9*3)/B$2)</f>
        <v>2.0555555555555554</v>
      </c>
      <c r="C6" s="136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-1150</v>
      </c>
      <c r="P6" s="81">
        <v>14</v>
      </c>
      <c r="Q6" s="68">
        <v>-16100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0.33333333333333331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2558.3333333333335</v>
      </c>
      <c r="P7" s="82">
        <v>12</v>
      </c>
      <c r="Q7" s="69">
        <v>30700</v>
      </c>
    </row>
    <row r="8" spans="1:17" x14ac:dyDescent="0.45">
      <c r="A8" s="21" t="s">
        <v>3</v>
      </c>
      <c r="B8" s="14">
        <v>5</v>
      </c>
      <c r="C8" s="8">
        <f t="shared" si="1"/>
        <v>0.27777777777777779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0.3888888888888889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6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-13.719999999999999</v>
      </c>
      <c r="P10" s="80">
        <v>5</v>
      </c>
      <c r="Q10" s="71">
        <v>-68.599999999999994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-35.228571428571435</v>
      </c>
      <c r="C12" s="114">
        <v>-246.60000000000002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5.6599999999999993</v>
      </c>
      <c r="P12" s="82">
        <v>5</v>
      </c>
      <c r="Q12" s="73">
        <v>28.299999999999997</v>
      </c>
    </row>
    <row r="13" spans="1:17" x14ac:dyDescent="0.45">
      <c r="A13" s="22" t="s">
        <v>206</v>
      </c>
      <c r="B13" s="121">
        <f>AVERAGE(B10:B12)</f>
        <v>-0.98952380952380992</v>
      </c>
      <c r="C13" s="122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0.16666666666666666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54</v>
      </c>
      <c r="C15" s="12">
        <f>IF(B$3=0,0,B15/B$3)</f>
        <v>0.34838709677419355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19</v>
      </c>
      <c r="C16" s="8">
        <f>IF(B$3=0,0,B16/B$3)</f>
        <v>0.12258064516129032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>IF(P16=0,0,Q16/P16)</f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0.57407407407407407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195</v>
      </c>
      <c r="O17" s="87">
        <f>IF(P17=0,0,Q17/P17)</f>
        <v>12.000000000000002</v>
      </c>
      <c r="P17" s="81">
        <v>1</v>
      </c>
      <c r="Q17" s="72">
        <v>12.000000000000002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0.68421052631578949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167</v>
      </c>
      <c r="O18" s="87">
        <f>IF(P18=0,0,Q18/P18)</f>
        <v>2.910000000000001</v>
      </c>
      <c r="P18" s="81">
        <v>10</v>
      </c>
      <c r="Q18" s="72">
        <v>29.100000000000009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0.34838709677419355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127</v>
      </c>
      <c r="O19" s="87">
        <f>IF(P19=0,0,Q19/P19)</f>
        <v>2.8600000000000012</v>
      </c>
      <c r="P19" s="81">
        <v>5</v>
      </c>
      <c r="Q19" s="72">
        <v>14.300000000000006</v>
      </c>
    </row>
    <row r="20" spans="1:17" x14ac:dyDescent="0.45">
      <c r="A20" s="21" t="s">
        <v>13</v>
      </c>
      <c r="B20" s="14">
        <v>25</v>
      </c>
      <c r="C20" s="8">
        <f>IF(B$3=0,0,B20/B$3)</f>
        <v>0.16129032258064516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194</v>
      </c>
      <c r="O20" s="87">
        <f>IF(P20=0,0,Q20/P20)</f>
        <v>-0.16666666666666882</v>
      </c>
      <c r="P20" s="81">
        <v>3</v>
      </c>
      <c r="Q20" s="72">
        <v>-0.50000000000000644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N21" s="78" t="s">
        <v>126</v>
      </c>
      <c r="O21" s="87">
        <f>IF(P21=0,0,Q21/P21)</f>
        <v>-42.716666666666669</v>
      </c>
      <c r="P21" s="81">
        <v>6</v>
      </c>
      <c r="Q21" s="72">
        <v>-256.3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N22" s="78" t="s">
        <v>158</v>
      </c>
      <c r="O22" s="87">
        <f>IF(P22=0,0,Q22/P22)</f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-8220</v>
      </c>
      <c r="C29" s="100">
        <v>-205500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7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65900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1.2903225806451613E-2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2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2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2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2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2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2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2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F28FA-0BF9-47E5-AAFE-55313548BB6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</v>
      </c>
      <c r="C2" s="130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1">
        <v>78</v>
      </c>
      <c r="C3" s="132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3">
        <v>9.2999999999999972</v>
      </c>
      <c r="C4" s="134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1">
        <f>IF(B$2=0,0,B$4/B$2)</f>
        <v>0.92999999999999972</v>
      </c>
      <c r="C5" s="122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1">
        <f>AVERAGE(B10:B12)</f>
        <v>0.61999999999999977</v>
      </c>
      <c r="C13" s="122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>IF(P16=0,0,Q16/P16)</f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>IF(P17=0,0,Q17/P17)</f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>IF(P18=0,0,Q18/P18)</f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>IF(P19=0,0,Q19/P19)</f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>IF(P20=0,0,Q20/P20)</f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5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70900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2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2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2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2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2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2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BA573-D395-4C16-A740-013C8AB28B18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5</v>
      </c>
      <c r="C2" s="13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1">
        <v>40</v>
      </c>
      <c r="C3" s="132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3">
        <v>-80.800000000000011</v>
      </c>
      <c r="C4" s="134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1">
        <f>IF(B$2=0,0,B$4/B$2)</f>
        <v>-16.160000000000004</v>
      </c>
      <c r="C5" s="122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5">
        <f>IF(B$2=0,0,(B$7*1+B$8*2+B$9*3)/B$2)</f>
        <v>2.2000000000000002</v>
      </c>
      <c r="C6" s="136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1">
        <f>AVERAGE(B10:B12)</f>
        <v>-8.9666666666666668</v>
      </c>
      <c r="C13" s="12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52000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7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B0CB-A06E-479C-9F0F-F5BA8C3EDF31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2C09-42A8-42FA-B9CC-F84B640DACC3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934E0-AA30-46C7-B527-D88CDB417365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B723-1077-474D-98D8-1499479F67CD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A487-D37F-43C8-8635-518B83E9C44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887E7-CE22-4D36-83A3-510923D6516B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003BE-7E9A-4B00-A938-1BC681316882}">
  <sheetPr codeName="Sheet20"/>
  <dimension ref="A1:Q7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B10-8912-4DC0-89E7-58CA838A42E4}">
  <sheetPr codeName="Sheet18"/>
  <dimension ref="A1:Q16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C57F-2D5A-4ED7-A58A-24A077DB555E}">
  <sheetPr codeName="Sheet16"/>
  <dimension ref="A1:Q16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D793-2A8A-4595-B572-EE4382C91F3C}">
  <sheetPr codeName="Sheet14"/>
  <dimension ref="A1:Q10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54F5D-DBFC-4E42-A961-C91C9A6B653E}">
  <sheetPr codeName="Sheet12"/>
  <dimension ref="A1:Q18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AC5D-0648-41D1-91CA-2AA498353403}">
  <sheetPr codeName="Sheet10"/>
  <dimension ref="A1:Q21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593C5-655E-4280-A689-94A34EE67B47}">
  <sheetPr codeName="Sheet8"/>
  <dimension ref="A1:Q9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27AF-655F-4A78-A754-66AEC9D016C7}">
  <sheetPr codeName="Sheet6"/>
  <dimension ref="A1:Q35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2020-02-14T15:37:32Z</dcterms:modified>
</cp:coreProperties>
</file>