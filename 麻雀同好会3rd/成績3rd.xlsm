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1CFB0B9C-ECCB-435F-936C-4FE2E73A1717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19" r:id="rId6"/>
    <sheet name="たかの" sheetId="6121" r:id="rId7"/>
    <sheet name="だいち" sheetId="6123" r:id="rId8"/>
    <sheet name="ただ" sheetId="6125" r:id="rId9"/>
    <sheet name="りくと" sheetId="6127" r:id="rId10"/>
    <sheet name="れんたろう" sheetId="6129" r:id="rId11"/>
    <sheet name="まっつん" sheetId="6131" r:id="rId12"/>
    <sheet name="のり" sheetId="6133" r:id="rId13"/>
    <sheet name="ぱぱ" sheetId="6135" r:id="rId14"/>
    <sheet name="ほたに" sheetId="6137" r:id="rId15"/>
    <sheet name="いっしー" sheetId="6139" r:id="rId16"/>
    <sheet name="ともき" sheetId="6141" r:id="rId17"/>
    <sheet name="ともき2" sheetId="6142" state="hidden" r:id="rId18"/>
    <sheet name="いっしー2" sheetId="6140" state="hidden" r:id="rId19"/>
    <sheet name="ほたに2" sheetId="6138" state="hidden" r:id="rId20"/>
    <sheet name="ぱぱ2" sheetId="6136" state="hidden" r:id="rId21"/>
    <sheet name="のり2" sheetId="6134" state="hidden" r:id="rId22"/>
    <sheet name="まっつん2" sheetId="6132" state="hidden" r:id="rId23"/>
    <sheet name="れんたろう2" sheetId="6130" state="hidden" r:id="rId24"/>
    <sheet name="りくと2" sheetId="6128" state="hidden" r:id="rId25"/>
    <sheet name="ただ2" sheetId="6126" state="hidden" r:id="rId26"/>
    <sheet name="だいち2" sheetId="6124" state="hidden" r:id="rId27"/>
    <sheet name="たかの2" sheetId="6122" state="hidden" r:id="rId28"/>
    <sheet name="全体2" sheetId="6120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8">Template1!#REF!</definedName>
    <definedName name="ダマアガリ点" localSheetId="7">だいち!#REF!</definedName>
    <definedName name="ダマアガリ点" localSheetId="26">Template1!#REF!</definedName>
    <definedName name="ダマアガリ点" localSheetId="6">たかの!#REF!</definedName>
    <definedName name="ダマアガリ点" localSheetId="27">Template1!#REF!</definedName>
    <definedName name="ダマアガリ点" localSheetId="8">ただ!#REF!</definedName>
    <definedName name="ダマアガリ点" localSheetId="25">Template1!#REF!</definedName>
    <definedName name="ダマアガリ点" localSheetId="16">ともき!#REF!</definedName>
    <definedName name="ダマアガリ点" localSheetId="17">Template1!#REF!</definedName>
    <definedName name="ダマアガリ点" localSheetId="12">のり!#REF!</definedName>
    <definedName name="ダマアガリ点" localSheetId="21">Template1!#REF!</definedName>
    <definedName name="ダマアガリ点" localSheetId="13">ぱぱ!#REF!</definedName>
    <definedName name="ダマアガリ点" localSheetId="20">Template1!#REF!</definedName>
    <definedName name="ダマアガリ点" localSheetId="14">ほたに!#REF!</definedName>
    <definedName name="ダマアガリ点" localSheetId="19">Template1!#REF!</definedName>
    <definedName name="ダマアガリ点" localSheetId="11">まっつん!#REF!</definedName>
    <definedName name="ダマアガリ点" localSheetId="22">Template1!#REF!</definedName>
    <definedName name="ダマアガリ点" localSheetId="9">りくと!#REF!</definedName>
    <definedName name="ダマアガリ点" localSheetId="24">Template1!#REF!</definedName>
    <definedName name="ダマアガリ点" localSheetId="10">れんたろう!#REF!</definedName>
    <definedName name="ダマアガリ点" localSheetId="23">Template1!#REF!</definedName>
    <definedName name="ダマアガリ点" localSheetId="5">全体!#REF!</definedName>
    <definedName name="ダマアガリ点" localSheetId="28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8">Template1!#REF!</definedName>
    <definedName name="ふっとばし数" localSheetId="7">だいち!#REF!</definedName>
    <definedName name="ふっとばし数" localSheetId="26">Template1!#REF!</definedName>
    <definedName name="ふっとばし数" localSheetId="6">たかの!#REF!</definedName>
    <definedName name="ふっとばし数" localSheetId="27">Template1!#REF!</definedName>
    <definedName name="ふっとばし数" localSheetId="8">ただ!#REF!</definedName>
    <definedName name="ふっとばし数" localSheetId="25">Template1!#REF!</definedName>
    <definedName name="ふっとばし数" localSheetId="16">ともき!#REF!</definedName>
    <definedName name="ふっとばし数" localSheetId="17">Template1!#REF!</definedName>
    <definedName name="ふっとばし数" localSheetId="12">のり!#REF!</definedName>
    <definedName name="ふっとばし数" localSheetId="21">Template1!#REF!</definedName>
    <definedName name="ふっとばし数" localSheetId="13">ぱぱ!#REF!</definedName>
    <definedName name="ふっとばし数" localSheetId="20">Template1!#REF!</definedName>
    <definedName name="ふっとばし数" localSheetId="14">ほたに!#REF!</definedName>
    <definedName name="ふっとばし数" localSheetId="19">Template1!#REF!</definedName>
    <definedName name="ふっとばし数" localSheetId="11">まっつん!#REF!</definedName>
    <definedName name="ふっとばし数" localSheetId="22">Template1!#REF!</definedName>
    <definedName name="ふっとばし数" localSheetId="9">りくと!#REF!</definedName>
    <definedName name="ふっとばし数" localSheetId="24">Template1!#REF!</definedName>
    <definedName name="ふっとばし数" localSheetId="10">れんたろう!#REF!</definedName>
    <definedName name="ふっとばし数" localSheetId="23">Template1!#REF!</definedName>
    <definedName name="ふっとばし数" localSheetId="5">全体!#REF!</definedName>
    <definedName name="ふっとばし数" localSheetId="28">Template1!#REF!</definedName>
    <definedName name="ふっとばし数">Template1!#REF!</definedName>
    <definedName name="ふっとばし率" localSheetId="15">いっしー!#REF!</definedName>
    <definedName name="ふっとばし率" localSheetId="18">Template1!#REF!</definedName>
    <definedName name="ふっとばし率" localSheetId="7">だいち!#REF!</definedName>
    <definedName name="ふっとばし率" localSheetId="26">Template1!#REF!</definedName>
    <definedName name="ふっとばし率" localSheetId="6">たかの!#REF!</definedName>
    <definedName name="ふっとばし率" localSheetId="27">Template1!#REF!</definedName>
    <definedName name="ふっとばし率" localSheetId="8">ただ!#REF!</definedName>
    <definedName name="ふっとばし率" localSheetId="25">Template1!#REF!</definedName>
    <definedName name="ふっとばし率" localSheetId="16">ともき!#REF!</definedName>
    <definedName name="ふっとばし率" localSheetId="17">Template1!#REF!</definedName>
    <definedName name="ふっとばし率" localSheetId="12">のり!#REF!</definedName>
    <definedName name="ふっとばし率" localSheetId="21">Template1!#REF!</definedName>
    <definedName name="ふっとばし率" localSheetId="13">ぱぱ!#REF!</definedName>
    <definedName name="ふっとばし率" localSheetId="20">Template1!#REF!</definedName>
    <definedName name="ふっとばし率" localSheetId="14">ほたに!#REF!</definedName>
    <definedName name="ふっとばし率" localSheetId="19">Template1!#REF!</definedName>
    <definedName name="ふっとばし率" localSheetId="11">まっつん!#REF!</definedName>
    <definedName name="ふっとばし率" localSheetId="22">Template1!#REF!</definedName>
    <definedName name="ふっとばし率" localSheetId="9">りくと!#REF!</definedName>
    <definedName name="ふっとばし率" localSheetId="24">Template1!#REF!</definedName>
    <definedName name="ふっとばし率" localSheetId="10">れんたろう!#REF!</definedName>
    <definedName name="ふっとばし率" localSheetId="23">Template1!#REF!</definedName>
    <definedName name="ふっとばし率" localSheetId="5">全体!#REF!</definedName>
    <definedName name="ふっとばし率" localSheetId="28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8">Template1!#REF!</definedName>
    <definedName name="逆転数" localSheetId="7">だいち!#REF!</definedName>
    <definedName name="逆転数" localSheetId="26">Template1!#REF!</definedName>
    <definedName name="逆転数" localSheetId="6">たかの!#REF!</definedName>
    <definedName name="逆転数" localSheetId="27">Template1!#REF!</definedName>
    <definedName name="逆転数" localSheetId="8">ただ!#REF!</definedName>
    <definedName name="逆転数" localSheetId="25">Template1!#REF!</definedName>
    <definedName name="逆転数" localSheetId="16">ともき!#REF!</definedName>
    <definedName name="逆転数" localSheetId="17">Template1!#REF!</definedName>
    <definedName name="逆転数" localSheetId="12">のり!#REF!</definedName>
    <definedName name="逆転数" localSheetId="21">Template1!#REF!</definedName>
    <definedName name="逆転数" localSheetId="13">ぱぱ!#REF!</definedName>
    <definedName name="逆転数" localSheetId="20">Template1!#REF!</definedName>
    <definedName name="逆転数" localSheetId="14">ほたに!#REF!</definedName>
    <definedName name="逆転数" localSheetId="19">Template1!#REF!</definedName>
    <definedName name="逆転数" localSheetId="11">まっつん!#REF!</definedName>
    <definedName name="逆転数" localSheetId="22">Template1!#REF!</definedName>
    <definedName name="逆転数" localSheetId="9">りくと!#REF!</definedName>
    <definedName name="逆転数" localSheetId="24">Template1!#REF!</definedName>
    <definedName name="逆転数" localSheetId="10">れんたろう!#REF!</definedName>
    <definedName name="逆転数" localSheetId="23">Template1!#REF!</definedName>
    <definedName name="逆転数" localSheetId="5">全体!#REF!</definedName>
    <definedName name="逆転数" localSheetId="28">Template1!#REF!</definedName>
    <definedName name="逆転数">Template1!#REF!</definedName>
    <definedName name="逆転率" localSheetId="15">いっしー!#REF!</definedName>
    <definedName name="逆転率" localSheetId="18">Template1!#REF!</definedName>
    <definedName name="逆転率" localSheetId="7">だいち!#REF!</definedName>
    <definedName name="逆転率" localSheetId="26">Template1!#REF!</definedName>
    <definedName name="逆転率" localSheetId="6">たかの!#REF!</definedName>
    <definedName name="逆転率" localSheetId="27">Template1!#REF!</definedName>
    <definedName name="逆転率" localSheetId="8">ただ!#REF!</definedName>
    <definedName name="逆転率" localSheetId="25">Template1!#REF!</definedName>
    <definedName name="逆転率" localSheetId="16">ともき!#REF!</definedName>
    <definedName name="逆転率" localSheetId="17">Template1!#REF!</definedName>
    <definedName name="逆転率" localSheetId="12">のり!#REF!</definedName>
    <definedName name="逆転率" localSheetId="21">Template1!#REF!</definedName>
    <definedName name="逆転率" localSheetId="13">ぱぱ!#REF!</definedName>
    <definedName name="逆転率" localSheetId="20">Template1!#REF!</definedName>
    <definedName name="逆転率" localSheetId="14">ほたに!#REF!</definedName>
    <definedName name="逆転率" localSheetId="19">Template1!#REF!</definedName>
    <definedName name="逆転率" localSheetId="11">まっつん!#REF!</definedName>
    <definedName name="逆転率" localSheetId="22">Template1!#REF!</definedName>
    <definedName name="逆転率" localSheetId="9">りくと!#REF!</definedName>
    <definedName name="逆転率" localSheetId="24">Template1!#REF!</definedName>
    <definedName name="逆転率" localSheetId="10">れんたろう!#REF!</definedName>
    <definedName name="逆転率" localSheetId="23">Template1!#REF!</definedName>
    <definedName name="逆転率" localSheetId="5">全体!#REF!</definedName>
    <definedName name="逆転率" localSheetId="28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6141" l="1"/>
  <c r="O22" i="6123"/>
  <c r="O16" i="6125" l="1"/>
  <c r="O16" i="6141"/>
  <c r="O20" i="6141"/>
  <c r="O22" i="6127"/>
  <c r="O23" i="6135" l="1"/>
  <c r="O15" i="6141"/>
  <c r="O23" i="6129" l="1"/>
  <c r="O19" i="6141"/>
  <c r="O18" i="6141"/>
  <c r="C30" i="6141"/>
  <c r="B25" i="6141"/>
  <c r="B24" i="6141"/>
  <c r="C16" i="6141"/>
  <c r="B15" i="6141"/>
  <c r="H51" i="6141" s="1"/>
  <c r="B14" i="6141"/>
  <c r="C14" i="6141" s="1"/>
  <c r="B13" i="6141"/>
  <c r="C13" i="6141" s="1"/>
  <c r="O12" i="6141"/>
  <c r="C12" i="6141"/>
  <c r="O11" i="6141"/>
  <c r="C11" i="6141"/>
  <c r="O10" i="6141"/>
  <c r="C10" i="6141"/>
  <c r="C9" i="6141"/>
  <c r="C8" i="6141"/>
  <c r="O7" i="6141"/>
  <c r="C7" i="6141"/>
  <c r="O6" i="6141"/>
  <c r="B6" i="6141"/>
  <c r="O5" i="6141"/>
  <c r="B5" i="6141"/>
  <c r="O4" i="6141"/>
  <c r="O3" i="6141"/>
  <c r="O2" i="6141"/>
  <c r="O18" i="6133"/>
  <c r="O25" i="6119"/>
  <c r="H27" i="6141" l="1"/>
  <c r="C18" i="6141"/>
  <c r="H24" i="6141"/>
  <c r="H4" i="6141"/>
  <c r="H28" i="6141"/>
  <c r="H12" i="6141"/>
  <c r="H37" i="6141"/>
  <c r="H41" i="6141"/>
  <c r="C38" i="6141"/>
  <c r="C40" i="6141"/>
  <c r="H20" i="6141"/>
  <c r="B22" i="6141"/>
  <c r="C15" i="6141"/>
  <c r="H45" i="6141"/>
  <c r="C32" i="6141"/>
  <c r="C44" i="6141"/>
  <c r="H2" i="6141"/>
  <c r="H14" i="6141"/>
  <c r="H16" i="6141"/>
  <c r="H3" i="6141"/>
  <c r="H30" i="6141"/>
  <c r="H13" i="6141"/>
  <c r="H33" i="6141"/>
  <c r="H10" i="6141"/>
  <c r="H21" i="6141"/>
  <c r="C34" i="6141"/>
  <c r="C36" i="6141"/>
  <c r="H52" i="6141"/>
  <c r="H23" i="6141"/>
  <c r="H26" i="6141"/>
  <c r="H8" i="6141"/>
  <c r="C33" i="6141"/>
  <c r="C37" i="6141"/>
  <c r="C41" i="6141"/>
  <c r="H46" i="6141"/>
  <c r="H7" i="6141"/>
  <c r="H6" i="6141"/>
  <c r="H11" i="6141"/>
  <c r="H18" i="6141"/>
  <c r="C19" i="6141"/>
  <c r="B23" i="6141"/>
  <c r="H29" i="6141"/>
  <c r="H34" i="6141"/>
  <c r="H38" i="6141"/>
  <c r="H42" i="6141"/>
  <c r="H47" i="6141"/>
  <c r="C42" i="6141"/>
  <c r="H48" i="6141"/>
  <c r="H9" i="6141"/>
  <c r="C20" i="6141"/>
  <c r="H35" i="6141"/>
  <c r="H39" i="6141"/>
  <c r="H43" i="6141"/>
  <c r="H49" i="6141"/>
  <c r="H19" i="6141"/>
  <c r="H22" i="6141"/>
  <c r="H25" i="6141"/>
  <c r="H15" i="6141"/>
  <c r="H31" i="6141"/>
  <c r="C35" i="6141"/>
  <c r="C39" i="6141"/>
  <c r="C43" i="6141"/>
  <c r="H50" i="6141"/>
  <c r="H5" i="6141"/>
  <c r="H17" i="6141"/>
  <c r="C17" i="6141"/>
  <c r="C21" i="6141"/>
  <c r="H32" i="6141"/>
  <c r="H36" i="6141"/>
  <c r="H40" i="6141"/>
  <c r="H44" i="6141"/>
  <c r="O16" i="6131"/>
  <c r="O17" i="6139"/>
  <c r="O23" i="6123"/>
  <c r="O16" i="6139"/>
  <c r="O15" i="6139"/>
  <c r="C30" i="6139"/>
  <c r="B25" i="6139"/>
  <c r="C16" i="6139"/>
  <c r="B15" i="6139"/>
  <c r="H51" i="6139" s="1"/>
  <c r="H17" i="6139"/>
  <c r="B14" i="6139"/>
  <c r="C14" i="6139" s="1"/>
  <c r="B13" i="6139"/>
  <c r="C13" i="6139" s="1"/>
  <c r="O12" i="6139"/>
  <c r="C12" i="6139"/>
  <c r="O11" i="6139"/>
  <c r="C11" i="6139"/>
  <c r="O10" i="6139"/>
  <c r="C10" i="6139"/>
  <c r="C9" i="6139"/>
  <c r="C8" i="6139"/>
  <c r="O7" i="6139"/>
  <c r="C7" i="6139"/>
  <c r="O6" i="6139"/>
  <c r="B6" i="6139"/>
  <c r="O5" i="6139"/>
  <c r="B5" i="6139"/>
  <c r="O4" i="6139"/>
  <c r="O3" i="6139"/>
  <c r="O2" i="6139"/>
  <c r="O20" i="6133"/>
  <c r="O24" i="6119"/>
  <c r="H8" i="6139" l="1"/>
  <c r="H22" i="6139"/>
  <c r="H30" i="6139"/>
  <c r="B24" i="6139"/>
  <c r="C40" i="6139"/>
  <c r="H41" i="6139"/>
  <c r="H9" i="6139"/>
  <c r="H25" i="6139"/>
  <c r="H6" i="6139"/>
  <c r="C32" i="6139"/>
  <c r="C15" i="6139"/>
  <c r="C44" i="6139"/>
  <c r="H7" i="6139"/>
  <c r="H10" i="6139"/>
  <c r="H18" i="6139"/>
  <c r="H45" i="6139"/>
  <c r="H48" i="6139"/>
  <c r="B22" i="6139"/>
  <c r="C34" i="6139"/>
  <c r="H12" i="6139"/>
  <c r="H27" i="6139"/>
  <c r="H11" i="6139"/>
  <c r="C42" i="6139"/>
  <c r="H15" i="6139"/>
  <c r="H33" i="6139"/>
  <c r="C36" i="6139"/>
  <c r="H2" i="6139"/>
  <c r="H20" i="6139"/>
  <c r="H37" i="6139"/>
  <c r="H3" i="6139"/>
  <c r="H13" i="6139"/>
  <c r="C18" i="6139"/>
  <c r="H28" i="6139"/>
  <c r="C38" i="6139"/>
  <c r="H52" i="6139"/>
  <c r="H21" i="6139"/>
  <c r="H24" i="6139"/>
  <c r="H5" i="6139"/>
  <c r="C33" i="6139"/>
  <c r="C37" i="6139"/>
  <c r="C41" i="6139"/>
  <c r="H46" i="6139"/>
  <c r="C19" i="6139"/>
  <c r="B23" i="6139"/>
  <c r="H29" i="6139"/>
  <c r="H34" i="6139"/>
  <c r="H38" i="6139"/>
  <c r="H42" i="6139"/>
  <c r="H47" i="6139"/>
  <c r="H39" i="6139"/>
  <c r="H16" i="6139"/>
  <c r="H19" i="6139"/>
  <c r="H23" i="6139"/>
  <c r="H26" i="6139"/>
  <c r="H31" i="6139"/>
  <c r="C35" i="6139"/>
  <c r="C39" i="6139"/>
  <c r="C43" i="6139"/>
  <c r="H50" i="6139"/>
  <c r="C20" i="6139"/>
  <c r="H35" i="6139"/>
  <c r="H43" i="6139"/>
  <c r="H49" i="6139"/>
  <c r="H4" i="6139"/>
  <c r="H14" i="6139"/>
  <c r="C17" i="6139"/>
  <c r="C21" i="6139"/>
  <c r="H32" i="6139"/>
  <c r="H36" i="6139"/>
  <c r="H40" i="6139"/>
  <c r="H44" i="6139"/>
  <c r="O21" i="6121" l="1"/>
  <c r="O16" i="6129"/>
  <c r="O15" i="6129" l="1"/>
  <c r="O19" i="6137"/>
  <c r="O16" i="6127" l="1"/>
  <c r="O16" i="6133"/>
  <c r="O16" i="6137" l="1"/>
  <c r="O23" i="6127"/>
  <c r="O20" i="6121" l="1"/>
  <c r="O16" i="6123"/>
  <c r="O15" i="6133"/>
  <c r="O22" i="6133"/>
  <c r="O19" i="6131" l="1"/>
  <c r="O18" i="6135"/>
  <c r="O17" i="6125" l="1"/>
  <c r="O17" i="6131"/>
  <c r="O19" i="6133"/>
  <c r="O21" i="6133"/>
  <c r="O15" i="6121" l="1"/>
  <c r="O17" i="6135"/>
  <c r="O19" i="6135"/>
  <c r="O18" i="6127"/>
  <c r="O21" i="6125" l="1"/>
  <c r="O21" i="6129"/>
  <c r="O19" i="6129" l="1"/>
  <c r="O21" i="6123"/>
  <c r="O24" i="6133"/>
  <c r="O17" i="6137"/>
  <c r="O15" i="6137"/>
  <c r="O21" i="6135"/>
  <c r="O15" i="6125" l="1"/>
  <c r="O22" i="6125"/>
  <c r="O18" i="6137"/>
  <c r="O20" i="6137"/>
  <c r="C44" i="6137"/>
  <c r="C30" i="6137"/>
  <c r="B25" i="6137"/>
  <c r="C16" i="6137"/>
  <c r="B15" i="6137"/>
  <c r="H50" i="6137" s="1"/>
  <c r="H19" i="6137"/>
  <c r="B14" i="6137"/>
  <c r="B24" i="6137" s="1"/>
  <c r="B13" i="6137"/>
  <c r="C13" i="6137" s="1"/>
  <c r="O12" i="6137"/>
  <c r="C12" i="6137"/>
  <c r="O11" i="6137"/>
  <c r="H16" i="6137"/>
  <c r="C11" i="6137"/>
  <c r="O10" i="6137"/>
  <c r="C10" i="6137"/>
  <c r="C9" i="6137"/>
  <c r="C8" i="6137"/>
  <c r="O7" i="6137"/>
  <c r="C7" i="6137"/>
  <c r="O6" i="6137"/>
  <c r="B6" i="6137"/>
  <c r="O5" i="6137"/>
  <c r="B5" i="6137"/>
  <c r="O4" i="6137"/>
  <c r="O3" i="6137"/>
  <c r="O2" i="6137"/>
  <c r="H3" i="6137"/>
  <c r="O21" i="6131"/>
  <c r="O15" i="6131"/>
  <c r="O15" i="6119"/>
  <c r="C14" i="6137" l="1"/>
  <c r="H27" i="6137"/>
  <c r="H28" i="6137"/>
  <c r="H34" i="6137"/>
  <c r="C36" i="6137"/>
  <c r="H11" i="6137"/>
  <c r="H13" i="6137"/>
  <c r="C18" i="6137"/>
  <c r="H42" i="6137"/>
  <c r="H36" i="6137"/>
  <c r="H4" i="6137"/>
  <c r="C19" i="6137"/>
  <c r="H44" i="6137"/>
  <c r="H45" i="6137"/>
  <c r="H17" i="6137"/>
  <c r="H23" i="6137"/>
  <c r="H37" i="6137"/>
  <c r="H12" i="6137"/>
  <c r="C15" i="6137"/>
  <c r="C21" i="6137"/>
  <c r="H38" i="6137"/>
  <c r="H47" i="6137"/>
  <c r="H7" i="6137"/>
  <c r="H8" i="6137"/>
  <c r="H20" i="6137"/>
  <c r="H14" i="6137"/>
  <c r="H32" i="6137"/>
  <c r="H40" i="6137"/>
  <c r="H51" i="6137"/>
  <c r="H29" i="6137"/>
  <c r="H5" i="6137"/>
  <c r="B22" i="6137"/>
  <c r="C32" i="6137"/>
  <c r="C40" i="6137"/>
  <c r="H6" i="6137"/>
  <c r="H2" i="6137"/>
  <c r="C17" i="6137"/>
  <c r="H26" i="6137"/>
  <c r="H33" i="6137"/>
  <c r="H41" i="6137"/>
  <c r="H52" i="6137"/>
  <c r="H22" i="6137"/>
  <c r="H25" i="6137"/>
  <c r="H9" i="6137"/>
  <c r="C33" i="6137"/>
  <c r="C37" i="6137"/>
  <c r="C41" i="6137"/>
  <c r="H46" i="6137"/>
  <c r="B23" i="6137"/>
  <c r="H30" i="6137"/>
  <c r="C34" i="6137"/>
  <c r="C38" i="6137"/>
  <c r="C42" i="6137"/>
  <c r="H48" i="6137"/>
  <c r="H10" i="6137"/>
  <c r="C20" i="6137"/>
  <c r="H35" i="6137"/>
  <c r="H39" i="6137"/>
  <c r="H43" i="6137"/>
  <c r="H49" i="6137"/>
  <c r="H18" i="6137"/>
  <c r="H21" i="6137"/>
  <c r="H24" i="6137"/>
  <c r="H15" i="6137"/>
  <c r="H31" i="6137"/>
  <c r="C35" i="6137"/>
  <c r="C39" i="6137"/>
  <c r="C43" i="6137"/>
  <c r="O19" i="6123" l="1"/>
  <c r="O19" i="6127"/>
  <c r="O18" i="6123" l="1"/>
  <c r="O20" i="6131"/>
  <c r="O23" i="6131"/>
  <c r="O16" i="6121"/>
  <c r="O18" i="6125"/>
  <c r="O15" i="6127"/>
  <c r="O21" i="6127"/>
  <c r="O18" i="6121"/>
  <c r="O19" i="6125"/>
  <c r="O15" i="6123"/>
  <c r="O20" i="6135"/>
  <c r="O22" i="6135"/>
  <c r="O22" i="6129" l="1"/>
  <c r="O17" i="6129"/>
  <c r="O15" i="6135"/>
  <c r="O16" i="6135"/>
  <c r="C30" i="6135"/>
  <c r="B25" i="6135"/>
  <c r="C16" i="6135"/>
  <c r="B15" i="6135"/>
  <c r="H51" i="6135" s="1"/>
  <c r="B14" i="6135"/>
  <c r="B24" i="6135" s="1"/>
  <c r="B13" i="6135"/>
  <c r="C13" i="6135" s="1"/>
  <c r="O12" i="6135"/>
  <c r="C12" i="6135"/>
  <c r="O11" i="6135"/>
  <c r="C11" i="6135"/>
  <c r="O10" i="6135"/>
  <c r="C10" i="6135"/>
  <c r="C9" i="6135"/>
  <c r="C8" i="6135"/>
  <c r="O7" i="6135"/>
  <c r="C7" i="6135"/>
  <c r="O6" i="6135"/>
  <c r="B6" i="6135"/>
  <c r="O5" i="6135"/>
  <c r="B5" i="6135"/>
  <c r="O4" i="6135"/>
  <c r="O3" i="6135"/>
  <c r="O2" i="6135"/>
  <c r="O16" i="6119"/>
  <c r="O17" i="6133"/>
  <c r="O23" i="6133"/>
  <c r="C30" i="6133"/>
  <c r="B25" i="6133"/>
  <c r="C16" i="6133"/>
  <c r="B15" i="6133"/>
  <c r="H50" i="6133" s="1"/>
  <c r="B14" i="6133"/>
  <c r="B24" i="6133" s="1"/>
  <c r="B13" i="6133"/>
  <c r="C13" i="6133" s="1"/>
  <c r="O12" i="6133"/>
  <c r="C12" i="6133"/>
  <c r="O11" i="6133"/>
  <c r="C11" i="6133"/>
  <c r="O10" i="6133"/>
  <c r="C10" i="6133"/>
  <c r="C9" i="6133"/>
  <c r="C8" i="6133"/>
  <c r="O7" i="6133"/>
  <c r="C7" i="6133"/>
  <c r="O6" i="6133"/>
  <c r="B6" i="6133"/>
  <c r="O5" i="6133"/>
  <c r="B5" i="6133"/>
  <c r="O4" i="6133"/>
  <c r="O3" i="6133"/>
  <c r="O2" i="6133"/>
  <c r="O19" i="6119"/>
  <c r="C14" i="6133" l="1"/>
  <c r="C14" i="6135"/>
  <c r="H23" i="6135"/>
  <c r="H21" i="6135"/>
  <c r="H8" i="6135"/>
  <c r="H19" i="6135"/>
  <c r="H38" i="6135"/>
  <c r="H29" i="6135"/>
  <c r="C15" i="6135"/>
  <c r="H42" i="6135"/>
  <c r="H45" i="6135"/>
  <c r="H3" i="6135"/>
  <c r="H33" i="6135"/>
  <c r="H4" i="6135"/>
  <c r="C18" i="6135"/>
  <c r="H20" i="6135"/>
  <c r="C17" i="6135"/>
  <c r="C44" i="6135"/>
  <c r="C21" i="6135"/>
  <c r="H5" i="6135"/>
  <c r="H41" i="6135"/>
  <c r="H7" i="6135"/>
  <c r="H10" i="6135"/>
  <c r="C32" i="6135"/>
  <c r="H9" i="6135"/>
  <c r="H34" i="6135"/>
  <c r="H15" i="6135"/>
  <c r="C36" i="6135"/>
  <c r="H52" i="6135"/>
  <c r="H25" i="6135"/>
  <c r="C40" i="6135"/>
  <c r="B22" i="6135"/>
  <c r="H37" i="6135"/>
  <c r="H46" i="6135"/>
  <c r="H11" i="6135"/>
  <c r="H22" i="6135"/>
  <c r="H26" i="6135"/>
  <c r="H12" i="6135"/>
  <c r="C41" i="6135"/>
  <c r="C19" i="6135"/>
  <c r="B23" i="6135"/>
  <c r="H30" i="6135"/>
  <c r="H35" i="6135"/>
  <c r="H39" i="6135"/>
  <c r="H43" i="6135"/>
  <c r="H48" i="6135"/>
  <c r="H28" i="6135"/>
  <c r="C33" i="6135"/>
  <c r="C37" i="6135"/>
  <c r="H47" i="6135"/>
  <c r="H2" i="6135"/>
  <c r="H6" i="6135"/>
  <c r="H24" i="6135"/>
  <c r="H17" i="6135"/>
  <c r="H18" i="6135"/>
  <c r="H31" i="6135"/>
  <c r="C34" i="6135"/>
  <c r="C38" i="6135"/>
  <c r="C42" i="6135"/>
  <c r="H49" i="6135"/>
  <c r="C20" i="6135"/>
  <c r="H36" i="6135"/>
  <c r="H40" i="6135"/>
  <c r="H44" i="6135"/>
  <c r="H50" i="6135"/>
  <c r="H16" i="6135"/>
  <c r="H13" i="6135"/>
  <c r="H27" i="6135"/>
  <c r="H14" i="6135"/>
  <c r="H32" i="6135"/>
  <c r="C35" i="6135"/>
  <c r="C39" i="6135"/>
  <c r="C43" i="6135"/>
  <c r="H12" i="6133"/>
  <c r="B22" i="6133"/>
  <c r="H33" i="6133"/>
  <c r="C17" i="6133"/>
  <c r="H37" i="6133"/>
  <c r="C42" i="6133"/>
  <c r="H51" i="6133"/>
  <c r="H25" i="6133"/>
  <c r="H29" i="6133"/>
  <c r="C32" i="6133"/>
  <c r="H38" i="6133"/>
  <c r="H43" i="6133"/>
  <c r="H5" i="6133"/>
  <c r="H6" i="6133"/>
  <c r="H21" i="6133"/>
  <c r="C18" i="6133"/>
  <c r="H34" i="6133"/>
  <c r="C38" i="6133"/>
  <c r="H44" i="6133"/>
  <c r="H52" i="6133"/>
  <c r="H4" i="6133"/>
  <c r="H9" i="6133"/>
  <c r="H23" i="6133"/>
  <c r="C19" i="6133"/>
  <c r="H30" i="6133"/>
  <c r="H20" i="6133"/>
  <c r="H39" i="6133"/>
  <c r="C44" i="6133"/>
  <c r="H15" i="6133"/>
  <c r="H31" i="6133"/>
  <c r="C34" i="6133"/>
  <c r="H40" i="6133"/>
  <c r="H45" i="6133"/>
  <c r="H10" i="6133"/>
  <c r="H7" i="6133"/>
  <c r="H11" i="6133"/>
  <c r="H17" i="6133"/>
  <c r="C15" i="6133"/>
  <c r="C20" i="6133"/>
  <c r="H32" i="6133"/>
  <c r="H35" i="6133"/>
  <c r="C40" i="6133"/>
  <c r="H47" i="6133"/>
  <c r="H24" i="6133"/>
  <c r="C21" i="6133"/>
  <c r="H16" i="6133"/>
  <c r="H36" i="6133"/>
  <c r="H41" i="6133"/>
  <c r="H48" i="6133"/>
  <c r="H2" i="6133"/>
  <c r="H3" i="6133"/>
  <c r="H13" i="6133"/>
  <c r="C36" i="6133"/>
  <c r="H42" i="6133"/>
  <c r="H49" i="6133"/>
  <c r="H26" i="6133"/>
  <c r="H28" i="6133"/>
  <c r="H8" i="6133"/>
  <c r="C33" i="6133"/>
  <c r="C37" i="6133"/>
  <c r="C41" i="6133"/>
  <c r="H46" i="6133"/>
  <c r="B23" i="6133"/>
  <c r="H22" i="6133"/>
  <c r="H18" i="6133"/>
  <c r="H27" i="6133"/>
  <c r="H14" i="6133"/>
  <c r="H19" i="6133"/>
  <c r="C35" i="6133"/>
  <c r="C39" i="6133"/>
  <c r="C43" i="6133"/>
  <c r="O22" i="6131" l="1"/>
  <c r="O18" i="6131"/>
  <c r="C30" i="6131"/>
  <c r="B25" i="6131"/>
  <c r="C16" i="6131"/>
  <c r="B15" i="6131"/>
  <c r="H51" i="6131" s="1"/>
  <c r="B14" i="6131"/>
  <c r="B24" i="6131" s="1"/>
  <c r="B13" i="6131"/>
  <c r="C13" i="6131" s="1"/>
  <c r="O12" i="6131"/>
  <c r="C12" i="6131"/>
  <c r="O11" i="6131"/>
  <c r="C11" i="6131"/>
  <c r="O10" i="6131"/>
  <c r="C10" i="6131"/>
  <c r="C9" i="6131"/>
  <c r="C8" i="6131"/>
  <c r="O7" i="6131"/>
  <c r="C7" i="6131"/>
  <c r="O6" i="6131"/>
  <c r="B6" i="6131"/>
  <c r="O5" i="6131"/>
  <c r="B5" i="6131"/>
  <c r="O4" i="6131"/>
  <c r="O3" i="6131"/>
  <c r="O2" i="6131"/>
  <c r="O20" i="6129"/>
  <c r="O18" i="6129"/>
  <c r="C30" i="6129"/>
  <c r="B25" i="6129"/>
  <c r="C16" i="6129"/>
  <c r="B15" i="6129"/>
  <c r="H52" i="6129" s="1"/>
  <c r="B14" i="6129"/>
  <c r="B24" i="6129" s="1"/>
  <c r="B13" i="6129"/>
  <c r="C13" i="6129" s="1"/>
  <c r="O12" i="6129"/>
  <c r="C12" i="6129"/>
  <c r="O11" i="6129"/>
  <c r="C11" i="6129"/>
  <c r="O10" i="6129"/>
  <c r="C10" i="6129"/>
  <c r="C9" i="6129"/>
  <c r="C8" i="6129"/>
  <c r="O7" i="6129"/>
  <c r="C7" i="6129"/>
  <c r="O6" i="6129"/>
  <c r="B6" i="6129"/>
  <c r="O5" i="6129"/>
  <c r="B5" i="6129"/>
  <c r="O4" i="6129"/>
  <c r="O3" i="6129"/>
  <c r="O2" i="6129"/>
  <c r="O18" i="6119"/>
  <c r="O20" i="6127"/>
  <c r="O17" i="6127"/>
  <c r="C30" i="6127"/>
  <c r="B25" i="6127"/>
  <c r="C16" i="6127"/>
  <c r="B15" i="6127"/>
  <c r="H52" i="6127" s="1"/>
  <c r="B14" i="6127"/>
  <c r="B24" i="6127" s="1"/>
  <c r="B13" i="6127"/>
  <c r="C13" i="6127" s="1"/>
  <c r="O12" i="6127"/>
  <c r="C12" i="6127"/>
  <c r="O11" i="6127"/>
  <c r="C11" i="6127"/>
  <c r="O10" i="6127"/>
  <c r="C10" i="6127"/>
  <c r="C9" i="6127"/>
  <c r="C8" i="6127"/>
  <c r="O7" i="6127"/>
  <c r="C7" i="6127"/>
  <c r="O6" i="6127"/>
  <c r="B6" i="6127"/>
  <c r="O5" i="6127"/>
  <c r="B5" i="6127"/>
  <c r="O4" i="6127"/>
  <c r="O3" i="6127"/>
  <c r="O2" i="6127"/>
  <c r="O21" i="6119"/>
  <c r="O22" i="6119"/>
  <c r="C14" i="6129" l="1"/>
  <c r="C14" i="6127"/>
  <c r="C19" i="6127"/>
  <c r="C14" i="6131"/>
  <c r="H4" i="6131"/>
  <c r="H12" i="6131"/>
  <c r="C19" i="6131"/>
  <c r="H36" i="6131"/>
  <c r="H24" i="6131"/>
  <c r="H28" i="6131"/>
  <c r="H41" i="6131"/>
  <c r="C44" i="6131"/>
  <c r="C34" i="6131"/>
  <c r="H10" i="6131"/>
  <c r="H48" i="6131"/>
  <c r="H27" i="6131"/>
  <c r="H7" i="6131"/>
  <c r="H22" i="6131"/>
  <c r="C20" i="6131"/>
  <c r="C21" i="6131"/>
  <c r="H21" i="6131"/>
  <c r="H38" i="6131"/>
  <c r="H42" i="6131"/>
  <c r="H49" i="6131"/>
  <c r="H18" i="6131"/>
  <c r="H50" i="6131"/>
  <c r="H33" i="6131"/>
  <c r="H29" i="6131"/>
  <c r="H2" i="6131"/>
  <c r="H14" i="6131"/>
  <c r="C36" i="6131"/>
  <c r="C17" i="6131"/>
  <c r="B22" i="6131"/>
  <c r="H26" i="6131"/>
  <c r="H39" i="6131"/>
  <c r="C42" i="6131"/>
  <c r="H16" i="6131"/>
  <c r="H25" i="6131"/>
  <c r="H11" i="6131"/>
  <c r="C40" i="6131"/>
  <c r="H8" i="6131"/>
  <c r="H15" i="6131"/>
  <c r="C32" i="6131"/>
  <c r="H40" i="6131"/>
  <c r="H44" i="6131"/>
  <c r="H5" i="6131"/>
  <c r="H46" i="6131"/>
  <c r="C15" i="6131"/>
  <c r="H37" i="6131"/>
  <c r="H3" i="6131"/>
  <c r="H43" i="6131"/>
  <c r="H20" i="6131"/>
  <c r="H6" i="6131"/>
  <c r="H17" i="6131"/>
  <c r="C18" i="6131"/>
  <c r="H35" i="6131"/>
  <c r="C38" i="6131"/>
  <c r="H45" i="6131"/>
  <c r="H52" i="6131"/>
  <c r="H30" i="6131"/>
  <c r="H32" i="6131"/>
  <c r="H9" i="6131"/>
  <c r="C33" i="6131"/>
  <c r="C37" i="6131"/>
  <c r="C41" i="6131"/>
  <c r="H47" i="6131"/>
  <c r="B23" i="6131"/>
  <c r="H23" i="6131"/>
  <c r="H19" i="6131"/>
  <c r="H31" i="6131"/>
  <c r="H13" i="6131"/>
  <c r="H34" i="6131"/>
  <c r="C35" i="6131"/>
  <c r="C39" i="6131"/>
  <c r="C43" i="6131"/>
  <c r="C19" i="6129"/>
  <c r="H19" i="6129"/>
  <c r="H24" i="6129"/>
  <c r="H23" i="6129"/>
  <c r="C40" i="6129"/>
  <c r="H18" i="6129"/>
  <c r="C39" i="6129"/>
  <c r="H2" i="6129"/>
  <c r="C17" i="6129"/>
  <c r="H21" i="6129"/>
  <c r="H43" i="6129"/>
  <c r="C43" i="6129"/>
  <c r="C32" i="6129"/>
  <c r="H11" i="6129"/>
  <c r="H14" i="6129"/>
  <c r="H36" i="6129"/>
  <c r="H3" i="6129"/>
  <c r="H28" i="6129"/>
  <c r="H15" i="6129"/>
  <c r="C44" i="6129"/>
  <c r="H45" i="6129"/>
  <c r="C15" i="6129"/>
  <c r="H51" i="6129"/>
  <c r="H32" i="6129"/>
  <c r="H5" i="6129"/>
  <c r="C35" i="6129"/>
  <c r="H13" i="6129"/>
  <c r="H27" i="6129"/>
  <c r="H10" i="6129"/>
  <c r="H6" i="6129"/>
  <c r="H20" i="6129"/>
  <c r="H33" i="6129"/>
  <c r="C36" i="6129"/>
  <c r="H7" i="6129"/>
  <c r="H39" i="6129"/>
  <c r="H48" i="6129"/>
  <c r="C21" i="6129"/>
  <c r="H26" i="6129"/>
  <c r="H41" i="6129"/>
  <c r="H12" i="6129"/>
  <c r="H31" i="6129"/>
  <c r="H22" i="6129"/>
  <c r="H8" i="6129"/>
  <c r="C33" i="6129"/>
  <c r="C37" i="6129"/>
  <c r="C41" i="6129"/>
  <c r="H47" i="6129"/>
  <c r="H4" i="6129"/>
  <c r="H30" i="6129"/>
  <c r="H16" i="6129"/>
  <c r="H25" i="6129"/>
  <c r="H17" i="6129"/>
  <c r="C34" i="6129"/>
  <c r="C38" i="6129"/>
  <c r="C42" i="6129"/>
  <c r="H49" i="6129"/>
  <c r="B23" i="6129"/>
  <c r="H9" i="6129"/>
  <c r="C20" i="6129"/>
  <c r="H37" i="6129"/>
  <c r="H40" i="6129"/>
  <c r="H44" i="6129"/>
  <c r="H50" i="6129"/>
  <c r="H29" i="6129"/>
  <c r="C18" i="6129"/>
  <c r="B22" i="6129"/>
  <c r="H34" i="6129"/>
  <c r="H35" i="6129"/>
  <c r="H38" i="6129"/>
  <c r="H42" i="6129"/>
  <c r="H46" i="6129"/>
  <c r="H6" i="6127"/>
  <c r="H10" i="6127"/>
  <c r="H37" i="6127"/>
  <c r="C21" i="6127"/>
  <c r="H21" i="6127"/>
  <c r="H33" i="6127"/>
  <c r="H41" i="6127"/>
  <c r="C15" i="6127"/>
  <c r="H7" i="6127"/>
  <c r="H22" i="6127"/>
  <c r="H13" i="6127"/>
  <c r="C17" i="6127"/>
  <c r="H45" i="6127"/>
  <c r="H25" i="6127"/>
  <c r="H27" i="6127"/>
  <c r="H11" i="6127"/>
  <c r="C33" i="6127"/>
  <c r="C37" i="6127"/>
  <c r="C41" i="6127"/>
  <c r="H47" i="6127"/>
  <c r="H43" i="6127"/>
  <c r="H24" i="6127"/>
  <c r="H19" i="6127"/>
  <c r="H20" i="6127"/>
  <c r="C34" i="6127"/>
  <c r="C38" i="6127"/>
  <c r="H49" i="6127"/>
  <c r="H8" i="6127"/>
  <c r="C20" i="6127"/>
  <c r="H36" i="6127"/>
  <c r="H40" i="6127"/>
  <c r="H44" i="6127"/>
  <c r="H50" i="6127"/>
  <c r="B23" i="6127"/>
  <c r="H31" i="6127"/>
  <c r="H35" i="6127"/>
  <c r="H39" i="6127"/>
  <c r="H48" i="6127"/>
  <c r="H2" i="6127"/>
  <c r="H4" i="6127"/>
  <c r="H28" i="6127"/>
  <c r="C42" i="6127"/>
  <c r="H17" i="6127"/>
  <c r="H15" i="6127"/>
  <c r="H26" i="6127"/>
  <c r="H14" i="6127"/>
  <c r="H32" i="6127"/>
  <c r="C35" i="6127"/>
  <c r="C39" i="6127"/>
  <c r="C43" i="6127"/>
  <c r="H51" i="6127"/>
  <c r="H16" i="6127"/>
  <c r="H3" i="6127"/>
  <c r="H9" i="6127"/>
  <c r="H18" i="6127"/>
  <c r="H12" i="6127"/>
  <c r="H29" i="6127"/>
  <c r="C32" i="6127"/>
  <c r="C36" i="6127"/>
  <c r="C40" i="6127"/>
  <c r="C44" i="6127"/>
  <c r="H5" i="6127"/>
  <c r="H23" i="6127"/>
  <c r="C18" i="6127"/>
  <c r="B22" i="6127"/>
  <c r="H30" i="6127"/>
  <c r="H34" i="6127"/>
  <c r="H38" i="6127"/>
  <c r="H42" i="6127"/>
  <c r="H46" i="6127"/>
  <c r="O23" i="6125" l="1"/>
  <c r="O20" i="6125"/>
  <c r="C30" i="6125"/>
  <c r="B25" i="6125"/>
  <c r="C16" i="6125"/>
  <c r="B15" i="6125"/>
  <c r="H4" i="6125" s="1"/>
  <c r="B14" i="6125"/>
  <c r="B24" i="6125" s="1"/>
  <c r="B13" i="6125"/>
  <c r="C13" i="6125" s="1"/>
  <c r="O12" i="6125"/>
  <c r="C12" i="6125"/>
  <c r="O11" i="6125"/>
  <c r="C11" i="6125"/>
  <c r="O10" i="6125"/>
  <c r="C10" i="6125"/>
  <c r="C9" i="6125"/>
  <c r="C8" i="6125"/>
  <c r="O7" i="6125"/>
  <c r="C7" i="6125"/>
  <c r="O6" i="6125"/>
  <c r="B6" i="6125"/>
  <c r="O5" i="6125"/>
  <c r="B5" i="6125"/>
  <c r="O4" i="6125"/>
  <c r="O3" i="6125"/>
  <c r="O2" i="6125"/>
  <c r="O20" i="6123"/>
  <c r="O17" i="6123"/>
  <c r="C30" i="6123"/>
  <c r="B25" i="6123"/>
  <c r="C16" i="6123"/>
  <c r="B15" i="6123"/>
  <c r="H5" i="6123" s="1"/>
  <c r="B14" i="6123"/>
  <c r="B24" i="6123" s="1"/>
  <c r="B13" i="6123"/>
  <c r="C13" i="6123" s="1"/>
  <c r="O12" i="6123"/>
  <c r="C12" i="6123"/>
  <c r="O11" i="6123"/>
  <c r="C11" i="6123"/>
  <c r="O10" i="6123"/>
  <c r="C10" i="6123"/>
  <c r="C9" i="6123"/>
  <c r="C8" i="6123"/>
  <c r="O7" i="6123"/>
  <c r="C7" i="6123"/>
  <c r="O6" i="6123"/>
  <c r="B6" i="6123"/>
  <c r="O5" i="6123"/>
  <c r="B5" i="6123"/>
  <c r="O4" i="6123"/>
  <c r="O3" i="6123"/>
  <c r="O2" i="6123"/>
  <c r="O17" i="6119"/>
  <c r="O17" i="6121"/>
  <c r="O19" i="6121"/>
  <c r="C30" i="6121"/>
  <c r="B25" i="6121"/>
  <c r="C16" i="6121"/>
  <c r="B15" i="6121"/>
  <c r="H4" i="6121" s="1"/>
  <c r="B14" i="6121"/>
  <c r="B24" i="6121" s="1"/>
  <c r="B13" i="6121"/>
  <c r="C13" i="6121" s="1"/>
  <c r="O12" i="6121"/>
  <c r="C12" i="6121"/>
  <c r="O11" i="6121"/>
  <c r="C11" i="6121"/>
  <c r="O10" i="6121"/>
  <c r="C10" i="6121"/>
  <c r="C9" i="6121"/>
  <c r="C8" i="6121"/>
  <c r="O7" i="6121"/>
  <c r="C7" i="6121"/>
  <c r="O6" i="6121"/>
  <c r="B6" i="6121"/>
  <c r="O5" i="6121"/>
  <c r="B5" i="6121"/>
  <c r="O4" i="6121"/>
  <c r="O3" i="6121"/>
  <c r="O2" i="6121"/>
  <c r="O20" i="6119"/>
  <c r="O23" i="6119"/>
  <c r="C30" i="6119"/>
  <c r="B25" i="6119"/>
  <c r="C16" i="6119"/>
  <c r="B15" i="6119"/>
  <c r="H51" i="6119" s="1"/>
  <c r="B14" i="6119"/>
  <c r="B24" i="6119" s="1"/>
  <c r="B13" i="6119"/>
  <c r="C13" i="6119" s="1"/>
  <c r="O12" i="6119"/>
  <c r="C12" i="6119"/>
  <c r="O11" i="6119"/>
  <c r="C11" i="6119"/>
  <c r="O10" i="6119"/>
  <c r="C10" i="6119"/>
  <c r="C9" i="6119"/>
  <c r="C8" i="6119"/>
  <c r="O7" i="6119"/>
  <c r="C7" i="6119"/>
  <c r="O6" i="6119"/>
  <c r="B6" i="6119"/>
  <c r="O5" i="6119"/>
  <c r="B5" i="6119"/>
  <c r="O4" i="6119"/>
  <c r="O3" i="6119"/>
  <c r="O2" i="6119"/>
  <c r="C14" i="6125" l="1"/>
  <c r="C14" i="6123"/>
  <c r="H28" i="6125"/>
  <c r="H31" i="6123"/>
  <c r="C14" i="6121"/>
  <c r="H12" i="6125"/>
  <c r="H33" i="6125"/>
  <c r="C15" i="6125"/>
  <c r="H35" i="6125"/>
  <c r="C18" i="6125"/>
  <c r="H42" i="6125"/>
  <c r="H8" i="6125"/>
  <c r="H10" i="6125"/>
  <c r="B22" i="6125"/>
  <c r="H46" i="6125"/>
  <c r="H38" i="6125"/>
  <c r="H6" i="6125"/>
  <c r="H52" i="6125"/>
  <c r="H25" i="6125"/>
  <c r="C33" i="6125"/>
  <c r="C41" i="6125"/>
  <c r="C19" i="6125"/>
  <c r="B23" i="6125"/>
  <c r="H26" i="6125"/>
  <c r="H27" i="6125"/>
  <c r="H39" i="6125"/>
  <c r="H43" i="6125"/>
  <c r="H48" i="6125"/>
  <c r="H21" i="6125"/>
  <c r="H29" i="6125"/>
  <c r="H9" i="6125"/>
  <c r="C37" i="6125"/>
  <c r="H47" i="6125"/>
  <c r="H2" i="6125"/>
  <c r="H3" i="6125"/>
  <c r="H24" i="6125"/>
  <c r="H17" i="6125"/>
  <c r="H31" i="6125"/>
  <c r="H16" i="6125"/>
  <c r="C34" i="6125"/>
  <c r="C38" i="6125"/>
  <c r="C42" i="6125"/>
  <c r="H49" i="6125"/>
  <c r="C20" i="6125"/>
  <c r="H50" i="6125"/>
  <c r="H22" i="6125"/>
  <c r="H15" i="6125"/>
  <c r="H30" i="6125"/>
  <c r="H13" i="6125"/>
  <c r="H20" i="6125"/>
  <c r="C35" i="6125"/>
  <c r="C39" i="6125"/>
  <c r="C43" i="6125"/>
  <c r="H51" i="6125"/>
  <c r="H40" i="6125"/>
  <c r="H7" i="6125"/>
  <c r="H23" i="6125"/>
  <c r="C17" i="6125"/>
  <c r="C21" i="6125"/>
  <c r="H34" i="6125"/>
  <c r="H37" i="6125"/>
  <c r="H41" i="6125"/>
  <c r="H45" i="6125"/>
  <c r="H19" i="6125"/>
  <c r="H36" i="6125"/>
  <c r="H44" i="6125"/>
  <c r="H5" i="6125"/>
  <c r="H11" i="6125"/>
  <c r="H18" i="6125"/>
  <c r="H14" i="6125"/>
  <c r="H32" i="6125"/>
  <c r="C32" i="6125"/>
  <c r="C36" i="6125"/>
  <c r="C40" i="6125"/>
  <c r="C44" i="6125"/>
  <c r="C14" i="6119"/>
  <c r="H4" i="6123"/>
  <c r="C21" i="6123"/>
  <c r="H26" i="6123"/>
  <c r="H44" i="6123"/>
  <c r="H46" i="6123"/>
  <c r="H7" i="6123"/>
  <c r="H45" i="6123"/>
  <c r="H27" i="6123"/>
  <c r="H11" i="6123"/>
  <c r="H25" i="6123"/>
  <c r="H39" i="6123"/>
  <c r="H29" i="6123"/>
  <c r="H37" i="6123"/>
  <c r="H48" i="6123"/>
  <c r="H6" i="6123"/>
  <c r="C17" i="6123"/>
  <c r="H28" i="6123"/>
  <c r="C18" i="6123"/>
  <c r="H41" i="6123"/>
  <c r="H50" i="6123"/>
  <c r="B22" i="6123"/>
  <c r="H38" i="6123"/>
  <c r="H2" i="6123"/>
  <c r="C19" i="6123"/>
  <c r="H35" i="6123"/>
  <c r="H42" i="6123"/>
  <c r="H16" i="6123"/>
  <c r="C15" i="6123"/>
  <c r="H10" i="6123"/>
  <c r="H40" i="6123"/>
  <c r="H9" i="6123"/>
  <c r="H30" i="6123"/>
  <c r="C20" i="6123"/>
  <c r="H36" i="6123"/>
  <c r="H43" i="6123"/>
  <c r="H52" i="6123"/>
  <c r="H32" i="6123"/>
  <c r="H20" i="6123"/>
  <c r="H8" i="6123"/>
  <c r="C33" i="6123"/>
  <c r="C37" i="6123"/>
  <c r="C41" i="6123"/>
  <c r="H47" i="6123"/>
  <c r="B23" i="6123"/>
  <c r="H3" i="6123"/>
  <c r="H19" i="6123"/>
  <c r="H17" i="6123"/>
  <c r="H24" i="6123"/>
  <c r="H21" i="6123"/>
  <c r="C34" i="6123"/>
  <c r="C38" i="6123"/>
  <c r="C42" i="6123"/>
  <c r="H49" i="6123"/>
  <c r="H18" i="6123"/>
  <c r="H15" i="6123"/>
  <c r="H33" i="6123"/>
  <c r="H12" i="6123"/>
  <c r="H22" i="6123"/>
  <c r="C35" i="6123"/>
  <c r="C39" i="6123"/>
  <c r="C43" i="6123"/>
  <c r="H51" i="6123"/>
  <c r="H13" i="6123"/>
  <c r="H23" i="6123"/>
  <c r="H14" i="6123"/>
  <c r="H34" i="6123"/>
  <c r="C32" i="6123"/>
  <c r="C36" i="6123"/>
  <c r="C40" i="6123"/>
  <c r="C44" i="6123"/>
  <c r="H4" i="6119"/>
  <c r="H7" i="6121"/>
  <c r="H52" i="6121"/>
  <c r="C20" i="6121"/>
  <c r="H8" i="6121"/>
  <c r="C21" i="6121"/>
  <c r="H33" i="6121"/>
  <c r="H25" i="6121"/>
  <c r="H26" i="6121"/>
  <c r="H34" i="6121"/>
  <c r="H41" i="6121"/>
  <c r="H42" i="6121"/>
  <c r="H35" i="6121"/>
  <c r="H43" i="6121"/>
  <c r="H47" i="6121"/>
  <c r="H19" i="6121"/>
  <c r="H36" i="6121"/>
  <c r="H44" i="6121"/>
  <c r="H5" i="6121"/>
  <c r="H10" i="6121"/>
  <c r="H18" i="6121"/>
  <c r="H37" i="6121"/>
  <c r="H45" i="6121"/>
  <c r="H6" i="6121"/>
  <c r="C17" i="6121"/>
  <c r="H31" i="6121"/>
  <c r="H12" i="6121"/>
  <c r="C18" i="6121"/>
  <c r="H39" i="6121"/>
  <c r="H49" i="6121"/>
  <c r="B22" i="6121"/>
  <c r="C15" i="6121"/>
  <c r="H38" i="6121"/>
  <c r="C19" i="6121"/>
  <c r="H24" i="6121"/>
  <c r="H40" i="6121"/>
  <c r="H51" i="6121"/>
  <c r="H27" i="6121"/>
  <c r="H23" i="6121"/>
  <c r="H13" i="6121"/>
  <c r="C33" i="6121"/>
  <c r="C37" i="6121"/>
  <c r="C41" i="6121"/>
  <c r="H46" i="6121"/>
  <c r="B23" i="6121"/>
  <c r="H2" i="6121"/>
  <c r="H3" i="6121"/>
  <c r="H21" i="6121"/>
  <c r="H14" i="6121"/>
  <c r="H29" i="6121"/>
  <c r="H17" i="6121"/>
  <c r="C34" i="6121"/>
  <c r="C38" i="6121"/>
  <c r="C42" i="6121"/>
  <c r="H48" i="6121"/>
  <c r="H20" i="6121"/>
  <c r="H22" i="6121"/>
  <c r="H28" i="6121"/>
  <c r="H15" i="6121"/>
  <c r="H32" i="6121"/>
  <c r="C35" i="6121"/>
  <c r="C39" i="6121"/>
  <c r="C43" i="6121"/>
  <c r="H50" i="6121"/>
  <c r="H9" i="6121"/>
  <c r="H16" i="6121"/>
  <c r="H11" i="6121"/>
  <c r="H30" i="6121"/>
  <c r="C32" i="6121"/>
  <c r="C36" i="6121"/>
  <c r="C40" i="6121"/>
  <c r="C44" i="6121"/>
  <c r="H11" i="6119"/>
  <c r="C19" i="6119"/>
  <c r="C20" i="6119"/>
  <c r="H31" i="6119"/>
  <c r="H35" i="6119"/>
  <c r="H29" i="6119"/>
  <c r="H42" i="6119"/>
  <c r="C44" i="6119"/>
  <c r="H17" i="6119"/>
  <c r="H34" i="6119"/>
  <c r="H25" i="6119"/>
  <c r="C40" i="6119"/>
  <c r="H49" i="6119"/>
  <c r="H27" i="6119"/>
  <c r="H6" i="6119"/>
  <c r="H14" i="6119"/>
  <c r="H12" i="6119"/>
  <c r="H48" i="6119"/>
  <c r="C21" i="6119"/>
  <c r="H19" i="6119"/>
  <c r="H43" i="6119"/>
  <c r="H2" i="6119"/>
  <c r="H3" i="6119"/>
  <c r="C36" i="6119"/>
  <c r="H8" i="6119"/>
  <c r="H40" i="6119"/>
  <c r="H15" i="6119"/>
  <c r="C34" i="6119"/>
  <c r="H10" i="6119"/>
  <c r="H28" i="6119"/>
  <c r="H50" i="6119"/>
  <c r="C17" i="6119"/>
  <c r="B22" i="6119"/>
  <c r="H30" i="6119"/>
  <c r="C42" i="6119"/>
  <c r="C32" i="6119"/>
  <c r="H45" i="6119"/>
  <c r="H5" i="6119"/>
  <c r="H33" i="6119"/>
  <c r="C15" i="6119"/>
  <c r="H39" i="6119"/>
  <c r="H26" i="6119"/>
  <c r="H32" i="6119"/>
  <c r="H44" i="6119"/>
  <c r="H18" i="6119"/>
  <c r="H24" i="6119"/>
  <c r="H41" i="6119"/>
  <c r="H7" i="6119"/>
  <c r="H22" i="6119"/>
  <c r="C18" i="6119"/>
  <c r="H38" i="6119"/>
  <c r="C38" i="6119"/>
  <c r="H46" i="6119"/>
  <c r="H52" i="6119"/>
  <c r="H36" i="6119"/>
  <c r="H23" i="6119"/>
  <c r="H9" i="6119"/>
  <c r="C33" i="6119"/>
  <c r="C37" i="6119"/>
  <c r="C41" i="6119"/>
  <c r="H47" i="6119"/>
  <c r="B23" i="6119"/>
  <c r="H20" i="6119"/>
  <c r="H16" i="6119"/>
  <c r="H37" i="6119"/>
  <c r="H13" i="6119"/>
  <c r="H21" i="6119"/>
  <c r="C35" i="6119"/>
  <c r="C39" i="6119"/>
  <c r="C43" i="6119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<sst xmlns="http://schemas.openxmlformats.org/spreadsheetml/2006/main" count="3307" uniqueCount="279">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</sst>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全体!$K$2:$K$731</c:f>
              <c:numCache>
                <c:formatCode>General</c:formatCode>
                <c:ptCount val="7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</c:numCache>
            </c:numRef>
          </c:xVal>
          <c:yVal>
            <c:numRef>
              <c:f>全体!$L$2:$L$731</c:f>
              <c:numCache>
                <c:formatCode>\+0.0;\-0.0;\±0</c:formatCode>
                <c:ptCount val="73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D-44ED-A25F-9E8D6F21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-27.548209366391184</c:v>
                </c:pt>
                <c:pt idx="1">
                  <c:v>12.605042016806722</c:v>
                </c:pt>
                <c:pt idx="2">
                  <c:v>-10.416666666666666</c:v>
                </c:pt>
                <c:pt idx="3">
                  <c:v>9.4786729857819907</c:v>
                </c:pt>
                <c:pt idx="4">
                  <c:v>8.6355785837651116</c:v>
                </c:pt>
                <c:pt idx="5">
                  <c:v>12.422360248447205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D-4B35-B07D-AD2EF257D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136</c:v>
                </c:pt>
                <c:pt idx="1">
                  <c:v>301</c:v>
                </c:pt>
                <c:pt idx="2">
                  <c:v>353</c:v>
                </c:pt>
                <c:pt idx="3">
                  <c:v>316</c:v>
                </c:pt>
                <c:pt idx="4">
                  <c:v>287</c:v>
                </c:pt>
                <c:pt idx="5">
                  <c:v>189</c:v>
                </c:pt>
                <c:pt idx="6">
                  <c:v>96</c:v>
                </c:pt>
                <c:pt idx="7">
                  <c:v>52</c:v>
                </c:pt>
                <c:pt idx="8">
                  <c:v>21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2-4D5B-BFF0-19D0CD6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たかの!$L$2:$L$67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A-42E7-AEDA-418DAF8A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1363.0769230769231</c:v>
                </c:pt>
                <c:pt idx="1">
                  <c:v>-2112.5</c:v>
                </c:pt>
                <c:pt idx="2">
                  <c:v>-1511.2903225806451</c:v>
                </c:pt>
                <c:pt idx="3">
                  <c:v>-1355.1724137931035</c:v>
                </c:pt>
                <c:pt idx="4">
                  <c:v>-221.05263157894737</c:v>
                </c:pt>
                <c:pt idx="5">
                  <c:v>-2379.591836734694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C-4646-A386-0129434D4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21</c:v>
                </c:pt>
                <c:pt idx="1">
                  <c:v>33</c:v>
                </c:pt>
                <c:pt idx="2">
                  <c:v>31</c:v>
                </c:pt>
                <c:pt idx="3">
                  <c:v>23</c:v>
                </c:pt>
                <c:pt idx="4">
                  <c:v>17</c:v>
                </c:pt>
                <c:pt idx="5">
                  <c:v>14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B-4FA1-BEAC-44029251A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だいち!$K$2:$K$150</c:f>
              <c:numCache>
                <c:formatCode>General</c:formatCode>
                <c:ptCount val="1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</c:numCache>
            </c:numRef>
          </c:xVal>
          <c:yVal>
            <c:numRef>
              <c:f>だいち!$L$2:$L$150</c:f>
              <c:numCache>
                <c:formatCode>\+0.0;\-0.0;\±0</c:formatCode>
                <c:ptCount val="149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4-4A8D-8521-F28E6BEFA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1136.7346938775511</c:v>
                </c:pt>
                <c:pt idx="1">
                  <c:v>876.38888888888891</c:v>
                </c:pt>
                <c:pt idx="2">
                  <c:v>844.20289855072463</c:v>
                </c:pt>
                <c:pt idx="3">
                  <c:v>111.71875</c:v>
                </c:pt>
                <c:pt idx="4">
                  <c:v>1961.0169491525423</c:v>
                </c:pt>
                <c:pt idx="5">
                  <c:v>1901.0309278350514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5-4A3D-81F1-B3E00C23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38</c:v>
                </c:pt>
                <c:pt idx="1">
                  <c:v>73</c:v>
                </c:pt>
                <c:pt idx="2">
                  <c:v>89</c:v>
                </c:pt>
                <c:pt idx="3">
                  <c:v>75</c:v>
                </c:pt>
                <c:pt idx="4">
                  <c:v>60</c:v>
                </c:pt>
                <c:pt idx="5">
                  <c:v>38</c:v>
                </c:pt>
                <c:pt idx="6">
                  <c:v>19</c:v>
                </c:pt>
                <c:pt idx="7">
                  <c:v>6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9-4663-A8AF-51CE2FA78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ただ!$L$2:$L$134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C-4647-82F2-630678748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-1558.7786259541986</c:v>
                </c:pt>
                <c:pt idx="1">
                  <c:v>1651.937984496124</c:v>
                </c:pt>
                <c:pt idx="2">
                  <c:v>-283.89830508474574</c:v>
                </c:pt>
                <c:pt idx="3">
                  <c:v>317.85714285714283</c:v>
                </c:pt>
                <c:pt idx="4">
                  <c:v>-960.78431372549016</c:v>
                </c:pt>
                <c:pt idx="5">
                  <c:v>1518.3908045977012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A-4162-A6D4-2429DC642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23</c:v>
                </c:pt>
                <c:pt idx="1">
                  <c:v>53</c:v>
                </c:pt>
                <c:pt idx="2">
                  <c:v>69</c:v>
                </c:pt>
                <c:pt idx="3">
                  <c:v>72</c:v>
                </c:pt>
                <c:pt idx="4">
                  <c:v>50</c:v>
                </c:pt>
                <c:pt idx="5">
                  <c:v>38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A-473C-9946-C1DE8A8BD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りくと!$L$2:$L$89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6-47AF-B37F-09F21151F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-372.09302325581393</c:v>
                </c:pt>
                <c:pt idx="1">
                  <c:v>-1181.3953488372092</c:v>
                </c:pt>
                <c:pt idx="2">
                  <c:v>557.5</c:v>
                </c:pt>
                <c:pt idx="3">
                  <c:v>-359.49367088607596</c:v>
                </c:pt>
                <c:pt idx="4">
                  <c:v>-2947.2972972972975</c:v>
                </c:pt>
                <c:pt idx="5">
                  <c:v>-1339.0625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7-4942-923C-78BE7DC28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15</c:v>
                </c:pt>
                <c:pt idx="1">
                  <c:v>39</c:v>
                </c:pt>
                <c:pt idx="2">
                  <c:v>47</c:v>
                </c:pt>
                <c:pt idx="3">
                  <c:v>31</c:v>
                </c:pt>
                <c:pt idx="4">
                  <c:v>35</c:v>
                </c:pt>
                <c:pt idx="5">
                  <c:v>21</c:v>
                </c:pt>
                <c:pt idx="6">
                  <c:v>12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6-4259-AB5E-61990DE2C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れんたろう!$L$2:$L$102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1-4F4C-AA6F-5074DC71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1424</c:v>
                </c:pt>
                <c:pt idx="1">
                  <c:v>-1321.4285714285713</c:v>
                </c:pt>
                <c:pt idx="2">
                  <c:v>-332.58426966292137</c:v>
                </c:pt>
                <c:pt idx="3">
                  <c:v>2781.1764705882351</c:v>
                </c:pt>
                <c:pt idx="4">
                  <c:v>294.73684210526318</c:v>
                </c:pt>
                <c:pt idx="5">
                  <c:v>18.64406779661017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4-4896-8F81-AD328DBB6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19</c:v>
                </c:pt>
                <c:pt idx="2">
                  <c:v>29</c:v>
                </c:pt>
                <c:pt idx="3">
                  <c:v>40</c:v>
                </c:pt>
                <c:pt idx="4">
                  <c:v>56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8D-9AC6-2CB947580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7-4B8C-9A79-B9AAC1A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442.34234234234236</c:v>
                </c:pt>
                <c:pt idx="1">
                  <c:v>332.40740740740739</c:v>
                </c:pt>
                <c:pt idx="2">
                  <c:v>658.82352941176475</c:v>
                </c:pt>
                <c:pt idx="3">
                  <c:v>98.924731182795696</c:v>
                </c:pt>
                <c:pt idx="4">
                  <c:v>-69.512195121951223</c:v>
                </c:pt>
                <c:pt idx="5">
                  <c:v>-801.42857142857144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4-4B5A-8CDF-892CD5D1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15</c:v>
                </c:pt>
                <c:pt idx="1">
                  <c:v>46</c:v>
                </c:pt>
                <c:pt idx="2">
                  <c:v>51</c:v>
                </c:pt>
                <c:pt idx="3">
                  <c:v>46</c:v>
                </c:pt>
                <c:pt idx="4">
                  <c:v>40</c:v>
                </c:pt>
                <c:pt idx="5">
                  <c:v>31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3D3-BDA1-6C913AD6F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のり!$L$2:$L$50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9-4685-9BA5-954D003CA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-2208.3333333333335</c:v>
                </c:pt>
                <c:pt idx="1">
                  <c:v>497.91666666666669</c:v>
                </c:pt>
                <c:pt idx="2">
                  <c:v>-1412.7659574468084</c:v>
                </c:pt>
                <c:pt idx="3">
                  <c:v>-3121.4285714285716</c:v>
                </c:pt>
                <c:pt idx="4">
                  <c:v>-1230</c:v>
                </c:pt>
                <c:pt idx="5">
                  <c:v>-2094.1176470588234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A6-48F7-840D-C9219320E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8</c:v>
                </c:pt>
                <c:pt idx="1">
                  <c:v>22</c:v>
                </c:pt>
                <c:pt idx="2">
                  <c:v>21</c:v>
                </c:pt>
                <c:pt idx="3">
                  <c:v>13</c:v>
                </c:pt>
                <c:pt idx="4">
                  <c:v>13</c:v>
                </c:pt>
                <c:pt idx="5">
                  <c:v>7</c:v>
                </c:pt>
                <c:pt idx="6">
                  <c:v>7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0-4C98-8AD9-9789242E8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C-444A-B49C-04FC49A24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4-4336-8A9A-BA353C595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423C-B20E-3850F504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D-4BA9-B19C-C9DB91427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CE-48F8-BA5E-8A12854F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5-4486-BDC5-6507FA80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1-486C-A6BC-7DA513A19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8-40E2-BFC1-CA7F3061B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85-461E-8F32-72F4F743B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C1-416F-AA73-CF0DA93A2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-2800</c:v>
                </c:pt>
                <c:pt idx="1">
                  <c:v>2500</c:v>
                </c:pt>
                <c:pt idx="2">
                  <c:v>-900</c:v>
                </c:pt>
                <c:pt idx="3">
                  <c:v>5375</c:v>
                </c:pt>
                <c:pt idx="4">
                  <c:v>1000</c:v>
                </c:pt>
                <c:pt idx="5">
                  <c:v>7850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3-42BE-BB81-9FC0B4AE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5-4AEC-99E9-FEBC1C790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ともき2!$B$1:$B$2</c:f>
              <c:strCache>
                <c:ptCount val="2"/>
                <c:pt idx="0">
                  <c:v>ともき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ともき2!$C$1:$C$2</c:f>
              <c:strCache>
                <c:ptCount val="2"/>
                <c:pt idx="0">
                  <c:v>ともき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ともき2!$C$3:$C$7</c:f>
              <c:numCache>
                <c:formatCode>\+0.0;\-0.0;\±0</c:formatCode>
                <c:ptCount val="5"/>
                <c:pt idx="1">
                  <c:v>17.600000000000001</c:v>
                </c:pt>
                <c:pt idx="2">
                  <c:v>13.9</c:v>
                </c:pt>
                <c:pt idx="3">
                  <c:v>6.8</c:v>
                </c:pt>
                <c:pt idx="4">
                  <c:v>13.275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873406966804527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ともき2!$D$1:$D$2</c:f>
              <c:strCache>
                <c:ptCount val="2"/>
                <c:pt idx="0">
                  <c:v>ともき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ともき2!$D$3:$D$7</c:f>
              <c:numCache>
                <c:formatCode>0.00\ "位"</c:formatCode>
                <c:ptCount val="5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ともき2!$E$1:$E$2</c:f>
              <c:strCache>
                <c:ptCount val="2"/>
                <c:pt idx="0">
                  <c:v>ともき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ともき2!$E$3:$E$7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ともき2!$F$1:$F$2</c:f>
              <c:strCache>
                <c:ptCount val="2"/>
                <c:pt idx="0">
                  <c:v>ともき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ともき2!$G$1:$G$2</c:f>
              <c:strCache>
                <c:ptCount val="2"/>
                <c:pt idx="0">
                  <c:v>ともき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ともき2!$G$3:$G$7</c:f>
              <c:numCache>
                <c:formatCode>0.0%</c:formatCode>
                <c:ptCount val="5"/>
                <c:pt idx="1">
                  <c:v>0.66666666666666663</c:v>
                </c:pt>
                <c:pt idx="2">
                  <c:v>0.47058823529411764</c:v>
                </c:pt>
                <c:pt idx="3">
                  <c:v>0.37931034482758619</c:v>
                </c:pt>
                <c:pt idx="4">
                  <c:v>0.39473684210526316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960474308300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ともき2!$H$1:$H$2</c:f>
              <c:strCache>
                <c:ptCount val="2"/>
                <c:pt idx="0">
                  <c:v>ともき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ともき2!$H$3:$H$7</c:f>
              <c:numCache>
                <c:formatCode>0.0%</c:formatCode>
                <c:ptCount val="5"/>
                <c:pt idx="1">
                  <c:v>0.16666666666666666</c:v>
                </c:pt>
                <c:pt idx="2">
                  <c:v>5.8823529411764705E-2</c:v>
                </c:pt>
                <c:pt idx="3">
                  <c:v>6.8965517241379309E-2</c:v>
                </c:pt>
                <c:pt idx="4">
                  <c:v>7.8947368421052627E-2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208168642951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ともき2!$I$1:$I$2</c:f>
              <c:strCache>
                <c:ptCount val="2"/>
                <c:pt idx="0">
                  <c:v>ともき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ともき2!$I$3:$I$7</c:f>
              <c:numCache>
                <c:formatCode>0</c:formatCode>
                <c:ptCount val="5"/>
                <c:pt idx="1">
                  <c:v>3900</c:v>
                </c:pt>
                <c:pt idx="2">
                  <c:v>5575</c:v>
                </c:pt>
                <c:pt idx="3">
                  <c:v>6427.272727272727</c:v>
                </c:pt>
                <c:pt idx="4">
                  <c:v>6793.333333333333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29.03405918481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ともき2!$J$1:$J$2</c:f>
              <c:strCache>
                <c:ptCount val="2"/>
                <c:pt idx="0">
                  <c:v>ともき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ともき2!$J$3:$J$7</c:f>
              <c:numCache>
                <c:formatCode>0</c:formatCode>
                <c:ptCount val="5"/>
                <c:pt idx="1">
                  <c:v>-8000</c:v>
                </c:pt>
                <c:pt idx="2">
                  <c:v>-8000</c:v>
                </c:pt>
                <c:pt idx="3">
                  <c:v>-5600</c:v>
                </c:pt>
                <c:pt idx="4">
                  <c:v>-4700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52.27043390514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ともき2!$K$1:$K$2</c:f>
              <c:strCache>
                <c:ptCount val="2"/>
                <c:pt idx="0">
                  <c:v>ともき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76543209876542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ともき2!$L$1:$L$2</c:f>
              <c:strCache>
                <c:ptCount val="2"/>
                <c:pt idx="0">
                  <c:v>ともき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ともき2!$L$3:$L$7</c:f>
              <c:numCache>
                <c:formatCode>0.0%</c:formatCode>
                <c:ptCount val="5"/>
                <c:pt idx="1">
                  <c:v>0.66666666666666663</c:v>
                </c:pt>
                <c:pt idx="2">
                  <c:v>0.52941176470588236</c:v>
                </c:pt>
                <c:pt idx="3">
                  <c:v>0.37931034482758619</c:v>
                </c:pt>
                <c:pt idx="4">
                  <c:v>0.34210526315789475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2964426877470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ともき2!$M$1:$M$2</c:f>
              <c:strCache>
                <c:ptCount val="2"/>
                <c:pt idx="0">
                  <c:v>ともき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ともき2!$M$3:$M$7</c:f>
              <c:numCache>
                <c:formatCode>0.0%</c:formatCode>
                <c:ptCount val="5"/>
                <c:pt idx="1">
                  <c:v>0</c:v>
                </c:pt>
                <c:pt idx="2">
                  <c:v>0.17647058823529413</c:v>
                </c:pt>
                <c:pt idx="3">
                  <c:v>0.13793103448275862</c:v>
                </c:pt>
                <c:pt idx="4">
                  <c:v>0.18421052631578946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590250329380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ともき2!$N$1:$N$2</c:f>
              <c:strCache>
                <c:ptCount val="2"/>
                <c:pt idx="0">
                  <c:v>ともき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ともき2!$N$3:$N$7</c:f>
              <c:numCache>
                <c:formatCode>0.0%</c:formatCode>
                <c:ptCount val="5"/>
                <c:pt idx="1">
                  <c:v>1</c:v>
                </c:pt>
                <c:pt idx="2">
                  <c:v>0.66666666666666663</c:v>
                </c:pt>
                <c:pt idx="3">
                  <c:v>0.63636363636363635</c:v>
                </c:pt>
                <c:pt idx="4">
                  <c:v>0.69230769230769229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794270833333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ともき2!$O$1:$O$2</c:f>
              <c:strCache>
                <c:ptCount val="2"/>
                <c:pt idx="0">
                  <c:v>ともき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ともき2!$O$3:$O$7</c:f>
              <c:numCache>
                <c:formatCode>0.0%</c:formatCode>
                <c:ptCount val="5"/>
                <c:pt idx="1">
                  <c:v>0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0028818443804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ともき2!$P$1:$P$2</c:f>
              <c:strCache>
                <c:ptCount val="2"/>
                <c:pt idx="0">
                  <c:v>ともき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ともき2!$P$3:$P$7</c:f>
              <c:numCache>
                <c:formatCode>0.0%</c:formatCode>
                <c:ptCount val="5"/>
                <c:pt idx="1">
                  <c:v>0.25</c:v>
                </c:pt>
                <c:pt idx="2">
                  <c:v>0.125</c:v>
                </c:pt>
                <c:pt idx="3">
                  <c:v>0.36363636363636365</c:v>
                </c:pt>
                <c:pt idx="4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2211055276381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6"/>
      <c r="C1" s="157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8">
        <v>0</v>
      </c>
      <c r="C2" s="159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60">
        <v>0</v>
      </c>
      <c r="C3" s="161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62">
        <v>0</v>
      </c>
      <c r="C4" s="163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4">
        <f>IF(B$2=0,0,B$4/B$2)</f>
        <v>0</v>
      </c>
      <c r="C5" s="165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4">
        <f>IF(B$2=0,0,(B$7*1+B$8*2+B$9*3)/B$2)</f>
        <v>0</v>
      </c>
      <c r="C6" s="155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52">
        <v>0</v>
      </c>
      <c r="C28" s="153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50">
        <v>-1000000</v>
      </c>
      <c r="C29" s="151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74"/>
  <sheetViews>
    <sheetView workbookViewId="0"/>
  </sheetViews>
  <sheetFormatPr defaultColWidth="9" defaultRowHeight="18" x14ac:dyDescent="0.45"/>
  <cols>
    <col min="1" max="1" width="19.19921875" style="28" customWidth="1"/>
    <col min="2" max="2" width="19.1992187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2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729</v>
      </c>
    </row>
    <row r="2" spans="1:2" x14ac:dyDescent="0.45">
      <c r="A2" t="s">
        <v>161</v>
      </c>
      <c r="B2">
        <v>65</v>
      </c>
    </row>
    <row r="3" spans="1:2" x14ac:dyDescent="0.45">
      <c r="A3" t="s">
        <v>126</v>
      </c>
      <c r="B3">
        <v>148</v>
      </c>
    </row>
    <row r="4" spans="1:2" x14ac:dyDescent="0.45">
      <c r="A4" t="s">
        <v>127</v>
      </c>
      <c r="B4">
        <v>132</v>
      </c>
    </row>
    <row r="5" spans="1:2" x14ac:dyDescent="0.45">
      <c r="A5" t="s">
        <v>172</v>
      </c>
      <c r="B5">
        <v>87</v>
      </c>
    </row>
    <row r="6" spans="1:2" x14ac:dyDescent="0.45">
      <c r="A6" t="s">
        <v>170</v>
      </c>
      <c r="B6">
        <v>100</v>
      </c>
    </row>
    <row r="7" spans="1:2" x14ac:dyDescent="0.45">
      <c r="A7" t="s">
        <v>171</v>
      </c>
      <c r="B7">
        <v>111</v>
      </c>
    </row>
    <row r="8" spans="1:2" x14ac:dyDescent="0.45">
      <c r="A8" t="s">
        <v>197</v>
      </c>
      <c r="B8">
        <v>48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4"/>
  <sheetViews>
    <sheetView showGridLines="0" tabSelected="1" zoomScale="130" zoomScaleNormal="130" workbookViewId="0">
      <selection activeCell="AG6" sqref="AG6"/>
    </sheetView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6" t="s">
        <v>6</v>
      </c>
      <c r="C1" s="167"/>
      <c r="D1" s="166" t="s">
        <v>7</v>
      </c>
      <c r="E1" s="167"/>
      <c r="F1" s="166" t="s">
        <v>15</v>
      </c>
      <c r="G1" s="167"/>
      <c r="H1" s="166" t="s">
        <v>14</v>
      </c>
      <c r="I1" s="167"/>
      <c r="J1" s="166" t="s">
        <v>155</v>
      </c>
      <c r="K1" s="167"/>
      <c r="L1" s="166" t="s">
        <v>145</v>
      </c>
      <c r="M1" s="167"/>
      <c r="N1" s="166" t="s">
        <v>146</v>
      </c>
      <c r="O1" s="167"/>
      <c r="P1" s="166" t="s">
        <v>5</v>
      </c>
      <c r="Q1" s="167"/>
      <c r="R1" s="166" t="s">
        <v>16</v>
      </c>
      <c r="S1" s="167"/>
      <c r="T1" s="166" t="s">
        <v>17</v>
      </c>
      <c r="U1" s="167"/>
      <c r="V1" s="166" t="s">
        <v>122</v>
      </c>
      <c r="W1" s="167"/>
      <c r="X1" s="166" t="s">
        <v>119</v>
      </c>
      <c r="Y1" s="167"/>
      <c r="Z1" s="166" t="s">
        <v>125</v>
      </c>
      <c r="AA1" s="167"/>
      <c r="AB1" s="166" t="s">
        <v>147</v>
      </c>
      <c r="AC1" s="167"/>
      <c r="AD1" s="166" t="s">
        <v>140</v>
      </c>
      <c r="AE1" s="167"/>
      <c r="AF1" s="166" t="s">
        <v>192</v>
      </c>
      <c r="AG1" s="167"/>
    </row>
    <row r="2" spans="1:33" x14ac:dyDescent="0.45">
      <c r="A2" s="68" t="s">
        <v>154</v>
      </c>
      <c r="B2" s="168"/>
      <c r="C2" s="169"/>
      <c r="D2" s="168"/>
      <c r="E2" s="169"/>
      <c r="F2" s="170">
        <v>0.98923312392682716</v>
      </c>
      <c r="G2" s="171"/>
      <c r="H2" s="170">
        <v>0.83407732558689407</v>
      </c>
      <c r="I2" s="171"/>
      <c r="J2" s="170">
        <v>0.90268644696669431</v>
      </c>
      <c r="K2" s="171"/>
      <c r="L2" s="170">
        <v>0.80143362292354359</v>
      </c>
      <c r="M2" s="171"/>
      <c r="N2" s="170">
        <v>0.53164670383966717</v>
      </c>
      <c r="O2" s="171"/>
      <c r="P2" s="170">
        <v>0.54250612732253001</v>
      </c>
      <c r="Q2" s="171"/>
      <c r="R2" s="170">
        <v>-6.0969935316418172E-2</v>
      </c>
      <c r="S2" s="171"/>
      <c r="T2" s="170">
        <v>0.52356604358459691</v>
      </c>
      <c r="U2" s="171"/>
      <c r="V2" s="170">
        <v>0.63594576738409658</v>
      </c>
      <c r="W2" s="171"/>
      <c r="X2" s="170">
        <v>-2.0232049274787542E-2</v>
      </c>
      <c r="Y2" s="171"/>
      <c r="Z2" s="170">
        <v>0.42099171875881253</v>
      </c>
      <c r="AA2" s="171"/>
      <c r="AB2" s="170">
        <v>0.18408089992833557</v>
      </c>
      <c r="AC2" s="171"/>
      <c r="AD2" s="170">
        <v>0.16643584895005664</v>
      </c>
      <c r="AE2" s="171"/>
      <c r="AF2" s="170">
        <v>0.84139787401993216</v>
      </c>
      <c r="AG2" s="171"/>
    </row>
    <row r="3" spans="1:33" x14ac:dyDescent="0.45">
      <c r="A3" s="70">
        <v>1</v>
      </c>
      <c r="B3" s="71" t="s">
        <v>126</v>
      </c>
      <c r="C3" s="72">
        <v>1145.0000000000002</v>
      </c>
      <c r="D3" s="73" t="s">
        <v>274</v>
      </c>
      <c r="E3" s="92">
        <v>13.275</v>
      </c>
      <c r="F3" s="73" t="s">
        <v>203</v>
      </c>
      <c r="G3" s="74">
        <v>1.5</v>
      </c>
      <c r="H3" s="73" t="s">
        <v>203</v>
      </c>
      <c r="I3" s="75">
        <v>0.5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10834.375</v>
      </c>
      <c r="R3" s="73" t="s">
        <v>274</v>
      </c>
      <c r="S3" s="77">
        <v>-4700</v>
      </c>
      <c r="T3" s="73" t="s">
        <v>203</v>
      </c>
      <c r="U3" s="75">
        <v>0</v>
      </c>
      <c r="V3" s="73" t="s">
        <v>274</v>
      </c>
      <c r="W3" s="76">
        <v>0.34210526315789475</v>
      </c>
      <c r="X3" s="73" t="s">
        <v>228</v>
      </c>
      <c r="Y3" s="76">
        <v>0.35483870967741937</v>
      </c>
      <c r="Z3" s="73" t="s">
        <v>274</v>
      </c>
      <c r="AA3" s="76">
        <v>0.69230769230769229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350.30000000000018</v>
      </c>
      <c r="D4" s="81" t="s">
        <v>203</v>
      </c>
      <c r="E4" s="93">
        <v>13.1</v>
      </c>
      <c r="F4" s="81" t="s">
        <v>274</v>
      </c>
      <c r="G4" s="82">
        <v>1.5</v>
      </c>
      <c r="H4" s="81" t="s">
        <v>274</v>
      </c>
      <c r="I4" s="83">
        <v>0.5</v>
      </c>
      <c r="J4" s="81" t="s">
        <v>274</v>
      </c>
      <c r="K4" s="83">
        <v>0</v>
      </c>
      <c r="L4" s="81" t="s">
        <v>274</v>
      </c>
      <c r="M4" s="84">
        <v>0.39473684210526316</v>
      </c>
      <c r="N4" s="81" t="s">
        <v>274</v>
      </c>
      <c r="O4" s="84">
        <v>7.8947368421052627E-2</v>
      </c>
      <c r="P4" s="81" t="s">
        <v>171</v>
      </c>
      <c r="Q4" s="85">
        <v>8524.8062015503874</v>
      </c>
      <c r="R4" s="81" t="s">
        <v>196</v>
      </c>
      <c r="S4" s="85">
        <v>-6876.1904761904761</v>
      </c>
      <c r="T4" s="81" t="s">
        <v>274</v>
      </c>
      <c r="U4" s="83">
        <v>0</v>
      </c>
      <c r="V4" s="81" t="s">
        <v>170</v>
      </c>
      <c r="W4" s="84">
        <v>0.31467661691542287</v>
      </c>
      <c r="X4" s="81" t="s">
        <v>203</v>
      </c>
      <c r="Y4" s="84">
        <v>0.33333333333333331</v>
      </c>
      <c r="Z4" s="81" t="s">
        <v>126</v>
      </c>
      <c r="AA4" s="84">
        <v>0.6</v>
      </c>
      <c r="AB4" s="81" t="s">
        <v>274</v>
      </c>
      <c r="AC4" s="84">
        <v>0.7142857142857143</v>
      </c>
      <c r="AD4" s="81" t="s">
        <v>170</v>
      </c>
      <c r="AE4" s="84">
        <v>0.5223214285714286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171</v>
      </c>
      <c r="C5" s="80">
        <v>106.3</v>
      </c>
      <c r="D5" s="81" t="s">
        <v>126</v>
      </c>
      <c r="E5" s="93">
        <v>7.7364864864864877</v>
      </c>
      <c r="F5" s="81" t="s">
        <v>126</v>
      </c>
      <c r="G5" s="82">
        <v>1.8175675675675675</v>
      </c>
      <c r="H5" s="81" t="s">
        <v>126</v>
      </c>
      <c r="I5" s="83">
        <v>0.44594594594594594</v>
      </c>
      <c r="J5" s="81" t="s">
        <v>126</v>
      </c>
      <c r="K5" s="83">
        <v>0.26351351351351349</v>
      </c>
      <c r="L5" s="81" t="s">
        <v>126</v>
      </c>
      <c r="M5" s="84">
        <v>0.34132231404958679</v>
      </c>
      <c r="N5" s="81" t="s">
        <v>126</v>
      </c>
      <c r="O5" s="84">
        <v>0.13305785123966943</v>
      </c>
      <c r="P5" s="81" t="s">
        <v>127</v>
      </c>
      <c r="Q5" s="85">
        <v>8440.2985074626868</v>
      </c>
      <c r="R5" s="81" t="s">
        <v>171</v>
      </c>
      <c r="S5" s="85">
        <v>-7440.4958677685954</v>
      </c>
      <c r="T5" s="81" t="s">
        <v>126</v>
      </c>
      <c r="U5" s="83">
        <v>4.72972972972973E-2</v>
      </c>
      <c r="V5" s="81" t="s">
        <v>172</v>
      </c>
      <c r="W5" s="84">
        <v>0.28281461434370769</v>
      </c>
      <c r="X5" s="81" t="s">
        <v>127</v>
      </c>
      <c r="Y5" s="84">
        <v>0.30505415162454874</v>
      </c>
      <c r="Z5" s="81" t="s">
        <v>196</v>
      </c>
      <c r="AA5" s="84">
        <v>0.59677419354838712</v>
      </c>
      <c r="AB5" s="81" t="s">
        <v>126</v>
      </c>
      <c r="AC5" s="84">
        <v>0.48201438848920863</v>
      </c>
      <c r="AD5" s="81" t="s">
        <v>172</v>
      </c>
      <c r="AE5" s="84">
        <v>0.45673076923076922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127</v>
      </c>
      <c r="C6" s="80">
        <v>90.399999999999807</v>
      </c>
      <c r="D6" s="81" t="s">
        <v>170</v>
      </c>
      <c r="E6" s="93">
        <v>3.5030000000000019</v>
      </c>
      <c r="F6" s="81" t="s">
        <v>170</v>
      </c>
      <c r="G6" s="82">
        <v>1.93</v>
      </c>
      <c r="H6" s="81" t="s">
        <v>228</v>
      </c>
      <c r="I6" s="83">
        <v>0.42857142857142855</v>
      </c>
      <c r="J6" s="81" t="s">
        <v>171</v>
      </c>
      <c r="K6" s="83">
        <v>0.27927927927927926</v>
      </c>
      <c r="L6" s="81" t="s">
        <v>127</v>
      </c>
      <c r="M6" s="84">
        <v>0.30234657039711194</v>
      </c>
      <c r="N6" s="81" t="s">
        <v>171</v>
      </c>
      <c r="O6" s="84">
        <v>0.13610798650168729</v>
      </c>
      <c r="P6" s="81" t="s">
        <v>141</v>
      </c>
      <c r="Q6" s="85">
        <v>8429.0340591848126</v>
      </c>
      <c r="R6" s="81" t="s">
        <v>172</v>
      </c>
      <c r="S6" s="85">
        <v>-7452.517985611511</v>
      </c>
      <c r="T6" s="81" t="s">
        <v>171</v>
      </c>
      <c r="U6" s="83">
        <v>7.2072072072072071E-2</v>
      </c>
      <c r="V6" s="81" t="s">
        <v>171</v>
      </c>
      <c r="W6" s="84">
        <v>0.26884139482564678</v>
      </c>
      <c r="X6" s="81" t="s">
        <v>161</v>
      </c>
      <c r="Y6" s="84">
        <v>0.24436741767764297</v>
      </c>
      <c r="Z6" s="81" t="s">
        <v>171</v>
      </c>
      <c r="AA6" s="84">
        <v>0.57740585774058573</v>
      </c>
      <c r="AB6" s="81" t="s">
        <v>197</v>
      </c>
      <c r="AC6" s="84">
        <v>0.43529411764705883</v>
      </c>
      <c r="AD6" s="81" t="s">
        <v>171</v>
      </c>
      <c r="AE6" s="84">
        <v>0.44573643410852715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274</v>
      </c>
      <c r="C7" s="80">
        <v>53.1</v>
      </c>
      <c r="D7" s="81" t="s">
        <v>171</v>
      </c>
      <c r="E7" s="93">
        <v>0.95765765765765765</v>
      </c>
      <c r="F7" s="81" t="s">
        <v>127</v>
      </c>
      <c r="G7" s="82">
        <v>1.946969696969697</v>
      </c>
      <c r="H7" s="81" t="s">
        <v>170</v>
      </c>
      <c r="I7" s="83">
        <v>0.39</v>
      </c>
      <c r="J7" s="81" t="s">
        <v>127</v>
      </c>
      <c r="K7" s="83">
        <v>0.29545454545454547</v>
      </c>
      <c r="L7" s="81" t="s">
        <v>141</v>
      </c>
      <c r="M7" s="84">
        <v>0.29496047430830041</v>
      </c>
      <c r="N7" s="81" t="s">
        <v>161</v>
      </c>
      <c r="O7" s="84">
        <v>0.16117850953206239</v>
      </c>
      <c r="P7" s="81" t="s">
        <v>196</v>
      </c>
      <c r="Q7" s="85">
        <v>8385.7142857142862</v>
      </c>
      <c r="R7" s="81" t="s">
        <v>126</v>
      </c>
      <c r="S7" s="85">
        <v>-7665.217391304348</v>
      </c>
      <c r="T7" s="81" t="s">
        <v>161</v>
      </c>
      <c r="U7" s="83">
        <v>7.6923076923076927E-2</v>
      </c>
      <c r="V7" s="81" t="s">
        <v>126</v>
      </c>
      <c r="W7" s="84">
        <v>0.26859504132231404</v>
      </c>
      <c r="X7" s="81" t="s">
        <v>126</v>
      </c>
      <c r="Y7" s="84">
        <v>0.22975206611570248</v>
      </c>
      <c r="Z7" s="81" t="s">
        <v>141</v>
      </c>
      <c r="AA7" s="84">
        <v>0.55794270833333337</v>
      </c>
      <c r="AB7" s="81" t="s">
        <v>171</v>
      </c>
      <c r="AC7" s="84">
        <v>0.43076923076923079</v>
      </c>
      <c r="AD7" s="81" t="s">
        <v>197</v>
      </c>
      <c r="AE7" s="84">
        <v>0.44444444444444442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203</v>
      </c>
      <c r="C8" s="80">
        <v>26.2</v>
      </c>
      <c r="D8" s="81" t="s">
        <v>127</v>
      </c>
      <c r="E8" s="93">
        <v>0.68484848484848337</v>
      </c>
      <c r="F8" s="81" t="s">
        <v>141</v>
      </c>
      <c r="G8" s="82">
        <v>2</v>
      </c>
      <c r="H8" s="81" t="s">
        <v>196</v>
      </c>
      <c r="I8" s="83">
        <v>0.36</v>
      </c>
      <c r="J8" s="81" t="s">
        <v>170</v>
      </c>
      <c r="K8" s="83">
        <v>0.32</v>
      </c>
      <c r="L8" s="81" t="s">
        <v>171</v>
      </c>
      <c r="M8" s="84">
        <v>0.29021372328458944</v>
      </c>
      <c r="N8" s="81" t="s">
        <v>141</v>
      </c>
      <c r="O8" s="84">
        <v>0.16320816864295126</v>
      </c>
      <c r="P8" s="81" t="s">
        <v>126</v>
      </c>
      <c r="Q8" s="85">
        <v>8164.406779661017</v>
      </c>
      <c r="R8" s="81" t="s">
        <v>161</v>
      </c>
      <c r="S8" s="85">
        <v>-7673.1182795698924</v>
      </c>
      <c r="T8" s="81" t="s">
        <v>172</v>
      </c>
      <c r="U8" s="83">
        <v>8.0459770114942528E-2</v>
      </c>
      <c r="V8" s="81" t="s">
        <v>203</v>
      </c>
      <c r="W8" s="84">
        <v>0.26666666666666666</v>
      </c>
      <c r="X8" s="81" t="s">
        <v>141</v>
      </c>
      <c r="Y8" s="84">
        <v>0.22859025032938077</v>
      </c>
      <c r="Z8" s="81" t="s">
        <v>170</v>
      </c>
      <c r="AA8" s="84">
        <v>0.55731225296442688</v>
      </c>
      <c r="AB8" s="81" t="s">
        <v>141</v>
      </c>
      <c r="AC8" s="84">
        <v>0.42002881844380402</v>
      </c>
      <c r="AD8" s="81" t="s">
        <v>141</v>
      </c>
      <c r="AE8" s="84">
        <v>0.44221105527638194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141</v>
      </c>
      <c r="C9" s="80">
        <v>-3.5527136788005009E-14</v>
      </c>
      <c r="D9" s="81" t="s">
        <v>141</v>
      </c>
      <c r="E9" s="93">
        <v>-4.8734069668045278E-17</v>
      </c>
      <c r="F9" s="81" t="s">
        <v>171</v>
      </c>
      <c r="G9" s="82">
        <v>2.0180180180180178</v>
      </c>
      <c r="H9" s="81" t="s">
        <v>127</v>
      </c>
      <c r="I9" s="83">
        <v>0.34848484848484851</v>
      </c>
      <c r="J9" s="81" t="s">
        <v>141</v>
      </c>
      <c r="K9" s="83">
        <v>0.33333333333333331</v>
      </c>
      <c r="L9" s="81" t="s">
        <v>172</v>
      </c>
      <c r="M9" s="84">
        <v>0.28146143437077131</v>
      </c>
      <c r="N9" s="81" t="s">
        <v>196</v>
      </c>
      <c r="O9" s="84">
        <v>0.17499999999999999</v>
      </c>
      <c r="P9" s="81" t="s">
        <v>197</v>
      </c>
      <c r="Q9" s="85">
        <v>8000</v>
      </c>
      <c r="R9" s="81" t="s">
        <v>141</v>
      </c>
      <c r="S9" s="85">
        <v>-7752.2704339051461</v>
      </c>
      <c r="T9" s="81" t="s">
        <v>141</v>
      </c>
      <c r="U9" s="83">
        <v>9.8765432098765427E-2</v>
      </c>
      <c r="V9" s="81" t="s">
        <v>196</v>
      </c>
      <c r="W9" s="84">
        <v>0.25833333333333336</v>
      </c>
      <c r="X9" s="81" t="s">
        <v>171</v>
      </c>
      <c r="Y9" s="84">
        <v>0.21934758155230596</v>
      </c>
      <c r="Z9" s="81" t="s">
        <v>172</v>
      </c>
      <c r="AA9" s="84">
        <v>0.55502392344497609</v>
      </c>
      <c r="AB9" s="81" t="s">
        <v>172</v>
      </c>
      <c r="AC9" s="84">
        <v>0.41610738255033558</v>
      </c>
      <c r="AD9" s="81" t="s">
        <v>126</v>
      </c>
      <c r="AE9" s="84">
        <v>0.42130750605326878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196</v>
      </c>
      <c r="C10" s="80">
        <v>-45.7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141</v>
      </c>
      <c r="I10" s="83">
        <v>0.33333333333333331</v>
      </c>
      <c r="J10" s="81" t="s">
        <v>172</v>
      </c>
      <c r="K10" s="83">
        <v>0.37931034482758619</v>
      </c>
      <c r="L10" s="81" t="s">
        <v>170</v>
      </c>
      <c r="M10" s="84">
        <v>0.27860696517412936</v>
      </c>
      <c r="N10" s="81" t="s">
        <v>170</v>
      </c>
      <c r="O10" s="84">
        <v>0.17537313432835822</v>
      </c>
      <c r="P10" s="81" t="s">
        <v>172</v>
      </c>
      <c r="Q10" s="85">
        <v>7688.4615384615381</v>
      </c>
      <c r="R10" s="81" t="s">
        <v>127</v>
      </c>
      <c r="S10" s="85">
        <v>-7874.8792270531403</v>
      </c>
      <c r="T10" s="81" t="s">
        <v>170</v>
      </c>
      <c r="U10" s="83">
        <v>0.11</v>
      </c>
      <c r="V10" s="81" t="s">
        <v>141</v>
      </c>
      <c r="W10" s="84">
        <v>0.25296442687747034</v>
      </c>
      <c r="X10" s="81" t="s">
        <v>197</v>
      </c>
      <c r="Y10" s="84">
        <v>0.21794871794871795</v>
      </c>
      <c r="Z10" s="81" t="s">
        <v>197</v>
      </c>
      <c r="AA10" s="84">
        <v>0.55128205128205132</v>
      </c>
      <c r="AB10" s="81" t="s">
        <v>161</v>
      </c>
      <c r="AC10" s="84">
        <v>0.40425531914893614</v>
      </c>
      <c r="AD10" s="81" t="s">
        <v>127</v>
      </c>
      <c r="AE10" s="84">
        <v>0.41492537313432837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228</v>
      </c>
      <c r="C11" s="80">
        <v>-104.80000000000001</v>
      </c>
      <c r="D11" s="81" t="s">
        <v>172</v>
      </c>
      <c r="E11" s="93">
        <v>-6.3172413793103468</v>
      </c>
      <c r="F11" s="81" t="s">
        <v>228</v>
      </c>
      <c r="G11" s="82">
        <v>2.1428571428571428</v>
      </c>
      <c r="H11" s="81" t="s">
        <v>161</v>
      </c>
      <c r="I11" s="83">
        <v>0.30769230769230771</v>
      </c>
      <c r="J11" s="81" t="s">
        <v>196</v>
      </c>
      <c r="K11" s="83">
        <v>0.4</v>
      </c>
      <c r="L11" s="81" t="s">
        <v>161</v>
      </c>
      <c r="M11" s="84">
        <v>0.26689774696707108</v>
      </c>
      <c r="N11" s="81" t="s">
        <v>197</v>
      </c>
      <c r="O11" s="84">
        <v>0.18205128205128204</v>
      </c>
      <c r="P11" s="81" t="s">
        <v>228</v>
      </c>
      <c r="Q11" s="85">
        <v>7473.333333333333</v>
      </c>
      <c r="R11" s="81" t="s">
        <v>203</v>
      </c>
      <c r="S11" s="85">
        <v>-8000</v>
      </c>
      <c r="T11" s="81" t="s">
        <v>196</v>
      </c>
      <c r="U11" s="83">
        <v>0.12</v>
      </c>
      <c r="V11" s="81" t="s">
        <v>228</v>
      </c>
      <c r="W11" s="84">
        <v>0.24193548387096775</v>
      </c>
      <c r="X11" s="81" t="s">
        <v>172</v>
      </c>
      <c r="Y11" s="84">
        <v>0.20162381596752368</v>
      </c>
      <c r="Z11" s="81" t="s">
        <v>228</v>
      </c>
      <c r="AA11" s="84">
        <v>0.53333333333333333</v>
      </c>
      <c r="AB11" s="81" t="s">
        <v>170</v>
      </c>
      <c r="AC11" s="84">
        <v>0.39393939393939392</v>
      </c>
      <c r="AD11" s="81" t="s">
        <v>274</v>
      </c>
      <c r="AE11" s="84">
        <v>0.4</v>
      </c>
      <c r="AF11" s="81" t="s">
        <v>172</v>
      </c>
      <c r="AG11" s="88">
        <v>69500</v>
      </c>
    </row>
    <row r="12" spans="1:33" x14ac:dyDescent="0.45">
      <c r="A12" s="78">
        <v>10</v>
      </c>
      <c r="B12" s="79" t="s">
        <v>161</v>
      </c>
      <c r="C12" s="80">
        <v>-526.20000000000016</v>
      </c>
      <c r="D12" s="81" t="s">
        <v>161</v>
      </c>
      <c r="E12" s="93">
        <v>-8.0953846153846172</v>
      </c>
      <c r="F12" s="81" t="s">
        <v>172</v>
      </c>
      <c r="G12" s="82">
        <v>2.1609195402298851</v>
      </c>
      <c r="H12" s="81" t="s">
        <v>171</v>
      </c>
      <c r="I12" s="83">
        <v>0.26126126126126126</v>
      </c>
      <c r="J12" s="81" t="s">
        <v>197</v>
      </c>
      <c r="K12" s="83">
        <v>0.47916666666666669</v>
      </c>
      <c r="L12" s="81" t="s">
        <v>196</v>
      </c>
      <c r="M12" s="84">
        <v>0.26250000000000001</v>
      </c>
      <c r="N12" s="81" t="s">
        <v>127</v>
      </c>
      <c r="O12" s="84">
        <v>0.18682310469314078</v>
      </c>
      <c r="P12" s="81" t="s">
        <v>203</v>
      </c>
      <c r="Q12" s="85">
        <v>7385.7142857142853</v>
      </c>
      <c r="R12" s="81" t="s">
        <v>197</v>
      </c>
      <c r="S12" s="85">
        <v>-8015.4929577464791</v>
      </c>
      <c r="T12" s="81" t="s">
        <v>127</v>
      </c>
      <c r="U12" s="83">
        <v>0.13636363636363635</v>
      </c>
      <c r="V12" s="81" t="s">
        <v>127</v>
      </c>
      <c r="W12" s="84">
        <v>0.2292418772563177</v>
      </c>
      <c r="X12" s="81" t="s">
        <v>274</v>
      </c>
      <c r="Y12" s="84">
        <v>0.18421052631578946</v>
      </c>
      <c r="Z12" s="81" t="s">
        <v>161</v>
      </c>
      <c r="AA12" s="84">
        <v>0.5</v>
      </c>
      <c r="AB12" s="81" t="s">
        <v>127</v>
      </c>
      <c r="AC12" s="84">
        <v>0.38165680473372782</v>
      </c>
      <c r="AD12" s="81" t="s">
        <v>161</v>
      </c>
      <c r="AE12" s="84">
        <v>0.38311688311688313</v>
      </c>
      <c r="AF12" s="81" t="s">
        <v>228</v>
      </c>
      <c r="AG12" s="88">
        <v>59500</v>
      </c>
    </row>
    <row r="13" spans="1:33" x14ac:dyDescent="0.45">
      <c r="A13" s="78">
        <v>11</v>
      </c>
      <c r="B13" s="79" t="s">
        <v>197</v>
      </c>
      <c r="C13" s="80">
        <v>-545.00000000000011</v>
      </c>
      <c r="D13" s="81" t="s">
        <v>197</v>
      </c>
      <c r="E13" s="93">
        <v>-11.35416666666667</v>
      </c>
      <c r="F13" s="81" t="s">
        <v>161</v>
      </c>
      <c r="G13" s="82">
        <v>2.1846153846153844</v>
      </c>
      <c r="H13" s="81" t="s">
        <v>172</v>
      </c>
      <c r="I13" s="83">
        <v>0.21839080459770116</v>
      </c>
      <c r="J13" s="81" t="s">
        <v>161</v>
      </c>
      <c r="K13" s="83">
        <v>0.49230769230769234</v>
      </c>
      <c r="L13" s="81" t="s">
        <v>197</v>
      </c>
      <c r="M13" s="84">
        <v>0.25384615384615383</v>
      </c>
      <c r="N13" s="81" t="s">
        <v>172</v>
      </c>
      <c r="O13" s="84">
        <v>0.18809201623815969</v>
      </c>
      <c r="P13" s="81" t="s">
        <v>161</v>
      </c>
      <c r="Q13" s="85">
        <v>7048.7012987012986</v>
      </c>
      <c r="R13" s="81" t="s">
        <v>170</v>
      </c>
      <c r="S13" s="85">
        <v>-8365.9574468085102</v>
      </c>
      <c r="T13" s="81" t="s">
        <v>197</v>
      </c>
      <c r="U13" s="83">
        <v>0.1875</v>
      </c>
      <c r="V13" s="81" t="s">
        <v>197</v>
      </c>
      <c r="W13" s="84">
        <v>0.2</v>
      </c>
      <c r="X13" s="81" t="s">
        <v>170</v>
      </c>
      <c r="Y13" s="84">
        <v>0.16417910447761194</v>
      </c>
      <c r="Z13" s="81" t="s">
        <v>203</v>
      </c>
      <c r="AA13" s="84">
        <v>0.5</v>
      </c>
      <c r="AB13" s="81" t="s">
        <v>196</v>
      </c>
      <c r="AC13" s="84">
        <v>0.33333333333333331</v>
      </c>
      <c r="AD13" s="81" t="s">
        <v>228</v>
      </c>
      <c r="AE13" s="84">
        <v>0.33333333333333331</v>
      </c>
      <c r="AF13" s="81" t="s">
        <v>274</v>
      </c>
      <c r="AG13" s="88">
        <v>57700</v>
      </c>
    </row>
    <row r="14" spans="1:33" x14ac:dyDescent="0.45">
      <c r="A14" s="78">
        <v>12</v>
      </c>
      <c r="B14" s="79" t="s">
        <v>172</v>
      </c>
      <c r="C14" s="80">
        <v>-549.60000000000014</v>
      </c>
      <c r="D14" s="81" t="s">
        <v>228</v>
      </c>
      <c r="E14" s="93">
        <v>-14.971428571428573</v>
      </c>
      <c r="F14" s="81" t="s">
        <v>197</v>
      </c>
      <c r="G14" s="82">
        <v>2.2916666666666665</v>
      </c>
      <c r="H14" s="81" t="s">
        <v>197</v>
      </c>
      <c r="I14" s="83">
        <v>0.1875</v>
      </c>
      <c r="J14" s="81" t="s">
        <v>228</v>
      </c>
      <c r="K14" s="83">
        <v>0.5714285714285714</v>
      </c>
      <c r="L14" s="81" t="s">
        <v>228</v>
      </c>
      <c r="M14" s="84">
        <v>0.24193548387096775</v>
      </c>
      <c r="N14" s="81" t="s">
        <v>228</v>
      </c>
      <c r="O14" s="84">
        <v>0.19354838709677419</v>
      </c>
      <c r="P14" s="81" t="s">
        <v>274</v>
      </c>
      <c r="Q14" s="85">
        <v>6793.333333333333</v>
      </c>
      <c r="R14" s="81" t="s">
        <v>228</v>
      </c>
      <c r="S14" s="85">
        <v>-9075</v>
      </c>
      <c r="T14" s="81" t="s">
        <v>228</v>
      </c>
      <c r="U14" s="83">
        <v>0.5714285714285714</v>
      </c>
      <c r="V14" s="81" t="s">
        <v>161</v>
      </c>
      <c r="W14" s="84">
        <v>0.14558058925476602</v>
      </c>
      <c r="X14" s="81" t="s">
        <v>196</v>
      </c>
      <c r="Y14" s="84">
        <v>0.15</v>
      </c>
      <c r="Z14" s="81" t="s">
        <v>127</v>
      </c>
      <c r="AA14" s="84">
        <v>0.49606299212598426</v>
      </c>
      <c r="AB14" s="81" t="s">
        <v>228</v>
      </c>
      <c r="AC14" s="84">
        <v>0.27272727272727271</v>
      </c>
      <c r="AD14" s="81" t="s">
        <v>203</v>
      </c>
      <c r="AE14" s="84">
        <v>0.2857142857142857</v>
      </c>
      <c r="AF14" s="81" t="s">
        <v>203</v>
      </c>
      <c r="AG14" s="88">
        <v>52800</v>
      </c>
    </row>
  </sheetData>
  <sortState xmlns:xlrd2="http://schemas.microsoft.com/office/spreadsheetml/2017/richdata2" ref="AF3:AG42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4557-8680-4C68-9C14-24ABF1194E04}">
  <sheetPr codeName="Sheet4"/>
  <dimension ref="A1:Q73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141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729</v>
      </c>
      <c r="C2" s="159"/>
      <c r="E2" s="58" t="s">
        <v>66</v>
      </c>
      <c r="F2" s="55" t="s">
        <v>22</v>
      </c>
      <c r="G2" s="43">
        <v>1374</v>
      </c>
      <c r="H2" s="128">
        <f>IF(B$15=0,0,G2/B$15)</f>
        <v>0.76716917922948069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-27.548209366391184</v>
      </c>
      <c r="P2" s="114">
        <v>726</v>
      </c>
      <c r="Q2" s="98">
        <v>-20000</v>
      </c>
    </row>
    <row r="3" spans="1:17" x14ac:dyDescent="0.45">
      <c r="A3" s="51" t="s">
        <v>8</v>
      </c>
      <c r="B3" s="160">
        <v>6072</v>
      </c>
      <c r="C3" s="161"/>
      <c r="E3" s="59" t="s">
        <v>72</v>
      </c>
      <c r="F3" s="56" t="s">
        <v>27</v>
      </c>
      <c r="G3" s="44">
        <v>962</v>
      </c>
      <c r="H3" s="129">
        <f>IF(B$15=0,0,G3/B$15)</f>
        <v>0.53713009491903962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12.605042016806722</v>
      </c>
      <c r="P3" s="115">
        <v>714</v>
      </c>
      <c r="Q3" s="99">
        <v>9000</v>
      </c>
    </row>
    <row r="4" spans="1:17" x14ac:dyDescent="0.45">
      <c r="A4" s="51" t="s">
        <v>6</v>
      </c>
      <c r="B4" s="162">
        <v>-3.5527136788005009E-14</v>
      </c>
      <c r="C4" s="163"/>
      <c r="E4" s="59" t="s">
        <v>64</v>
      </c>
      <c r="F4" s="56" t="s">
        <v>20</v>
      </c>
      <c r="G4" s="44">
        <v>827</v>
      </c>
      <c r="H4" s="129">
        <f>IF(B$15=0,0,G4/B$15)</f>
        <v>0.46175321049692908</v>
      </c>
      <c r="I4" s="90">
        <v>7</v>
      </c>
      <c r="K4" s="36">
        <v>2</v>
      </c>
      <c r="L4" s="95">
        <v>45.6</v>
      </c>
      <c r="N4" s="111" t="s">
        <v>132</v>
      </c>
      <c r="O4" s="118">
        <f t="shared" si="0"/>
        <v>-10.416666666666666</v>
      </c>
      <c r="P4" s="115">
        <v>672</v>
      </c>
      <c r="Q4" s="99">
        <v>-7000</v>
      </c>
    </row>
    <row r="5" spans="1:17" x14ac:dyDescent="0.45">
      <c r="A5" s="51" t="s">
        <v>7</v>
      </c>
      <c r="B5" s="164">
        <f>IF(B$2=0,0,B$4/B$2)</f>
        <v>-4.8734069668045278E-17</v>
      </c>
      <c r="C5" s="165"/>
      <c r="E5" s="59" t="s">
        <v>166</v>
      </c>
      <c r="F5" s="56" t="s">
        <v>167</v>
      </c>
      <c r="G5" s="44">
        <v>714</v>
      </c>
      <c r="H5" s="129">
        <f>IF(B$15=0,0,G5/B$15)</f>
        <v>0.39865996649916247</v>
      </c>
      <c r="I5" s="90">
        <v>5</v>
      </c>
      <c r="K5" s="36">
        <v>3</v>
      </c>
      <c r="L5" s="95">
        <v>0</v>
      </c>
      <c r="N5" s="111" t="s">
        <v>133</v>
      </c>
      <c r="O5" s="118">
        <f t="shared" si="0"/>
        <v>9.4786729857819907</v>
      </c>
      <c r="P5" s="115">
        <v>633</v>
      </c>
      <c r="Q5" s="99">
        <v>6000</v>
      </c>
    </row>
    <row r="6" spans="1:17" x14ac:dyDescent="0.45">
      <c r="A6" s="51" t="s">
        <v>1</v>
      </c>
      <c r="B6" s="154">
        <f>IF(B$2=0,0,(B$7*1+B$8*2+B$9*3)/B$2)</f>
        <v>2</v>
      </c>
      <c r="C6" s="155"/>
      <c r="E6" s="59" t="s">
        <v>68</v>
      </c>
      <c r="F6" s="56" t="s">
        <v>12</v>
      </c>
      <c r="G6" s="44">
        <v>556</v>
      </c>
      <c r="H6" s="129">
        <f>IF(B$15=0,0,G6/B$15)</f>
        <v>0.31044109436069234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8.6355785837651116</v>
      </c>
      <c r="P6" s="115">
        <v>579</v>
      </c>
      <c r="Q6" s="99">
        <v>5000</v>
      </c>
    </row>
    <row r="7" spans="1:17" x14ac:dyDescent="0.45">
      <c r="A7" s="51" t="s">
        <v>2</v>
      </c>
      <c r="B7" s="44">
        <v>243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508</v>
      </c>
      <c r="H7" s="129">
        <f>IF(B$15=0,0,G7/B$15)</f>
        <v>0.28364042434394193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12.422360248447205</v>
      </c>
      <c r="P7" s="116">
        <v>483</v>
      </c>
      <c r="Q7" s="100">
        <v>6000</v>
      </c>
    </row>
    <row r="8" spans="1:17" x14ac:dyDescent="0.45">
      <c r="A8" s="51" t="s">
        <v>3</v>
      </c>
      <c r="B8" s="44">
        <v>243</v>
      </c>
      <c r="C8" s="37">
        <f t="shared" si="1"/>
        <v>0.33333333333333331</v>
      </c>
      <c r="E8" s="59" t="s">
        <v>69</v>
      </c>
      <c r="F8" s="56" t="s">
        <v>24</v>
      </c>
      <c r="G8" s="44">
        <v>262</v>
      </c>
      <c r="H8" s="129">
        <f>IF(B$15=0,0,G8/B$15)</f>
        <v>0.14628699050809604</v>
      </c>
      <c r="I8" s="90">
        <v>4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243</v>
      </c>
      <c r="C9" s="38">
        <f t="shared" si="1"/>
        <v>0.33333333333333331</v>
      </c>
      <c r="E9" s="59" t="s">
        <v>89</v>
      </c>
      <c r="F9" s="56" t="s">
        <v>44</v>
      </c>
      <c r="G9" s="44">
        <v>238</v>
      </c>
      <c r="H9" s="129">
        <f>IF(B$15=0,0,G9/B$15)</f>
        <v>0.13288665549972081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72</v>
      </c>
      <c r="C10" s="40">
        <f t="shared" si="1"/>
        <v>9.8765432098765427E-2</v>
      </c>
      <c r="E10" s="59" t="s">
        <v>65</v>
      </c>
      <c r="F10" s="56" t="s">
        <v>21</v>
      </c>
      <c r="G10" s="44">
        <v>188</v>
      </c>
      <c r="H10" s="129">
        <f>IF(B$15=0,0,G10/B$15)</f>
        <v>0.10496929089893914</v>
      </c>
      <c r="I10" s="90">
        <v>7</v>
      </c>
      <c r="K10" s="36">
        <v>8</v>
      </c>
      <c r="L10" s="95">
        <v>-46.9</v>
      </c>
      <c r="N10" s="110" t="s">
        <v>157</v>
      </c>
      <c r="O10" s="120">
        <f>IF(P10=0,0,Q10/P10)</f>
        <v>-1.6798353909465027</v>
      </c>
      <c r="P10" s="114">
        <v>243</v>
      </c>
      <c r="Q10" s="102">
        <v>-408.20000000000016</v>
      </c>
    </row>
    <row r="11" spans="1:17" x14ac:dyDescent="0.45">
      <c r="A11" s="54" t="s">
        <v>121</v>
      </c>
      <c r="B11" s="47">
        <v>1536</v>
      </c>
      <c r="C11" s="42">
        <f>IF(B$3=0,0,B11/B$3)</f>
        <v>0.25296442687747034</v>
      </c>
      <c r="E11" s="59" t="s">
        <v>70</v>
      </c>
      <c r="F11" s="56" t="s">
        <v>25</v>
      </c>
      <c r="G11" s="44">
        <v>163</v>
      </c>
      <c r="H11" s="129">
        <f>IF(B$15=0,0,G11/B$15)</f>
        <v>9.1010608598548301E-2</v>
      </c>
      <c r="I11" s="90">
        <v>7</v>
      </c>
      <c r="K11" s="36">
        <v>9</v>
      </c>
      <c r="L11" s="95">
        <v>0</v>
      </c>
      <c r="N11" s="111" t="s">
        <v>158</v>
      </c>
      <c r="O11" s="121">
        <f>IF(P11=0,0,Q11/P11)</f>
        <v>1.0872427983539095</v>
      </c>
      <c r="P11" s="115">
        <v>243</v>
      </c>
      <c r="Q11" s="103">
        <v>264.2</v>
      </c>
    </row>
    <row r="12" spans="1:17" x14ac:dyDescent="0.45">
      <c r="A12" s="51" t="s">
        <v>118</v>
      </c>
      <c r="B12" s="44">
        <v>1388</v>
      </c>
      <c r="C12" s="37">
        <f>IF(B$3=0,0,B12/B$3)</f>
        <v>0.22859025032938077</v>
      </c>
      <c r="E12" s="59" t="s">
        <v>71</v>
      </c>
      <c r="F12" s="56" t="s">
        <v>26</v>
      </c>
      <c r="G12" s="44">
        <v>141</v>
      </c>
      <c r="H12" s="129">
        <f>IF(B$15=0,0,G12/B$15)</f>
        <v>7.8726968174204354E-2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0.59259259259259212</v>
      </c>
      <c r="P12" s="116">
        <v>243</v>
      </c>
      <c r="Q12" s="104">
        <v>143.99999999999989</v>
      </c>
    </row>
    <row r="13" spans="1:17" x14ac:dyDescent="0.45">
      <c r="A13" s="50" t="s">
        <v>123</v>
      </c>
      <c r="B13" s="43">
        <f>B19</f>
        <v>857</v>
      </c>
      <c r="C13" s="35">
        <f>IF(B$11=0,0,B13/B$11)</f>
        <v>0.55794270833333337</v>
      </c>
      <c r="E13" s="59" t="s">
        <v>86</v>
      </c>
      <c r="F13" s="56" t="s">
        <v>41</v>
      </c>
      <c r="G13" s="44">
        <v>96</v>
      </c>
      <c r="H13" s="129">
        <f>IF(B$15=0,0,G13/B$15)</f>
        <v>5.3601340033500838E-2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583</v>
      </c>
      <c r="C14" s="35">
        <f>IF(B$12=0,0,B14/B$12)</f>
        <v>0.42002881844380402</v>
      </c>
      <c r="E14" s="59" t="s">
        <v>83</v>
      </c>
      <c r="F14" s="56" t="s">
        <v>38</v>
      </c>
      <c r="G14" s="44">
        <v>92</v>
      </c>
      <c r="H14" s="129">
        <f>IF(B$15=0,0,G14/B$15)</f>
        <v>5.13679508654383E-2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1791</v>
      </c>
      <c r="C15" s="35">
        <f>IF(B$3=0,0,B15/B$3)</f>
        <v>0.29496047430830041</v>
      </c>
      <c r="E15" s="59" t="s">
        <v>162</v>
      </c>
      <c r="F15" s="56" t="s">
        <v>163</v>
      </c>
      <c r="G15" s="44">
        <v>44</v>
      </c>
      <c r="H15" s="129">
        <f>IF(B$15=0,0,G15/B$15)</f>
        <v>2.4567280848687884E-2</v>
      </c>
      <c r="I15" s="90">
        <v>3</v>
      </c>
      <c r="K15" s="36">
        <v>13</v>
      </c>
      <c r="L15" s="95">
        <v>-1.7</v>
      </c>
      <c r="N15" s="110" t="s">
        <v>228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5">
      <c r="A16" s="51" t="s">
        <v>13</v>
      </c>
      <c r="B16" s="44">
        <v>991</v>
      </c>
      <c r="C16" s="37">
        <f>IF(B$3=0,0,B16/B$3)</f>
        <v>0.16320816864295126</v>
      </c>
      <c r="E16" s="59" t="s">
        <v>78</v>
      </c>
      <c r="F16" s="56" t="s">
        <v>33</v>
      </c>
      <c r="G16" s="44">
        <v>41</v>
      </c>
      <c r="H16" s="129">
        <f>IF(B$15=0,0,G16/B$15)</f>
        <v>2.2892238972640984E-2</v>
      </c>
      <c r="I16" s="90">
        <v>5</v>
      </c>
      <c r="K16" s="36">
        <v>14</v>
      </c>
      <c r="L16" s="95">
        <v>24.3</v>
      </c>
      <c r="N16" s="111" t="s">
        <v>197</v>
      </c>
      <c r="O16" s="121">
        <f>IF(P16=0,0,Q16/P16)</f>
        <v>17.031249999999982</v>
      </c>
      <c r="P16" s="115">
        <v>96</v>
      </c>
      <c r="Q16" s="103">
        <v>1634.9999999999984</v>
      </c>
    </row>
    <row r="17" spans="1:17" x14ac:dyDescent="0.45">
      <c r="A17" s="51" t="s">
        <v>12</v>
      </c>
      <c r="B17" s="44">
        <v>792</v>
      </c>
      <c r="C17" s="37">
        <f>IF(B$15=0,0,B17/B$15)</f>
        <v>0.44221105527638194</v>
      </c>
      <c r="E17" s="59" t="s">
        <v>81</v>
      </c>
      <c r="F17" s="56" t="s">
        <v>36</v>
      </c>
      <c r="G17" s="44">
        <v>32</v>
      </c>
      <c r="H17" s="129">
        <f>IF(B$15=0,0,G17/B$15)</f>
        <v>1.7867113344500279E-2</v>
      </c>
      <c r="I17" s="90">
        <v>4</v>
      </c>
      <c r="K17" s="36">
        <v>15</v>
      </c>
      <c r="L17" s="95">
        <v>0</v>
      </c>
      <c r="N17" s="111" t="s">
        <v>161</v>
      </c>
      <c r="O17" s="121">
        <f>IF(P17=0,0,Q17/P17)</f>
        <v>12.143076923076922</v>
      </c>
      <c r="P17" s="115">
        <v>130</v>
      </c>
      <c r="Q17" s="103">
        <v>1578.6</v>
      </c>
    </row>
    <row r="18" spans="1:17" x14ac:dyDescent="0.45">
      <c r="A18" s="51" t="s">
        <v>11</v>
      </c>
      <c r="B18" s="44">
        <v>999</v>
      </c>
      <c r="C18" s="37">
        <f>IF(B$15=0,0,B18/B$15)</f>
        <v>0.55778894472361806</v>
      </c>
      <c r="E18" s="59" t="s">
        <v>79</v>
      </c>
      <c r="F18" s="56" t="s">
        <v>34</v>
      </c>
      <c r="G18" s="44">
        <v>24</v>
      </c>
      <c r="H18" s="129">
        <f>IF(B$15=0,0,G18/B$15)</f>
        <v>1.340033500837521E-2</v>
      </c>
      <c r="I18" s="90">
        <v>7</v>
      </c>
      <c r="K18" s="36">
        <v>16</v>
      </c>
      <c r="L18" s="95">
        <v>-28.2</v>
      </c>
      <c r="N18" s="111" t="s">
        <v>172</v>
      </c>
      <c r="O18" s="121">
        <f>IF(P18=0,0,Q18/P18)</f>
        <v>9.4758620689655135</v>
      </c>
      <c r="P18" s="115">
        <v>174</v>
      </c>
      <c r="Q18" s="103">
        <v>1648.7999999999993</v>
      </c>
    </row>
    <row r="19" spans="1:17" x14ac:dyDescent="0.45">
      <c r="A19" s="51" t="s">
        <v>195</v>
      </c>
      <c r="B19" s="44">
        <v>857</v>
      </c>
      <c r="C19" s="37">
        <f>IF(B$15=0,0,B19/B$15)</f>
        <v>0.47850362925739809</v>
      </c>
      <c r="E19" s="59" t="s">
        <v>91</v>
      </c>
      <c r="F19" s="56" t="s">
        <v>46</v>
      </c>
      <c r="G19" s="44">
        <v>24</v>
      </c>
      <c r="H19" s="129">
        <f>IF(B$15=0,0,G19/B$15)</f>
        <v>1.340033500837521E-2</v>
      </c>
      <c r="I19" s="90">
        <v>5</v>
      </c>
      <c r="K19" s="36">
        <v>17</v>
      </c>
      <c r="L19" s="95">
        <v>-20.5</v>
      </c>
      <c r="N19" s="111" t="s">
        <v>196</v>
      </c>
      <c r="O19" s="121">
        <f>IF(P19=0,0,Q19/P19)</f>
        <v>2.742</v>
      </c>
      <c r="P19" s="115">
        <v>50</v>
      </c>
      <c r="Q19" s="103">
        <v>137.1</v>
      </c>
    </row>
    <row r="20" spans="1:17" x14ac:dyDescent="0.45">
      <c r="A20" s="51" t="s">
        <v>193</v>
      </c>
      <c r="B20" s="44">
        <v>583</v>
      </c>
      <c r="C20" s="37">
        <f>IF(B$15=0,0,B20/B$15)</f>
        <v>0.32551647124511446</v>
      </c>
      <c r="E20" s="59" t="s">
        <v>75</v>
      </c>
      <c r="F20" s="56" t="s">
        <v>30</v>
      </c>
      <c r="G20" s="44">
        <v>13</v>
      </c>
      <c r="H20" s="129">
        <f>IF(B$15=0,0,G20/B$15)</f>
        <v>7.2585147962032385E-3</v>
      </c>
      <c r="I20" s="90">
        <v>4</v>
      </c>
      <c r="K20" s="36">
        <v>18</v>
      </c>
      <c r="L20" s="95">
        <v>0</v>
      </c>
      <c r="N20" s="111" t="s">
        <v>127</v>
      </c>
      <c r="O20" s="121">
        <f>IF(P20=0,0,Q20/P20)</f>
        <v>-1.0272727272727318</v>
      </c>
      <c r="P20" s="115">
        <v>264</v>
      </c>
      <c r="Q20" s="103">
        <v>-271.20000000000118</v>
      </c>
    </row>
    <row r="21" spans="1:17" x14ac:dyDescent="0.45">
      <c r="A21" s="51" t="s">
        <v>194</v>
      </c>
      <c r="B21" s="44">
        <v>351</v>
      </c>
      <c r="C21" s="37">
        <f>IF(B$15=0,0,B21/B$15)</f>
        <v>0.19597989949748743</v>
      </c>
      <c r="E21" s="59" t="s">
        <v>92</v>
      </c>
      <c r="F21" s="56" t="s">
        <v>47</v>
      </c>
      <c r="G21" s="44">
        <v>11</v>
      </c>
      <c r="H21" s="129">
        <f>IF(B$15=0,0,G21/B$15)</f>
        <v>6.1418202121719711E-3</v>
      </c>
      <c r="I21" s="90">
        <v>5</v>
      </c>
      <c r="K21" s="36">
        <v>19</v>
      </c>
      <c r="L21" s="95">
        <v>-22.4</v>
      </c>
      <c r="N21" s="111" t="s">
        <v>171</v>
      </c>
      <c r="O21" s="121">
        <f>IF(P21=0,0,Q21/P21)</f>
        <v>-1.4364864864864872</v>
      </c>
      <c r="P21" s="115">
        <v>222</v>
      </c>
      <c r="Q21" s="103">
        <v>-318.90000000000015</v>
      </c>
    </row>
    <row r="22" spans="1:17" x14ac:dyDescent="0.45">
      <c r="A22" s="51" t="s">
        <v>5</v>
      </c>
      <c r="B22" s="48">
        <f>IF(B$15=0,0,C22/B$15)</f>
        <v>8429.0340591848126</v>
      </c>
      <c r="C22" s="39">
        <v>15096400</v>
      </c>
      <c r="E22" s="59" t="s">
        <v>73</v>
      </c>
      <c r="F22" s="56" t="s">
        <v>28</v>
      </c>
      <c r="G22" s="44">
        <v>8</v>
      </c>
      <c r="H22" s="129">
        <f>IF(B$15=0,0,G22/B$15)</f>
        <v>4.4667783361250699E-3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-5.2544999999999966</v>
      </c>
      <c r="P22" s="115">
        <v>200</v>
      </c>
      <c r="Q22" s="103">
        <v>-1050.8999999999994</v>
      </c>
    </row>
    <row r="23" spans="1:17" x14ac:dyDescent="0.45">
      <c r="A23" s="52" t="s">
        <v>177</v>
      </c>
      <c r="B23" s="136">
        <f>IF($B$15-B$14=0,0,C23/($B$15-B$14))</f>
        <v>9065.3145695364237</v>
      </c>
      <c r="C23" s="137">
        <v>10950900</v>
      </c>
      <c r="E23" s="59" t="s">
        <v>84</v>
      </c>
      <c r="F23" s="56" t="s">
        <v>39</v>
      </c>
      <c r="G23" s="44">
        <v>7</v>
      </c>
      <c r="H23" s="129">
        <f>IF(B$15=0,0,G23/B$15)</f>
        <v>3.9084310441094361E-3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-11.604729729729723</v>
      </c>
      <c r="P23" s="115">
        <v>296</v>
      </c>
      <c r="Q23" s="103">
        <v>-3434.9999999999982</v>
      </c>
    </row>
    <row r="24" spans="1:17" x14ac:dyDescent="0.45">
      <c r="A24" s="52" t="s">
        <v>178</v>
      </c>
      <c r="B24" s="136">
        <f>IF(B$14=0,0,C24/B$14)</f>
        <v>7110.6346483704974</v>
      </c>
      <c r="C24" s="137">
        <v>4145500</v>
      </c>
      <c r="E24" s="59" t="s">
        <v>85</v>
      </c>
      <c r="F24" s="56" t="s">
        <v>40</v>
      </c>
      <c r="G24" s="44">
        <v>7</v>
      </c>
      <c r="H24" s="129">
        <f>IF(B$15=0,0,G24/B$15)</f>
        <v>3.9084310441094361E-3</v>
      </c>
      <c r="I24" s="90">
        <v>6</v>
      </c>
      <c r="K24" s="36">
        <v>22</v>
      </c>
      <c r="L24" s="95">
        <v>-25.099999999999994</v>
      </c>
      <c r="N24" s="111" t="s">
        <v>203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5">
      <c r="A25" s="52" t="s">
        <v>176</v>
      </c>
      <c r="B25" s="136">
        <f>IF(B$16=0,0,C25/B$16)</f>
        <v>-7752.2704339051461</v>
      </c>
      <c r="C25" s="137">
        <v>-7682500</v>
      </c>
      <c r="E25" s="59" t="s">
        <v>74</v>
      </c>
      <c r="F25" s="56" t="s">
        <v>29</v>
      </c>
      <c r="G25" s="44">
        <v>6</v>
      </c>
      <c r="H25" s="129">
        <f>IF(B$15=0,0,G25/B$15)</f>
        <v>3.3500837520938024E-3</v>
      </c>
      <c r="I25" s="90">
        <v>5</v>
      </c>
      <c r="K25" s="36">
        <v>23</v>
      </c>
      <c r="L25" s="95">
        <v>-26.799999999999994</v>
      </c>
      <c r="N25" s="111" t="s">
        <v>274</v>
      </c>
      <c r="O25" s="121">
        <f>IF(P25=0,0,Q25/P25)</f>
        <v>-19.912500000000001</v>
      </c>
      <c r="P25" s="115">
        <v>8</v>
      </c>
      <c r="Q25" s="103">
        <v>-159.30000000000001</v>
      </c>
    </row>
    <row r="26" spans="1:17" x14ac:dyDescent="0.45">
      <c r="A26" s="51" t="s">
        <v>164</v>
      </c>
      <c r="B26" s="44">
        <v>7</v>
      </c>
      <c r="C26" s="131">
        <v>2</v>
      </c>
      <c r="E26" s="59" t="s">
        <v>77</v>
      </c>
      <c r="F26" s="56" t="s">
        <v>32</v>
      </c>
      <c r="G26" s="44">
        <v>5</v>
      </c>
      <c r="H26" s="129">
        <f>IF(B$15=0,0,G26/B$15)</f>
        <v>2.7917364600781687E-3</v>
      </c>
      <c r="I26" s="90">
        <v>4</v>
      </c>
      <c r="K26" s="36">
        <v>24</v>
      </c>
      <c r="L26" s="95">
        <v>7.1054273576010019E-15</v>
      </c>
    </row>
    <row r="27" spans="1:17" x14ac:dyDescent="0.45">
      <c r="A27" s="51" t="s">
        <v>165</v>
      </c>
      <c r="B27" s="44">
        <v>31</v>
      </c>
      <c r="C27" s="131">
        <v>2</v>
      </c>
      <c r="E27" s="59" t="s">
        <v>88</v>
      </c>
      <c r="F27" s="56" t="s">
        <v>43</v>
      </c>
      <c r="G27" s="44">
        <v>5</v>
      </c>
      <c r="H27" s="129">
        <f>IF(B$15=0,0,G27/B$15)</f>
        <v>2.7917364600781687E-3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52">
        <v>8</v>
      </c>
      <c r="C28" s="153"/>
      <c r="E28" s="59" t="s">
        <v>90</v>
      </c>
      <c r="F28" s="56" t="s">
        <v>45</v>
      </c>
      <c r="G28" s="44">
        <v>4</v>
      </c>
      <c r="H28" s="129">
        <f>IF(B$15=0,0,G28/B$15)</f>
        <v>2.2333891680625349E-3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50">
        <v>149100</v>
      </c>
      <c r="C29" s="151"/>
      <c r="E29" s="59" t="s">
        <v>95</v>
      </c>
      <c r="F29" s="56" t="s">
        <v>50</v>
      </c>
      <c r="G29" s="44">
        <v>4</v>
      </c>
      <c r="H29" s="129">
        <f>IF(B$15=0,0,G29/B$15)</f>
        <v>2.2333891680625349E-3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16</v>
      </c>
      <c r="C30" s="40">
        <f>IF(B$3=0,0,B30/B$3)</f>
        <v>2.635046113306983E-3</v>
      </c>
      <c r="E30" s="59" t="s">
        <v>93</v>
      </c>
      <c r="F30" s="56" t="s">
        <v>48</v>
      </c>
      <c r="G30" s="44">
        <v>3</v>
      </c>
      <c r="H30" s="129">
        <f>IF(B$15=0,0,G30/B$15)</f>
        <v>1.6750418760469012E-3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87</v>
      </c>
      <c r="F31" s="56" t="s">
        <v>42</v>
      </c>
      <c r="G31" s="44">
        <v>2</v>
      </c>
      <c r="H31" s="129">
        <f>IF(B$15=0,0,G31/B$15)</f>
        <v>1.1166945840312675E-3</v>
      </c>
      <c r="I31" s="90">
        <v>3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136</v>
      </c>
      <c r="C32" s="141">
        <f>IF(B$15=0,0,B32/B$15)</f>
        <v>7.5935231714126181E-2</v>
      </c>
      <c r="E32" s="59" t="s">
        <v>97</v>
      </c>
      <c r="F32" s="56" t="s">
        <v>52</v>
      </c>
      <c r="G32" s="44">
        <v>1</v>
      </c>
      <c r="H32" s="129">
        <f>IF(B$15=0,0,G32/B$15)</f>
        <v>5.5834729201563373E-4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301</v>
      </c>
      <c r="C33" s="37">
        <f t="shared" ref="C33:C44" si="2">IF(B$15=0,0,B33/B$15)</f>
        <v>0.16806253489670575</v>
      </c>
      <c r="E33" s="59" t="s">
        <v>101</v>
      </c>
      <c r="F33" s="56" t="s">
        <v>56</v>
      </c>
      <c r="G33" s="44">
        <v>1</v>
      </c>
      <c r="H33" s="129">
        <f>IF(B$15=0,0,G33/B$15)</f>
        <v>5.5834729201563373E-4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353</v>
      </c>
      <c r="C34" s="37">
        <f>IF(B$15=0,0,B34/B$15)</f>
        <v>0.19709659408151869</v>
      </c>
      <c r="E34" s="59" t="s">
        <v>106</v>
      </c>
      <c r="F34" s="56" t="s">
        <v>113</v>
      </c>
      <c r="G34" s="44">
        <v>1</v>
      </c>
      <c r="H34" s="129">
        <f>IF(B$15=0,0,G34/B$15)</f>
        <v>5.5834729201563373E-4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316</v>
      </c>
      <c r="C35" s="37">
        <f t="shared" si="2"/>
        <v>0.17643774427694026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287</v>
      </c>
      <c r="C36" s="37">
        <f t="shared" si="2"/>
        <v>0.16024567280848687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189</v>
      </c>
      <c r="C37" s="37">
        <f t="shared" si="2"/>
        <v>0.10552763819095477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96</v>
      </c>
      <c r="C38" s="37">
        <f t="shared" si="2"/>
        <v>5.3601340033500838E-2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52</v>
      </c>
      <c r="C39" s="37">
        <f t="shared" si="2"/>
        <v>2.9034059184812954E-2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21</v>
      </c>
      <c r="C40" s="37">
        <f t="shared" si="2"/>
        <v>1.1725293132328308E-2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7</v>
      </c>
      <c r="C41" s="37">
        <f t="shared" si="2"/>
        <v>3.9084310441094361E-3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3.3500837520938024E-3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3.3500837520938024E-3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21</v>
      </c>
      <c r="C44" s="40">
        <f t="shared" si="2"/>
        <v>1.1725293132328308E-2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00CF-74A8-42FF-AB0B-83A1F20C2F6E}">
  <sheetPr codeName="Sheet7"/>
  <dimension ref="A1:Q6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161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65</v>
      </c>
      <c r="C2" s="159"/>
      <c r="E2" s="58" t="s">
        <v>66</v>
      </c>
      <c r="F2" s="55" t="s">
        <v>22</v>
      </c>
      <c r="G2" s="43">
        <v>116</v>
      </c>
      <c r="H2" s="128">
        <f>IF(B$15=0,0,G2/B$15)</f>
        <v>0.75324675324675328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1363.0769230769231</v>
      </c>
      <c r="P2" s="114">
        <v>65</v>
      </c>
      <c r="Q2" s="98">
        <v>88600</v>
      </c>
    </row>
    <row r="3" spans="1:17" x14ac:dyDescent="0.45">
      <c r="A3" s="51" t="s">
        <v>8</v>
      </c>
      <c r="B3" s="160">
        <v>577</v>
      </c>
      <c r="C3" s="161"/>
      <c r="E3" s="59" t="s">
        <v>72</v>
      </c>
      <c r="F3" s="56" t="s">
        <v>27</v>
      </c>
      <c r="G3" s="44">
        <v>87</v>
      </c>
      <c r="H3" s="129">
        <f>IF(B$15=0,0,G3/B$15)</f>
        <v>0.56493506493506496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-2112.5</v>
      </c>
      <c r="P3" s="115">
        <v>64</v>
      </c>
      <c r="Q3" s="99">
        <v>-135200</v>
      </c>
    </row>
    <row r="4" spans="1:17" x14ac:dyDescent="0.45">
      <c r="A4" s="51" t="s">
        <v>6</v>
      </c>
      <c r="B4" s="162">
        <v>-526.20000000000016</v>
      </c>
      <c r="C4" s="163"/>
      <c r="E4" s="59" t="s">
        <v>166</v>
      </c>
      <c r="F4" s="56" t="s">
        <v>167</v>
      </c>
      <c r="G4" s="44">
        <v>63</v>
      </c>
      <c r="H4" s="129">
        <f>IF(B$15=0,0,G4/B$15)</f>
        <v>0.40909090909090912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-1511.2903225806451</v>
      </c>
      <c r="P4" s="115">
        <v>62</v>
      </c>
      <c r="Q4" s="99">
        <v>-93700</v>
      </c>
    </row>
    <row r="5" spans="1:17" x14ac:dyDescent="0.45">
      <c r="A5" s="51" t="s">
        <v>7</v>
      </c>
      <c r="B5" s="164">
        <f>IF(B$2=0,0,B$4/B$2)</f>
        <v>-8.0953846153846172</v>
      </c>
      <c r="C5" s="165"/>
      <c r="E5" s="59" t="s">
        <v>64</v>
      </c>
      <c r="F5" s="56" t="s">
        <v>20</v>
      </c>
      <c r="G5" s="44">
        <v>41</v>
      </c>
      <c r="H5" s="129">
        <f>IF(B$15=0,0,G5/B$15)</f>
        <v>0.26623376623376621</v>
      </c>
      <c r="I5" s="90">
        <v>12</v>
      </c>
      <c r="K5" s="36">
        <v>3</v>
      </c>
      <c r="L5" s="95">
        <v>-8.3000000000000007</v>
      </c>
      <c r="N5" s="111" t="s">
        <v>133</v>
      </c>
      <c r="O5" s="118">
        <f t="shared" si="0"/>
        <v>-1355.1724137931035</v>
      </c>
      <c r="P5" s="115">
        <v>58</v>
      </c>
      <c r="Q5" s="99">
        <v>-78600</v>
      </c>
    </row>
    <row r="6" spans="1:17" x14ac:dyDescent="0.45">
      <c r="A6" s="51" t="s">
        <v>1</v>
      </c>
      <c r="B6" s="154">
        <f>IF(B$2=0,0,(B$7*1+B$8*2+B$9*3)/B$2)</f>
        <v>2.1846153846153844</v>
      </c>
      <c r="C6" s="155"/>
      <c r="E6" s="59" t="s">
        <v>68</v>
      </c>
      <c r="F6" s="56" t="s">
        <v>12</v>
      </c>
      <c r="G6" s="44">
        <v>39</v>
      </c>
      <c r="H6" s="129">
        <f>IF(B$15=0,0,G6/B$15)</f>
        <v>0.25324675324675322</v>
      </c>
      <c r="I6" s="90">
        <v>9</v>
      </c>
      <c r="K6" s="36">
        <v>4</v>
      </c>
      <c r="L6" s="95">
        <v>-30.7</v>
      </c>
      <c r="N6" s="111" t="s">
        <v>134</v>
      </c>
      <c r="O6" s="118">
        <f t="shared" si="0"/>
        <v>-221.05263157894737</v>
      </c>
      <c r="P6" s="115">
        <v>57</v>
      </c>
      <c r="Q6" s="99">
        <v>-12600</v>
      </c>
    </row>
    <row r="7" spans="1:17" x14ac:dyDescent="0.45">
      <c r="A7" s="51" t="s">
        <v>2</v>
      </c>
      <c r="B7" s="44">
        <v>20</v>
      </c>
      <c r="C7" s="37">
        <f t="shared" ref="C7:C10" si="1">IF(B$2=0,0,B7/B$2)</f>
        <v>0.30769230769230771</v>
      </c>
      <c r="E7" s="59" t="s">
        <v>69</v>
      </c>
      <c r="F7" s="56" t="s">
        <v>24</v>
      </c>
      <c r="G7" s="44">
        <v>30</v>
      </c>
      <c r="H7" s="129">
        <f>IF(B$15=0,0,G7/B$15)</f>
        <v>0.19480519480519481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-2379.591836734694</v>
      </c>
      <c r="P7" s="116">
        <v>49</v>
      </c>
      <c r="Q7" s="100">
        <v>-116600</v>
      </c>
    </row>
    <row r="8" spans="1:17" x14ac:dyDescent="0.45">
      <c r="A8" s="51" t="s">
        <v>3</v>
      </c>
      <c r="B8" s="44">
        <v>13</v>
      </c>
      <c r="C8" s="37">
        <f t="shared" si="1"/>
        <v>0.2</v>
      </c>
      <c r="E8" s="59" t="s">
        <v>67</v>
      </c>
      <c r="F8" s="56" t="s">
        <v>23</v>
      </c>
      <c r="G8" s="44">
        <v>23</v>
      </c>
      <c r="H8" s="129">
        <f>IF(B$15=0,0,G8/B$15)</f>
        <v>0.14935064935064934</v>
      </c>
      <c r="I8" s="90">
        <v>12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32</v>
      </c>
      <c r="C9" s="38">
        <f t="shared" si="1"/>
        <v>0.49230769230769234</v>
      </c>
      <c r="E9" s="59" t="s">
        <v>70</v>
      </c>
      <c r="F9" s="56" t="s">
        <v>25</v>
      </c>
      <c r="G9" s="44">
        <v>19</v>
      </c>
      <c r="H9" s="129">
        <f>IF(B$15=0,0,G9/B$15)</f>
        <v>0.12337662337662338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7.6923076923076927E-2</v>
      </c>
      <c r="E10" s="59" t="s">
        <v>71</v>
      </c>
      <c r="F10" s="56" t="s">
        <v>26</v>
      </c>
      <c r="G10" s="44">
        <v>16</v>
      </c>
      <c r="H10" s="129">
        <f>IF(B$15=0,0,G10/B$15)</f>
        <v>0.1038961038961039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-12.975999999999999</v>
      </c>
      <c r="P10" s="114">
        <v>25</v>
      </c>
      <c r="Q10" s="102">
        <v>-324.39999999999998</v>
      </c>
    </row>
    <row r="11" spans="1:17" x14ac:dyDescent="0.45">
      <c r="A11" s="54" t="s">
        <v>121</v>
      </c>
      <c r="B11" s="47">
        <v>84</v>
      </c>
      <c r="C11" s="42">
        <f>IF(B$3=0,0,B11/B$3)</f>
        <v>0.14558058925476602</v>
      </c>
      <c r="E11" s="59" t="s">
        <v>83</v>
      </c>
      <c r="F11" s="56" t="s">
        <v>38</v>
      </c>
      <c r="G11" s="44">
        <v>13</v>
      </c>
      <c r="H11" s="129">
        <f>IF(B$15=0,0,G11/B$15)</f>
        <v>8.4415584415584416E-2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-8.1105263157894729</v>
      </c>
      <c r="P11" s="115">
        <v>19</v>
      </c>
      <c r="Q11" s="103">
        <v>-154.1</v>
      </c>
    </row>
    <row r="12" spans="1:17" x14ac:dyDescent="0.45">
      <c r="A12" s="51" t="s">
        <v>118</v>
      </c>
      <c r="B12" s="44">
        <v>141</v>
      </c>
      <c r="C12" s="37">
        <f>IF(B$3=0,0,B12/B$3)</f>
        <v>0.24436741767764297</v>
      </c>
      <c r="E12" s="59" t="s">
        <v>65</v>
      </c>
      <c r="F12" s="56" t="s">
        <v>21</v>
      </c>
      <c r="G12" s="44">
        <v>9</v>
      </c>
      <c r="H12" s="129">
        <f>IF(B$15=0,0,G12/B$15)</f>
        <v>5.844155844155844E-2</v>
      </c>
      <c r="I12" s="90">
        <v>11</v>
      </c>
      <c r="K12" s="36">
        <v>10</v>
      </c>
      <c r="L12" s="95">
        <v>-32.700000000000003</v>
      </c>
      <c r="N12" s="112" t="s">
        <v>159</v>
      </c>
      <c r="O12" s="122">
        <f>IF(P12=0,0,Q12/P12)</f>
        <v>-2.2714285714285709</v>
      </c>
      <c r="P12" s="116">
        <v>21</v>
      </c>
      <c r="Q12" s="104">
        <v>-47.699999999999989</v>
      </c>
    </row>
    <row r="13" spans="1:17" x14ac:dyDescent="0.45">
      <c r="A13" s="50" t="s">
        <v>123</v>
      </c>
      <c r="B13" s="43">
        <f>B19</f>
        <v>42</v>
      </c>
      <c r="C13" s="35">
        <f>IF(B$11=0,0,B13/B$11)</f>
        <v>0.5</v>
      </c>
      <c r="E13" s="59" t="s">
        <v>89</v>
      </c>
      <c r="F13" s="56" t="s">
        <v>44</v>
      </c>
      <c r="G13" s="44">
        <v>9</v>
      </c>
      <c r="H13" s="129">
        <f>IF(B$15=0,0,G13/B$15)</f>
        <v>5.844155844155844E-2</v>
      </c>
      <c r="I13" s="90">
        <v>12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57</v>
      </c>
      <c r="C14" s="35">
        <f>IF(B$12=0,0,B14/B$12)</f>
        <v>0.40425531914893614</v>
      </c>
      <c r="E14" s="59" t="s">
        <v>81</v>
      </c>
      <c r="F14" s="56" t="s">
        <v>36</v>
      </c>
      <c r="G14" s="44">
        <v>5</v>
      </c>
      <c r="H14" s="129">
        <f>IF(B$15=0,0,G14/B$15)</f>
        <v>3.2467532467532464E-2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154</v>
      </c>
      <c r="C15" s="35">
        <f>IF(B$3=0,0,B15/B$3)</f>
        <v>0.26689774696707108</v>
      </c>
      <c r="E15" s="59" t="s">
        <v>86</v>
      </c>
      <c r="F15" s="56" t="s">
        <v>41</v>
      </c>
      <c r="G15" s="44">
        <v>5</v>
      </c>
      <c r="H15" s="129">
        <f>IF(B$15=0,0,G15/B$15)</f>
        <v>3.2467532467532464E-2</v>
      </c>
      <c r="I15" s="90">
        <v>10</v>
      </c>
      <c r="K15" s="36">
        <v>13</v>
      </c>
      <c r="L15" s="95">
        <v>-66.2</v>
      </c>
      <c r="N15" s="110" t="s">
        <v>196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5">
      <c r="A16" s="51" t="s">
        <v>13</v>
      </c>
      <c r="B16" s="44">
        <v>93</v>
      </c>
      <c r="C16" s="37">
        <f>IF(B$3=0,0,B16/B$3)</f>
        <v>0.16117850953206239</v>
      </c>
      <c r="E16" s="59" t="s">
        <v>79</v>
      </c>
      <c r="F16" s="56" t="s">
        <v>34</v>
      </c>
      <c r="G16" s="44">
        <v>3</v>
      </c>
      <c r="H16" s="129">
        <f>IF(B$15=0,0,G16/B$15)</f>
        <v>1.948051948051948E-2</v>
      </c>
      <c r="I16" s="90">
        <v>4</v>
      </c>
      <c r="K16" s="36">
        <v>14</v>
      </c>
      <c r="L16" s="95">
        <v>-51.1</v>
      </c>
      <c r="N16" s="111" t="s">
        <v>171</v>
      </c>
      <c r="O16" s="121">
        <f t="shared" si="2"/>
        <v>-3.9454545454545453</v>
      </c>
      <c r="P16" s="115">
        <v>22</v>
      </c>
      <c r="Q16" s="103">
        <v>-86.8</v>
      </c>
    </row>
    <row r="17" spans="1:17" x14ac:dyDescent="0.45">
      <c r="A17" s="51" t="s">
        <v>12</v>
      </c>
      <c r="B17" s="44">
        <v>59</v>
      </c>
      <c r="C17" s="37">
        <f>IF(B$15=0,0,B17/B$15)</f>
        <v>0.38311688311688313</v>
      </c>
      <c r="E17" s="59" t="s">
        <v>91</v>
      </c>
      <c r="F17" s="56" t="s">
        <v>46</v>
      </c>
      <c r="G17" s="44">
        <v>3</v>
      </c>
      <c r="H17" s="129">
        <f>IF(B$15=0,0,G17/B$15)</f>
        <v>1.948051948051948E-2</v>
      </c>
      <c r="I17" s="90">
        <v>3</v>
      </c>
      <c r="K17" s="36">
        <v>15</v>
      </c>
      <c r="L17" s="95">
        <v>-65.2</v>
      </c>
      <c r="N17" s="111" t="s">
        <v>127</v>
      </c>
      <c r="O17" s="121">
        <f t="shared" si="2"/>
        <v>-4.1851851851851869</v>
      </c>
      <c r="P17" s="115">
        <v>27</v>
      </c>
      <c r="Q17" s="103">
        <v>-113.00000000000004</v>
      </c>
    </row>
    <row r="18" spans="1:17" x14ac:dyDescent="0.45">
      <c r="A18" s="51" t="s">
        <v>11</v>
      </c>
      <c r="B18" s="44">
        <v>95</v>
      </c>
      <c r="C18" s="37">
        <f>IF(B$15=0,0,B18/B$15)</f>
        <v>0.61688311688311692</v>
      </c>
      <c r="E18" s="59" t="s">
        <v>88</v>
      </c>
      <c r="F18" s="56" t="s">
        <v>43</v>
      </c>
      <c r="G18" s="44">
        <v>2</v>
      </c>
      <c r="H18" s="129">
        <f>IF(B$15=0,0,G18/B$15)</f>
        <v>1.2987012987012988E-2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-8.6066666666666709</v>
      </c>
      <c r="P18" s="115">
        <v>15</v>
      </c>
      <c r="Q18" s="103">
        <v>-129.10000000000005</v>
      </c>
    </row>
    <row r="19" spans="1:17" x14ac:dyDescent="0.45">
      <c r="A19" s="51" t="s">
        <v>195</v>
      </c>
      <c r="B19" s="44">
        <v>42</v>
      </c>
      <c r="C19" s="37">
        <f>IF(B$15=0,0,B19/B$15)</f>
        <v>0.27272727272727271</v>
      </c>
      <c r="E19" s="59" t="s">
        <v>74</v>
      </c>
      <c r="F19" s="56" t="s">
        <v>29</v>
      </c>
      <c r="G19" s="44">
        <v>1</v>
      </c>
      <c r="H19" s="129">
        <f>IF(B$15=0,0,G19/B$15)</f>
        <v>6.4935064935064939E-3</v>
      </c>
      <c r="I19" s="90">
        <v>2</v>
      </c>
      <c r="K19" s="36">
        <v>17</v>
      </c>
      <c r="L19" s="95">
        <v>-65.2</v>
      </c>
      <c r="N19" s="111" t="s">
        <v>126</v>
      </c>
      <c r="O19" s="121">
        <f t="shared" si="2"/>
        <v>-10.394117647058824</v>
      </c>
      <c r="P19" s="115">
        <v>34</v>
      </c>
      <c r="Q19" s="103">
        <v>-353.40000000000003</v>
      </c>
    </row>
    <row r="20" spans="1:17" x14ac:dyDescent="0.45">
      <c r="A20" s="51" t="s">
        <v>193</v>
      </c>
      <c r="B20" s="44">
        <v>57</v>
      </c>
      <c r="C20" s="37">
        <f>IF(B$15=0,0,B20/B$15)</f>
        <v>0.37012987012987014</v>
      </c>
      <c r="E20" s="59" t="s">
        <v>75</v>
      </c>
      <c r="F20" s="56" t="s">
        <v>30</v>
      </c>
      <c r="G20" s="44">
        <v>1</v>
      </c>
      <c r="H20" s="129">
        <f>IF(B$15=0,0,G20/B$15)</f>
        <v>6.4935064935064939E-3</v>
      </c>
      <c r="I20" s="90">
        <v>5</v>
      </c>
      <c r="K20" s="36">
        <v>18</v>
      </c>
      <c r="L20" s="95">
        <v>-80.2</v>
      </c>
      <c r="N20" s="111" t="s">
        <v>197</v>
      </c>
      <c r="O20" s="121">
        <f t="shared" si="2"/>
        <v>-34.137499999999996</v>
      </c>
      <c r="P20" s="115">
        <v>8</v>
      </c>
      <c r="Q20" s="103">
        <v>-273.09999999999997</v>
      </c>
    </row>
    <row r="21" spans="1:17" x14ac:dyDescent="0.45">
      <c r="A21" s="51" t="s">
        <v>194</v>
      </c>
      <c r="B21" s="44">
        <v>55</v>
      </c>
      <c r="C21" s="37">
        <f>IF(B$15=0,0,B21/B$15)</f>
        <v>0.35714285714285715</v>
      </c>
      <c r="E21" s="59" t="s">
        <v>77</v>
      </c>
      <c r="F21" s="56" t="s">
        <v>32</v>
      </c>
      <c r="G21" s="44">
        <v>1</v>
      </c>
      <c r="H21" s="129">
        <f>IF(B$15=0,0,G21/B$15)</f>
        <v>6.4935064935064939E-3</v>
      </c>
      <c r="I21" s="90">
        <v>2</v>
      </c>
      <c r="K21" s="36">
        <v>19</v>
      </c>
      <c r="L21" s="95">
        <v>-115.1</v>
      </c>
      <c r="N21" s="111" t="s">
        <v>170</v>
      </c>
      <c r="O21" s="121">
        <f t="shared" si="2"/>
        <v>-37.1</v>
      </c>
      <c r="P21" s="115">
        <v>18</v>
      </c>
      <c r="Q21" s="103">
        <v>-667.80000000000007</v>
      </c>
    </row>
    <row r="22" spans="1:17" x14ac:dyDescent="0.45">
      <c r="A22" s="51" t="s">
        <v>5</v>
      </c>
      <c r="B22" s="48">
        <f>IF(B$15=0,0,C22/B$15)</f>
        <v>7048.7012987012986</v>
      </c>
      <c r="C22" s="39">
        <v>1085500</v>
      </c>
      <c r="E22" s="59" t="s">
        <v>78</v>
      </c>
      <c r="F22" s="56" t="s">
        <v>33</v>
      </c>
      <c r="G22" s="44">
        <v>1</v>
      </c>
      <c r="H22" s="129">
        <f>IF(B$15=0,0,G22/B$15)</f>
        <v>6.4935064935064939E-3</v>
      </c>
      <c r="I22" s="90">
        <v>9</v>
      </c>
      <c r="K22" s="36">
        <v>20</v>
      </c>
      <c r="L22" s="95">
        <v>-88.8</v>
      </c>
    </row>
    <row r="23" spans="1:17" x14ac:dyDescent="0.45">
      <c r="A23" s="52" t="s">
        <v>177</v>
      </c>
      <c r="B23" s="136">
        <f>IF($B$15-B$14=0,0,C23/($B$15-B$14))</f>
        <v>7475.2577319587626</v>
      </c>
      <c r="C23" s="137">
        <v>725100</v>
      </c>
      <c r="E23" s="59" t="s">
        <v>84</v>
      </c>
      <c r="F23" s="56" t="s">
        <v>39</v>
      </c>
      <c r="G23" s="44">
        <v>1</v>
      </c>
      <c r="H23" s="129">
        <f>IF(B$15=0,0,G23/B$15)</f>
        <v>6.4935064935064939E-3</v>
      </c>
      <c r="I23" s="90">
        <v>3</v>
      </c>
      <c r="K23" s="36">
        <v>21</v>
      </c>
      <c r="L23" s="95">
        <v>-111.4</v>
      </c>
    </row>
    <row r="24" spans="1:17" x14ac:dyDescent="0.45">
      <c r="A24" s="52" t="s">
        <v>178</v>
      </c>
      <c r="B24" s="136">
        <f>IF(B$14=0,0,C24/B$14)</f>
        <v>6322.8070175438597</v>
      </c>
      <c r="C24" s="137">
        <v>360400</v>
      </c>
      <c r="E24" s="59" t="s">
        <v>93</v>
      </c>
      <c r="F24" s="56" t="s">
        <v>48</v>
      </c>
      <c r="G24" s="44">
        <v>1</v>
      </c>
      <c r="H24" s="129">
        <f>IF(B$15=0,0,G24/B$15)</f>
        <v>6.4935064935064939E-3</v>
      </c>
      <c r="I24" s="90">
        <v>1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-7673.1182795698924</v>
      </c>
      <c r="C25" s="137">
        <v>-713600</v>
      </c>
      <c r="E25" s="59" t="s">
        <v>73</v>
      </c>
      <c r="F25" s="56" t="s">
        <v>28</v>
      </c>
      <c r="G25" s="44">
        <v>0</v>
      </c>
      <c r="H25" s="129">
        <f>IF(B$15=0,0,G25/B$15)</f>
        <v>0</v>
      </c>
      <c r="I25" s="90">
        <v>5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2</v>
      </c>
      <c r="E26" s="59" t="s">
        <v>76</v>
      </c>
      <c r="F26" s="56" t="s">
        <v>31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9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52">
        <v>6</v>
      </c>
      <c r="C28" s="153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50">
        <v>86900</v>
      </c>
      <c r="C29" s="151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3.4662045060658577E-3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21</v>
      </c>
      <c r="C32" s="141">
        <f>IF(B$15=0,0,B32/B$15)</f>
        <v>0.13636363636363635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33</v>
      </c>
      <c r="C33" s="37">
        <f t="shared" ref="C33:C44" si="3">IF(B$15=0,0,B33/B$15)</f>
        <v>0.21428571428571427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31</v>
      </c>
      <c r="C34" s="37">
        <f>IF(B$15=0,0,B34/B$15)</f>
        <v>0.20129870129870131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23</v>
      </c>
      <c r="C35" s="37">
        <f t="shared" si="3"/>
        <v>0.14935064935064934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17</v>
      </c>
      <c r="C36" s="37">
        <f t="shared" si="3"/>
        <v>0.11038961038961038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14</v>
      </c>
      <c r="C37" s="37">
        <f t="shared" si="3"/>
        <v>9.0909090909090912E-2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9</v>
      </c>
      <c r="C38" s="37">
        <f t="shared" si="3"/>
        <v>5.844155844155844E-2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5</v>
      </c>
      <c r="C39" s="37">
        <f t="shared" si="3"/>
        <v>3.2467532467532464E-2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1</v>
      </c>
      <c r="C44" s="40">
        <f t="shared" si="3"/>
        <v>6.4935064935064939E-3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</sheetData>
  <sortState xmlns:xlrd2="http://schemas.microsoft.com/office/spreadsheetml/2017/richdata2" ref="E2:I6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2E6D-5883-48B0-9AA0-7279938E402B}">
  <sheetPr codeName="Sheet9"/>
  <dimension ref="A1:Q15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126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148</v>
      </c>
      <c r="C2" s="159"/>
      <c r="E2" s="58" t="s">
        <v>66</v>
      </c>
      <c r="F2" s="55" t="s">
        <v>22</v>
      </c>
      <c r="G2" s="43">
        <v>274</v>
      </c>
      <c r="H2" s="128">
        <f>IF(B$15=0,0,G2/B$15)</f>
        <v>0.66343825665859568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1136.7346938775511</v>
      </c>
      <c r="P2" s="114">
        <v>147</v>
      </c>
      <c r="Q2" s="98">
        <v>167100</v>
      </c>
    </row>
    <row r="3" spans="1:17" x14ac:dyDescent="0.45">
      <c r="A3" s="51" t="s">
        <v>8</v>
      </c>
      <c r="B3" s="160">
        <v>1210</v>
      </c>
      <c r="C3" s="161"/>
      <c r="E3" s="59" t="s">
        <v>72</v>
      </c>
      <c r="F3" s="56" t="s">
        <v>27</v>
      </c>
      <c r="G3" s="44">
        <v>211</v>
      </c>
      <c r="H3" s="129">
        <f>IF(B$15=0,0,G3/B$15)</f>
        <v>0.51089588377723971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876.38888888888891</v>
      </c>
      <c r="P3" s="115">
        <v>144</v>
      </c>
      <c r="Q3" s="99">
        <v>126200</v>
      </c>
    </row>
    <row r="4" spans="1:17" x14ac:dyDescent="0.45">
      <c r="A4" s="51" t="s">
        <v>6</v>
      </c>
      <c r="B4" s="162">
        <v>1145.0000000000002</v>
      </c>
      <c r="C4" s="163"/>
      <c r="E4" s="59" t="s">
        <v>64</v>
      </c>
      <c r="F4" s="56" t="s">
        <v>20</v>
      </c>
      <c r="G4" s="44">
        <v>185</v>
      </c>
      <c r="H4" s="129">
        <f>IF(B$15=0,0,G4/B$15)</f>
        <v>0.44794188861985473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844.20289855072463</v>
      </c>
      <c r="P4" s="115">
        <v>138</v>
      </c>
      <c r="Q4" s="99">
        <v>116500</v>
      </c>
    </row>
    <row r="5" spans="1:17" x14ac:dyDescent="0.45">
      <c r="A5" s="51" t="s">
        <v>7</v>
      </c>
      <c r="B5" s="164">
        <f>IF(B$2=0,0,B$4/B$2)</f>
        <v>7.7364864864864877</v>
      </c>
      <c r="C5" s="165"/>
      <c r="E5" s="59" t="s">
        <v>166</v>
      </c>
      <c r="F5" s="56" t="s">
        <v>167</v>
      </c>
      <c r="G5" s="44">
        <v>159</v>
      </c>
      <c r="H5" s="129">
        <f>IF(B$15=0,0,G5/B$15)</f>
        <v>0.38498789346246975</v>
      </c>
      <c r="I5" s="90">
        <v>6</v>
      </c>
      <c r="K5" s="36">
        <v>3</v>
      </c>
      <c r="L5" s="95">
        <v>40.400000000000006</v>
      </c>
      <c r="N5" s="111" t="s">
        <v>133</v>
      </c>
      <c r="O5" s="118">
        <f t="shared" si="0"/>
        <v>111.71875</v>
      </c>
      <c r="P5" s="115">
        <v>128</v>
      </c>
      <c r="Q5" s="99">
        <v>14300</v>
      </c>
    </row>
    <row r="6" spans="1:17" x14ac:dyDescent="0.45">
      <c r="A6" s="51" t="s">
        <v>1</v>
      </c>
      <c r="B6" s="154">
        <f>IF(B$2=0,0,(B$7*1+B$8*2+B$9*3)/B$2)</f>
        <v>1.8175675675675675</v>
      </c>
      <c r="C6" s="155"/>
      <c r="E6" s="59" t="s">
        <v>68</v>
      </c>
      <c r="F6" s="56" t="s">
        <v>12</v>
      </c>
      <c r="G6" s="44">
        <v>118</v>
      </c>
      <c r="H6" s="129">
        <f>IF(B$15=0,0,G6/B$15)</f>
        <v>0.2857142857142857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1961.0169491525423</v>
      </c>
      <c r="P6" s="115">
        <v>118</v>
      </c>
      <c r="Q6" s="99">
        <v>231400</v>
      </c>
    </row>
    <row r="7" spans="1:17" x14ac:dyDescent="0.45">
      <c r="A7" s="51" t="s">
        <v>2</v>
      </c>
      <c r="B7" s="44">
        <v>66</v>
      </c>
      <c r="C7" s="37">
        <f t="shared" ref="C7:C10" si="1">IF(B$2=0,0,B7/B$2)</f>
        <v>0.44594594594594594</v>
      </c>
      <c r="E7" s="59" t="s">
        <v>67</v>
      </c>
      <c r="F7" s="56" t="s">
        <v>23</v>
      </c>
      <c r="G7" s="44">
        <v>105</v>
      </c>
      <c r="H7" s="129">
        <f>IF(B$15=0,0,G7/B$15)</f>
        <v>0.25423728813559321</v>
      </c>
      <c r="I7" s="90">
        <v>7</v>
      </c>
      <c r="K7" s="36">
        <v>5</v>
      </c>
      <c r="L7" s="95">
        <v>99.9</v>
      </c>
      <c r="N7" s="112" t="s">
        <v>135</v>
      </c>
      <c r="O7" s="119">
        <f t="shared" si="0"/>
        <v>1901.0309278350514</v>
      </c>
      <c r="P7" s="116">
        <v>97</v>
      </c>
      <c r="Q7" s="100">
        <v>184400</v>
      </c>
    </row>
    <row r="8" spans="1:17" x14ac:dyDescent="0.45">
      <c r="A8" s="51" t="s">
        <v>3</v>
      </c>
      <c r="B8" s="44">
        <v>43</v>
      </c>
      <c r="C8" s="37">
        <f t="shared" si="1"/>
        <v>0.29054054054054052</v>
      </c>
      <c r="E8" s="59" t="s">
        <v>89</v>
      </c>
      <c r="F8" s="56" t="s">
        <v>44</v>
      </c>
      <c r="G8" s="44">
        <v>59</v>
      </c>
      <c r="H8" s="129">
        <f>IF(B$15=0,0,G8/B$15)</f>
        <v>0.14285714285714285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0.26351351351351349</v>
      </c>
      <c r="E9" s="59" t="s">
        <v>69</v>
      </c>
      <c r="F9" s="56" t="s">
        <v>24</v>
      </c>
      <c r="G9" s="44">
        <v>56</v>
      </c>
      <c r="H9" s="129">
        <f>IF(B$15=0,0,G9/B$15)</f>
        <v>0.13559322033898305</v>
      </c>
      <c r="I9" s="90">
        <v>7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4.72972972972973E-2</v>
      </c>
      <c r="E10" s="59" t="s">
        <v>65</v>
      </c>
      <c r="F10" s="56" t="s">
        <v>21</v>
      </c>
      <c r="G10" s="44">
        <v>47</v>
      </c>
      <c r="H10" s="129">
        <f>IF(B$15=0,0,G10/B$15)</f>
        <v>0.11380145278450363</v>
      </c>
      <c r="I10" s="90">
        <v>6</v>
      </c>
      <c r="K10" s="36">
        <v>8</v>
      </c>
      <c r="L10" s="95">
        <v>148.1</v>
      </c>
      <c r="N10" s="110" t="s">
        <v>157</v>
      </c>
      <c r="O10" s="120">
        <f>IF(P10=0,0,Q10/P10)</f>
        <v>12.277499999999996</v>
      </c>
      <c r="P10" s="114">
        <v>40</v>
      </c>
      <c r="Q10" s="102">
        <v>491.09999999999985</v>
      </c>
    </row>
    <row r="11" spans="1:17" x14ac:dyDescent="0.45">
      <c r="A11" s="54" t="s">
        <v>121</v>
      </c>
      <c r="B11" s="47">
        <v>325</v>
      </c>
      <c r="C11" s="42">
        <f>IF(B$3=0,0,B11/B$3)</f>
        <v>0.26859504132231404</v>
      </c>
      <c r="E11" s="59" t="s">
        <v>71</v>
      </c>
      <c r="F11" s="56" t="s">
        <v>26</v>
      </c>
      <c r="G11" s="44">
        <v>27</v>
      </c>
      <c r="H11" s="129">
        <f>IF(B$15=0,0,G11/B$15)</f>
        <v>6.5375302663438259E-2</v>
      </c>
      <c r="I11" s="90">
        <v>10</v>
      </c>
      <c r="K11" s="36">
        <v>9</v>
      </c>
      <c r="L11" s="95">
        <v>180.89999999999998</v>
      </c>
      <c r="N11" s="111" t="s">
        <v>158</v>
      </c>
      <c r="O11" s="121">
        <f>IF(P11=0,0,Q11/P11)</f>
        <v>2.6132075471698109</v>
      </c>
      <c r="P11" s="115">
        <v>53</v>
      </c>
      <c r="Q11" s="103">
        <v>138.49999999999997</v>
      </c>
    </row>
    <row r="12" spans="1:17" x14ac:dyDescent="0.45">
      <c r="A12" s="51" t="s">
        <v>118</v>
      </c>
      <c r="B12" s="44">
        <v>278</v>
      </c>
      <c r="C12" s="37">
        <f>IF(B$3=0,0,B12/B$3)</f>
        <v>0.22975206611570248</v>
      </c>
      <c r="E12" s="59" t="s">
        <v>86</v>
      </c>
      <c r="F12" s="56" t="s">
        <v>41</v>
      </c>
      <c r="G12" s="44">
        <v>27</v>
      </c>
      <c r="H12" s="129">
        <f>IF(B$15=0,0,G12/B$15)</f>
        <v>6.5375302663438259E-2</v>
      </c>
      <c r="I12" s="90">
        <v>5</v>
      </c>
      <c r="K12" s="36">
        <v>10</v>
      </c>
      <c r="L12" s="95">
        <v>158.19999999999999</v>
      </c>
      <c r="N12" s="112" t="s">
        <v>159</v>
      </c>
      <c r="O12" s="122">
        <f>IF(P12=0,0,Q12/P12)</f>
        <v>9.3709090909090893</v>
      </c>
      <c r="P12" s="116">
        <v>55</v>
      </c>
      <c r="Q12" s="104">
        <v>515.39999999999986</v>
      </c>
    </row>
    <row r="13" spans="1:17" x14ac:dyDescent="0.45">
      <c r="A13" s="50" t="s">
        <v>123</v>
      </c>
      <c r="B13" s="43">
        <f>B19</f>
        <v>195</v>
      </c>
      <c r="C13" s="35">
        <f>IF(B$11=0,0,B13/B$11)</f>
        <v>0.6</v>
      </c>
      <c r="E13" s="59" t="s">
        <v>70</v>
      </c>
      <c r="F13" s="56" t="s">
        <v>25</v>
      </c>
      <c r="G13" s="44">
        <v>22</v>
      </c>
      <c r="H13" s="129">
        <f>IF(B$15=0,0,G13/B$15)</f>
        <v>5.3268765133171914E-2</v>
      </c>
      <c r="I13" s="90">
        <v>12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134</v>
      </c>
      <c r="C14" s="35">
        <f>IF(B$12=0,0,B14/B$12)</f>
        <v>0.48201438848920863</v>
      </c>
      <c r="E14" s="59" t="s">
        <v>83</v>
      </c>
      <c r="F14" s="56" t="s">
        <v>38</v>
      </c>
      <c r="G14" s="44">
        <v>19</v>
      </c>
      <c r="H14" s="129">
        <f>IF(B$15=0,0,G14/B$15)</f>
        <v>4.6004842615012108E-2</v>
      </c>
      <c r="I14" s="90">
        <v>9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413</v>
      </c>
      <c r="C15" s="35">
        <f>IF(B$3=0,0,B15/B$3)</f>
        <v>0.34132231404958679</v>
      </c>
      <c r="E15" s="59" t="s">
        <v>78</v>
      </c>
      <c r="F15" s="56" t="s">
        <v>33</v>
      </c>
      <c r="G15" s="44">
        <v>15</v>
      </c>
      <c r="H15" s="129">
        <f>IF(B$15=0,0,G15/B$15)</f>
        <v>3.6319612590799029E-2</v>
      </c>
      <c r="I15" s="90">
        <v>2</v>
      </c>
      <c r="K15" s="36">
        <v>13</v>
      </c>
      <c r="L15" s="95">
        <v>206.39999999999998</v>
      </c>
      <c r="N15" s="110" t="s">
        <v>196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5">
      <c r="A16" s="51" t="s">
        <v>13</v>
      </c>
      <c r="B16" s="44">
        <v>161</v>
      </c>
      <c r="C16" s="37">
        <f>IF(B$3=0,0,B16/B$3)</f>
        <v>0.13305785123966943</v>
      </c>
      <c r="E16" s="59" t="s">
        <v>162</v>
      </c>
      <c r="F16" s="56" t="s">
        <v>163</v>
      </c>
      <c r="G16" s="44">
        <v>13</v>
      </c>
      <c r="H16" s="129">
        <f>IF(B$15=0,0,G16/B$15)</f>
        <v>3.1476997578692496E-2</v>
      </c>
      <c r="I16" s="90">
        <v>2</v>
      </c>
      <c r="K16" s="36">
        <v>14</v>
      </c>
      <c r="L16" s="95">
        <v>240.09999999999997</v>
      </c>
      <c r="N16" s="111" t="s">
        <v>197</v>
      </c>
      <c r="O16" s="121">
        <f>IF(P16=0,0,Q16/P16)</f>
        <v>26.026666666666664</v>
      </c>
      <c r="P16" s="115">
        <v>15</v>
      </c>
      <c r="Q16" s="103">
        <v>390.4</v>
      </c>
    </row>
    <row r="17" spans="1:17" x14ac:dyDescent="0.45">
      <c r="A17" s="51" t="s">
        <v>12</v>
      </c>
      <c r="B17" s="44">
        <v>174</v>
      </c>
      <c r="C17" s="37">
        <f>IF(B$15=0,0,B17/B$15)</f>
        <v>0.42130750605326878</v>
      </c>
      <c r="E17" s="59" t="s">
        <v>81</v>
      </c>
      <c r="F17" s="56" t="s">
        <v>36</v>
      </c>
      <c r="G17" s="44">
        <v>5</v>
      </c>
      <c r="H17" s="129">
        <f>IF(B$15=0,0,G17/B$15)</f>
        <v>1.2106537530266344E-2</v>
      </c>
      <c r="I17" s="90">
        <v>9</v>
      </c>
      <c r="K17" s="36">
        <v>15</v>
      </c>
      <c r="L17" s="95">
        <v>269.49999999999994</v>
      </c>
      <c r="N17" s="111" t="s">
        <v>127</v>
      </c>
      <c r="O17" s="121">
        <f>IF(P17=0,0,Q17/P17)</f>
        <v>13.324175824175827</v>
      </c>
      <c r="P17" s="115">
        <v>91</v>
      </c>
      <c r="Q17" s="103">
        <v>1212.5000000000002</v>
      </c>
    </row>
    <row r="18" spans="1:17" x14ac:dyDescent="0.45">
      <c r="A18" s="51" t="s">
        <v>11</v>
      </c>
      <c r="B18" s="44">
        <v>239</v>
      </c>
      <c r="C18" s="37">
        <f>IF(B$15=0,0,B18/B$15)</f>
        <v>0.57869249394673128</v>
      </c>
      <c r="E18" s="59" t="s">
        <v>75</v>
      </c>
      <c r="F18" s="56" t="s">
        <v>30</v>
      </c>
      <c r="G18" s="44">
        <v>4</v>
      </c>
      <c r="H18" s="129">
        <f>IF(B$15=0,0,G18/B$15)</f>
        <v>9.6852300242130755E-3</v>
      </c>
      <c r="I18" s="90">
        <v>3</v>
      </c>
      <c r="K18" s="36">
        <v>16</v>
      </c>
      <c r="L18" s="95">
        <v>323.69999999999993</v>
      </c>
      <c r="N18" s="111" t="s">
        <v>171</v>
      </c>
      <c r="O18" s="121">
        <f>IF(P18=0,0,Q18/P18)</f>
        <v>13.271698113207547</v>
      </c>
      <c r="P18" s="115">
        <v>53</v>
      </c>
      <c r="Q18" s="103">
        <v>703.4</v>
      </c>
    </row>
    <row r="19" spans="1:17" x14ac:dyDescent="0.45">
      <c r="A19" s="51" t="s">
        <v>195</v>
      </c>
      <c r="B19" s="44">
        <v>195</v>
      </c>
      <c r="C19" s="37">
        <f>IF(B$15=0,0,B19/B$15)</f>
        <v>0.4721549636803874</v>
      </c>
      <c r="E19" s="59" t="s">
        <v>77</v>
      </c>
      <c r="F19" s="56" t="s">
        <v>32</v>
      </c>
      <c r="G19" s="44">
        <v>3</v>
      </c>
      <c r="H19" s="129">
        <f>IF(B$15=0,0,G19/B$15)</f>
        <v>7.2639225181598066E-3</v>
      </c>
      <c r="I19" s="90">
        <v>1</v>
      </c>
      <c r="K19" s="36">
        <v>17</v>
      </c>
      <c r="L19" s="95">
        <v>359.09999999999991</v>
      </c>
      <c r="N19" s="111" t="s">
        <v>172</v>
      </c>
      <c r="O19" s="121">
        <f>IF(P19=0,0,Q19/P19)</f>
        <v>12.78888888888889</v>
      </c>
      <c r="P19" s="115">
        <v>54</v>
      </c>
      <c r="Q19" s="103">
        <v>690.6</v>
      </c>
    </row>
    <row r="20" spans="1:17" x14ac:dyDescent="0.45">
      <c r="A20" s="51" t="s">
        <v>193</v>
      </c>
      <c r="B20" s="44">
        <v>134</v>
      </c>
      <c r="C20" s="37">
        <f>IF(B$15=0,0,B20/B$15)</f>
        <v>0.32445520581113801</v>
      </c>
      <c r="E20" s="59" t="s">
        <v>84</v>
      </c>
      <c r="F20" s="56" t="s">
        <v>39</v>
      </c>
      <c r="G20" s="44">
        <v>3</v>
      </c>
      <c r="H20" s="129">
        <f>IF(B$15=0,0,G20/B$15)</f>
        <v>7.2639225181598066E-3</v>
      </c>
      <c r="I20" s="90">
        <v>2</v>
      </c>
      <c r="K20" s="36">
        <v>18</v>
      </c>
      <c r="L20" s="95">
        <v>352.39999999999992</v>
      </c>
      <c r="N20" s="111" t="s">
        <v>161</v>
      </c>
      <c r="O20" s="121">
        <f>IF(P20=0,0,Q20/P20)</f>
        <v>10.394117647058822</v>
      </c>
      <c r="P20" s="115">
        <v>34</v>
      </c>
      <c r="Q20" s="103">
        <v>353.4</v>
      </c>
    </row>
    <row r="21" spans="1:17" x14ac:dyDescent="0.45">
      <c r="A21" s="51" t="s">
        <v>194</v>
      </c>
      <c r="B21" s="44">
        <v>84</v>
      </c>
      <c r="C21" s="37">
        <f>IF(B$15=0,0,B21/B$15)</f>
        <v>0.20338983050847459</v>
      </c>
      <c r="E21" s="59" t="s">
        <v>91</v>
      </c>
      <c r="F21" s="56" t="s">
        <v>46</v>
      </c>
      <c r="G21" s="44">
        <v>3</v>
      </c>
      <c r="H21" s="129">
        <f>IF(B$15=0,0,G21/B$15)</f>
        <v>7.2639225181598066E-3</v>
      </c>
      <c r="I21" s="90">
        <v>7</v>
      </c>
      <c r="K21" s="36">
        <v>19</v>
      </c>
      <c r="L21" s="95">
        <v>383.19999999999993</v>
      </c>
      <c r="N21" s="111" t="s">
        <v>170</v>
      </c>
      <c r="O21" s="121">
        <f>IF(P21=0,0,Q21/P21)</f>
        <v>-3.4128205128205127</v>
      </c>
      <c r="P21" s="115">
        <v>39</v>
      </c>
      <c r="Q21" s="103">
        <v>-133.1</v>
      </c>
    </row>
    <row r="22" spans="1:17" x14ac:dyDescent="0.45">
      <c r="A22" s="51" t="s">
        <v>5</v>
      </c>
      <c r="B22" s="48">
        <f>IF(B$15=0,0,C22/B$15)</f>
        <v>8164.406779661017</v>
      </c>
      <c r="C22" s="39">
        <v>3371900</v>
      </c>
      <c r="E22" s="59" t="s">
        <v>92</v>
      </c>
      <c r="F22" s="56" t="s">
        <v>47</v>
      </c>
      <c r="G22" s="44">
        <v>3</v>
      </c>
      <c r="H22" s="129">
        <f>IF(B$15=0,0,G22/B$15)</f>
        <v>7.2639225181598066E-3</v>
      </c>
      <c r="I22" s="90">
        <v>4</v>
      </c>
      <c r="K22" s="36">
        <v>20</v>
      </c>
      <c r="L22" s="95">
        <v>365.49999999999994</v>
      </c>
      <c r="N22" s="111" t="s">
        <v>274</v>
      </c>
      <c r="O22" s="121">
        <f>IF(P22=0,0,Q22/P22)</f>
        <v>-29.000000000000004</v>
      </c>
      <c r="P22" s="115">
        <v>1</v>
      </c>
      <c r="Q22" s="103">
        <v>-29.000000000000004</v>
      </c>
    </row>
    <row r="23" spans="1:17" x14ac:dyDescent="0.45">
      <c r="A23" s="52" t="s">
        <v>177</v>
      </c>
      <c r="B23" s="136">
        <f>IF($B$15-B$14=0,0,C23/($B$15-B$14))</f>
        <v>8551.6129032258068</v>
      </c>
      <c r="C23" s="137">
        <v>2385900</v>
      </c>
      <c r="E23" s="59" t="s">
        <v>79</v>
      </c>
      <c r="F23" s="56" t="s">
        <v>34</v>
      </c>
      <c r="G23" s="44">
        <v>2</v>
      </c>
      <c r="H23" s="129">
        <f>IF(B$15=0,0,G23/B$15)</f>
        <v>4.8426150121065378E-3</v>
      </c>
      <c r="I23" s="90">
        <v>9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7358.2089552238804</v>
      </c>
      <c r="C24" s="137">
        <v>986000</v>
      </c>
      <c r="E24" s="59" t="s">
        <v>85</v>
      </c>
      <c r="F24" s="56" t="s">
        <v>40</v>
      </c>
      <c r="G24" s="44">
        <v>2</v>
      </c>
      <c r="H24" s="129">
        <f>IF(B$15=0,0,G24/B$15)</f>
        <v>4.8426150121065378E-3</v>
      </c>
      <c r="I24" s="90">
        <v>4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-7665.217391304348</v>
      </c>
      <c r="C25" s="137">
        <v>-1234100</v>
      </c>
      <c r="E25" s="59" t="s">
        <v>88</v>
      </c>
      <c r="F25" s="56" t="s">
        <v>43</v>
      </c>
      <c r="G25" s="44">
        <v>2</v>
      </c>
      <c r="H25" s="129">
        <f>IF(B$15=0,0,G25/B$15)</f>
        <v>4.8426150121065378E-3</v>
      </c>
      <c r="I25" s="90">
        <v>2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95</v>
      </c>
      <c r="F26" s="56" t="s">
        <v>50</v>
      </c>
      <c r="G26" s="44">
        <v>2</v>
      </c>
      <c r="H26" s="129">
        <f>IF(B$15=0,0,G26/B$15)</f>
        <v>4.8426150121065378E-3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6</v>
      </c>
      <c r="E27" s="59" t="s">
        <v>74</v>
      </c>
      <c r="F27" s="56" t="s">
        <v>29</v>
      </c>
      <c r="G27" s="44">
        <v>1</v>
      </c>
      <c r="H27" s="129">
        <f>IF(B$15=0,0,G27/B$15)</f>
        <v>2.4213075060532689E-3</v>
      </c>
      <c r="I27" s="90">
        <v>6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52">
        <v>7</v>
      </c>
      <c r="C28" s="153"/>
      <c r="E28" s="59" t="s">
        <v>90</v>
      </c>
      <c r="F28" s="56" t="s">
        <v>45</v>
      </c>
      <c r="G28" s="44">
        <v>1</v>
      </c>
      <c r="H28" s="129">
        <f>IF(B$15=0,0,G28/B$15)</f>
        <v>2.4213075060532689E-3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50">
        <v>149100</v>
      </c>
      <c r="C29" s="151"/>
      <c r="E29" s="59" t="s">
        <v>106</v>
      </c>
      <c r="F29" s="56" t="s">
        <v>113</v>
      </c>
      <c r="G29" s="44">
        <v>1</v>
      </c>
      <c r="H29" s="129">
        <f>IF(B$15=0,0,G29/B$15)</f>
        <v>2.4213075060532689E-3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8.2644628099173552E-4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38</v>
      </c>
      <c r="C32" s="141">
        <f>IF(B$15=0,0,B32/B$15)</f>
        <v>9.2009685230024216E-2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73</v>
      </c>
      <c r="C33" s="37">
        <f t="shared" ref="C33:C44" si="2">IF(B$15=0,0,B33/B$15)</f>
        <v>0.17675544794188863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89</v>
      </c>
      <c r="C34" s="37">
        <f>IF(B$15=0,0,B34/B$15)</f>
        <v>0.21549636803874092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75</v>
      </c>
      <c r="C35" s="37">
        <f t="shared" si="2"/>
        <v>0.18159806295399517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60</v>
      </c>
      <c r="C36" s="37">
        <f t="shared" si="2"/>
        <v>0.14527845036319612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38</v>
      </c>
      <c r="C37" s="37">
        <f t="shared" si="2"/>
        <v>9.2009685230024216E-2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19</v>
      </c>
      <c r="C38" s="37">
        <f t="shared" si="2"/>
        <v>4.6004842615012108E-2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6</v>
      </c>
      <c r="C39" s="37">
        <f t="shared" si="2"/>
        <v>1.4527845036319613E-2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8</v>
      </c>
      <c r="C40" s="37">
        <f t="shared" si="2"/>
        <v>1.9370460048426151E-2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2.4213075060532689E-3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2"/>
        <v>1.4527845036319613E-2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2B3B-3E41-4302-9922-F85E1AD08E24}">
  <sheetPr codeName="Sheet11"/>
  <dimension ref="A1:Q13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127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132</v>
      </c>
      <c r="C2" s="159"/>
      <c r="E2" s="58" t="s">
        <v>66</v>
      </c>
      <c r="F2" s="55" t="s">
        <v>22</v>
      </c>
      <c r="G2" s="43">
        <v>280</v>
      </c>
      <c r="H2" s="128">
        <f>IF(B$15=0,0,G2/B$15)</f>
        <v>0.83582089552238803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-1558.7786259541986</v>
      </c>
      <c r="P2" s="114">
        <v>131</v>
      </c>
      <c r="Q2" s="98">
        <v>-204200</v>
      </c>
    </row>
    <row r="3" spans="1:17" x14ac:dyDescent="0.45">
      <c r="A3" s="51" t="s">
        <v>8</v>
      </c>
      <c r="B3" s="160">
        <v>1108</v>
      </c>
      <c r="C3" s="161"/>
      <c r="E3" s="59" t="s">
        <v>72</v>
      </c>
      <c r="F3" s="56" t="s">
        <v>27</v>
      </c>
      <c r="G3" s="44">
        <v>192</v>
      </c>
      <c r="H3" s="129">
        <f>IF(B$15=0,0,G3/B$15)</f>
        <v>0.57313432835820899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1651.937984496124</v>
      </c>
      <c r="P3" s="115">
        <v>129</v>
      </c>
      <c r="Q3" s="99">
        <v>213100</v>
      </c>
    </row>
    <row r="4" spans="1:17" x14ac:dyDescent="0.45">
      <c r="A4" s="51" t="s">
        <v>6</v>
      </c>
      <c r="B4" s="162">
        <v>90.399999999999807</v>
      </c>
      <c r="C4" s="163"/>
      <c r="E4" s="59" t="s">
        <v>166</v>
      </c>
      <c r="F4" s="56" t="s">
        <v>167</v>
      </c>
      <c r="G4" s="44">
        <v>134</v>
      </c>
      <c r="H4" s="129">
        <f>IF(B$15=0,0,G4/B$15)</f>
        <v>0.4</v>
      </c>
      <c r="I4" s="90">
        <v>4</v>
      </c>
      <c r="K4" s="36">
        <v>2</v>
      </c>
      <c r="L4" s="95">
        <v>-34.299999999999997</v>
      </c>
      <c r="N4" s="111" t="s">
        <v>132</v>
      </c>
      <c r="O4" s="118">
        <f t="shared" si="0"/>
        <v>-283.89830508474574</v>
      </c>
      <c r="P4" s="115">
        <v>118</v>
      </c>
      <c r="Q4" s="99">
        <v>-33500</v>
      </c>
    </row>
    <row r="5" spans="1:17" x14ac:dyDescent="0.45">
      <c r="A5" s="51" t="s">
        <v>7</v>
      </c>
      <c r="B5" s="164">
        <f>IF(B$2=0,0,B$4/B$2)</f>
        <v>0.68484848484848337</v>
      </c>
      <c r="C5" s="165"/>
      <c r="E5" s="59" t="s">
        <v>64</v>
      </c>
      <c r="F5" s="56" t="s">
        <v>20</v>
      </c>
      <c r="G5" s="44">
        <v>127</v>
      </c>
      <c r="H5" s="129">
        <f>IF(B$15=0,0,G5/B$15)</f>
        <v>0.37910447761194027</v>
      </c>
      <c r="I5" s="90">
        <v>10</v>
      </c>
      <c r="K5" s="36">
        <v>3</v>
      </c>
      <c r="L5" s="95">
        <v>-58.599999999999994</v>
      </c>
      <c r="N5" s="111" t="s">
        <v>133</v>
      </c>
      <c r="O5" s="118">
        <f t="shared" si="0"/>
        <v>317.85714285714283</v>
      </c>
      <c r="P5" s="115">
        <v>112</v>
      </c>
      <c r="Q5" s="99">
        <v>35600</v>
      </c>
    </row>
    <row r="6" spans="1:17" x14ac:dyDescent="0.45">
      <c r="A6" s="51" t="s">
        <v>1</v>
      </c>
      <c r="B6" s="154">
        <f>IF(B$2=0,0,(B$7*1+B$8*2+B$9*3)/B$2)</f>
        <v>1.946969696969697</v>
      </c>
      <c r="C6" s="155"/>
      <c r="E6" s="59" t="s">
        <v>68</v>
      </c>
      <c r="F6" s="56" t="s">
        <v>12</v>
      </c>
      <c r="G6" s="44">
        <v>92</v>
      </c>
      <c r="H6" s="129">
        <f>IF(B$15=0,0,G6/B$15)</f>
        <v>0.2746268656716418</v>
      </c>
      <c r="I6" s="90">
        <v>8</v>
      </c>
      <c r="K6" s="36">
        <v>4</v>
      </c>
      <c r="L6" s="95">
        <v>-38.099999999999994</v>
      </c>
      <c r="N6" s="111" t="s">
        <v>134</v>
      </c>
      <c r="O6" s="118">
        <f t="shared" si="0"/>
        <v>-960.78431372549016</v>
      </c>
      <c r="P6" s="115">
        <v>102</v>
      </c>
      <c r="Q6" s="99">
        <v>-98000</v>
      </c>
    </row>
    <row r="7" spans="1:17" x14ac:dyDescent="0.45">
      <c r="A7" s="51" t="s">
        <v>2</v>
      </c>
      <c r="B7" s="44">
        <v>46</v>
      </c>
      <c r="C7" s="37">
        <f t="shared" ref="C7:C10" si="1">IF(B$2=0,0,B7/B$2)</f>
        <v>0.34848484848484851</v>
      </c>
      <c r="E7" s="59" t="s">
        <v>67</v>
      </c>
      <c r="F7" s="56" t="s">
        <v>23</v>
      </c>
      <c r="G7" s="44">
        <v>71</v>
      </c>
      <c r="H7" s="129">
        <f>IF(B$15=0,0,G7/B$15)</f>
        <v>0.21194029850746268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1518.3908045977012</v>
      </c>
      <c r="P7" s="116">
        <v>87</v>
      </c>
      <c r="Q7" s="100">
        <v>132100</v>
      </c>
    </row>
    <row r="8" spans="1:17" x14ac:dyDescent="0.45">
      <c r="A8" s="51" t="s">
        <v>3</v>
      </c>
      <c r="B8" s="44">
        <v>47</v>
      </c>
      <c r="C8" s="37">
        <f t="shared" si="1"/>
        <v>0.35606060606060608</v>
      </c>
      <c r="E8" s="59" t="s">
        <v>69</v>
      </c>
      <c r="F8" s="56" t="s">
        <v>24</v>
      </c>
      <c r="G8" s="44">
        <v>41</v>
      </c>
      <c r="H8" s="129">
        <f>IF(B$15=0,0,G8/B$15)</f>
        <v>0.12238805970149254</v>
      </c>
      <c r="I8" s="90">
        <v>8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0.29545454545454547</v>
      </c>
      <c r="E9" s="59" t="s">
        <v>89</v>
      </c>
      <c r="F9" s="56" t="s">
        <v>44</v>
      </c>
      <c r="G9" s="44">
        <v>40</v>
      </c>
      <c r="H9" s="129">
        <f>IF(B$15=0,0,G9/B$15)</f>
        <v>0.11940298507462686</v>
      </c>
      <c r="I9" s="90">
        <v>8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0.13636363636363635</v>
      </c>
      <c r="E10" s="59" t="s">
        <v>71</v>
      </c>
      <c r="F10" s="56" t="s">
        <v>26</v>
      </c>
      <c r="G10" s="44">
        <v>32</v>
      </c>
      <c r="H10" s="129">
        <f>IF(B$15=0,0,G10/B$15)</f>
        <v>9.5522388059701493E-2</v>
      </c>
      <c r="I10" s="90">
        <v>5</v>
      </c>
      <c r="K10" s="36">
        <v>8</v>
      </c>
      <c r="L10" s="95">
        <v>-56.79999999999999</v>
      </c>
      <c r="N10" s="110" t="s">
        <v>157</v>
      </c>
      <c r="O10" s="120">
        <f>IF(P10=0,0,Q10/P10)</f>
        <v>2.1800000000000006</v>
      </c>
      <c r="P10" s="114">
        <v>35</v>
      </c>
      <c r="Q10" s="102">
        <v>76.300000000000026</v>
      </c>
    </row>
    <row r="11" spans="1:17" x14ac:dyDescent="0.45">
      <c r="A11" s="54" t="s">
        <v>121</v>
      </c>
      <c r="B11" s="47">
        <v>254</v>
      </c>
      <c r="C11" s="42">
        <f>IF(B$3=0,0,B11/B$3)</f>
        <v>0.2292418772563177</v>
      </c>
      <c r="E11" s="59" t="s">
        <v>70</v>
      </c>
      <c r="F11" s="56" t="s">
        <v>25</v>
      </c>
      <c r="G11" s="44">
        <v>30</v>
      </c>
      <c r="H11" s="129">
        <f>IF(B$15=0,0,G11/B$15)</f>
        <v>8.9552238805970144E-2</v>
      </c>
      <c r="I11" s="90">
        <v>8</v>
      </c>
      <c r="K11" s="36">
        <v>9</v>
      </c>
      <c r="L11" s="95">
        <v>-83.699999999999989</v>
      </c>
      <c r="N11" s="111" t="s">
        <v>158</v>
      </c>
      <c r="O11" s="121">
        <f>IF(P11=0,0,Q11/P11)</f>
        <v>5.2133333333333347</v>
      </c>
      <c r="P11" s="115">
        <v>45</v>
      </c>
      <c r="Q11" s="103">
        <v>234.60000000000005</v>
      </c>
    </row>
    <row r="12" spans="1:17" x14ac:dyDescent="0.45">
      <c r="A12" s="51" t="s">
        <v>118</v>
      </c>
      <c r="B12" s="44">
        <v>338</v>
      </c>
      <c r="C12" s="37">
        <f>IF(B$3=0,0,B12/B$3)</f>
        <v>0.30505415162454874</v>
      </c>
      <c r="E12" s="59" t="s">
        <v>65</v>
      </c>
      <c r="F12" s="56" t="s">
        <v>21</v>
      </c>
      <c r="G12" s="44">
        <v>29</v>
      </c>
      <c r="H12" s="129">
        <f>IF(B$15=0,0,G12/B$15)</f>
        <v>8.6567164179104483E-2</v>
      </c>
      <c r="I12" s="90">
        <v>9</v>
      </c>
      <c r="K12" s="36">
        <v>10</v>
      </c>
      <c r="L12" s="95">
        <v>-78.399999999999991</v>
      </c>
      <c r="N12" s="112" t="s">
        <v>159</v>
      </c>
      <c r="O12" s="122">
        <f>IF(P12=0,0,Q12/P12)</f>
        <v>-4.2403846153846159</v>
      </c>
      <c r="P12" s="116">
        <v>52</v>
      </c>
      <c r="Q12" s="104">
        <v>-220.50000000000003</v>
      </c>
    </row>
    <row r="13" spans="1:17" x14ac:dyDescent="0.45">
      <c r="A13" s="50" t="s">
        <v>123</v>
      </c>
      <c r="B13" s="43">
        <f>B19</f>
        <v>126</v>
      </c>
      <c r="C13" s="35">
        <f>IF(B$11=0,0,B13/B$11)</f>
        <v>0.49606299212598426</v>
      </c>
      <c r="E13" s="59" t="s">
        <v>86</v>
      </c>
      <c r="F13" s="56" t="s">
        <v>41</v>
      </c>
      <c r="G13" s="44">
        <v>22</v>
      </c>
      <c r="H13" s="129">
        <f>IF(B$15=0,0,G13/B$15)</f>
        <v>6.5671641791044774E-2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129</v>
      </c>
      <c r="C14" s="35">
        <f>IF(B$12=0,0,B14/B$12)</f>
        <v>0.38165680473372782</v>
      </c>
      <c r="E14" s="59" t="s">
        <v>83</v>
      </c>
      <c r="F14" s="56" t="s">
        <v>38</v>
      </c>
      <c r="G14" s="44">
        <v>19</v>
      </c>
      <c r="H14" s="129">
        <f>IF(B$15=0,0,G14/B$15)</f>
        <v>5.6716417910447764E-2</v>
      </c>
      <c r="I14" s="90">
        <v>6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335</v>
      </c>
      <c r="C15" s="35">
        <f>IF(B$3=0,0,B15/B$3)</f>
        <v>0.30234657039711194</v>
      </c>
      <c r="E15" s="59" t="s">
        <v>78</v>
      </c>
      <c r="F15" s="56" t="s">
        <v>33</v>
      </c>
      <c r="G15" s="44">
        <v>9</v>
      </c>
      <c r="H15" s="129">
        <f>IF(B$15=0,0,G15/B$15)</f>
        <v>2.6865671641791045E-2</v>
      </c>
      <c r="I15" s="90">
        <v>4</v>
      </c>
      <c r="K15" s="36">
        <v>13</v>
      </c>
      <c r="L15" s="95">
        <v>-86.8</v>
      </c>
      <c r="N15" s="110" t="s">
        <v>228</v>
      </c>
      <c r="O15" s="120">
        <f t="shared" ref="O15:O23" si="2"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207</v>
      </c>
      <c r="C16" s="37">
        <f>IF(B$3=0,0,B16/B$3)</f>
        <v>0.18682310469314078</v>
      </c>
      <c r="E16" s="59" t="s">
        <v>91</v>
      </c>
      <c r="F16" s="56" t="s">
        <v>46</v>
      </c>
      <c r="G16" s="44">
        <v>9</v>
      </c>
      <c r="H16" s="129">
        <f>IF(B$15=0,0,G16/B$15)</f>
        <v>2.6865671641791045E-2</v>
      </c>
      <c r="I16" s="90">
        <v>1</v>
      </c>
      <c r="K16" s="36">
        <v>14</v>
      </c>
      <c r="L16" s="95">
        <v>-138.4</v>
      </c>
      <c r="N16" s="111" t="s">
        <v>274</v>
      </c>
      <c r="O16" s="121">
        <f t="shared" si="2"/>
        <v>64.3</v>
      </c>
      <c r="P16" s="115">
        <v>1</v>
      </c>
      <c r="Q16" s="103">
        <v>64.3</v>
      </c>
    </row>
    <row r="17" spans="1:17" x14ac:dyDescent="0.45">
      <c r="A17" s="51" t="s">
        <v>12</v>
      </c>
      <c r="B17" s="44">
        <v>139</v>
      </c>
      <c r="C17" s="37">
        <f>IF(B$15=0,0,B17/B$15)</f>
        <v>0.41492537313432837</v>
      </c>
      <c r="E17" s="59" t="s">
        <v>81</v>
      </c>
      <c r="F17" s="56" t="s">
        <v>36</v>
      </c>
      <c r="G17" s="44">
        <v>8</v>
      </c>
      <c r="H17" s="129">
        <f>IF(B$15=0,0,G17/B$15)</f>
        <v>2.3880597014925373E-2</v>
      </c>
      <c r="I17" s="90">
        <v>2</v>
      </c>
      <c r="K17" s="36">
        <v>15</v>
      </c>
      <c r="L17" s="95">
        <v>-144.30000000000001</v>
      </c>
      <c r="N17" s="111" t="s">
        <v>197</v>
      </c>
      <c r="O17" s="121">
        <f t="shared" si="2"/>
        <v>16.62857142857143</v>
      </c>
      <c r="P17" s="115">
        <v>14</v>
      </c>
      <c r="Q17" s="103">
        <v>232.8</v>
      </c>
    </row>
    <row r="18" spans="1:17" x14ac:dyDescent="0.45">
      <c r="A18" s="51" t="s">
        <v>11</v>
      </c>
      <c r="B18" s="44">
        <v>196</v>
      </c>
      <c r="C18" s="37">
        <f>IF(B$15=0,0,B18/B$15)</f>
        <v>0.58507462686567169</v>
      </c>
      <c r="E18" s="59" t="s">
        <v>79</v>
      </c>
      <c r="F18" s="56" t="s">
        <v>34</v>
      </c>
      <c r="G18" s="44">
        <v>6</v>
      </c>
      <c r="H18" s="129">
        <f>IF(B$15=0,0,G18/B$15)</f>
        <v>1.7910447761194031E-2</v>
      </c>
      <c r="I18" s="90">
        <v>5</v>
      </c>
      <c r="K18" s="36">
        <v>16</v>
      </c>
      <c r="L18" s="95">
        <v>-187.3</v>
      </c>
      <c r="N18" s="111" t="s">
        <v>172</v>
      </c>
      <c r="O18" s="121">
        <f t="shared" si="2"/>
        <v>15.928260869565211</v>
      </c>
      <c r="P18" s="115">
        <v>46</v>
      </c>
      <c r="Q18" s="103">
        <v>732.6999999999997</v>
      </c>
    </row>
    <row r="19" spans="1:17" x14ac:dyDescent="0.45">
      <c r="A19" s="51" t="s">
        <v>195</v>
      </c>
      <c r="B19" s="44">
        <v>126</v>
      </c>
      <c r="C19" s="37">
        <f>IF(B$15=0,0,B19/B$15)</f>
        <v>0.37611940298507462</v>
      </c>
      <c r="E19" s="59" t="s">
        <v>162</v>
      </c>
      <c r="F19" s="56" t="s">
        <v>163</v>
      </c>
      <c r="G19" s="44">
        <v>4</v>
      </c>
      <c r="H19" s="129">
        <f>IF(B$15=0,0,G19/B$15)</f>
        <v>1.1940298507462687E-2</v>
      </c>
      <c r="I19" s="90">
        <v>7</v>
      </c>
      <c r="K19" s="36">
        <v>17</v>
      </c>
      <c r="L19" s="95">
        <v>-179.70000000000002</v>
      </c>
      <c r="N19" s="111" t="s">
        <v>196</v>
      </c>
      <c r="O19" s="121">
        <f t="shared" si="2"/>
        <v>13.5</v>
      </c>
      <c r="P19" s="115">
        <v>5</v>
      </c>
      <c r="Q19" s="103">
        <v>67.5</v>
      </c>
    </row>
    <row r="20" spans="1:17" x14ac:dyDescent="0.45">
      <c r="A20" s="51" t="s">
        <v>193</v>
      </c>
      <c r="B20" s="44">
        <v>129</v>
      </c>
      <c r="C20" s="37">
        <f>IF(B$15=0,0,B20/B$15)</f>
        <v>0.38507462686567162</v>
      </c>
      <c r="E20" s="59" t="s">
        <v>92</v>
      </c>
      <c r="F20" s="56" t="s">
        <v>47</v>
      </c>
      <c r="G20" s="44">
        <v>3</v>
      </c>
      <c r="H20" s="129">
        <f>IF(B$15=0,0,G20/B$15)</f>
        <v>8.9552238805970154E-3</v>
      </c>
      <c r="I20" s="90">
        <v>3</v>
      </c>
      <c r="K20" s="36">
        <v>18</v>
      </c>
      <c r="L20" s="95">
        <v>-112.90000000000002</v>
      </c>
      <c r="N20" s="111" t="s">
        <v>161</v>
      </c>
      <c r="O20" s="121">
        <f t="shared" si="2"/>
        <v>4.1851851851851842</v>
      </c>
      <c r="P20" s="115">
        <v>27</v>
      </c>
      <c r="Q20" s="103">
        <v>112.99999999999999</v>
      </c>
    </row>
    <row r="21" spans="1:17" x14ac:dyDescent="0.45">
      <c r="A21" s="51" t="s">
        <v>194</v>
      </c>
      <c r="B21" s="44">
        <v>80</v>
      </c>
      <c r="C21" s="37">
        <f>IF(B$15=0,0,B21/B$15)</f>
        <v>0.23880597014925373</v>
      </c>
      <c r="E21" s="59" t="s">
        <v>74</v>
      </c>
      <c r="F21" s="56" t="s">
        <v>29</v>
      </c>
      <c r="G21" s="44">
        <v>2</v>
      </c>
      <c r="H21" s="129">
        <f>IF(B$15=0,0,G21/B$15)</f>
        <v>5.9701492537313433E-3</v>
      </c>
      <c r="I21" s="90">
        <v>3</v>
      </c>
      <c r="K21" s="36">
        <v>19</v>
      </c>
      <c r="L21" s="95">
        <v>-162.40000000000003</v>
      </c>
      <c r="N21" s="111" t="s">
        <v>170</v>
      </c>
      <c r="O21" s="121">
        <f t="shared" si="2"/>
        <v>3.5842105263157951</v>
      </c>
      <c r="P21" s="115">
        <v>38</v>
      </c>
      <c r="Q21" s="103">
        <v>136.20000000000022</v>
      </c>
    </row>
    <row r="22" spans="1:17" x14ac:dyDescent="0.45">
      <c r="A22" s="51" t="s">
        <v>5</v>
      </c>
      <c r="B22" s="48">
        <f>IF(B$15=0,0,C22/B$15)</f>
        <v>8440.2985074626868</v>
      </c>
      <c r="C22" s="39">
        <v>2827500</v>
      </c>
      <c r="E22" s="59" t="s">
        <v>75</v>
      </c>
      <c r="F22" s="56" t="s">
        <v>30</v>
      </c>
      <c r="G22" s="44">
        <v>2</v>
      </c>
      <c r="H22" s="129">
        <f>IF(B$15=0,0,G22/B$15)</f>
        <v>5.9701492537313433E-3</v>
      </c>
      <c r="I22" s="90">
        <v>6</v>
      </c>
      <c r="K22" s="36">
        <v>20</v>
      </c>
      <c r="L22" s="95">
        <v>-96.000000000000028</v>
      </c>
      <c r="N22" s="111" t="s">
        <v>171</v>
      </c>
      <c r="O22" s="121">
        <f t="shared" si="2"/>
        <v>-0.33499999999999791</v>
      </c>
      <c r="P22" s="115">
        <v>40</v>
      </c>
      <c r="Q22" s="103">
        <v>-13.399999999999917</v>
      </c>
    </row>
    <row r="23" spans="1:17" x14ac:dyDescent="0.45">
      <c r="A23" s="52" t="s">
        <v>177</v>
      </c>
      <c r="B23" s="136">
        <f>IF($B$15-B$14=0,0,C23/($B$15-B$14))</f>
        <v>9148.5436893203878</v>
      </c>
      <c r="C23" s="137">
        <v>1884600</v>
      </c>
      <c r="E23" s="59" t="s">
        <v>73</v>
      </c>
      <c r="F23" s="56" t="s">
        <v>28</v>
      </c>
      <c r="G23" s="44">
        <v>1</v>
      </c>
      <c r="H23" s="129">
        <f>IF(B$15=0,0,G23/B$15)</f>
        <v>2.9850746268656717E-3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 t="shared" si="2"/>
        <v>-13.324175824175827</v>
      </c>
      <c r="P23" s="115">
        <v>91</v>
      </c>
      <c r="Q23" s="103">
        <v>-1212.5000000000002</v>
      </c>
    </row>
    <row r="24" spans="1:17" x14ac:dyDescent="0.45">
      <c r="A24" s="52" t="s">
        <v>178</v>
      </c>
      <c r="B24" s="136">
        <f>IF(B$14=0,0,C24/B$14)</f>
        <v>7309.3023255813951</v>
      </c>
      <c r="C24" s="137">
        <v>942900</v>
      </c>
      <c r="E24" s="59" t="s">
        <v>77</v>
      </c>
      <c r="F24" s="56" t="s">
        <v>32</v>
      </c>
      <c r="G24" s="44">
        <v>1</v>
      </c>
      <c r="H24" s="129">
        <f>IF(B$15=0,0,G24/B$15)</f>
        <v>2.9850746268656717E-3</v>
      </c>
      <c r="I24" s="90">
        <v>3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-7874.8792270531403</v>
      </c>
      <c r="C25" s="137">
        <v>-1630100</v>
      </c>
      <c r="E25" s="59" t="s">
        <v>84</v>
      </c>
      <c r="F25" s="56" t="s">
        <v>39</v>
      </c>
      <c r="G25" s="44">
        <v>1</v>
      </c>
      <c r="H25" s="129">
        <f>IF(B$15=0,0,G25/B$15)</f>
        <v>2.9850746268656717E-3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2</v>
      </c>
      <c r="E26" s="59" t="s">
        <v>90</v>
      </c>
      <c r="F26" s="56" t="s">
        <v>45</v>
      </c>
      <c r="G26" s="44">
        <v>1</v>
      </c>
      <c r="H26" s="129">
        <f>IF(B$15=0,0,G26/B$15)</f>
        <v>2.9850746268656717E-3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6</v>
      </c>
      <c r="E27" s="59" t="s">
        <v>95</v>
      </c>
      <c r="F27" s="56" t="s">
        <v>50</v>
      </c>
      <c r="G27" s="44">
        <v>1</v>
      </c>
      <c r="H27" s="129">
        <f>IF(B$15=0,0,G27/B$15)</f>
        <v>2.9850746268656717E-3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52">
        <v>8</v>
      </c>
      <c r="C28" s="153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50">
        <v>91800</v>
      </c>
      <c r="C29" s="151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3.6101083032490976E-3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23</v>
      </c>
      <c r="C32" s="141">
        <f>IF(B$15=0,0,B32/B$15)</f>
        <v>6.8656716417910449E-2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53</v>
      </c>
      <c r="C33" s="37">
        <f t="shared" ref="C33:C44" si="3">IF(B$15=0,0,B33/B$15)</f>
        <v>0.15820895522388059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69</v>
      </c>
      <c r="C34" s="37">
        <f>IF(B$15=0,0,B34/B$15)</f>
        <v>0.20597014925373133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72</v>
      </c>
      <c r="C35" s="37">
        <f t="shared" si="3"/>
        <v>0.21492537313432836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50</v>
      </c>
      <c r="C36" s="37">
        <f t="shared" si="3"/>
        <v>0.14925373134328357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38</v>
      </c>
      <c r="C37" s="37">
        <f t="shared" si="3"/>
        <v>0.11343283582089553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10</v>
      </c>
      <c r="C38" s="37">
        <f t="shared" si="3"/>
        <v>2.9850746268656716E-2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3"/>
        <v>2.3880597014925373E-2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5</v>
      </c>
      <c r="C40" s="37">
        <f t="shared" si="3"/>
        <v>1.4925373134328358E-2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3"/>
        <v>2.9850746268656717E-3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3"/>
        <v>5.9701492537313433E-3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3"/>
        <v>1.1940298507462687E-2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</sheetData>
  <sortState xmlns:xlrd2="http://schemas.microsoft.com/office/spreadsheetml/2017/richdata2" ref="E2:I13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F757-5CF2-4536-88D9-D3B001E25C97}">
  <sheetPr codeName="Sheet13"/>
  <dimension ref="A1:Q8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172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87</v>
      </c>
      <c r="C2" s="159"/>
      <c r="E2" s="58" t="s">
        <v>66</v>
      </c>
      <c r="F2" s="55" t="s">
        <v>22</v>
      </c>
      <c r="G2" s="43">
        <v>163</v>
      </c>
      <c r="H2" s="128">
        <f>IF(B$15=0,0,G2/B$15)</f>
        <v>0.78365384615384615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-372.09302325581393</v>
      </c>
      <c r="P2" s="114">
        <v>86</v>
      </c>
      <c r="Q2" s="98">
        <v>-32000</v>
      </c>
    </row>
    <row r="3" spans="1:17" x14ac:dyDescent="0.45">
      <c r="A3" s="51" t="s">
        <v>8</v>
      </c>
      <c r="B3" s="160">
        <v>739</v>
      </c>
      <c r="C3" s="161"/>
      <c r="E3" s="59" t="s">
        <v>64</v>
      </c>
      <c r="F3" s="56" t="s">
        <v>20</v>
      </c>
      <c r="G3" s="44">
        <v>117</v>
      </c>
      <c r="H3" s="129">
        <f>IF(B$15=0,0,G3/B$15)</f>
        <v>0.5625</v>
      </c>
      <c r="I3" s="90">
        <v>3</v>
      </c>
      <c r="K3" s="36">
        <v>1</v>
      </c>
      <c r="L3" s="95">
        <v>-37.799999999999997</v>
      </c>
      <c r="N3" s="111" t="s">
        <v>131</v>
      </c>
      <c r="O3" s="118">
        <f t="shared" si="0"/>
        <v>-1181.3953488372092</v>
      </c>
      <c r="P3" s="115">
        <v>86</v>
      </c>
      <c r="Q3" s="99">
        <v>-101600</v>
      </c>
    </row>
    <row r="4" spans="1:17" x14ac:dyDescent="0.45">
      <c r="A4" s="51" t="s">
        <v>6</v>
      </c>
      <c r="B4" s="162">
        <v>-549.60000000000014</v>
      </c>
      <c r="C4" s="163"/>
      <c r="E4" s="59" t="s">
        <v>72</v>
      </c>
      <c r="F4" s="56" t="s">
        <v>27</v>
      </c>
      <c r="G4" s="44">
        <v>103</v>
      </c>
      <c r="H4" s="129">
        <f>IF(B$15=0,0,G4/B$15)</f>
        <v>0.49519230769230771</v>
      </c>
      <c r="I4" s="90">
        <v>10</v>
      </c>
      <c r="K4" s="36">
        <v>2</v>
      </c>
      <c r="L4" s="95">
        <v>-30.099999999999998</v>
      </c>
      <c r="N4" s="111" t="s">
        <v>132</v>
      </c>
      <c r="O4" s="118">
        <f t="shared" si="0"/>
        <v>557.5</v>
      </c>
      <c r="P4" s="115">
        <v>80</v>
      </c>
      <c r="Q4" s="99">
        <v>44600</v>
      </c>
    </row>
    <row r="5" spans="1:17" x14ac:dyDescent="0.45">
      <c r="A5" s="51" t="s">
        <v>7</v>
      </c>
      <c r="B5" s="164">
        <f>IF(B$2=0,0,B$4/B$2)</f>
        <v>-6.3172413793103468</v>
      </c>
      <c r="C5" s="165"/>
      <c r="E5" s="59" t="s">
        <v>166</v>
      </c>
      <c r="F5" s="56" t="s">
        <v>167</v>
      </c>
      <c r="G5" s="44">
        <v>87</v>
      </c>
      <c r="H5" s="129">
        <f>IF(B$15=0,0,G5/B$15)</f>
        <v>0.41826923076923078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-359.49367088607596</v>
      </c>
      <c r="P5" s="115">
        <v>79</v>
      </c>
      <c r="Q5" s="99">
        <v>-28400</v>
      </c>
    </row>
    <row r="6" spans="1:17" x14ac:dyDescent="0.45">
      <c r="A6" s="51" t="s">
        <v>1</v>
      </c>
      <c r="B6" s="154">
        <f>IF(B$2=0,0,(B$7*1+B$8*2+B$9*3)/B$2)</f>
        <v>2.1609195402298851</v>
      </c>
      <c r="C6" s="155"/>
      <c r="E6" s="59" t="s">
        <v>68</v>
      </c>
      <c r="F6" s="56" t="s">
        <v>12</v>
      </c>
      <c r="G6" s="44">
        <v>69</v>
      </c>
      <c r="H6" s="129">
        <f>IF(B$15=0,0,G6/B$15)</f>
        <v>0.33173076923076922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-2947.2972972972975</v>
      </c>
      <c r="P6" s="115">
        <v>74</v>
      </c>
      <c r="Q6" s="99">
        <v>-218100</v>
      </c>
    </row>
    <row r="7" spans="1:17" x14ac:dyDescent="0.45">
      <c r="A7" s="51" t="s">
        <v>2</v>
      </c>
      <c r="B7" s="44">
        <v>19</v>
      </c>
      <c r="C7" s="37">
        <f t="shared" ref="C7:C10" si="1">IF(B$2=0,0,B7/B$2)</f>
        <v>0.21839080459770116</v>
      </c>
      <c r="E7" s="59" t="s">
        <v>67</v>
      </c>
      <c r="F7" s="56" t="s">
        <v>23</v>
      </c>
      <c r="G7" s="44">
        <v>61</v>
      </c>
      <c r="H7" s="129">
        <f>IF(B$15=0,0,G7/B$15)</f>
        <v>0.29326923076923078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-1339.0625</v>
      </c>
      <c r="P7" s="116">
        <v>64</v>
      </c>
      <c r="Q7" s="100">
        <v>-85700</v>
      </c>
    </row>
    <row r="8" spans="1:17" x14ac:dyDescent="0.45">
      <c r="A8" s="51" t="s">
        <v>3</v>
      </c>
      <c r="B8" s="44">
        <v>35</v>
      </c>
      <c r="C8" s="37">
        <f t="shared" si="1"/>
        <v>0.40229885057471265</v>
      </c>
      <c r="E8" s="59" t="s">
        <v>69</v>
      </c>
      <c r="F8" s="56" t="s">
        <v>24</v>
      </c>
      <c r="G8" s="44">
        <v>29</v>
      </c>
      <c r="H8" s="129">
        <f>IF(B$15=0,0,G8/B$15)</f>
        <v>0.13942307692307693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0.37931034482758619</v>
      </c>
      <c r="E9" s="59" t="s">
        <v>70</v>
      </c>
      <c r="F9" s="56" t="s">
        <v>25</v>
      </c>
      <c r="G9" s="44">
        <v>26</v>
      </c>
      <c r="H9" s="129">
        <f>IF(B$15=0,0,G9/B$15)</f>
        <v>0.125</v>
      </c>
      <c r="I9" s="90">
        <v>2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8.0459770114942528E-2</v>
      </c>
      <c r="E10" s="59" t="s">
        <v>65</v>
      </c>
      <c r="F10" s="56" t="s">
        <v>21</v>
      </c>
      <c r="G10" s="44">
        <v>24</v>
      </c>
      <c r="H10" s="129">
        <f>IF(B$15=0,0,G10/B$15)</f>
        <v>0.11538461538461539</v>
      </c>
      <c r="I10" s="90">
        <v>5</v>
      </c>
      <c r="K10" s="36">
        <v>8</v>
      </c>
      <c r="L10" s="95">
        <v>-62.999999999999993</v>
      </c>
      <c r="N10" s="110" t="s">
        <v>157</v>
      </c>
      <c r="O10" s="120">
        <f>IF(P10=0,0,Q10/P10)</f>
        <v>-3.9914285714285729</v>
      </c>
      <c r="P10" s="114">
        <v>35</v>
      </c>
      <c r="Q10" s="102">
        <v>-139.70000000000005</v>
      </c>
    </row>
    <row r="11" spans="1:17" x14ac:dyDescent="0.45">
      <c r="A11" s="54" t="s">
        <v>121</v>
      </c>
      <c r="B11" s="47">
        <v>209</v>
      </c>
      <c r="C11" s="42">
        <f>IF(B$3=0,0,B11/B$3)</f>
        <v>0.28281461434370769</v>
      </c>
      <c r="E11" s="59" t="s">
        <v>89</v>
      </c>
      <c r="F11" s="56" t="s">
        <v>44</v>
      </c>
      <c r="G11" s="44">
        <v>24</v>
      </c>
      <c r="H11" s="129">
        <f>IF(B$15=0,0,G11/B$15)</f>
        <v>0.11538461538461539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-7.8708333333333345</v>
      </c>
      <c r="P11" s="115">
        <v>24</v>
      </c>
      <c r="Q11" s="103">
        <v>-188.90000000000003</v>
      </c>
    </row>
    <row r="12" spans="1:17" x14ac:dyDescent="0.45">
      <c r="A12" s="51" t="s">
        <v>118</v>
      </c>
      <c r="B12" s="44">
        <v>149</v>
      </c>
      <c r="C12" s="37">
        <f>IF(B$3=0,0,B12/B$3)</f>
        <v>0.20162381596752368</v>
      </c>
      <c r="E12" s="59" t="s">
        <v>83</v>
      </c>
      <c r="F12" s="56" t="s">
        <v>38</v>
      </c>
      <c r="G12" s="44">
        <v>10</v>
      </c>
      <c r="H12" s="129">
        <f>IF(B$15=0,0,G12/B$15)</f>
        <v>4.807692307692308E-2</v>
      </c>
      <c r="I12" s="90">
        <v>8</v>
      </c>
      <c r="K12" s="36">
        <v>10</v>
      </c>
      <c r="L12" s="95">
        <v>-117.19999999999999</v>
      </c>
      <c r="N12" s="112" t="s">
        <v>159</v>
      </c>
      <c r="O12" s="122">
        <f>IF(P12=0,0,Q12/P12)</f>
        <v>-7.8928571428571406</v>
      </c>
      <c r="P12" s="116">
        <v>28</v>
      </c>
      <c r="Q12" s="104">
        <v>-220.99999999999994</v>
      </c>
    </row>
    <row r="13" spans="1:17" x14ac:dyDescent="0.45">
      <c r="A13" s="50" t="s">
        <v>123</v>
      </c>
      <c r="B13" s="43">
        <f>B19</f>
        <v>116</v>
      </c>
      <c r="C13" s="35">
        <f>IF(B$11=0,0,B13/B$11)</f>
        <v>0.55502392344497609</v>
      </c>
      <c r="E13" s="59" t="s">
        <v>71</v>
      </c>
      <c r="F13" s="56" t="s">
        <v>26</v>
      </c>
      <c r="G13" s="44">
        <v>9</v>
      </c>
      <c r="H13" s="129">
        <f>IF(B$15=0,0,G13/B$15)</f>
        <v>4.3269230769230768E-2</v>
      </c>
      <c r="I13" s="90">
        <v>12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62</v>
      </c>
      <c r="C14" s="35">
        <f>IF(B$12=0,0,B14/B$12)</f>
        <v>0.41610738255033558</v>
      </c>
      <c r="E14" s="59" t="s">
        <v>86</v>
      </c>
      <c r="F14" s="56" t="s">
        <v>41</v>
      </c>
      <c r="G14" s="44">
        <v>9</v>
      </c>
      <c r="H14" s="129">
        <f>IF(B$15=0,0,G14/B$15)</f>
        <v>4.3269230769230768E-2</v>
      </c>
      <c r="I14" s="90">
        <v>9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208</v>
      </c>
      <c r="C15" s="35">
        <f>IF(B$3=0,0,B15/B$3)</f>
        <v>0.28146143437077131</v>
      </c>
      <c r="E15" s="59" t="s">
        <v>78</v>
      </c>
      <c r="F15" s="56" t="s">
        <v>33</v>
      </c>
      <c r="G15" s="44">
        <v>7</v>
      </c>
      <c r="H15" s="129">
        <f>IF(B$15=0,0,G15/B$15)</f>
        <v>3.3653846153846152E-2</v>
      </c>
      <c r="I15" s="90">
        <v>3</v>
      </c>
      <c r="K15" s="36">
        <v>13</v>
      </c>
      <c r="L15" s="95">
        <v>-207.3</v>
      </c>
      <c r="N15" s="110" t="s">
        <v>161</v>
      </c>
      <c r="O15" s="120">
        <f t="shared" ref="O15:O23" si="2">IF(P15=0,0,Q15/P15)</f>
        <v>8.6066666666666709</v>
      </c>
      <c r="P15" s="114">
        <v>15</v>
      </c>
      <c r="Q15" s="102">
        <v>129.10000000000005</v>
      </c>
    </row>
    <row r="16" spans="1:17" x14ac:dyDescent="0.45">
      <c r="A16" s="51" t="s">
        <v>13</v>
      </c>
      <c r="B16" s="44">
        <v>139</v>
      </c>
      <c r="C16" s="37">
        <f>IF(B$3=0,0,B16/B$3)</f>
        <v>0.18809201623815969</v>
      </c>
      <c r="E16" s="59" t="s">
        <v>162</v>
      </c>
      <c r="F16" s="56" t="s">
        <v>163</v>
      </c>
      <c r="G16" s="44">
        <v>4</v>
      </c>
      <c r="H16" s="129">
        <f>IF(B$15=0,0,G16/B$15)</f>
        <v>1.9230769230769232E-2</v>
      </c>
      <c r="I16" s="90">
        <v>5</v>
      </c>
      <c r="K16" s="36">
        <v>14</v>
      </c>
      <c r="L16" s="95">
        <v>-204.8</v>
      </c>
      <c r="N16" s="111" t="s">
        <v>197</v>
      </c>
      <c r="O16" s="121">
        <f t="shared" si="2"/>
        <v>3.1666666666666656</v>
      </c>
      <c r="P16" s="115">
        <v>3</v>
      </c>
      <c r="Q16" s="103">
        <v>9.4999999999999964</v>
      </c>
    </row>
    <row r="17" spans="1:17" x14ac:dyDescent="0.45">
      <c r="A17" s="51" t="s">
        <v>12</v>
      </c>
      <c r="B17" s="44">
        <v>95</v>
      </c>
      <c r="C17" s="37">
        <f>IF(B$15=0,0,B17/B$15)</f>
        <v>0.45673076923076922</v>
      </c>
      <c r="E17" s="59" t="s">
        <v>75</v>
      </c>
      <c r="F17" s="56" t="s">
        <v>30</v>
      </c>
      <c r="G17" s="44">
        <v>3</v>
      </c>
      <c r="H17" s="129">
        <f>IF(B$15=0,0,G17/B$15)</f>
        <v>1.4423076923076924E-2</v>
      </c>
      <c r="I17" s="90">
        <v>2</v>
      </c>
      <c r="K17" s="36">
        <v>15</v>
      </c>
      <c r="L17" s="95">
        <v>-221.5</v>
      </c>
      <c r="N17" s="111" t="s">
        <v>170</v>
      </c>
      <c r="O17" s="121">
        <f t="shared" si="2"/>
        <v>2.5450000000000008</v>
      </c>
      <c r="P17" s="115">
        <v>20</v>
      </c>
      <c r="Q17" s="103">
        <v>50.90000000000002</v>
      </c>
    </row>
    <row r="18" spans="1:17" x14ac:dyDescent="0.45">
      <c r="A18" s="51" t="s">
        <v>11</v>
      </c>
      <c r="B18" s="44">
        <v>113</v>
      </c>
      <c r="C18" s="37">
        <f>IF(B$15=0,0,B18/B$15)</f>
        <v>0.54326923076923073</v>
      </c>
      <c r="E18" s="59" t="s">
        <v>79</v>
      </c>
      <c r="F18" s="56" t="s">
        <v>34</v>
      </c>
      <c r="G18" s="44">
        <v>3</v>
      </c>
      <c r="H18" s="129">
        <f>IF(B$15=0,0,G18/B$15)</f>
        <v>1.4423076923076924E-2</v>
      </c>
      <c r="I18" s="90">
        <v>6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116</v>
      </c>
      <c r="C19" s="37">
        <f>IF(B$15=0,0,B19/B$15)</f>
        <v>0.55769230769230771</v>
      </c>
      <c r="E19" s="59" t="s">
        <v>81</v>
      </c>
      <c r="F19" s="56" t="s">
        <v>36</v>
      </c>
      <c r="G19" s="44">
        <v>3</v>
      </c>
      <c r="H19" s="129">
        <f>IF(B$15=0,0,G19/B$15)</f>
        <v>1.4423076923076924E-2</v>
      </c>
      <c r="I19" s="90">
        <v>8</v>
      </c>
      <c r="K19" s="36">
        <v>17</v>
      </c>
      <c r="L19" s="95">
        <v>-251.4</v>
      </c>
      <c r="N19" s="111" t="s">
        <v>126</v>
      </c>
      <c r="O19" s="121">
        <f t="shared" si="2"/>
        <v>-12.788888888888891</v>
      </c>
      <c r="P19" s="115">
        <v>54</v>
      </c>
      <c r="Q19" s="103">
        <v>-690.60000000000014</v>
      </c>
    </row>
    <row r="20" spans="1:17" x14ac:dyDescent="0.45">
      <c r="A20" s="51" t="s">
        <v>193</v>
      </c>
      <c r="B20" s="44">
        <v>62</v>
      </c>
      <c r="C20" s="37">
        <f>IF(B$15=0,0,B20/B$15)</f>
        <v>0.29807692307692307</v>
      </c>
      <c r="E20" s="59" t="s">
        <v>91</v>
      </c>
      <c r="F20" s="56" t="s">
        <v>46</v>
      </c>
      <c r="G20" s="44">
        <v>1</v>
      </c>
      <c r="H20" s="129">
        <f>IF(B$15=0,0,G20/B$15)</f>
        <v>4.807692307692308E-3</v>
      </c>
      <c r="I20" s="90">
        <v>8</v>
      </c>
      <c r="K20" s="36">
        <v>18</v>
      </c>
      <c r="L20" s="95">
        <v>-240</v>
      </c>
      <c r="N20" s="111" t="s">
        <v>171</v>
      </c>
      <c r="O20" s="121">
        <f t="shared" si="2"/>
        <v>-13.237499999999999</v>
      </c>
      <c r="P20" s="115">
        <v>24</v>
      </c>
      <c r="Q20" s="103">
        <v>-317.7</v>
      </c>
    </row>
    <row r="21" spans="1:17" x14ac:dyDescent="0.45">
      <c r="A21" s="51" t="s">
        <v>194</v>
      </c>
      <c r="B21" s="44">
        <v>30</v>
      </c>
      <c r="C21" s="37">
        <f>IF(B$15=0,0,B21/B$15)</f>
        <v>0.14423076923076922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-15.928260869565211</v>
      </c>
      <c r="P21" s="115">
        <v>46</v>
      </c>
      <c r="Q21" s="103">
        <v>-732.6999999999997</v>
      </c>
    </row>
    <row r="22" spans="1:17" x14ac:dyDescent="0.45">
      <c r="A22" s="51" t="s">
        <v>5</v>
      </c>
      <c r="B22" s="48">
        <f>IF(B$15=0,0,C22/B$15)</f>
        <v>7688.4615384615381</v>
      </c>
      <c r="C22" s="39">
        <v>1599200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 t="shared" si="2"/>
        <v>-42.1</v>
      </c>
      <c r="P22" s="115">
        <v>1</v>
      </c>
      <c r="Q22" s="103">
        <v>-42.1</v>
      </c>
    </row>
    <row r="23" spans="1:17" x14ac:dyDescent="0.45">
      <c r="A23" s="52" t="s">
        <v>177</v>
      </c>
      <c r="B23" s="136">
        <f>IF($B$15-B$14=0,0,C23/($B$15-B$14))</f>
        <v>8317.8082191780813</v>
      </c>
      <c r="C23" s="137">
        <v>1214400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6206.4516129032254</v>
      </c>
      <c r="C24" s="137">
        <v>384800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-7452.517985611511</v>
      </c>
      <c r="C25" s="137">
        <v>-1035900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9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52">
        <v>8</v>
      </c>
      <c r="C28" s="153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50">
        <v>69500</v>
      </c>
      <c r="C29" s="151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4.0595399188092015E-3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15</v>
      </c>
      <c r="C32" s="141">
        <f>IF(B$15=0,0,B32/B$15)</f>
        <v>7.2115384615384609E-2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0.1875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47</v>
      </c>
      <c r="C34" s="37">
        <f>IF(B$15=0,0,B34/B$15)</f>
        <v>0.22596153846153846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31</v>
      </c>
      <c r="C35" s="37">
        <f t="shared" si="3"/>
        <v>0.14903846153846154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35</v>
      </c>
      <c r="C36" s="37">
        <f t="shared" si="3"/>
        <v>0.16826923076923078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21</v>
      </c>
      <c r="C37" s="37">
        <f t="shared" si="3"/>
        <v>0.10096153846153846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12</v>
      </c>
      <c r="C38" s="37">
        <f t="shared" si="3"/>
        <v>5.7692307692307696E-2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4</v>
      </c>
      <c r="C39" s="37">
        <f t="shared" si="3"/>
        <v>1.9230769230769232E-2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4.807692307692308E-3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4.807692307692308E-3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9.6153846153846159E-3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</sheetData>
  <sortState xmlns:xlrd2="http://schemas.microsoft.com/office/spreadsheetml/2017/richdata2" ref="E2:I9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31DC-A1BB-4540-93F5-6AC2AD443A34}">
  <sheetPr codeName="Sheet15"/>
  <dimension ref="A1:Q102"/>
  <sheetViews>
    <sheetView showGridLines="0" zoomScaleNormal="100" workbookViewId="0">
      <selection activeCell="O20" sqref="O20"/>
    </sheetView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170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100</v>
      </c>
      <c r="C2" s="159"/>
      <c r="E2" s="58" t="s">
        <v>66</v>
      </c>
      <c r="F2" s="55" t="s">
        <v>22</v>
      </c>
      <c r="G2" s="43">
        <v>188</v>
      </c>
      <c r="H2" s="128">
        <f>IF(B$15=0,0,G2/B$15)</f>
        <v>0.8392857142857143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1424</v>
      </c>
      <c r="P2" s="114">
        <v>100</v>
      </c>
      <c r="Q2" s="98">
        <v>142400</v>
      </c>
    </row>
    <row r="3" spans="1:17" x14ac:dyDescent="0.45">
      <c r="A3" s="51" t="s">
        <v>8</v>
      </c>
      <c r="B3" s="160">
        <v>804</v>
      </c>
      <c r="C3" s="161"/>
      <c r="E3" s="59" t="s">
        <v>64</v>
      </c>
      <c r="F3" s="56" t="s">
        <v>20</v>
      </c>
      <c r="G3" s="44">
        <v>126</v>
      </c>
      <c r="H3" s="129">
        <f>IF(B$15=0,0,G3/B$15)</f>
        <v>0.5625</v>
      </c>
      <c r="I3" s="90">
        <v>3</v>
      </c>
      <c r="K3" s="36">
        <v>1</v>
      </c>
      <c r="L3" s="95">
        <v>-9.1</v>
      </c>
      <c r="N3" s="111" t="s">
        <v>131</v>
      </c>
      <c r="O3" s="118">
        <f t="shared" si="0"/>
        <v>-1321.4285714285713</v>
      </c>
      <c r="P3" s="115">
        <v>98</v>
      </c>
      <c r="Q3" s="99">
        <v>-129500</v>
      </c>
    </row>
    <row r="4" spans="1:17" x14ac:dyDescent="0.45">
      <c r="A4" s="51" t="s">
        <v>6</v>
      </c>
      <c r="B4" s="162">
        <v>350.30000000000018</v>
      </c>
      <c r="C4" s="163"/>
      <c r="E4" s="59" t="s">
        <v>72</v>
      </c>
      <c r="F4" s="56" t="s">
        <v>27</v>
      </c>
      <c r="G4" s="44">
        <v>124</v>
      </c>
      <c r="H4" s="129">
        <f>IF(B$15=0,0,G4/B$15)</f>
        <v>0.5535714285714286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-332.58426966292137</v>
      </c>
      <c r="P4" s="115">
        <v>89</v>
      </c>
      <c r="Q4" s="99">
        <v>-29600</v>
      </c>
    </row>
    <row r="5" spans="1:17" x14ac:dyDescent="0.45">
      <c r="A5" s="51" t="s">
        <v>7</v>
      </c>
      <c r="B5" s="164">
        <f>IF(B$2=0,0,B$4/B$2)</f>
        <v>3.5030000000000019</v>
      </c>
      <c r="C5" s="165"/>
      <c r="E5" s="59" t="s">
        <v>67</v>
      </c>
      <c r="F5" s="56" t="s">
        <v>23</v>
      </c>
      <c r="G5" s="44">
        <v>98</v>
      </c>
      <c r="H5" s="129">
        <f>IF(B$15=0,0,G5/B$15)</f>
        <v>0.4375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2781.1764705882351</v>
      </c>
      <c r="P5" s="115">
        <v>85</v>
      </c>
      <c r="Q5" s="99">
        <v>236400</v>
      </c>
    </row>
    <row r="6" spans="1:17" x14ac:dyDescent="0.45">
      <c r="A6" s="51" t="s">
        <v>1</v>
      </c>
      <c r="B6" s="154">
        <f>IF(B$2=0,0,(B$7*1+B$8*2+B$9*3)/B$2)</f>
        <v>1.93</v>
      </c>
      <c r="C6" s="155"/>
      <c r="E6" s="59" t="s">
        <v>68</v>
      </c>
      <c r="F6" s="56" t="s">
        <v>12</v>
      </c>
      <c r="G6" s="44">
        <v>91</v>
      </c>
      <c r="H6" s="129">
        <f>IF(B$15=0,0,G6/B$15)</f>
        <v>0.40625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294.73684210526318</v>
      </c>
      <c r="P6" s="115">
        <v>76</v>
      </c>
      <c r="Q6" s="99">
        <v>22400</v>
      </c>
    </row>
    <row r="7" spans="1:17" x14ac:dyDescent="0.45">
      <c r="A7" s="51" t="s">
        <v>2</v>
      </c>
      <c r="B7" s="44">
        <v>39</v>
      </c>
      <c r="C7" s="37">
        <f t="shared" ref="C7:C10" si="1">IF(B$2=0,0,B7/B$2)</f>
        <v>0.39</v>
      </c>
      <c r="E7" s="59" t="s">
        <v>166</v>
      </c>
      <c r="F7" s="56" t="s">
        <v>167</v>
      </c>
      <c r="G7" s="44">
        <v>86</v>
      </c>
      <c r="H7" s="129">
        <f>IF(B$15=0,0,G7/B$15)</f>
        <v>0.38392857142857145</v>
      </c>
      <c r="I7" s="90">
        <v>7</v>
      </c>
      <c r="K7" s="36">
        <v>5</v>
      </c>
      <c r="L7" s="95">
        <v>-118.3</v>
      </c>
      <c r="N7" s="112" t="s">
        <v>135</v>
      </c>
      <c r="O7" s="119">
        <f t="shared" si="0"/>
        <v>18.64406779661017</v>
      </c>
      <c r="P7" s="116">
        <v>59</v>
      </c>
      <c r="Q7" s="100">
        <v>1100</v>
      </c>
    </row>
    <row r="8" spans="1:17" x14ac:dyDescent="0.45">
      <c r="A8" s="51" t="s">
        <v>3</v>
      </c>
      <c r="B8" s="44">
        <v>29</v>
      </c>
      <c r="C8" s="37">
        <f t="shared" si="1"/>
        <v>0.28999999999999998</v>
      </c>
      <c r="E8" s="59" t="s">
        <v>89</v>
      </c>
      <c r="F8" s="56" t="s">
        <v>44</v>
      </c>
      <c r="G8" s="44">
        <v>52</v>
      </c>
      <c r="H8" s="129">
        <f>IF(B$15=0,0,G8/B$15)</f>
        <v>0.23214285714285715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32</v>
      </c>
      <c r="C9" s="38">
        <f t="shared" si="1"/>
        <v>0.32</v>
      </c>
      <c r="E9" s="59" t="s">
        <v>69</v>
      </c>
      <c r="F9" s="56" t="s">
        <v>24</v>
      </c>
      <c r="G9" s="44">
        <v>48</v>
      </c>
      <c r="H9" s="129">
        <f>IF(B$15=0,0,G9/B$15)</f>
        <v>0.21428571428571427</v>
      </c>
      <c r="I9" s="90">
        <v>1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0.11</v>
      </c>
      <c r="E10" s="59" t="s">
        <v>65</v>
      </c>
      <c r="F10" s="56" t="s">
        <v>21</v>
      </c>
      <c r="G10" s="44">
        <v>33</v>
      </c>
      <c r="H10" s="129">
        <f>IF(B$15=0,0,G10/B$15)</f>
        <v>0.14732142857142858</v>
      </c>
      <c r="I10" s="90">
        <v>2</v>
      </c>
      <c r="K10" s="36">
        <v>8</v>
      </c>
      <c r="L10" s="95">
        <v>-110.19999999999999</v>
      </c>
      <c r="N10" s="110" t="s">
        <v>157</v>
      </c>
      <c r="O10" s="120">
        <f>IF(P10=0,0,Q10/P10)</f>
        <v>-0.51071428571428545</v>
      </c>
      <c r="P10" s="114">
        <v>28</v>
      </c>
      <c r="Q10" s="102">
        <v>-14.299999999999994</v>
      </c>
    </row>
    <row r="11" spans="1:17" x14ac:dyDescent="0.45">
      <c r="A11" s="54" t="s">
        <v>121</v>
      </c>
      <c r="B11" s="47">
        <v>253</v>
      </c>
      <c r="C11" s="42">
        <f>IF(B$3=0,0,B11/B$3)</f>
        <v>0.31467661691542287</v>
      </c>
      <c r="E11" s="59" t="s">
        <v>70</v>
      </c>
      <c r="F11" s="56" t="s">
        <v>25</v>
      </c>
      <c r="G11" s="44">
        <v>24</v>
      </c>
      <c r="H11" s="129">
        <f>IF(B$15=0,0,G11/B$15)</f>
        <v>0.10714285714285714</v>
      </c>
      <c r="I11" s="90">
        <v>6</v>
      </c>
      <c r="K11" s="36">
        <v>9</v>
      </c>
      <c r="L11" s="95">
        <v>-120.99999999999999</v>
      </c>
      <c r="N11" s="111" t="s">
        <v>158</v>
      </c>
      <c r="O11" s="121">
        <f>IF(P11=0,0,Q11/P11)</f>
        <v>5.9499999999999993</v>
      </c>
      <c r="P11" s="115">
        <v>40</v>
      </c>
      <c r="Q11" s="103">
        <v>237.99999999999997</v>
      </c>
    </row>
    <row r="12" spans="1:17" x14ac:dyDescent="0.45">
      <c r="A12" s="51" t="s">
        <v>118</v>
      </c>
      <c r="B12" s="44">
        <v>132</v>
      </c>
      <c r="C12" s="37">
        <f>IF(B$3=0,0,B12/B$3)</f>
        <v>0.16417910447761194</v>
      </c>
      <c r="E12" s="59" t="s">
        <v>162</v>
      </c>
      <c r="F12" s="56" t="s">
        <v>163</v>
      </c>
      <c r="G12" s="44">
        <v>16</v>
      </c>
      <c r="H12" s="129">
        <f>IF(B$15=0,0,G12/B$15)</f>
        <v>7.1428571428571425E-2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3.9562500000000003</v>
      </c>
      <c r="P12" s="116">
        <v>32</v>
      </c>
      <c r="Q12" s="104">
        <v>126.60000000000001</v>
      </c>
    </row>
    <row r="13" spans="1:17" x14ac:dyDescent="0.45">
      <c r="A13" s="50" t="s">
        <v>123</v>
      </c>
      <c r="B13" s="43">
        <f>B19</f>
        <v>141</v>
      </c>
      <c r="C13" s="35">
        <f>IF(B$11=0,0,B13/B$11)</f>
        <v>0.55731225296442688</v>
      </c>
      <c r="E13" s="59" t="s">
        <v>71</v>
      </c>
      <c r="F13" s="56" t="s">
        <v>26</v>
      </c>
      <c r="G13" s="44">
        <v>12</v>
      </c>
      <c r="H13" s="129">
        <f>IF(B$15=0,0,G13/B$15)</f>
        <v>5.3571428571428568E-2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52</v>
      </c>
      <c r="C14" s="35">
        <f>IF(B$12=0,0,B14/B$12)</f>
        <v>0.39393939393939392</v>
      </c>
      <c r="E14" s="59" t="s">
        <v>83</v>
      </c>
      <c r="F14" s="56" t="s">
        <v>38</v>
      </c>
      <c r="G14" s="44">
        <v>7</v>
      </c>
      <c r="H14" s="129">
        <f>IF(B$15=0,0,G14/B$15)</f>
        <v>3.125E-2</v>
      </c>
      <c r="I14" s="90">
        <v>12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224</v>
      </c>
      <c r="C15" s="35">
        <f>IF(B$3=0,0,B15/B$3)</f>
        <v>0.27860696517412936</v>
      </c>
      <c r="E15" s="59" t="s">
        <v>86</v>
      </c>
      <c r="F15" s="56" t="s">
        <v>41</v>
      </c>
      <c r="G15" s="44">
        <v>7</v>
      </c>
      <c r="H15" s="129">
        <f>IF(B$15=0,0,G15/B$15)</f>
        <v>3.125E-2</v>
      </c>
      <c r="I15" s="90">
        <v>11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141</v>
      </c>
      <c r="C16" s="37">
        <f>IF(B$3=0,0,B16/B$3)</f>
        <v>0.17537313432835822</v>
      </c>
      <c r="E16" s="59" t="s">
        <v>81</v>
      </c>
      <c r="F16" s="56" t="s">
        <v>36</v>
      </c>
      <c r="G16" s="44">
        <v>4</v>
      </c>
      <c r="H16" s="129">
        <f>IF(B$15=0,0,G16/B$15)</f>
        <v>1.7857142857142856E-2</v>
      </c>
      <c r="I16" s="90">
        <v>5</v>
      </c>
      <c r="K16" s="36">
        <v>14</v>
      </c>
      <c r="L16" s="95">
        <v>-86.499999999999972</v>
      </c>
      <c r="N16" s="111" t="s">
        <v>161</v>
      </c>
      <c r="O16" s="121">
        <f>IF(P16=0,0,Q16/P16)</f>
        <v>37.1</v>
      </c>
      <c r="P16" s="115">
        <v>18</v>
      </c>
      <c r="Q16" s="103">
        <v>667.80000000000007</v>
      </c>
    </row>
    <row r="17" spans="1:17" x14ac:dyDescent="0.45">
      <c r="A17" s="51" t="s">
        <v>12</v>
      </c>
      <c r="B17" s="44">
        <v>117</v>
      </c>
      <c r="C17" s="37">
        <f>IF(B$15=0,0,B17/B$15)</f>
        <v>0.5223214285714286</v>
      </c>
      <c r="E17" s="59" t="s">
        <v>91</v>
      </c>
      <c r="F17" s="56" t="s">
        <v>46</v>
      </c>
      <c r="G17" s="44">
        <v>4</v>
      </c>
      <c r="H17" s="129">
        <f>IF(B$15=0,0,G17/B$15)</f>
        <v>1.7857142857142856E-2</v>
      </c>
      <c r="I17" s="90">
        <v>4</v>
      </c>
      <c r="K17" s="36">
        <v>15</v>
      </c>
      <c r="L17" s="95">
        <v>-101.79999999999997</v>
      </c>
      <c r="N17" s="111" t="s">
        <v>197</v>
      </c>
      <c r="O17" s="121">
        <f>IF(P17=0,0,Q17/P17)</f>
        <v>9.4086956521739165</v>
      </c>
      <c r="P17" s="115">
        <v>23</v>
      </c>
      <c r="Q17" s="103">
        <v>216.40000000000006</v>
      </c>
    </row>
    <row r="18" spans="1:17" x14ac:dyDescent="0.45">
      <c r="A18" s="51" t="s">
        <v>11</v>
      </c>
      <c r="B18" s="44">
        <v>107</v>
      </c>
      <c r="C18" s="37">
        <f>IF(B$15=0,0,B18/B$15)</f>
        <v>0.47767857142857145</v>
      </c>
      <c r="E18" s="59" t="s">
        <v>92</v>
      </c>
      <c r="F18" s="56" t="s">
        <v>47</v>
      </c>
      <c r="G18" s="44">
        <v>4</v>
      </c>
      <c r="H18" s="129">
        <f>IF(B$15=0,0,G18/B$15)</f>
        <v>1.7857142857142856E-2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6.0122448979591834</v>
      </c>
      <c r="P18" s="115">
        <v>49</v>
      </c>
      <c r="Q18" s="103">
        <v>294.59999999999997</v>
      </c>
    </row>
    <row r="19" spans="1:17" x14ac:dyDescent="0.45">
      <c r="A19" s="51" t="s">
        <v>195</v>
      </c>
      <c r="B19" s="44">
        <v>141</v>
      </c>
      <c r="C19" s="37">
        <f>IF(B$15=0,0,B19/B$15)</f>
        <v>0.6294642857142857</v>
      </c>
      <c r="E19" s="59" t="s">
        <v>73</v>
      </c>
      <c r="F19" s="56" t="s">
        <v>28</v>
      </c>
      <c r="G19" s="44">
        <v>2</v>
      </c>
      <c r="H19" s="129">
        <f>IF(B$15=0,0,G19/B$15)</f>
        <v>8.9285714285714281E-3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3.4128205128205105</v>
      </c>
      <c r="P19" s="115">
        <v>39</v>
      </c>
      <c r="Q19" s="103">
        <v>133.09999999999991</v>
      </c>
    </row>
    <row r="20" spans="1:17" x14ac:dyDescent="0.45">
      <c r="A20" s="51" t="s">
        <v>193</v>
      </c>
      <c r="B20" s="44">
        <v>52</v>
      </c>
      <c r="C20" s="37">
        <f>IF(B$15=0,0,B20/B$15)</f>
        <v>0.23214285714285715</v>
      </c>
      <c r="E20" s="59" t="s">
        <v>78</v>
      </c>
      <c r="F20" s="56" t="s">
        <v>33</v>
      </c>
      <c r="G20" s="44">
        <v>2</v>
      </c>
      <c r="H20" s="129">
        <f>IF(B$15=0,0,G20/B$15)</f>
        <v>8.9285714285714281E-3</v>
      </c>
      <c r="I20" s="90">
        <v>8</v>
      </c>
      <c r="K20" s="36">
        <v>18</v>
      </c>
      <c r="L20" s="95">
        <v>-24.999999999999968</v>
      </c>
      <c r="N20" s="111" t="s">
        <v>172</v>
      </c>
      <c r="O20" s="121">
        <f>IF(P20=0,0,Q20/P20)</f>
        <v>-2.5450000000000008</v>
      </c>
      <c r="P20" s="115">
        <v>20</v>
      </c>
      <c r="Q20" s="103">
        <v>-50.90000000000002</v>
      </c>
    </row>
    <row r="21" spans="1:17" x14ac:dyDescent="0.45">
      <c r="A21" s="51" t="s">
        <v>194</v>
      </c>
      <c r="B21" s="44">
        <v>31</v>
      </c>
      <c r="C21" s="37">
        <f>IF(B$15=0,0,B21/B$15)</f>
        <v>0.13839285714285715</v>
      </c>
      <c r="E21" s="59" t="s">
        <v>79</v>
      </c>
      <c r="F21" s="56" t="s">
        <v>34</v>
      </c>
      <c r="G21" s="44">
        <v>2</v>
      </c>
      <c r="H21" s="129">
        <f>IF(B$15=0,0,G21/B$15)</f>
        <v>8.9285714285714281E-3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-3.584210526315792</v>
      </c>
      <c r="P21" s="115">
        <v>38</v>
      </c>
      <c r="Q21" s="103">
        <v>-136.2000000000001</v>
      </c>
    </row>
    <row r="22" spans="1:17" x14ac:dyDescent="0.45">
      <c r="A22" s="51" t="s">
        <v>5</v>
      </c>
      <c r="B22" s="48">
        <f>IF(B$15=0,0,C22/B$15)</f>
        <v>10834.375</v>
      </c>
      <c r="C22" s="39">
        <v>2426900</v>
      </c>
      <c r="E22" s="59" t="s">
        <v>84</v>
      </c>
      <c r="F22" s="56" t="s">
        <v>39</v>
      </c>
      <c r="G22" s="44">
        <v>2</v>
      </c>
      <c r="H22" s="129">
        <f>IF(B$15=0,0,G22/B$15)</f>
        <v>8.9285714285714281E-3</v>
      </c>
      <c r="I22" s="90">
        <v>1</v>
      </c>
      <c r="K22" s="36">
        <v>20</v>
      </c>
      <c r="L22" s="95">
        <v>-50.39999999999997</v>
      </c>
      <c r="N22" s="111" t="s">
        <v>196</v>
      </c>
      <c r="O22" s="121">
        <f>IF(P22=0,0,Q22/P22)</f>
        <v>-14.099999999999998</v>
      </c>
      <c r="P22" s="115">
        <v>8</v>
      </c>
      <c r="Q22" s="103">
        <v>-112.79999999999998</v>
      </c>
    </row>
    <row r="23" spans="1:17" x14ac:dyDescent="0.45">
      <c r="A23" s="52" t="s">
        <v>177</v>
      </c>
      <c r="B23" s="136">
        <f>IF($B$15-B$14=0,0,C23/($B$15-B$14))</f>
        <v>11547.674418604651</v>
      </c>
      <c r="C23" s="137">
        <v>1986200</v>
      </c>
      <c r="E23" s="59" t="s">
        <v>90</v>
      </c>
      <c r="F23" s="56" t="s">
        <v>45</v>
      </c>
      <c r="G23" s="44">
        <v>2</v>
      </c>
      <c r="H23" s="129">
        <f>IF(B$15=0,0,G23/B$15)</f>
        <v>8.9285714285714281E-3</v>
      </c>
      <c r="I23" s="90">
        <v>1</v>
      </c>
      <c r="K23" s="36">
        <v>21</v>
      </c>
      <c r="L23" s="95">
        <v>-59.89999999999997</v>
      </c>
      <c r="N23" s="111" t="s">
        <v>274</v>
      </c>
      <c r="O23" s="121">
        <f>IF(P23=0,0,Q23/P23)</f>
        <v>-27.466666666666665</v>
      </c>
      <c r="P23" s="115">
        <v>3</v>
      </c>
      <c r="Q23" s="103">
        <v>-82.399999999999991</v>
      </c>
    </row>
    <row r="24" spans="1:17" x14ac:dyDescent="0.45">
      <c r="A24" s="52" t="s">
        <v>178</v>
      </c>
      <c r="B24" s="136">
        <f>IF(B$14=0,0,C24/B$14)</f>
        <v>8475</v>
      </c>
      <c r="C24" s="137">
        <v>440700</v>
      </c>
      <c r="E24" s="59" t="s">
        <v>75</v>
      </c>
      <c r="F24" s="56" t="s">
        <v>30</v>
      </c>
      <c r="G24" s="44">
        <v>1</v>
      </c>
      <c r="H24" s="129">
        <f>IF(B$15=0,0,G24/B$15)</f>
        <v>4.464285714285714E-3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-8365.9574468085102</v>
      </c>
      <c r="C25" s="137">
        <v>-1179600</v>
      </c>
      <c r="E25" s="59" t="s">
        <v>85</v>
      </c>
      <c r="F25" s="56" t="s">
        <v>40</v>
      </c>
      <c r="G25" s="44">
        <v>1</v>
      </c>
      <c r="H25" s="129">
        <f>IF(B$15=0,0,G25/B$15)</f>
        <v>4.464285714285714E-3</v>
      </c>
      <c r="I25" s="90">
        <v>5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4.464285714285714E-3</v>
      </c>
      <c r="I26" s="90">
        <v>2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5</v>
      </c>
      <c r="E27" s="59" t="s">
        <v>97</v>
      </c>
      <c r="F27" s="56" t="s">
        <v>52</v>
      </c>
      <c r="G27" s="44">
        <v>1</v>
      </c>
      <c r="H27" s="129">
        <f>IF(B$15=0,0,G27/B$15)</f>
        <v>4.464285714285714E-3</v>
      </c>
      <c r="I27" s="90">
        <v>1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52">
        <v>8</v>
      </c>
      <c r="C28" s="153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50">
        <v>122100</v>
      </c>
      <c r="C29" s="151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1.2437810945273632E-3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5</v>
      </c>
      <c r="C32" s="141">
        <f>IF(B$15=0,0,B32/B$15)</f>
        <v>2.2321428571428572E-2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19</v>
      </c>
      <c r="C33" s="37">
        <f t="shared" ref="C33:C44" si="2">IF(B$15=0,0,B33/B$15)</f>
        <v>8.4821428571428575E-2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29</v>
      </c>
      <c r="C34" s="37">
        <f>IF(B$15=0,0,B34/B$15)</f>
        <v>0.12946428571428573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40</v>
      </c>
      <c r="C35" s="37">
        <f t="shared" si="2"/>
        <v>0.17857142857142858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56</v>
      </c>
      <c r="C36" s="37">
        <f t="shared" si="2"/>
        <v>0.25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25</v>
      </c>
      <c r="C37" s="37">
        <f t="shared" si="2"/>
        <v>0.11160714285714286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20</v>
      </c>
      <c r="C38" s="37">
        <f t="shared" si="2"/>
        <v>8.9285714285714288E-2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15</v>
      </c>
      <c r="C39" s="37">
        <f t="shared" si="2"/>
        <v>6.6964285714285712E-2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4</v>
      </c>
      <c r="C40" s="37">
        <f t="shared" si="2"/>
        <v>1.7857142857142856E-2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2"/>
        <v>8.9285714285714281E-3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8.9285714285714281E-3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4.464285714285714E-3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2"/>
        <v>2.6785714285714284E-2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A29E7-338E-4A8A-AF8E-B7CF03599549}">
  <sheetPr codeName="Sheet17"/>
  <dimension ref="A1:Q11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111</v>
      </c>
      <c r="C2" s="159"/>
      <c r="E2" s="58" t="s">
        <v>66</v>
      </c>
      <c r="F2" s="55" t="s">
        <v>22</v>
      </c>
      <c r="G2" s="43">
        <v>196</v>
      </c>
      <c r="H2" s="128">
        <f>IF(B$15=0,0,G2/B$15)</f>
        <v>0.75968992248062017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442.34234234234236</v>
      </c>
      <c r="P2" s="114">
        <v>111</v>
      </c>
      <c r="Q2" s="98">
        <v>49100</v>
      </c>
    </row>
    <row r="3" spans="1:17" x14ac:dyDescent="0.45">
      <c r="A3" s="51" t="s">
        <v>8</v>
      </c>
      <c r="B3" s="160">
        <v>889</v>
      </c>
      <c r="C3" s="161"/>
      <c r="E3" s="59" t="s">
        <v>72</v>
      </c>
      <c r="F3" s="56" t="s">
        <v>27</v>
      </c>
      <c r="G3" s="44">
        <v>142</v>
      </c>
      <c r="H3" s="129">
        <f>IF(B$15=0,0,G3/B$15)</f>
        <v>0.55038759689922478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332.40740740740739</v>
      </c>
      <c r="P3" s="115">
        <v>108</v>
      </c>
      <c r="Q3" s="99">
        <v>35900</v>
      </c>
    </row>
    <row r="4" spans="1:17" x14ac:dyDescent="0.45">
      <c r="A4" s="51" t="s">
        <v>6</v>
      </c>
      <c r="B4" s="162">
        <v>106.3</v>
      </c>
      <c r="C4" s="163"/>
      <c r="E4" s="59" t="s">
        <v>64</v>
      </c>
      <c r="F4" s="56" t="s">
        <v>20</v>
      </c>
      <c r="G4" s="44">
        <v>132</v>
      </c>
      <c r="H4" s="129">
        <f>IF(B$15=0,0,G4/B$15)</f>
        <v>0.51162790697674421</v>
      </c>
      <c r="I4" s="90">
        <v>6</v>
      </c>
      <c r="K4" s="36">
        <v>2</v>
      </c>
      <c r="L4" s="95">
        <v>8.1000000000000014</v>
      </c>
      <c r="N4" s="111" t="s">
        <v>132</v>
      </c>
      <c r="O4" s="118">
        <f t="shared" si="0"/>
        <v>658.82352941176475</v>
      </c>
      <c r="P4" s="115">
        <v>102</v>
      </c>
      <c r="Q4" s="99">
        <v>67200</v>
      </c>
    </row>
    <row r="5" spans="1:17" x14ac:dyDescent="0.45">
      <c r="A5" s="51" t="s">
        <v>7</v>
      </c>
      <c r="B5" s="164">
        <f>IF(B$2=0,0,B$4/B$2)</f>
        <v>0.95765765765765765</v>
      </c>
      <c r="C5" s="165"/>
      <c r="E5" s="59" t="s">
        <v>166</v>
      </c>
      <c r="F5" s="56" t="s">
        <v>167</v>
      </c>
      <c r="G5" s="44">
        <v>118</v>
      </c>
      <c r="H5" s="129">
        <f>IF(B$15=0,0,G5/B$15)</f>
        <v>0.4573643410852713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98.924731182795696</v>
      </c>
      <c r="P5" s="115">
        <v>93</v>
      </c>
      <c r="Q5" s="99">
        <v>9200</v>
      </c>
    </row>
    <row r="6" spans="1:17" x14ac:dyDescent="0.45">
      <c r="A6" s="51" t="s">
        <v>1</v>
      </c>
      <c r="B6" s="154">
        <f>IF(B$2=0,0,(B$7*1+B$8*2+B$9*3)/B$2)</f>
        <v>2.0180180180180178</v>
      </c>
      <c r="C6" s="155"/>
      <c r="E6" s="59" t="s">
        <v>67</v>
      </c>
      <c r="F6" s="56" t="s">
        <v>23</v>
      </c>
      <c r="G6" s="44">
        <v>96</v>
      </c>
      <c r="H6" s="129">
        <f>IF(B$15=0,0,G6/B$15)</f>
        <v>0.37209302325581395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-69.512195121951223</v>
      </c>
      <c r="P6" s="115">
        <v>82</v>
      </c>
      <c r="Q6" s="99">
        <v>-5700</v>
      </c>
    </row>
    <row r="7" spans="1:17" x14ac:dyDescent="0.45">
      <c r="A7" s="51" t="s">
        <v>2</v>
      </c>
      <c r="B7" s="44">
        <v>29</v>
      </c>
      <c r="C7" s="37">
        <f t="shared" ref="C7:C10" si="1">IF(B$2=0,0,B7/B$2)</f>
        <v>0.26126126126126126</v>
      </c>
      <c r="E7" s="59" t="s">
        <v>68</v>
      </c>
      <c r="F7" s="56" t="s">
        <v>12</v>
      </c>
      <c r="G7" s="44">
        <v>86</v>
      </c>
      <c r="H7" s="129">
        <f>IF(B$15=0,0,G7/B$15)</f>
        <v>0.33333333333333331</v>
      </c>
      <c r="I7" s="90">
        <v>3</v>
      </c>
      <c r="K7" s="36">
        <v>5</v>
      </c>
      <c r="L7" s="95">
        <v>-1.6000000000000014</v>
      </c>
      <c r="N7" s="112" t="s">
        <v>135</v>
      </c>
      <c r="O7" s="119">
        <f t="shared" si="0"/>
        <v>-801.42857142857144</v>
      </c>
      <c r="P7" s="116">
        <v>70</v>
      </c>
      <c r="Q7" s="100">
        <v>-56100</v>
      </c>
    </row>
    <row r="8" spans="1:17" x14ac:dyDescent="0.45">
      <c r="A8" s="51" t="s">
        <v>3</v>
      </c>
      <c r="B8" s="44">
        <v>51</v>
      </c>
      <c r="C8" s="37">
        <f t="shared" si="1"/>
        <v>0.45945945945945948</v>
      </c>
      <c r="E8" s="59" t="s">
        <v>69</v>
      </c>
      <c r="F8" s="56" t="s">
        <v>24</v>
      </c>
      <c r="G8" s="44">
        <v>36</v>
      </c>
      <c r="H8" s="129">
        <f>IF(B$15=0,0,G8/B$15)</f>
        <v>0.13953488372093023</v>
      </c>
      <c r="I8" s="90">
        <v>5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31</v>
      </c>
      <c r="C9" s="38">
        <f t="shared" si="1"/>
        <v>0.27927927927927926</v>
      </c>
      <c r="E9" s="59" t="s">
        <v>89</v>
      </c>
      <c r="F9" s="56" t="s">
        <v>44</v>
      </c>
      <c r="G9" s="44">
        <v>29</v>
      </c>
      <c r="H9" s="129">
        <f>IF(B$15=0,0,G9/B$15)</f>
        <v>0.1124031007751938</v>
      </c>
      <c r="I9" s="90">
        <v>10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7.2072072072072071E-2</v>
      </c>
      <c r="E10" s="59" t="s">
        <v>71</v>
      </c>
      <c r="F10" s="56" t="s">
        <v>26</v>
      </c>
      <c r="G10" s="44">
        <v>26</v>
      </c>
      <c r="H10" s="129">
        <f>IF(B$15=0,0,G10/B$15)</f>
        <v>0.10077519379844961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0.3645833333333332</v>
      </c>
      <c r="P10" s="114">
        <v>48</v>
      </c>
      <c r="Q10" s="102">
        <v>17.499999999999993</v>
      </c>
    </row>
    <row r="11" spans="1:17" x14ac:dyDescent="0.45">
      <c r="A11" s="54" t="s">
        <v>121</v>
      </c>
      <c r="B11" s="47">
        <v>239</v>
      </c>
      <c r="C11" s="42">
        <f>IF(B$3=0,0,B11/B$3)</f>
        <v>0.26884139482564678</v>
      </c>
      <c r="E11" s="59" t="s">
        <v>65</v>
      </c>
      <c r="F11" s="56" t="s">
        <v>21</v>
      </c>
      <c r="G11" s="44">
        <v>22</v>
      </c>
      <c r="H11" s="129">
        <f>IF(B$15=0,0,G11/B$15)</f>
        <v>8.5271317829457363E-2</v>
      </c>
      <c r="I11" s="90">
        <v>10</v>
      </c>
      <c r="K11" s="36">
        <v>9</v>
      </c>
      <c r="L11" s="95">
        <v>-90.9</v>
      </c>
      <c r="N11" s="111" t="s">
        <v>158</v>
      </c>
      <c r="O11" s="121">
        <f>IF(P11=0,0,Q11/P11)</f>
        <v>3.1852941176470595</v>
      </c>
      <c r="P11" s="115">
        <v>34</v>
      </c>
      <c r="Q11" s="103">
        <v>108.30000000000003</v>
      </c>
    </row>
    <row r="12" spans="1:17" x14ac:dyDescent="0.45">
      <c r="A12" s="51" t="s">
        <v>118</v>
      </c>
      <c r="B12" s="44">
        <v>195</v>
      </c>
      <c r="C12" s="37">
        <f>IF(B$3=0,0,B12/B$3)</f>
        <v>0.21934758155230596</v>
      </c>
      <c r="E12" s="59" t="s">
        <v>70</v>
      </c>
      <c r="F12" s="56" t="s">
        <v>25</v>
      </c>
      <c r="G12" s="44">
        <v>20</v>
      </c>
      <c r="H12" s="129">
        <f>IF(B$15=0,0,G12/B$15)</f>
        <v>7.7519379844961239E-2</v>
      </c>
      <c r="I12" s="90">
        <v>9</v>
      </c>
      <c r="K12" s="36">
        <v>10</v>
      </c>
      <c r="L12" s="95">
        <v>-146.69999999999999</v>
      </c>
      <c r="N12" s="112" t="s">
        <v>159</v>
      </c>
      <c r="O12" s="122">
        <f>IF(P12=0,0,Q12/P12)</f>
        <v>-0.67241379310344851</v>
      </c>
      <c r="P12" s="116">
        <v>29</v>
      </c>
      <c r="Q12" s="104">
        <v>-19.500000000000007</v>
      </c>
    </row>
    <row r="13" spans="1:17" x14ac:dyDescent="0.45">
      <c r="A13" s="50" t="s">
        <v>123</v>
      </c>
      <c r="B13" s="43">
        <f>B19</f>
        <v>138</v>
      </c>
      <c r="C13" s="35">
        <f>IF(B$11=0,0,B13/B$11)</f>
        <v>0.57740585774058573</v>
      </c>
      <c r="E13" s="59" t="s">
        <v>86</v>
      </c>
      <c r="F13" s="56" t="s">
        <v>41</v>
      </c>
      <c r="G13" s="44">
        <v>14</v>
      </c>
      <c r="H13" s="129">
        <f>IF(B$15=0,0,G13/B$15)</f>
        <v>5.4263565891472867E-2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84</v>
      </c>
      <c r="C14" s="35">
        <f>IF(B$12=0,0,B14/B$12)</f>
        <v>0.43076923076923079</v>
      </c>
      <c r="E14" s="59" t="s">
        <v>83</v>
      </c>
      <c r="F14" s="56" t="s">
        <v>38</v>
      </c>
      <c r="G14" s="44">
        <v>11</v>
      </c>
      <c r="H14" s="129">
        <f>IF(B$15=0,0,G14/B$15)</f>
        <v>4.2635658914728682E-2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258</v>
      </c>
      <c r="C15" s="35">
        <f>IF(B$3=0,0,B15/B$3)</f>
        <v>0.29021372328458944</v>
      </c>
      <c r="E15" s="59" t="s">
        <v>79</v>
      </c>
      <c r="F15" s="56" t="s">
        <v>34</v>
      </c>
      <c r="G15" s="44">
        <v>6</v>
      </c>
      <c r="H15" s="129">
        <f>IF(B$15=0,0,G15/B$15)</f>
        <v>2.3255813953488372E-2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121</v>
      </c>
      <c r="C16" s="37">
        <f>IF(B$3=0,0,B16/B$3)</f>
        <v>0.13610798650168729</v>
      </c>
      <c r="E16" s="59" t="s">
        <v>162</v>
      </c>
      <c r="F16" s="56" t="s">
        <v>163</v>
      </c>
      <c r="G16" s="44">
        <v>6</v>
      </c>
      <c r="H16" s="129">
        <f>IF(B$15=0,0,G16/B$15)</f>
        <v>2.3255813953488372E-2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115</v>
      </c>
      <c r="C17" s="37">
        <f>IF(B$15=0,0,B17/B$15)</f>
        <v>0.44573643410852715</v>
      </c>
      <c r="E17" s="59" t="s">
        <v>73</v>
      </c>
      <c r="F17" s="56" t="s">
        <v>28</v>
      </c>
      <c r="G17" s="44">
        <v>5</v>
      </c>
      <c r="H17" s="129">
        <f>IF(B$15=0,0,G17/B$15)</f>
        <v>1.937984496124031E-2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25.104347826086954</v>
      </c>
      <c r="P17" s="115">
        <v>23</v>
      </c>
      <c r="Q17" s="103">
        <v>577.4</v>
      </c>
    </row>
    <row r="18" spans="1:17" x14ac:dyDescent="0.45">
      <c r="A18" s="51" t="s">
        <v>11</v>
      </c>
      <c r="B18" s="44">
        <v>143</v>
      </c>
      <c r="C18" s="37">
        <f>IF(B$15=0,0,B18/B$15)</f>
        <v>0.55426356589147285</v>
      </c>
      <c r="E18" s="59" t="s">
        <v>81</v>
      </c>
      <c r="F18" s="56" t="s">
        <v>36</v>
      </c>
      <c r="G18" s="44">
        <v>4</v>
      </c>
      <c r="H18" s="129">
        <f>IF(B$15=0,0,G18/B$15)</f>
        <v>1.5503875968992248E-2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 t="shared" si="2"/>
        <v>13.237500000000002</v>
      </c>
      <c r="P18" s="115">
        <v>24</v>
      </c>
      <c r="Q18" s="103">
        <v>317.70000000000005</v>
      </c>
    </row>
    <row r="19" spans="1:17" x14ac:dyDescent="0.45">
      <c r="A19" s="51" t="s">
        <v>195</v>
      </c>
      <c r="B19" s="44">
        <v>138</v>
      </c>
      <c r="C19" s="37">
        <f>IF(B$15=0,0,B19/B$15)</f>
        <v>0.53488372093023251</v>
      </c>
      <c r="E19" s="59" t="s">
        <v>78</v>
      </c>
      <c r="F19" s="56" t="s">
        <v>33</v>
      </c>
      <c r="G19" s="44">
        <v>3</v>
      </c>
      <c r="H19" s="129">
        <f>IF(B$15=0,0,G19/B$15)</f>
        <v>1.1627906976744186E-2</v>
      </c>
      <c r="I19" s="90">
        <v>6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84</v>
      </c>
      <c r="C20" s="37">
        <f>IF(B$15=0,0,B20/B$15)</f>
        <v>0.32558139534883723</v>
      </c>
      <c r="E20" s="59" t="s">
        <v>85</v>
      </c>
      <c r="F20" s="56" t="s">
        <v>40</v>
      </c>
      <c r="G20" s="44">
        <v>2</v>
      </c>
      <c r="H20" s="129">
        <f>IF(B$15=0,0,G20/B$15)</f>
        <v>7.7519379844961239E-3</v>
      </c>
      <c r="I20" s="90">
        <v>3</v>
      </c>
      <c r="K20" s="36">
        <v>18</v>
      </c>
      <c r="L20" s="95">
        <v>-62.399999999999991</v>
      </c>
      <c r="N20" s="111" t="s">
        <v>161</v>
      </c>
      <c r="O20" s="121">
        <f t="shared" si="2"/>
        <v>3.9454545454545458</v>
      </c>
      <c r="P20" s="115">
        <v>22</v>
      </c>
      <c r="Q20" s="103">
        <v>86.800000000000011</v>
      </c>
    </row>
    <row r="21" spans="1:17" x14ac:dyDescent="0.45">
      <c r="A21" s="51" t="s">
        <v>194</v>
      </c>
      <c r="B21" s="44">
        <v>36</v>
      </c>
      <c r="C21" s="37">
        <f>IF(B$15=0,0,B21/B$15)</f>
        <v>0.13953488372093023</v>
      </c>
      <c r="E21" s="59" t="s">
        <v>91</v>
      </c>
      <c r="F21" s="56" t="s">
        <v>46</v>
      </c>
      <c r="G21" s="44">
        <v>2</v>
      </c>
      <c r="H21" s="129">
        <f>IF(B$15=0,0,G21/B$15)</f>
        <v>7.7519379844961239E-3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 t="shared" si="2"/>
        <v>0.33500000000000069</v>
      </c>
      <c r="P21" s="115">
        <v>40</v>
      </c>
      <c r="Q21" s="103">
        <v>13.400000000000027</v>
      </c>
    </row>
    <row r="22" spans="1:17" x14ac:dyDescent="0.45">
      <c r="A22" s="51" t="s">
        <v>5</v>
      </c>
      <c r="B22" s="48">
        <f>IF(B$15=0,0,C22/B$15)</f>
        <v>8524.8062015503874</v>
      </c>
      <c r="C22" s="39">
        <v>2199400</v>
      </c>
      <c r="E22" s="59" t="s">
        <v>74</v>
      </c>
      <c r="F22" s="56" t="s">
        <v>29</v>
      </c>
      <c r="G22" s="44">
        <v>1</v>
      </c>
      <c r="H22" s="129">
        <f>IF(B$15=0,0,G22/B$15)</f>
        <v>3.875968992248062E-3</v>
      </c>
      <c r="I22" s="90">
        <v>4</v>
      </c>
      <c r="K22" s="36">
        <v>20</v>
      </c>
      <c r="L22" s="95">
        <v>-93.199999999999989</v>
      </c>
      <c r="N22" s="111" t="s">
        <v>170</v>
      </c>
      <c r="O22" s="121">
        <f t="shared" si="2"/>
        <v>-6.0122448979591843</v>
      </c>
      <c r="P22" s="115">
        <v>49</v>
      </c>
      <c r="Q22" s="103">
        <v>-294.60000000000002</v>
      </c>
    </row>
    <row r="23" spans="1:17" x14ac:dyDescent="0.45">
      <c r="A23" s="52" t="s">
        <v>177</v>
      </c>
      <c r="B23" s="136">
        <f>IF($B$15-B$14=0,0,C23/($B$15-B$14))</f>
        <v>9363.7931034482754</v>
      </c>
      <c r="C23" s="137">
        <v>1629300</v>
      </c>
      <c r="E23" s="59" t="s">
        <v>75</v>
      </c>
      <c r="F23" s="56" t="s">
        <v>30</v>
      </c>
      <c r="G23" s="44">
        <v>1</v>
      </c>
      <c r="H23" s="129">
        <f>IF(B$15=0,0,G23/B$15)</f>
        <v>3.875968992248062E-3</v>
      </c>
      <c r="I23" s="90">
        <v>8</v>
      </c>
      <c r="K23" s="36">
        <v>21</v>
      </c>
      <c r="L23" s="95">
        <v>-123.69999999999999</v>
      </c>
      <c r="N23" s="111" t="s">
        <v>126</v>
      </c>
      <c r="O23" s="121">
        <f t="shared" si="2"/>
        <v>-13.271698113207547</v>
      </c>
      <c r="P23" s="115">
        <v>53</v>
      </c>
      <c r="Q23" s="103">
        <v>-703.4</v>
      </c>
    </row>
    <row r="24" spans="1:17" x14ac:dyDescent="0.45">
      <c r="A24" s="52" t="s">
        <v>178</v>
      </c>
      <c r="B24" s="136">
        <f>IF(B$14=0,0,C24/B$14)</f>
        <v>6786.9047619047615</v>
      </c>
      <c r="C24" s="137">
        <v>570100</v>
      </c>
      <c r="E24" s="59" t="s">
        <v>87</v>
      </c>
      <c r="F24" s="56" t="s">
        <v>42</v>
      </c>
      <c r="G24" s="44">
        <v>1</v>
      </c>
      <c r="H24" s="129">
        <f>IF(B$15=0,0,G24/B$15)</f>
        <v>3.875968992248062E-3</v>
      </c>
      <c r="I24" s="90">
        <v>2</v>
      </c>
      <c r="K24" s="36">
        <v>22</v>
      </c>
      <c r="L24" s="95">
        <v>-66.999999999999986</v>
      </c>
    </row>
    <row r="25" spans="1:17" x14ac:dyDescent="0.45">
      <c r="A25" s="52" t="s">
        <v>176</v>
      </c>
      <c r="B25" s="136">
        <f>IF(B$16=0,0,C25/B$16)</f>
        <v>-7440.4958677685954</v>
      </c>
      <c r="C25" s="137">
        <v>-900300</v>
      </c>
      <c r="E25" s="59" t="s">
        <v>88</v>
      </c>
      <c r="F25" s="56" t="s">
        <v>43</v>
      </c>
      <c r="G25" s="44">
        <v>1</v>
      </c>
      <c r="H25" s="129">
        <f>IF(B$15=0,0,G25/B$15)</f>
        <v>3.875968992248062E-3</v>
      </c>
      <c r="I25" s="90">
        <v>3</v>
      </c>
      <c r="K25" s="36">
        <v>23</v>
      </c>
      <c r="L25" s="95">
        <v>-59.599999999999987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3.875968992248062E-3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</v>
      </c>
      <c r="E27" s="59" t="s">
        <v>101</v>
      </c>
      <c r="F27" s="56" t="s">
        <v>56</v>
      </c>
      <c r="G27" s="44">
        <v>1</v>
      </c>
      <c r="H27" s="129">
        <f>IF(B$15=0,0,G27/B$15)</f>
        <v>3.875968992248062E-3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52">
        <v>8</v>
      </c>
      <c r="C28" s="153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50">
        <v>101400</v>
      </c>
      <c r="C29" s="151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2.2497187851518562E-3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15</v>
      </c>
      <c r="C32" s="141">
        <f>IF(B$15=0,0,B32/B$15)</f>
        <v>5.8139534883720929E-2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46</v>
      </c>
      <c r="C33" s="37">
        <f t="shared" ref="C33:C44" si="3">IF(B$15=0,0,B33/B$15)</f>
        <v>0.17829457364341086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51</v>
      </c>
      <c r="C34" s="37">
        <f>IF(B$15=0,0,B34/B$15)</f>
        <v>0.19767441860465115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46</v>
      </c>
      <c r="C35" s="37">
        <f t="shared" si="3"/>
        <v>0.17829457364341086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40</v>
      </c>
      <c r="C36" s="37">
        <f t="shared" si="3"/>
        <v>0.15503875968992248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31</v>
      </c>
      <c r="C37" s="37">
        <f t="shared" si="3"/>
        <v>0.12015503875968993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12</v>
      </c>
      <c r="C38" s="37">
        <f t="shared" si="3"/>
        <v>4.6511627906976744E-2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3"/>
        <v>2.7131782945736434E-2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1.1627906976744186E-2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7.7519379844961239E-3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3.875968992248062E-3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7.7519379844961239E-3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3"/>
        <v>7.7519379844961239E-3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</sheetData>
  <sortState xmlns:xlrd2="http://schemas.microsoft.com/office/spreadsheetml/2017/richdata2" ref="E2:I11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77523-D718-455E-91B6-0DBBD4BF16B4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197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48</v>
      </c>
      <c r="C2" s="159"/>
      <c r="E2" s="58" t="s">
        <v>66</v>
      </c>
      <c r="F2" s="55" t="s">
        <v>22</v>
      </c>
      <c r="G2" s="43">
        <v>68</v>
      </c>
      <c r="H2" s="128">
        <f>IF(B$15=0,0,G2/B$15)</f>
        <v>0.68686868686868685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-2208.3333333333335</v>
      </c>
      <c r="P2" s="114">
        <v>48</v>
      </c>
      <c r="Q2" s="98">
        <v>-106000</v>
      </c>
    </row>
    <row r="3" spans="1:17" x14ac:dyDescent="0.45">
      <c r="A3" s="51" t="s">
        <v>8</v>
      </c>
      <c r="B3" s="160">
        <v>390</v>
      </c>
      <c r="C3" s="161"/>
      <c r="E3" s="59" t="s">
        <v>72</v>
      </c>
      <c r="F3" s="56" t="s">
        <v>27</v>
      </c>
      <c r="G3" s="44">
        <v>60</v>
      </c>
      <c r="H3" s="129">
        <f>IF(B$15=0,0,G3/B$15)</f>
        <v>0.60606060606060608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497.91666666666669</v>
      </c>
      <c r="P3" s="115">
        <v>48</v>
      </c>
      <c r="Q3" s="99">
        <v>23900</v>
      </c>
    </row>
    <row r="4" spans="1:17" x14ac:dyDescent="0.45">
      <c r="A4" s="51" t="s">
        <v>6</v>
      </c>
      <c r="B4" s="162">
        <v>-545.00000000000011</v>
      </c>
      <c r="C4" s="163"/>
      <c r="E4" s="59" t="s">
        <v>64</v>
      </c>
      <c r="F4" s="56" t="s">
        <v>20</v>
      </c>
      <c r="G4" s="44">
        <v>42</v>
      </c>
      <c r="H4" s="129">
        <f>IF(B$15=0,0,G4/B$15)</f>
        <v>0.42424242424242425</v>
      </c>
      <c r="I4" s="90">
        <v>9</v>
      </c>
      <c r="K4" s="36">
        <v>2</v>
      </c>
      <c r="L4" s="95">
        <v>-40.6</v>
      </c>
      <c r="N4" s="111" t="s">
        <v>132</v>
      </c>
      <c r="O4" s="118">
        <f t="shared" si="0"/>
        <v>-1412.7659574468084</v>
      </c>
      <c r="P4" s="115">
        <v>47</v>
      </c>
      <c r="Q4" s="99">
        <v>-66400</v>
      </c>
    </row>
    <row r="5" spans="1:17" x14ac:dyDescent="0.45">
      <c r="A5" s="51" t="s">
        <v>7</v>
      </c>
      <c r="B5" s="164">
        <f>IF(B$2=0,0,B$4/B$2)</f>
        <v>-11.35416666666667</v>
      </c>
      <c r="C5" s="165"/>
      <c r="E5" s="59" t="s">
        <v>166</v>
      </c>
      <c r="F5" s="56" t="s">
        <v>167</v>
      </c>
      <c r="G5" s="44">
        <v>36</v>
      </c>
      <c r="H5" s="129">
        <f>IF(B$15=0,0,G5/B$15)</f>
        <v>0.36363636363636365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-3121.4285714285716</v>
      </c>
      <c r="P5" s="115">
        <v>42</v>
      </c>
      <c r="Q5" s="99">
        <v>-131100</v>
      </c>
    </row>
    <row r="6" spans="1:17" x14ac:dyDescent="0.45">
      <c r="A6" s="51" t="s">
        <v>1</v>
      </c>
      <c r="B6" s="154">
        <f>IF(B$2=0,0,(B$7*1+B$8*2+B$9*3)/B$2)</f>
        <v>2.2916666666666665</v>
      </c>
      <c r="C6" s="155"/>
      <c r="E6" s="59" t="s">
        <v>67</v>
      </c>
      <c r="F6" s="56" t="s">
        <v>23</v>
      </c>
      <c r="G6" s="44">
        <v>25</v>
      </c>
      <c r="H6" s="129">
        <f>IF(B$15=0,0,G6/B$15)</f>
        <v>0.25252525252525254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-1230</v>
      </c>
      <c r="P6" s="115">
        <v>40</v>
      </c>
      <c r="Q6" s="99">
        <v>-49200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0.1875</v>
      </c>
      <c r="E7" s="59" t="s">
        <v>68</v>
      </c>
      <c r="F7" s="56" t="s">
        <v>12</v>
      </c>
      <c r="G7" s="44">
        <v>25</v>
      </c>
      <c r="H7" s="129">
        <f>IF(B$15=0,0,G7/B$15)</f>
        <v>0.25252525252525254</v>
      </c>
      <c r="I7" s="90">
        <v>10</v>
      </c>
      <c r="K7" s="36">
        <v>5</v>
      </c>
      <c r="L7" s="95">
        <v>-124.3</v>
      </c>
      <c r="N7" s="112" t="s">
        <v>135</v>
      </c>
      <c r="O7" s="119">
        <f t="shared" si="0"/>
        <v>-2094.1176470588234</v>
      </c>
      <c r="P7" s="116">
        <v>34</v>
      </c>
      <c r="Q7" s="100">
        <v>-71200</v>
      </c>
    </row>
    <row r="8" spans="1:17" x14ac:dyDescent="0.45">
      <c r="A8" s="51" t="s">
        <v>3</v>
      </c>
      <c r="B8" s="44">
        <v>16</v>
      </c>
      <c r="C8" s="37">
        <f t="shared" si="1"/>
        <v>0.33333333333333331</v>
      </c>
      <c r="E8" s="59" t="s">
        <v>89</v>
      </c>
      <c r="F8" s="56" t="s">
        <v>44</v>
      </c>
      <c r="G8" s="44">
        <v>13</v>
      </c>
      <c r="H8" s="129">
        <f>IF(B$15=0,0,G8/B$15)</f>
        <v>0.13131313131313133</v>
      </c>
      <c r="I8" s="90">
        <v>7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23</v>
      </c>
      <c r="C9" s="38">
        <f t="shared" si="1"/>
        <v>0.47916666666666669</v>
      </c>
      <c r="E9" s="59" t="s">
        <v>70</v>
      </c>
      <c r="F9" s="56" t="s">
        <v>25</v>
      </c>
      <c r="G9" s="44">
        <v>12</v>
      </c>
      <c r="H9" s="129">
        <f>IF(B$15=0,0,G9/B$15)</f>
        <v>0.12121212121212122</v>
      </c>
      <c r="I9" s="90">
        <v>4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0.1875</v>
      </c>
      <c r="E10" s="59" t="s">
        <v>65</v>
      </c>
      <c r="F10" s="56" t="s">
        <v>21</v>
      </c>
      <c r="G10" s="44">
        <v>10</v>
      </c>
      <c r="H10" s="129">
        <f>IF(B$15=0,0,G10/B$15)</f>
        <v>0.10101010101010101</v>
      </c>
      <c r="I10" s="90">
        <v>8</v>
      </c>
      <c r="K10" s="36">
        <v>8</v>
      </c>
      <c r="L10" s="95">
        <v>-152.6</v>
      </c>
      <c r="N10" s="110" t="s">
        <v>157</v>
      </c>
      <c r="O10" s="120">
        <f>IF(P10=0,0,Q10/P10)</f>
        <v>-21.957894736842103</v>
      </c>
      <c r="P10" s="114">
        <v>19</v>
      </c>
      <c r="Q10" s="102">
        <v>-417.2</v>
      </c>
    </row>
    <row r="11" spans="1:17" x14ac:dyDescent="0.45">
      <c r="A11" s="54" t="s">
        <v>121</v>
      </c>
      <c r="B11" s="47">
        <v>78</v>
      </c>
      <c r="C11" s="42">
        <f>IF(B$3=0,0,B11/B$3)</f>
        <v>0.2</v>
      </c>
      <c r="E11" s="59" t="s">
        <v>71</v>
      </c>
      <c r="F11" s="56" t="s">
        <v>26</v>
      </c>
      <c r="G11" s="44">
        <v>10</v>
      </c>
      <c r="H11" s="129">
        <f>IF(B$15=0,0,G11/B$15)</f>
        <v>0.10101010101010101</v>
      </c>
      <c r="I11" s="90">
        <v>3</v>
      </c>
      <c r="K11" s="36">
        <v>9</v>
      </c>
      <c r="L11" s="95">
        <v>-150.6</v>
      </c>
      <c r="N11" s="111" t="s">
        <v>158</v>
      </c>
      <c r="O11" s="121">
        <f>IF(P11=0,0,Q11/P11)</f>
        <v>-4.4285714285714279</v>
      </c>
      <c r="P11" s="115">
        <v>14</v>
      </c>
      <c r="Q11" s="103">
        <v>-61.999999999999986</v>
      </c>
    </row>
    <row r="12" spans="1:17" x14ac:dyDescent="0.45">
      <c r="A12" s="51" t="s">
        <v>118</v>
      </c>
      <c r="B12" s="44">
        <v>85</v>
      </c>
      <c r="C12" s="37">
        <f>IF(B$3=0,0,B12/B$3)</f>
        <v>0.21794871794871795</v>
      </c>
      <c r="E12" s="59" t="s">
        <v>69</v>
      </c>
      <c r="F12" s="56" t="s">
        <v>24</v>
      </c>
      <c r="G12" s="44">
        <v>7</v>
      </c>
      <c r="H12" s="129">
        <f>IF(B$15=0,0,G12/B$15)</f>
        <v>7.0707070707070704E-2</v>
      </c>
      <c r="I12" s="90">
        <v>9</v>
      </c>
      <c r="K12" s="36">
        <v>10</v>
      </c>
      <c r="L12" s="95">
        <v>-151.1</v>
      </c>
      <c r="N12" s="112" t="s">
        <v>159</v>
      </c>
      <c r="O12" s="122">
        <f>IF(P12=0,0,Q12/P12)</f>
        <v>-4.3866666666666667</v>
      </c>
      <c r="P12" s="116">
        <v>15</v>
      </c>
      <c r="Q12" s="104">
        <v>-65.8</v>
      </c>
    </row>
    <row r="13" spans="1:17" x14ac:dyDescent="0.45">
      <c r="A13" s="50" t="s">
        <v>123</v>
      </c>
      <c r="B13" s="43">
        <f>B19</f>
        <v>43</v>
      </c>
      <c r="C13" s="35">
        <f>IF(B$11=0,0,B13/B$11)</f>
        <v>0.55128205128205132</v>
      </c>
      <c r="E13" s="59" t="s">
        <v>83</v>
      </c>
      <c r="F13" s="56" t="s">
        <v>38</v>
      </c>
      <c r="G13" s="44">
        <v>7</v>
      </c>
      <c r="H13" s="129">
        <f>IF(B$15=0,0,G13/B$15)</f>
        <v>7.0707070707070704E-2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37</v>
      </c>
      <c r="C14" s="35">
        <f>IF(B$12=0,0,B14/B$12)</f>
        <v>0.43529411764705883</v>
      </c>
      <c r="E14" s="59" t="s">
        <v>86</v>
      </c>
      <c r="F14" s="56" t="s">
        <v>41</v>
      </c>
      <c r="G14" s="44">
        <v>7</v>
      </c>
      <c r="H14" s="129">
        <f>IF(B$15=0,0,G14/B$15)</f>
        <v>7.0707070707070704E-2</v>
      </c>
      <c r="I14" s="90">
        <v>1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99</v>
      </c>
      <c r="C15" s="35">
        <f>IF(B$3=0,0,B15/B$3)</f>
        <v>0.25384615384615383</v>
      </c>
      <c r="E15" s="59" t="s">
        <v>81</v>
      </c>
      <c r="F15" s="56" t="s">
        <v>36</v>
      </c>
      <c r="G15" s="44">
        <v>2</v>
      </c>
      <c r="H15" s="129">
        <f>IF(B$15=0,0,G15/B$15)</f>
        <v>2.0202020202020204E-2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4" si="2">IF(P15=0,0,Q15/P15)</f>
        <v>34.137499999999996</v>
      </c>
      <c r="P15" s="114">
        <v>8</v>
      </c>
      <c r="Q15" s="102">
        <v>273.09999999999997</v>
      </c>
    </row>
    <row r="16" spans="1:17" x14ac:dyDescent="0.45">
      <c r="A16" s="51" t="s">
        <v>13</v>
      </c>
      <c r="B16" s="44">
        <v>71</v>
      </c>
      <c r="C16" s="37">
        <f>IF(B$3=0,0,B16/B$3)</f>
        <v>0.18205128205128204</v>
      </c>
      <c r="E16" s="59" t="s">
        <v>91</v>
      </c>
      <c r="F16" s="56" t="s">
        <v>46</v>
      </c>
      <c r="G16" s="44">
        <v>2</v>
      </c>
      <c r="H16" s="129">
        <f>IF(B$15=0,0,G16/B$15)</f>
        <v>2.0202020202020204E-2</v>
      </c>
      <c r="I16" s="90">
        <v>2</v>
      </c>
      <c r="K16" s="36">
        <v>14</v>
      </c>
      <c r="L16" s="95">
        <v>-266.90000000000003</v>
      </c>
      <c r="N16" s="111" t="s">
        <v>172</v>
      </c>
      <c r="O16" s="121">
        <f t="shared" si="2"/>
        <v>-3.1666666666666656</v>
      </c>
      <c r="P16" s="115">
        <v>3</v>
      </c>
      <c r="Q16" s="103">
        <v>-9.4999999999999964</v>
      </c>
    </row>
    <row r="17" spans="1:17" x14ac:dyDescent="0.45">
      <c r="A17" s="51" t="s">
        <v>12</v>
      </c>
      <c r="B17" s="44">
        <v>44</v>
      </c>
      <c r="C17" s="37">
        <f>IF(B$15=0,0,B17/B$15)</f>
        <v>0.44444444444444442</v>
      </c>
      <c r="E17" s="59" t="s">
        <v>74</v>
      </c>
      <c r="F17" s="56" t="s">
        <v>29</v>
      </c>
      <c r="G17" s="44">
        <v>1</v>
      </c>
      <c r="H17" s="129">
        <f>IF(B$15=0,0,G17/B$15)</f>
        <v>1.0101010101010102E-2</v>
      </c>
      <c r="I17" s="90">
        <v>1</v>
      </c>
      <c r="K17" s="36">
        <v>15</v>
      </c>
      <c r="L17" s="95">
        <v>-272.50000000000006</v>
      </c>
      <c r="N17" s="111" t="s">
        <v>170</v>
      </c>
      <c r="O17" s="121">
        <f t="shared" si="2"/>
        <v>-9.4086956521739129</v>
      </c>
      <c r="P17" s="115">
        <v>23</v>
      </c>
      <c r="Q17" s="103">
        <v>-216.4</v>
      </c>
    </row>
    <row r="18" spans="1:17" x14ac:dyDescent="0.45">
      <c r="A18" s="51" t="s">
        <v>11</v>
      </c>
      <c r="B18" s="44">
        <v>55</v>
      </c>
      <c r="C18" s="37">
        <f>IF(B$15=0,0,B18/B$15)</f>
        <v>0.55555555555555558</v>
      </c>
      <c r="E18" s="59" t="s">
        <v>78</v>
      </c>
      <c r="F18" s="56" t="s">
        <v>33</v>
      </c>
      <c r="G18" s="44">
        <v>1</v>
      </c>
      <c r="H18" s="129">
        <f>IF(B$15=0,0,G18/B$15)</f>
        <v>1.0101010101010102E-2</v>
      </c>
      <c r="I18" s="90">
        <v>7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43</v>
      </c>
      <c r="C19" s="37">
        <f>IF(B$15=0,0,B19/B$15)</f>
        <v>0.43434343434343436</v>
      </c>
      <c r="E19" s="59" t="s">
        <v>92</v>
      </c>
      <c r="F19" s="56" t="s">
        <v>47</v>
      </c>
      <c r="G19" s="44">
        <v>1</v>
      </c>
      <c r="H19" s="129">
        <f>IF(B$15=0,0,G19/B$15)</f>
        <v>1.0101010101010102E-2</v>
      </c>
      <c r="I19" s="90">
        <v>2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37</v>
      </c>
      <c r="C20" s="37">
        <f>IF(B$15=0,0,B20/B$15)</f>
        <v>0.37373737373737376</v>
      </c>
      <c r="E20" s="59" t="s">
        <v>95</v>
      </c>
      <c r="F20" s="56" t="s">
        <v>50</v>
      </c>
      <c r="G20" s="44">
        <v>1</v>
      </c>
      <c r="H20" s="129">
        <f>IF(B$15=0,0,G20/B$15)</f>
        <v>1.0101010101010102E-2</v>
      </c>
      <c r="I20" s="90">
        <v>1</v>
      </c>
      <c r="K20" s="36">
        <v>18</v>
      </c>
      <c r="L20" s="95">
        <v>-355.50000000000006</v>
      </c>
      <c r="N20" s="111" t="s">
        <v>203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 x14ac:dyDescent="0.45">
      <c r="A21" s="51" t="s">
        <v>194</v>
      </c>
      <c r="B21" s="44">
        <v>19</v>
      </c>
      <c r="C21" s="37">
        <f>IF(B$15=0,0,B21/B$15)</f>
        <v>0.19191919191919191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-400.60000000000008</v>
      </c>
      <c r="N21" s="111" t="s">
        <v>171</v>
      </c>
      <c r="O21" s="121">
        <f t="shared" si="2"/>
        <v>-25.104347826086954</v>
      </c>
      <c r="P21" s="115">
        <v>23</v>
      </c>
      <c r="Q21" s="103">
        <v>-577.4</v>
      </c>
    </row>
    <row r="22" spans="1:17" x14ac:dyDescent="0.45">
      <c r="A22" s="51" t="s">
        <v>5</v>
      </c>
      <c r="B22" s="48">
        <f>IF(B$15=0,0,C22/B$15)</f>
        <v>8000</v>
      </c>
      <c r="C22" s="39">
        <v>792000</v>
      </c>
      <c r="E22" s="59" t="s">
        <v>75</v>
      </c>
      <c r="F22" s="56" t="s">
        <v>30</v>
      </c>
      <c r="G22" s="44">
        <v>0</v>
      </c>
      <c r="H22" s="129">
        <f>IF(B$15=0,0,G22/B$15)</f>
        <v>0</v>
      </c>
      <c r="I22" s="90">
        <v>9</v>
      </c>
      <c r="K22" s="36">
        <v>20</v>
      </c>
      <c r="L22" s="95">
        <v>-428.10000000000008</v>
      </c>
      <c r="N22" s="111" t="s">
        <v>126</v>
      </c>
      <c r="O22" s="121">
        <f t="shared" si="2"/>
        <v>-26.026666666666667</v>
      </c>
      <c r="P22" s="115">
        <v>15</v>
      </c>
      <c r="Q22" s="103">
        <v>-390.40000000000003</v>
      </c>
    </row>
    <row r="23" spans="1:17" x14ac:dyDescent="0.45">
      <c r="A23" s="52" t="s">
        <v>177</v>
      </c>
      <c r="B23" s="136">
        <f>IF($B$15-B$14=0,0,C23/($B$15-B$14))</f>
        <v>8433.8709677419356</v>
      </c>
      <c r="C23" s="137">
        <v>522900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-423.7000000000001</v>
      </c>
      <c r="N23" s="111" t="s">
        <v>196</v>
      </c>
      <c r="O23" s="121">
        <f t="shared" si="2"/>
        <v>-60.640000000000008</v>
      </c>
      <c r="P23" s="115">
        <v>5</v>
      </c>
      <c r="Q23" s="103">
        <v>-303.20000000000005</v>
      </c>
    </row>
    <row r="24" spans="1:17" x14ac:dyDescent="0.45">
      <c r="A24" s="52" t="s">
        <v>178</v>
      </c>
      <c r="B24" s="136">
        <f>IF(B$14=0,0,C24/B$14)</f>
        <v>7272.9729729729734</v>
      </c>
      <c r="C24" s="137">
        <v>269100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-465.00000000000011</v>
      </c>
      <c r="N24" s="111" t="s">
        <v>228</v>
      </c>
      <c r="O24" s="121">
        <f t="shared" si="2"/>
        <v>-65.55</v>
      </c>
      <c r="P24" s="115">
        <v>2</v>
      </c>
      <c r="Q24" s="103">
        <v>-131.1</v>
      </c>
    </row>
    <row r="25" spans="1:17" x14ac:dyDescent="0.45">
      <c r="A25" s="52" t="s">
        <v>176</v>
      </c>
      <c r="B25" s="136">
        <f>IF(B$16=0,0,C25/B$16)</f>
        <v>-8015.4929577464791</v>
      </c>
      <c r="C25" s="137">
        <v>-569100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-450.10000000000014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19</v>
      </c>
      <c r="C27" s="131">
        <v>3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52">
        <v>6</v>
      </c>
      <c r="C28" s="153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50">
        <v>85100</v>
      </c>
      <c r="C29" s="151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1</v>
      </c>
      <c r="C30" s="40">
        <f>IF(B$3=0,0,B30/B$3)</f>
        <v>2.5641025641025641E-3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-447.30000000000013</v>
      </c>
    </row>
    <row r="31" spans="1:17" x14ac:dyDescent="0.45">
      <c r="E31" s="59" t="s">
        <v>88</v>
      </c>
      <c r="F31" s="56" t="s">
        <v>43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8</v>
      </c>
      <c r="C32" s="141">
        <f>IF(B$15=0,0,B32/B$15)</f>
        <v>8.0808080808080815E-2</v>
      </c>
      <c r="E32" s="59" t="s">
        <v>90</v>
      </c>
      <c r="F32" s="56" t="s">
        <v>45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22</v>
      </c>
      <c r="C33" s="37">
        <f t="shared" ref="C33:C44" si="3">IF(B$15=0,0,B33/B$15)</f>
        <v>0.22222222222222221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21</v>
      </c>
      <c r="C34" s="37">
        <f>IF(B$15=0,0,B34/B$15)</f>
        <v>0.21212121212121213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13</v>
      </c>
      <c r="C35" s="37">
        <f t="shared" si="3"/>
        <v>0.13131313131313133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13</v>
      </c>
      <c r="C36" s="37">
        <f t="shared" si="3"/>
        <v>0.13131313131313133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7</v>
      </c>
      <c r="C37" s="37">
        <f t="shared" si="3"/>
        <v>7.0707070707070704E-2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7</v>
      </c>
      <c r="C38" s="37">
        <f t="shared" si="3"/>
        <v>7.0707070707070704E-2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5.0505050505050504E-2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1.0101010101010102E-2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2.0202020202020204E-2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-623.30000000000007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-588.1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C335-5A3E-49C9-9DBD-5B180DACC0B8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196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25</v>
      </c>
      <c r="C2" s="159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60">
        <v>240</v>
      </c>
      <c r="C3" s="161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62">
        <v>-45.7</v>
      </c>
      <c r="C4" s="163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4">
        <f>IF(B$2=0,0,B$4/B$2)</f>
        <v>-1.8280000000000001</v>
      </c>
      <c r="C5" s="165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4">
        <f>IF(B$2=0,0,(B$7*1+B$8*2+B$9*3)/B$2)</f>
        <v>2.04</v>
      </c>
      <c r="C6" s="155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3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5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8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6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52">
        <v>7</v>
      </c>
      <c r="C28" s="153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50">
        <v>95200</v>
      </c>
      <c r="C29" s="151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C0CE-FF64-4D0E-999A-38EA4A1519EC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228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7</v>
      </c>
      <c r="C2" s="159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60">
        <v>62</v>
      </c>
      <c r="C3" s="161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5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62">
        <v>-104.80000000000001</v>
      </c>
      <c r="C4" s="163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4">
        <f>IF(B$2=0,0,B$4/B$2)</f>
        <v>-14.971428571428573</v>
      </c>
      <c r="C5" s="165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4">
        <f>IF(B$2=0,0,(B$7*1+B$8*2+B$9*3)/B$2)</f>
        <v>2.1428571428571428</v>
      </c>
      <c r="C6" s="155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4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10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10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8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52">
        <v>4</v>
      </c>
      <c r="C28" s="153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0">
        <v>59500</v>
      </c>
      <c r="C29" s="151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F2CAF-BDFE-45D0-A480-50FA82771875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203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2</v>
      </c>
      <c r="C2" s="159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60">
        <v>15</v>
      </c>
      <c r="C3" s="161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12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62">
        <v>26.2</v>
      </c>
      <c r="C4" s="163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4">
        <f>IF(B$2=0,0,B$4/B$2)</f>
        <v>13.1</v>
      </c>
      <c r="C5" s="165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4">
        <f>IF(B$2=0,0,(B$7*1+B$8*2+B$9*3)/B$2)</f>
        <v>1.5</v>
      </c>
      <c r="C6" s="155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11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6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12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10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52">
        <v>4</v>
      </c>
      <c r="C28" s="153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0">
        <v>52800</v>
      </c>
      <c r="C29" s="151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0EE47-776B-44AA-81BA-0A18D75D0782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274</v>
      </c>
      <c r="C1" s="157"/>
      <c r="E1" s="125" t="s">
        <v>160</v>
      </c>
      <c r="F1" s="147" t="s">
        <v>115</v>
      </c>
      <c r="G1" s="146" t="s">
        <v>116</v>
      </c>
      <c r="H1" s="126" t="s">
        <v>117</v>
      </c>
      <c r="I1" s="147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4</v>
      </c>
      <c r="C2" s="159"/>
      <c r="E2" s="58" t="s">
        <v>66</v>
      </c>
      <c r="F2" s="55" t="s">
        <v>22</v>
      </c>
      <c r="G2" s="43">
        <v>12</v>
      </c>
      <c r="H2" s="128">
        <f>IF(B$15=0,0,G2/B$15)</f>
        <v>0.8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-2800</v>
      </c>
      <c r="P2" s="114">
        <v>4</v>
      </c>
      <c r="Q2" s="98">
        <v>-11200</v>
      </c>
    </row>
    <row r="3" spans="1:17" x14ac:dyDescent="0.45">
      <c r="A3" s="51" t="s">
        <v>8</v>
      </c>
      <c r="B3" s="160">
        <v>38</v>
      </c>
      <c r="C3" s="161"/>
      <c r="E3" s="59" t="s">
        <v>64</v>
      </c>
      <c r="F3" s="56" t="s">
        <v>20</v>
      </c>
      <c r="G3" s="44">
        <v>10</v>
      </c>
      <c r="H3" s="129">
        <f>IF(B$15=0,0,G3/B$15)</f>
        <v>0.66666666666666663</v>
      </c>
      <c r="I3" s="90">
        <v>1</v>
      </c>
      <c r="K3" s="36">
        <v>1</v>
      </c>
      <c r="L3" s="95">
        <v>17.600000000000001</v>
      </c>
      <c r="N3" s="111" t="s">
        <v>131</v>
      </c>
      <c r="O3" s="118">
        <f t="shared" si="0"/>
        <v>2500</v>
      </c>
      <c r="P3" s="115">
        <v>4</v>
      </c>
      <c r="Q3" s="99">
        <v>10000</v>
      </c>
    </row>
    <row r="4" spans="1:17" x14ac:dyDescent="0.45">
      <c r="A4" s="51" t="s">
        <v>6</v>
      </c>
      <c r="B4" s="162">
        <v>53.1</v>
      </c>
      <c r="C4" s="163"/>
      <c r="E4" s="59" t="s">
        <v>72</v>
      </c>
      <c r="F4" s="56" t="s">
        <v>27</v>
      </c>
      <c r="G4" s="44">
        <v>8</v>
      </c>
      <c r="H4" s="129">
        <f>IF(B$15=0,0,G4/B$15)</f>
        <v>0.53333333333333333</v>
      </c>
      <c r="I4" s="90">
        <v>8</v>
      </c>
      <c r="K4" s="36">
        <v>2</v>
      </c>
      <c r="L4" s="95">
        <v>27.8</v>
      </c>
      <c r="N4" s="111" t="s">
        <v>132</v>
      </c>
      <c r="O4" s="118">
        <f t="shared" si="0"/>
        <v>-900</v>
      </c>
      <c r="P4" s="115">
        <v>4</v>
      </c>
      <c r="Q4" s="99">
        <v>-3600</v>
      </c>
    </row>
    <row r="5" spans="1:17" x14ac:dyDescent="0.45">
      <c r="A5" s="51" t="s">
        <v>7</v>
      </c>
      <c r="B5" s="164">
        <f>IF(B$2=0,0,B$4/B$2)</f>
        <v>13.275</v>
      </c>
      <c r="C5" s="165"/>
      <c r="E5" s="59" t="s">
        <v>67</v>
      </c>
      <c r="F5" s="56" t="s">
        <v>23</v>
      </c>
      <c r="G5" s="44">
        <v>3</v>
      </c>
      <c r="H5" s="129">
        <f>IF(B$15=0,0,G5/B$15)</f>
        <v>0.2</v>
      </c>
      <c r="I5" s="90">
        <v>11</v>
      </c>
      <c r="K5" s="36">
        <v>3</v>
      </c>
      <c r="L5" s="95">
        <v>20.399999999999999</v>
      </c>
      <c r="N5" s="111" t="s">
        <v>133</v>
      </c>
      <c r="O5" s="118">
        <f t="shared" si="0"/>
        <v>5375</v>
      </c>
      <c r="P5" s="115">
        <v>4</v>
      </c>
      <c r="Q5" s="99">
        <v>21500</v>
      </c>
    </row>
    <row r="6" spans="1:17" x14ac:dyDescent="0.45">
      <c r="A6" s="51" t="s">
        <v>1</v>
      </c>
      <c r="B6" s="154">
        <f>IF(B$2=0,0,(B$7*1+B$8*2+B$9*3)/B$2)</f>
        <v>1.5</v>
      </c>
      <c r="C6" s="155"/>
      <c r="E6" s="59" t="s">
        <v>68</v>
      </c>
      <c r="F6" s="56" t="s">
        <v>12</v>
      </c>
      <c r="G6" s="44">
        <v>3</v>
      </c>
      <c r="H6" s="129">
        <f>IF(B$15=0,0,G6/B$15)</f>
        <v>0.2</v>
      </c>
      <c r="I6" s="90">
        <v>11</v>
      </c>
      <c r="K6" s="36">
        <v>4</v>
      </c>
      <c r="L6" s="95">
        <v>53.1</v>
      </c>
      <c r="N6" s="111" t="s">
        <v>134</v>
      </c>
      <c r="O6" s="118">
        <f t="shared" si="0"/>
        <v>1000</v>
      </c>
      <c r="P6" s="115">
        <v>3</v>
      </c>
      <c r="Q6" s="99">
        <v>3000</v>
      </c>
    </row>
    <row r="7" spans="1:17" x14ac:dyDescent="0.45">
      <c r="A7" s="51" t="s">
        <v>2</v>
      </c>
      <c r="B7" s="44">
        <v>2</v>
      </c>
      <c r="C7" s="37">
        <f t="shared" ref="C7:C10" si="1">IF(B$2=0,0,B7/B$2)</f>
        <v>0.5</v>
      </c>
      <c r="E7" s="59" t="s">
        <v>65</v>
      </c>
      <c r="F7" s="56" t="s">
        <v>21</v>
      </c>
      <c r="G7" s="44">
        <v>2</v>
      </c>
      <c r="H7" s="129">
        <f>IF(B$15=0,0,G7/B$15)</f>
        <v>0.13333333333333333</v>
      </c>
      <c r="I7" s="90">
        <v>4</v>
      </c>
      <c r="N7" s="112" t="s">
        <v>135</v>
      </c>
      <c r="O7" s="119">
        <f t="shared" si="0"/>
        <v>7850</v>
      </c>
      <c r="P7" s="116">
        <v>2</v>
      </c>
      <c r="Q7" s="100">
        <v>15700</v>
      </c>
    </row>
    <row r="8" spans="1:17" x14ac:dyDescent="0.45">
      <c r="A8" s="51" t="s">
        <v>3</v>
      </c>
      <c r="B8" s="44">
        <v>2</v>
      </c>
      <c r="C8" s="37">
        <f t="shared" si="1"/>
        <v>0.5</v>
      </c>
      <c r="E8" s="59" t="s">
        <v>89</v>
      </c>
      <c r="F8" s="56" t="s">
        <v>44</v>
      </c>
      <c r="G8" s="44">
        <v>2</v>
      </c>
      <c r="H8" s="129">
        <f>IF(B$15=0,0,G8/B$15)</f>
        <v>0.13333333333333333</v>
      </c>
      <c r="I8" s="90">
        <v>4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69</v>
      </c>
      <c r="F9" s="56" t="s">
        <v>24</v>
      </c>
      <c r="G9" s="44">
        <v>1</v>
      </c>
      <c r="H9" s="129">
        <f>IF(B$15=0,0,G9/B$15)</f>
        <v>6.6666666666666666E-2</v>
      </c>
      <c r="I9" s="90">
        <v>10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1</v>
      </c>
      <c r="H10" s="129">
        <f>IF(B$15=0,0,G10/B$15)</f>
        <v>6.6666666666666666E-2</v>
      </c>
      <c r="I10" s="90">
        <v>10</v>
      </c>
      <c r="N10" s="110" t="s">
        <v>157</v>
      </c>
      <c r="O10" s="120">
        <f>IF(P10=0,0,Q10/P10)</f>
        <v>1.3999999999999995</v>
      </c>
      <c r="P10" s="114">
        <v>2</v>
      </c>
      <c r="Q10" s="102">
        <v>2.7999999999999989</v>
      </c>
    </row>
    <row r="11" spans="1:17" x14ac:dyDescent="0.45">
      <c r="A11" s="54" t="s">
        <v>121</v>
      </c>
      <c r="B11" s="47">
        <v>13</v>
      </c>
      <c r="C11" s="42">
        <f>IF(B$3=0,0,B11/B$3)</f>
        <v>0.34210526315789475</v>
      </c>
      <c r="E11" s="59" t="s">
        <v>71</v>
      </c>
      <c r="F11" s="56" t="s">
        <v>26</v>
      </c>
      <c r="G11" s="44">
        <v>1</v>
      </c>
      <c r="H11" s="129">
        <f>IF(B$15=0,0,G11/B$15)</f>
        <v>6.6666666666666666E-2</v>
      </c>
      <c r="I11" s="90">
        <v>8</v>
      </c>
      <c r="N11" s="111" t="s">
        <v>158</v>
      </c>
      <c r="O11" s="121">
        <f>IF(P11=0,0,Q11/P11)</f>
        <v>17.600000000000001</v>
      </c>
      <c r="P11" s="115">
        <v>1</v>
      </c>
      <c r="Q11" s="103">
        <v>17.600000000000001</v>
      </c>
    </row>
    <row r="12" spans="1:17" x14ac:dyDescent="0.45">
      <c r="A12" s="51" t="s">
        <v>118</v>
      </c>
      <c r="B12" s="44">
        <v>7</v>
      </c>
      <c r="C12" s="37">
        <f>IF(B$3=0,0,B12/B$3)</f>
        <v>0.18421052631578946</v>
      </c>
      <c r="E12" s="59" t="s">
        <v>79</v>
      </c>
      <c r="F12" s="56" t="s">
        <v>34</v>
      </c>
      <c r="G12" s="44">
        <v>1</v>
      </c>
      <c r="H12" s="129">
        <f>IF(B$15=0,0,G12/B$15)</f>
        <v>6.6666666666666666E-2</v>
      </c>
      <c r="I12" s="90">
        <v>1</v>
      </c>
      <c r="N12" s="112" t="s">
        <v>159</v>
      </c>
      <c r="O12" s="122">
        <f>IF(P12=0,0,Q12/P12)</f>
        <v>32.700000000000003</v>
      </c>
      <c r="P12" s="116">
        <v>1</v>
      </c>
      <c r="Q12" s="104">
        <v>32.700000000000003</v>
      </c>
    </row>
    <row r="13" spans="1:17" x14ac:dyDescent="0.45">
      <c r="A13" s="50" t="s">
        <v>123</v>
      </c>
      <c r="B13" s="43">
        <f>B19</f>
        <v>9</v>
      </c>
      <c r="C13" s="35">
        <f>IF(B$11=0,0,B13/B$11)</f>
        <v>0.69230769230769229</v>
      </c>
      <c r="E13" s="59" t="s">
        <v>83</v>
      </c>
      <c r="F13" s="56" t="s">
        <v>38</v>
      </c>
      <c r="G13" s="44">
        <v>1</v>
      </c>
      <c r="H13" s="129">
        <f>IF(B$15=0,0,G13/B$15)</f>
        <v>6.6666666666666666E-2</v>
      </c>
      <c r="I13" s="90">
        <v>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0.7142857142857143</v>
      </c>
      <c r="E14" s="59" t="s">
        <v>85</v>
      </c>
      <c r="F14" s="56" t="s">
        <v>40</v>
      </c>
      <c r="G14" s="44">
        <v>1</v>
      </c>
      <c r="H14" s="129">
        <f>IF(B$15=0,0,G14/B$15)</f>
        <v>6.6666666666666666E-2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0.39473684210526316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196</v>
      </c>
      <c r="O15" s="120">
        <f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3</v>
      </c>
      <c r="C16" s="37">
        <f>IF(B$3=0,0,B16/B$3)</f>
        <v>7.8947368421052627E-2</v>
      </c>
      <c r="E16" s="59" t="s">
        <v>166</v>
      </c>
      <c r="F16" s="56" t="s">
        <v>167</v>
      </c>
      <c r="G16" s="44">
        <v>1</v>
      </c>
      <c r="H16" s="129">
        <f>IF(B$15=0,0,G16/B$15)</f>
        <v>6.6666666666666666E-2</v>
      </c>
      <c r="I16" s="90">
        <v>12</v>
      </c>
      <c r="N16" s="111" t="s">
        <v>172</v>
      </c>
      <c r="O16" s="121">
        <f>IF(P16=0,0,Q16/P16)</f>
        <v>42.1</v>
      </c>
      <c r="P16" s="115">
        <v>1</v>
      </c>
      <c r="Q16" s="103">
        <v>42.1</v>
      </c>
    </row>
    <row r="17" spans="1:17" x14ac:dyDescent="0.45">
      <c r="A17" s="51" t="s">
        <v>12</v>
      </c>
      <c r="B17" s="44">
        <v>6</v>
      </c>
      <c r="C17" s="37">
        <f>IF(B$15=0,0,B17/B$15)</f>
        <v>0.4</v>
      </c>
      <c r="E17" s="59" t="s">
        <v>73</v>
      </c>
      <c r="F17" s="56" t="s">
        <v>28</v>
      </c>
      <c r="G17" s="44">
        <v>0</v>
      </c>
      <c r="H17" s="129">
        <f>IF(B$15=0,0,G17/B$15)</f>
        <v>0</v>
      </c>
      <c r="I17" s="90">
        <v>5</v>
      </c>
      <c r="N17" s="111" t="s">
        <v>126</v>
      </c>
      <c r="O17" s="121">
        <f>IF(P17=0,0,Q17/P17)</f>
        <v>29.000000000000004</v>
      </c>
      <c r="P17" s="115">
        <v>1</v>
      </c>
      <c r="Q17" s="103">
        <v>29.000000000000004</v>
      </c>
    </row>
    <row r="18" spans="1:17" x14ac:dyDescent="0.45">
      <c r="A18" s="51" t="s">
        <v>11</v>
      </c>
      <c r="B18" s="44">
        <v>9</v>
      </c>
      <c r="C18" s="37">
        <f>IF(B$15=0,0,B18/B$15)</f>
        <v>0.6</v>
      </c>
      <c r="E18" s="59" t="s">
        <v>74</v>
      </c>
      <c r="F18" s="56" t="s">
        <v>29</v>
      </c>
      <c r="G18" s="44">
        <v>0</v>
      </c>
      <c r="H18" s="129">
        <f>IF(B$15=0,0,G18/B$15)</f>
        <v>0</v>
      </c>
      <c r="I18" s="90">
        <v>7</v>
      </c>
      <c r="N18" s="111" t="s">
        <v>170</v>
      </c>
      <c r="O18" s="121">
        <f>IF(P18=0,0,Q18/P18)</f>
        <v>27.466666666666669</v>
      </c>
      <c r="P18" s="115">
        <v>3</v>
      </c>
      <c r="Q18" s="103">
        <v>82.4</v>
      </c>
    </row>
    <row r="19" spans="1:17" x14ac:dyDescent="0.45">
      <c r="A19" s="51" t="s">
        <v>195</v>
      </c>
      <c r="B19" s="44">
        <v>9</v>
      </c>
      <c r="C19" s="37">
        <f>IF(B$15=0,0,B19/B$15)</f>
        <v>0.6</v>
      </c>
      <c r="E19" s="59" t="s">
        <v>75</v>
      </c>
      <c r="F19" s="56" t="s">
        <v>30</v>
      </c>
      <c r="G19" s="44">
        <v>0</v>
      </c>
      <c r="H19" s="129">
        <f>IF(B$15=0,0,G19/B$15)</f>
        <v>0</v>
      </c>
      <c r="I19" s="90">
        <v>9</v>
      </c>
      <c r="N19" s="111" t="s">
        <v>197</v>
      </c>
      <c r="O19" s="121">
        <f>IF(P19=0,0,Q19/P19)</f>
        <v>12.000000000000002</v>
      </c>
      <c r="P19" s="115">
        <v>1</v>
      </c>
      <c r="Q19" s="103">
        <v>12.000000000000002</v>
      </c>
    </row>
    <row r="20" spans="1:17" x14ac:dyDescent="0.45">
      <c r="A20" s="51" t="s">
        <v>193</v>
      </c>
      <c r="B20" s="44">
        <v>5</v>
      </c>
      <c r="C20" s="37">
        <f>IF(B$15=0,0,B20/B$15)</f>
        <v>0.33333333333333331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127</v>
      </c>
      <c r="O20" s="121">
        <f>IF(P20=0,0,Q20/P20)</f>
        <v>-64.3</v>
      </c>
      <c r="P20" s="115">
        <v>1</v>
      </c>
      <c r="Q20" s="103">
        <v>-64.3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5</v>
      </c>
    </row>
    <row r="22" spans="1:17" x14ac:dyDescent="0.45">
      <c r="A22" s="51" t="s">
        <v>5</v>
      </c>
      <c r="B22" s="48">
        <f>IF(B$15=0,0,C22/B$15)</f>
        <v>6793.333333333333</v>
      </c>
      <c r="C22" s="39">
        <v>101900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10</v>
      </c>
    </row>
    <row r="23" spans="1:17" x14ac:dyDescent="0.45">
      <c r="A23" s="52" t="s">
        <v>177</v>
      </c>
      <c r="B23" s="136">
        <f>IF($B$15-B$14=0,0,C23/($B$15-B$14))</f>
        <v>7280</v>
      </c>
      <c r="C23" s="137">
        <v>72800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5820</v>
      </c>
      <c r="C24" s="137">
        <v>29100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10</v>
      </c>
    </row>
    <row r="25" spans="1:17" x14ac:dyDescent="0.45">
      <c r="A25" s="52" t="s">
        <v>176</v>
      </c>
      <c r="B25" s="136">
        <f>IF(B$16=0,0,C25/B$16)</f>
        <v>-4700</v>
      </c>
      <c r="C25" s="137">
        <v>-14100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2</v>
      </c>
      <c r="C26" s="131">
        <v>2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2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52">
        <v>3</v>
      </c>
      <c r="C28" s="153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0">
        <v>57700</v>
      </c>
      <c r="C29" s="151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8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9">
        <v>2</v>
      </c>
      <c r="C34" s="37">
        <f>IF(B$15=0,0,B34/B$15)</f>
        <v>0.13333333333333333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9">
        <v>4</v>
      </c>
      <c r="C35" s="37">
        <f t="shared" si="2"/>
        <v>0.26666666666666666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9">
        <v>2</v>
      </c>
      <c r="C36" s="37">
        <f t="shared" si="2"/>
        <v>0.13333333333333333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9">
        <v>0</v>
      </c>
      <c r="C37" s="37">
        <f t="shared" si="2"/>
        <v>0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9">
        <v>2</v>
      </c>
      <c r="C38" s="37">
        <f t="shared" si="2"/>
        <v>0.13333333333333333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9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9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9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9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9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3CDC9-CF00-4A86-950D-740FA3027C9A}">
  <sheetPr codeName="Sheet28"/>
  <dimension ref="A1:Q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DB93C-25E2-4961-994F-A36CE99A44AA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4AA1A-DF06-4A3B-81CD-10DB110FE139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0A651-F155-4F26-A5F2-8454E5EAD96C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832D1-E5F9-4D57-AA9F-C483D2F1B5B1}">
  <sheetPr codeName="Sheet20"/>
  <dimension ref="A1:Q5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109B-B247-41DB-B57D-6BDAED8046E3}">
  <sheetPr codeName="Sheet18"/>
  <dimension ref="A1:Q11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1A2B-5670-475E-AAE3-2956C8A0D252}">
  <sheetPr codeName="Sheet16"/>
  <dimension ref="A1:Q10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CCE3D-1C44-4BEB-9DE9-9BF9D7BC5882}">
  <sheetPr codeName="Sheet14"/>
  <dimension ref="A1:Q9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679A-D46F-4FBE-AAA0-4CCFB72495B5}">
  <sheetPr codeName="Sheet12"/>
  <dimension ref="A1:Q13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53233-0DBD-46B5-AF1F-AC99D8594D07}">
  <sheetPr codeName="Sheet10"/>
  <dimension ref="A1:Q15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AFE1-70F0-4B53-8047-E4CAA74D512A}">
  <sheetPr codeName="Sheet8"/>
  <dimension ref="A1:Q6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ADC5-47C2-40EC-BDC5-128888A11E22}">
  <sheetPr codeName="Sheet6"/>
  <dimension ref="A1:Q24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689</vt:i4>
      </vt:variant>
    </vt:vector>
  </HeadingPairs>
  <TitlesOfParts>
    <vt:vector size="73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2019-12-06T16:40:56Z</dcterms:modified>
</cp:coreProperties>
</file>